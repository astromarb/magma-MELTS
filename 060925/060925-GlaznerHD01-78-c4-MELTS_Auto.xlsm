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20B36F35-3D10-413C-88EA-D42B591765E5}" xr6:coauthVersionLast="47" xr6:coauthVersionMax="47" xr10:uidLastSave="{00000000-0000-0000-0000-000000000000}"/>
  <bookViews>
    <workbookView xWindow="28680" yWindow="4920" windowWidth="29040" windowHeight="15720" activeTab="1" xr2:uid="{9B0BBD3E-7797-4BB3-B0A9-E061B7F0C0EA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feldspar1" sheetId="14" r:id="rId10"/>
    <sheet name="feldspar2" sheetId="15" r:id="rId11"/>
    <sheet name="feldspar" sheetId="9" r:id="rId12"/>
    <sheet name="quartz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I1" i="17"/>
  <c r="J1" i="17"/>
  <c r="K1" i="17"/>
  <c r="L1" i="17"/>
  <c r="M1" i="17"/>
  <c r="N1" i="17"/>
  <c r="O1" i="17"/>
  <c r="P1" i="17"/>
  <c r="P2" i="17"/>
  <c r="P6" i="17" s="1"/>
  <c r="P3" i="17"/>
  <c r="P4" i="17"/>
  <c r="B1" i="17"/>
  <c r="C2" i="13"/>
  <c r="O2" i="13"/>
  <c r="M3" i="13"/>
  <c r="K4" i="13"/>
  <c r="I5" i="13"/>
  <c r="G6" i="13"/>
  <c r="E7" i="13"/>
  <c r="C8" i="13"/>
  <c r="O8" i="13"/>
  <c r="M9" i="13"/>
  <c r="K10" i="13"/>
  <c r="L4" i="13"/>
  <c r="J5" i="13"/>
  <c r="H6" i="13"/>
  <c r="F7" i="13"/>
  <c r="D8" i="13"/>
  <c r="N9" i="13"/>
  <c r="L10" i="13"/>
  <c r="C3" i="13"/>
  <c r="M4" i="13"/>
  <c r="K5" i="13"/>
  <c r="I6" i="13"/>
  <c r="G7" i="13"/>
  <c r="E8" i="13"/>
  <c r="C9" i="13"/>
  <c r="O9" i="13"/>
  <c r="M10" i="13"/>
  <c r="D10" i="13"/>
  <c r="G3" i="13"/>
  <c r="I8" i="13"/>
  <c r="J2" i="13"/>
  <c r="J8" i="13"/>
  <c r="C6" i="13"/>
  <c r="G10" i="13"/>
  <c r="D2" i="13"/>
  <c r="P2" i="13"/>
  <c r="N3" i="13"/>
  <c r="E2" i="13"/>
  <c r="F2" i="13"/>
  <c r="D3" i="13"/>
  <c r="N4" i="13"/>
  <c r="L5" i="13"/>
  <c r="J6" i="13"/>
  <c r="H7" i="13"/>
  <c r="F8" i="13"/>
  <c r="D9" i="13"/>
  <c r="P9" i="13"/>
  <c r="N10" i="13"/>
  <c r="M5" i="13"/>
  <c r="I7" i="13"/>
  <c r="E9" i="13"/>
  <c r="O10" i="13"/>
  <c r="H2" i="13"/>
  <c r="D4" i="13"/>
  <c r="L6" i="13"/>
  <c r="H8" i="13"/>
  <c r="E4" i="13"/>
  <c r="O5" i="13"/>
  <c r="M6" i="13"/>
  <c r="G9" i="13"/>
  <c r="H3" i="13"/>
  <c r="N6" i="13"/>
  <c r="K2" i="13"/>
  <c r="O6" i="13"/>
  <c r="G2" i="13"/>
  <c r="E3" i="13"/>
  <c r="C4" i="13"/>
  <c r="O4" i="13"/>
  <c r="K6" i="13"/>
  <c r="G8" i="13"/>
  <c r="C10" i="13"/>
  <c r="F3" i="13"/>
  <c r="N5" i="13"/>
  <c r="J7" i="13"/>
  <c r="F9" i="13"/>
  <c r="I2" i="13"/>
  <c r="C5" i="13"/>
  <c r="K7" i="13"/>
  <c r="E10" i="13"/>
  <c r="F4" i="13"/>
  <c r="L7" i="13"/>
  <c r="I3" i="13"/>
  <c r="M7" i="13"/>
  <c r="L2" i="13"/>
  <c r="J3" i="13"/>
  <c r="H4" i="13"/>
  <c r="F5" i="13"/>
  <c r="D6" i="13"/>
  <c r="N7" i="13"/>
  <c r="L8" i="13"/>
  <c r="J9" i="13"/>
  <c r="H10" i="13"/>
  <c r="I10" i="13"/>
  <c r="N2" i="13"/>
  <c r="J4" i="13"/>
  <c r="F6" i="13"/>
  <c r="L9" i="13"/>
  <c r="D5" i="13"/>
  <c r="H9" i="13"/>
  <c r="G4" i="13"/>
  <c r="K8" i="13"/>
  <c r="M2" i="13"/>
  <c r="K3" i="13"/>
  <c r="I4" i="13"/>
  <c r="G5" i="13"/>
  <c r="E6" i="13"/>
  <c r="C7" i="13"/>
  <c r="O7" i="13"/>
  <c r="M8" i="13"/>
  <c r="K9" i="13"/>
  <c r="L3" i="13"/>
  <c r="H5" i="13"/>
  <c r="D7" i="13"/>
  <c r="N8" i="13"/>
  <c r="J10" i="13"/>
  <c r="F10" i="13"/>
  <c r="E5" i="13"/>
  <c r="I9" i="13"/>
  <c r="B10" i="13"/>
  <c r="B9" i="13"/>
  <c r="B8" i="13"/>
  <c r="B7" i="13"/>
  <c r="B6" i="13"/>
  <c r="B5" i="13"/>
  <c r="B4" i="13"/>
  <c r="B3" i="13"/>
  <c r="B2" i="13"/>
  <c r="P7" i="17" l="1"/>
  <c r="N2" i="17"/>
  <c r="D4" i="17"/>
  <c r="M2" i="17"/>
  <c r="O4" i="17"/>
  <c r="C4" i="17"/>
  <c r="E3" i="17"/>
  <c r="K2" i="17"/>
  <c r="F3" i="17"/>
  <c r="L2" i="17"/>
  <c r="N4" i="17"/>
  <c r="D3" i="17"/>
  <c r="M4" i="17"/>
  <c r="L4" i="17"/>
  <c r="K4" i="17"/>
  <c r="J4" i="17"/>
  <c r="G2" i="17"/>
  <c r="K3" i="17"/>
  <c r="O3" i="17"/>
  <c r="N3" i="17"/>
  <c r="M3" i="17"/>
  <c r="H2" i="17"/>
  <c r="L3" i="17"/>
  <c r="I4" i="17"/>
  <c r="F2" i="17"/>
  <c r="H4" i="17"/>
  <c r="J3" i="17"/>
  <c r="C3" i="17"/>
  <c r="J2" i="17"/>
  <c r="I2" i="17"/>
  <c r="E2" i="17"/>
  <c r="G4" i="17"/>
  <c r="I3" i="17"/>
  <c r="D2" i="17"/>
  <c r="F4" i="17"/>
  <c r="H3" i="17"/>
  <c r="O2" i="17"/>
  <c r="C2" i="17"/>
  <c r="E4" i="17"/>
  <c r="G3" i="17"/>
  <c r="B4" i="17"/>
  <c r="B3" i="17"/>
  <c r="B2" i="17"/>
  <c r="K6" i="17" l="1"/>
  <c r="K7" i="17"/>
  <c r="O6" i="17"/>
  <c r="O7" i="17"/>
  <c r="E7" i="17"/>
  <c r="E6" i="17"/>
  <c r="J6" i="17"/>
  <c r="J7" i="17"/>
  <c r="G6" i="17"/>
  <c r="G7" i="17"/>
  <c r="H6" i="17"/>
  <c r="H7" i="17"/>
  <c r="I6" i="17"/>
  <c r="I7" i="17"/>
  <c r="M7" i="17"/>
  <c r="M6" i="17"/>
  <c r="L6" i="17"/>
  <c r="L7" i="17"/>
  <c r="F7" i="17"/>
  <c r="F6" i="17"/>
  <c r="D7" i="17"/>
  <c r="D6" i="17"/>
  <c r="C6" i="17"/>
  <c r="C7" i="17"/>
  <c r="N6" i="17"/>
  <c r="N7" i="17"/>
  <c r="B6" i="17"/>
  <c r="B7" i="17"/>
  <c r="R6" i="17" l="1"/>
  <c r="B13" i="17" s="1"/>
  <c r="R7" i="17"/>
  <c r="T6" i="17" l="1"/>
  <c r="V6" i="17" s="1" a="1"/>
  <c r="V6" i="17" s="1"/>
  <c r="S6" i="17"/>
  <c r="S7" i="17"/>
  <c r="T7" i="17"/>
  <c r="V7" i="17" a="1"/>
  <c r="W6" i="17" l="1"/>
  <c r="X6" i="17"/>
  <c r="G9" i="17" s="1"/>
  <c r="B9" i="17"/>
  <c r="W7" i="17"/>
  <c r="C9" i="17"/>
  <c r="O9" i="17"/>
  <c r="D9" i="17"/>
  <c r="P9" i="17"/>
  <c r="E9" i="17"/>
  <c r="F9" i="17"/>
  <c r="K9" i="17"/>
  <c r="N9" i="17"/>
  <c r="I9" i="17"/>
  <c r="J9" i="17"/>
  <c r="X7" i="17"/>
  <c r="C13" i="17"/>
  <c r="V7" i="17"/>
  <c r="B10" i="17"/>
  <c r="M9" i="17" l="1"/>
  <c r="L9" i="17"/>
  <c r="H9" i="17"/>
  <c r="M10" i="17"/>
  <c r="N10" i="17"/>
  <c r="C10" i="17"/>
  <c r="L10" i="17"/>
  <c r="O10" i="17"/>
  <c r="D10" i="17"/>
  <c r="P10" i="17"/>
  <c r="E10" i="17"/>
  <c r="I10" i="17"/>
  <c r="J10" i="17"/>
  <c r="K10" i="17"/>
  <c r="F10" i="17"/>
  <c r="G10" i="17"/>
  <c r="H10" i="17"/>
  <c r="B14" i="17"/>
  <c r="C14" i="17" s="1"/>
</calcChain>
</file>

<file path=xl/sharedStrings.xml><?xml version="1.0" encoding="utf-8"?>
<sst xmlns="http://schemas.openxmlformats.org/spreadsheetml/2006/main" count="709" uniqueCount="150">
  <si>
    <t xml:space="preserve"> </t>
  </si>
  <si>
    <t>060925-GlaznerHD01-78-c4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</si>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</sst>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Phase_Data!$B$2:$P$2</c:f>
              <c:numCache>
                <c:formatCode>General</c:formatCode>
                <c:ptCount val="15"/>
                <c:pt idx="0">
                  <c:v>760</c:v>
                </c:pt>
                <c:pt idx="1">
                  <c:v>760</c:v>
                </c:pt>
                <c:pt idx="2">
                  <c:v>760</c:v>
                </c:pt>
                <c:pt idx="3">
                  <c:v>760</c:v>
                </c:pt>
                <c:pt idx="4">
                  <c:v>760</c:v>
                </c:pt>
                <c:pt idx="5">
                  <c:v>760</c:v>
                </c:pt>
                <c:pt idx="6">
                  <c:v>760</c:v>
                </c:pt>
                <c:pt idx="7">
                  <c:v>762</c:v>
                </c:pt>
                <c:pt idx="8">
                  <c:v>764</c:v>
                </c:pt>
                <c:pt idx="9">
                  <c:v>770</c:v>
                </c:pt>
                <c:pt idx="10">
                  <c:v>776</c:v>
                </c:pt>
                <c:pt idx="11">
                  <c:v>784</c:v>
                </c:pt>
                <c:pt idx="12">
                  <c:v>792</c:v>
                </c:pt>
                <c:pt idx="13">
                  <c:v>802</c:v>
                </c:pt>
                <c:pt idx="14">
                  <c:v>814</c:v>
                </c:pt>
              </c:numCache>
            </c:numRef>
          </c:xVal>
          <c:yVal>
            <c:numRef>
              <c:f>Phase_Data!$B$1:$P$1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8B-4B99-A9E2-A4CAE33CEC6B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Phase_Data!$B$3:$P$3</c:f>
              <c:numCache>
                <c:formatCode>General</c:formatCode>
                <c:ptCount val="15"/>
                <c:pt idx="0">
                  <c:v>732</c:v>
                </c:pt>
                <c:pt idx="1">
                  <c:v>734</c:v>
                </c:pt>
                <c:pt idx="2">
                  <c:v>736</c:v>
                </c:pt>
                <c:pt idx="3">
                  <c:v>738</c:v>
                </c:pt>
                <c:pt idx="4">
                  <c:v>740</c:v>
                </c:pt>
                <c:pt idx="5">
                  <c:v>742</c:v>
                </c:pt>
                <c:pt idx="6">
                  <c:v>744</c:v>
                </c:pt>
                <c:pt idx="7">
                  <c:v>746</c:v>
                </c:pt>
                <c:pt idx="8">
                  <c:v>748</c:v>
                </c:pt>
                <c:pt idx="9">
                  <c:v>750</c:v>
                </c:pt>
                <c:pt idx="10">
                  <c:v>752</c:v>
                </c:pt>
                <c:pt idx="11">
                  <c:v>754</c:v>
                </c:pt>
                <c:pt idx="12">
                  <c:v>756</c:v>
                </c:pt>
              </c:numCache>
            </c:numRef>
          </c:xVal>
          <c:yVal>
            <c:numRef>
              <c:f>Phase_Data!$B$1:$P$1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8B-4B99-A9E2-A4CAE33CEC6B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Phase_Data!$B$4:$P$4</c:f>
              <c:numCache>
                <c:formatCode>General</c:formatCode>
                <c:ptCount val="15"/>
                <c:pt idx="0">
                  <c:v>734</c:v>
                </c:pt>
                <c:pt idx="1">
                  <c:v>736</c:v>
                </c:pt>
                <c:pt idx="2">
                  <c:v>738</c:v>
                </c:pt>
                <c:pt idx="3">
                  <c:v>740</c:v>
                </c:pt>
                <c:pt idx="4">
                  <c:v>744</c:v>
                </c:pt>
                <c:pt idx="5">
                  <c:v>746</c:v>
                </c:pt>
                <c:pt idx="6">
                  <c:v>748</c:v>
                </c:pt>
                <c:pt idx="7">
                  <c:v>752</c:v>
                </c:pt>
                <c:pt idx="8">
                  <c:v>754</c:v>
                </c:pt>
                <c:pt idx="9">
                  <c:v>758</c:v>
                </c:pt>
                <c:pt idx="10">
                  <c:v>762</c:v>
                </c:pt>
                <c:pt idx="11">
                  <c:v>766</c:v>
                </c:pt>
                <c:pt idx="12">
                  <c:v>772</c:v>
                </c:pt>
                <c:pt idx="13">
                  <c:v>780</c:v>
                </c:pt>
              </c:numCache>
            </c:numRef>
          </c:xVal>
          <c:yVal>
            <c:numRef>
              <c:f>Phase_Data!$B$1:$P$1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8B-4B99-A9E2-A4CAE33CEC6B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Phase_Data!$B$5:$P$5</c:f>
              <c:numCache>
                <c:formatCode>General</c:formatCode>
                <c:ptCount val="15"/>
                <c:pt idx="0">
                  <c:v>734</c:v>
                </c:pt>
                <c:pt idx="1">
                  <c:v>736</c:v>
                </c:pt>
                <c:pt idx="2">
                  <c:v>738</c:v>
                </c:pt>
                <c:pt idx="3">
                  <c:v>740</c:v>
                </c:pt>
                <c:pt idx="4">
                  <c:v>744</c:v>
                </c:pt>
                <c:pt idx="5">
                  <c:v>746</c:v>
                </c:pt>
                <c:pt idx="6">
                  <c:v>748</c:v>
                </c:pt>
                <c:pt idx="7">
                  <c:v>752</c:v>
                </c:pt>
                <c:pt idx="8">
                  <c:v>754</c:v>
                </c:pt>
                <c:pt idx="9">
                  <c:v>758</c:v>
                </c:pt>
                <c:pt idx="10">
                  <c:v>762</c:v>
                </c:pt>
                <c:pt idx="11">
                  <c:v>766</c:v>
                </c:pt>
                <c:pt idx="12">
                  <c:v>772</c:v>
                </c:pt>
                <c:pt idx="13">
                  <c:v>778</c:v>
                </c:pt>
              </c:numCache>
            </c:numRef>
          </c:xVal>
          <c:yVal>
            <c:numRef>
              <c:f>Phase_Data!$B$1:$P$1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8B-4B99-A9E2-A4CAE33CEC6B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Phase_Data!$B$6:$P$6</c:f>
              <c:numCache>
                <c:formatCode>General</c:formatCode>
                <c:ptCount val="15"/>
                <c:pt idx="0">
                  <c:v>736</c:v>
                </c:pt>
                <c:pt idx="1">
                  <c:v>736</c:v>
                </c:pt>
                <c:pt idx="2">
                  <c:v>738</c:v>
                </c:pt>
                <c:pt idx="3">
                  <c:v>744</c:v>
                </c:pt>
                <c:pt idx="4">
                  <c:v>746</c:v>
                </c:pt>
                <c:pt idx="5">
                  <c:v>750</c:v>
                </c:pt>
                <c:pt idx="6">
                  <c:v>754</c:v>
                </c:pt>
                <c:pt idx="7">
                  <c:v>758</c:v>
                </c:pt>
                <c:pt idx="8">
                  <c:v>762</c:v>
                </c:pt>
                <c:pt idx="9">
                  <c:v>768</c:v>
                </c:pt>
                <c:pt idx="10">
                  <c:v>774</c:v>
                </c:pt>
                <c:pt idx="11">
                  <c:v>782</c:v>
                </c:pt>
                <c:pt idx="12">
                  <c:v>790</c:v>
                </c:pt>
                <c:pt idx="13">
                  <c:v>800</c:v>
                </c:pt>
              </c:numCache>
            </c:numRef>
          </c:xVal>
          <c:yVal>
            <c:numRef>
              <c:f>Phase_Data!$B$1:$P$1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8B-4B99-A9E2-A4CAE33CEC6B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Phase_Data!$B$7:$P$7</c:f>
              <c:numCache>
                <c:formatCode>General</c:formatCode>
                <c:ptCount val="15"/>
                <c:pt idx="0">
                  <c:v>734</c:v>
                </c:pt>
                <c:pt idx="1">
                  <c:v>736</c:v>
                </c:pt>
                <c:pt idx="2">
                  <c:v>738</c:v>
                </c:pt>
                <c:pt idx="3">
                  <c:v>742</c:v>
                </c:pt>
                <c:pt idx="4">
                  <c:v>744</c:v>
                </c:pt>
                <c:pt idx="5">
                  <c:v>746</c:v>
                </c:pt>
                <c:pt idx="6">
                  <c:v>748</c:v>
                </c:pt>
                <c:pt idx="7">
                  <c:v>752</c:v>
                </c:pt>
                <c:pt idx="8">
                  <c:v>754</c:v>
                </c:pt>
                <c:pt idx="9">
                  <c:v>758</c:v>
                </c:pt>
                <c:pt idx="10">
                  <c:v>762</c:v>
                </c:pt>
                <c:pt idx="11">
                  <c:v>768</c:v>
                </c:pt>
                <c:pt idx="12">
                  <c:v>772</c:v>
                </c:pt>
                <c:pt idx="13">
                  <c:v>780</c:v>
                </c:pt>
              </c:numCache>
            </c:numRef>
          </c:xVal>
          <c:yVal>
            <c:numRef>
              <c:f>Phase_Data!$B$1:$P$1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28B-4B99-A9E2-A4CAE33CEC6B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Phase_Data!$B$8:$P$8</c:f>
              <c:numCache>
                <c:formatCode>General</c:formatCode>
                <c:ptCount val="15"/>
                <c:pt idx="0">
                  <c:v>758</c:v>
                </c:pt>
                <c:pt idx="1">
                  <c:v>758</c:v>
                </c:pt>
                <c:pt idx="2">
                  <c:v>758</c:v>
                </c:pt>
                <c:pt idx="3">
                  <c:v>758</c:v>
                </c:pt>
                <c:pt idx="4">
                  <c:v>758</c:v>
                </c:pt>
                <c:pt idx="5">
                  <c:v>758</c:v>
                </c:pt>
                <c:pt idx="6">
                  <c:v>758</c:v>
                </c:pt>
                <c:pt idx="7">
                  <c:v>758</c:v>
                </c:pt>
                <c:pt idx="8">
                  <c:v>760</c:v>
                </c:pt>
                <c:pt idx="9">
                  <c:v>764</c:v>
                </c:pt>
                <c:pt idx="10">
                  <c:v>768</c:v>
                </c:pt>
                <c:pt idx="11">
                  <c:v>774</c:v>
                </c:pt>
                <c:pt idx="12">
                  <c:v>780</c:v>
                </c:pt>
                <c:pt idx="13">
                  <c:v>788</c:v>
                </c:pt>
              </c:numCache>
            </c:numRef>
          </c:xVal>
          <c:yVal>
            <c:numRef>
              <c:f>Phase_Data!$B$1:$P$1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28B-4B99-A9E2-A4CAE33CEC6B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Phase_Data!$B$9:$P$9</c:f>
              <c:numCache>
                <c:formatCode>General</c:formatCode>
                <c:ptCount val="15"/>
                <c:pt idx="0">
                  <c:v>760</c:v>
                </c:pt>
                <c:pt idx="1">
                  <c:v>760</c:v>
                </c:pt>
                <c:pt idx="2">
                  <c:v>760</c:v>
                </c:pt>
                <c:pt idx="3">
                  <c:v>760</c:v>
                </c:pt>
                <c:pt idx="4">
                  <c:v>760</c:v>
                </c:pt>
                <c:pt idx="5">
                  <c:v>760</c:v>
                </c:pt>
                <c:pt idx="6">
                  <c:v>760</c:v>
                </c:pt>
                <c:pt idx="7">
                  <c:v>762</c:v>
                </c:pt>
                <c:pt idx="8">
                  <c:v>764</c:v>
                </c:pt>
                <c:pt idx="9">
                  <c:v>770</c:v>
                </c:pt>
                <c:pt idx="10">
                  <c:v>776</c:v>
                </c:pt>
                <c:pt idx="11">
                  <c:v>784</c:v>
                </c:pt>
                <c:pt idx="12">
                  <c:v>792</c:v>
                </c:pt>
                <c:pt idx="13">
                  <c:v>802</c:v>
                </c:pt>
                <c:pt idx="14">
                  <c:v>814</c:v>
                </c:pt>
              </c:numCache>
            </c:numRef>
          </c:xVal>
          <c:yVal>
            <c:numRef>
              <c:f>Phase_Data!$B$1:$P$1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28B-4B99-A9E2-A4CAE33CE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87775"/>
        <c:axId val="78231727"/>
      </c:scatterChart>
      <c:valAx>
        <c:axId val="792877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78231727"/>
        <c:crosses val="autoZero"/>
        <c:crossBetween val="midCat"/>
      </c:valAx>
      <c:valAx>
        <c:axId val="78231727"/>
        <c:scaling>
          <c:orientation val="minMax"/>
          <c:max val="300"/>
          <c:min val="9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79287775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xVal>
          <c:yVal>
            <c:numRef>
              <c:f>P_Calc!$B$2:$P$2</c:f>
              <c:numCache>
                <c:formatCode>General</c:formatCode>
                <c:ptCount val="15"/>
                <c:pt idx="0">
                  <c:v>758</c:v>
                </c:pt>
                <c:pt idx="1">
                  <c:v>758</c:v>
                </c:pt>
                <c:pt idx="2">
                  <c:v>758</c:v>
                </c:pt>
                <c:pt idx="3">
                  <c:v>758</c:v>
                </c:pt>
                <c:pt idx="4">
                  <c:v>758</c:v>
                </c:pt>
                <c:pt idx="5">
                  <c:v>758</c:v>
                </c:pt>
                <c:pt idx="6">
                  <c:v>758</c:v>
                </c:pt>
                <c:pt idx="7">
                  <c:v>758</c:v>
                </c:pt>
                <c:pt idx="8">
                  <c:v>760</c:v>
                </c:pt>
                <c:pt idx="9">
                  <c:v>764</c:v>
                </c:pt>
                <c:pt idx="10">
                  <c:v>768</c:v>
                </c:pt>
                <c:pt idx="11">
                  <c:v>774</c:v>
                </c:pt>
                <c:pt idx="12">
                  <c:v>780</c:v>
                </c:pt>
                <c:pt idx="13">
                  <c:v>788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1B-4D52-AA44-6FEB43D21AD1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xVal>
          <c:yVal>
            <c:numRef>
              <c:f>P_Calc!$B$3:$P$3</c:f>
              <c:numCache>
                <c:formatCode>General</c:formatCode>
                <c:ptCount val="15"/>
                <c:pt idx="0">
                  <c:v>736</c:v>
                </c:pt>
                <c:pt idx="1">
                  <c:v>736</c:v>
                </c:pt>
                <c:pt idx="2">
                  <c:v>738</c:v>
                </c:pt>
                <c:pt idx="3">
                  <c:v>744</c:v>
                </c:pt>
                <c:pt idx="4">
                  <c:v>746</c:v>
                </c:pt>
                <c:pt idx="5">
                  <c:v>750</c:v>
                </c:pt>
                <c:pt idx="6">
                  <c:v>754</c:v>
                </c:pt>
                <c:pt idx="7">
                  <c:v>758</c:v>
                </c:pt>
                <c:pt idx="8">
                  <c:v>762</c:v>
                </c:pt>
                <c:pt idx="9">
                  <c:v>768</c:v>
                </c:pt>
                <c:pt idx="10">
                  <c:v>774</c:v>
                </c:pt>
                <c:pt idx="11">
                  <c:v>782</c:v>
                </c:pt>
                <c:pt idx="12">
                  <c:v>790</c:v>
                </c:pt>
                <c:pt idx="13">
                  <c:v>800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1B-4D52-AA44-6FEB43D21AD1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xVal>
          <c:yVal>
            <c:numRef>
              <c:f>P_Calc!$B$4:$P$4</c:f>
              <c:numCache>
                <c:formatCode>General</c:formatCode>
                <c:ptCount val="15"/>
                <c:pt idx="0">
                  <c:v>734</c:v>
                </c:pt>
                <c:pt idx="1">
                  <c:v>736</c:v>
                </c:pt>
                <c:pt idx="2">
                  <c:v>738</c:v>
                </c:pt>
                <c:pt idx="3">
                  <c:v>742</c:v>
                </c:pt>
                <c:pt idx="4">
                  <c:v>744</c:v>
                </c:pt>
                <c:pt idx="5">
                  <c:v>746</c:v>
                </c:pt>
                <c:pt idx="6">
                  <c:v>748</c:v>
                </c:pt>
                <c:pt idx="7">
                  <c:v>752</c:v>
                </c:pt>
                <c:pt idx="8">
                  <c:v>754</c:v>
                </c:pt>
                <c:pt idx="9">
                  <c:v>758</c:v>
                </c:pt>
                <c:pt idx="10">
                  <c:v>762</c:v>
                </c:pt>
                <c:pt idx="11">
                  <c:v>768</c:v>
                </c:pt>
                <c:pt idx="12">
                  <c:v>772</c:v>
                </c:pt>
                <c:pt idx="13">
                  <c:v>780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1B-4D52-AA44-6FEB43D21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6780271"/>
        <c:axId val="616777391"/>
      </c:scatterChart>
      <c:valAx>
        <c:axId val="61678027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16777391"/>
        <c:crosses val="autoZero"/>
        <c:crossBetween val="midCat"/>
      </c:valAx>
      <c:valAx>
        <c:axId val="616777391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16780271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xVal>
          <c:yVal>
            <c:numRef>
              <c:f>P_Calc!$B$2:$P$2</c:f>
              <c:numCache>
                <c:formatCode>General</c:formatCode>
                <c:ptCount val="15"/>
                <c:pt idx="0">
                  <c:v>758</c:v>
                </c:pt>
                <c:pt idx="1">
                  <c:v>758</c:v>
                </c:pt>
                <c:pt idx="2">
                  <c:v>758</c:v>
                </c:pt>
                <c:pt idx="3">
                  <c:v>758</c:v>
                </c:pt>
                <c:pt idx="4">
                  <c:v>758</c:v>
                </c:pt>
                <c:pt idx="5">
                  <c:v>758</c:v>
                </c:pt>
                <c:pt idx="6">
                  <c:v>758</c:v>
                </c:pt>
                <c:pt idx="7">
                  <c:v>758</c:v>
                </c:pt>
                <c:pt idx="8">
                  <c:v>760</c:v>
                </c:pt>
                <c:pt idx="9">
                  <c:v>764</c:v>
                </c:pt>
                <c:pt idx="10">
                  <c:v>768</c:v>
                </c:pt>
                <c:pt idx="11">
                  <c:v>774</c:v>
                </c:pt>
                <c:pt idx="12">
                  <c:v>780</c:v>
                </c:pt>
                <c:pt idx="13">
                  <c:v>788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8-4C36-8FB7-2927206AE20A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xVal>
          <c:yVal>
            <c:numRef>
              <c:f>P_Calc!$B$3:$P$3</c:f>
              <c:numCache>
                <c:formatCode>General</c:formatCode>
                <c:ptCount val="15"/>
                <c:pt idx="0">
                  <c:v>736</c:v>
                </c:pt>
                <c:pt idx="1">
                  <c:v>736</c:v>
                </c:pt>
                <c:pt idx="2">
                  <c:v>738</c:v>
                </c:pt>
                <c:pt idx="3">
                  <c:v>744</c:v>
                </c:pt>
                <c:pt idx="4">
                  <c:v>746</c:v>
                </c:pt>
                <c:pt idx="5">
                  <c:v>750</c:v>
                </c:pt>
                <c:pt idx="6">
                  <c:v>754</c:v>
                </c:pt>
                <c:pt idx="7">
                  <c:v>758</c:v>
                </c:pt>
                <c:pt idx="8">
                  <c:v>762</c:v>
                </c:pt>
                <c:pt idx="9">
                  <c:v>768</c:v>
                </c:pt>
                <c:pt idx="10">
                  <c:v>774</c:v>
                </c:pt>
                <c:pt idx="11">
                  <c:v>782</c:v>
                </c:pt>
                <c:pt idx="12">
                  <c:v>790</c:v>
                </c:pt>
                <c:pt idx="13">
                  <c:v>800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F8-4C36-8FB7-2927206AE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6778831"/>
        <c:axId val="616782671"/>
      </c:scatterChart>
      <c:valAx>
        <c:axId val="616778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16782671"/>
        <c:crosses val="autoZero"/>
        <c:crossBetween val="midCat"/>
      </c:valAx>
      <c:valAx>
        <c:axId val="616782671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16778831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xVal>
          <c:yVal>
            <c:numRef>
              <c:f>P_Calc!$B$6:$P$6</c:f>
              <c:numCache>
                <c:formatCode>General</c:formatCode>
                <c:ptCount val="15"/>
                <c:pt idx="0">
                  <c:v>24</c:v>
                </c:pt>
                <c:pt idx="1">
                  <c:v>22</c:v>
                </c:pt>
                <c:pt idx="2">
                  <c:v>20</c:v>
                </c:pt>
                <c:pt idx="3">
                  <c:v>16</c:v>
                </c:pt>
                <c:pt idx="4">
                  <c:v>14</c:v>
                </c:pt>
                <c:pt idx="5">
                  <c:v>12</c:v>
                </c:pt>
                <c:pt idx="6">
                  <c:v>10</c:v>
                </c:pt>
                <c:pt idx="7">
                  <c:v>6</c:v>
                </c:pt>
                <c:pt idx="8">
                  <c:v>8</c:v>
                </c:pt>
                <c:pt idx="9">
                  <c:v>10</c:v>
                </c:pt>
                <c:pt idx="10">
                  <c:v>12</c:v>
                </c:pt>
                <c:pt idx="11">
                  <c:v>14</c:v>
                </c:pt>
                <c:pt idx="12">
                  <c:v>18</c:v>
                </c:pt>
                <c:pt idx="13">
                  <c:v>20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10-4665-872E-FEBDA2756AA4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xVal>
          <c:yVal>
            <c:numRef>
              <c:f>P_Calc!$B$9:$P$9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10-4665-872E-FEBDA2756AA4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10-4665-872E-FEBDA2756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345999"/>
        <c:axId val="791340719"/>
      </c:scatterChart>
      <c:valAx>
        <c:axId val="79134599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791340719"/>
        <c:crosses val="autoZero"/>
        <c:crossBetween val="midCat"/>
      </c:valAx>
      <c:valAx>
        <c:axId val="791340719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791345999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xVal>
          <c:yVal>
            <c:numRef>
              <c:f>P_Calc!$B$7:$P$7</c:f>
              <c:numCache>
                <c:formatCode>General</c:formatCode>
                <c:ptCount val="15"/>
                <c:pt idx="0">
                  <c:v>22</c:v>
                </c:pt>
                <c:pt idx="1">
                  <c:v>22</c:v>
                </c:pt>
                <c:pt idx="2">
                  <c:v>20</c:v>
                </c:pt>
                <c:pt idx="3">
                  <c:v>14</c:v>
                </c:pt>
                <c:pt idx="4">
                  <c:v>12</c:v>
                </c:pt>
                <c:pt idx="5">
                  <c:v>8</c:v>
                </c:pt>
                <c:pt idx="6">
                  <c:v>4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6</c:v>
                </c:pt>
                <c:pt idx="11">
                  <c:v>8</c:v>
                </c:pt>
                <c:pt idx="12">
                  <c:v>10</c:v>
                </c:pt>
                <c:pt idx="13">
                  <c:v>12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9C-402E-B60E-281BED34E142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xVal>
          <c:yVal>
            <c:numRef>
              <c:f>P_Calc!$B$10:$P$10</c:f>
              <c:numCache>
                <c:formatCode>General</c:formatCode>
                <c:ptCount val="15"/>
                <c:pt idx="0">
                  <c:v>71.028571428693567</c:v>
                </c:pt>
                <c:pt idx="1">
                  <c:v>53.314285714367031</c:v>
                </c:pt>
                <c:pt idx="2">
                  <c:v>38.171428571475587</c:v>
                </c:pt>
                <c:pt idx="3">
                  <c:v>25.600000000019293</c:v>
                </c:pt>
                <c:pt idx="4">
                  <c:v>15.599999999998317</c:v>
                </c:pt>
                <c:pt idx="5">
                  <c:v>8.1714285714124912</c:v>
                </c:pt>
                <c:pt idx="6">
                  <c:v>3.3142857142618425</c:v>
                </c:pt>
                <c:pt idx="7">
                  <c:v>1.028571428546428</c:v>
                </c:pt>
                <c:pt idx="8">
                  <c:v>1.314285714266191</c:v>
                </c:pt>
                <c:pt idx="9">
                  <c:v>4.1714285714211314</c:v>
                </c:pt>
                <c:pt idx="10">
                  <c:v>9.6000000000112777</c:v>
                </c:pt>
                <c:pt idx="11">
                  <c:v>17.60000000003663</c:v>
                </c:pt>
                <c:pt idx="12">
                  <c:v>28.171428571497188</c:v>
                </c:pt>
                <c:pt idx="13">
                  <c:v>41.314285714392923</c:v>
                </c:pt>
                <c:pt idx="14">
                  <c:v>57.028571428723865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9C-402E-B60E-281BED34E142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189.16666666669431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0.83412698410330677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9C-402E-B60E-281BED34E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340239"/>
        <c:axId val="79287775"/>
      </c:scatterChart>
      <c:valAx>
        <c:axId val="79134023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79287775"/>
        <c:crosses val="autoZero"/>
        <c:crossBetween val="midCat"/>
      </c:valAx>
      <c:valAx>
        <c:axId val="79287775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791340239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C5DF8C-0108-4832-8C1F-D14ECDBB2650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8734B2-3562-BB2D-96A6-15E0E435127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1E8A082-C730-E452-C585-6CFC3832CF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2FDCB3F-397C-E212-8A2E-C906EEE6A2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5699F3B-C5A3-5507-1AAB-47316C5BE4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ED45D2B-AE4F-6CFB-B7FE-DE93D706AF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0CCA6-E0AB-4523-A049-05549E98E38B}">
  <dimension ref="A1:X14"/>
  <sheetViews>
    <sheetView tabSelected="1" workbookViewId="0"/>
  </sheetViews>
  <sheetFormatPr defaultRowHeight="15" x14ac:dyDescent="0.2"/>
  <sheetData>
    <row r="1" spans="1:24" x14ac:dyDescent="0.2">
      <c r="A1" t="s">
        <v>135</v>
      </c>
      <c r="B1">
        <f>Phase_Data!B1</f>
        <v>300</v>
      </c>
      <c r="C1">
        <f>Phase_Data!C1</f>
        <v>285</v>
      </c>
      <c r="D1">
        <f>Phase_Data!D1</f>
        <v>270</v>
      </c>
      <c r="E1">
        <f>Phase_Data!E1</f>
        <v>255</v>
      </c>
      <c r="F1">
        <f>Phase_Data!F1</f>
        <v>240</v>
      </c>
      <c r="G1">
        <f>Phase_Data!G1</f>
        <v>225</v>
      </c>
      <c r="H1">
        <f>Phase_Data!H1</f>
        <v>210</v>
      </c>
      <c r="I1">
        <f>Phase_Data!I1</f>
        <v>195</v>
      </c>
      <c r="J1">
        <f>Phase_Data!J1</f>
        <v>180</v>
      </c>
      <c r="K1">
        <f>Phase_Data!K1</f>
        <v>165</v>
      </c>
      <c r="L1">
        <f>Phase_Data!L1</f>
        <v>150</v>
      </c>
      <c r="M1">
        <f>Phase_Data!M1</f>
        <v>135</v>
      </c>
      <c r="N1">
        <f>Phase_Data!N1</f>
        <v>120</v>
      </c>
      <c r="O1">
        <f>Phase_Data!O1</f>
        <v>105</v>
      </c>
      <c r="P1">
        <f>Phase_Data!P1</f>
        <v>90</v>
      </c>
      <c r="R1" t="s">
        <v>142</v>
      </c>
      <c r="S1" t="s">
        <v>143</v>
      </c>
      <c r="T1" t="s">
        <v>144</v>
      </c>
      <c r="V1" t="s">
        <v>145</v>
      </c>
      <c r="W1" t="s">
        <v>146</v>
      </c>
      <c r="X1" t="s">
        <v>147</v>
      </c>
    </row>
    <row r="2" spans="1:24" x14ac:dyDescent="0.2">
      <c r="A2" t="s">
        <v>96</v>
      </c>
      <c r="B2">
        <f ca="1">IFERROR(VLOOKUP($A2,Phase_Data!$1:$1048576,COLUMN(),0),"-")</f>
        <v>758</v>
      </c>
      <c r="C2">
        <f ca="1">IFERROR(VLOOKUP($A2,Phase_Data!$1:$1048576,COLUMN(),0),"-")</f>
        <v>758</v>
      </c>
      <c r="D2">
        <f ca="1">IFERROR(VLOOKUP($A2,Phase_Data!$1:$1048576,COLUMN(),0),"-")</f>
        <v>758</v>
      </c>
      <c r="E2">
        <f ca="1">IFERROR(VLOOKUP($A2,Phase_Data!$1:$1048576,COLUMN(),0),"-")</f>
        <v>758</v>
      </c>
      <c r="F2">
        <f ca="1">IFERROR(VLOOKUP($A2,Phase_Data!$1:$1048576,COLUMN(),0),"-")</f>
        <v>758</v>
      </c>
      <c r="G2">
        <f ca="1">IFERROR(VLOOKUP($A2,Phase_Data!$1:$1048576,COLUMN(),0),"-")</f>
        <v>758</v>
      </c>
      <c r="H2">
        <f ca="1">IFERROR(VLOOKUP($A2,Phase_Data!$1:$1048576,COLUMN(),0),"-")</f>
        <v>758</v>
      </c>
      <c r="I2">
        <f ca="1">IFERROR(VLOOKUP($A2,Phase_Data!$1:$1048576,COLUMN(),0),"-")</f>
        <v>758</v>
      </c>
      <c r="J2">
        <f ca="1">IFERROR(VLOOKUP($A2,Phase_Data!$1:$1048576,COLUMN(),0),"-")</f>
        <v>760</v>
      </c>
      <c r="K2">
        <f ca="1">IFERROR(VLOOKUP($A2,Phase_Data!$1:$1048576,COLUMN(),0),"-")</f>
        <v>764</v>
      </c>
      <c r="L2">
        <f ca="1">IFERROR(VLOOKUP($A2,Phase_Data!$1:$1048576,COLUMN(),0),"-")</f>
        <v>768</v>
      </c>
      <c r="M2">
        <f ca="1">IFERROR(VLOOKUP($A2,Phase_Data!$1:$1048576,COLUMN(),0),"-")</f>
        <v>774</v>
      </c>
      <c r="N2">
        <f ca="1">IFERROR(VLOOKUP($A2,Phase_Data!$1:$1048576,COLUMN(),0),"-")</f>
        <v>780</v>
      </c>
      <c r="O2">
        <f ca="1">IFERROR(VLOOKUP($A2,Phase_Data!$1:$1048576,COLUMN(),0),"-")</f>
        <v>788</v>
      </c>
      <c r="P2">
        <f>IFERROR(VLOOKUP($A2,Phase_Data!$1:$1048576,COLUMN(),0),"-")</f>
        <v>0</v>
      </c>
    </row>
    <row r="3" spans="1:24" x14ac:dyDescent="0.2">
      <c r="A3" t="s">
        <v>133</v>
      </c>
      <c r="B3">
        <f ca="1">IFERROR(VLOOKUP($A3,Phase_Data!$1:$1048576,COLUMN(),0),"-")</f>
        <v>736</v>
      </c>
      <c r="C3">
        <f ca="1">IFERROR(VLOOKUP($A3,Phase_Data!$1:$1048576,COLUMN(),0),"-")</f>
        <v>736</v>
      </c>
      <c r="D3">
        <f ca="1">IFERROR(VLOOKUP($A3,Phase_Data!$1:$1048576,COLUMN(),0),"-")</f>
        <v>738</v>
      </c>
      <c r="E3">
        <f ca="1">IFERROR(VLOOKUP($A3,Phase_Data!$1:$1048576,COLUMN(),0),"-")</f>
        <v>744</v>
      </c>
      <c r="F3">
        <f ca="1">IFERROR(VLOOKUP($A3,Phase_Data!$1:$1048576,COLUMN(),0),"-")</f>
        <v>746</v>
      </c>
      <c r="G3">
        <f ca="1">IFERROR(VLOOKUP($A3,Phase_Data!$1:$1048576,COLUMN(),0),"-")</f>
        <v>750</v>
      </c>
      <c r="H3">
        <f ca="1">IFERROR(VLOOKUP($A3,Phase_Data!$1:$1048576,COLUMN(),0),"-")</f>
        <v>754</v>
      </c>
      <c r="I3">
        <f ca="1">IFERROR(VLOOKUP($A3,Phase_Data!$1:$1048576,COLUMN(),0),"-")</f>
        <v>758</v>
      </c>
      <c r="J3">
        <f ca="1">IFERROR(VLOOKUP($A3,Phase_Data!$1:$1048576,COLUMN(),0),"-")</f>
        <v>762</v>
      </c>
      <c r="K3">
        <f ca="1">IFERROR(VLOOKUP($A3,Phase_Data!$1:$1048576,COLUMN(),0),"-")</f>
        <v>768</v>
      </c>
      <c r="L3">
        <f ca="1">IFERROR(VLOOKUP($A3,Phase_Data!$1:$1048576,COLUMN(),0),"-")</f>
        <v>774</v>
      </c>
      <c r="M3">
        <f ca="1">IFERROR(VLOOKUP($A3,Phase_Data!$1:$1048576,COLUMN(),0),"-")</f>
        <v>782</v>
      </c>
      <c r="N3">
        <f ca="1">IFERROR(VLOOKUP($A3,Phase_Data!$1:$1048576,COLUMN(),0),"-")</f>
        <v>790</v>
      </c>
      <c r="O3">
        <f ca="1">IFERROR(VLOOKUP($A3,Phase_Data!$1:$1048576,COLUMN(),0),"-")</f>
        <v>800</v>
      </c>
      <c r="P3">
        <f>IFERROR(VLOOKUP($A3,Phase_Data!$1:$1048576,COLUMN(),0),"-")</f>
        <v>0</v>
      </c>
    </row>
    <row r="4" spans="1:24" x14ac:dyDescent="0.2">
      <c r="A4" t="s">
        <v>134</v>
      </c>
      <c r="B4">
        <f ca="1">IFERROR(VLOOKUP($A4,Phase_Data!$1:$1048576,COLUMN(),0),"-")</f>
        <v>734</v>
      </c>
      <c r="C4">
        <f ca="1">IFERROR(VLOOKUP($A4,Phase_Data!$1:$1048576,COLUMN(),0),"-")</f>
        <v>736</v>
      </c>
      <c r="D4">
        <f ca="1">IFERROR(VLOOKUP($A4,Phase_Data!$1:$1048576,COLUMN(),0),"-")</f>
        <v>738</v>
      </c>
      <c r="E4">
        <f ca="1">IFERROR(VLOOKUP($A4,Phase_Data!$1:$1048576,COLUMN(),0),"-")</f>
        <v>742</v>
      </c>
      <c r="F4">
        <f ca="1">IFERROR(VLOOKUP($A4,Phase_Data!$1:$1048576,COLUMN(),0),"-")</f>
        <v>744</v>
      </c>
      <c r="G4">
        <f ca="1">IFERROR(VLOOKUP($A4,Phase_Data!$1:$1048576,COLUMN(),0),"-")</f>
        <v>746</v>
      </c>
      <c r="H4">
        <f ca="1">IFERROR(VLOOKUP($A4,Phase_Data!$1:$1048576,COLUMN(),0),"-")</f>
        <v>748</v>
      </c>
      <c r="I4">
        <f ca="1">IFERROR(VLOOKUP($A4,Phase_Data!$1:$1048576,COLUMN(),0),"-")</f>
        <v>752</v>
      </c>
      <c r="J4">
        <f ca="1">IFERROR(VLOOKUP($A4,Phase_Data!$1:$1048576,COLUMN(),0),"-")</f>
        <v>754</v>
      </c>
      <c r="K4">
        <f ca="1">IFERROR(VLOOKUP($A4,Phase_Data!$1:$1048576,COLUMN(),0),"-")</f>
        <v>758</v>
      </c>
      <c r="L4">
        <f ca="1">IFERROR(VLOOKUP($A4,Phase_Data!$1:$1048576,COLUMN(),0),"-")</f>
        <v>762</v>
      </c>
      <c r="M4">
        <f ca="1">IFERROR(VLOOKUP($A4,Phase_Data!$1:$1048576,COLUMN(),0),"-")</f>
        <v>768</v>
      </c>
      <c r="N4">
        <f ca="1">IFERROR(VLOOKUP($A4,Phase_Data!$1:$1048576,COLUMN(),0),"-")</f>
        <v>772</v>
      </c>
      <c r="O4">
        <f ca="1">IFERROR(VLOOKUP($A4,Phase_Data!$1:$1048576,COLUMN(),0),"-")</f>
        <v>780</v>
      </c>
      <c r="P4">
        <f>IFERROR(VLOOKUP($A4,Phase_Data!$1:$1048576,COLUMN(),0),"-")</f>
        <v>0</v>
      </c>
    </row>
    <row r="6" spans="1:24" x14ac:dyDescent="0.2">
      <c r="A6" t="s">
        <v>136</v>
      </c>
      <c r="B6">
        <f ca="1">IF(AND(B2&lt;&gt;0,B3&lt;&gt;0,B4&lt;&gt;0),MAX(B2:B4)-MIN(B2:B4),"-")</f>
        <v>24</v>
      </c>
      <c r="C6">
        <f t="shared" ref="C6:P6" ca="1" si="0">IF(AND(C2&lt;&gt;0,C3&lt;&gt;0,C4&lt;&gt;0),MAX(C2:C4)-MIN(C2:C4),"-")</f>
        <v>22</v>
      </c>
      <c r="D6">
        <f t="shared" ca="1" si="0"/>
        <v>20</v>
      </c>
      <c r="E6">
        <f t="shared" ca="1" si="0"/>
        <v>16</v>
      </c>
      <c r="F6">
        <f t="shared" ca="1" si="0"/>
        <v>14</v>
      </c>
      <c r="G6">
        <f t="shared" ca="1" si="0"/>
        <v>12</v>
      </c>
      <c r="H6">
        <f t="shared" ca="1" si="0"/>
        <v>10</v>
      </c>
      <c r="I6">
        <f t="shared" ca="1" si="0"/>
        <v>6</v>
      </c>
      <c r="J6">
        <f t="shared" ca="1" si="0"/>
        <v>8</v>
      </c>
      <c r="K6">
        <f t="shared" ca="1" si="0"/>
        <v>10</v>
      </c>
      <c r="L6">
        <f t="shared" ca="1" si="0"/>
        <v>12</v>
      </c>
      <c r="M6">
        <f t="shared" ca="1" si="0"/>
        <v>14</v>
      </c>
      <c r="N6">
        <f t="shared" ca="1" si="0"/>
        <v>18</v>
      </c>
      <c r="O6">
        <f t="shared" ca="1" si="0"/>
        <v>20</v>
      </c>
      <c r="P6" t="str">
        <f t="shared" si="0"/>
        <v>-</v>
      </c>
      <c r="R6">
        <f ca="1">MIN(B6:P6)</f>
        <v>6</v>
      </c>
      <c r="S6" t="str">
        <f ca="1">IF(R6&lt;=5,INDEX(B$1:P$1,1,MATCH(R6,B6:P6,0)),"-")</f>
        <v>-</v>
      </c>
      <c r="T6" t="str">
        <f ca="1">IF(R6&lt;=5,MATCH(R6,B6:P6,0),"-")</f>
        <v>-</v>
      </c>
      <c r="V6" t="str">
        <f t="array" aca="1" ref="V6:X6" ca="1">IF(T6="-","-",TRANSPOSE(MMULT(MINVERSE(MMULT(TRANSPOSE(generate_matrix(TRANSPOSE(INDEX(B$1:P$1,1,MAX(T6-2,1)):INDEX(B$1:P$1,1,MIN(T6+2,COUNT(B$1:P$1)))))),generate_matrix(TRANSPOSE(INDEX(B$1:P$1,1,MAX(T6-2,1)):INDEX(B$1:P$1,1,MIN(T6+2,COUNT(B$1:P$1))))))),MMULT(TRANSPOSE(generate_matrix(TRANSPOSE(INDEX(B$1:P$1,1,MAX(T6-2,1)):INDEX(B$1:P$1,1,MIN(T6+2,COUNT(B$1:P$1)))))),TRANSPOSE(INDEX(B6:P6,1,MAX(T6-2,1)):INDEX(B6:P6,1,MIN(T6+2,COUNT(B$1:P$1))))))))</f>
        <v>-</v>
      </c>
      <c r="W6" t="str">
        <f ca="1"/>
        <v>-</v>
      </c>
      <c r="X6" t="str">
        <f ca="1"/>
        <v>-</v>
      </c>
    </row>
    <row r="7" spans="1:24" x14ac:dyDescent="0.2">
      <c r="A7" t="s">
        <v>137</v>
      </c>
      <c r="B7">
        <f ca="1">IF(AND(MAX(B2:B4)&lt;&gt;0,LARGE(B2:B4,2)&lt;&gt;0),MAX(B2:B4)-LARGE(B2:B4,2),"-")</f>
        <v>22</v>
      </c>
      <c r="C7">
        <f t="shared" ref="C7:P7" ca="1" si="1">IF(AND(MAX(C2:C4)&lt;&gt;0,LARGE(C2:C4,2)&lt;&gt;0),MAX(C2:C4)-LARGE(C2:C4,2),"-")</f>
        <v>22</v>
      </c>
      <c r="D7">
        <f t="shared" ca="1" si="1"/>
        <v>20</v>
      </c>
      <c r="E7">
        <f t="shared" ca="1" si="1"/>
        <v>14</v>
      </c>
      <c r="F7">
        <f t="shared" ca="1" si="1"/>
        <v>12</v>
      </c>
      <c r="G7">
        <f t="shared" ca="1" si="1"/>
        <v>8</v>
      </c>
      <c r="H7">
        <f t="shared" ca="1" si="1"/>
        <v>4</v>
      </c>
      <c r="I7">
        <f t="shared" ca="1" si="1"/>
        <v>0</v>
      </c>
      <c r="J7">
        <f t="shared" ca="1" si="1"/>
        <v>2</v>
      </c>
      <c r="K7">
        <f t="shared" ca="1" si="1"/>
        <v>4</v>
      </c>
      <c r="L7">
        <f t="shared" ca="1" si="1"/>
        <v>6</v>
      </c>
      <c r="M7">
        <f t="shared" ca="1" si="1"/>
        <v>8</v>
      </c>
      <c r="N7">
        <f t="shared" ca="1" si="1"/>
        <v>10</v>
      </c>
      <c r="O7">
        <f t="shared" ca="1" si="1"/>
        <v>12</v>
      </c>
      <c r="P7" t="str">
        <f t="shared" si="1"/>
        <v>-</v>
      </c>
      <c r="R7">
        <f ca="1">MIN(B7:P7)</f>
        <v>0</v>
      </c>
      <c r="S7">
        <f ca="1">IF(R7&lt;=5,INDEX(B$1:P$1,1,MATCH(R7,B7:P7,0)),"-")</f>
        <v>195</v>
      </c>
      <c r="T7">
        <f ca="1">IF(R7&lt;=5,MATCH(R7,B7:P7,0),"-")</f>
        <v>8</v>
      </c>
      <c r="V7">
        <f t="array" aca="1" ref="V7:X7" ca="1">IF(T7="-","-",TRANSPOSE(MMULT(MINVERSE(MMULT(TRANSPOSE(generate_matrix(TRANSPOSE(INDEX(B$1:P$1,1,MAX(T7-2,1)):INDEX(B$1:P$1,1,MIN(T7+2,COUNT(B$1:P$1)))))),generate_matrix(TRANSPOSE(INDEX(B$1:P$1,1,MAX(T7-2,1)):INDEX(B$1:P$1,1,MIN(T7+2,COUNT(B$1:P$1))))))),MMULT(TRANSPOSE(generate_matrix(TRANSPOSE(INDEX(B$1:P$1,1,MAX(T7-2,1)):INDEX(B$1:P$1,1,MIN(T7+2,COUNT(B$1:P$1)))))),TRANSPOSE(INDEX(B7:P7,1,MAX(T7-2,1)):INDEX(B7:P7,1,MIN(T7+2,COUNT(B$1:P$1))))))))</f>
        <v>205.31428571484867</v>
      </c>
      <c r="W7">
        <f ca="1"/>
        <v>-2.1619047619106482</v>
      </c>
      <c r="X7">
        <f ca="1"/>
        <v>5.7142857143004377E-3</v>
      </c>
    </row>
    <row r="9" spans="1:24" x14ac:dyDescent="0.2">
      <c r="A9" t="s">
        <v>138</v>
      </c>
      <c r="B9" t="str">
        <f ca="1">IFERROR(IF($X6&gt;0,$X6*B$1^2+$W6*B$1+$V6,"-"),"-")</f>
        <v>-</v>
      </c>
      <c r="C9" t="str">
        <f ca="1">IFERROR(IF($X6&gt;0,$X6*C$1^2+$W6*C$1+$V6,"-"),"-")</f>
        <v>-</v>
      </c>
      <c r="D9" t="str">
        <f ca="1">IFERROR(IF($X6&gt;0,$X6*D$1^2+$W6*D$1+$V6,"-"),"-")</f>
        <v>-</v>
      </c>
      <c r="E9" t="str">
        <f ca="1">IFERROR(IF($X6&gt;0,$X6*E$1^2+$W6*E$1+$V6,"-"),"-")</f>
        <v>-</v>
      </c>
      <c r="F9" t="str">
        <f ca="1">IFERROR(IF($X6&gt;0,$X6*F$1^2+$W6*F$1+$V6,"-"),"-")</f>
        <v>-</v>
      </c>
      <c r="G9" t="str">
        <f ca="1">IFERROR(IF($X6&gt;0,$X6*G$1^2+$W6*G$1+$V6,"-"),"-")</f>
        <v>-</v>
      </c>
      <c r="H9" t="str">
        <f ca="1">IFERROR(IF($X6&gt;0,$X6*H$1^2+$W6*H$1+$V6,"-"),"-")</f>
        <v>-</v>
      </c>
      <c r="I9" t="str">
        <f ca="1">IFERROR(IF($X6&gt;0,$X6*I$1^2+$W6*I$1+$V6,"-"),"-")</f>
        <v>-</v>
      </c>
      <c r="J9" t="str">
        <f ca="1">IFERROR(IF($X6&gt;0,$X6*J$1^2+$W6*J$1+$V6,"-"),"-")</f>
        <v>-</v>
      </c>
      <c r="K9" t="str">
        <f ca="1">IFERROR(IF($X6&gt;0,$X6*K$1^2+$W6*K$1+$V6,"-"),"-")</f>
        <v>-</v>
      </c>
      <c r="L9" t="str">
        <f ca="1">IFERROR(IF($X6&gt;0,$X6*L$1^2+$W6*L$1+$V6,"-"),"-")</f>
        <v>-</v>
      </c>
      <c r="M9" t="str">
        <f ca="1">IFERROR(IF($X6&gt;0,$X6*M$1^2+$W6*M$1+$V6,"-"),"-")</f>
        <v>-</v>
      </c>
      <c r="N9" t="str">
        <f ca="1">IFERROR(IF($X6&gt;0,$X6*N$1^2+$W6*N$1+$V6,"-"),"-")</f>
        <v>-</v>
      </c>
      <c r="O9" t="str">
        <f ca="1">IFERROR(IF($X6&gt;0,$X6*O$1^2+$W6*O$1+$V6,"-"),"-")</f>
        <v>-</v>
      </c>
      <c r="P9" t="str">
        <f ca="1">IFERROR(IF($X6&gt;0,$X6*P$1^2+$W6*P$1+$V6,"-"),"-")</f>
        <v>-</v>
      </c>
    </row>
    <row r="10" spans="1:24" x14ac:dyDescent="0.2">
      <c r="A10" t="s">
        <v>139</v>
      </c>
      <c r="B10">
        <f ca="1">IFERROR(IF($X7&gt;0,$X7*B$1^2+$W7*B$1+$V7,"-"),"-")</f>
        <v>71.028571428693567</v>
      </c>
      <c r="C10">
        <f ca="1">IFERROR(IF($X7&gt;0,$X7*C$1^2+$W7*C$1+$V7,"-"),"-")</f>
        <v>53.314285714367031</v>
      </c>
      <c r="D10">
        <f ca="1">IFERROR(IF($X7&gt;0,$X7*D$1^2+$W7*D$1+$V7,"-"),"-")</f>
        <v>38.171428571475587</v>
      </c>
      <c r="E10">
        <f ca="1">IFERROR(IF($X7&gt;0,$X7*E$1^2+$W7*E$1+$V7,"-"),"-")</f>
        <v>25.600000000019293</v>
      </c>
      <c r="F10">
        <f ca="1">IFERROR(IF($X7&gt;0,$X7*F$1^2+$W7*F$1+$V7,"-"),"-")</f>
        <v>15.599999999998317</v>
      </c>
      <c r="G10">
        <f ca="1">IFERROR(IF($X7&gt;0,$X7*G$1^2+$W7*G$1+$V7,"-"),"-")</f>
        <v>8.1714285714124912</v>
      </c>
      <c r="H10">
        <f ca="1">IFERROR(IF($X7&gt;0,$X7*H$1^2+$W7*H$1+$V7,"-"),"-")</f>
        <v>3.3142857142618425</v>
      </c>
      <c r="I10">
        <f ca="1">IFERROR(IF($X7&gt;0,$X7*I$1^2+$W7*I$1+$V7,"-"),"-")</f>
        <v>1.028571428546428</v>
      </c>
      <c r="J10">
        <f ca="1">IFERROR(IF($X7&gt;0,$X7*J$1^2+$W7*J$1+$V7,"-"),"-")</f>
        <v>1.314285714266191</v>
      </c>
      <c r="K10">
        <f ca="1">IFERROR(IF($X7&gt;0,$X7*K$1^2+$W7*K$1+$V7,"-"),"-")</f>
        <v>4.1714285714211314</v>
      </c>
      <c r="L10">
        <f ca="1">IFERROR(IF($X7&gt;0,$X7*L$1^2+$W7*L$1+$V7,"-"),"-")</f>
        <v>9.6000000000112777</v>
      </c>
      <c r="M10">
        <f ca="1">IFERROR(IF($X7&gt;0,$X7*M$1^2+$W7*M$1+$V7,"-"),"-")</f>
        <v>17.60000000003663</v>
      </c>
      <c r="N10">
        <f ca="1">IFERROR(IF($X7&gt;0,$X7*N$1^2+$W7*N$1+$V7,"-"),"-")</f>
        <v>28.171428571497188</v>
      </c>
      <c r="O10">
        <f ca="1">IFERROR(IF($X7&gt;0,$X7*O$1^2+$W7*O$1+$V7,"-"),"-")</f>
        <v>41.314285714392923</v>
      </c>
      <c r="P10">
        <f ca="1">IFERROR(IF($X7&gt;0,$X7*P$1^2+$W7*P$1+$V7,"-"),"-")</f>
        <v>57.028571428723865</v>
      </c>
    </row>
    <row r="12" spans="1:24" x14ac:dyDescent="0.2">
      <c r="B12" t="s">
        <v>148</v>
      </c>
      <c r="C12" t="s">
        <v>149</v>
      </c>
    </row>
    <row r="13" spans="1:24" x14ac:dyDescent="0.2">
      <c r="A13" t="s">
        <v>140</v>
      </c>
      <c r="B13" s="2" t="str">
        <f ca="1">IFERROR(IF($R6&lt;=5,IF($X6&gt;0,-$W6/(2*$X6),"-"),"-"),"-")</f>
        <v>-</v>
      </c>
      <c r="C13" s="2" t="str">
        <f ca="1">IFERROR(IF($X6&gt;0,$X6*B13^2+$W6*B13+$V6,"-"),"-")</f>
        <v>-</v>
      </c>
    </row>
    <row r="14" spans="1:24" x14ac:dyDescent="0.2">
      <c r="A14" t="s">
        <v>141</v>
      </c>
      <c r="B14" s="2">
        <f ca="1">IFERROR(IF($R7&lt;=5,IF($X7&gt;0,-$W7/(2*$X7),"-"),"-"),"-")</f>
        <v>189.16666666669431</v>
      </c>
      <c r="C14" s="2">
        <f ca="1">IFERROR(IF($X7&gt;0,$X7*B14^2+$W7*B14+$V7,"-"),"-")</f>
        <v>0.83412698410330677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DF9C6-8486-4CC8-992C-2A7465BE95DB}">
  <sheetPr codeName="Sheet2"/>
  <dimension ref="A1:P10"/>
  <sheetViews>
    <sheetView workbookViewId="0"/>
  </sheetViews>
  <sheetFormatPr defaultRowHeight="15" x14ac:dyDescent="0.2"/>
  <sheetData>
    <row r="1" spans="1:16" x14ac:dyDescent="0.2">
      <c r="A1">
        <v>300</v>
      </c>
      <c r="B1">
        <v>300</v>
      </c>
      <c r="C1">
        <v>285</v>
      </c>
      <c r="D1">
        <v>270</v>
      </c>
      <c r="E1">
        <v>255</v>
      </c>
      <c r="F1">
        <v>240</v>
      </c>
      <c r="G1">
        <v>225</v>
      </c>
      <c r="H1">
        <v>210</v>
      </c>
      <c r="I1">
        <v>195</v>
      </c>
      <c r="J1">
        <v>180</v>
      </c>
      <c r="K1">
        <v>165</v>
      </c>
      <c r="L1">
        <v>150</v>
      </c>
      <c r="M1">
        <v>135</v>
      </c>
      <c r="N1">
        <v>120</v>
      </c>
      <c r="O1">
        <v>105</v>
      </c>
      <c r="P1">
        <v>90</v>
      </c>
    </row>
    <row r="2" spans="1:16" x14ac:dyDescent="0.2">
      <c r="A2" t="s">
        <v>132</v>
      </c>
      <c r="B2">
        <f ca="1">_xlfn.IFNA(INDEX(INDIRECT("'"&amp;$A2&amp;"'!$B:$B"),MATCH(B$1,INDIRECT("'"&amp;$A2&amp;"'!$c:$c"),0)),"")</f>
        <v>760</v>
      </c>
      <c r="C2">
        <f t="shared" ref="C2:P10" ca="1" si="0">_xlfn.IFNA(INDEX(INDIRECT("'"&amp;$A2&amp;"'!$B:$B"),MATCH(C$1,INDIRECT("'"&amp;$A2&amp;"'!$c:$c"),0)),"")</f>
        <v>760</v>
      </c>
      <c r="D2">
        <f t="shared" ca="1" si="0"/>
        <v>760</v>
      </c>
      <c r="E2">
        <f t="shared" ca="1" si="0"/>
        <v>760</v>
      </c>
      <c r="F2">
        <f t="shared" ca="1" si="0"/>
        <v>760</v>
      </c>
      <c r="G2">
        <f t="shared" ca="1" si="0"/>
        <v>760</v>
      </c>
      <c r="H2">
        <f t="shared" ca="1" si="0"/>
        <v>760</v>
      </c>
      <c r="I2">
        <f t="shared" ca="1" si="0"/>
        <v>762</v>
      </c>
      <c r="J2">
        <f t="shared" ca="1" si="0"/>
        <v>764</v>
      </c>
      <c r="K2">
        <f t="shared" ca="1" si="0"/>
        <v>770</v>
      </c>
      <c r="L2">
        <f t="shared" ca="1" si="0"/>
        <v>776</v>
      </c>
      <c r="M2">
        <f t="shared" ca="1" si="0"/>
        <v>784</v>
      </c>
      <c r="N2">
        <f t="shared" ca="1" si="0"/>
        <v>792</v>
      </c>
      <c r="O2">
        <f t="shared" ca="1" si="0"/>
        <v>802</v>
      </c>
      <c r="P2">
        <f t="shared" ca="1" si="0"/>
        <v>814</v>
      </c>
    </row>
    <row r="3" spans="1:16" x14ac:dyDescent="0.2">
      <c r="A3" t="s">
        <v>97</v>
      </c>
      <c r="B3">
        <f ca="1">_xlfn.IFNA(INDEX(INDIRECT("'"&amp;$A3&amp;"'!$B:$B"),MATCH(B$1,INDIRECT("'"&amp;$A3&amp;"'!$c:$c"),0)),"")</f>
        <v>732</v>
      </c>
      <c r="C3">
        <f t="shared" ca="1" si="0"/>
        <v>734</v>
      </c>
      <c r="D3">
        <f t="shared" ca="1" si="0"/>
        <v>736</v>
      </c>
      <c r="E3">
        <f t="shared" ca="1" si="0"/>
        <v>738</v>
      </c>
      <c r="F3">
        <f t="shared" ca="1" si="0"/>
        <v>740</v>
      </c>
      <c r="G3">
        <f t="shared" ca="1" si="0"/>
        <v>742</v>
      </c>
      <c r="H3">
        <f t="shared" ca="1" si="0"/>
        <v>744</v>
      </c>
      <c r="I3">
        <f t="shared" ca="1" si="0"/>
        <v>746</v>
      </c>
      <c r="J3">
        <f t="shared" ca="1" si="0"/>
        <v>748</v>
      </c>
      <c r="K3">
        <f t="shared" ca="1" si="0"/>
        <v>750</v>
      </c>
      <c r="L3">
        <f t="shared" ca="1" si="0"/>
        <v>752</v>
      </c>
      <c r="M3">
        <f t="shared" ca="1" si="0"/>
        <v>754</v>
      </c>
      <c r="N3">
        <f t="shared" ca="1" si="0"/>
        <v>756</v>
      </c>
    </row>
    <row r="4" spans="1:16" x14ac:dyDescent="0.2">
      <c r="A4" t="s">
        <v>101</v>
      </c>
      <c r="B4">
        <f ca="1">_xlfn.IFNA(INDEX(INDIRECT("'"&amp;$A4&amp;"'!$B:$B"),MATCH(B$1,INDIRECT("'"&amp;$A4&amp;"'!$c:$c"),0)),"")</f>
        <v>734</v>
      </c>
      <c r="C4">
        <f t="shared" ca="1" si="0"/>
        <v>736</v>
      </c>
      <c r="D4">
        <f t="shared" ca="1" si="0"/>
        <v>738</v>
      </c>
      <c r="E4">
        <f t="shared" ca="1" si="0"/>
        <v>740</v>
      </c>
      <c r="F4">
        <f t="shared" ca="1" si="0"/>
        <v>744</v>
      </c>
      <c r="G4">
        <f t="shared" ca="1" si="0"/>
        <v>746</v>
      </c>
      <c r="H4">
        <f t="shared" ca="1" si="0"/>
        <v>748</v>
      </c>
      <c r="I4">
        <f t="shared" ca="1" si="0"/>
        <v>752</v>
      </c>
      <c r="J4">
        <f t="shared" ca="1" si="0"/>
        <v>754</v>
      </c>
      <c r="K4">
        <f t="shared" ca="1" si="0"/>
        <v>758</v>
      </c>
      <c r="L4">
        <f t="shared" ca="1" si="0"/>
        <v>762</v>
      </c>
      <c r="M4">
        <f t="shared" ca="1" si="0"/>
        <v>766</v>
      </c>
      <c r="N4">
        <f t="shared" ca="1" si="0"/>
        <v>772</v>
      </c>
      <c r="O4">
        <f t="shared" ca="1" si="0"/>
        <v>780</v>
      </c>
    </row>
    <row r="5" spans="1:16" x14ac:dyDescent="0.2">
      <c r="A5" t="s">
        <v>94</v>
      </c>
      <c r="B5">
        <f ca="1">_xlfn.IFNA(INDEX(INDIRECT("'"&amp;$A5&amp;"'!$B:$B"),MATCH(B$1,INDIRECT("'"&amp;$A5&amp;"'!$c:$c"),0)),"")</f>
        <v>734</v>
      </c>
      <c r="C5">
        <f t="shared" ca="1" si="0"/>
        <v>736</v>
      </c>
      <c r="D5">
        <f t="shared" ca="1" si="0"/>
        <v>738</v>
      </c>
      <c r="E5">
        <f t="shared" ca="1" si="0"/>
        <v>740</v>
      </c>
      <c r="F5">
        <f t="shared" ca="1" si="0"/>
        <v>744</v>
      </c>
      <c r="G5">
        <f t="shared" ca="1" si="0"/>
        <v>746</v>
      </c>
      <c r="H5">
        <f t="shared" ca="1" si="0"/>
        <v>748</v>
      </c>
      <c r="I5">
        <f t="shared" ca="1" si="0"/>
        <v>752</v>
      </c>
      <c r="J5">
        <f t="shared" ca="1" si="0"/>
        <v>754</v>
      </c>
      <c r="K5">
        <f t="shared" ca="1" si="0"/>
        <v>758</v>
      </c>
      <c r="L5">
        <f t="shared" ca="1" si="0"/>
        <v>762</v>
      </c>
      <c r="M5">
        <f t="shared" ca="1" si="0"/>
        <v>766</v>
      </c>
      <c r="N5">
        <f t="shared" ca="1" si="0"/>
        <v>772</v>
      </c>
      <c r="O5">
        <f t="shared" ca="1" si="0"/>
        <v>778</v>
      </c>
    </row>
    <row r="6" spans="1:16" x14ac:dyDescent="0.2">
      <c r="A6" t="s">
        <v>133</v>
      </c>
      <c r="B6">
        <f ca="1">_xlfn.IFNA(INDEX(INDIRECT("'"&amp;$A6&amp;"'!$B:$B"),MATCH(B$1,INDIRECT("'"&amp;$A6&amp;"'!$c:$c"),0)),"")</f>
        <v>736</v>
      </c>
      <c r="C6">
        <f t="shared" ca="1" si="0"/>
        <v>736</v>
      </c>
      <c r="D6">
        <f t="shared" ca="1" si="0"/>
        <v>738</v>
      </c>
      <c r="E6">
        <f t="shared" ca="1" si="0"/>
        <v>744</v>
      </c>
      <c r="F6">
        <f t="shared" ca="1" si="0"/>
        <v>746</v>
      </c>
      <c r="G6">
        <f t="shared" ca="1" si="0"/>
        <v>750</v>
      </c>
      <c r="H6">
        <f t="shared" ca="1" si="0"/>
        <v>754</v>
      </c>
      <c r="I6">
        <f t="shared" ca="1" si="0"/>
        <v>758</v>
      </c>
      <c r="J6">
        <f t="shared" ca="1" si="0"/>
        <v>762</v>
      </c>
      <c r="K6">
        <f t="shared" ca="1" si="0"/>
        <v>768</v>
      </c>
      <c r="L6">
        <f t="shared" ca="1" si="0"/>
        <v>774</v>
      </c>
      <c r="M6">
        <f t="shared" ca="1" si="0"/>
        <v>782</v>
      </c>
      <c r="N6">
        <f t="shared" ca="1" si="0"/>
        <v>790</v>
      </c>
      <c r="O6">
        <f t="shared" ca="1" si="0"/>
        <v>800</v>
      </c>
    </row>
    <row r="7" spans="1:16" x14ac:dyDescent="0.2">
      <c r="A7" t="s">
        <v>134</v>
      </c>
      <c r="B7">
        <f ca="1">_xlfn.IFNA(INDEX(INDIRECT("'"&amp;$A7&amp;"'!$B:$B"),MATCH(B$1,INDIRECT("'"&amp;$A7&amp;"'!$c:$c"),0)),"")</f>
        <v>734</v>
      </c>
      <c r="C7">
        <f t="shared" ca="1" si="0"/>
        <v>736</v>
      </c>
      <c r="D7">
        <f t="shared" ca="1" si="0"/>
        <v>738</v>
      </c>
      <c r="E7">
        <f t="shared" ca="1" si="0"/>
        <v>742</v>
      </c>
      <c r="F7">
        <f t="shared" ca="1" si="0"/>
        <v>744</v>
      </c>
      <c r="G7">
        <f t="shared" ca="1" si="0"/>
        <v>746</v>
      </c>
      <c r="H7">
        <f t="shared" ca="1" si="0"/>
        <v>748</v>
      </c>
      <c r="I7">
        <f t="shared" ca="1" si="0"/>
        <v>752</v>
      </c>
      <c r="J7">
        <f t="shared" ca="1" si="0"/>
        <v>754</v>
      </c>
      <c r="K7">
        <f t="shared" ca="1" si="0"/>
        <v>758</v>
      </c>
      <c r="L7">
        <f t="shared" ca="1" si="0"/>
        <v>762</v>
      </c>
      <c r="M7">
        <f t="shared" ca="1" si="0"/>
        <v>768</v>
      </c>
      <c r="N7">
        <f t="shared" ca="1" si="0"/>
        <v>772</v>
      </c>
      <c r="O7">
        <f t="shared" ca="1" si="0"/>
        <v>780</v>
      </c>
    </row>
    <row r="8" spans="1:16" x14ac:dyDescent="0.2">
      <c r="A8" t="s">
        <v>96</v>
      </c>
      <c r="B8">
        <f ca="1">_xlfn.IFNA(INDEX(INDIRECT("'"&amp;$A8&amp;"'!$B:$B"),MATCH(B$1,INDIRECT("'"&amp;$A8&amp;"'!$c:$c"),0)),"")</f>
        <v>758</v>
      </c>
      <c r="C8">
        <f t="shared" ca="1" si="0"/>
        <v>758</v>
      </c>
      <c r="D8">
        <f t="shared" ca="1" si="0"/>
        <v>758</v>
      </c>
      <c r="E8">
        <f t="shared" ca="1" si="0"/>
        <v>758</v>
      </c>
      <c r="F8">
        <f t="shared" ca="1" si="0"/>
        <v>758</v>
      </c>
      <c r="G8">
        <f t="shared" ca="1" si="0"/>
        <v>758</v>
      </c>
      <c r="H8">
        <f t="shared" ca="1" si="0"/>
        <v>758</v>
      </c>
      <c r="I8">
        <f t="shared" ca="1" si="0"/>
        <v>758</v>
      </c>
      <c r="J8">
        <f t="shared" ca="1" si="0"/>
        <v>760</v>
      </c>
      <c r="K8">
        <f t="shared" ca="1" si="0"/>
        <v>764</v>
      </c>
      <c r="L8">
        <f t="shared" ca="1" si="0"/>
        <v>768</v>
      </c>
      <c r="M8">
        <f t="shared" ca="1" si="0"/>
        <v>774</v>
      </c>
      <c r="N8">
        <f t="shared" ca="1" si="0"/>
        <v>780</v>
      </c>
      <c r="O8">
        <f t="shared" ca="1" si="0"/>
        <v>788</v>
      </c>
    </row>
    <row r="9" spans="1:16" x14ac:dyDescent="0.2">
      <c r="A9" t="s">
        <v>71</v>
      </c>
      <c r="B9">
        <f ca="1">_xlfn.IFNA(INDEX(INDIRECT("'"&amp;$A9&amp;"'!$B:$B"),MATCH(B$1,INDIRECT("'"&amp;$A9&amp;"'!$c:$c"),0)),"")</f>
        <v>760</v>
      </c>
      <c r="C9">
        <f t="shared" ca="1" si="0"/>
        <v>760</v>
      </c>
      <c r="D9">
        <f t="shared" ca="1" si="0"/>
        <v>760</v>
      </c>
      <c r="E9">
        <f t="shared" ca="1" si="0"/>
        <v>760</v>
      </c>
      <c r="F9">
        <f t="shared" ca="1" si="0"/>
        <v>760</v>
      </c>
      <c r="G9">
        <f t="shared" ca="1" si="0"/>
        <v>760</v>
      </c>
      <c r="H9">
        <f t="shared" ca="1" si="0"/>
        <v>760</v>
      </c>
      <c r="I9">
        <f t="shared" ca="1" si="0"/>
        <v>762</v>
      </c>
      <c r="J9">
        <f t="shared" ca="1" si="0"/>
        <v>764</v>
      </c>
      <c r="K9">
        <f t="shared" ca="1" si="0"/>
        <v>770</v>
      </c>
      <c r="L9">
        <f t="shared" ca="1" si="0"/>
        <v>776</v>
      </c>
      <c r="M9">
        <f t="shared" ca="1" si="0"/>
        <v>784</v>
      </c>
      <c r="N9">
        <f t="shared" ca="1" si="0"/>
        <v>792</v>
      </c>
      <c r="O9">
        <f t="shared" ca="1" si="0"/>
        <v>802</v>
      </c>
      <c r="P9">
        <f t="shared" ca="1" si="0"/>
        <v>814</v>
      </c>
    </row>
    <row r="10" spans="1:16" x14ac:dyDescent="0.2">
      <c r="A10" t="s">
        <v>84</v>
      </c>
      <c r="B10">
        <f ca="1">_xlfn.IFNA(INDEX(INDIRECT("'"&amp;$A10&amp;"'!$B:$B"),MATCH(B$1,INDIRECT("'"&amp;$A10&amp;"'!$c:$c"),0)),"")</f>
        <v>736</v>
      </c>
      <c r="C10">
        <f t="shared" ca="1" si="0"/>
        <v>736</v>
      </c>
      <c r="D10">
        <f t="shared" ca="1" si="0"/>
        <v>738</v>
      </c>
      <c r="E10">
        <f t="shared" ca="1" si="0"/>
        <v>744</v>
      </c>
      <c r="F10">
        <f t="shared" ca="1" si="0"/>
        <v>746</v>
      </c>
      <c r="G10">
        <f t="shared" ca="1" si="0"/>
        <v>750</v>
      </c>
      <c r="H10">
        <f t="shared" ca="1" si="0"/>
        <v>754</v>
      </c>
      <c r="I10">
        <f t="shared" ca="1" si="0"/>
        <v>758</v>
      </c>
      <c r="J10">
        <f t="shared" ca="1" si="0"/>
        <v>762</v>
      </c>
      <c r="K10">
        <f t="shared" ca="1" si="0"/>
        <v>768</v>
      </c>
      <c r="L10">
        <f t="shared" ca="1" si="0"/>
        <v>774</v>
      </c>
      <c r="M10">
        <f t="shared" ca="1" si="0"/>
        <v>782</v>
      </c>
      <c r="N10">
        <f t="shared" ca="1" si="0"/>
        <v>790</v>
      </c>
      <c r="O10">
        <f t="shared" ca="1" si="0"/>
        <v>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3B8647-5BDE-45D1-9F64-CB1D109ECB41}">
  <sheetPr codeName="Sheet3"/>
  <dimension ref="A1:Q226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760</v>
      </c>
      <c r="C2">
        <v>300</v>
      </c>
      <c r="D2">
        <v>0.27825630353772701</v>
      </c>
      <c r="E2">
        <v>110.883237556862</v>
      </c>
      <c r="F2">
        <v>2.0032256075830901</v>
      </c>
      <c r="G2">
        <v>-1833.337175707223</v>
      </c>
      <c r="H2">
        <v>-1506.5621462511476</v>
      </c>
      <c r="I2">
        <v>316.292158643844</v>
      </c>
      <c r="J2">
        <v>160.06413620984</v>
      </c>
      <c r="K2">
        <v>55.352346304440303</v>
      </c>
      <c r="L2">
        <v>0.87910196219108128</v>
      </c>
      <c r="M2">
        <v>-0.87894646967925127</v>
      </c>
      <c r="N2">
        <v>48.652884574664803</v>
      </c>
      <c r="O2">
        <v>48.652880555532697</v>
      </c>
      <c r="P2">
        <v>48.6528764577575</v>
      </c>
      <c r="Q2" t="s">
        <v>51</v>
      </c>
    </row>
    <row r="3" spans="1:17" x14ac:dyDescent="0.2">
      <c r="A3">
        <v>2</v>
      </c>
      <c r="B3">
        <v>758</v>
      </c>
      <c r="C3">
        <v>300</v>
      </c>
      <c r="D3">
        <v>0.27672065169955901</v>
      </c>
      <c r="E3">
        <v>110.88332013740499</v>
      </c>
      <c r="F3">
        <v>2.0042975545678599</v>
      </c>
      <c r="G3">
        <v>-1832.706241628031</v>
      </c>
      <c r="H3">
        <v>-1506.9132191939989</v>
      </c>
      <c r="I3">
        <v>315.95329797144899</v>
      </c>
      <c r="J3">
        <v>160.058921073748</v>
      </c>
      <c r="K3">
        <v>55.3227837277445</v>
      </c>
      <c r="L3">
        <v>0.87772229617321562</v>
      </c>
      <c r="M3">
        <v>-0.87756655616957469</v>
      </c>
      <c r="N3">
        <v>48.5505569094733</v>
      </c>
      <c r="O3">
        <v>48.550552808453098</v>
      </c>
      <c r="P3">
        <v>48.550548708320598</v>
      </c>
      <c r="Q3" t="s">
        <v>51</v>
      </c>
    </row>
    <row r="4" spans="1:17" x14ac:dyDescent="0.2">
      <c r="A4">
        <v>3</v>
      </c>
      <c r="B4">
        <v>756</v>
      </c>
      <c r="C4">
        <v>300</v>
      </c>
      <c r="D4">
        <v>0.27517903123937498</v>
      </c>
      <c r="E4">
        <v>110.883413174003</v>
      </c>
      <c r="F4">
        <v>2.00538243094545</v>
      </c>
      <c r="G4">
        <v>-1832.0762173940066</v>
      </c>
      <c r="H4">
        <v>-1507.3098896133947</v>
      </c>
      <c r="I4">
        <v>315.56970659713801</v>
      </c>
      <c r="J4">
        <v>160.06812361106199</v>
      </c>
      <c r="K4">
        <v>55.292901475020201</v>
      </c>
      <c r="L4">
        <v>0.87398944297207515</v>
      </c>
      <c r="M4">
        <v>-0.87383286256829007</v>
      </c>
      <c r="N4">
        <v>48.317887798823897</v>
      </c>
      <c r="O4">
        <v>48.317883599486699</v>
      </c>
      <c r="P4">
        <v>48.3178794815787</v>
      </c>
      <c r="Q4" t="s">
        <v>51</v>
      </c>
    </row>
    <row r="5" spans="1:17" x14ac:dyDescent="0.2">
      <c r="A5">
        <v>4</v>
      </c>
      <c r="B5">
        <v>754</v>
      </c>
      <c r="C5">
        <v>300</v>
      </c>
      <c r="D5">
        <v>0.27363140729202201</v>
      </c>
      <c r="E5">
        <v>110.883506945305</v>
      </c>
      <c r="F5">
        <v>2.00647282114896</v>
      </c>
      <c r="G5">
        <v>-1831.446971942562</v>
      </c>
      <c r="H5">
        <v>-1507.7058395548511</v>
      </c>
      <c r="I5">
        <v>315.18608086210997</v>
      </c>
      <c r="J5">
        <v>160.07705948306401</v>
      </c>
      <c r="K5">
        <v>55.262900038591297</v>
      </c>
      <c r="L5">
        <v>0.87029701663032022</v>
      </c>
      <c r="M5">
        <v>-0.87013961404301332</v>
      </c>
      <c r="N5">
        <v>48.087573064799102</v>
      </c>
      <c r="O5">
        <v>48.087568766461899</v>
      </c>
      <c r="P5">
        <v>48.087564631388602</v>
      </c>
      <c r="Q5" t="s">
        <v>51</v>
      </c>
    </row>
    <row r="6" spans="1:17" x14ac:dyDescent="0.2">
      <c r="A6">
        <v>5</v>
      </c>
      <c r="B6">
        <v>752</v>
      </c>
      <c r="C6">
        <v>300</v>
      </c>
      <c r="D6">
        <v>0.27207774472028401</v>
      </c>
      <c r="E6">
        <v>110.883601458328</v>
      </c>
      <c r="F6">
        <v>2.0075686355584201</v>
      </c>
      <c r="G6">
        <v>-1830.8185054644598</v>
      </c>
      <c r="H6">
        <v>-1508.1010811181231</v>
      </c>
      <c r="I6">
        <v>314.80240895116202</v>
      </c>
      <c r="J6">
        <v>160.08572779672701</v>
      </c>
      <c r="K6">
        <v>55.232782329001097</v>
      </c>
      <c r="L6">
        <v>0.86664430760620725</v>
      </c>
      <c r="M6">
        <v>-0.86648610085417666</v>
      </c>
      <c r="N6">
        <v>47.859573712271199</v>
      </c>
      <c r="O6">
        <v>47.859569314271504</v>
      </c>
      <c r="P6">
        <v>47.859565162638098</v>
      </c>
      <c r="Q6" t="s">
        <v>51</v>
      </c>
    </row>
    <row r="7" spans="1:17" x14ac:dyDescent="0.2">
      <c r="A7">
        <v>6</v>
      </c>
      <c r="B7">
        <v>750</v>
      </c>
      <c r="C7">
        <v>300</v>
      </c>
      <c r="D7">
        <v>0.270518008112205</v>
      </c>
      <c r="E7">
        <v>110.883696720223</v>
      </c>
      <c r="F7">
        <v>2.0086697863021401</v>
      </c>
      <c r="G7">
        <v>-1830.1908181760473</v>
      </c>
      <c r="H7">
        <v>-1508.4956261318521</v>
      </c>
      <c r="I7">
        <v>314.41867924662398</v>
      </c>
      <c r="J7">
        <v>160.09412758043899</v>
      </c>
      <c r="K7">
        <v>55.202551198997298</v>
      </c>
      <c r="L7">
        <v>0.86303062245141926</v>
      </c>
      <c r="M7">
        <v>-0.8628716293603208</v>
      </c>
      <c r="N7">
        <v>47.633851599680703</v>
      </c>
      <c r="O7">
        <v>47.633847101376702</v>
      </c>
      <c r="P7">
        <v>47.633842933783498</v>
      </c>
      <c r="Q7" t="s">
        <v>51</v>
      </c>
    </row>
    <row r="8" spans="1:17" x14ac:dyDescent="0.2">
      <c r="A8">
        <v>7</v>
      </c>
      <c r="B8">
        <v>748</v>
      </c>
      <c r="C8">
        <v>300</v>
      </c>
      <c r="D8">
        <v>0.26895216177838999</v>
      </c>
      <c r="E8">
        <v>110.883792738184</v>
      </c>
      <c r="F8">
        <v>2.0097761872181099</v>
      </c>
      <c r="G8">
        <v>-1829.5639103173442</v>
      </c>
      <c r="H8">
        <v>-1508.8894861591916</v>
      </c>
      <c r="I8">
        <v>314.034880322915</v>
      </c>
      <c r="J8">
        <v>160.10225778490999</v>
      </c>
      <c r="K8">
        <v>55.172209444707903</v>
      </c>
      <c r="L8">
        <v>0.85945528338067989</v>
      </c>
      <c r="M8">
        <v>-0.85929552158756861</v>
      </c>
      <c r="N8">
        <v>47.410369416847303</v>
      </c>
      <c r="O8">
        <v>47.410364817618301</v>
      </c>
      <c r="P8">
        <v>47.410360634660698</v>
      </c>
      <c r="Q8" t="s">
        <v>51</v>
      </c>
    </row>
    <row r="9" spans="1:17" x14ac:dyDescent="0.2">
      <c r="A9">
        <v>8</v>
      </c>
      <c r="B9">
        <v>746</v>
      </c>
      <c r="C9">
        <v>300</v>
      </c>
      <c r="D9">
        <v>0.26738016974930101</v>
      </c>
      <c r="E9">
        <v>110.88388951943701</v>
      </c>
      <c r="F9">
        <v>2.0108877538121601</v>
      </c>
      <c r="G9">
        <v>-1828.9377821515125</v>
      </c>
      <c r="H9">
        <v>-1509.2826725050418</v>
      </c>
      <c r="I9">
        <v>313.65100094080901</v>
      </c>
      <c r="J9">
        <v>160.110117284642</v>
      </c>
      <c r="K9">
        <v>55.141759806944599</v>
      </c>
      <c r="L9">
        <v>0.85591762781680869</v>
      </c>
      <c r="M9">
        <v>-0.85575711477453176</v>
      </c>
      <c r="N9">
        <v>47.189090661489601</v>
      </c>
      <c r="O9">
        <v>47.189085960735902</v>
      </c>
      <c r="P9">
        <v>47.189081763004403</v>
      </c>
      <c r="Q9" t="s">
        <v>51</v>
      </c>
    </row>
    <row r="10" spans="1:17" x14ac:dyDescent="0.2">
      <c r="A10">
        <v>9</v>
      </c>
      <c r="B10">
        <v>744</v>
      </c>
      <c r="C10">
        <v>300</v>
      </c>
      <c r="D10">
        <v>0.26580199577250502</v>
      </c>
      <c r="E10">
        <v>110.88398707131699</v>
      </c>
      <c r="F10">
        <v>2.0120044032251099</v>
      </c>
      <c r="G10">
        <v>-1828.3124339657631</v>
      </c>
      <c r="H10">
        <v>-1509.6751962242158</v>
      </c>
      <c r="I10">
        <v>313.26703004213402</v>
      </c>
      <c r="J10">
        <v>160.11770487905599</v>
      </c>
      <c r="K10">
        <v>55.111204972303703</v>
      </c>
      <c r="L10">
        <v>0.85241700796140818</v>
      </c>
      <c r="M10">
        <v>-0.85225576094286404</v>
      </c>
      <c r="N10">
        <v>46.969979616945402</v>
      </c>
      <c r="O10">
        <v>46.969974814088403</v>
      </c>
      <c r="P10">
        <v>46.9699706021689</v>
      </c>
      <c r="Q10" t="s">
        <v>51</v>
      </c>
    </row>
    <row r="11" spans="1:17" x14ac:dyDescent="0.2">
      <c r="A11">
        <v>10</v>
      </c>
      <c r="B11">
        <v>742</v>
      </c>
      <c r="C11">
        <v>300</v>
      </c>
      <c r="D11">
        <v>0.264217603309855</v>
      </c>
      <c r="E11">
        <v>110.88408540118699</v>
      </c>
      <c r="F11">
        <v>2.0131260541948399</v>
      </c>
      <c r="G11">
        <v>-1827.6878660696252</v>
      </c>
      <c r="H11">
        <v>-1510.0670681266799</v>
      </c>
      <c r="I11">
        <v>312.88295674468498</v>
      </c>
      <c r="J11">
        <v>160.125019293576</v>
      </c>
      <c r="K11">
        <v>55.080547574322303</v>
      </c>
      <c r="L11">
        <v>0.84895279039468452</v>
      </c>
      <c r="M11">
        <v>-0.84879082649695081</v>
      </c>
      <c r="N11">
        <v>46.753001331508798</v>
      </c>
      <c r="O11">
        <v>46.752996425991697</v>
      </c>
      <c r="P11">
        <v>46.7529922004653</v>
      </c>
      <c r="Q11" t="s">
        <v>51</v>
      </c>
    </row>
    <row r="12" spans="1:17" x14ac:dyDescent="0.2">
      <c r="A12">
        <v>11</v>
      </c>
      <c r="B12">
        <v>740</v>
      </c>
      <c r="C12">
        <v>300</v>
      </c>
      <c r="D12">
        <v>0.26262695553471999</v>
      </c>
      <c r="E12">
        <v>110.884184516498</v>
      </c>
      <c r="F12">
        <v>2.0142526270258299</v>
      </c>
      <c r="G12">
        <v>-1827.0640787956399</v>
      </c>
      <c r="H12">
        <v>-1510.4582987849408</v>
      </c>
      <c r="I12">
        <v>312.49877033736499</v>
      </c>
      <c r="J12">
        <v>160.13205918064801</v>
      </c>
      <c r="K12">
        <v>55.049790194502798</v>
      </c>
      <c r="L12">
        <v>0.84552435568092976</v>
      </c>
      <c r="M12">
        <v>-0.84536169182926735</v>
      </c>
      <c r="N12">
        <v>46.538121597930797</v>
      </c>
      <c r="O12">
        <v>46.538116589217999</v>
      </c>
      <c r="P12">
        <v>46.538112350661301</v>
      </c>
      <c r="Q12" t="s">
        <v>51</v>
      </c>
    </row>
    <row r="13" spans="1:17" x14ac:dyDescent="0.2">
      <c r="A13">
        <v>12</v>
      </c>
      <c r="B13">
        <v>738</v>
      </c>
      <c r="C13">
        <v>300</v>
      </c>
      <c r="D13">
        <v>0.26103001532908299</v>
      </c>
      <c r="E13">
        <v>110.88428442472799</v>
      </c>
      <c r="F13">
        <v>2.0153840435569501</v>
      </c>
      <c r="G13">
        <v>-1826.4410724979471</v>
      </c>
      <c r="H13">
        <v>-1510.8488985394958</v>
      </c>
      <c r="I13">
        <v>312.11446027507702</v>
      </c>
      <c r="J13">
        <v>160.138823120761</v>
      </c>
      <c r="K13">
        <v>55.0189353633208</v>
      </c>
      <c r="L13">
        <v>0.84213109797747532</v>
      </c>
      <c r="M13">
        <v>-0.84196775092920706</v>
      </c>
      <c r="N13">
        <v>46.3253069330638</v>
      </c>
      <c r="O13">
        <v>46.325301820641698</v>
      </c>
      <c r="P13">
        <v>46.3252975696265</v>
      </c>
      <c r="Q13" t="s">
        <v>51</v>
      </c>
    </row>
    <row r="14" spans="1:17" x14ac:dyDescent="0.2">
      <c r="A14">
        <v>13</v>
      </c>
      <c r="B14">
        <v>736</v>
      </c>
      <c r="C14">
        <v>300</v>
      </c>
      <c r="D14">
        <v>0.25942674528068399</v>
      </c>
      <c r="E14">
        <v>110.884381565713</v>
      </c>
      <c r="F14">
        <v>2.01622138745071</v>
      </c>
      <c r="G14">
        <v>-1825.8187940910314</v>
      </c>
      <c r="H14">
        <v>-1511.3132867032016</v>
      </c>
      <c r="I14">
        <v>311.65624380531301</v>
      </c>
      <c r="J14">
        <v>160.14409337787001</v>
      </c>
      <c r="K14">
        <v>54.996133984033499</v>
      </c>
      <c r="L14">
        <v>0.83480931735446118</v>
      </c>
      <c r="M14">
        <v>-0.83464420846085829</v>
      </c>
      <c r="N14">
        <v>45.9033496533619</v>
      </c>
      <c r="O14">
        <v>45.903344406459802</v>
      </c>
      <c r="P14">
        <v>45.903340116158901</v>
      </c>
      <c r="Q14" t="s">
        <v>51</v>
      </c>
    </row>
    <row r="15" spans="1:17" x14ac:dyDescent="0.2">
      <c r="A15">
        <v>14</v>
      </c>
      <c r="B15">
        <v>734</v>
      </c>
      <c r="C15">
        <v>300</v>
      </c>
      <c r="D15">
        <v>0.25781710768008598</v>
      </c>
      <c r="E15">
        <v>110.890992139958</v>
      </c>
      <c r="F15">
        <v>1.9626767510130001</v>
      </c>
      <c r="G15">
        <v>-1825.3129809628126</v>
      </c>
      <c r="H15">
        <v>-1522.2645047176848</v>
      </c>
      <c r="I15">
        <v>300.90182899249498</v>
      </c>
      <c r="J15">
        <v>160.67562697629899</v>
      </c>
      <c r="K15">
        <v>56.499875531069598</v>
      </c>
      <c r="L15">
        <v>0.31003246506090137</v>
      </c>
      <c r="M15">
        <v>-0.30970172650030342</v>
      </c>
      <c r="N15">
        <v>17.500427169364499</v>
      </c>
      <c r="O15">
        <v>17.500417217917601</v>
      </c>
      <c r="P15">
        <v>17.500408630341798</v>
      </c>
      <c r="Q15" t="s">
        <v>51</v>
      </c>
    </row>
    <row r="16" spans="1:17" x14ac:dyDescent="0.2">
      <c r="A16">
        <v>15</v>
      </c>
      <c r="B16">
        <v>732</v>
      </c>
      <c r="C16">
        <v>300</v>
      </c>
      <c r="D16">
        <v>0.256201064517732</v>
      </c>
      <c r="E16">
        <v>110.891433082142</v>
      </c>
      <c r="F16">
        <v>1.95029262042354</v>
      </c>
      <c r="G16">
        <v>-1824.7220434073954</v>
      </c>
      <c r="H16">
        <v>-1525.3229844767391</v>
      </c>
      <c r="I16">
        <v>297.87045214723099</v>
      </c>
      <c r="J16">
        <v>160.90320330244799</v>
      </c>
      <c r="K16">
        <v>56.858869238842701</v>
      </c>
      <c r="L16">
        <v>0.17931000130900429</v>
      </c>
      <c r="M16">
        <v>-0.17893814953537848</v>
      </c>
      <c r="N16">
        <v>10.176829489098299</v>
      </c>
      <c r="O16">
        <v>10.176818236219299</v>
      </c>
      <c r="P16">
        <v>10.1768085585877</v>
      </c>
      <c r="Q16" t="s">
        <v>51</v>
      </c>
    </row>
    <row r="17" spans="1:17" x14ac:dyDescent="0.2">
      <c r="A17">
        <v>16</v>
      </c>
      <c r="B17">
        <v>730</v>
      </c>
      <c r="C17">
        <v>300</v>
      </c>
      <c r="D17">
        <v>0.25457857748093798</v>
      </c>
      <c r="E17">
        <v>110.891557014162</v>
      </c>
      <c r="F17">
        <v>1.9471364869396901</v>
      </c>
      <c r="G17">
        <v>-1824.1296629940364</v>
      </c>
      <c r="H17">
        <v>-1526.5694353611432</v>
      </c>
      <c r="I17">
        <v>296.63147523837603</v>
      </c>
      <c r="J17">
        <v>161.04456868590501</v>
      </c>
      <c r="K17">
        <v>56.951096010968399</v>
      </c>
      <c r="L17">
        <v>0.13564454518160546</v>
      </c>
      <c r="M17">
        <v>-0.1352593032409678</v>
      </c>
      <c r="N17">
        <v>7.7058605263593902</v>
      </c>
      <c r="O17">
        <v>7.7058487642386897</v>
      </c>
      <c r="P17">
        <v>7.7058387403339097</v>
      </c>
      <c r="Q17" t="s">
        <v>51</v>
      </c>
    </row>
    <row r="18" spans="1:17" x14ac:dyDescent="0.2">
      <c r="A18">
        <v>17</v>
      </c>
      <c r="B18">
        <v>728</v>
      </c>
      <c r="C18">
        <v>300</v>
      </c>
      <c r="D18">
        <v>0.25294960795086002</v>
      </c>
      <c r="E18">
        <v>110.89153490821199</v>
      </c>
      <c r="F18">
        <v>1.9461637343357601</v>
      </c>
      <c r="G18">
        <v>-1823.5368954334167</v>
      </c>
      <c r="H18">
        <v>-1527.385922827895</v>
      </c>
      <c r="I18">
        <v>295.816532416256</v>
      </c>
      <c r="J18">
        <v>161.16862537876099</v>
      </c>
      <c r="K18">
        <v>56.979550564927401</v>
      </c>
      <c r="L18">
        <v>0.11242760109162418</v>
      </c>
      <c r="M18">
        <v>-0.11203550140322104</v>
      </c>
      <c r="N18">
        <v>6.3864651689281304</v>
      </c>
      <c r="O18">
        <v>6.3864530895614298</v>
      </c>
      <c r="P18">
        <v>6.386442896778</v>
      </c>
      <c r="Q18" t="s">
        <v>51</v>
      </c>
    </row>
    <row r="19" spans="1:17" x14ac:dyDescent="0.2">
      <c r="A19">
        <v>18</v>
      </c>
      <c r="B19">
        <v>726</v>
      </c>
      <c r="C19">
        <v>300</v>
      </c>
      <c r="D19">
        <v>0.251314116999449</v>
      </c>
      <c r="E19">
        <v>110.891452221249</v>
      </c>
      <c r="F19">
        <v>1.9460874117144</v>
      </c>
      <c r="G19">
        <v>-1822.9445799774398</v>
      </c>
      <c r="H19">
        <v>-1528.0253054977131</v>
      </c>
      <c r="I19">
        <v>295.17599430895598</v>
      </c>
      <c r="J19">
        <v>161.289339793952</v>
      </c>
      <c r="K19">
        <v>56.981742728379999</v>
      </c>
      <c r="L19">
        <v>9.7607563819349416E-2</v>
      </c>
      <c r="M19">
        <v>-9.7211290785124624E-2</v>
      </c>
      <c r="N19">
        <v>5.5420190476559501</v>
      </c>
      <c r="O19">
        <v>5.5420067332077503</v>
      </c>
      <c r="P19">
        <v>5.5419964449337904</v>
      </c>
      <c r="Q19" t="s">
        <v>51</v>
      </c>
    </row>
    <row r="20" spans="1:17" x14ac:dyDescent="0.2">
      <c r="A20">
        <v>19</v>
      </c>
      <c r="B20">
        <v>724</v>
      </c>
      <c r="C20">
        <v>300</v>
      </c>
      <c r="D20">
        <v>0.249672065386352</v>
      </c>
      <c r="E20">
        <v>110.891337216826</v>
      </c>
      <c r="F20">
        <v>1.9464753931548999</v>
      </c>
      <c r="G20">
        <v>-1822.3529232879207</v>
      </c>
      <c r="H20">
        <v>-1528.5727698381124</v>
      </c>
      <c r="I20">
        <v>294.62570724553899</v>
      </c>
      <c r="J20">
        <v>161.41167644250299</v>
      </c>
      <c r="K20">
        <v>56.970325752277098</v>
      </c>
      <c r="L20">
        <v>8.7140985021415679E-2</v>
      </c>
      <c r="M20">
        <v>-8.6741931306064071E-2</v>
      </c>
      <c r="N20">
        <v>4.9444735864754099</v>
      </c>
      <c r="O20">
        <v>4.9444610820605996</v>
      </c>
      <c r="P20">
        <v>4.9444507366088004</v>
      </c>
      <c r="Q20" t="s">
        <v>51</v>
      </c>
    </row>
    <row r="21" spans="1:17" x14ac:dyDescent="0.2">
      <c r="A21">
        <v>20</v>
      </c>
      <c r="B21">
        <v>760</v>
      </c>
      <c r="C21">
        <v>285</v>
      </c>
      <c r="D21">
        <v>0.29422687896239802</v>
      </c>
      <c r="E21">
        <v>110.883414033805</v>
      </c>
      <c r="F21">
        <v>1.9852535618327001</v>
      </c>
      <c r="G21">
        <v>-1834.1740172640571</v>
      </c>
      <c r="H21">
        <v>-1507.1646336521546</v>
      </c>
      <c r="I21">
        <v>316.51913231476902</v>
      </c>
      <c r="J21">
        <v>160.54465280535399</v>
      </c>
      <c r="K21">
        <v>55.853527310356498</v>
      </c>
      <c r="L21">
        <v>0.86900281386297651</v>
      </c>
      <c r="M21">
        <v>-0.86882613159131339</v>
      </c>
      <c r="N21">
        <v>48.528356211770699</v>
      </c>
      <c r="O21">
        <v>48.528351791424598</v>
      </c>
      <c r="P21">
        <v>48.528346760803601</v>
      </c>
      <c r="Q21" t="s">
        <v>51</v>
      </c>
    </row>
    <row r="22" spans="1:17" x14ac:dyDescent="0.2">
      <c r="A22">
        <v>21</v>
      </c>
      <c r="B22">
        <v>758</v>
      </c>
      <c r="C22">
        <v>285</v>
      </c>
      <c r="D22">
        <v>0.29272220336517601</v>
      </c>
      <c r="E22">
        <v>110.883496652738</v>
      </c>
      <c r="F22">
        <v>1.98635871628733</v>
      </c>
      <c r="G22">
        <v>-1833.5426291944527</v>
      </c>
      <c r="H22">
        <v>-1507.513375651233</v>
      </c>
      <c r="I22">
        <v>316.18253160760003</v>
      </c>
      <c r="J22">
        <v>160.540584707958</v>
      </c>
      <c r="K22">
        <v>55.822493562486301</v>
      </c>
      <c r="L22">
        <v>0.86781031511466955</v>
      </c>
      <c r="M22">
        <v>-0.86763342539233768</v>
      </c>
      <c r="N22">
        <v>48.434809045183997</v>
      </c>
      <c r="O22">
        <v>48.4348045263852</v>
      </c>
      <c r="P22">
        <v>48.434799494390198</v>
      </c>
      <c r="Q22" t="s">
        <v>51</v>
      </c>
    </row>
    <row r="23" spans="1:17" x14ac:dyDescent="0.2">
      <c r="A23">
        <v>22</v>
      </c>
      <c r="B23">
        <v>756</v>
      </c>
      <c r="C23">
        <v>285</v>
      </c>
      <c r="D23">
        <v>0.29121167954136901</v>
      </c>
      <c r="E23">
        <v>110.88359027557</v>
      </c>
      <c r="F23">
        <v>1.98747353874188</v>
      </c>
      <c r="G23">
        <v>-1832.9121556390867</v>
      </c>
      <c r="H23">
        <v>-1507.9091099889183</v>
      </c>
      <c r="I23">
        <v>315.799858300138</v>
      </c>
      <c r="J23">
        <v>160.55120066215301</v>
      </c>
      <c r="K23">
        <v>55.7912284687633</v>
      </c>
      <c r="L23">
        <v>0.86418866216863799</v>
      </c>
      <c r="M23">
        <v>-0.86401092263984169</v>
      </c>
      <c r="N23">
        <v>48.205579108416302</v>
      </c>
      <c r="O23">
        <v>48.205574473776402</v>
      </c>
      <c r="P23">
        <v>48.205569422352902</v>
      </c>
      <c r="Q23" t="s">
        <v>51</v>
      </c>
    </row>
    <row r="24" spans="1:17" x14ac:dyDescent="0.2">
      <c r="A24">
        <v>23</v>
      </c>
      <c r="B24">
        <v>754</v>
      </c>
      <c r="C24">
        <v>285</v>
      </c>
      <c r="D24">
        <v>0.28969527332911499</v>
      </c>
      <c r="E24">
        <v>110.883684637524</v>
      </c>
      <c r="F24">
        <v>1.9885939708332301</v>
      </c>
      <c r="G24">
        <v>-1832.2824591312065</v>
      </c>
      <c r="H24">
        <v>-1508.3041494822639</v>
      </c>
      <c r="I24">
        <v>315.41712757563602</v>
      </c>
      <c r="J24">
        <v>160.561577807199</v>
      </c>
      <c r="K24">
        <v>55.759841508050002</v>
      </c>
      <c r="L24">
        <v>0.86060585907059006</v>
      </c>
      <c r="M24">
        <v>-0.8604272884515799</v>
      </c>
      <c r="N24">
        <v>47.9786379506643</v>
      </c>
      <c r="O24">
        <v>47.978633199293697</v>
      </c>
      <c r="P24">
        <v>47.978628129131202</v>
      </c>
      <c r="Q24" t="s">
        <v>51</v>
      </c>
    </row>
    <row r="25" spans="1:17" x14ac:dyDescent="0.2">
      <c r="A25">
        <v>24</v>
      </c>
      <c r="B25">
        <v>752</v>
      </c>
      <c r="C25">
        <v>285</v>
      </c>
      <c r="D25">
        <v>0.28817295029995899</v>
      </c>
      <c r="E25">
        <v>110.88377974570599</v>
      </c>
      <c r="F25">
        <v>1.9897199153918801</v>
      </c>
      <c r="G25">
        <v>-1831.6535399087766</v>
      </c>
      <c r="H25">
        <v>-1508.6985056939741</v>
      </c>
      <c r="I25">
        <v>315.03432805376701</v>
      </c>
      <c r="J25">
        <v>160.57171490261899</v>
      </c>
      <c r="K25">
        <v>55.728335876794603</v>
      </c>
      <c r="L25">
        <v>0.85706122745508739</v>
      </c>
      <c r="M25">
        <v>-0.85688184426878455</v>
      </c>
      <c r="N25">
        <v>47.7539481500364</v>
      </c>
      <c r="O25">
        <v>47.753943281070399</v>
      </c>
      <c r="P25">
        <v>47.753938192853802</v>
      </c>
      <c r="Q25" t="s">
        <v>51</v>
      </c>
    </row>
    <row r="26" spans="1:17" x14ac:dyDescent="0.2">
      <c r="A26">
        <v>25</v>
      </c>
      <c r="B26">
        <v>750</v>
      </c>
      <c r="C26">
        <v>285</v>
      </c>
      <c r="D26">
        <v>0.28664467575624197</v>
      </c>
      <c r="E26">
        <v>110.883875607267</v>
      </c>
      <c r="F26">
        <v>1.99085127686418</v>
      </c>
      <c r="G26">
        <v>-1831.0253982330739</v>
      </c>
      <c r="H26">
        <v>-1509.0921899272032</v>
      </c>
      <c r="I26">
        <v>314.65144854162202</v>
      </c>
      <c r="J26">
        <v>160.58161064095</v>
      </c>
      <c r="K26">
        <v>55.6967147148845</v>
      </c>
      <c r="L26">
        <v>0.85355410416297195</v>
      </c>
      <c r="M26">
        <v>-0.85337392674326651</v>
      </c>
      <c r="N26">
        <v>47.531473096067202</v>
      </c>
      <c r="O26">
        <v>47.531468108666303</v>
      </c>
      <c r="P26">
        <v>47.5314630030758</v>
      </c>
      <c r="Q26" t="s">
        <v>51</v>
      </c>
    </row>
    <row r="27" spans="1:17" x14ac:dyDescent="0.2">
      <c r="A27">
        <v>26</v>
      </c>
      <c r="B27">
        <v>748</v>
      </c>
      <c r="C27">
        <v>285</v>
      </c>
      <c r="D27">
        <v>0.28511041472849202</v>
      </c>
      <c r="E27">
        <v>110.883972229414</v>
      </c>
      <c r="F27">
        <v>1.99198796126771</v>
      </c>
      <c r="G27">
        <v>-1830.3980343883943</v>
      </c>
      <c r="H27">
        <v>-1509.485213232492</v>
      </c>
      <c r="I27">
        <v>314.268478028468</v>
      </c>
      <c r="J27">
        <v>160.59126364925899</v>
      </c>
      <c r="K27">
        <v>55.664981107037903</v>
      </c>
      <c r="L27">
        <v>0.85008384081436361</v>
      </c>
      <c r="M27">
        <v>-0.84990288731026065</v>
      </c>
      <c r="N27">
        <v>47.311176967697897</v>
      </c>
      <c r="O27">
        <v>47.311171861048201</v>
      </c>
      <c r="P27">
        <v>47.311166738759198</v>
      </c>
      <c r="Q27" t="s">
        <v>51</v>
      </c>
    </row>
    <row r="28" spans="1:17" x14ac:dyDescent="0.2">
      <c r="A28">
        <v>27</v>
      </c>
      <c r="B28">
        <v>746</v>
      </c>
      <c r="C28">
        <v>285</v>
      </c>
      <c r="D28">
        <v>0.28357013197272302</v>
      </c>
      <c r="E28">
        <v>110.88406961941701</v>
      </c>
      <c r="F28">
        <v>1.9931298761504701</v>
      </c>
      <c r="G28">
        <v>-1829.7714486819068</v>
      </c>
      <c r="H28">
        <v>-1509.8775864147253</v>
      </c>
      <c r="I28">
        <v>313.88540568057101</v>
      </c>
      <c r="J28">
        <v>160.600672490595</v>
      </c>
      <c r="K28">
        <v>55.633138084096402</v>
      </c>
      <c r="L28">
        <v>0.84664980339196039</v>
      </c>
      <c r="M28">
        <v>-0.84646809177158089</v>
      </c>
      <c r="N28">
        <v>47.093024711698497</v>
      </c>
      <c r="O28">
        <v>47.093019485011602</v>
      </c>
      <c r="P28">
        <v>47.093014346695099</v>
      </c>
      <c r="Q28" t="s">
        <v>51</v>
      </c>
    </row>
    <row r="29" spans="1:17" x14ac:dyDescent="0.2">
      <c r="A29">
        <v>28</v>
      </c>
      <c r="B29">
        <v>744</v>
      </c>
      <c r="C29">
        <v>285</v>
      </c>
      <c r="D29">
        <v>0.28202379196775501</v>
      </c>
      <c r="E29">
        <v>110.884167784647</v>
      </c>
      <c r="F29">
        <v>1.9942769305479799</v>
      </c>
      <c r="G29">
        <v>-1829.145641443866</v>
      </c>
      <c r="H29">
        <v>-1510.2693200396793</v>
      </c>
      <c r="I29">
        <v>313.50222083670002</v>
      </c>
      <c r="J29">
        <v>160.60983566544701</v>
      </c>
      <c r="K29">
        <v>55.601188624380001</v>
      </c>
      <c r="L29">
        <v>0.84325137185978816</v>
      </c>
      <c r="M29">
        <v>-0.84306891991423105</v>
      </c>
      <c r="N29">
        <v>46.876982023073801</v>
      </c>
      <c r="O29">
        <v>46.8769766755874</v>
      </c>
      <c r="P29">
        <v>46.876971521909901</v>
      </c>
      <c r="Q29" t="s">
        <v>51</v>
      </c>
    </row>
    <row r="30" spans="1:17" x14ac:dyDescent="0.2">
      <c r="A30">
        <v>29</v>
      </c>
      <c r="B30">
        <v>742</v>
      </c>
      <c r="C30">
        <v>285</v>
      </c>
      <c r="D30">
        <v>0.28047135891247499</v>
      </c>
      <c r="E30">
        <v>110.884266732463</v>
      </c>
      <c r="F30">
        <v>1.99542903495014</v>
      </c>
      <c r="G30">
        <v>-1828.5206130254021</v>
      </c>
      <c r="H30">
        <v>-1510.6604244390237</v>
      </c>
      <c r="I30">
        <v>313.11891300272902</v>
      </c>
      <c r="J30">
        <v>160.61875161282299</v>
      </c>
      <c r="K30">
        <v>55.569135654696098</v>
      </c>
      <c r="L30">
        <v>0.83988793976370513</v>
      </c>
      <c r="M30">
        <v>-0.83970476511077441</v>
      </c>
      <c r="N30">
        <v>46.6630153241206</v>
      </c>
      <c r="O30">
        <v>46.663009855098501</v>
      </c>
      <c r="P30">
        <v>46.663004686721997</v>
      </c>
      <c r="Q30" t="s">
        <v>51</v>
      </c>
    </row>
    <row r="31" spans="1:17" x14ac:dyDescent="0.2">
      <c r="A31">
        <v>30</v>
      </c>
      <c r="B31">
        <v>740</v>
      </c>
      <c r="C31">
        <v>285</v>
      </c>
      <c r="D31">
        <v>0.27891279672309399</v>
      </c>
      <c r="E31">
        <v>110.884366470343</v>
      </c>
      <c r="F31">
        <v>1.99658610125706</v>
      </c>
      <c r="G31">
        <v>-1827.8963638003979</v>
      </c>
      <c r="H31">
        <v>-1511.0509097180632</v>
      </c>
      <c r="I31">
        <v>312.73547184750203</v>
      </c>
      <c r="J31">
        <v>160.627418712062</v>
      </c>
      <c r="K31">
        <v>55.536982051777898</v>
      </c>
      <c r="L31">
        <v>0.83655891386315129</v>
      </c>
      <c r="M31">
        <v>-0.83637503395094659</v>
      </c>
      <c r="N31">
        <v>46.451091745549199</v>
      </c>
      <c r="O31">
        <v>46.451086154281803</v>
      </c>
      <c r="P31">
        <v>46.451080971863597</v>
      </c>
      <c r="Q31" t="s">
        <v>51</v>
      </c>
    </row>
    <row r="32" spans="1:17" x14ac:dyDescent="0.2">
      <c r="A32">
        <v>31</v>
      </c>
      <c r="B32">
        <v>738</v>
      </c>
      <c r="C32">
        <v>285</v>
      </c>
      <c r="D32">
        <v>0.277348069030313</v>
      </c>
      <c r="E32">
        <v>110.884467005814</v>
      </c>
      <c r="F32">
        <v>1.9977480427496399</v>
      </c>
      <c r="G32">
        <v>-1827.2728941640084</v>
      </c>
      <c r="H32">
        <v>-1511.4407857605586</v>
      </c>
      <c r="I32">
        <v>312.35188719821099</v>
      </c>
      <c r="J32">
        <v>160.63583528374701</v>
      </c>
      <c r="K32">
        <v>55.504730643207502</v>
      </c>
      <c r="L32">
        <v>0.83326371377825215</v>
      </c>
      <c r="M32">
        <v>-0.83307914588863929</v>
      </c>
      <c r="N32">
        <v>46.241179107988501</v>
      </c>
      <c r="O32">
        <v>46.241173393792799</v>
      </c>
      <c r="P32">
        <v>46.241168197986099</v>
      </c>
      <c r="Q32" t="s">
        <v>51</v>
      </c>
    </row>
    <row r="33" spans="1:17" x14ac:dyDescent="0.2">
      <c r="A33">
        <v>32</v>
      </c>
      <c r="B33">
        <v>736</v>
      </c>
      <c r="C33">
        <v>285</v>
      </c>
      <c r="D33">
        <v>0.27577713917653601</v>
      </c>
      <c r="E33">
        <v>110.891887277498</v>
      </c>
      <c r="F33">
        <v>1.9414330914184099</v>
      </c>
      <c r="G33">
        <v>-1826.7814663860586</v>
      </c>
      <c r="H33">
        <v>-1523.0534059934371</v>
      </c>
      <c r="I33">
        <v>300.97908590085399</v>
      </c>
      <c r="J33">
        <v>161.001314395793</v>
      </c>
      <c r="K33">
        <v>57.118572753120802</v>
      </c>
      <c r="L33">
        <v>0.28042762712609509</v>
      </c>
      <c r="M33">
        <v>-0.28006192262708196</v>
      </c>
      <c r="N33">
        <v>15.999437011527499</v>
      </c>
      <c r="O33">
        <v>15.9994261741261</v>
      </c>
      <c r="P33">
        <v>15.999415855526699</v>
      </c>
      <c r="Q33" t="s">
        <v>51</v>
      </c>
    </row>
    <row r="34" spans="1:17" x14ac:dyDescent="0.2">
      <c r="A34">
        <v>33</v>
      </c>
      <c r="B34">
        <v>734</v>
      </c>
      <c r="C34">
        <v>285</v>
      </c>
      <c r="D34">
        <v>0.27419997021297599</v>
      </c>
      <c r="E34">
        <v>110.892177311366</v>
      </c>
      <c r="F34">
        <v>1.9316413073052201</v>
      </c>
      <c r="G34">
        <v>-1826.1873152535888</v>
      </c>
      <c r="H34">
        <v>-1525.6698229055403</v>
      </c>
      <c r="I34">
        <v>298.38949664990702</v>
      </c>
      <c r="J34">
        <v>161.147131236104</v>
      </c>
      <c r="K34">
        <v>57.408265650556601</v>
      </c>
      <c r="L34">
        <v>0.17169475647969981</v>
      </c>
      <c r="M34">
        <v>-0.17129388124203193</v>
      </c>
      <c r="N34">
        <v>9.8366435033858792</v>
      </c>
      <c r="O34">
        <v>9.8366315013487799</v>
      </c>
      <c r="P34">
        <v>9.8366201689032398</v>
      </c>
      <c r="Q34" t="s">
        <v>51</v>
      </c>
    </row>
    <row r="35" spans="1:17" x14ac:dyDescent="0.2">
      <c r="A35">
        <v>34</v>
      </c>
      <c r="B35">
        <v>732</v>
      </c>
      <c r="C35">
        <v>285</v>
      </c>
      <c r="D35">
        <v>0.27261652489678301</v>
      </c>
      <c r="E35">
        <v>110.892237468594</v>
      </c>
      <c r="F35">
        <v>1.9290628939959</v>
      </c>
      <c r="G35">
        <v>-1825.5927661946255</v>
      </c>
      <c r="H35">
        <v>-1526.8365273257973</v>
      </c>
      <c r="I35">
        <v>297.23117277478099</v>
      </c>
      <c r="J35">
        <v>161.258947268687</v>
      </c>
      <c r="K35">
        <v>57.485029551778901</v>
      </c>
      <c r="L35">
        <v>0.13206790229122303</v>
      </c>
      <c r="M35">
        <v>-0.13165457313417858</v>
      </c>
      <c r="N35">
        <v>7.57120827143157</v>
      </c>
      <c r="O35">
        <v>7.5711957492779698</v>
      </c>
      <c r="P35">
        <v>7.5711840675148201</v>
      </c>
      <c r="Q35" t="s">
        <v>51</v>
      </c>
    </row>
    <row r="36" spans="1:17" x14ac:dyDescent="0.2">
      <c r="A36">
        <v>35</v>
      </c>
      <c r="B36">
        <v>730</v>
      </c>
      <c r="C36">
        <v>285</v>
      </c>
      <c r="D36">
        <v>0.27102676568808798</v>
      </c>
      <c r="E36">
        <v>110.89219047316899</v>
      </c>
      <c r="F36">
        <v>1.9283622857712599</v>
      </c>
      <c r="G36">
        <v>-1824.9983616606091</v>
      </c>
      <c r="H36">
        <v>-1527.6243595740948</v>
      </c>
      <c r="I36">
        <v>296.44597323566398</v>
      </c>
      <c r="J36">
        <v>161.36536203311499</v>
      </c>
      <c r="K36">
        <v>57.5058905120707</v>
      </c>
      <c r="L36">
        <v>0.11034935406066974</v>
      </c>
      <c r="M36">
        <v>-0.10992947069935544</v>
      </c>
      <c r="N36">
        <v>6.32466940151616</v>
      </c>
      <c r="O36">
        <v>6.3246565312428498</v>
      </c>
      <c r="P36">
        <v>6.3246446745992504</v>
      </c>
      <c r="Q36" t="s">
        <v>51</v>
      </c>
    </row>
    <row r="37" spans="1:17" x14ac:dyDescent="0.2">
      <c r="A37">
        <v>36</v>
      </c>
      <c r="B37">
        <v>728</v>
      </c>
      <c r="C37">
        <v>285</v>
      </c>
      <c r="D37">
        <v>0.26943065474704297</v>
      </c>
      <c r="E37">
        <v>110.89209717846801</v>
      </c>
      <c r="F37">
        <v>1.92846135417162</v>
      </c>
      <c r="G37">
        <v>-1824.4045989841804</v>
      </c>
      <c r="H37">
        <v>-1528.2502885506988</v>
      </c>
      <c r="I37">
        <v>295.81995917396</v>
      </c>
      <c r="J37">
        <v>161.472978881915</v>
      </c>
      <c r="K37">
        <v>57.502887957068999</v>
      </c>
      <c r="L37">
        <v>9.6262155250306097E-2</v>
      </c>
      <c r="M37">
        <v>-9.5838233751528473E-2</v>
      </c>
      <c r="N37">
        <v>5.5140687473744796</v>
      </c>
      <c r="O37">
        <v>5.5140556054152396</v>
      </c>
      <c r="P37">
        <v>5.5140436487792002</v>
      </c>
      <c r="Q37" t="s">
        <v>51</v>
      </c>
    </row>
    <row r="38" spans="1:17" x14ac:dyDescent="0.2">
      <c r="A38">
        <v>37</v>
      </c>
      <c r="B38">
        <v>726</v>
      </c>
      <c r="C38">
        <v>285</v>
      </c>
      <c r="D38">
        <v>0.26782815393083897</v>
      </c>
      <c r="E38">
        <v>110.891978430733</v>
      </c>
      <c r="F38">
        <v>1.92898325028911</v>
      </c>
      <c r="G38">
        <v>-1823.8115842322704</v>
      </c>
      <c r="H38">
        <v>-1528.7904386246687</v>
      </c>
      <c r="I38">
        <v>295.27802037720602</v>
      </c>
      <c r="J38">
        <v>161.584330178128</v>
      </c>
      <c r="K38">
        <v>57.487268701847299</v>
      </c>
      <c r="L38">
        <v>8.6214329837413159E-2</v>
      </c>
      <c r="M38">
        <v>-8.5787703392581294E-2</v>
      </c>
      <c r="N38">
        <v>4.9348000159633401</v>
      </c>
      <c r="O38">
        <v>4.9347866453039702</v>
      </c>
      <c r="P38">
        <v>4.9347746286165304</v>
      </c>
      <c r="Q38" t="s">
        <v>51</v>
      </c>
    </row>
    <row r="39" spans="1:17" x14ac:dyDescent="0.2">
      <c r="A39">
        <v>38</v>
      </c>
      <c r="B39">
        <v>760</v>
      </c>
      <c r="C39">
        <v>270</v>
      </c>
      <c r="D39">
        <v>0.31019745438706797</v>
      </c>
      <c r="E39">
        <v>110.883591446712</v>
      </c>
      <c r="F39">
        <v>1.96617668087933</v>
      </c>
      <c r="G39">
        <v>-1835.018687986691</v>
      </c>
      <c r="H39">
        <v>-1507.7617239630981</v>
      </c>
      <c r="I39">
        <v>316.75890487451301</v>
      </c>
      <c r="J39">
        <v>161.028745632214</v>
      </c>
      <c r="K39">
        <v>56.3955378603724</v>
      </c>
      <c r="L39">
        <v>0.85850626540572839</v>
      </c>
      <c r="M39">
        <v>-0.85830555598318725</v>
      </c>
      <c r="N39">
        <v>48.406219666122801</v>
      </c>
      <c r="O39">
        <v>48.406214913533503</v>
      </c>
      <c r="P39">
        <v>48.406208716481103</v>
      </c>
      <c r="Q39" t="s">
        <v>51</v>
      </c>
    </row>
    <row r="40" spans="1:17" x14ac:dyDescent="0.2">
      <c r="A40">
        <v>39</v>
      </c>
      <c r="B40">
        <v>758</v>
      </c>
      <c r="C40">
        <v>270</v>
      </c>
      <c r="D40">
        <v>0.30872375503079302</v>
      </c>
      <c r="E40">
        <v>110.88367439859999</v>
      </c>
      <c r="F40">
        <v>1.96732342117606</v>
      </c>
      <c r="G40">
        <v>-1834.3868262812848</v>
      </c>
      <c r="H40">
        <v>-1508.1096416880766</v>
      </c>
      <c r="I40">
        <v>316.42310897341298</v>
      </c>
      <c r="J40">
        <v>161.02647954438601</v>
      </c>
      <c r="K40">
        <v>56.362707425255998</v>
      </c>
      <c r="L40">
        <v>0.85742909703947545</v>
      </c>
      <c r="M40">
        <v>-0.85722820425525892</v>
      </c>
      <c r="N40">
        <v>48.317312782402801</v>
      </c>
      <c r="O40">
        <v>48.317307909910298</v>
      </c>
      <c r="P40">
        <v>48.3173017118811</v>
      </c>
      <c r="Q40" t="s">
        <v>51</v>
      </c>
    </row>
    <row r="41" spans="1:17" x14ac:dyDescent="0.2">
      <c r="A41">
        <v>40</v>
      </c>
      <c r="B41">
        <v>756</v>
      </c>
      <c r="C41">
        <v>270</v>
      </c>
      <c r="D41">
        <v>0.30724432784336703</v>
      </c>
      <c r="E41">
        <v>110.883768586842</v>
      </c>
      <c r="F41">
        <v>1.96847478266718</v>
      </c>
      <c r="G41">
        <v>-1833.7558803563199</v>
      </c>
      <c r="H41">
        <v>-1508.5044098963569</v>
      </c>
      <c r="I41">
        <v>316.04138252074199</v>
      </c>
      <c r="J41">
        <v>161.03867942562999</v>
      </c>
      <c r="K41">
        <v>56.329788709104399</v>
      </c>
      <c r="L41">
        <v>0.85392604220844504</v>
      </c>
      <c r="M41">
        <v>-0.853724290634573</v>
      </c>
      <c r="N41">
        <v>48.0917188454425</v>
      </c>
      <c r="O41">
        <v>48.0917138354381</v>
      </c>
      <c r="P41">
        <v>48.091707615835503</v>
      </c>
      <c r="Q41" t="s">
        <v>51</v>
      </c>
    </row>
    <row r="42" spans="1:17" x14ac:dyDescent="0.2">
      <c r="A42">
        <v>41</v>
      </c>
      <c r="B42">
        <v>754</v>
      </c>
      <c r="C42">
        <v>270</v>
      </c>
      <c r="D42">
        <v>0.30575913936620902</v>
      </c>
      <c r="E42">
        <v>110.883863518474</v>
      </c>
      <c r="F42">
        <v>1.9696319336496899</v>
      </c>
      <c r="G42">
        <v>-1833.1257096859101</v>
      </c>
      <c r="H42">
        <v>-1508.8985111712861</v>
      </c>
      <c r="I42">
        <v>315.65957343248101</v>
      </c>
      <c r="J42">
        <v>161.050667192595</v>
      </c>
      <c r="K42">
        <v>56.296743378347301</v>
      </c>
      <c r="L42">
        <v>0.85046021792067794</v>
      </c>
      <c r="M42">
        <v>-0.85025762694325091</v>
      </c>
      <c r="N42">
        <v>47.868344792345503</v>
      </c>
      <c r="O42">
        <v>47.868339643652597</v>
      </c>
      <c r="P42">
        <v>47.868333403264202</v>
      </c>
      <c r="Q42" t="s">
        <v>51</v>
      </c>
    </row>
    <row r="43" spans="1:17" x14ac:dyDescent="0.2">
      <c r="A43">
        <v>42</v>
      </c>
      <c r="B43">
        <v>752</v>
      </c>
      <c r="C43">
        <v>270</v>
      </c>
      <c r="D43">
        <v>0.30426815587962902</v>
      </c>
      <c r="E43">
        <v>110.88395920057199</v>
      </c>
      <c r="F43">
        <v>1.970794770068</v>
      </c>
      <c r="G43">
        <v>-1832.4963145576444</v>
      </c>
      <c r="H43">
        <v>-1509.2919565352099</v>
      </c>
      <c r="I43">
        <v>315.27767075609199</v>
      </c>
      <c r="J43">
        <v>161.06244110868701</v>
      </c>
      <c r="K43">
        <v>56.263574921475197</v>
      </c>
      <c r="L43">
        <v>0.84703097774369474</v>
      </c>
      <c r="M43">
        <v>-0.84682756656440383</v>
      </c>
      <c r="N43">
        <v>47.647154824372997</v>
      </c>
      <c r="O43">
        <v>47.647149535845799</v>
      </c>
      <c r="P43">
        <v>47.647143275455001</v>
      </c>
      <c r="Q43" t="s">
        <v>51</v>
      </c>
    </row>
    <row r="44" spans="1:17" x14ac:dyDescent="0.2">
      <c r="A44">
        <v>43</v>
      </c>
      <c r="B44">
        <v>750</v>
      </c>
      <c r="C44">
        <v>270</v>
      </c>
      <c r="D44">
        <v>0.302771343400284</v>
      </c>
      <c r="E44">
        <v>110.884055640331</v>
      </c>
      <c r="F44">
        <v>1.97196318937036</v>
      </c>
      <c r="G44">
        <v>-1831.8676952827618</v>
      </c>
      <c r="H44">
        <v>-1509.6847567656173</v>
      </c>
      <c r="I44">
        <v>314.895663715777</v>
      </c>
      <c r="J44">
        <v>161.07399937812599</v>
      </c>
      <c r="K44">
        <v>56.230286771091301</v>
      </c>
      <c r="L44">
        <v>0.84363768954080154</v>
      </c>
      <c r="M44">
        <v>-0.84343347718082184</v>
      </c>
      <c r="N44">
        <v>47.428113910125198</v>
      </c>
      <c r="O44">
        <v>47.428108480648497</v>
      </c>
      <c r="P44">
        <v>47.428102201034697</v>
      </c>
      <c r="Q44" t="s">
        <v>51</v>
      </c>
    </row>
    <row r="45" spans="1:17" x14ac:dyDescent="0.2">
      <c r="A45">
        <v>44</v>
      </c>
      <c r="B45">
        <v>748</v>
      </c>
      <c r="C45">
        <v>270</v>
      </c>
      <c r="D45">
        <v>0.301268667678598</v>
      </c>
      <c r="E45">
        <v>110.884152844955</v>
      </c>
      <c r="F45">
        <v>1.9731370904604999</v>
      </c>
      <c r="G45">
        <v>-1831.2398521939647</v>
      </c>
      <c r="H45">
        <v>-1510.0769223997238</v>
      </c>
      <c r="I45">
        <v>314.51354170757998</v>
      </c>
      <c r="J45">
        <v>161.08534014751299</v>
      </c>
      <c r="K45">
        <v>56.196882305362799</v>
      </c>
      <c r="L45">
        <v>0.84027973508242526</v>
      </c>
      <c r="M45">
        <v>-0.84007474038615415</v>
      </c>
      <c r="N45">
        <v>47.211187765511198</v>
      </c>
      <c r="O45">
        <v>47.211182194001303</v>
      </c>
      <c r="P45">
        <v>47.211175895939903</v>
      </c>
      <c r="Q45" t="s">
        <v>51</v>
      </c>
    </row>
    <row r="46" spans="1:17" x14ac:dyDescent="0.2">
      <c r="A46">
        <v>45</v>
      </c>
      <c r="B46">
        <v>746</v>
      </c>
      <c r="C46">
        <v>270</v>
      </c>
      <c r="D46">
        <v>0.29976009419614502</v>
      </c>
      <c r="E46">
        <v>110.884250821764</v>
      </c>
      <c r="F46">
        <v>1.9743163736568401</v>
      </c>
      <c r="G46">
        <v>-1830.6127856468661</v>
      </c>
      <c r="H46">
        <v>-1510.4684637422574</v>
      </c>
      <c r="I46">
        <v>314.13129429485502</v>
      </c>
      <c r="J46">
        <v>161.09646150748401</v>
      </c>
      <c r="K46">
        <v>56.163364849364598</v>
      </c>
      <c r="L46">
        <v>0.83695650966230961</v>
      </c>
      <c r="M46">
        <v>-0.83675075130095633</v>
      </c>
      <c r="N46">
        <v>46.996342833855103</v>
      </c>
      <c r="O46">
        <v>46.996337119259898</v>
      </c>
      <c r="P46">
        <v>46.996330803522604</v>
      </c>
      <c r="Q46" t="s">
        <v>51</v>
      </c>
    </row>
    <row r="47" spans="1:17" x14ac:dyDescent="0.2">
      <c r="A47">
        <v>46</v>
      </c>
      <c r="B47">
        <v>744</v>
      </c>
      <c r="C47">
        <v>270</v>
      </c>
      <c r="D47">
        <v>0.298245588163005</v>
      </c>
      <c r="E47">
        <v>110.884349578095</v>
      </c>
      <c r="F47">
        <v>1.9755009406475199</v>
      </c>
      <c r="G47">
        <v>-1829.9864960179971</v>
      </c>
      <c r="H47">
        <v>-1510.8593908700175</v>
      </c>
      <c r="I47">
        <v>313.74891120347098</v>
      </c>
      <c r="J47">
        <v>161.10736149434101</v>
      </c>
      <c r="K47">
        <v>56.129737676434303</v>
      </c>
      <c r="L47">
        <v>0.83366742172303754</v>
      </c>
      <c r="M47">
        <v>-0.833460918198064</v>
      </c>
      <c r="N47">
        <v>46.783546266490603</v>
      </c>
      <c r="O47">
        <v>46.783540407790099</v>
      </c>
      <c r="P47">
        <v>46.783534075144701</v>
      </c>
      <c r="Q47" t="s">
        <v>51</v>
      </c>
    </row>
    <row r="48" spans="1:17" x14ac:dyDescent="0.2">
      <c r="A48">
        <v>47</v>
      </c>
      <c r="B48">
        <v>742</v>
      </c>
      <c r="C48">
        <v>270</v>
      </c>
      <c r="D48">
        <v>0.29672511451509398</v>
      </c>
      <c r="E48">
        <v>110.88444912136001</v>
      </c>
      <c r="F48">
        <v>1.97669069445246</v>
      </c>
      <c r="G48">
        <v>-1829.360983705488</v>
      </c>
      <c r="H48">
        <v>-1511.2497136384077</v>
      </c>
      <c r="I48">
        <v>313.36638231764999</v>
      </c>
      <c r="J48">
        <v>161.11803809154699</v>
      </c>
      <c r="K48">
        <v>56.096004009405704</v>
      </c>
      <c r="L48">
        <v>0.83041189250674152</v>
      </c>
      <c r="M48">
        <v>-0.83020466215316835</v>
      </c>
      <c r="N48">
        <v>46.572765904628397</v>
      </c>
      <c r="O48">
        <v>46.572759900835202</v>
      </c>
      <c r="P48">
        <v>46.572753552045498</v>
      </c>
      <c r="Q48" t="s">
        <v>51</v>
      </c>
    </row>
    <row r="49" spans="1:17" x14ac:dyDescent="0.2">
      <c r="A49">
        <v>48</v>
      </c>
      <c r="B49">
        <v>740</v>
      </c>
      <c r="C49">
        <v>270</v>
      </c>
      <c r="D49">
        <v>0.295198637911468</v>
      </c>
      <c r="E49">
        <v>110.884549459087</v>
      </c>
      <c r="F49">
        <v>1.9778855393821699</v>
      </c>
      <c r="G49">
        <v>-1828.7362491293543</v>
      </c>
      <c r="H49">
        <v>-1511.6394416876226</v>
      </c>
      <c r="I49">
        <v>312.98369767570802</v>
      </c>
      <c r="J49">
        <v>161.128489231484</v>
      </c>
      <c r="K49">
        <v>56.062167021921702</v>
      </c>
      <c r="L49">
        <v>0.82718935570347318</v>
      </c>
      <c r="M49">
        <v>-0.8269814166930437</v>
      </c>
      <c r="N49">
        <v>46.363970261117601</v>
      </c>
      <c r="O49">
        <v>46.363964111277198</v>
      </c>
      <c r="P49">
        <v>46.3639577471031</v>
      </c>
      <c r="Q49" t="s">
        <v>51</v>
      </c>
    </row>
    <row r="50" spans="1:17" x14ac:dyDescent="0.2">
      <c r="A50">
        <v>49</v>
      </c>
      <c r="B50">
        <v>738</v>
      </c>
      <c r="C50">
        <v>270</v>
      </c>
      <c r="D50">
        <v>0.29366612273154402</v>
      </c>
      <c r="E50">
        <v>110.892687992345</v>
      </c>
      <c r="F50">
        <v>1.9193271603937601</v>
      </c>
      <c r="G50">
        <v>-1828.2582605841621</v>
      </c>
      <c r="H50">
        <v>-1523.7236787254915</v>
      </c>
      <c r="I50">
        <v>301.181540961498</v>
      </c>
      <c r="J50">
        <v>161.30931217623501</v>
      </c>
      <c r="K50">
        <v>57.776855494294601</v>
      </c>
      <c r="L50">
        <v>0.25601826965854774</v>
      </c>
      <c r="M50">
        <v>-0.25561518001993483</v>
      </c>
      <c r="N50">
        <v>14.7717878400088</v>
      </c>
      <c r="O50">
        <v>14.7717762976916</v>
      </c>
      <c r="P50">
        <v>14.7717638903852</v>
      </c>
      <c r="Q50" t="s">
        <v>51</v>
      </c>
    </row>
    <row r="51" spans="1:17" x14ac:dyDescent="0.2">
      <c r="A51">
        <v>50</v>
      </c>
      <c r="B51">
        <v>736</v>
      </c>
      <c r="C51">
        <v>270</v>
      </c>
      <c r="D51">
        <v>0.29212753307238798</v>
      </c>
      <c r="E51">
        <v>110.89287553385201</v>
      </c>
      <c r="F51">
        <v>1.91150843555363</v>
      </c>
      <c r="G51">
        <v>-1827.6615601325716</v>
      </c>
      <c r="H51">
        <v>-1525.9863676933774</v>
      </c>
      <c r="I51">
        <v>298.94538730283602</v>
      </c>
      <c r="J51">
        <v>161.39848703077601</v>
      </c>
      <c r="K51">
        <v>58.0132807531838</v>
      </c>
      <c r="L51">
        <v>0.16476319902304826</v>
      </c>
      <c r="M51">
        <v>-0.16432961983022676</v>
      </c>
      <c r="N51">
        <v>9.53668153686856</v>
      </c>
      <c r="O51">
        <v>9.5366689391562307</v>
      </c>
      <c r="P51">
        <v>9.5366555715479606</v>
      </c>
      <c r="Q51" t="s">
        <v>51</v>
      </c>
    </row>
    <row r="52" spans="1:17" x14ac:dyDescent="0.2">
      <c r="A52">
        <v>51</v>
      </c>
      <c r="B52">
        <v>734</v>
      </c>
      <c r="C52">
        <v>270</v>
      </c>
      <c r="D52">
        <v>0.29058283274586499</v>
      </c>
      <c r="E52">
        <v>110.892884811274</v>
      </c>
      <c r="F52">
        <v>1.9094124080769099</v>
      </c>
      <c r="G52">
        <v>-1827.0649896975574</v>
      </c>
      <c r="H52">
        <v>-1527.0830179185102</v>
      </c>
      <c r="I52">
        <v>297.85799586856098</v>
      </c>
      <c r="J52">
        <v>161.487111831665</v>
      </c>
      <c r="K52">
        <v>58.0769687796056</v>
      </c>
      <c r="L52">
        <v>0.12867756003105973</v>
      </c>
      <c r="M52">
        <v>-0.12823230023402238</v>
      </c>
      <c r="N52">
        <v>7.4508037319505602</v>
      </c>
      <c r="O52">
        <v>7.4507905969133796</v>
      </c>
      <c r="P52">
        <v>7.4507768716068501</v>
      </c>
      <c r="Q52" t="s">
        <v>51</v>
      </c>
    </row>
    <row r="53" spans="1:17" x14ac:dyDescent="0.2">
      <c r="A53">
        <v>52</v>
      </c>
      <c r="B53">
        <v>732</v>
      </c>
      <c r="C53">
        <v>270</v>
      </c>
      <c r="D53">
        <v>0.28903198527583002</v>
      </c>
      <c r="E53">
        <v>110.892817522131</v>
      </c>
      <c r="F53">
        <v>1.9089520630738701</v>
      </c>
      <c r="G53">
        <v>-1826.468971322658</v>
      </c>
      <c r="H53">
        <v>-1527.8447143132901</v>
      </c>
      <c r="I53">
        <v>297.09999303322201</v>
      </c>
      <c r="J53">
        <v>161.57912547478</v>
      </c>
      <c r="K53">
        <v>58.0909388282737</v>
      </c>
      <c r="L53">
        <v>0.10832756512600247</v>
      </c>
      <c r="M53">
        <v>-0.10787599723578312</v>
      </c>
      <c r="N53">
        <v>6.2701129407994696</v>
      </c>
      <c r="O53">
        <v>6.2700994202613103</v>
      </c>
      <c r="P53">
        <v>6.2700855110487304</v>
      </c>
      <c r="Q53" t="s">
        <v>51</v>
      </c>
    </row>
    <row r="54" spans="1:17" x14ac:dyDescent="0.2">
      <c r="A54">
        <v>53</v>
      </c>
      <c r="B54">
        <v>730</v>
      </c>
      <c r="C54">
        <v>270</v>
      </c>
      <c r="D54">
        <v>0.28747495389523398</v>
      </c>
      <c r="E54">
        <v>110.892715736509</v>
      </c>
      <c r="F54">
        <v>1.90921330090904</v>
      </c>
      <c r="G54">
        <v>-1825.8737476143863</v>
      </c>
      <c r="H54">
        <v>-1528.4581291830127</v>
      </c>
      <c r="I54">
        <v>296.48754428378498</v>
      </c>
      <c r="J54">
        <v>161.675857548344</v>
      </c>
      <c r="K54">
        <v>58.082936926800897</v>
      </c>
      <c r="L54">
        <v>9.4925695277575356E-2</v>
      </c>
      <c r="M54">
        <v>-9.4470193957061632E-2</v>
      </c>
      <c r="N54">
        <v>5.4906160388153298</v>
      </c>
      <c r="O54">
        <v>5.4906022026548804</v>
      </c>
      <c r="P54">
        <v>5.49058818686858</v>
      </c>
      <c r="Q54" t="s">
        <v>51</v>
      </c>
    </row>
    <row r="55" spans="1:17" x14ac:dyDescent="0.2">
      <c r="A55">
        <v>54</v>
      </c>
      <c r="B55">
        <v>728</v>
      </c>
      <c r="C55">
        <v>270</v>
      </c>
      <c r="D55">
        <v>0.28591170154322698</v>
      </c>
      <c r="E55">
        <v>110.892594343247</v>
      </c>
      <c r="F55">
        <v>1.909863815986</v>
      </c>
      <c r="G55">
        <v>-1825.2793458313195</v>
      </c>
      <c r="H55">
        <v>-1528.9914007073085</v>
      </c>
      <c r="I55">
        <v>295.95350375751002</v>
      </c>
      <c r="J55">
        <v>161.77797643045699</v>
      </c>
      <c r="K55">
        <v>58.063089847062002</v>
      </c>
      <c r="L55">
        <v>8.5275875963192055E-2</v>
      </c>
      <c r="M55">
        <v>-8.4817725610961681E-2</v>
      </c>
      <c r="N55">
        <v>4.9282929686223502</v>
      </c>
      <c r="O55">
        <v>4.9282788569799099</v>
      </c>
      <c r="P55">
        <v>4.92826477673671</v>
      </c>
      <c r="Q55" t="s">
        <v>51</v>
      </c>
    </row>
    <row r="56" spans="1:17" x14ac:dyDescent="0.2">
      <c r="A56">
        <v>55</v>
      </c>
      <c r="B56">
        <v>760</v>
      </c>
      <c r="C56">
        <v>255</v>
      </c>
      <c r="D56">
        <v>0.32616802981174298</v>
      </c>
      <c r="E56">
        <v>110.883769909672</v>
      </c>
      <c r="F56">
        <v>1.9457227395366601</v>
      </c>
      <c r="G56">
        <v>-1835.8718746458485</v>
      </c>
      <c r="H56">
        <v>-1508.351268552999</v>
      </c>
      <c r="I56">
        <v>317.01422142741302</v>
      </c>
      <c r="J56">
        <v>161.51799352086499</v>
      </c>
      <c r="K56">
        <v>56.988474080370104</v>
      </c>
      <c r="L56">
        <v>0.84747369943295692</v>
      </c>
      <c r="M56">
        <v>-0.84724544118860001</v>
      </c>
      <c r="N56">
        <v>48.285167195778698</v>
      </c>
      <c r="O56">
        <v>48.285162254383003</v>
      </c>
      <c r="P56">
        <v>48.285154583107598</v>
      </c>
      <c r="Q56" t="s">
        <v>51</v>
      </c>
    </row>
    <row r="57" spans="1:17" x14ac:dyDescent="0.2">
      <c r="A57">
        <v>56</v>
      </c>
      <c r="B57">
        <v>758</v>
      </c>
      <c r="C57">
        <v>255</v>
      </c>
      <c r="D57">
        <v>0.32472530669640698</v>
      </c>
      <c r="E57">
        <v>110.88385363920101</v>
      </c>
      <c r="F57">
        <v>1.9469199705926501</v>
      </c>
      <c r="G57">
        <v>-1835.239516852072</v>
      </c>
      <c r="H57">
        <v>-1508.7004127744535</v>
      </c>
      <c r="I57">
        <v>316.67725019821302</v>
      </c>
      <c r="J57">
        <v>161.51842953647201</v>
      </c>
      <c r="K57">
        <v>56.953472825823198</v>
      </c>
      <c r="L57">
        <v>0.84641182140621141</v>
      </c>
      <c r="M57">
        <v>-0.84618337480875971</v>
      </c>
      <c r="N57">
        <v>48.195016693649698</v>
      </c>
      <c r="O57">
        <v>48.1950116045887</v>
      </c>
      <c r="P57">
        <v>48.195003931399903</v>
      </c>
      <c r="Q57" t="s">
        <v>51</v>
      </c>
    </row>
    <row r="58" spans="1:17" x14ac:dyDescent="0.2">
      <c r="A58">
        <v>57</v>
      </c>
      <c r="B58">
        <v>756</v>
      </c>
      <c r="C58">
        <v>255</v>
      </c>
      <c r="D58">
        <v>0.32327697614536499</v>
      </c>
      <c r="E58">
        <v>110.883948371524</v>
      </c>
      <c r="F58">
        <v>1.9481153414526</v>
      </c>
      <c r="G58">
        <v>-1834.6080710453937</v>
      </c>
      <c r="H58">
        <v>-1509.0941684132895</v>
      </c>
      <c r="I58">
        <v>316.29651529589</v>
      </c>
      <c r="J58">
        <v>161.53247362560501</v>
      </c>
      <c r="K58">
        <v>56.918574589554197</v>
      </c>
      <c r="L58">
        <v>0.84303612342419088</v>
      </c>
      <c r="M58">
        <v>-0.84280680787386575</v>
      </c>
      <c r="N58">
        <v>47.973295387773803</v>
      </c>
      <c r="O58">
        <v>47.973290134276802</v>
      </c>
      <c r="P58">
        <v>47.973282436570202</v>
      </c>
      <c r="Q58" t="s">
        <v>51</v>
      </c>
    </row>
    <row r="59" spans="1:17" x14ac:dyDescent="0.2">
      <c r="A59">
        <v>58</v>
      </c>
      <c r="B59">
        <v>754</v>
      </c>
      <c r="C59">
        <v>255</v>
      </c>
      <c r="D59">
        <v>0.321823005403299</v>
      </c>
      <c r="E59">
        <v>110.88404385126501</v>
      </c>
      <c r="F59">
        <v>1.9493167686394</v>
      </c>
      <c r="G59">
        <v>-1833.9773986093371</v>
      </c>
      <c r="H59">
        <v>-1509.4872874224311</v>
      </c>
      <c r="I59">
        <v>315.91567029481303</v>
      </c>
      <c r="J59">
        <v>161.54633258750499</v>
      </c>
      <c r="K59">
        <v>56.883542805954697</v>
      </c>
      <c r="L59">
        <v>0.83969598271184209</v>
      </c>
      <c r="M59">
        <v>-0.83946581845550727</v>
      </c>
      <c r="N59">
        <v>47.753721202430597</v>
      </c>
      <c r="O59">
        <v>47.753715782909097</v>
      </c>
      <c r="P59">
        <v>47.753708061591603</v>
      </c>
      <c r="Q59" t="s">
        <v>51</v>
      </c>
    </row>
    <row r="60" spans="1:17" x14ac:dyDescent="0.2">
      <c r="A60">
        <v>59</v>
      </c>
      <c r="B60">
        <v>752</v>
      </c>
      <c r="C60">
        <v>255</v>
      </c>
      <c r="D60">
        <v>0.3203633614593</v>
      </c>
      <c r="E60">
        <v>110.88414008553499</v>
      </c>
      <c r="F60">
        <v>1.95052414170181</v>
      </c>
      <c r="G60">
        <v>-1833.3474998867098</v>
      </c>
      <c r="H60">
        <v>-1509.8797802801228</v>
      </c>
      <c r="I60">
        <v>315.53470466618597</v>
      </c>
      <c r="J60">
        <v>161.560004031387</v>
      </c>
      <c r="K60">
        <v>56.8483812708877</v>
      </c>
      <c r="L60">
        <v>0.83639078553788071</v>
      </c>
      <c r="M60">
        <v>-0.83615979265292328</v>
      </c>
      <c r="N60">
        <v>47.536260016265402</v>
      </c>
      <c r="O60">
        <v>47.536254429167897</v>
      </c>
      <c r="P60">
        <v>47.536246685143702</v>
      </c>
      <c r="Q60" t="s">
        <v>51</v>
      </c>
    </row>
    <row r="61" spans="1:17" x14ac:dyDescent="0.2">
      <c r="A61">
        <v>60</v>
      </c>
      <c r="B61">
        <v>750</v>
      </c>
      <c r="C61">
        <v>255</v>
      </c>
      <c r="D61">
        <v>0.31889801104432502</v>
      </c>
      <c r="E61">
        <v>110.884237081501</v>
      </c>
      <c r="F61">
        <v>1.9517373515807399</v>
      </c>
      <c r="G61">
        <v>-1832.7183752420106</v>
      </c>
      <c r="H61">
        <v>-1510.2716572326271</v>
      </c>
      <c r="I61">
        <v>315.15360804677499</v>
      </c>
      <c r="J61">
        <v>161.57348551015201</v>
      </c>
      <c r="K61">
        <v>56.813093724775499</v>
      </c>
      <c r="L61">
        <v>0.83311993154827435</v>
      </c>
      <c r="M61">
        <v>-0.83288812994606853</v>
      </c>
      <c r="N61">
        <v>47.3208784303797</v>
      </c>
      <c r="O61">
        <v>47.320872674192302</v>
      </c>
      <c r="P61">
        <v>47.320864908363298</v>
      </c>
      <c r="Q61" t="s">
        <v>51</v>
      </c>
    </row>
    <row r="62" spans="1:17" x14ac:dyDescent="0.2">
      <c r="A62">
        <v>61</v>
      </c>
      <c r="B62">
        <v>748</v>
      </c>
      <c r="C62">
        <v>255</v>
      </c>
      <c r="D62">
        <v>0.31742692062870498</v>
      </c>
      <c r="E62">
        <v>110.884334846436</v>
      </c>
      <c r="F62">
        <v>1.95295629055797</v>
      </c>
      <c r="G62">
        <v>-1832.0900250620032</v>
      </c>
      <c r="H62">
        <v>-1510.6629283006857</v>
      </c>
      <c r="I62">
        <v>314.77237023476698</v>
      </c>
      <c r="J62">
        <v>161.58677452248</v>
      </c>
      <c r="K62">
        <v>56.777683854232698</v>
      </c>
      <c r="L62">
        <v>0.82988283340560653</v>
      </c>
      <c r="M62">
        <v>-0.82965024283480937</v>
      </c>
      <c r="N62">
        <v>47.107543749831301</v>
      </c>
      <c r="O62">
        <v>47.1075378230788</v>
      </c>
      <c r="P62">
        <v>47.107530036344201</v>
      </c>
      <c r="Q62" t="s">
        <v>51</v>
      </c>
    </row>
    <row r="63" spans="1:17" x14ac:dyDescent="0.2">
      <c r="A63">
        <v>62</v>
      </c>
      <c r="B63">
        <v>746</v>
      </c>
      <c r="C63">
        <v>255</v>
      </c>
      <c r="D63">
        <v>0.31595005641956603</v>
      </c>
      <c r="E63">
        <v>110.884433387635</v>
      </c>
      <c r="F63">
        <v>1.9541808522167901</v>
      </c>
      <c r="G63">
        <v>-1831.4624497540635</v>
      </c>
      <c r="H63">
        <v>-1511.0536032841208</v>
      </c>
      <c r="I63">
        <v>314.39098118521099</v>
      </c>
      <c r="J63">
        <v>161.59986851434101</v>
      </c>
      <c r="K63">
        <v>56.742155293277499</v>
      </c>
      <c r="L63">
        <v>0.82667891643599445</v>
      </c>
      <c r="M63">
        <v>-0.82644555648569096</v>
      </c>
      <c r="N63">
        <v>46.896223965163102</v>
      </c>
      <c r="O63">
        <v>46.896217866409302</v>
      </c>
      <c r="P63">
        <v>46.896210059665897</v>
      </c>
      <c r="Q63" t="s">
        <v>51</v>
      </c>
    </row>
    <row r="64" spans="1:17" x14ac:dyDescent="0.2">
      <c r="A64">
        <v>63</v>
      </c>
      <c r="B64">
        <v>744</v>
      </c>
      <c r="C64">
        <v>255</v>
      </c>
      <c r="D64">
        <v>0.31446738435825899</v>
      </c>
      <c r="E64">
        <v>110.884532460458</v>
      </c>
      <c r="F64">
        <v>1.9548687286259701</v>
      </c>
      <c r="G64">
        <v>-1830.8356556272993</v>
      </c>
      <c r="H64">
        <v>-1511.5192721479116</v>
      </c>
      <c r="I64">
        <v>313.93514855790801</v>
      </c>
      <c r="J64">
        <v>161.61913696510999</v>
      </c>
      <c r="K64">
        <v>56.722239624957197</v>
      </c>
      <c r="L64">
        <v>0.81980071739575988</v>
      </c>
      <c r="M64">
        <v>-0.81956506157117748</v>
      </c>
      <c r="N64">
        <v>46.489497709934703</v>
      </c>
      <c r="O64">
        <v>46.489491401874602</v>
      </c>
      <c r="P64">
        <v>46.489483524218301</v>
      </c>
      <c r="Q64" t="s">
        <v>51</v>
      </c>
    </row>
    <row r="65" spans="1:17" x14ac:dyDescent="0.2">
      <c r="A65">
        <v>64</v>
      </c>
      <c r="B65">
        <v>742</v>
      </c>
      <c r="C65">
        <v>255</v>
      </c>
      <c r="D65">
        <v>0.31297887011771702</v>
      </c>
      <c r="E65">
        <v>110.884592789132</v>
      </c>
      <c r="F65">
        <v>1.9472760935861899</v>
      </c>
      <c r="G65">
        <v>-1830.2098501773023</v>
      </c>
      <c r="H65">
        <v>-1513.4038355668522</v>
      </c>
      <c r="I65">
        <v>312.081080762314</v>
      </c>
      <c r="J65">
        <v>161.68319918994399</v>
      </c>
      <c r="K65">
        <v>56.943436605809097</v>
      </c>
      <c r="L65">
        <v>0.74111254283762007</v>
      </c>
      <c r="M65">
        <v>-0.74084798215239267</v>
      </c>
      <c r="N65">
        <v>42.188593271852604</v>
      </c>
      <c r="O65">
        <v>42.188586108608298</v>
      </c>
      <c r="P65">
        <v>42.188577273757602</v>
      </c>
      <c r="Q65" t="s">
        <v>51</v>
      </c>
    </row>
    <row r="66" spans="1:17" x14ac:dyDescent="0.2">
      <c r="A66">
        <v>65</v>
      </c>
      <c r="B66">
        <v>740</v>
      </c>
      <c r="C66">
        <v>255</v>
      </c>
      <c r="D66">
        <v>0.31148447909983901</v>
      </c>
      <c r="E66">
        <v>110.893426736042</v>
      </c>
      <c r="F66">
        <v>1.8956753805133599</v>
      </c>
      <c r="G66">
        <v>-1829.7448548188033</v>
      </c>
      <c r="H66">
        <v>-1524.3278849371648</v>
      </c>
      <c r="I66">
        <v>301.45805960902402</v>
      </c>
      <c r="J66">
        <v>161.60756776148901</v>
      </c>
      <c r="K66">
        <v>58.498109895804902</v>
      </c>
      <c r="L66">
        <v>0.23403038327279635</v>
      </c>
      <c r="M66">
        <v>-0.23358577458105315</v>
      </c>
      <c r="N66">
        <v>13.668013553305199</v>
      </c>
      <c r="O66">
        <v>13.6680016035346</v>
      </c>
      <c r="P66">
        <v>13.667986613720201</v>
      </c>
      <c r="Q66" t="s">
        <v>51</v>
      </c>
    </row>
    <row r="67" spans="1:17" x14ac:dyDescent="0.2">
      <c r="A67">
        <v>66</v>
      </c>
      <c r="B67">
        <v>738</v>
      </c>
      <c r="C67">
        <v>255</v>
      </c>
      <c r="D67">
        <v>0.30998417643277698</v>
      </c>
      <c r="E67">
        <v>110.89353441117299</v>
      </c>
      <c r="F67">
        <v>1.88947828756224</v>
      </c>
      <c r="G67">
        <v>-1829.1458994378263</v>
      </c>
      <c r="H67">
        <v>-1526.2845530215488</v>
      </c>
      <c r="I67">
        <v>299.52721579498098</v>
      </c>
      <c r="J67">
        <v>161.657993821335</v>
      </c>
      <c r="K67">
        <v>58.690028428029798</v>
      </c>
      <c r="L67">
        <v>0.15778208089476894</v>
      </c>
      <c r="M67">
        <v>-0.15731103873978394</v>
      </c>
      <c r="N67">
        <v>9.2364891547500996</v>
      </c>
      <c r="O67">
        <v>9.2364762463312893</v>
      </c>
      <c r="P67">
        <v>9.2364603417123892</v>
      </c>
      <c r="Q67" t="s">
        <v>51</v>
      </c>
    </row>
    <row r="68" spans="1:17" x14ac:dyDescent="0.2">
      <c r="A68">
        <v>67</v>
      </c>
      <c r="B68">
        <v>736</v>
      </c>
      <c r="C68">
        <v>255</v>
      </c>
      <c r="D68">
        <v>0.308477926968244</v>
      </c>
      <c r="E68">
        <v>110.89350203244599</v>
      </c>
      <c r="F68">
        <v>1.8878182317787899</v>
      </c>
      <c r="G68">
        <v>-1828.5474084739405</v>
      </c>
      <c r="H68">
        <v>-1527.3133865521213</v>
      </c>
      <c r="I68">
        <v>298.50841162601898</v>
      </c>
      <c r="J68">
        <v>161.728651151425</v>
      </c>
      <c r="K68">
        <v>58.7416204408391</v>
      </c>
      <c r="L68">
        <v>0.12510497521372846</v>
      </c>
      <c r="M68">
        <v>-0.12462298297784728</v>
      </c>
      <c r="N68">
        <v>7.3245318128601902</v>
      </c>
      <c r="O68">
        <v>7.3245183461473902</v>
      </c>
      <c r="P68">
        <v>7.3245020727127104</v>
      </c>
      <c r="Q68" t="s">
        <v>51</v>
      </c>
    </row>
    <row r="69" spans="1:17" x14ac:dyDescent="0.2">
      <c r="A69">
        <v>68</v>
      </c>
      <c r="B69">
        <v>734</v>
      </c>
      <c r="C69">
        <v>255</v>
      </c>
      <c r="D69">
        <v>0.306965695278758</v>
      </c>
      <c r="E69">
        <v>110.89341781470701</v>
      </c>
      <c r="F69">
        <v>1.8875848402564701</v>
      </c>
      <c r="G69">
        <v>-1827.9497834160816</v>
      </c>
      <c r="H69">
        <v>-1528.0486764916382</v>
      </c>
      <c r="I69">
        <v>297.77782065342001</v>
      </c>
      <c r="J69">
        <v>161.80915813948101</v>
      </c>
      <c r="K69">
        <v>58.748838965902998</v>
      </c>
      <c r="L69">
        <v>0.10612992051778308</v>
      </c>
      <c r="M69">
        <v>-0.10564185186765061</v>
      </c>
      <c r="N69">
        <v>6.2103447700306802</v>
      </c>
      <c r="O69">
        <v>6.2103308740322998</v>
      </c>
      <c r="P69">
        <v>6.2103144051630501</v>
      </c>
      <c r="Q69" t="s">
        <v>51</v>
      </c>
    </row>
    <row r="70" spans="1:17" x14ac:dyDescent="0.2">
      <c r="A70">
        <v>69</v>
      </c>
      <c r="B70">
        <v>732</v>
      </c>
      <c r="C70">
        <v>255</v>
      </c>
      <c r="D70">
        <v>0.30544744565487703</v>
      </c>
      <c r="E70">
        <v>110.89330908916099</v>
      </c>
      <c r="F70">
        <v>1.8880045999492501</v>
      </c>
      <c r="G70">
        <v>-1827.3530757398307</v>
      </c>
      <c r="H70">
        <v>-1528.6491283186263</v>
      </c>
      <c r="I70">
        <v>297.17935464561702</v>
      </c>
      <c r="J70">
        <v>161.89711037890899</v>
      </c>
      <c r="K70">
        <v>58.735719760503599</v>
      </c>
      <c r="L70">
        <v>9.3433882387427808E-2</v>
      </c>
      <c r="M70">
        <v>-9.2941973840685921E-2</v>
      </c>
      <c r="N70">
        <v>5.4630352528261898</v>
      </c>
      <c r="O70">
        <v>5.46302098907013</v>
      </c>
      <c r="P70">
        <v>5.46300440487693</v>
      </c>
      <c r="Q70" t="s">
        <v>51</v>
      </c>
    </row>
    <row r="71" spans="1:17" x14ac:dyDescent="0.2">
      <c r="A71">
        <v>70</v>
      </c>
      <c r="B71">
        <v>730</v>
      </c>
      <c r="C71">
        <v>255</v>
      </c>
      <c r="D71">
        <v>0.30392314210237997</v>
      </c>
      <c r="E71">
        <v>110.893185839322</v>
      </c>
      <c r="F71">
        <v>1.8887843428033</v>
      </c>
      <c r="G71">
        <v>-1826.7572508872781</v>
      </c>
      <c r="H71">
        <v>-1529.1751510274321</v>
      </c>
      <c r="I71">
        <v>296.65356248862298</v>
      </c>
      <c r="J71">
        <v>161.99175000065301</v>
      </c>
      <c r="K71">
        <v>58.711406763747398</v>
      </c>
      <c r="L71">
        <v>8.42010037308005E-2</v>
      </c>
      <c r="M71">
        <v>-8.3706491706557612E-2</v>
      </c>
      <c r="N71">
        <v>4.9185493227910797</v>
      </c>
      <c r="O71">
        <v>4.9185347273568603</v>
      </c>
      <c r="P71">
        <v>4.9185180724542796</v>
      </c>
      <c r="Q71" t="s">
        <v>51</v>
      </c>
    </row>
    <row r="72" spans="1:17" x14ac:dyDescent="0.2">
      <c r="A72">
        <v>71</v>
      </c>
      <c r="B72">
        <v>760</v>
      </c>
      <c r="C72">
        <v>240</v>
      </c>
      <c r="D72">
        <v>0.34213860523641398</v>
      </c>
      <c r="E72">
        <v>110.883949548381</v>
      </c>
      <c r="F72">
        <v>1.9235476527263</v>
      </c>
      <c r="G72">
        <v>-1836.7344376681165</v>
      </c>
      <c r="H72">
        <v>-1508.9307182007717</v>
      </c>
      <c r="I72">
        <v>317.288382910905</v>
      </c>
      <c r="J72">
        <v>162.01302147935601</v>
      </c>
      <c r="K72">
        <v>57.6455433226323</v>
      </c>
      <c r="L72">
        <v>0.83573612772986938</v>
      </c>
      <c r="M72">
        <v>-0.83547592849295993</v>
      </c>
      <c r="N72">
        <v>48.163815391583597</v>
      </c>
      <c r="O72">
        <v>48.163810528319999</v>
      </c>
      <c r="P72">
        <v>48.163800973748799</v>
      </c>
      <c r="Q72" t="s">
        <v>51</v>
      </c>
    </row>
    <row r="73" spans="1:17" x14ac:dyDescent="0.2">
      <c r="A73">
        <v>72</v>
      </c>
      <c r="B73">
        <v>758</v>
      </c>
      <c r="C73">
        <v>240</v>
      </c>
      <c r="D73">
        <v>0.34072685836202499</v>
      </c>
      <c r="E73">
        <v>110.884034684602</v>
      </c>
      <c r="F73">
        <v>1.92480423782816</v>
      </c>
      <c r="G73">
        <v>-1836.1015583847725</v>
      </c>
      <c r="H73">
        <v>-1509.2837625832115</v>
      </c>
      <c r="I73">
        <v>316.94765577851598</v>
      </c>
      <c r="J73">
        <v>162.017340747894</v>
      </c>
      <c r="K73">
        <v>57.607954359928598</v>
      </c>
      <c r="L73">
        <v>0.83455708651787697</v>
      </c>
      <c r="M73">
        <v>-0.83429664613487586</v>
      </c>
      <c r="N73">
        <v>48.064465552470999</v>
      </c>
      <c r="O73">
        <v>48.064460506039602</v>
      </c>
      <c r="P73">
        <v>48.064450946011803</v>
      </c>
      <c r="Q73" t="s">
        <v>51</v>
      </c>
    </row>
    <row r="74" spans="1:17" x14ac:dyDescent="0.2">
      <c r="A74">
        <v>73</v>
      </c>
      <c r="B74">
        <v>756</v>
      </c>
      <c r="C74">
        <v>240</v>
      </c>
      <c r="D74">
        <v>0.33930962444735902</v>
      </c>
      <c r="E74">
        <v>110.88412993875799</v>
      </c>
      <c r="F74">
        <v>1.92605222384584</v>
      </c>
      <c r="G74">
        <v>-1835.4695797513468</v>
      </c>
      <c r="H74">
        <v>-1509.6764412496623</v>
      </c>
      <c r="I74">
        <v>316.567974546578</v>
      </c>
      <c r="J74">
        <v>162.033599106222</v>
      </c>
      <c r="K74">
        <v>57.570676727212899</v>
      </c>
      <c r="L74">
        <v>0.83131912445471223</v>
      </c>
      <c r="M74">
        <v>-0.83105780106555915</v>
      </c>
      <c r="N74">
        <v>47.8468991863583</v>
      </c>
      <c r="O74">
        <v>47.8468939421223</v>
      </c>
      <c r="P74">
        <v>47.846884353329898</v>
      </c>
      <c r="Q74" t="s">
        <v>51</v>
      </c>
    </row>
    <row r="75" spans="1:17" x14ac:dyDescent="0.2">
      <c r="A75">
        <v>74</v>
      </c>
      <c r="B75">
        <v>754</v>
      </c>
      <c r="C75">
        <v>240</v>
      </c>
      <c r="D75">
        <v>0.33788687144039198</v>
      </c>
      <c r="E75">
        <v>110.88422594419499</v>
      </c>
      <c r="F75">
        <v>1.9273066288137</v>
      </c>
      <c r="G75">
        <v>-1834.838372480204</v>
      </c>
      <c r="H75">
        <v>-1510.0685161651538</v>
      </c>
      <c r="I75">
        <v>316.18815336599198</v>
      </c>
      <c r="J75">
        <v>162.049701691937</v>
      </c>
      <c r="K75">
        <v>57.5332561443252</v>
      </c>
      <c r="L75">
        <v>0.82811498314472198</v>
      </c>
      <c r="M75">
        <v>-0.82785279806811662</v>
      </c>
      <c r="N75">
        <v>47.6314027530698</v>
      </c>
      <c r="O75">
        <v>47.631397308833101</v>
      </c>
      <c r="P75">
        <v>47.631387692325397</v>
      </c>
      <c r="Q75" t="s">
        <v>51</v>
      </c>
    </row>
    <row r="76" spans="1:17" x14ac:dyDescent="0.2">
      <c r="A76">
        <v>75</v>
      </c>
      <c r="B76">
        <v>752</v>
      </c>
      <c r="C76">
        <v>240</v>
      </c>
      <c r="D76">
        <v>0.33645856703896998</v>
      </c>
      <c r="E76">
        <v>110.884322707994</v>
      </c>
      <c r="F76">
        <v>1.9285673363542599</v>
      </c>
      <c r="G76">
        <v>-1834.2079369730129</v>
      </c>
      <c r="H76">
        <v>-1510.4599972585488</v>
      </c>
      <c r="I76">
        <v>315.80818212642902</v>
      </c>
      <c r="J76">
        <v>162.06564528673599</v>
      </c>
      <c r="K76">
        <v>57.495696737044298</v>
      </c>
      <c r="L76">
        <v>0.82494408236000571</v>
      </c>
      <c r="M76">
        <v>-0.82468105676870906</v>
      </c>
      <c r="N76">
        <v>47.417943866187699</v>
      </c>
      <c r="O76">
        <v>47.417938219797897</v>
      </c>
      <c r="P76">
        <v>47.417928576624298</v>
      </c>
      <c r="Q76" t="s">
        <v>51</v>
      </c>
    </row>
    <row r="77" spans="1:17" x14ac:dyDescent="0.2">
      <c r="A77">
        <v>76</v>
      </c>
      <c r="B77">
        <v>750</v>
      </c>
      <c r="C77">
        <v>240</v>
      </c>
      <c r="D77">
        <v>0.335024678688366</v>
      </c>
      <c r="E77">
        <v>110.88442023738</v>
      </c>
      <c r="F77">
        <v>1.92983423134958</v>
      </c>
      <c r="G77">
        <v>-1833.5782736537712</v>
      </c>
      <c r="H77">
        <v>-1510.8508942417423</v>
      </c>
      <c r="I77">
        <v>315.42805087234802</v>
      </c>
      <c r="J77">
        <v>162.081426612678</v>
      </c>
      <c r="K77">
        <v>57.458002576644198</v>
      </c>
      <c r="L77">
        <v>0.82180585431785547</v>
      </c>
      <c r="M77">
        <v>-0.82154200924171139</v>
      </c>
      <c r="N77">
        <v>47.206490816408298</v>
      </c>
      <c r="O77">
        <v>47.2064849657582</v>
      </c>
      <c r="P77">
        <v>47.2064752969682</v>
      </c>
      <c r="Q77" t="s">
        <v>51</v>
      </c>
    </row>
    <row r="78" spans="1:17" x14ac:dyDescent="0.2">
      <c r="A78">
        <v>77</v>
      </c>
      <c r="B78">
        <v>748</v>
      </c>
      <c r="C78">
        <v>240</v>
      </c>
      <c r="D78">
        <v>0.33358517357881101</v>
      </c>
      <c r="E78">
        <v>110.884518539618</v>
      </c>
      <c r="F78">
        <v>1.93110719989085</v>
      </c>
      <c r="G78">
        <v>-1832.9493829668618</v>
      </c>
      <c r="H78">
        <v>-1511.2412166137112</v>
      </c>
      <c r="I78">
        <v>315.04774979864402</v>
      </c>
      <c r="J78">
        <v>162.097042334344</v>
      </c>
      <c r="K78">
        <v>57.420177681428498</v>
      </c>
      <c r="L78">
        <v>0.81869974333569173</v>
      </c>
      <c r="M78">
        <v>-0.81843509966446348</v>
      </c>
      <c r="N78">
        <v>46.9970125536233</v>
      </c>
      <c r="O78">
        <v>46.997006496652197</v>
      </c>
      <c r="P78">
        <v>46.996996803295303</v>
      </c>
      <c r="Q78" t="s">
        <v>51</v>
      </c>
    </row>
    <row r="79" spans="1:17" x14ac:dyDescent="0.2">
      <c r="A79">
        <v>78</v>
      </c>
      <c r="B79">
        <v>746</v>
      </c>
      <c r="C79">
        <v>240</v>
      </c>
      <c r="D79">
        <v>0.33214001864298798</v>
      </c>
      <c r="E79">
        <v>110.88461546912799</v>
      </c>
      <c r="F79">
        <v>1.92937805335117</v>
      </c>
      <c r="G79">
        <v>-1832.3215359221081</v>
      </c>
      <c r="H79">
        <v>-1512.0497805751763</v>
      </c>
      <c r="I79">
        <v>314.256692052348</v>
      </c>
      <c r="J79">
        <v>162.13915532806601</v>
      </c>
      <c r="K79">
        <v>57.471689012182303</v>
      </c>
      <c r="L79">
        <v>0.79524144763913029</v>
      </c>
      <c r="M79">
        <v>-0.79496713728480162</v>
      </c>
      <c r="N79">
        <v>45.690503130286203</v>
      </c>
      <c r="O79">
        <v>45.690496682061301</v>
      </c>
      <c r="P79">
        <v>45.690486636533798</v>
      </c>
      <c r="Q79" t="s">
        <v>51</v>
      </c>
    </row>
    <row r="80" spans="1:17" x14ac:dyDescent="0.2">
      <c r="A80">
        <v>79</v>
      </c>
      <c r="B80">
        <v>744</v>
      </c>
      <c r="C80">
        <v>240</v>
      </c>
      <c r="D80">
        <v>0.33068918055350899</v>
      </c>
      <c r="E80">
        <v>110.891353268636</v>
      </c>
      <c r="F80">
        <v>1.89536124540632</v>
      </c>
      <c r="G80">
        <v>-1831.8053274016543</v>
      </c>
      <c r="H80">
        <v>-1519.1239995481715</v>
      </c>
      <c r="I80">
        <v>307.413486795724</v>
      </c>
      <c r="J80">
        <v>162.00986768130599</v>
      </c>
      <c r="K80">
        <v>58.506711339274901</v>
      </c>
      <c r="L80">
        <v>0.46913863581346227</v>
      </c>
      <c r="M80">
        <v>-0.4687418057438133</v>
      </c>
      <c r="N80">
        <v>27.428035704567701</v>
      </c>
      <c r="O80">
        <v>27.4280263496704</v>
      </c>
      <c r="P80">
        <v>27.428011747794301</v>
      </c>
      <c r="Q80" t="s">
        <v>51</v>
      </c>
    </row>
    <row r="81" spans="1:17" x14ac:dyDescent="0.2">
      <c r="A81">
        <v>80</v>
      </c>
      <c r="B81">
        <v>742</v>
      </c>
      <c r="C81">
        <v>240</v>
      </c>
      <c r="D81">
        <v>0.32923262572033701</v>
      </c>
      <c r="E81">
        <v>110.894116903588</v>
      </c>
      <c r="F81">
        <v>1.8698643318926</v>
      </c>
      <c r="G81">
        <v>-1831.2427052421401</v>
      </c>
      <c r="H81">
        <v>-1524.8923418527302</v>
      </c>
      <c r="I81">
        <v>301.78372179501798</v>
      </c>
      <c r="J81">
        <v>161.89697756887799</v>
      </c>
      <c r="K81">
        <v>59.305969428993301</v>
      </c>
      <c r="L81">
        <v>0.21298304562233489</v>
      </c>
      <c r="M81">
        <v>-0.21249122479479113</v>
      </c>
      <c r="N81">
        <v>12.606355690737001</v>
      </c>
      <c r="O81">
        <v>12.6063438453599</v>
      </c>
      <c r="P81">
        <v>12.606325608642299</v>
      </c>
      <c r="Q81" t="s">
        <v>51</v>
      </c>
    </row>
    <row r="82" spans="1:17" x14ac:dyDescent="0.2">
      <c r="A82">
        <v>81</v>
      </c>
      <c r="B82">
        <v>740</v>
      </c>
      <c r="C82">
        <v>240</v>
      </c>
      <c r="D82">
        <v>0.32777032028821201</v>
      </c>
      <c r="E82">
        <v>110.894156542739</v>
      </c>
      <c r="F82">
        <v>1.8650774726297801</v>
      </c>
      <c r="G82">
        <v>-1830.6416382639966</v>
      </c>
      <c r="H82">
        <v>-1526.5716593640998</v>
      </c>
      <c r="I82">
        <v>300.12893321904397</v>
      </c>
      <c r="J82">
        <v>161.922801374735</v>
      </c>
      <c r="K82">
        <v>59.4582038387803</v>
      </c>
      <c r="L82">
        <v>0.15022578753617682</v>
      </c>
      <c r="M82">
        <v>-0.14971128570127606</v>
      </c>
      <c r="N82">
        <v>8.9061120413724701</v>
      </c>
      <c r="O82">
        <v>8.9060993270128108</v>
      </c>
      <c r="P82">
        <v>8.9060802221767297</v>
      </c>
      <c r="Q82" t="s">
        <v>51</v>
      </c>
    </row>
    <row r="83" spans="1:17" x14ac:dyDescent="0.2">
      <c r="A83">
        <v>82</v>
      </c>
      <c r="B83">
        <v>738</v>
      </c>
      <c r="C83">
        <v>240</v>
      </c>
      <c r="D83">
        <v>0.326302230134007</v>
      </c>
      <c r="E83">
        <v>110.894090203095</v>
      </c>
      <c r="F83">
        <v>1.86383888167056</v>
      </c>
      <c r="G83">
        <v>-1830.0413098696072</v>
      </c>
      <c r="H83">
        <v>-1527.5303985761464</v>
      </c>
      <c r="I83">
        <v>299.18081979382799</v>
      </c>
      <c r="J83">
        <v>161.980327275408</v>
      </c>
      <c r="K83">
        <v>59.4976804559955</v>
      </c>
      <c r="L83">
        <v>0.1210413729257909</v>
      </c>
      <c r="M83">
        <v>-0.12051669068905428</v>
      </c>
      <c r="N83">
        <v>7.1750832314826498</v>
      </c>
      <c r="O83">
        <v>7.1750699353990202</v>
      </c>
      <c r="P83">
        <v>7.17505045019211</v>
      </c>
      <c r="Q83" t="s">
        <v>51</v>
      </c>
    </row>
    <row r="84" spans="1:17" x14ac:dyDescent="0.2">
      <c r="A84">
        <v>83</v>
      </c>
      <c r="B84">
        <v>736</v>
      </c>
      <c r="C84">
        <v>240</v>
      </c>
      <c r="D84">
        <v>0.32482832086409602</v>
      </c>
      <c r="E84">
        <v>110.89399194032001</v>
      </c>
      <c r="F84">
        <v>1.8638331750399599</v>
      </c>
      <c r="G84">
        <v>-1829.4420784891784</v>
      </c>
      <c r="H84">
        <v>-1528.2369767079633</v>
      </c>
      <c r="I84">
        <v>298.47986049495302</v>
      </c>
      <c r="J84">
        <v>162.052185122324</v>
      </c>
      <c r="K84">
        <v>59.497809903476501</v>
      </c>
      <c r="L84">
        <v>0.1035448710750482</v>
      </c>
      <c r="M84">
        <v>-0.10301436319607085</v>
      </c>
      <c r="N84">
        <v>6.1337789671701302</v>
      </c>
      <c r="O84">
        <v>6.1337651914342004</v>
      </c>
      <c r="P84">
        <v>6.1337454971579399</v>
      </c>
      <c r="Q84" t="s">
        <v>51</v>
      </c>
    </row>
    <row r="85" spans="1:17" x14ac:dyDescent="0.2">
      <c r="A85">
        <v>84</v>
      </c>
      <c r="B85">
        <v>734</v>
      </c>
      <c r="C85">
        <v>240</v>
      </c>
      <c r="D85">
        <v>0.32334855781164801</v>
      </c>
      <c r="E85">
        <v>110.893877610586</v>
      </c>
      <c r="F85">
        <v>1.8644157210307899</v>
      </c>
      <c r="G85">
        <v>-1828.843858417265</v>
      </c>
      <c r="H85">
        <v>-1528.822886680415</v>
      </c>
      <c r="I85">
        <v>297.89690912453602</v>
      </c>
      <c r="J85">
        <v>162.13352429766999</v>
      </c>
      <c r="K85">
        <v>59.4791581940081</v>
      </c>
      <c r="L85">
        <v>9.1629257268726519E-2</v>
      </c>
      <c r="M85">
        <v>-9.109500726051345E-2</v>
      </c>
      <c r="N85">
        <v>5.42291473423355</v>
      </c>
      <c r="O85">
        <v>5.4229005293913399</v>
      </c>
      <c r="P85">
        <v>5.42288070858375</v>
      </c>
      <c r="Q85" t="s">
        <v>51</v>
      </c>
    </row>
    <row r="86" spans="1:17" x14ac:dyDescent="0.2">
      <c r="A86">
        <v>85</v>
      </c>
      <c r="B86">
        <v>732</v>
      </c>
      <c r="C86">
        <v>240</v>
      </c>
      <c r="D86">
        <v>0.32186290603392398</v>
      </c>
      <c r="E86">
        <v>110.893753176384</v>
      </c>
      <c r="F86">
        <v>1.8653304788043501</v>
      </c>
      <c r="G86">
        <v>-1828.2465687916208</v>
      </c>
      <c r="H86">
        <v>-1529.3405863088783</v>
      </c>
      <c r="I86">
        <v>297.38041096792898</v>
      </c>
      <c r="J86">
        <v>162.222546478959</v>
      </c>
      <c r="K86">
        <v>59.449922915249701</v>
      </c>
      <c r="L86">
        <v>8.2866086740785619E-2</v>
      </c>
      <c r="M86">
        <v>-8.2329275375503302E-2</v>
      </c>
      <c r="N86">
        <v>4.8991286374122902</v>
      </c>
      <c r="O86">
        <v>4.8991140337332801</v>
      </c>
      <c r="P86">
        <v>4.8990941335392399</v>
      </c>
      <c r="Q86" t="s">
        <v>51</v>
      </c>
    </row>
    <row r="87" spans="1:17" x14ac:dyDescent="0.2">
      <c r="A87">
        <v>86</v>
      </c>
      <c r="B87">
        <v>760</v>
      </c>
      <c r="C87">
        <v>225</v>
      </c>
      <c r="D87">
        <v>0.35810918066108399</v>
      </c>
      <c r="E87">
        <v>110.884130504501</v>
      </c>
      <c r="F87">
        <v>1.8992098574286</v>
      </c>
      <c r="G87">
        <v>-1837.6074668831156</v>
      </c>
      <c r="H87">
        <v>-1509.4969995608169</v>
      </c>
      <c r="I87">
        <v>317.58541964366901</v>
      </c>
      <c r="J87">
        <v>162.51280990446901</v>
      </c>
      <c r="K87">
        <v>58.384348665202403</v>
      </c>
      <c r="L87">
        <v>0.82308304128710585</v>
      </c>
      <c r="M87">
        <v>-0.82278539700926479</v>
      </c>
      <c r="N87">
        <v>48.040663261403203</v>
      </c>
      <c r="O87">
        <v>48.040658944328399</v>
      </c>
      <c r="P87">
        <v>48.040646958303498</v>
      </c>
      <c r="Q87" t="s">
        <v>51</v>
      </c>
    </row>
    <row r="88" spans="1:17" x14ac:dyDescent="0.2">
      <c r="A88">
        <v>87</v>
      </c>
      <c r="B88">
        <v>758</v>
      </c>
      <c r="C88">
        <v>225</v>
      </c>
      <c r="D88">
        <v>0.356728410027642</v>
      </c>
      <c r="E88">
        <v>110.88421790471099</v>
      </c>
      <c r="F88">
        <v>1.90053349456431</v>
      </c>
      <c r="G88">
        <v>-1836.9740379605723</v>
      </c>
      <c r="H88">
        <v>-1509.8573334703974</v>
      </c>
      <c r="I88">
        <v>317.23766720385998</v>
      </c>
      <c r="J88">
        <v>162.52251098625501</v>
      </c>
      <c r="K88">
        <v>58.343732547650298</v>
      </c>
      <c r="L88">
        <v>0.82161699486144146</v>
      </c>
      <c r="M88">
        <v>-0.8213189819626886</v>
      </c>
      <c r="N88">
        <v>47.9216781540825</v>
      </c>
      <c r="O88">
        <v>47.921673609706602</v>
      </c>
      <c r="P88">
        <v>47.921661609954697</v>
      </c>
      <c r="Q88" t="s">
        <v>51</v>
      </c>
    </row>
    <row r="89" spans="1:17" x14ac:dyDescent="0.2">
      <c r="A89">
        <v>88</v>
      </c>
      <c r="B89">
        <v>756</v>
      </c>
      <c r="C89">
        <v>225</v>
      </c>
      <c r="D89">
        <v>0.35534227274935698</v>
      </c>
      <c r="E89">
        <v>110.88431365724399</v>
      </c>
      <c r="F89">
        <v>1.9018440866872199</v>
      </c>
      <c r="G89">
        <v>-1836.3414868327297</v>
      </c>
      <c r="H89">
        <v>-1510.2488497275658</v>
      </c>
      <c r="I89">
        <v>316.859122162495</v>
      </c>
      <c r="J89">
        <v>162.541486197994</v>
      </c>
      <c r="K89">
        <v>58.303577266625801</v>
      </c>
      <c r="L89">
        <v>0.81852904497716061</v>
      </c>
      <c r="M89">
        <v>-0.81823012659779715</v>
      </c>
      <c r="N89">
        <v>47.708601138879899</v>
      </c>
      <c r="O89">
        <v>47.708596355911297</v>
      </c>
      <c r="P89">
        <v>47.708584321043297</v>
      </c>
      <c r="Q89" t="s">
        <v>51</v>
      </c>
    </row>
    <row r="90" spans="1:17" x14ac:dyDescent="0.2">
      <c r="A90">
        <v>89</v>
      </c>
      <c r="B90">
        <v>754</v>
      </c>
      <c r="C90">
        <v>225</v>
      </c>
      <c r="D90">
        <v>0.35395073747748601</v>
      </c>
      <c r="E90">
        <v>110.88441016470099</v>
      </c>
      <c r="F90">
        <v>1.9031615724459401</v>
      </c>
      <c r="G90">
        <v>-1835.7097048929336</v>
      </c>
      <c r="H90">
        <v>-1510.6397979186543</v>
      </c>
      <c r="I90">
        <v>316.48040475004302</v>
      </c>
      <c r="J90">
        <v>162.56034053543601</v>
      </c>
      <c r="K90">
        <v>58.263266645402098</v>
      </c>
      <c r="L90">
        <v>0.8154731103693591</v>
      </c>
      <c r="M90">
        <v>-0.81517330911792285</v>
      </c>
      <c r="N90">
        <v>47.497511919609998</v>
      </c>
      <c r="O90">
        <v>47.497506894942703</v>
      </c>
      <c r="P90">
        <v>47.497494826169401</v>
      </c>
      <c r="Q90" t="s">
        <v>51</v>
      </c>
    </row>
    <row r="91" spans="1:17" x14ac:dyDescent="0.2">
      <c r="A91">
        <v>90</v>
      </c>
      <c r="B91">
        <v>752</v>
      </c>
      <c r="C91">
        <v>225</v>
      </c>
      <c r="D91">
        <v>0.35255377261864101</v>
      </c>
      <c r="E91">
        <v>110.88450743424499</v>
      </c>
      <c r="F91">
        <v>1.9044858301951799</v>
      </c>
      <c r="G91">
        <v>-1835.0786926086757</v>
      </c>
      <c r="H91">
        <v>-1511.0301874246434</v>
      </c>
      <c r="I91">
        <v>316.10150526490798</v>
      </c>
      <c r="J91">
        <v>162.57906977004299</v>
      </c>
      <c r="K91">
        <v>58.222805166726502</v>
      </c>
      <c r="L91">
        <v>0.81244864518865423</v>
      </c>
      <c r="M91">
        <v>-0.81214798356384321</v>
      </c>
      <c r="N91">
        <v>47.288379905016299</v>
      </c>
      <c r="O91">
        <v>47.288374635593399</v>
      </c>
      <c r="P91">
        <v>47.288362534130101</v>
      </c>
      <c r="Q91" t="s">
        <v>51</v>
      </c>
    </row>
    <row r="92" spans="1:17" x14ac:dyDescent="0.2">
      <c r="A92">
        <v>91</v>
      </c>
      <c r="B92">
        <v>750</v>
      </c>
      <c r="C92">
        <v>225</v>
      </c>
      <c r="D92">
        <v>0.35115134633240402</v>
      </c>
      <c r="E92">
        <v>110.88460444183001</v>
      </c>
      <c r="F92">
        <v>1.90411664981441</v>
      </c>
      <c r="G92">
        <v>-1834.4485298916902</v>
      </c>
      <c r="H92">
        <v>-1511.6529075738702</v>
      </c>
      <c r="I92">
        <v>315.49493130239199</v>
      </c>
      <c r="J92">
        <v>162.60550830869499</v>
      </c>
      <c r="K92">
        <v>58.234144663688298</v>
      </c>
      <c r="L92">
        <v>0.7982234820114561</v>
      </c>
      <c r="M92">
        <v>-0.79791682112770601</v>
      </c>
      <c r="N92">
        <v>46.468893674330303</v>
      </c>
      <c r="O92">
        <v>46.468888075046799</v>
      </c>
      <c r="P92">
        <v>46.468875730790202</v>
      </c>
      <c r="Q92" t="s">
        <v>51</v>
      </c>
    </row>
    <row r="93" spans="1:17" x14ac:dyDescent="0.2">
      <c r="A93">
        <v>92</v>
      </c>
      <c r="B93">
        <v>748</v>
      </c>
      <c r="C93">
        <v>225</v>
      </c>
      <c r="D93">
        <v>0.34974342652891699</v>
      </c>
      <c r="E93">
        <v>110.884698601632</v>
      </c>
      <c r="F93">
        <v>1.9013895081072001</v>
      </c>
      <c r="G93">
        <v>-1833.8199830836434</v>
      </c>
      <c r="H93">
        <v>-1512.6035110851979</v>
      </c>
      <c r="I93">
        <v>314.56654299571397</v>
      </c>
      <c r="J93">
        <v>162.65034202191401</v>
      </c>
      <c r="K93">
        <v>58.317718767689897</v>
      </c>
      <c r="L93">
        <v>0.7681133854669755</v>
      </c>
      <c r="M93">
        <v>-0.76779348638828471</v>
      </c>
      <c r="N93">
        <v>44.778968481858598</v>
      </c>
      <c r="O93">
        <v>44.778962423510002</v>
      </c>
      <c r="P93">
        <v>44.778949539525101</v>
      </c>
      <c r="Q93" t="s">
        <v>51</v>
      </c>
    </row>
    <row r="94" spans="1:17" x14ac:dyDescent="0.2">
      <c r="A94">
        <v>93</v>
      </c>
      <c r="B94">
        <v>746</v>
      </c>
      <c r="C94">
        <v>225</v>
      </c>
      <c r="D94">
        <v>0.34832998086640898</v>
      </c>
      <c r="E94">
        <v>110.893425726329</v>
      </c>
      <c r="F94">
        <v>1.8564240888061201</v>
      </c>
      <c r="G94">
        <v>-1833.3388365229507</v>
      </c>
      <c r="H94">
        <v>-1521.7331735433499</v>
      </c>
      <c r="I94">
        <v>305.755295200239</v>
      </c>
      <c r="J94">
        <v>162.28579252717799</v>
      </c>
      <c r="K94">
        <v>59.734963791406997</v>
      </c>
      <c r="L94">
        <v>0.34852701596967484</v>
      </c>
      <c r="M94">
        <v>-0.34804152243000319</v>
      </c>
      <c r="N94">
        <v>20.794863374219201</v>
      </c>
      <c r="O94">
        <v>20.794854048526801</v>
      </c>
      <c r="P94">
        <v>20.7948342808048</v>
      </c>
      <c r="Q94" t="s">
        <v>51</v>
      </c>
    </row>
    <row r="95" spans="1:17" x14ac:dyDescent="0.2">
      <c r="A95">
        <v>94</v>
      </c>
      <c r="B95">
        <v>744</v>
      </c>
      <c r="C95">
        <v>225</v>
      </c>
      <c r="D95">
        <v>0.34691097674876298</v>
      </c>
      <c r="E95">
        <v>110.894761076894</v>
      </c>
      <c r="F95">
        <v>1.8412631354923199</v>
      </c>
      <c r="G95">
        <v>-1832.7534383570351</v>
      </c>
      <c r="H95">
        <v>-1525.4254208445627</v>
      </c>
      <c r="I95">
        <v>302.15160991521799</v>
      </c>
      <c r="J95">
        <v>162.172741421377</v>
      </c>
      <c r="K95">
        <v>60.227546481151101</v>
      </c>
      <c r="L95">
        <v>0.19224697659550449</v>
      </c>
      <c r="M95">
        <v>-0.19170069544020679</v>
      </c>
      <c r="N95">
        <v>11.550867641157801</v>
      </c>
      <c r="O95">
        <v>11.5508567706304</v>
      </c>
      <c r="P95">
        <v>11.5508344031644</v>
      </c>
      <c r="Q95" t="s">
        <v>51</v>
      </c>
    </row>
    <row r="96" spans="1:17" x14ac:dyDescent="0.2">
      <c r="A96">
        <v>95</v>
      </c>
      <c r="B96">
        <v>742</v>
      </c>
      <c r="C96">
        <v>225</v>
      </c>
      <c r="D96">
        <v>0.345486381322956</v>
      </c>
      <c r="E96">
        <v>110.894741834615</v>
      </c>
      <c r="F96">
        <v>1.83774085964255</v>
      </c>
      <c r="G96">
        <v>-1832.1503644184406</v>
      </c>
      <c r="H96">
        <v>-1526.8504075732324</v>
      </c>
      <c r="I96">
        <v>300.74930731233201</v>
      </c>
      <c r="J96">
        <v>162.18578629869</v>
      </c>
      <c r="K96">
        <v>60.342970148786399</v>
      </c>
      <c r="L96">
        <v>0.14176064289200468</v>
      </c>
      <c r="M96">
        <v>-0.1411952418322486</v>
      </c>
      <c r="N96">
        <v>8.5255117125130209</v>
      </c>
      <c r="O96">
        <v>8.5255000538320296</v>
      </c>
      <c r="P96">
        <v>8.5254768706625992</v>
      </c>
      <c r="Q96" t="s">
        <v>51</v>
      </c>
    </row>
    <row r="97" spans="1:17" x14ac:dyDescent="0.2">
      <c r="A97">
        <v>96</v>
      </c>
      <c r="B97">
        <v>740</v>
      </c>
      <c r="C97">
        <v>225</v>
      </c>
      <c r="D97">
        <v>0.34405616147658602</v>
      </c>
      <c r="E97">
        <v>110.89464891976399</v>
      </c>
      <c r="F97">
        <v>1.8369287123810101</v>
      </c>
      <c r="G97">
        <v>-1831.5482772469747</v>
      </c>
      <c r="H97">
        <v>-1527.7348798749804</v>
      </c>
      <c r="I97">
        <v>299.87583877934298</v>
      </c>
      <c r="J97">
        <v>162.23500542568399</v>
      </c>
      <c r="K97">
        <v>60.369598543659897</v>
      </c>
      <c r="L97">
        <v>0.11624059579760507</v>
      </c>
      <c r="M97">
        <v>-0.1156658684066824</v>
      </c>
      <c r="N97">
        <v>6.98813919765501</v>
      </c>
      <c r="O97">
        <v>6.9881269314511698</v>
      </c>
      <c r="P97">
        <v>6.9881033577205001</v>
      </c>
      <c r="Q97" t="s">
        <v>51</v>
      </c>
    </row>
    <row r="98" spans="1:17" x14ac:dyDescent="0.2">
      <c r="A98">
        <v>97</v>
      </c>
      <c r="B98">
        <v>738</v>
      </c>
      <c r="C98">
        <v>225</v>
      </c>
      <c r="D98">
        <v>0.34262028383523802</v>
      </c>
      <c r="E98">
        <v>110.894539509586</v>
      </c>
      <c r="F98">
        <v>1.83716203529827</v>
      </c>
      <c r="G98">
        <v>-1830.9474376275762</v>
      </c>
      <c r="H98">
        <v>-1528.4091897218761</v>
      </c>
      <c r="I98">
        <v>299.20795384886497</v>
      </c>
      <c r="J98">
        <v>162.30123040252801</v>
      </c>
      <c r="K98">
        <v>60.361871941024603</v>
      </c>
      <c r="L98">
        <v>0.10038380074748393</v>
      </c>
      <c r="M98">
        <v>-9.9803540206235317E-2</v>
      </c>
      <c r="N98">
        <v>6.0297922514645297</v>
      </c>
      <c r="O98">
        <v>6.0297794485201202</v>
      </c>
      <c r="P98">
        <v>6.0297556501353302</v>
      </c>
      <c r="Q98" t="s">
        <v>51</v>
      </c>
    </row>
    <row r="99" spans="1:17" x14ac:dyDescent="0.2">
      <c r="A99">
        <v>98</v>
      </c>
      <c r="B99">
        <v>736</v>
      </c>
      <c r="C99">
        <v>225</v>
      </c>
      <c r="D99">
        <v>0.34117871475994799</v>
      </c>
      <c r="E99">
        <v>110.89442095003599</v>
      </c>
      <c r="F99">
        <v>1.8379183295163199</v>
      </c>
      <c r="G99">
        <v>-1830.3476728228031</v>
      </c>
      <c r="H99">
        <v>-1528.9781409832631</v>
      </c>
      <c r="I99">
        <v>298.64286996692402</v>
      </c>
      <c r="J99">
        <v>162.37830999232199</v>
      </c>
      <c r="K99">
        <v>60.336968824517903</v>
      </c>
      <c r="L99">
        <v>8.9361906785536155E-2</v>
      </c>
      <c r="M99">
        <v>-8.8778016364457535E-2</v>
      </c>
      <c r="N99">
        <v>5.3620670884342001</v>
      </c>
      <c r="O99">
        <v>5.3620537851348198</v>
      </c>
      <c r="P99">
        <v>5.3620298459456404</v>
      </c>
      <c r="Q99" t="s">
        <v>51</v>
      </c>
    </row>
    <row r="100" spans="1:17" x14ac:dyDescent="0.2">
      <c r="A100">
        <v>99</v>
      </c>
      <c r="B100">
        <v>734</v>
      </c>
      <c r="C100">
        <v>225</v>
      </c>
      <c r="D100">
        <v>0.33973142034453802</v>
      </c>
      <c r="E100">
        <v>110.894296034319</v>
      </c>
      <c r="F100">
        <v>1.83897856634145</v>
      </c>
      <c r="G100">
        <v>-1829.7488712989268</v>
      </c>
      <c r="H100">
        <v>-1529.4858606395562</v>
      </c>
      <c r="I100">
        <v>298.13728349856001</v>
      </c>
      <c r="J100">
        <v>162.46377490955999</v>
      </c>
      <c r="K100">
        <v>60.302114480288402</v>
      </c>
      <c r="L100">
        <v>8.1148228468621145E-2</v>
      </c>
      <c r="M100">
        <v>-8.0561818648680394E-2</v>
      </c>
      <c r="N100">
        <v>4.8635142087053298</v>
      </c>
      <c r="O100">
        <v>4.8635004272548201</v>
      </c>
      <c r="P100">
        <v>4.8634763965917198</v>
      </c>
      <c r="Q100" t="s">
        <v>51</v>
      </c>
    </row>
    <row r="101" spans="1:17" x14ac:dyDescent="0.2">
      <c r="A101">
        <v>100</v>
      </c>
      <c r="B101">
        <v>760</v>
      </c>
      <c r="C101">
        <v>210</v>
      </c>
      <c r="D101">
        <v>0.374079756085759</v>
      </c>
      <c r="E101">
        <v>110.88431294119</v>
      </c>
      <c r="F101">
        <v>1.8721348870149801</v>
      </c>
      <c r="G101">
        <v>-1838.492360946791</v>
      </c>
      <c r="H101">
        <v>-1510.0463650442832</v>
      </c>
      <c r="I101">
        <v>317.91031352480798</v>
      </c>
      <c r="J101">
        <v>163.013587830836</v>
      </c>
      <c r="K101">
        <v>59.228805419031303</v>
      </c>
      <c r="L101">
        <v>0.80924721853806381</v>
      </c>
      <c r="M101">
        <v>-0.80890520392804</v>
      </c>
      <c r="N101">
        <v>47.914041204531898</v>
      </c>
      <c r="O101">
        <v>47.914038222967797</v>
      </c>
      <c r="P101">
        <v>47.914023065195799</v>
      </c>
      <c r="Q101" t="s">
        <v>51</v>
      </c>
    </row>
    <row r="102" spans="1:17" x14ac:dyDescent="0.2">
      <c r="A102">
        <v>101</v>
      </c>
      <c r="B102">
        <v>758</v>
      </c>
      <c r="C102">
        <v>210</v>
      </c>
      <c r="D102">
        <v>0.37272996169325601</v>
      </c>
      <c r="E102">
        <v>110.884403747286</v>
      </c>
      <c r="F102">
        <v>1.87353010398901</v>
      </c>
      <c r="G102">
        <v>-1837.8583523681864</v>
      </c>
      <c r="H102">
        <v>-1510.4182027349023</v>
      </c>
      <c r="I102">
        <v>317.55147436463801</v>
      </c>
      <c r="J102">
        <v>163.03050990997099</v>
      </c>
      <c r="K102">
        <v>59.1847462238253</v>
      </c>
      <c r="L102">
        <v>0.80728116814497619</v>
      </c>
      <c r="M102">
        <v>-0.8069385441383029</v>
      </c>
      <c r="N102">
        <v>47.761993550103298</v>
      </c>
      <c r="O102">
        <v>47.761990289356802</v>
      </c>
      <c r="P102">
        <v>47.761975101409</v>
      </c>
      <c r="Q102" t="s">
        <v>51</v>
      </c>
    </row>
    <row r="103" spans="1:17" x14ac:dyDescent="0.2">
      <c r="A103">
        <v>102</v>
      </c>
      <c r="B103">
        <v>756</v>
      </c>
      <c r="C103">
        <v>210</v>
      </c>
      <c r="D103">
        <v>0.371374921051355</v>
      </c>
      <c r="E103">
        <v>110.88449997319501</v>
      </c>
      <c r="F103">
        <v>1.8749148675390499</v>
      </c>
      <c r="G103">
        <v>-1837.2251806482532</v>
      </c>
      <c r="H103">
        <v>-1510.8084448910615</v>
      </c>
      <c r="I103">
        <v>317.174173496273</v>
      </c>
      <c r="J103">
        <v>163.05285658735701</v>
      </c>
      <c r="K103">
        <v>59.141085226305897</v>
      </c>
      <c r="L103">
        <v>0.804357675631584</v>
      </c>
      <c r="M103">
        <v>-0.80401410786038485</v>
      </c>
      <c r="N103">
        <v>47.553799270790599</v>
      </c>
      <c r="O103">
        <v>47.553795723203201</v>
      </c>
      <c r="P103">
        <v>47.553780490450798</v>
      </c>
      <c r="Q103" t="s">
        <v>51</v>
      </c>
    </row>
    <row r="104" spans="1:17" x14ac:dyDescent="0.2">
      <c r="A104">
        <v>103</v>
      </c>
      <c r="B104">
        <v>754</v>
      </c>
      <c r="C104">
        <v>210</v>
      </c>
      <c r="D104">
        <v>0.37001460351457899</v>
      </c>
      <c r="E104">
        <v>110.884596540914</v>
      </c>
      <c r="F104">
        <v>1.87553764027107</v>
      </c>
      <c r="G104">
        <v>-1836.5927879159615</v>
      </c>
      <c r="H104">
        <v>-1511.3008206748057</v>
      </c>
      <c r="I104">
        <v>316.69674891868999</v>
      </c>
      <c r="J104">
        <v>163.075552962117</v>
      </c>
      <c r="K104">
        <v>59.1214989025164</v>
      </c>
      <c r="L104">
        <v>0.79655643806482779</v>
      </c>
      <c r="M104">
        <v>-0.79620956324273373</v>
      </c>
      <c r="N104">
        <v>47.076652096318803</v>
      </c>
      <c r="O104">
        <v>47.076648235486303</v>
      </c>
      <c r="P104">
        <v>47.076632850632897</v>
      </c>
      <c r="Q104" t="s">
        <v>51</v>
      </c>
    </row>
    <row r="105" spans="1:17" x14ac:dyDescent="0.2">
      <c r="A105">
        <v>104</v>
      </c>
      <c r="B105">
        <v>752</v>
      </c>
      <c r="C105">
        <v>210</v>
      </c>
      <c r="D105">
        <v>0.36864897819831499</v>
      </c>
      <c r="E105">
        <v>110.884690431398</v>
      </c>
      <c r="F105">
        <v>1.8728647925944599</v>
      </c>
      <c r="G105">
        <v>-1835.9618177949126</v>
      </c>
      <c r="H105">
        <v>-1512.2368220599596</v>
      </c>
      <c r="I105">
        <v>315.78619959535501</v>
      </c>
      <c r="J105">
        <v>163.10583994956599</v>
      </c>
      <c r="K105">
        <v>59.205923924594103</v>
      </c>
      <c r="L105">
        <v>0.76750380279011643</v>
      </c>
      <c r="M105">
        <v>-0.76714332731042822</v>
      </c>
      <c r="N105">
        <v>45.423104556197103</v>
      </c>
      <c r="O105">
        <v>45.423100272418701</v>
      </c>
      <c r="P105">
        <v>45.423084266062901</v>
      </c>
      <c r="Q105" t="s">
        <v>51</v>
      </c>
    </row>
    <row r="106" spans="1:17" x14ac:dyDescent="0.2">
      <c r="A106">
        <v>105</v>
      </c>
      <c r="B106">
        <v>750</v>
      </c>
      <c r="C106">
        <v>210</v>
      </c>
      <c r="D106">
        <v>0.36727801397644499</v>
      </c>
      <c r="E106">
        <v>110.884781642147</v>
      </c>
      <c r="F106">
        <v>1.8701086809148899</v>
      </c>
      <c r="G106">
        <v>-1835.3326427268889</v>
      </c>
      <c r="H106">
        <v>-1513.1920472320658</v>
      </c>
      <c r="I106">
        <v>314.85506045372898</v>
      </c>
      <c r="J106">
        <v>163.14583720241799</v>
      </c>
      <c r="K106">
        <v>59.293228662999702</v>
      </c>
      <c r="L106">
        <v>0.73739960475906896</v>
      </c>
      <c r="M106">
        <v>-0.73702512358273709</v>
      </c>
      <c r="N106">
        <v>43.7044033377042</v>
      </c>
      <c r="O106">
        <v>43.704398604326997</v>
      </c>
      <c r="P106">
        <v>43.704381956451599</v>
      </c>
      <c r="Q106" t="s">
        <v>51</v>
      </c>
    </row>
    <row r="107" spans="1:17" x14ac:dyDescent="0.2">
      <c r="A107">
        <v>106</v>
      </c>
      <c r="B107">
        <v>748</v>
      </c>
      <c r="C107">
        <v>210</v>
      </c>
      <c r="D107">
        <v>0.36590167947901903</v>
      </c>
      <c r="E107">
        <v>110.89474934269801</v>
      </c>
      <c r="F107">
        <v>1.81817922804358</v>
      </c>
      <c r="G107">
        <v>-1834.8763142381356</v>
      </c>
      <c r="H107">
        <v>-1523.4666607413251</v>
      </c>
      <c r="I107">
        <v>304.96484839241799</v>
      </c>
      <c r="J107">
        <v>162.51380737345499</v>
      </c>
      <c r="K107">
        <v>60.992199026508501</v>
      </c>
      <c r="L107">
        <v>0.269346012320059</v>
      </c>
      <c r="M107">
        <v>-0.26877637180506336</v>
      </c>
      <c r="N107">
        <v>16.3991466010526</v>
      </c>
      <c r="O107">
        <v>16.3991391478399</v>
      </c>
      <c r="P107">
        <v>16.399113402307499</v>
      </c>
      <c r="Q107" t="s">
        <v>51</v>
      </c>
    </row>
    <row r="108" spans="1:17" x14ac:dyDescent="0.2">
      <c r="A108">
        <v>107</v>
      </c>
      <c r="B108">
        <v>746</v>
      </c>
      <c r="C108">
        <v>210</v>
      </c>
      <c r="D108">
        <v>0.36451994308983099</v>
      </c>
      <c r="E108">
        <v>110.89535643730299</v>
      </c>
      <c r="F108">
        <v>1.8091541897735299</v>
      </c>
      <c r="G108">
        <v>-1834.2790458398272</v>
      </c>
      <c r="H108">
        <v>-1525.9231212648383</v>
      </c>
      <c r="I108">
        <v>302.56735593712102</v>
      </c>
      <c r="J108">
        <v>162.42388216120099</v>
      </c>
      <c r="K108">
        <v>61.296796626928497</v>
      </c>
      <c r="L108">
        <v>0.17175195846556265</v>
      </c>
      <c r="M108">
        <v>-0.17114231536030547</v>
      </c>
      <c r="N108">
        <v>10.496771144051801</v>
      </c>
      <c r="O108">
        <v>10.4967626873787</v>
      </c>
      <c r="P108">
        <v>10.4967350195304</v>
      </c>
      <c r="Q108" t="s">
        <v>51</v>
      </c>
    </row>
    <row r="109" spans="1:17" x14ac:dyDescent="0.2">
      <c r="A109">
        <v>108</v>
      </c>
      <c r="B109">
        <v>744</v>
      </c>
      <c r="C109">
        <v>210</v>
      </c>
      <c r="D109">
        <v>0.36313277294401303</v>
      </c>
      <c r="E109">
        <v>110.895288610631</v>
      </c>
      <c r="F109">
        <v>1.80677421341939</v>
      </c>
      <c r="G109">
        <v>-1833.6740764655337</v>
      </c>
      <c r="H109">
        <v>-1527.1186136264548</v>
      </c>
      <c r="I109">
        <v>301.39234054677399</v>
      </c>
      <c r="J109">
        <v>162.43402888929</v>
      </c>
      <c r="K109">
        <v>61.3775023945892</v>
      </c>
      <c r="L109">
        <v>0.13225089907486035</v>
      </c>
      <c r="M109">
        <v>-0.1316254810187861</v>
      </c>
      <c r="N109">
        <v>8.0852790136908208</v>
      </c>
      <c r="O109">
        <v>8.0852698351941203</v>
      </c>
      <c r="P109">
        <v>8.0852414097602701</v>
      </c>
      <c r="Q109" t="s">
        <v>51</v>
      </c>
    </row>
    <row r="110" spans="1:17" x14ac:dyDescent="0.2">
      <c r="A110">
        <v>109</v>
      </c>
      <c r="B110">
        <v>742</v>
      </c>
      <c r="C110">
        <v>210</v>
      </c>
      <c r="D110">
        <v>0.361740136925575</v>
      </c>
      <c r="E110">
        <v>110.89517668977</v>
      </c>
      <c r="F110">
        <v>1.80640234477799</v>
      </c>
      <c r="G110">
        <v>-1833.0703051051087</v>
      </c>
      <c r="H110">
        <v>-1527.9252063315512</v>
      </c>
      <c r="I110">
        <v>300.59690011140702</v>
      </c>
      <c r="J110">
        <v>162.47985014576099</v>
      </c>
      <c r="K110">
        <v>61.390075699552597</v>
      </c>
      <c r="L110">
        <v>0.11053551533971627</v>
      </c>
      <c r="M110">
        <v>-0.10990171363313872</v>
      </c>
      <c r="N110">
        <v>6.75336737391833</v>
      </c>
      <c r="O110">
        <v>6.7533575593017003</v>
      </c>
      <c r="P110">
        <v>6.7533287352437199</v>
      </c>
      <c r="Q110" t="s">
        <v>51</v>
      </c>
    </row>
    <row r="111" spans="1:17" x14ac:dyDescent="0.2">
      <c r="A111">
        <v>110</v>
      </c>
      <c r="B111">
        <v>740</v>
      </c>
      <c r="C111">
        <v>210</v>
      </c>
      <c r="D111">
        <v>0.36034200266496003</v>
      </c>
      <c r="E111">
        <v>110.89505931404101</v>
      </c>
      <c r="F111">
        <v>1.80689321063029</v>
      </c>
      <c r="G111">
        <v>-1832.4678528473355</v>
      </c>
      <c r="H111">
        <v>-1528.5633461991029</v>
      </c>
      <c r="I111">
        <v>299.96585687950898</v>
      </c>
      <c r="J111">
        <v>162.543706642655</v>
      </c>
      <c r="K111">
        <v>61.373333333494301</v>
      </c>
      <c r="L111">
        <v>9.6492127725058358E-2</v>
      </c>
      <c r="M111">
        <v>-9.5853134139165491E-2</v>
      </c>
      <c r="N111">
        <v>5.8893403206219404</v>
      </c>
      <c r="O111">
        <v>5.8893299062821196</v>
      </c>
      <c r="P111">
        <v>5.8893008396794304</v>
      </c>
      <c r="Q111" t="s">
        <v>51</v>
      </c>
    </row>
    <row r="112" spans="1:17" x14ac:dyDescent="0.2">
      <c r="A112">
        <v>111</v>
      </c>
      <c r="B112">
        <v>738</v>
      </c>
      <c r="C112">
        <v>210</v>
      </c>
      <c r="D112">
        <v>0.35893833753646798</v>
      </c>
      <c r="E112">
        <v>110.89493810103799</v>
      </c>
      <c r="F112">
        <v>1.8078395543656001</v>
      </c>
      <c r="G112">
        <v>-1831.8665063197259</v>
      </c>
      <c r="H112">
        <v>-1529.1124676544948</v>
      </c>
      <c r="I112">
        <v>299.42143137315901</v>
      </c>
      <c r="J112">
        <v>162.619140338926</v>
      </c>
      <c r="K112">
        <v>61.3411393910744</v>
      </c>
      <c r="L112">
        <v>8.6496176564566526E-2</v>
      </c>
      <c r="M112">
        <v>-8.585368172963552E-2</v>
      </c>
      <c r="N112">
        <v>5.2728786785222699</v>
      </c>
      <c r="O112">
        <v>5.2728676834743302</v>
      </c>
      <c r="P112">
        <v>5.2728384575977802</v>
      </c>
      <c r="Q112" t="s">
        <v>51</v>
      </c>
    </row>
    <row r="113" spans="1:17" x14ac:dyDescent="0.2">
      <c r="A113">
        <v>112</v>
      </c>
      <c r="B113">
        <v>736</v>
      </c>
      <c r="C113">
        <v>210</v>
      </c>
      <c r="D113">
        <v>0.35752910865580001</v>
      </c>
      <c r="E113">
        <v>110.894813541887</v>
      </c>
      <c r="F113">
        <v>1.8090597682607099</v>
      </c>
      <c r="G113">
        <v>-1831.266139185482</v>
      </c>
      <c r="H113">
        <v>-1529.6081449981032</v>
      </c>
      <c r="I113">
        <v>298.92876816355403</v>
      </c>
      <c r="J113">
        <v>162.70336711224601</v>
      </c>
      <c r="K113">
        <v>61.299695835094099</v>
      </c>
      <c r="L113">
        <v>7.8929149161348966E-2</v>
      </c>
      <c r="M113">
        <v>-7.8284173916594965E-2</v>
      </c>
      <c r="N113">
        <v>4.8053026496879898</v>
      </c>
      <c r="O113">
        <v>4.8052910854632502</v>
      </c>
      <c r="P113">
        <v>4.8052617510198701</v>
      </c>
      <c r="Q113" t="s">
        <v>51</v>
      </c>
    </row>
    <row r="114" spans="1:17" x14ac:dyDescent="0.2">
      <c r="A114">
        <v>113</v>
      </c>
      <c r="B114">
        <v>762</v>
      </c>
      <c r="C114">
        <v>195</v>
      </c>
      <c r="D114">
        <v>0.39136405351881698</v>
      </c>
      <c r="E114">
        <v>110.88441738863401</v>
      </c>
      <c r="F114">
        <v>1.84002338812955</v>
      </c>
      <c r="G114">
        <v>-1840.0265119931225</v>
      </c>
      <c r="H114">
        <v>-1510.2457972736465</v>
      </c>
      <c r="I114">
        <v>318.58561037569501</v>
      </c>
      <c r="J114">
        <v>163.49793374331799</v>
      </c>
      <c r="K114">
        <v>60.262504326835</v>
      </c>
      <c r="L114">
        <v>0.79347707952260638</v>
      </c>
      <c r="M114">
        <v>-0.7930817608981936</v>
      </c>
      <c r="N114">
        <v>47.797569854014</v>
      </c>
      <c r="O114">
        <v>47.797569825422499</v>
      </c>
      <c r="P114">
        <v>47.797550488345699</v>
      </c>
      <c r="Q114" t="s">
        <v>51</v>
      </c>
    </row>
    <row r="115" spans="1:17" x14ac:dyDescent="0.2">
      <c r="A115">
        <v>114</v>
      </c>
      <c r="B115">
        <v>760</v>
      </c>
      <c r="C115">
        <v>195</v>
      </c>
      <c r="D115">
        <v>0.39005033151043</v>
      </c>
      <c r="E115">
        <v>110.884497050362</v>
      </c>
      <c r="F115">
        <v>1.84156644349703</v>
      </c>
      <c r="G115">
        <v>-1839.3909424339558</v>
      </c>
      <c r="H115">
        <v>-1510.5742165243037</v>
      </c>
      <c r="I115">
        <v>318.26928009842902</v>
      </c>
      <c r="J115">
        <v>163.50714931195199</v>
      </c>
      <c r="K115">
        <v>60.2120534080751</v>
      </c>
      <c r="L115">
        <v>0.79388402777298317</v>
      </c>
      <c r="M115">
        <v>-0.79348890685497331</v>
      </c>
      <c r="N115">
        <v>47.782047551700501</v>
      </c>
      <c r="O115">
        <v>47.782047195993798</v>
      </c>
      <c r="P115">
        <v>47.782027858700999</v>
      </c>
      <c r="Q115" t="s">
        <v>51</v>
      </c>
    </row>
    <row r="116" spans="1:17" x14ac:dyDescent="0.2">
      <c r="A116">
        <v>115</v>
      </c>
      <c r="B116">
        <v>758</v>
      </c>
      <c r="C116">
        <v>195</v>
      </c>
      <c r="D116">
        <v>0.38873151335887302</v>
      </c>
      <c r="E116">
        <v>110.88459259179</v>
      </c>
      <c r="F116">
        <v>1.8427028371560901</v>
      </c>
      <c r="G116">
        <v>-1838.7563249573707</v>
      </c>
      <c r="H116">
        <v>-1511.0049668401018</v>
      </c>
      <c r="I116">
        <v>317.85342439463699</v>
      </c>
      <c r="J116">
        <v>163.53235494792199</v>
      </c>
      <c r="K116">
        <v>60.174972521843301</v>
      </c>
      <c r="L116">
        <v>0.78915417809343202</v>
      </c>
      <c r="M116">
        <v>-0.78875700380913327</v>
      </c>
      <c r="N116">
        <v>47.467882666767501</v>
      </c>
      <c r="O116">
        <v>47.467881977435802</v>
      </c>
      <c r="P116">
        <v>47.467862527302898</v>
      </c>
      <c r="Q116" t="s">
        <v>51</v>
      </c>
    </row>
    <row r="117" spans="1:17" x14ac:dyDescent="0.2">
      <c r="A117">
        <v>116</v>
      </c>
      <c r="B117">
        <v>756</v>
      </c>
      <c r="C117">
        <v>195</v>
      </c>
      <c r="D117">
        <v>0.38740756935335302</v>
      </c>
      <c r="E117">
        <v>110.884685713509</v>
      </c>
      <c r="F117">
        <v>1.84003614980885</v>
      </c>
      <c r="G117">
        <v>-1838.1230160189482</v>
      </c>
      <c r="H117">
        <v>-1511.9291969738958</v>
      </c>
      <c r="I117">
        <v>316.95781996239702</v>
      </c>
      <c r="J117">
        <v>163.54990547047399</v>
      </c>
      <c r="K117">
        <v>60.262232198550997</v>
      </c>
      <c r="L117">
        <v>0.76101219643787299</v>
      </c>
      <c r="M117">
        <v>-0.7606009023812933</v>
      </c>
      <c r="N117">
        <v>45.840101641729099</v>
      </c>
      <c r="O117">
        <v>45.8401006024609</v>
      </c>
      <c r="P117">
        <v>45.840080425054502</v>
      </c>
      <c r="Q117" t="s">
        <v>51</v>
      </c>
    </row>
    <row r="118" spans="1:17" x14ac:dyDescent="0.2">
      <c r="A118">
        <v>117</v>
      </c>
      <c r="B118">
        <v>754</v>
      </c>
      <c r="C118">
        <v>195</v>
      </c>
      <c r="D118">
        <v>0.38607846955167302</v>
      </c>
      <c r="E118">
        <v>110.884776530924</v>
      </c>
      <c r="F118">
        <v>1.83732615288388</v>
      </c>
      <c r="G118">
        <v>-1837.4914728852741</v>
      </c>
      <c r="H118">
        <v>-1512.8664028622293</v>
      </c>
      <c r="I118">
        <v>316.04781712766197</v>
      </c>
      <c r="J118">
        <v>163.57614568716801</v>
      </c>
      <c r="K118">
        <v>60.351166480093198</v>
      </c>
      <c r="L118">
        <v>0.73215437845296927</v>
      </c>
      <c r="M118">
        <v>-0.73172868050675977</v>
      </c>
      <c r="N118">
        <v>44.165416830979702</v>
      </c>
      <c r="O118">
        <v>44.165415415078598</v>
      </c>
      <c r="P118">
        <v>44.165394493333302</v>
      </c>
      <c r="Q118" t="s">
        <v>51</v>
      </c>
    </row>
    <row r="119" spans="1:17" x14ac:dyDescent="0.2">
      <c r="A119">
        <v>118</v>
      </c>
      <c r="B119">
        <v>752</v>
      </c>
      <c r="C119">
        <v>195</v>
      </c>
      <c r="D119">
        <v>0.38474418377798603</v>
      </c>
      <c r="E119">
        <v>110.893078476233</v>
      </c>
      <c r="F119">
        <v>1.8051811945082501</v>
      </c>
      <c r="G119">
        <v>-1836.9971136777999</v>
      </c>
      <c r="H119">
        <v>-1519.0190807242207</v>
      </c>
      <c r="I119">
        <v>310.18146144342501</v>
      </c>
      <c r="J119">
        <v>163.14087134116201</v>
      </c>
      <c r="K119">
        <v>61.430441893364303</v>
      </c>
      <c r="L119">
        <v>0.45870255564079637</v>
      </c>
      <c r="M119">
        <v>-0.45815407789127616</v>
      </c>
      <c r="N119">
        <v>28.150765238793301</v>
      </c>
      <c r="O119">
        <v>28.150763098091399</v>
      </c>
      <c r="P119">
        <v>28.150735832194499</v>
      </c>
      <c r="Q119" t="s">
        <v>51</v>
      </c>
    </row>
    <row r="120" spans="1:17" x14ac:dyDescent="0.2">
      <c r="A120">
        <v>119</v>
      </c>
      <c r="B120">
        <v>750</v>
      </c>
      <c r="C120">
        <v>195</v>
      </c>
      <c r="D120">
        <v>0.38340468162048602</v>
      </c>
      <c r="E120">
        <v>110.89567121264299</v>
      </c>
      <c r="F120">
        <v>1.77782373816497</v>
      </c>
      <c r="G120">
        <v>-1836.4259466855272</v>
      </c>
      <c r="H120">
        <v>-1524.6852006079671</v>
      </c>
      <c r="I120">
        <v>304.69256239939602</v>
      </c>
      <c r="J120">
        <v>162.68967633392899</v>
      </c>
      <c r="K120">
        <v>62.377202436900099</v>
      </c>
      <c r="L120">
        <v>0.21325635917246769</v>
      </c>
      <c r="M120">
        <v>-0.21259936713779762</v>
      </c>
      <c r="N120">
        <v>13.2687903432568</v>
      </c>
      <c r="O120">
        <v>13.2687873026529</v>
      </c>
      <c r="P120">
        <v>13.2687542459976</v>
      </c>
      <c r="Q120" t="s">
        <v>51</v>
      </c>
    </row>
    <row r="121" spans="1:17" x14ac:dyDescent="0.2">
      <c r="A121">
        <v>120</v>
      </c>
      <c r="B121">
        <v>748</v>
      </c>
      <c r="C121">
        <v>195</v>
      </c>
      <c r="D121">
        <v>0.382059932429125</v>
      </c>
      <c r="E121">
        <v>110.89589872619</v>
      </c>
      <c r="F121">
        <v>1.7726661772941199</v>
      </c>
      <c r="G121">
        <v>-1835.8221025077221</v>
      </c>
      <c r="H121">
        <v>-1526.3738478626826</v>
      </c>
      <c r="I121">
        <v>303.04455475905002</v>
      </c>
      <c r="J121">
        <v>162.63120425637601</v>
      </c>
      <c r="K121">
        <v>62.558816852627601</v>
      </c>
      <c r="L121">
        <v>0.15174326590639173</v>
      </c>
      <c r="M121">
        <v>-0.15105953292178242</v>
      </c>
      <c r="N121">
        <v>9.4578283019757894</v>
      </c>
      <c r="O121">
        <v>9.4578245587775598</v>
      </c>
      <c r="P121">
        <v>9.4577900453328692</v>
      </c>
      <c r="Q121" t="s">
        <v>51</v>
      </c>
    </row>
    <row r="122" spans="1:17" x14ac:dyDescent="0.2">
      <c r="A122">
        <v>121</v>
      </c>
      <c r="B122">
        <v>746</v>
      </c>
      <c r="C122">
        <v>195</v>
      </c>
      <c r="D122">
        <v>0.38070990531325299</v>
      </c>
      <c r="E122">
        <v>110.89579464735399</v>
      </c>
      <c r="F122">
        <v>1.77130898577943</v>
      </c>
      <c r="G122">
        <v>-1835.2153574044519</v>
      </c>
      <c r="H122">
        <v>-1527.3690873096496</v>
      </c>
      <c r="I122">
        <v>302.06748874183398</v>
      </c>
      <c r="J122">
        <v>162.64636390673499</v>
      </c>
      <c r="K122">
        <v>62.606691174524997</v>
      </c>
      <c r="L122">
        <v>0.12175396408083901</v>
      </c>
      <c r="M122">
        <v>-0.12105748643449624</v>
      </c>
      <c r="N122">
        <v>7.5868436011367297</v>
      </c>
      <c r="O122">
        <v>7.5868391836651199</v>
      </c>
      <c r="P122">
        <v>7.5868039723242902</v>
      </c>
      <c r="Q122" t="s">
        <v>51</v>
      </c>
    </row>
    <row r="123" spans="1:17" x14ac:dyDescent="0.2">
      <c r="A123">
        <v>122</v>
      </c>
      <c r="B123">
        <v>744</v>
      </c>
      <c r="C123">
        <v>195</v>
      </c>
      <c r="D123">
        <v>0.37935456913926302</v>
      </c>
      <c r="E123">
        <v>110.895671353786</v>
      </c>
      <c r="F123">
        <v>1.7713906407590201</v>
      </c>
      <c r="G123">
        <v>-1834.6099617167235</v>
      </c>
      <c r="H123">
        <v>-1528.0967496985566</v>
      </c>
      <c r="I123">
        <v>301.35092545196301</v>
      </c>
      <c r="J123">
        <v>162.69364829901301</v>
      </c>
      <c r="K123">
        <v>62.603735619981101</v>
      </c>
      <c r="L123">
        <v>0.10385694676872996</v>
      </c>
      <c r="M123">
        <v>-0.10315307760329728</v>
      </c>
      <c r="N123">
        <v>6.4656484417778897</v>
      </c>
      <c r="O123">
        <v>6.4656433581844102</v>
      </c>
      <c r="P123">
        <v>6.4656077413739199</v>
      </c>
      <c r="Q123" t="s">
        <v>51</v>
      </c>
    </row>
    <row r="124" spans="1:17" x14ac:dyDescent="0.2">
      <c r="A124">
        <v>123</v>
      </c>
      <c r="B124">
        <v>742</v>
      </c>
      <c r="C124">
        <v>195</v>
      </c>
      <c r="D124">
        <v>0.37799389252819798</v>
      </c>
      <c r="E124">
        <v>110.895549511589</v>
      </c>
      <c r="F124">
        <v>1.7721606360448301</v>
      </c>
      <c r="G124">
        <v>-1834.0058845728813</v>
      </c>
      <c r="H124">
        <v>-1528.6954472260936</v>
      </c>
      <c r="I124">
        <v>300.75985509934202</v>
      </c>
      <c r="J124">
        <v>162.75861302982099</v>
      </c>
      <c r="K124">
        <v>62.576465844027297</v>
      </c>
      <c r="L124">
        <v>9.176549103542081E-2</v>
      </c>
      <c r="M124">
        <v>-9.1056805687423734E-2</v>
      </c>
      <c r="N124">
        <v>5.70590687967786</v>
      </c>
      <c r="O124">
        <v>5.70590113153595</v>
      </c>
      <c r="P124">
        <v>5.70586525077921</v>
      </c>
      <c r="Q124" t="s">
        <v>51</v>
      </c>
    </row>
    <row r="125" spans="1:17" x14ac:dyDescent="0.2">
      <c r="A125">
        <v>124</v>
      </c>
      <c r="B125">
        <v>740</v>
      </c>
      <c r="C125">
        <v>195</v>
      </c>
      <c r="D125">
        <v>0.37662784385333098</v>
      </c>
      <c r="E125">
        <v>110.895427479692</v>
      </c>
      <c r="F125">
        <v>1.7733166436337799</v>
      </c>
      <c r="G125">
        <v>-1833.4029110675067</v>
      </c>
      <c r="H125">
        <v>-1529.2218955528763</v>
      </c>
      <c r="I125">
        <v>300.23883920803002</v>
      </c>
      <c r="J125">
        <v>162.83526738101301</v>
      </c>
      <c r="K125">
        <v>62.5356040489485</v>
      </c>
      <c r="L125">
        <v>8.2922151218151927E-2</v>
      </c>
      <c r="M125">
        <v>-8.2210098649510857E-2</v>
      </c>
      <c r="N125">
        <v>5.1489472375835197</v>
      </c>
      <c r="O125">
        <v>5.1489408240373002</v>
      </c>
      <c r="P125">
        <v>5.1489047594874204</v>
      </c>
      <c r="Q125" t="s">
        <v>51</v>
      </c>
    </row>
    <row r="126" spans="1:17" x14ac:dyDescent="0.2">
      <c r="A126">
        <v>125</v>
      </c>
      <c r="B126">
        <v>738</v>
      </c>
      <c r="C126">
        <v>195</v>
      </c>
      <c r="D126">
        <v>0.37525639123770199</v>
      </c>
      <c r="E126">
        <v>110.895304300999</v>
      </c>
      <c r="F126">
        <v>1.7747141659953201</v>
      </c>
      <c r="G126">
        <v>-1832.8009150183291</v>
      </c>
      <c r="H126">
        <v>-1529.7033122511855</v>
      </c>
      <c r="I126">
        <v>299.76125603231702</v>
      </c>
      <c r="J126">
        <v>162.92083429155201</v>
      </c>
      <c r="K126">
        <v>62.486290145098103</v>
      </c>
      <c r="L126">
        <v>7.6102980563510197E-2</v>
      </c>
      <c r="M126">
        <v>-7.5388471209845154E-2</v>
      </c>
      <c r="N126">
        <v>4.7186189031434296</v>
      </c>
      <c r="O126">
        <v>4.7186118224437301</v>
      </c>
      <c r="P126">
        <v>4.7185756248585298</v>
      </c>
      <c r="Q126" t="s">
        <v>51</v>
      </c>
    </row>
    <row r="127" spans="1:17" x14ac:dyDescent="0.2">
      <c r="A127">
        <v>126</v>
      </c>
      <c r="B127">
        <v>764</v>
      </c>
      <c r="C127">
        <v>180</v>
      </c>
      <c r="D127">
        <v>0.40858169020874802</v>
      </c>
      <c r="E127">
        <v>110.884523339154</v>
      </c>
      <c r="F127">
        <v>1.8031661418804501</v>
      </c>
      <c r="G127">
        <v>-1841.5789977845175</v>
      </c>
      <c r="H127">
        <v>-1510.4162833925793</v>
      </c>
      <c r="I127">
        <v>319.303892157566</v>
      </c>
      <c r="J127">
        <v>163.94774448707</v>
      </c>
      <c r="K127">
        <v>61.494346396454297</v>
      </c>
      <c r="L127">
        <v>0.77559508843780989</v>
      </c>
      <c r="M127">
        <v>-0.77513558480693578</v>
      </c>
      <c r="N127">
        <v>47.672187396091097</v>
      </c>
      <c r="O127">
        <v>47.672192478937703</v>
      </c>
      <c r="P127">
        <v>47.672167602469102</v>
      </c>
      <c r="Q127" t="s">
        <v>51</v>
      </c>
    </row>
    <row r="128" spans="1:17" x14ac:dyDescent="0.2">
      <c r="A128">
        <v>127</v>
      </c>
      <c r="B128">
        <v>762</v>
      </c>
      <c r="C128">
        <v>180</v>
      </c>
      <c r="D128">
        <v>0.40730377240013699</v>
      </c>
      <c r="E128">
        <v>110.88459530178</v>
      </c>
      <c r="F128">
        <v>1.80415001118695</v>
      </c>
      <c r="G128">
        <v>-1840.9418946308588</v>
      </c>
      <c r="H128">
        <v>-1510.8085862812081</v>
      </c>
      <c r="I128">
        <v>318.92637758821701</v>
      </c>
      <c r="J128">
        <v>163.95036846226299</v>
      </c>
      <c r="K128">
        <v>61.460851156622397</v>
      </c>
      <c r="L128">
        <v>0.77326011208003476</v>
      </c>
      <c r="M128">
        <v>-0.77279899878492397</v>
      </c>
      <c r="N128">
        <v>47.502606299817302</v>
      </c>
      <c r="O128">
        <v>47.5026110257269</v>
      </c>
      <c r="P128">
        <v>47.502586036474497</v>
      </c>
      <c r="Q128" t="s">
        <v>51</v>
      </c>
    </row>
    <row r="129" spans="1:17" x14ac:dyDescent="0.2">
      <c r="A129">
        <v>128</v>
      </c>
      <c r="B129">
        <v>760</v>
      </c>
      <c r="C129">
        <v>180</v>
      </c>
      <c r="D129">
        <v>0.40602090693510101</v>
      </c>
      <c r="E129">
        <v>110.884685271973</v>
      </c>
      <c r="F129">
        <v>1.8016358018623799</v>
      </c>
      <c r="G129">
        <v>-1840.3063237517715</v>
      </c>
      <c r="H129">
        <v>-1511.6939097453778</v>
      </c>
      <c r="I129">
        <v>318.07177473291898</v>
      </c>
      <c r="J129">
        <v>163.955242348723</v>
      </c>
      <c r="K129">
        <v>61.546670618640299</v>
      </c>
      <c r="L129">
        <v>0.7473540113101701</v>
      </c>
      <c r="M129">
        <v>-0.7468788330415016</v>
      </c>
      <c r="N129">
        <v>45.973781205018597</v>
      </c>
      <c r="O129">
        <v>45.973785705598303</v>
      </c>
      <c r="P129">
        <v>45.973759894520803</v>
      </c>
      <c r="Q129" t="s">
        <v>51</v>
      </c>
    </row>
    <row r="130" spans="1:17" x14ac:dyDescent="0.2">
      <c r="A130">
        <v>129</v>
      </c>
      <c r="B130">
        <v>758</v>
      </c>
      <c r="C130">
        <v>180</v>
      </c>
      <c r="D130">
        <v>0.40473306502448703</v>
      </c>
      <c r="E130">
        <v>110.88477501359201</v>
      </c>
      <c r="F130">
        <v>1.7989200970249399</v>
      </c>
      <c r="G130">
        <v>-1839.6725198954518</v>
      </c>
      <c r="H130">
        <v>-1512.616934687512</v>
      </c>
      <c r="I130">
        <v>317.17901514771597</v>
      </c>
      <c r="J130">
        <v>163.968911877789</v>
      </c>
      <c r="K130">
        <v>61.639633242729097</v>
      </c>
      <c r="L130">
        <v>0.71955359032232147</v>
      </c>
      <c r="M130">
        <v>-0.71906342551088509</v>
      </c>
      <c r="N130">
        <v>44.328845797202902</v>
      </c>
      <c r="O130">
        <v>44.3288500535811</v>
      </c>
      <c r="P130">
        <v>44.328823364371502</v>
      </c>
      <c r="Q130" t="s">
        <v>51</v>
      </c>
    </row>
    <row r="131" spans="1:17" x14ac:dyDescent="0.2">
      <c r="A131">
        <v>130</v>
      </c>
      <c r="B131">
        <v>756</v>
      </c>
      <c r="C131">
        <v>180</v>
      </c>
      <c r="D131">
        <v>0.40344021765534699</v>
      </c>
      <c r="E131">
        <v>110.88486161767899</v>
      </c>
      <c r="F131">
        <v>1.7960960942504101</v>
      </c>
      <c r="G131">
        <v>-1839.0404708459423</v>
      </c>
      <c r="H131">
        <v>-1513.5628342827376</v>
      </c>
      <c r="I131">
        <v>316.262268692666</v>
      </c>
      <c r="J131">
        <v>163.98951581249801</v>
      </c>
      <c r="K131">
        <v>61.736597486425701</v>
      </c>
      <c r="L131">
        <v>0.69050911485169597</v>
      </c>
      <c r="M131">
        <v>-0.69000341347800975</v>
      </c>
      <c r="N131">
        <v>42.604673020130399</v>
      </c>
      <c r="O131">
        <v>42.604677007175397</v>
      </c>
      <c r="P131">
        <v>42.604649404301099</v>
      </c>
      <c r="Q131" t="s">
        <v>51</v>
      </c>
    </row>
    <row r="132" spans="1:17" x14ac:dyDescent="0.2">
      <c r="A132">
        <v>131</v>
      </c>
      <c r="B132">
        <v>754</v>
      </c>
      <c r="C132">
        <v>180</v>
      </c>
      <c r="D132">
        <v>0.402142335588766</v>
      </c>
      <c r="E132">
        <v>110.895742509161</v>
      </c>
      <c r="F132">
        <v>1.74346376856893</v>
      </c>
      <c r="G132">
        <v>-1838.5954419767188</v>
      </c>
      <c r="H132">
        <v>-1523.0568406664436</v>
      </c>
      <c r="I132">
        <v>307.203286747351</v>
      </c>
      <c r="J132">
        <v>162.98546006415299</v>
      </c>
      <c r="K132">
        <v>63.606565566995499</v>
      </c>
      <c r="L132">
        <v>0.26891944390818445</v>
      </c>
      <c r="M132">
        <v>-0.26821290479267201</v>
      </c>
      <c r="N132">
        <v>17.068952340540601</v>
      </c>
      <c r="O132">
        <v>17.068957647546</v>
      </c>
      <c r="P132">
        <v>17.068918198135801</v>
      </c>
      <c r="Q132" t="s">
        <v>51</v>
      </c>
    </row>
    <row r="133" spans="1:17" x14ac:dyDescent="0.2">
      <c r="A133">
        <v>132</v>
      </c>
      <c r="B133">
        <v>752</v>
      </c>
      <c r="C133">
        <v>180</v>
      </c>
      <c r="D133">
        <v>0.40083938935765601</v>
      </c>
      <c r="E133">
        <v>110.89635226852</v>
      </c>
      <c r="F133">
        <v>1.73332022920762</v>
      </c>
      <c r="G133">
        <v>-1837.9937798390793</v>
      </c>
      <c r="H133">
        <v>-1525.5614441351504</v>
      </c>
      <c r="I133">
        <v>304.77292665008599</v>
      </c>
      <c r="J133">
        <v>162.78951492221901</v>
      </c>
      <c r="K133">
        <v>63.979148457302699</v>
      </c>
      <c r="L133">
        <v>0.17140189846329409</v>
      </c>
      <c r="M133">
        <v>-0.1706494116468219</v>
      </c>
      <c r="N133">
        <v>10.9274344082346</v>
      </c>
      <c r="O133">
        <v>10.927439461481899</v>
      </c>
      <c r="P133">
        <v>10.927397188338601</v>
      </c>
      <c r="Q133" t="s">
        <v>51</v>
      </c>
    </row>
    <row r="134" spans="1:17" x14ac:dyDescent="0.2">
      <c r="A134">
        <v>133</v>
      </c>
      <c r="B134">
        <v>750</v>
      </c>
      <c r="C134">
        <v>180</v>
      </c>
      <c r="D134">
        <v>0.39953134926452799</v>
      </c>
      <c r="E134">
        <v>110.896384832929</v>
      </c>
      <c r="F134">
        <v>1.7307042227204601</v>
      </c>
      <c r="G134">
        <v>-1837.3860298462102</v>
      </c>
      <c r="H134">
        <v>-1526.7625837350324</v>
      </c>
      <c r="I134">
        <v>303.600866356209</v>
      </c>
      <c r="J134">
        <v>162.764012072875</v>
      </c>
      <c r="K134">
        <v>64.075873495364505</v>
      </c>
      <c r="L134">
        <v>0.13257639037186306</v>
      </c>
      <c r="M134">
        <v>-0.13180580472200815</v>
      </c>
      <c r="N134">
        <v>8.4551966961752498</v>
      </c>
      <c r="O134">
        <v>8.4552012018998308</v>
      </c>
      <c r="P134">
        <v>8.4551577963843201</v>
      </c>
      <c r="Q134" t="s">
        <v>51</v>
      </c>
    </row>
    <row r="135" spans="1:17" x14ac:dyDescent="0.2">
      <c r="A135">
        <v>134</v>
      </c>
      <c r="B135">
        <v>748</v>
      </c>
      <c r="C135">
        <v>180</v>
      </c>
      <c r="D135">
        <v>0.39821818537923098</v>
      </c>
      <c r="E135">
        <v>110.89625806218</v>
      </c>
      <c r="F135">
        <v>1.73024699182646</v>
      </c>
      <c r="G135">
        <v>-1836.7776144518402</v>
      </c>
      <c r="H135">
        <v>-1527.5902074235685</v>
      </c>
      <c r="I135">
        <v>302.78927942127302</v>
      </c>
      <c r="J135">
        <v>162.790047766816</v>
      </c>
      <c r="K135">
        <v>64.092732763613697</v>
      </c>
      <c r="L135">
        <v>0.11048641000358107</v>
      </c>
      <c r="M135">
        <v>-0.10970567805505384</v>
      </c>
      <c r="N135">
        <v>7.0410441678058699</v>
      </c>
      <c r="O135">
        <v>7.04104803253726</v>
      </c>
      <c r="P135">
        <v>7.0410039834661298</v>
      </c>
      <c r="Q135" t="s">
        <v>51</v>
      </c>
    </row>
    <row r="136" spans="1:17" x14ac:dyDescent="0.2">
      <c r="A136">
        <v>135</v>
      </c>
      <c r="B136">
        <v>746</v>
      </c>
      <c r="C136">
        <v>180</v>
      </c>
      <c r="D136">
        <v>0.396899867536674</v>
      </c>
      <c r="E136">
        <v>110.896130552854</v>
      </c>
      <c r="F136">
        <v>1.73078700715337</v>
      </c>
      <c r="G136">
        <v>-1836.1706217006449</v>
      </c>
      <c r="H136">
        <v>-1528.2415636871535</v>
      </c>
      <c r="I136">
        <v>302.14882859178999</v>
      </c>
      <c r="J136">
        <v>162.843294780722</v>
      </c>
      <c r="K136">
        <v>64.072661797505106</v>
      </c>
      <c r="L136">
        <v>9.6243356441294503E-2</v>
      </c>
      <c r="M136">
        <v>-9.5456197293400727E-2</v>
      </c>
      <c r="N136">
        <v>6.1258707357695803</v>
      </c>
      <c r="O136">
        <v>6.1258739110523299</v>
      </c>
      <c r="P136">
        <v>6.1258294480964102</v>
      </c>
      <c r="Q136" t="s">
        <v>51</v>
      </c>
    </row>
    <row r="137" spans="1:17" x14ac:dyDescent="0.2">
      <c r="A137">
        <v>136</v>
      </c>
      <c r="B137">
        <v>744</v>
      </c>
      <c r="C137">
        <v>180</v>
      </c>
      <c r="D137">
        <v>0.39557636533451601</v>
      </c>
      <c r="E137">
        <v>110.89600786522399</v>
      </c>
      <c r="F137">
        <v>1.7318558056971201</v>
      </c>
      <c r="G137">
        <v>-1835.564889327329</v>
      </c>
      <c r="H137">
        <v>-1528.7990365051328</v>
      </c>
      <c r="I137">
        <v>301.59938292281402</v>
      </c>
      <c r="J137">
        <v>162.91285933671401</v>
      </c>
      <c r="K137">
        <v>64.033049114377903</v>
      </c>
      <c r="L137">
        <v>8.6165429294642798E-2</v>
      </c>
      <c r="M137">
        <v>-8.5373824466111442E-2</v>
      </c>
      <c r="N137">
        <v>5.4764871881778099</v>
      </c>
      <c r="O137">
        <v>5.4764896438375601</v>
      </c>
      <c r="P137">
        <v>5.4764448898882501</v>
      </c>
      <c r="Q137" t="s">
        <v>51</v>
      </c>
    </row>
    <row r="138" spans="1:17" x14ac:dyDescent="0.2">
      <c r="A138">
        <v>137</v>
      </c>
      <c r="B138">
        <v>742</v>
      </c>
      <c r="C138">
        <v>180</v>
      </c>
      <c r="D138">
        <v>0.39424764813081797</v>
      </c>
      <c r="E138">
        <v>110.895887039611</v>
      </c>
      <c r="F138">
        <v>1.7332412410243101</v>
      </c>
      <c r="G138">
        <v>-1834.9602284897242</v>
      </c>
      <c r="H138">
        <v>-1529.3005173443316</v>
      </c>
      <c r="I138">
        <v>301.10397470344299</v>
      </c>
      <c r="J138">
        <v>162.99371078079301</v>
      </c>
      <c r="K138">
        <v>63.981795733220302</v>
      </c>
      <c r="L138">
        <v>7.856947061482028E-2</v>
      </c>
      <c r="M138">
        <v>-7.7774609901233263E-2</v>
      </c>
      <c r="N138">
        <v>4.9858862202093999</v>
      </c>
      <c r="O138">
        <v>4.9858879346021503</v>
      </c>
      <c r="P138">
        <v>4.9858429637965296</v>
      </c>
      <c r="Q138" t="s">
        <v>51</v>
      </c>
    </row>
    <row r="139" spans="1:17" x14ac:dyDescent="0.2">
      <c r="A139">
        <v>138</v>
      </c>
      <c r="B139">
        <v>740</v>
      </c>
      <c r="C139">
        <v>180</v>
      </c>
      <c r="D139">
        <v>0.39291368504170499</v>
      </c>
      <c r="E139">
        <v>110.89576643083301</v>
      </c>
      <c r="F139">
        <v>1.7348339893661999</v>
      </c>
      <c r="G139">
        <v>-1834.3565253620509</v>
      </c>
      <c r="H139">
        <v>-1529.7656061133332</v>
      </c>
      <c r="I139">
        <v>300.643469404673</v>
      </c>
      <c r="J139">
        <v>163.083335679453</v>
      </c>
      <c r="K139">
        <v>63.922984625951003</v>
      </c>
      <c r="L139">
        <v>7.2587069674892354E-2</v>
      </c>
      <c r="M139">
        <v>-7.1789734921845927E-2</v>
      </c>
      <c r="N139">
        <v>4.5987163465341201</v>
      </c>
      <c r="O139">
        <v>4.5987173026349701</v>
      </c>
      <c r="P139">
        <v>4.5986721639588604</v>
      </c>
      <c r="Q139" t="s">
        <v>51</v>
      </c>
    </row>
    <row r="140" spans="1:17" x14ac:dyDescent="0.2">
      <c r="A140">
        <v>139</v>
      </c>
      <c r="B140">
        <v>770</v>
      </c>
      <c r="C140">
        <v>165</v>
      </c>
      <c r="D140">
        <v>0.428203518190098</v>
      </c>
      <c r="E140">
        <v>110.884474450083</v>
      </c>
      <c r="F140">
        <v>1.75656846096814</v>
      </c>
      <c r="G140">
        <v>-1844.4324285764117</v>
      </c>
      <c r="H140">
        <v>-1509.8913902310705</v>
      </c>
      <c r="I140">
        <v>320.70603045796298</v>
      </c>
      <c r="J140">
        <v>164.29160662663699</v>
      </c>
      <c r="K140">
        <v>63.125620728137598</v>
      </c>
      <c r="L140">
        <v>0.75388221494586416</v>
      </c>
      <c r="M140">
        <v>-0.75334506413131808</v>
      </c>
      <c r="N140">
        <v>47.562924845008098</v>
      </c>
      <c r="O140">
        <v>47.562939039322401</v>
      </c>
      <c r="P140">
        <v>47.562906800952199</v>
      </c>
      <c r="Q140" t="s">
        <v>51</v>
      </c>
    </row>
    <row r="141" spans="1:17" x14ac:dyDescent="0.2">
      <c r="A141">
        <v>140</v>
      </c>
      <c r="B141">
        <v>768</v>
      </c>
      <c r="C141">
        <v>165</v>
      </c>
      <c r="D141">
        <v>0.42697065744609403</v>
      </c>
      <c r="E141">
        <v>110.88454495297201</v>
      </c>
      <c r="F141">
        <v>1.75768494796341</v>
      </c>
      <c r="G141">
        <v>-1843.7924964514052</v>
      </c>
      <c r="H141">
        <v>-1510.2824907260481</v>
      </c>
      <c r="I141">
        <v>320.33182129947198</v>
      </c>
      <c r="J141">
        <v>164.297859542829</v>
      </c>
      <c r="K141">
        <v>63.085563246958102</v>
      </c>
      <c r="L141">
        <v>0.75175918300496991</v>
      </c>
      <c r="M141">
        <v>-0.75122023705372243</v>
      </c>
      <c r="N141">
        <v>47.398688334937297</v>
      </c>
      <c r="O141">
        <v>47.398702187770503</v>
      </c>
      <c r="P141">
        <v>47.398669802666703</v>
      </c>
      <c r="Q141" t="s">
        <v>51</v>
      </c>
    </row>
    <row r="142" spans="1:17" x14ac:dyDescent="0.2">
      <c r="A142">
        <v>141</v>
      </c>
      <c r="B142">
        <v>766</v>
      </c>
      <c r="C142">
        <v>165</v>
      </c>
      <c r="D142">
        <v>0.42573305105134501</v>
      </c>
      <c r="E142">
        <v>110.88460654714299</v>
      </c>
      <c r="F142">
        <v>1.7579712002243699</v>
      </c>
      <c r="G142">
        <v>-1843.1532726515397</v>
      </c>
      <c r="H142">
        <v>-1510.7486034123065</v>
      </c>
      <c r="I142">
        <v>319.88468177025698</v>
      </c>
      <c r="J142">
        <v>164.28703340505101</v>
      </c>
      <c r="K142">
        <v>63.075325996802697</v>
      </c>
      <c r="L142">
        <v>0.74634163267041065</v>
      </c>
      <c r="M142">
        <v>-0.74579874230702015</v>
      </c>
      <c r="N142">
        <v>47.049054311069902</v>
      </c>
      <c r="O142">
        <v>47.049067872923601</v>
      </c>
      <c r="P142">
        <v>47.0490352001136</v>
      </c>
      <c r="Q142" t="s">
        <v>51</v>
      </c>
    </row>
    <row r="143" spans="1:17" x14ac:dyDescent="0.2">
      <c r="A143">
        <v>142</v>
      </c>
      <c r="B143">
        <v>764</v>
      </c>
      <c r="C143">
        <v>165</v>
      </c>
      <c r="D143">
        <v>0.424490671551851</v>
      </c>
      <c r="E143">
        <v>110.884689783355</v>
      </c>
      <c r="F143">
        <v>1.75593875265953</v>
      </c>
      <c r="G143">
        <v>-1842.515542161143</v>
      </c>
      <c r="H143">
        <v>-1511.549022470617</v>
      </c>
      <c r="I143">
        <v>319.11498444377702</v>
      </c>
      <c r="J143">
        <v>164.28095591911</v>
      </c>
      <c r="K143">
        <v>63.1483812379048</v>
      </c>
      <c r="L143">
        <v>0.72488418487280226</v>
      </c>
      <c r="M143">
        <v>-0.72432849487928019</v>
      </c>
      <c r="N143">
        <v>45.747877313576097</v>
      </c>
      <c r="O143">
        <v>45.747890807017399</v>
      </c>
      <c r="P143">
        <v>45.747857278050297</v>
      </c>
      <c r="Q143" t="s">
        <v>51</v>
      </c>
    </row>
    <row r="144" spans="1:17" x14ac:dyDescent="0.2">
      <c r="A144">
        <v>143</v>
      </c>
      <c r="B144">
        <v>762</v>
      </c>
      <c r="C144">
        <v>165</v>
      </c>
      <c r="D144">
        <v>0.42324349128146099</v>
      </c>
      <c r="E144">
        <v>110.884777742672</v>
      </c>
      <c r="F144">
        <v>1.7531792157386901</v>
      </c>
      <c r="G144">
        <v>-1841.8796090576411</v>
      </c>
      <c r="H144">
        <v>-1512.4598487231365</v>
      </c>
      <c r="I144">
        <v>318.23741081648097</v>
      </c>
      <c r="J144">
        <v>164.28199650878301</v>
      </c>
      <c r="K144">
        <v>63.2478281439993</v>
      </c>
      <c r="L144">
        <v>0.69807007971456947</v>
      </c>
      <c r="M144">
        <v>-0.69749867382771602</v>
      </c>
      <c r="N144">
        <v>44.123173274664097</v>
      </c>
      <c r="O144">
        <v>44.123186748519501</v>
      </c>
      <c r="P144">
        <v>44.123152171162801</v>
      </c>
      <c r="Q144" t="s">
        <v>51</v>
      </c>
    </row>
    <row r="145" spans="1:17" x14ac:dyDescent="0.2">
      <c r="A145">
        <v>144</v>
      </c>
      <c r="B145">
        <v>760</v>
      </c>
      <c r="C145">
        <v>165</v>
      </c>
      <c r="D145">
        <v>0.42199148235977502</v>
      </c>
      <c r="E145">
        <v>110.884862643094</v>
      </c>
      <c r="F145">
        <v>1.7503206917549099</v>
      </c>
      <c r="G145">
        <v>-1841.2453997280231</v>
      </c>
      <c r="H145">
        <v>-1513.3914072222681</v>
      </c>
      <c r="I145">
        <v>317.33804504570497</v>
      </c>
      <c r="J145">
        <v>164.28874670712301</v>
      </c>
      <c r="K145">
        <v>63.351169397374001</v>
      </c>
      <c r="L145">
        <v>0.67013226189637132</v>
      </c>
      <c r="M145">
        <v>-0.66954460323723419</v>
      </c>
      <c r="N145">
        <v>42.424528513424399</v>
      </c>
      <c r="O145">
        <v>42.424541949130997</v>
      </c>
      <c r="P145">
        <v>42.424506282732601</v>
      </c>
      <c r="Q145" t="s">
        <v>51</v>
      </c>
    </row>
    <row r="146" spans="1:17" x14ac:dyDescent="0.2">
      <c r="A146">
        <v>145</v>
      </c>
      <c r="B146">
        <v>758</v>
      </c>
      <c r="C146">
        <v>165</v>
      </c>
      <c r="D146">
        <v>0.42073461669010398</v>
      </c>
      <c r="E146">
        <v>110.895686032428</v>
      </c>
      <c r="F146">
        <v>1.70278681212697</v>
      </c>
      <c r="G146">
        <v>-1840.7934344924968</v>
      </c>
      <c r="H146">
        <v>-1521.4487798532834</v>
      </c>
      <c r="I146">
        <v>309.70251099929698</v>
      </c>
      <c r="J146">
        <v>163.241385285815</v>
      </c>
      <c r="K146">
        <v>65.125995363980607</v>
      </c>
      <c r="L146">
        <v>0.31912524531715686</v>
      </c>
      <c r="M146">
        <v>-0.31835714203827026</v>
      </c>
      <c r="N146">
        <v>20.7441071355986</v>
      </c>
      <c r="O146">
        <v>20.744124625624501</v>
      </c>
      <c r="P146">
        <v>20.744076927069798</v>
      </c>
      <c r="Q146" t="s">
        <v>51</v>
      </c>
    </row>
    <row r="147" spans="1:17" x14ac:dyDescent="0.2">
      <c r="A147">
        <v>146</v>
      </c>
      <c r="B147">
        <v>756</v>
      </c>
      <c r="C147">
        <v>165</v>
      </c>
      <c r="D147">
        <v>0.41947286595734501</v>
      </c>
      <c r="E147">
        <v>110.896776106882</v>
      </c>
      <c r="F147">
        <v>1.68673145636338</v>
      </c>
      <c r="G147">
        <v>-1840.1956258674898</v>
      </c>
      <c r="H147">
        <v>-1524.7923471334443</v>
      </c>
      <c r="I147">
        <v>306.47511921410302</v>
      </c>
      <c r="J147">
        <v>162.85008490911699</v>
      </c>
      <c r="K147">
        <v>65.746551229902295</v>
      </c>
      <c r="L147">
        <v>0.18559680552021179</v>
      </c>
      <c r="M147">
        <v>-0.18476062509219493</v>
      </c>
      <c r="N147">
        <v>12.159155358075299</v>
      </c>
      <c r="O147">
        <v>12.1591739113077</v>
      </c>
      <c r="P147">
        <v>12.159121479816401</v>
      </c>
      <c r="Q147" t="s">
        <v>51</v>
      </c>
    </row>
    <row r="148" spans="1:17" x14ac:dyDescent="0.2">
      <c r="A148">
        <v>147</v>
      </c>
      <c r="B148">
        <v>754</v>
      </c>
      <c r="C148">
        <v>165</v>
      </c>
      <c r="D148">
        <v>0.41820620162585598</v>
      </c>
      <c r="E148">
        <v>110.89687625108201</v>
      </c>
      <c r="F148">
        <v>1.6827723715534799</v>
      </c>
      <c r="G148">
        <v>-1839.5857853822461</v>
      </c>
      <c r="H148">
        <v>-1526.1852639268027</v>
      </c>
      <c r="I148">
        <v>305.12221969218302</v>
      </c>
      <c r="J148">
        <v>162.770634241084</v>
      </c>
      <c r="K148">
        <v>65.901293678066494</v>
      </c>
      <c r="L148">
        <v>0.1390058195173802</v>
      </c>
      <c r="M148">
        <v>-0.13814588451027812</v>
      </c>
      <c r="N148">
        <v>9.1160774666498305</v>
      </c>
      <c r="O148">
        <v>9.1160958797521108</v>
      </c>
      <c r="P148">
        <v>9.1160417531891706</v>
      </c>
      <c r="Q148" t="s">
        <v>51</v>
      </c>
    </row>
    <row r="149" spans="1:17" x14ac:dyDescent="0.2">
      <c r="A149">
        <v>148</v>
      </c>
      <c r="B149">
        <v>752</v>
      </c>
      <c r="C149">
        <v>165</v>
      </c>
      <c r="D149">
        <v>0.41693459493732699</v>
      </c>
      <c r="E149">
        <v>110.89681388457799</v>
      </c>
      <c r="F149">
        <v>1.6818786271358099</v>
      </c>
      <c r="G149">
        <v>-1838.9754384887074</v>
      </c>
      <c r="H149">
        <v>-1527.0740316470162</v>
      </c>
      <c r="I149">
        <v>304.255246537917</v>
      </c>
      <c r="J149">
        <v>162.776488577295</v>
      </c>
      <c r="K149">
        <v>65.936276313489003</v>
      </c>
      <c r="L149">
        <v>0.11457111407058543</v>
      </c>
      <c r="M149">
        <v>-0.11369869412936491</v>
      </c>
      <c r="N149">
        <v>7.5090769947956701</v>
      </c>
      <c r="O149">
        <v>7.5090949449622499</v>
      </c>
      <c r="P149">
        <v>7.5090399076507701</v>
      </c>
      <c r="Q149" t="s">
        <v>51</v>
      </c>
    </row>
    <row r="150" spans="1:17" x14ac:dyDescent="0.2">
      <c r="A150">
        <v>149</v>
      </c>
      <c r="B150">
        <v>750</v>
      </c>
      <c r="C150">
        <v>165</v>
      </c>
      <c r="D150">
        <v>0.41565801690856902</v>
      </c>
      <c r="E150">
        <v>110.896677861448</v>
      </c>
      <c r="F150">
        <v>1.68219646131194</v>
      </c>
      <c r="G150">
        <v>-1838.3654166106362</v>
      </c>
      <c r="H150">
        <v>-1527.7672324342557</v>
      </c>
      <c r="I150">
        <v>303.57631148489099</v>
      </c>
      <c r="J150">
        <v>162.81716784194199</v>
      </c>
      <c r="K150">
        <v>65.923737453924005</v>
      </c>
      <c r="L150">
        <v>9.8761939592654793E-2</v>
      </c>
      <c r="M150">
        <v>-9.7881442968503013E-2</v>
      </c>
      <c r="N150">
        <v>6.4649715008974997</v>
      </c>
      <c r="O150">
        <v>6.4649888502191999</v>
      </c>
      <c r="P150">
        <v>6.4649332110698197</v>
      </c>
      <c r="Q150" t="s">
        <v>51</v>
      </c>
    </row>
    <row r="151" spans="1:17" x14ac:dyDescent="0.2">
      <c r="A151">
        <v>150</v>
      </c>
      <c r="B151">
        <v>748</v>
      </c>
      <c r="C151">
        <v>165</v>
      </c>
      <c r="D151">
        <v>0.41437643832933801</v>
      </c>
      <c r="E151">
        <v>110.89655214786499</v>
      </c>
      <c r="F151">
        <v>1.6831854639578601</v>
      </c>
      <c r="G151">
        <v>-1837.7568021813315</v>
      </c>
      <c r="H151">
        <v>-1528.3485656575592</v>
      </c>
      <c r="I151">
        <v>303.00562771517099</v>
      </c>
      <c r="J151">
        <v>162.880045748795</v>
      </c>
      <c r="K151">
        <v>65.884927432240502</v>
      </c>
      <c r="L151">
        <v>8.7832769396327046E-2</v>
      </c>
      <c r="M151">
        <v>-8.6946681733991546E-2</v>
      </c>
      <c r="N151">
        <v>5.7407492307389196</v>
      </c>
      <c r="O151">
        <v>5.7407658954181198</v>
      </c>
      <c r="P151">
        <v>5.7407098287048299</v>
      </c>
      <c r="Q151" t="s">
        <v>51</v>
      </c>
    </row>
    <row r="152" spans="1:17" x14ac:dyDescent="0.2">
      <c r="A152">
        <v>151</v>
      </c>
      <c r="B152">
        <v>746</v>
      </c>
      <c r="C152">
        <v>165</v>
      </c>
      <c r="D152">
        <v>0.41308982976009601</v>
      </c>
      <c r="E152">
        <v>110.896432000774</v>
      </c>
      <c r="F152">
        <v>1.6845649985744899</v>
      </c>
      <c r="G152">
        <v>-1837.1493526189427</v>
      </c>
      <c r="H152">
        <v>-1528.8650378626298</v>
      </c>
      <c r="I152">
        <v>302.49747884824598</v>
      </c>
      <c r="J152">
        <v>162.957307582315</v>
      </c>
      <c r="K152">
        <v>65.830901208689497</v>
      </c>
      <c r="L152">
        <v>7.9728080451592853E-2</v>
      </c>
      <c r="M152">
        <v>-7.8837849706467705E-2</v>
      </c>
      <c r="N152">
        <v>5.2022292508498396</v>
      </c>
      <c r="O152">
        <v>5.2022451756085903</v>
      </c>
      <c r="P152">
        <v>5.2021887829465996</v>
      </c>
      <c r="Q152" t="s">
        <v>51</v>
      </c>
    </row>
    <row r="153" spans="1:17" x14ac:dyDescent="0.2">
      <c r="A153">
        <v>152</v>
      </c>
      <c r="B153">
        <v>744</v>
      </c>
      <c r="C153">
        <v>165</v>
      </c>
      <c r="D153">
        <v>0.411798161529766</v>
      </c>
      <c r="E153">
        <v>110.896314412744</v>
      </c>
      <c r="F153">
        <v>1.6861951130214301</v>
      </c>
      <c r="G153">
        <v>-1836.5429192472786</v>
      </c>
      <c r="H153">
        <v>-1529.3402507628632</v>
      </c>
      <c r="I153">
        <v>302.028887655174</v>
      </c>
      <c r="J153">
        <v>163.04508649557599</v>
      </c>
      <c r="K153">
        <v>65.767190022294002</v>
      </c>
      <c r="L153">
        <v>7.3419721513687808E-2</v>
      </c>
      <c r="M153">
        <v>-7.2526277637996253E-2</v>
      </c>
      <c r="N153">
        <v>4.7820862242107003</v>
      </c>
      <c r="O153">
        <v>4.7821013681632198</v>
      </c>
      <c r="P153">
        <v>4.78204471483288</v>
      </c>
      <c r="Q153" t="s">
        <v>51</v>
      </c>
    </row>
    <row r="154" spans="1:17" x14ac:dyDescent="0.2">
      <c r="A154">
        <v>153</v>
      </c>
      <c r="B154">
        <v>776</v>
      </c>
      <c r="C154">
        <v>150</v>
      </c>
      <c r="D154">
        <v>0.447600915026452</v>
      </c>
      <c r="E154">
        <v>110.88443101585</v>
      </c>
      <c r="F154">
        <v>1.7014347826165901</v>
      </c>
      <c r="G154">
        <v>-1847.3219397404625</v>
      </c>
      <c r="H154">
        <v>-1509.321511202643</v>
      </c>
      <c r="I154">
        <v>322.16940546076302</v>
      </c>
      <c r="J154">
        <v>164.507360160898</v>
      </c>
      <c r="K154">
        <v>65.171132122574704</v>
      </c>
      <c r="L154">
        <v>0.72832660262314108</v>
      </c>
      <c r="M154">
        <v>-0.72769604054137027</v>
      </c>
      <c r="N154">
        <v>47.434909185530202</v>
      </c>
      <c r="O154">
        <v>47.434936958199103</v>
      </c>
      <c r="P154">
        <v>47.434894748467002</v>
      </c>
      <c r="Q154" t="s">
        <v>51</v>
      </c>
    </row>
    <row r="155" spans="1:17" x14ac:dyDescent="0.2">
      <c r="A155">
        <v>154</v>
      </c>
      <c r="B155">
        <v>774</v>
      </c>
      <c r="C155">
        <v>150</v>
      </c>
      <c r="D155">
        <v>0.44641216635630598</v>
      </c>
      <c r="E155">
        <v>110.884494909502</v>
      </c>
      <c r="F155">
        <v>1.70220966731107</v>
      </c>
      <c r="G155">
        <v>-1846.6790194484993</v>
      </c>
      <c r="H155">
        <v>-1509.7522881231423</v>
      </c>
      <c r="I155">
        <v>321.75939805868899</v>
      </c>
      <c r="J155">
        <v>164.50424933641099</v>
      </c>
      <c r="K155">
        <v>65.141502271376098</v>
      </c>
      <c r="L155">
        <v>0.72466838299032421</v>
      </c>
      <c r="M155">
        <v>-0.72403453501534887</v>
      </c>
      <c r="N155">
        <v>47.174835025722899</v>
      </c>
      <c r="O155">
        <v>47.174862592261803</v>
      </c>
      <c r="P155">
        <v>47.174820104951799</v>
      </c>
      <c r="Q155" t="s">
        <v>51</v>
      </c>
    </row>
    <row r="156" spans="1:17" x14ac:dyDescent="0.2">
      <c r="A156">
        <v>155</v>
      </c>
      <c r="B156">
        <v>772</v>
      </c>
      <c r="C156">
        <v>150</v>
      </c>
      <c r="D156">
        <v>0.44521886810505501</v>
      </c>
      <c r="E156">
        <v>110.884555027598</v>
      </c>
      <c r="F156">
        <v>1.7026322841588599</v>
      </c>
      <c r="G156">
        <v>-1846.0369112237681</v>
      </c>
      <c r="H156">
        <v>-1510.2144735003294</v>
      </c>
      <c r="I156">
        <v>321.318552618723</v>
      </c>
      <c r="J156">
        <v>164.49368776673799</v>
      </c>
      <c r="K156">
        <v>65.125368559763402</v>
      </c>
      <c r="L156">
        <v>0.7196508967887667</v>
      </c>
      <c r="M156">
        <v>-0.71901282083676499</v>
      </c>
      <c r="N156">
        <v>46.836132199706299</v>
      </c>
      <c r="O156">
        <v>46.836159592259797</v>
      </c>
      <c r="P156">
        <v>46.836116755440102</v>
      </c>
      <c r="Q156" t="s">
        <v>51</v>
      </c>
    </row>
    <row r="157" spans="1:17" x14ac:dyDescent="0.2">
      <c r="A157">
        <v>156</v>
      </c>
      <c r="B157">
        <v>770</v>
      </c>
      <c r="C157">
        <v>150</v>
      </c>
      <c r="D157">
        <v>0.44402099410439499</v>
      </c>
      <c r="E157">
        <v>110.884615281395</v>
      </c>
      <c r="F157">
        <v>1.7030728710301699</v>
      </c>
      <c r="G157">
        <v>-1845.3956871957685</v>
      </c>
      <c r="H157">
        <v>-1510.6762770693213</v>
      </c>
      <c r="I157">
        <v>320.87723041076202</v>
      </c>
      <c r="J157">
        <v>164.485883169609</v>
      </c>
      <c r="K157">
        <v>65.108555932972095</v>
      </c>
      <c r="L157">
        <v>0.71462861292111335</v>
      </c>
      <c r="M157">
        <v>-0.71398631263819479</v>
      </c>
      <c r="N157">
        <v>46.496793714067401</v>
      </c>
      <c r="O157">
        <v>46.496820916873602</v>
      </c>
      <c r="P157">
        <v>46.496777729003298</v>
      </c>
      <c r="Q157" t="s">
        <v>51</v>
      </c>
    </row>
    <row r="158" spans="1:17" x14ac:dyDescent="0.2">
      <c r="A158">
        <v>157</v>
      </c>
      <c r="B158">
        <v>768</v>
      </c>
      <c r="C158">
        <v>150</v>
      </c>
      <c r="D158">
        <v>0.442818517984921</v>
      </c>
      <c r="E158">
        <v>110.884699578829</v>
      </c>
      <c r="F158">
        <v>1.7006337643827201</v>
      </c>
      <c r="G158">
        <v>-1844.7560598464968</v>
      </c>
      <c r="H158">
        <v>-1511.5180630063433</v>
      </c>
      <c r="I158">
        <v>320.07084603658802</v>
      </c>
      <c r="J158">
        <v>164.468446305687</v>
      </c>
      <c r="K158">
        <v>65.201986401273501</v>
      </c>
      <c r="L158">
        <v>0.69161551764872853</v>
      </c>
      <c r="M158">
        <v>-0.69095829652160923</v>
      </c>
      <c r="N158">
        <v>45.062231760891002</v>
      </c>
      <c r="O158">
        <v>45.062259252071598</v>
      </c>
      <c r="P158">
        <v>45.062214929081897</v>
      </c>
      <c r="Q158" t="s">
        <v>51</v>
      </c>
    </row>
    <row r="159" spans="1:17" x14ac:dyDescent="0.2">
      <c r="A159">
        <v>158</v>
      </c>
      <c r="B159">
        <v>766</v>
      </c>
      <c r="C159">
        <v>150</v>
      </c>
      <c r="D159">
        <v>0.44161141317423203</v>
      </c>
      <c r="E159">
        <v>110.88478485736</v>
      </c>
      <c r="F159">
        <v>1.69779539660066</v>
      </c>
      <c r="G159">
        <v>-1844.1181590176011</v>
      </c>
      <c r="H159">
        <v>-1512.4187391640482</v>
      </c>
      <c r="I159">
        <v>319.20635787137201</v>
      </c>
      <c r="J159">
        <v>164.455076702805</v>
      </c>
      <c r="K159">
        <v>65.311041059113606</v>
      </c>
      <c r="L159">
        <v>0.66574030569829024</v>
      </c>
      <c r="M159">
        <v>-0.66506650405890333</v>
      </c>
      <c r="N159">
        <v>43.446793107347197</v>
      </c>
      <c r="O159">
        <v>43.4468209349304</v>
      </c>
      <c r="P159">
        <v>43.446775347816697</v>
      </c>
      <c r="Q159" t="s">
        <v>51</v>
      </c>
    </row>
    <row r="160" spans="1:17" x14ac:dyDescent="0.2">
      <c r="A160">
        <v>159</v>
      </c>
      <c r="B160">
        <v>764</v>
      </c>
      <c r="C160">
        <v>150</v>
      </c>
      <c r="D160">
        <v>0.44039965289495597</v>
      </c>
      <c r="E160">
        <v>110.88486674887901</v>
      </c>
      <c r="F160">
        <v>1.69482735572612</v>
      </c>
      <c r="G160">
        <v>-1843.4819527204022</v>
      </c>
      <c r="H160">
        <v>-1513.3430805692321</v>
      </c>
      <c r="I160">
        <v>318.31735626960699</v>
      </c>
      <c r="J160">
        <v>164.44543592733501</v>
      </c>
      <c r="K160">
        <v>65.425464354374796</v>
      </c>
      <c r="L160">
        <v>0.63860089199078962</v>
      </c>
      <c r="M160">
        <v>-0.63790984533979844</v>
      </c>
      <c r="N160">
        <v>41.746393635779398</v>
      </c>
      <c r="O160">
        <v>41.7464217991322</v>
      </c>
      <c r="P160">
        <v>41.746374890727097</v>
      </c>
      <c r="Q160" t="s">
        <v>51</v>
      </c>
    </row>
    <row r="161" spans="1:17" x14ac:dyDescent="0.2">
      <c r="A161">
        <v>160</v>
      </c>
      <c r="B161">
        <v>762</v>
      </c>
      <c r="C161">
        <v>150</v>
      </c>
      <c r="D161">
        <v>0.439183210162781</v>
      </c>
      <c r="E161">
        <v>110.896122156215</v>
      </c>
      <c r="F161">
        <v>1.6467413620492599</v>
      </c>
      <c r="G161">
        <v>-1843.0350388358124</v>
      </c>
      <c r="H161">
        <v>-1520.9740754947468</v>
      </c>
      <c r="I161">
        <v>311.12988078506999</v>
      </c>
      <c r="J161">
        <v>163.19909402852099</v>
      </c>
      <c r="K161">
        <v>67.342768398196895</v>
      </c>
      <c r="L161">
        <v>0.31369649603355898</v>
      </c>
      <c r="M161">
        <v>-0.31282536758828083</v>
      </c>
      <c r="N161">
        <v>21.0804857664961</v>
      </c>
      <c r="O161">
        <v>21.080521685487899</v>
      </c>
      <c r="P161">
        <v>21.080461020314701</v>
      </c>
      <c r="Q161" t="s">
        <v>51</v>
      </c>
    </row>
    <row r="162" spans="1:17" x14ac:dyDescent="0.2">
      <c r="A162">
        <v>161</v>
      </c>
      <c r="B162">
        <v>760</v>
      </c>
      <c r="C162">
        <v>150</v>
      </c>
      <c r="D162">
        <v>0.43796205778444602</v>
      </c>
      <c r="E162">
        <v>110.89723555570301</v>
      </c>
      <c r="F162">
        <v>1.62960870886716</v>
      </c>
      <c r="G162">
        <v>-1842.4347021371386</v>
      </c>
      <c r="H162">
        <v>-1524.2968302695449</v>
      </c>
      <c r="I162">
        <v>307.93542214282002</v>
      </c>
      <c r="J162">
        <v>162.70237256293001</v>
      </c>
      <c r="K162">
        <v>68.051449990589603</v>
      </c>
      <c r="L162">
        <v>0.18385908798703077</v>
      </c>
      <c r="M162">
        <v>-0.18291626463241123</v>
      </c>
      <c r="N162">
        <v>12.462900053326001</v>
      </c>
      <c r="O162">
        <v>12.4629386884121</v>
      </c>
      <c r="P162">
        <v>12.4628723027957</v>
      </c>
      <c r="Q162" t="s">
        <v>51</v>
      </c>
    </row>
    <row r="163" spans="1:17" x14ac:dyDescent="0.2">
      <c r="A163">
        <v>162</v>
      </c>
      <c r="B163">
        <v>758</v>
      </c>
      <c r="C163">
        <v>150</v>
      </c>
      <c r="D163">
        <v>0.43673616835572199</v>
      </c>
      <c r="E163">
        <v>110.897348265989</v>
      </c>
      <c r="F163">
        <v>1.6252068399287201</v>
      </c>
      <c r="G163">
        <v>-1841.822159244733</v>
      </c>
      <c r="H163">
        <v>-1525.7076641447024</v>
      </c>
      <c r="I163">
        <v>306.57060224544898</v>
      </c>
      <c r="J163">
        <v>162.58393470867799</v>
      </c>
      <c r="K163">
        <v>68.235836535645603</v>
      </c>
      <c r="L163">
        <v>0.13754214303083281</v>
      </c>
      <c r="M163">
        <v>-0.13657341275510496</v>
      </c>
      <c r="N163">
        <v>9.3347679849280105</v>
      </c>
      <c r="O163">
        <v>9.3348071177630008</v>
      </c>
      <c r="P163">
        <v>9.3347386095832299</v>
      </c>
      <c r="Q163" t="s">
        <v>51</v>
      </c>
    </row>
    <row r="164" spans="1:17" x14ac:dyDescent="0.2">
      <c r="A164">
        <v>163</v>
      </c>
      <c r="B164">
        <v>756</v>
      </c>
      <c r="C164">
        <v>150</v>
      </c>
      <c r="D164">
        <v>0.43550551425934297</v>
      </c>
      <c r="E164">
        <v>110.89729064566301</v>
      </c>
      <c r="F164">
        <v>1.6241391406063901</v>
      </c>
      <c r="G164">
        <v>-1841.2089995315866</v>
      </c>
      <c r="H164">
        <v>-1526.60663648728</v>
      </c>
      <c r="I164">
        <v>305.697162638343</v>
      </c>
      <c r="J164">
        <v>162.571701095116</v>
      </c>
      <c r="K164">
        <v>68.280658887549805</v>
      </c>
      <c r="L164">
        <v>0.1132281267332431</v>
      </c>
      <c r="M164">
        <v>-0.11224551595337139</v>
      </c>
      <c r="N164">
        <v>7.6799240104878699</v>
      </c>
      <c r="O164">
        <v>7.6799630330442996</v>
      </c>
      <c r="P164">
        <v>7.6798933627636199</v>
      </c>
      <c r="Q164" t="s">
        <v>51</v>
      </c>
    </row>
    <row r="165" spans="1:17" x14ac:dyDescent="0.2">
      <c r="A165">
        <v>164</v>
      </c>
      <c r="B165">
        <v>754</v>
      </c>
      <c r="C165">
        <v>150</v>
      </c>
      <c r="D165">
        <v>0.43427006766295001</v>
      </c>
      <c r="E165">
        <v>110.89718704750101</v>
      </c>
      <c r="F165">
        <v>1.6244385905593599</v>
      </c>
      <c r="G165">
        <v>-1840.5966112182243</v>
      </c>
      <c r="H165">
        <v>-1527.2945257830954</v>
      </c>
      <c r="I165">
        <v>305.026543597272</v>
      </c>
      <c r="J165">
        <v>162.60564580476699</v>
      </c>
      <c r="K165">
        <v>68.268008216496796</v>
      </c>
      <c r="L165">
        <v>9.7936464464618067E-2</v>
      </c>
      <c r="M165">
        <v>-9.6944905068036949E-2</v>
      </c>
      <c r="N165">
        <v>6.6340282509434001</v>
      </c>
      <c r="O165">
        <v>6.6340668997054699</v>
      </c>
      <c r="P165">
        <v>6.6339964629828501</v>
      </c>
      <c r="Q165" t="s">
        <v>51</v>
      </c>
    </row>
    <row r="166" spans="1:17" x14ac:dyDescent="0.2">
      <c r="A166">
        <v>165</v>
      </c>
      <c r="B166">
        <v>752</v>
      </c>
      <c r="C166">
        <v>150</v>
      </c>
      <c r="D166">
        <v>0.43302980051699702</v>
      </c>
      <c r="E166">
        <v>110.89705401251599</v>
      </c>
      <c r="F166">
        <v>1.6254067368326399</v>
      </c>
      <c r="G166">
        <v>-1839.9849850922988</v>
      </c>
      <c r="H166">
        <v>-1527.8840790786755</v>
      </c>
      <c r="I166">
        <v>304.44995921139201</v>
      </c>
      <c r="J166">
        <v>162.66251597715001</v>
      </c>
      <c r="K166">
        <v>68.227263674701106</v>
      </c>
      <c r="L166">
        <v>8.6919260838883725E-2</v>
      </c>
      <c r="M166">
        <v>-8.5921111145173965E-2</v>
      </c>
      <c r="N166">
        <v>5.87797654709009</v>
      </c>
      <c r="O166">
        <v>5.8780146832277502</v>
      </c>
      <c r="P166">
        <v>5.8779436696635399</v>
      </c>
      <c r="Q166" t="s">
        <v>51</v>
      </c>
    </row>
    <row r="167" spans="1:17" x14ac:dyDescent="0.2">
      <c r="A167">
        <v>166</v>
      </c>
      <c r="B167">
        <v>750</v>
      </c>
      <c r="C167">
        <v>150</v>
      </c>
      <c r="D167">
        <v>0.43178468455260599</v>
      </c>
      <c r="E167">
        <v>110.896934452892</v>
      </c>
      <c r="F167">
        <v>1.62681698517705</v>
      </c>
      <c r="G167">
        <v>-1839.3746573925839</v>
      </c>
      <c r="H167">
        <v>-1528.4043457193345</v>
      </c>
      <c r="I167">
        <v>303.94009804979498</v>
      </c>
      <c r="J167">
        <v>162.73723509330799</v>
      </c>
      <c r="K167">
        <v>68.168045615053302</v>
      </c>
      <c r="L167">
        <v>7.8835898214723171E-2</v>
      </c>
      <c r="M167">
        <v>-7.7832765458207692E-2</v>
      </c>
      <c r="N167">
        <v>5.3215129199080797</v>
      </c>
      <c r="O167">
        <v>5.3215504431995599</v>
      </c>
      <c r="P167">
        <v>5.3214789811901104</v>
      </c>
      <c r="Q167" t="s">
        <v>51</v>
      </c>
    </row>
    <row r="168" spans="1:17" x14ac:dyDescent="0.2">
      <c r="A168">
        <v>167</v>
      </c>
      <c r="B168">
        <v>748</v>
      </c>
      <c r="C168">
        <v>150</v>
      </c>
      <c r="D168">
        <v>0.43053469127944</v>
      </c>
      <c r="E168">
        <v>110.89681960062801</v>
      </c>
      <c r="F168">
        <v>1.62850496123079</v>
      </c>
      <c r="G168">
        <v>-1838.7653830342153</v>
      </c>
      <c r="H168">
        <v>-1528.882068972491</v>
      </c>
      <c r="I168">
        <v>303.47092685080798</v>
      </c>
      <c r="J168">
        <v>162.82423834480301</v>
      </c>
      <c r="K168">
        <v>68.097317626109103</v>
      </c>
      <c r="L168">
        <v>7.2561059588057031E-2</v>
      </c>
      <c r="M168">
        <v>-7.1553944633756375E-2</v>
      </c>
      <c r="N168">
        <v>4.8884092884119301</v>
      </c>
      <c r="O168">
        <v>4.88844612812305</v>
      </c>
      <c r="P168">
        <v>4.8883742971921604</v>
      </c>
      <c r="Q168" t="s">
        <v>51</v>
      </c>
    </row>
    <row r="169" spans="1:17" x14ac:dyDescent="0.2">
      <c r="A169">
        <v>168</v>
      </c>
      <c r="B169">
        <v>784</v>
      </c>
      <c r="C169">
        <v>135</v>
      </c>
      <c r="D169">
        <v>0.467918932980182</v>
      </c>
      <c r="E169">
        <v>110.884318981467</v>
      </c>
      <c r="F169">
        <v>1.63332077625214</v>
      </c>
      <c r="G169">
        <v>-1850.9018795520424</v>
      </c>
      <c r="H169">
        <v>-1508.3695776586908</v>
      </c>
      <c r="I169">
        <v>324.01840671927999</v>
      </c>
      <c r="J169">
        <v>164.51662118650501</v>
      </c>
      <c r="K169">
        <v>67.888880490398606</v>
      </c>
      <c r="L169">
        <v>0.69720149694089428</v>
      </c>
      <c r="M169">
        <v>-0.69645910627226104</v>
      </c>
      <c r="N169">
        <v>47.295781658795498</v>
      </c>
      <c r="O169">
        <v>47.295829056633401</v>
      </c>
      <c r="P169">
        <v>47.295772968256401</v>
      </c>
      <c r="Q169" t="s">
        <v>51</v>
      </c>
    </row>
    <row r="170" spans="1:17" x14ac:dyDescent="0.2">
      <c r="A170">
        <v>169</v>
      </c>
      <c r="B170">
        <v>782</v>
      </c>
      <c r="C170">
        <v>135</v>
      </c>
      <c r="D170">
        <v>0.466777709330429</v>
      </c>
      <c r="E170">
        <v>110.884385672897</v>
      </c>
      <c r="F170">
        <v>1.6346613934012599</v>
      </c>
      <c r="G170">
        <v>-1850.2552599089311</v>
      </c>
      <c r="H170">
        <v>-1508.7603229538595</v>
      </c>
      <c r="I170">
        <v>323.64943779320703</v>
      </c>
      <c r="J170">
        <v>164.52659569815401</v>
      </c>
      <c r="K170">
        <v>67.833244316230093</v>
      </c>
      <c r="L170">
        <v>0.69540959782927214</v>
      </c>
      <c r="M170">
        <v>-0.69466471405752317</v>
      </c>
      <c r="N170">
        <v>47.135291536138602</v>
      </c>
      <c r="O170">
        <v>47.135338833124202</v>
      </c>
      <c r="P170">
        <v>47.135282512317197</v>
      </c>
      <c r="Q170" t="s">
        <v>51</v>
      </c>
    </row>
    <row r="171" spans="1:17" x14ac:dyDescent="0.2">
      <c r="A171">
        <v>170</v>
      </c>
      <c r="B171">
        <v>780</v>
      </c>
      <c r="C171">
        <v>135</v>
      </c>
      <c r="D171">
        <v>0.46563215116555001</v>
      </c>
      <c r="E171">
        <v>110.884444018605</v>
      </c>
      <c r="F171">
        <v>1.63520230260055</v>
      </c>
      <c r="G171">
        <v>-1849.609336869544</v>
      </c>
      <c r="H171">
        <v>-1509.2185684522153</v>
      </c>
      <c r="I171">
        <v>323.21564674503998</v>
      </c>
      <c r="J171">
        <v>164.512806710322</v>
      </c>
      <c r="K171">
        <v>67.810841412258</v>
      </c>
      <c r="L171">
        <v>0.69081433037766837</v>
      </c>
      <c r="M171">
        <v>-0.69006487857529963</v>
      </c>
      <c r="N171">
        <v>46.807831953971302</v>
      </c>
      <c r="O171">
        <v>46.807879291037899</v>
      </c>
      <c r="P171">
        <v>46.807822555505503</v>
      </c>
      <c r="Q171" t="s">
        <v>51</v>
      </c>
    </row>
    <row r="172" spans="1:17" x14ac:dyDescent="0.2">
      <c r="A172">
        <v>171</v>
      </c>
      <c r="B172">
        <v>778</v>
      </c>
      <c r="C172">
        <v>135</v>
      </c>
      <c r="D172">
        <v>0.464482233743996</v>
      </c>
      <c r="E172">
        <v>110.884502511783</v>
      </c>
      <c r="F172">
        <v>1.6357615790300699</v>
      </c>
      <c r="G172">
        <v>-1848.9642840389008</v>
      </c>
      <c r="H172">
        <v>-1509.6763716253577</v>
      </c>
      <c r="I172">
        <v>322.78145366177398</v>
      </c>
      <c r="J172">
        <v>164.501672043528</v>
      </c>
      <c r="K172">
        <v>67.787692248849496</v>
      </c>
      <c r="L172">
        <v>0.68621596948432872</v>
      </c>
      <c r="M172">
        <v>-0.6854619444431751</v>
      </c>
      <c r="N172">
        <v>46.479855967691698</v>
      </c>
      <c r="O172">
        <v>46.479903331617997</v>
      </c>
      <c r="P172">
        <v>46.479846178581603</v>
      </c>
      <c r="Q172" t="s">
        <v>51</v>
      </c>
    </row>
    <row r="173" spans="1:17" x14ac:dyDescent="0.2">
      <c r="A173">
        <v>172</v>
      </c>
      <c r="B173">
        <v>776</v>
      </c>
      <c r="C173">
        <v>135</v>
      </c>
      <c r="D173">
        <v>0.46332793213554102</v>
      </c>
      <c r="E173">
        <v>110.884561166917</v>
      </c>
      <c r="F173">
        <v>1.63634086374483</v>
      </c>
      <c r="G173">
        <v>-1848.3201023571191</v>
      </c>
      <c r="H173">
        <v>-1510.1336266805965</v>
      </c>
      <c r="I173">
        <v>322.346957953752</v>
      </c>
      <c r="J173">
        <v>164.49324445706799</v>
      </c>
      <c r="K173">
        <v>67.763730420539304</v>
      </c>
      <c r="L173">
        <v>0.68161924620793879</v>
      </c>
      <c r="M173">
        <v>-0.68086064727845852</v>
      </c>
      <c r="N173">
        <v>46.151649689004699</v>
      </c>
      <c r="O173">
        <v>46.151697065742198</v>
      </c>
      <c r="P173">
        <v>46.151639492762101</v>
      </c>
      <c r="Q173" t="s">
        <v>51</v>
      </c>
    </row>
    <row r="174" spans="1:17" x14ac:dyDescent="0.2">
      <c r="A174">
        <v>173</v>
      </c>
      <c r="B174">
        <v>774</v>
      </c>
      <c r="C174">
        <v>135</v>
      </c>
      <c r="D174">
        <v>0.46216922121950399</v>
      </c>
      <c r="E174">
        <v>110.88463019213199</v>
      </c>
      <c r="F174">
        <v>1.63559070192055</v>
      </c>
      <c r="G174">
        <v>-1847.6770181764814</v>
      </c>
      <c r="H174">
        <v>-1510.7518903488553</v>
      </c>
      <c r="I174">
        <v>321.75811751349198</v>
      </c>
      <c r="J174">
        <v>164.47412825144599</v>
      </c>
      <c r="K174">
        <v>67.794852380811705</v>
      </c>
      <c r="L174">
        <v>0.66953658908171632</v>
      </c>
      <c r="M174">
        <v>-0.66876862607273946</v>
      </c>
      <c r="N174">
        <v>45.353179905604598</v>
      </c>
      <c r="O174">
        <v>45.353227615347201</v>
      </c>
      <c r="P174">
        <v>45.353169214063897</v>
      </c>
      <c r="Q174" t="s">
        <v>51</v>
      </c>
    </row>
    <row r="175" spans="1:17" x14ac:dyDescent="0.2">
      <c r="A175">
        <v>174</v>
      </c>
      <c r="B175">
        <v>772</v>
      </c>
      <c r="C175">
        <v>135</v>
      </c>
      <c r="D175">
        <v>0.46100607568291702</v>
      </c>
      <c r="E175">
        <v>110.884714117214</v>
      </c>
      <c r="F175">
        <v>1.63268779788899</v>
      </c>
      <c r="G175">
        <v>-1847.0356992619772</v>
      </c>
      <c r="H175">
        <v>-1511.6328420811631</v>
      </c>
      <c r="I175">
        <v>320.91741471195201</v>
      </c>
      <c r="J175">
        <v>164.43806001025999</v>
      </c>
      <c r="K175">
        <v>67.915442413781705</v>
      </c>
      <c r="L175">
        <v>0.64522469295529472</v>
      </c>
      <c r="M175">
        <v>-0.64443955678695219</v>
      </c>
      <c r="N175">
        <v>43.781783300340201</v>
      </c>
      <c r="O175">
        <v>43.781831869287302</v>
      </c>
      <c r="P175">
        <v>43.781771970571299</v>
      </c>
      <c r="Q175" t="s">
        <v>51</v>
      </c>
    </row>
    <row r="176" spans="1:17" x14ac:dyDescent="0.2">
      <c r="A176">
        <v>175</v>
      </c>
      <c r="B176">
        <v>770</v>
      </c>
      <c r="C176">
        <v>135</v>
      </c>
      <c r="D176">
        <v>0.45983847001869499</v>
      </c>
      <c r="E176">
        <v>110.884795262144</v>
      </c>
      <c r="F176">
        <v>1.62970979527876</v>
      </c>
      <c r="G176">
        <v>-1846.3960302322562</v>
      </c>
      <c r="H176">
        <v>-1512.5292922438284</v>
      </c>
      <c r="I176">
        <v>320.060215364567</v>
      </c>
      <c r="J176">
        <v>164.405452548482</v>
      </c>
      <c r="K176">
        <v>68.039595505515607</v>
      </c>
      <c r="L176">
        <v>0.62008569646334066</v>
      </c>
      <c r="M176">
        <v>-0.61928290929073149</v>
      </c>
      <c r="N176">
        <v>42.150427766102197</v>
      </c>
      <c r="O176">
        <v>42.150477204760001</v>
      </c>
      <c r="P176">
        <v>42.150415758067503</v>
      </c>
      <c r="Q176" t="s">
        <v>51</v>
      </c>
    </row>
    <row r="177" spans="1:17" x14ac:dyDescent="0.2">
      <c r="A177">
        <v>176</v>
      </c>
      <c r="B177">
        <v>768</v>
      </c>
      <c r="C177">
        <v>135</v>
      </c>
      <c r="D177">
        <v>0.45866637852374798</v>
      </c>
      <c r="E177">
        <v>110.88486838233599</v>
      </c>
      <c r="F177">
        <v>1.62599575384954</v>
      </c>
      <c r="G177">
        <v>-1845.7579775601826</v>
      </c>
      <c r="H177">
        <v>-1513.5243001817737</v>
      </c>
      <c r="I177">
        <v>319.10662841828002</v>
      </c>
      <c r="J177">
        <v>164.358168511309</v>
      </c>
      <c r="K177">
        <v>68.195054089050601</v>
      </c>
      <c r="L177">
        <v>0.5901043105778101</v>
      </c>
      <c r="M177">
        <v>-0.58928106758159093</v>
      </c>
      <c r="N177">
        <v>40.201061889684297</v>
      </c>
      <c r="O177">
        <v>40.201112368056698</v>
      </c>
      <c r="P177">
        <v>40.201049122021203</v>
      </c>
      <c r="Q177" t="s">
        <v>51</v>
      </c>
    </row>
    <row r="178" spans="1:17" x14ac:dyDescent="0.2">
      <c r="A178">
        <v>177</v>
      </c>
      <c r="B178">
        <v>766</v>
      </c>
      <c r="C178">
        <v>135</v>
      </c>
      <c r="D178">
        <v>0.45748977529712298</v>
      </c>
      <c r="E178">
        <v>110.89716380704</v>
      </c>
      <c r="F178">
        <v>1.5701179143655799</v>
      </c>
      <c r="G178">
        <v>-1845.3305240457207</v>
      </c>
      <c r="H178">
        <v>-1521.8318913526996</v>
      </c>
      <c r="I178">
        <v>311.31600335019698</v>
      </c>
      <c r="J178">
        <v>162.61093130446099</v>
      </c>
      <c r="K178">
        <v>70.629831551121995</v>
      </c>
      <c r="L178">
        <v>0.24665204116771677</v>
      </c>
      <c r="M178">
        <v>-0.24562441753954464</v>
      </c>
      <c r="N178">
        <v>17.3676658143395</v>
      </c>
      <c r="O178">
        <v>17.367730452392401</v>
      </c>
      <c r="P178">
        <v>17.367648914376801</v>
      </c>
      <c r="Q178" t="s">
        <v>51</v>
      </c>
    </row>
    <row r="179" spans="1:17" x14ac:dyDescent="0.2">
      <c r="A179">
        <v>178</v>
      </c>
      <c r="B179">
        <v>764</v>
      </c>
      <c r="C179">
        <v>135</v>
      </c>
      <c r="D179">
        <v>0.45630863423805901</v>
      </c>
      <c r="E179">
        <v>110.897754035777</v>
      </c>
      <c r="F179">
        <v>1.5586329474543701</v>
      </c>
      <c r="G179">
        <v>-1844.7200858039416</v>
      </c>
      <c r="H179">
        <v>-1524.1826561286878</v>
      </c>
      <c r="I179">
        <v>309.06149435754298</v>
      </c>
      <c r="J179">
        <v>162.21347659988501</v>
      </c>
      <c r="K179">
        <v>71.150654306968605</v>
      </c>
      <c r="L179">
        <v>0.16204259454976561</v>
      </c>
      <c r="M179">
        <v>-0.16096396088341053</v>
      </c>
      <c r="N179">
        <v>11.4729499442271</v>
      </c>
      <c r="O179">
        <v>11.4730177816562</v>
      </c>
      <c r="P179">
        <v>11.4729314696357</v>
      </c>
      <c r="Q179" t="s">
        <v>51</v>
      </c>
    </row>
    <row r="180" spans="1:17" x14ac:dyDescent="0.2">
      <c r="A180">
        <v>179</v>
      </c>
      <c r="B180">
        <v>762</v>
      </c>
      <c r="C180">
        <v>135</v>
      </c>
      <c r="D180">
        <v>0.45512292904410101</v>
      </c>
      <c r="E180">
        <v>110.897799796771</v>
      </c>
      <c r="F180">
        <v>1.5553004847338801</v>
      </c>
      <c r="G180">
        <v>-1844.1039542094911</v>
      </c>
      <c r="H180">
        <v>-1525.3823329438119</v>
      </c>
      <c r="I180">
        <v>307.90460563514898</v>
      </c>
      <c r="J180">
        <v>162.10087302868001</v>
      </c>
      <c r="K180">
        <v>71.303134593792805</v>
      </c>
      <c r="L180">
        <v>0.12593618632368864</v>
      </c>
      <c r="M180">
        <v>-0.12483506790422115</v>
      </c>
      <c r="N180">
        <v>8.9217618633775704</v>
      </c>
      <c r="O180">
        <v>8.9218307473501408</v>
      </c>
      <c r="P180">
        <v>8.9217422986314308</v>
      </c>
      <c r="Q180" t="s">
        <v>51</v>
      </c>
    </row>
    <row r="181" spans="1:17" x14ac:dyDescent="0.2">
      <c r="A181">
        <v>180</v>
      </c>
      <c r="B181">
        <v>760</v>
      </c>
      <c r="C181">
        <v>135</v>
      </c>
      <c r="D181">
        <v>0.45393263320911997</v>
      </c>
      <c r="E181">
        <v>110.897728925949</v>
      </c>
      <c r="F181">
        <v>1.5546024547847399</v>
      </c>
      <c r="G181">
        <v>-1843.4878219613465</v>
      </c>
      <c r="H181">
        <v>-1526.203920134194</v>
      </c>
      <c r="I181">
        <v>307.109139823693</v>
      </c>
      <c r="J181">
        <v>162.08556162104199</v>
      </c>
      <c r="K181">
        <v>71.335104730234306</v>
      </c>
      <c r="L181">
        <v>0.10555784557125636</v>
      </c>
      <c r="M181">
        <v>-0.104443466149089</v>
      </c>
      <c r="N181">
        <v>7.47127937552838</v>
      </c>
      <c r="O181">
        <v>7.4713485851015999</v>
      </c>
      <c r="P181">
        <v>7.4712588624481997</v>
      </c>
      <c r="Q181" t="s">
        <v>51</v>
      </c>
    </row>
    <row r="182" spans="1:17" x14ac:dyDescent="0.2">
      <c r="A182">
        <v>181</v>
      </c>
      <c r="B182">
        <v>758</v>
      </c>
      <c r="C182">
        <v>135</v>
      </c>
      <c r="D182">
        <v>0.452737720021335</v>
      </c>
      <c r="E182">
        <v>110.897623572819</v>
      </c>
      <c r="F182">
        <v>1.5550907356061101</v>
      </c>
      <c r="G182">
        <v>-1842.8725379441614</v>
      </c>
      <c r="H182">
        <v>-1526.8546749917678</v>
      </c>
      <c r="I182">
        <v>306.47705743160498</v>
      </c>
      <c r="J182">
        <v>162.11634010246701</v>
      </c>
      <c r="K182">
        <v>71.312638570633695</v>
      </c>
      <c r="L182">
        <v>9.2248846850790781E-2</v>
      </c>
      <c r="M182">
        <v>-9.1125349438023043E-2</v>
      </c>
      <c r="N182">
        <v>6.5192522454995103</v>
      </c>
      <c r="O182">
        <v>6.5193214420550003</v>
      </c>
      <c r="P182">
        <v>6.5192308337712603</v>
      </c>
      <c r="Q182" t="s">
        <v>51</v>
      </c>
    </row>
    <row r="183" spans="1:17" x14ac:dyDescent="0.2">
      <c r="A183">
        <v>182</v>
      </c>
      <c r="B183">
        <v>756</v>
      </c>
      <c r="C183">
        <v>135</v>
      </c>
      <c r="D183">
        <v>0.451538162561337</v>
      </c>
      <c r="E183">
        <v>110.89750654879001</v>
      </c>
      <c r="F183">
        <v>1.55622336451397</v>
      </c>
      <c r="G183">
        <v>-1842.2582324376021</v>
      </c>
      <c r="H183">
        <v>-1527.4129971588061</v>
      </c>
      <c r="I183">
        <v>305.93327010135499</v>
      </c>
      <c r="J183">
        <v>162.17368131461899</v>
      </c>
      <c r="K183">
        <v>71.260661597523395</v>
      </c>
      <c r="L183">
        <v>8.2756206741867955E-2</v>
      </c>
      <c r="M183">
        <v>-8.1625830355489926E-2</v>
      </c>
      <c r="N183">
        <v>5.8375918939673204</v>
      </c>
      <c r="O183">
        <v>5.8376608829634904</v>
      </c>
      <c r="P183">
        <v>5.8375695981761702</v>
      </c>
      <c r="Q183" t="s">
        <v>51</v>
      </c>
    </row>
    <row r="184" spans="1:17" x14ac:dyDescent="0.2">
      <c r="A184">
        <v>183</v>
      </c>
      <c r="B184">
        <v>754</v>
      </c>
      <c r="C184">
        <v>135</v>
      </c>
      <c r="D184">
        <v>0.45033393370004399</v>
      </c>
      <c r="E184">
        <v>110.897387051544</v>
      </c>
      <c r="F184">
        <v>1.5577165197318299</v>
      </c>
      <c r="G184">
        <v>-1841.644933964966</v>
      </c>
      <c r="H184">
        <v>-1527.9252105848557</v>
      </c>
      <c r="I184">
        <v>305.433228214032</v>
      </c>
      <c r="J184">
        <v>162.24578037953901</v>
      </c>
      <c r="K184">
        <v>71.192277700589202</v>
      </c>
      <c r="L184">
        <v>7.5262147163442969E-2</v>
      </c>
      <c r="M184">
        <v>-7.4126082506457053E-2</v>
      </c>
      <c r="N184">
        <v>5.29807610493922</v>
      </c>
      <c r="O184">
        <v>5.2981447698635797</v>
      </c>
      <c r="P184">
        <v>5.2980529192839301</v>
      </c>
      <c r="Q184" t="s">
        <v>51</v>
      </c>
    </row>
    <row r="185" spans="1:17" x14ac:dyDescent="0.2">
      <c r="A185">
        <v>184</v>
      </c>
      <c r="B185">
        <v>752</v>
      </c>
      <c r="C185">
        <v>135</v>
      </c>
      <c r="D185">
        <v>0.449125006096672</v>
      </c>
      <c r="E185">
        <v>110.89727616832801</v>
      </c>
      <c r="F185">
        <v>1.55949840589903</v>
      </c>
      <c r="G185">
        <v>-1841.0327264825812</v>
      </c>
      <c r="H185">
        <v>-1528.3945683585252</v>
      </c>
      <c r="I185">
        <v>304.97409760251099</v>
      </c>
      <c r="J185">
        <v>162.33235522789201</v>
      </c>
      <c r="K185">
        <v>71.110862152114194</v>
      </c>
      <c r="L185">
        <v>6.9498129430550754E-2</v>
      </c>
      <c r="M185">
        <v>-6.8357389876125524E-2</v>
      </c>
      <c r="N185">
        <v>4.8817913508646997</v>
      </c>
      <c r="O185">
        <v>4.88185959052334</v>
      </c>
      <c r="P185">
        <v>4.8817672668881702</v>
      </c>
      <c r="Q185" t="s">
        <v>51</v>
      </c>
    </row>
    <row r="186" spans="1:17" x14ac:dyDescent="0.2">
      <c r="A186">
        <v>185</v>
      </c>
      <c r="B186">
        <v>792</v>
      </c>
      <c r="C186">
        <v>120</v>
      </c>
      <c r="D186">
        <v>0.48793174670234402</v>
      </c>
      <c r="E186">
        <v>110.884216542841</v>
      </c>
      <c r="F186">
        <v>1.5511459260198199</v>
      </c>
      <c r="G186">
        <v>-1854.544031905421</v>
      </c>
      <c r="H186">
        <v>-1507.3599997764061</v>
      </c>
      <c r="I186">
        <v>325.95216855209998</v>
      </c>
      <c r="J186">
        <v>164.30302668030899</v>
      </c>
      <c r="K186">
        <v>71.4853545903092</v>
      </c>
      <c r="L186">
        <v>0.65984952243014205</v>
      </c>
      <c r="M186">
        <v>-0.6589727486329614</v>
      </c>
      <c r="N186">
        <v>47.126554519002497</v>
      </c>
      <c r="O186">
        <v>47.126628962668804</v>
      </c>
      <c r="P186">
        <v>47.1265524864939</v>
      </c>
      <c r="Q186" t="s">
        <v>51</v>
      </c>
    </row>
    <row r="187" spans="1:17" x14ac:dyDescent="0.2">
      <c r="A187">
        <v>186</v>
      </c>
      <c r="B187">
        <v>790</v>
      </c>
      <c r="C187">
        <v>120</v>
      </c>
      <c r="D187">
        <v>0.486836758688802</v>
      </c>
      <c r="E187">
        <v>110.884277655521</v>
      </c>
      <c r="F187">
        <v>1.5522488949147399</v>
      </c>
      <c r="G187">
        <v>-1853.8934815214106</v>
      </c>
      <c r="H187">
        <v>-1507.7762060271773</v>
      </c>
      <c r="I187">
        <v>325.561971050088</v>
      </c>
      <c r="J187">
        <v>164.29926443326301</v>
      </c>
      <c r="K187">
        <v>71.434599192684004</v>
      </c>
      <c r="L187">
        <v>0.65720132759026695</v>
      </c>
      <c r="M187">
        <v>-0.65632081884069848</v>
      </c>
      <c r="N187">
        <v>46.903662745111198</v>
      </c>
      <c r="O187">
        <v>46.903737400405198</v>
      </c>
      <c r="P187">
        <v>46.903660569835303</v>
      </c>
      <c r="Q187" t="s">
        <v>51</v>
      </c>
    </row>
    <row r="188" spans="1:17" x14ac:dyDescent="0.2">
      <c r="A188">
        <v>187</v>
      </c>
      <c r="B188">
        <v>788</v>
      </c>
      <c r="C188">
        <v>120</v>
      </c>
      <c r="D188">
        <v>0.48573764312303003</v>
      </c>
      <c r="E188">
        <v>110.88433402275101</v>
      </c>
      <c r="F188">
        <v>1.55289860846309</v>
      </c>
      <c r="G188">
        <v>-1853.2436950192855</v>
      </c>
      <c r="H188">
        <v>-1508.2301554152154</v>
      </c>
      <c r="I188">
        <v>325.13546037308703</v>
      </c>
      <c r="J188">
        <v>164.28046964019501</v>
      </c>
      <c r="K188">
        <v>71.404748139026395</v>
      </c>
      <c r="L188">
        <v>0.65304220925532341</v>
      </c>
      <c r="M188">
        <v>-0.65215677402885985</v>
      </c>
      <c r="N188">
        <v>46.586763205270003</v>
      </c>
      <c r="O188">
        <v>46.586838185479301</v>
      </c>
      <c r="P188">
        <v>46.586760874039697</v>
      </c>
      <c r="Q188" t="s">
        <v>51</v>
      </c>
    </row>
    <row r="189" spans="1:17" x14ac:dyDescent="0.2">
      <c r="A189">
        <v>188</v>
      </c>
      <c r="B189">
        <v>786</v>
      </c>
      <c r="C189">
        <v>120</v>
      </c>
      <c r="D189">
        <v>0.48463437662276798</v>
      </c>
      <c r="E189">
        <v>110.884390553716</v>
      </c>
      <c r="F189">
        <v>1.5535676531621001</v>
      </c>
      <c r="G189">
        <v>-1852.5947642975048</v>
      </c>
      <c r="H189">
        <v>-1508.683534798839</v>
      </c>
      <c r="I189">
        <v>324.70868510120698</v>
      </c>
      <c r="J189">
        <v>164.26421720321801</v>
      </c>
      <c r="K189">
        <v>71.374034035803902</v>
      </c>
      <c r="L189">
        <v>0.64888415622899198</v>
      </c>
      <c r="M189">
        <v>-0.64799378125195084</v>
      </c>
      <c r="N189">
        <v>46.269627043653898</v>
      </c>
      <c r="O189">
        <v>46.269702341038901</v>
      </c>
      <c r="P189">
        <v>46.269624545225298</v>
      </c>
      <c r="Q189" t="s">
        <v>51</v>
      </c>
    </row>
    <row r="190" spans="1:17" x14ac:dyDescent="0.2">
      <c r="A190">
        <v>189</v>
      </c>
      <c r="B190">
        <v>784</v>
      </c>
      <c r="C190">
        <v>120</v>
      </c>
      <c r="D190">
        <v>0.48352693562881199</v>
      </c>
      <c r="E190">
        <v>110.88444726310701</v>
      </c>
      <c r="F190">
        <v>1.55425756189231</v>
      </c>
      <c r="G190">
        <v>-1851.9466900367479</v>
      </c>
      <c r="H190">
        <v>-1509.1362508076209</v>
      </c>
      <c r="I190">
        <v>324.28173268034402</v>
      </c>
      <c r="J190">
        <v>164.25056152546199</v>
      </c>
      <c r="K190">
        <v>71.342388791794207</v>
      </c>
      <c r="L190">
        <v>0.64473125039873136</v>
      </c>
      <c r="M190">
        <v>-0.64383592630421282</v>
      </c>
      <c r="N190">
        <v>45.952512482057898</v>
      </c>
      <c r="O190">
        <v>45.952588088051698</v>
      </c>
      <c r="P190">
        <v>45.952509804679003</v>
      </c>
      <c r="Q190" t="s">
        <v>51</v>
      </c>
    </row>
    <row r="191" spans="1:17" x14ac:dyDescent="0.2">
      <c r="A191">
        <v>190</v>
      </c>
      <c r="B191">
        <v>782</v>
      </c>
      <c r="C191">
        <v>120</v>
      </c>
      <c r="D191">
        <v>0.48241529640335601</v>
      </c>
      <c r="E191">
        <v>110.884504166032</v>
      </c>
      <c r="F191">
        <v>1.55496980082014</v>
      </c>
      <c r="G191">
        <v>-1851.29947275258</v>
      </c>
      <c r="H191">
        <v>-1509.5882139913244</v>
      </c>
      <c r="I191">
        <v>323.854687348163</v>
      </c>
      <c r="J191">
        <v>164.23955604966201</v>
      </c>
      <c r="K191">
        <v>71.309747692558503</v>
      </c>
      <c r="L191">
        <v>0.64058742007554714</v>
      </c>
      <c r="M191">
        <v>-0.6396871413177323</v>
      </c>
      <c r="N191">
        <v>45.635669543254203</v>
      </c>
      <c r="O191">
        <v>45.635745448456497</v>
      </c>
      <c r="P191">
        <v>45.635666674648903</v>
      </c>
      <c r="Q191" t="s">
        <v>51</v>
      </c>
    </row>
    <row r="192" spans="1:17" x14ac:dyDescent="0.2">
      <c r="A192">
        <v>191</v>
      </c>
      <c r="B192">
        <v>780</v>
      </c>
      <c r="C192">
        <v>120</v>
      </c>
      <c r="D192">
        <v>0.48129943502824801</v>
      </c>
      <c r="E192">
        <v>110.884571079075</v>
      </c>
      <c r="F192">
        <v>1.5542642730305301</v>
      </c>
      <c r="G192">
        <v>-1850.6533309354763</v>
      </c>
      <c r="H192">
        <v>-1510.1980018886434</v>
      </c>
      <c r="I192">
        <v>323.27720546222503</v>
      </c>
      <c r="J192">
        <v>164.208765440104</v>
      </c>
      <c r="K192">
        <v>71.342160405495306</v>
      </c>
      <c r="L192">
        <v>0.62931776753061819</v>
      </c>
      <c r="M192">
        <v>-0.62840764063192556</v>
      </c>
      <c r="N192">
        <v>44.851843654859103</v>
      </c>
      <c r="O192">
        <v>44.851920327867298</v>
      </c>
      <c r="P192">
        <v>44.851840565621501</v>
      </c>
      <c r="Q192" t="s">
        <v>51</v>
      </c>
    </row>
    <row r="193" spans="1:17" x14ac:dyDescent="0.2">
      <c r="A193">
        <v>192</v>
      </c>
      <c r="B193">
        <v>778</v>
      </c>
      <c r="C193">
        <v>120</v>
      </c>
      <c r="D193">
        <v>0.48017932740332298</v>
      </c>
      <c r="E193">
        <v>110.88465214873401</v>
      </c>
      <c r="F193">
        <v>1.5512747685177799</v>
      </c>
      <c r="G193">
        <v>-1850.0089094702146</v>
      </c>
      <c r="H193">
        <v>-1511.0638529710081</v>
      </c>
      <c r="I193">
        <v>322.45559878403202</v>
      </c>
      <c r="J193">
        <v>164.145918644624</v>
      </c>
      <c r="K193">
        <v>71.479698116074204</v>
      </c>
      <c r="L193">
        <v>0.60647088925843418</v>
      </c>
      <c r="M193">
        <v>-0.60554298286882113</v>
      </c>
      <c r="N193">
        <v>43.304257312592803</v>
      </c>
      <c r="O193">
        <v>43.304335520111998</v>
      </c>
      <c r="P193">
        <v>43.304253958364598</v>
      </c>
      <c r="Q193" t="s">
        <v>51</v>
      </c>
    </row>
    <row r="194" spans="1:17" x14ac:dyDescent="0.2">
      <c r="A194">
        <v>193</v>
      </c>
      <c r="B194">
        <v>776</v>
      </c>
      <c r="C194">
        <v>120</v>
      </c>
      <c r="D194">
        <v>0.47905494924462999</v>
      </c>
      <c r="E194">
        <v>110.88473038054499</v>
      </c>
      <c r="F194">
        <v>1.54820047341936</v>
      </c>
      <c r="G194">
        <v>-1849.3660984851681</v>
      </c>
      <c r="H194">
        <v>-1511.9450619380148</v>
      </c>
      <c r="I194">
        <v>321.61775895406203</v>
      </c>
      <c r="J194">
        <v>164.084692956868</v>
      </c>
      <c r="K194">
        <v>71.6216874263351</v>
      </c>
      <c r="L194">
        <v>0.5828250782036819</v>
      </c>
      <c r="M194">
        <v>-0.58187888046222502</v>
      </c>
      <c r="N194">
        <v>41.695727730192097</v>
      </c>
      <c r="O194">
        <v>41.695807512498597</v>
      </c>
      <c r="P194">
        <v>41.695724088632304</v>
      </c>
      <c r="Q194" t="s">
        <v>51</v>
      </c>
    </row>
    <row r="195" spans="1:17" x14ac:dyDescent="0.2">
      <c r="A195">
        <v>194</v>
      </c>
      <c r="B195">
        <v>774</v>
      </c>
      <c r="C195">
        <v>120</v>
      </c>
      <c r="D195">
        <v>0.47792627608270499</v>
      </c>
      <c r="E195">
        <v>110.884803842415</v>
      </c>
      <c r="F195">
        <v>1.54484906511581</v>
      </c>
      <c r="G195">
        <v>-1848.7249164983191</v>
      </c>
      <c r="H195">
        <v>-1512.8631493359499</v>
      </c>
      <c r="I195">
        <v>320.74306238751802</v>
      </c>
      <c r="J195">
        <v>164.01926056345201</v>
      </c>
      <c r="K195">
        <v>71.7771116585442</v>
      </c>
      <c r="L195">
        <v>0.55732647953935621</v>
      </c>
      <c r="M195">
        <v>-0.55636082400594356</v>
      </c>
      <c r="N195">
        <v>39.954932683262498</v>
      </c>
      <c r="O195">
        <v>39.955014144505498</v>
      </c>
      <c r="P195">
        <v>39.954928727615503</v>
      </c>
      <c r="Q195" t="s">
        <v>51</v>
      </c>
    </row>
    <row r="196" spans="1:17" x14ac:dyDescent="0.2">
      <c r="A196">
        <v>195</v>
      </c>
      <c r="B196">
        <v>772</v>
      </c>
      <c r="C196">
        <v>120</v>
      </c>
      <c r="D196">
        <v>0.47679328326077502</v>
      </c>
      <c r="E196">
        <v>110.89706418952299</v>
      </c>
      <c r="F196">
        <v>1.4941244824652899</v>
      </c>
      <c r="G196">
        <v>-1848.2905400026348</v>
      </c>
      <c r="H196">
        <v>-1519.9329654723215</v>
      </c>
      <c r="I196">
        <v>314.17774384004002</v>
      </c>
      <c r="J196">
        <v>162.20918602693999</v>
      </c>
      <c r="K196">
        <v>74.222104979194498</v>
      </c>
      <c r="L196">
        <v>0.27710488949794698</v>
      </c>
      <c r="M196">
        <v>-0.27595937641908147</v>
      </c>
      <c r="N196">
        <v>20.507827952008402</v>
      </c>
      <c r="O196">
        <v>20.507927455607799</v>
      </c>
      <c r="P196">
        <v>20.507822884747299</v>
      </c>
      <c r="Q196" t="s">
        <v>51</v>
      </c>
    </row>
    <row r="197" spans="1:17" x14ac:dyDescent="0.2">
      <c r="A197">
        <v>196</v>
      </c>
      <c r="B197">
        <v>770</v>
      </c>
      <c r="C197">
        <v>120</v>
      </c>
      <c r="D197">
        <v>0.47565594593299199</v>
      </c>
      <c r="E197">
        <v>110.89810011984</v>
      </c>
      <c r="F197">
        <v>1.4770835786535499</v>
      </c>
      <c r="G197">
        <v>-1847.6823278906677</v>
      </c>
      <c r="H197">
        <v>-1522.8820047638692</v>
      </c>
      <c r="I197">
        <v>311.37036392092898</v>
      </c>
      <c r="J197">
        <v>161.51957160475399</v>
      </c>
      <c r="K197">
        <v>75.079096215347903</v>
      </c>
      <c r="L197">
        <v>0.17121835366602245</v>
      </c>
      <c r="M197">
        <v>-0.1700040452186066</v>
      </c>
      <c r="N197">
        <v>12.791007290846499</v>
      </c>
      <c r="O197">
        <v>12.791113722882899</v>
      </c>
      <c r="P197">
        <v>12.791001537180399</v>
      </c>
      <c r="Q197" t="s">
        <v>51</v>
      </c>
    </row>
    <row r="198" spans="1:17" x14ac:dyDescent="0.2">
      <c r="A198">
        <v>197</v>
      </c>
      <c r="B198">
        <v>768</v>
      </c>
      <c r="C198">
        <v>120</v>
      </c>
      <c r="D198">
        <v>0.474514239062578</v>
      </c>
      <c r="E198">
        <v>110.898243725751</v>
      </c>
      <c r="F198">
        <v>1.47202401521152</v>
      </c>
      <c r="G198">
        <v>-1847.0633682330479</v>
      </c>
      <c r="H198">
        <v>-1524.2639139826219</v>
      </c>
      <c r="I198">
        <v>310.04684991286598</v>
      </c>
      <c r="J198">
        <v>161.30050387256799</v>
      </c>
      <c r="K198">
        <v>75.337251688666001</v>
      </c>
      <c r="L198">
        <v>0.12925549863490002</v>
      </c>
      <c r="M198">
        <v>-0.12801271007573567</v>
      </c>
      <c r="N198">
        <v>9.6719964705609396</v>
      </c>
      <c r="O198">
        <v>9.6721055439650101</v>
      </c>
      <c r="P198">
        <v>9.6719901949824205</v>
      </c>
      <c r="Q198" t="s">
        <v>51</v>
      </c>
    </row>
    <row r="199" spans="1:17" x14ac:dyDescent="0.2">
      <c r="A199">
        <v>198</v>
      </c>
      <c r="B199">
        <v>766</v>
      </c>
      <c r="C199">
        <v>120</v>
      </c>
      <c r="D199">
        <v>0.47336813742000999</v>
      </c>
      <c r="E199">
        <v>110.898205491056</v>
      </c>
      <c r="F199">
        <v>1.4705740750449099</v>
      </c>
      <c r="G199">
        <v>-1846.4435592395764</v>
      </c>
      <c r="H199">
        <v>-1525.1616399748386</v>
      </c>
      <c r="I199">
        <v>309.18329861916999</v>
      </c>
      <c r="J199">
        <v>161.23163931136901</v>
      </c>
      <c r="K199">
        <v>75.411505869005296</v>
      </c>
      <c r="L199">
        <v>0.10665856390488312</v>
      </c>
      <c r="M199">
        <v>-0.10539945168462958</v>
      </c>
      <c r="N199">
        <v>7.9764759730627901</v>
      </c>
      <c r="O199">
        <v>7.9765863560985801</v>
      </c>
      <c r="P199">
        <v>7.9764692112897304</v>
      </c>
      <c r="Q199" t="s">
        <v>51</v>
      </c>
    </row>
    <row r="200" spans="1:17" x14ac:dyDescent="0.2">
      <c r="A200">
        <v>199</v>
      </c>
      <c r="B200">
        <v>764</v>
      </c>
      <c r="C200">
        <v>120</v>
      </c>
      <c r="D200">
        <v>0.47221761558116099</v>
      </c>
      <c r="E200">
        <v>110.898114858974</v>
      </c>
      <c r="F200">
        <v>1.47066647374828</v>
      </c>
      <c r="G200">
        <v>-1845.8244023021332</v>
      </c>
      <c r="H200">
        <v>-1525.8510509904661</v>
      </c>
      <c r="I200">
        <v>308.517869998008</v>
      </c>
      <c r="J200">
        <v>161.22978154103299</v>
      </c>
      <c r="K200">
        <v>75.406706305290598</v>
      </c>
      <c r="L200">
        <v>9.2329010863593533E-2</v>
      </c>
      <c r="M200">
        <v>-9.1058748940193515E-2</v>
      </c>
      <c r="N200">
        <v>6.8947124658448198</v>
      </c>
      <c r="O200">
        <v>6.8948235756577096</v>
      </c>
      <c r="P200">
        <v>6.8947052200114198</v>
      </c>
      <c r="Q200" t="s">
        <v>51</v>
      </c>
    </row>
    <row r="201" spans="1:17" x14ac:dyDescent="0.2">
      <c r="A201">
        <v>200</v>
      </c>
      <c r="B201">
        <v>762</v>
      </c>
      <c r="C201">
        <v>120</v>
      </c>
      <c r="D201">
        <v>0.47106264792542502</v>
      </c>
      <c r="E201">
        <v>110.898006360886</v>
      </c>
      <c r="F201">
        <v>1.47156751865518</v>
      </c>
      <c r="G201">
        <v>-1845.2061723118941</v>
      </c>
      <c r="H201">
        <v>-1526.4314634880045</v>
      </c>
      <c r="I201">
        <v>307.95604772499797</v>
      </c>
      <c r="J201">
        <v>161.264698214997</v>
      </c>
      <c r="K201">
        <v>75.360460838543105</v>
      </c>
      <c r="L201">
        <v>8.2309493609324824E-2</v>
      </c>
      <c r="M201">
        <v>-8.1030773142448151E-2</v>
      </c>
      <c r="N201">
        <v>6.1348391226974002</v>
      </c>
      <c r="O201">
        <v>6.1349506450128102</v>
      </c>
      <c r="P201">
        <v>6.13483138234918</v>
      </c>
      <c r="Q201" t="s">
        <v>51</v>
      </c>
    </row>
    <row r="202" spans="1:17" x14ac:dyDescent="0.2">
      <c r="A202">
        <v>201</v>
      </c>
      <c r="B202">
        <v>760</v>
      </c>
      <c r="C202">
        <v>120</v>
      </c>
      <c r="D202">
        <v>0.46990320863379098</v>
      </c>
      <c r="E202">
        <v>110.8978914529</v>
      </c>
      <c r="F202">
        <v>1.4729517711100399</v>
      </c>
      <c r="G202">
        <v>-1844.5888961143883</v>
      </c>
      <c r="H202">
        <v>-1526.9473147212068</v>
      </c>
      <c r="I202">
        <v>307.45545421829701</v>
      </c>
      <c r="J202">
        <v>161.32281607954499</v>
      </c>
      <c r="K202">
        <v>75.289560478497904</v>
      </c>
      <c r="L202">
        <v>7.4839050199330265E-2</v>
      </c>
      <c r="M202">
        <v>-7.3553460029302117E-2</v>
      </c>
      <c r="N202">
        <v>5.5661350772389904</v>
      </c>
      <c r="O202">
        <v>5.5662468173828898</v>
      </c>
      <c r="P202">
        <v>5.5661268258606498</v>
      </c>
      <c r="Q202" t="s">
        <v>51</v>
      </c>
    </row>
    <row r="203" spans="1:17" x14ac:dyDescent="0.2">
      <c r="A203">
        <v>202</v>
      </c>
      <c r="B203">
        <v>758</v>
      </c>
      <c r="C203">
        <v>120</v>
      </c>
      <c r="D203">
        <v>0.46873927168695301</v>
      </c>
      <c r="E203">
        <v>110.89777440819699</v>
      </c>
      <c r="F203">
        <v>1.47465223671235</v>
      </c>
      <c r="G203">
        <v>-1843.972544941349</v>
      </c>
      <c r="H203">
        <v>-1527.4215485670823</v>
      </c>
      <c r="I203">
        <v>306.99417027485799</v>
      </c>
      <c r="J203">
        <v>161.39714403465601</v>
      </c>
      <c r="K203">
        <v>75.202662463278301</v>
      </c>
      <c r="L203">
        <v>6.9011762311555674E-2</v>
      </c>
      <c r="M203">
        <v>-6.7720325422916214E-2</v>
      </c>
      <c r="N203">
        <v>5.1210509599670502</v>
      </c>
      <c r="O203">
        <v>5.1211627845824301</v>
      </c>
      <c r="P203">
        <v>5.12104217752744</v>
      </c>
      <c r="Q203" t="s">
        <v>51</v>
      </c>
    </row>
    <row r="204" spans="1:17" x14ac:dyDescent="0.2">
      <c r="A204">
        <v>203</v>
      </c>
      <c r="B204">
        <v>756</v>
      </c>
      <c r="C204">
        <v>120</v>
      </c>
      <c r="D204">
        <v>0.46757081086333502</v>
      </c>
      <c r="E204">
        <v>110.897677332371</v>
      </c>
      <c r="F204">
        <v>1.4765401730671399</v>
      </c>
      <c r="G204">
        <v>-1843.3574355241788</v>
      </c>
      <c r="H204">
        <v>-1527.8774244368453</v>
      </c>
      <c r="I204">
        <v>306.55013492268603</v>
      </c>
      <c r="J204">
        <v>161.48069769264001</v>
      </c>
      <c r="K204">
        <v>75.106440959211497</v>
      </c>
      <c r="L204">
        <v>6.4025642412949307E-2</v>
      </c>
      <c r="M204">
        <v>-6.2728893307281305E-2</v>
      </c>
      <c r="N204">
        <v>4.7396043348085097</v>
      </c>
      <c r="O204">
        <v>4.73971616176045</v>
      </c>
      <c r="P204">
        <v>4.7395949975396103</v>
      </c>
      <c r="Q204" t="s">
        <v>51</v>
      </c>
    </row>
    <row r="205" spans="1:17" x14ac:dyDescent="0.2">
      <c r="A205">
        <v>204</v>
      </c>
      <c r="B205">
        <v>802</v>
      </c>
      <c r="C205">
        <v>105</v>
      </c>
      <c r="D205">
        <v>0.50869227549644302</v>
      </c>
      <c r="E205">
        <v>110.884054188966</v>
      </c>
      <c r="F205">
        <v>1.4493222924287399</v>
      </c>
      <c r="G205">
        <v>-1858.9204505399557</v>
      </c>
      <c r="H205">
        <v>-1505.9594042893079</v>
      </c>
      <c r="I205">
        <v>328.29385881975003</v>
      </c>
      <c r="J205">
        <v>163.80533684834899</v>
      </c>
      <c r="K205">
        <v>76.507519941026402</v>
      </c>
      <c r="L205">
        <v>0.61408709864467281</v>
      </c>
      <c r="M205">
        <v>-0.61304881468911754</v>
      </c>
      <c r="N205">
        <v>46.931395846653103</v>
      </c>
      <c r="O205">
        <v>46.931508224494102</v>
      </c>
      <c r="P205">
        <v>46.931399817900001</v>
      </c>
      <c r="Q205" t="s">
        <v>51</v>
      </c>
    </row>
    <row r="206" spans="1:17" x14ac:dyDescent="0.2">
      <c r="A206">
        <v>205</v>
      </c>
      <c r="B206">
        <v>800</v>
      </c>
      <c r="C206">
        <v>105</v>
      </c>
      <c r="D206">
        <v>0.50764618180124099</v>
      </c>
      <c r="E206">
        <v>110.884114900486</v>
      </c>
      <c r="F206">
        <v>1.45067901498334</v>
      </c>
      <c r="G206">
        <v>-1858.2651878262946</v>
      </c>
      <c r="H206">
        <v>-1506.3570206110635</v>
      </c>
      <c r="I206">
        <v>327.92458933399701</v>
      </c>
      <c r="J206">
        <v>163.802634347382</v>
      </c>
      <c r="K206">
        <v>76.436009451587495</v>
      </c>
      <c r="L206">
        <v>0.61233609695803881</v>
      </c>
      <c r="M206">
        <v>-0.61129420020359349</v>
      </c>
      <c r="N206">
        <v>46.753416618342698</v>
      </c>
      <c r="O206">
        <v>46.753529426987299</v>
      </c>
      <c r="P206">
        <v>46.753420692868303</v>
      </c>
      <c r="Q206" t="s">
        <v>51</v>
      </c>
    </row>
    <row r="207" spans="1:17" x14ac:dyDescent="0.2">
      <c r="A207">
        <v>206</v>
      </c>
      <c r="B207">
        <v>798</v>
      </c>
      <c r="C207">
        <v>105</v>
      </c>
      <c r="D207">
        <v>0.50659618167390597</v>
      </c>
      <c r="E207">
        <v>110.884168892917</v>
      </c>
      <c r="F207">
        <v>1.4513998918926401</v>
      </c>
      <c r="G207">
        <v>-1857.6106307489185</v>
      </c>
      <c r="H207">
        <v>-1506.8067969900969</v>
      </c>
      <c r="I207">
        <v>327.50591171611597</v>
      </c>
      <c r="J207">
        <v>163.77407253571499</v>
      </c>
      <c r="K207">
        <v>76.398082645798496</v>
      </c>
      <c r="L207">
        <v>0.608629199014316</v>
      </c>
      <c r="M207">
        <v>-0.6075820694152283</v>
      </c>
      <c r="N207">
        <v>46.446663059965701</v>
      </c>
      <c r="O207">
        <v>46.446776519169497</v>
      </c>
      <c r="P207">
        <v>46.446667242866901</v>
      </c>
      <c r="Q207" t="s">
        <v>51</v>
      </c>
    </row>
    <row r="208" spans="1:17" x14ac:dyDescent="0.2">
      <c r="A208">
        <v>207</v>
      </c>
      <c r="B208">
        <v>796</v>
      </c>
      <c r="C208">
        <v>105</v>
      </c>
      <c r="D208">
        <v>0.50554225319178703</v>
      </c>
      <c r="E208">
        <v>110.884223056916</v>
      </c>
      <c r="F208">
        <v>1.45213995071483</v>
      </c>
      <c r="G208">
        <v>-1856.9569138025777</v>
      </c>
      <c r="H208">
        <v>-1507.2558964123823</v>
      </c>
      <c r="I208">
        <v>327.08708667092799</v>
      </c>
      <c r="J208">
        <v>163.747845214482</v>
      </c>
      <c r="K208">
        <v>76.359184941046095</v>
      </c>
      <c r="L208">
        <v>0.60492582276515861</v>
      </c>
      <c r="M208">
        <v>-0.60387343793447357</v>
      </c>
      <c r="N208">
        <v>46.139870812637703</v>
      </c>
      <c r="O208">
        <v>46.1399849223031</v>
      </c>
      <c r="P208">
        <v>46.1398751001839</v>
      </c>
      <c r="Q208" t="s">
        <v>51</v>
      </c>
    </row>
    <row r="209" spans="1:17" x14ac:dyDescent="0.2">
      <c r="A209">
        <v>208</v>
      </c>
      <c r="B209">
        <v>794</v>
      </c>
      <c r="C209">
        <v>105</v>
      </c>
      <c r="D209">
        <v>0.50448437426791004</v>
      </c>
      <c r="E209">
        <v>110.88427740711801</v>
      </c>
      <c r="F209">
        <v>1.45290061208154</v>
      </c>
      <c r="G209">
        <v>-1856.3040374426871</v>
      </c>
      <c r="H209">
        <v>-1507.7042356002389</v>
      </c>
      <c r="I209">
        <v>326.66819181819199</v>
      </c>
      <c r="J209">
        <v>163.724006924615</v>
      </c>
      <c r="K209">
        <v>76.319244747413293</v>
      </c>
      <c r="L209">
        <v>0.60122946583830128</v>
      </c>
      <c r="M209">
        <v>-0.60017180656947544</v>
      </c>
      <c r="N209">
        <v>45.833274357387502</v>
      </c>
      <c r="O209">
        <v>45.833389116743497</v>
      </c>
      <c r="P209">
        <v>45.833278745510903</v>
      </c>
      <c r="Q209" t="s">
        <v>51</v>
      </c>
    </row>
    <row r="210" spans="1:17" x14ac:dyDescent="0.2">
      <c r="A210">
        <v>209</v>
      </c>
      <c r="B210">
        <v>792</v>
      </c>
      <c r="C210">
        <v>105</v>
      </c>
      <c r="D210">
        <v>0.50342252264939402</v>
      </c>
      <c r="E210">
        <v>110.884331958551</v>
      </c>
      <c r="F210">
        <v>1.45368323823198</v>
      </c>
      <c r="G210">
        <v>-1855.6520019788327</v>
      </c>
      <c r="H210">
        <v>-1508.1517350627314</v>
      </c>
      <c r="I210">
        <v>326.24930166906898</v>
      </c>
      <c r="J210">
        <v>163.70261116288901</v>
      </c>
      <c r="K210">
        <v>76.2781939299323</v>
      </c>
      <c r="L210">
        <v>0.59754349215064595</v>
      </c>
      <c r="M210">
        <v>-0.59648054233276182</v>
      </c>
      <c r="N210">
        <v>45.5271004997904</v>
      </c>
      <c r="O210">
        <v>45.527215907390598</v>
      </c>
      <c r="P210">
        <v>45.527104984069297</v>
      </c>
      <c r="Q210" t="s">
        <v>51</v>
      </c>
    </row>
    <row r="211" spans="1:17" x14ac:dyDescent="0.2">
      <c r="A211">
        <v>210</v>
      </c>
      <c r="B211">
        <v>790</v>
      </c>
      <c r="C211">
        <v>105</v>
      </c>
      <c r="D211">
        <v>0.50235667591591204</v>
      </c>
      <c r="E211">
        <v>110.884386726453</v>
      </c>
      <c r="F211">
        <v>1.454489123573</v>
      </c>
      <c r="G211">
        <v>-1855.0008075787146</v>
      </c>
      <c r="H211">
        <v>-1508.5983198339159</v>
      </c>
      <c r="I211">
        <v>325.83048690633501</v>
      </c>
      <c r="J211">
        <v>163.68371038194201</v>
      </c>
      <c r="K211">
        <v>76.235968306219903</v>
      </c>
      <c r="L211">
        <v>0.59387110025900014</v>
      </c>
      <c r="M211">
        <v>-0.59280284676544748</v>
      </c>
      <c r="N211">
        <v>45.221566171725499</v>
      </c>
      <c r="O211">
        <v>45.2216822254493</v>
      </c>
      <c r="P211">
        <v>45.221570747367103</v>
      </c>
      <c r="Q211" t="s">
        <v>51</v>
      </c>
    </row>
    <row r="212" spans="1:17" x14ac:dyDescent="0.2">
      <c r="A212">
        <v>211</v>
      </c>
      <c r="B212">
        <v>788</v>
      </c>
      <c r="C212">
        <v>105</v>
      </c>
      <c r="D212">
        <v>0.50128681147811704</v>
      </c>
      <c r="E212">
        <v>110.884442956779</v>
      </c>
      <c r="F212">
        <v>1.45512429188253</v>
      </c>
      <c r="G212">
        <v>-1854.3504753338846</v>
      </c>
      <c r="H212">
        <v>-1509.063983517319</v>
      </c>
      <c r="I212">
        <v>325.39292919486599</v>
      </c>
      <c r="J212">
        <v>163.663128566111</v>
      </c>
      <c r="K212">
        <v>76.202729605541293</v>
      </c>
      <c r="L212">
        <v>0.58935269872116136</v>
      </c>
      <c r="M212">
        <v>-0.58827850189119413</v>
      </c>
      <c r="N212">
        <v>44.857138709892702</v>
      </c>
      <c r="O212">
        <v>44.857255490268102</v>
      </c>
      <c r="P212">
        <v>44.857143375290299</v>
      </c>
      <c r="Q212" t="s">
        <v>51</v>
      </c>
    </row>
    <row r="213" spans="1:17" x14ac:dyDescent="0.2">
      <c r="A213">
        <v>212</v>
      </c>
      <c r="B213">
        <v>786</v>
      </c>
      <c r="C213">
        <v>105</v>
      </c>
      <c r="D213">
        <v>0.50021290657603101</v>
      </c>
      <c r="E213">
        <v>110.884521557786</v>
      </c>
      <c r="F213">
        <v>1.4520795655922001</v>
      </c>
      <c r="G213">
        <v>-1853.7017605892727</v>
      </c>
      <c r="H213">
        <v>-1509.9113508316191</v>
      </c>
      <c r="I213">
        <v>324.59491348234201</v>
      </c>
      <c r="J213">
        <v>163.56538114913499</v>
      </c>
      <c r="K213">
        <v>76.362565926313295</v>
      </c>
      <c r="L213">
        <v>0.56837828565809978</v>
      </c>
      <c r="M213">
        <v>-0.56728612056053507</v>
      </c>
      <c r="N213">
        <v>43.348567608582698</v>
      </c>
      <c r="O213">
        <v>43.348686708499599</v>
      </c>
      <c r="P213">
        <v>43.348572427772602</v>
      </c>
      <c r="Q213" t="s">
        <v>51</v>
      </c>
    </row>
    <row r="214" spans="1:17" x14ac:dyDescent="0.2">
      <c r="A214">
        <v>213</v>
      </c>
      <c r="B214">
        <v>784</v>
      </c>
      <c r="C214">
        <v>105</v>
      </c>
      <c r="D214">
        <v>0.49913493827744299</v>
      </c>
      <c r="E214">
        <v>110.884597656675</v>
      </c>
      <c r="F214">
        <v>1.4489799773698699</v>
      </c>
      <c r="G214">
        <v>-1853.0546107254368</v>
      </c>
      <c r="H214">
        <v>-1510.7696249710468</v>
      </c>
      <c r="I214">
        <v>323.785043245304</v>
      </c>
      <c r="J214">
        <v>163.468540036468</v>
      </c>
      <c r="K214">
        <v>76.525969570641195</v>
      </c>
      <c r="L214">
        <v>0.54684647462400826</v>
      </c>
      <c r="M214">
        <v>-0.54573594054744934</v>
      </c>
      <c r="N214">
        <v>41.792558068013697</v>
      </c>
      <c r="O214">
        <v>41.792679546464903</v>
      </c>
      <c r="P214">
        <v>41.792563039756097</v>
      </c>
      <c r="Q214" t="s">
        <v>51</v>
      </c>
    </row>
    <row r="215" spans="1:17" x14ac:dyDescent="0.2">
      <c r="A215">
        <v>214</v>
      </c>
      <c r="B215">
        <v>782</v>
      </c>
      <c r="C215">
        <v>105</v>
      </c>
      <c r="D215">
        <v>0.49805288347628701</v>
      </c>
      <c r="E215">
        <v>110.884669811443</v>
      </c>
      <c r="F215">
        <v>1.44567786382207</v>
      </c>
      <c r="G215">
        <v>-1852.4090387745966</v>
      </c>
      <c r="H215">
        <v>-1511.6543406865735</v>
      </c>
      <c r="I215">
        <v>322.94854284579702</v>
      </c>
      <c r="J215">
        <v>163.367201146621</v>
      </c>
      <c r="K215">
        <v>76.700814604912594</v>
      </c>
      <c r="L215">
        <v>0.52403048361667248</v>
      </c>
      <c r="M215">
        <v>-0.52290069914815085</v>
      </c>
      <c r="N215">
        <v>40.136963075291298</v>
      </c>
      <c r="O215">
        <v>40.137087056130902</v>
      </c>
      <c r="P215">
        <v>40.1369682006166</v>
      </c>
      <c r="Q215" t="s">
        <v>51</v>
      </c>
    </row>
    <row r="216" spans="1:17" x14ac:dyDescent="0.2">
      <c r="A216">
        <v>215</v>
      </c>
      <c r="B216">
        <v>780</v>
      </c>
      <c r="C216">
        <v>105</v>
      </c>
      <c r="D216">
        <v>0.49696671889094501</v>
      </c>
      <c r="E216">
        <v>110.892432145017</v>
      </c>
      <c r="F216">
        <v>1.42059330572248</v>
      </c>
      <c r="G216">
        <v>-1851.8917671057188</v>
      </c>
      <c r="H216">
        <v>-1515.162071058777</v>
      </c>
      <c r="I216">
        <v>319.74038149508499</v>
      </c>
      <c r="J216">
        <v>162.386134699515</v>
      </c>
      <c r="K216">
        <v>78.060646701851098</v>
      </c>
      <c r="L216">
        <v>0.39735910049142475</v>
      </c>
      <c r="M216">
        <v>-0.39614000193998677</v>
      </c>
      <c r="N216">
        <v>30.955793136896801</v>
      </c>
      <c r="O216">
        <v>30.955929272553401</v>
      </c>
      <c r="P216">
        <v>30.9557988343287</v>
      </c>
      <c r="Q216" t="s">
        <v>51</v>
      </c>
    </row>
    <row r="217" spans="1:17" x14ac:dyDescent="0.2">
      <c r="A217">
        <v>216</v>
      </c>
      <c r="B217">
        <v>778</v>
      </c>
      <c r="C217">
        <v>105</v>
      </c>
      <c r="D217">
        <v>0.49587642106264601</v>
      </c>
      <c r="E217">
        <v>110.897916407008</v>
      </c>
      <c r="F217">
        <v>1.3856613513909899</v>
      </c>
      <c r="G217">
        <v>-1851.3468225259858</v>
      </c>
      <c r="H217">
        <v>-1520.0912497054667</v>
      </c>
      <c r="I217">
        <v>315.14158789939302</v>
      </c>
      <c r="J217">
        <v>160.846078088192</v>
      </c>
      <c r="K217">
        <v>80.032481454204898</v>
      </c>
      <c r="L217">
        <v>0.21817055923912251</v>
      </c>
      <c r="M217">
        <v>-0.2168279743438111</v>
      </c>
      <c r="N217">
        <v>17.3901860562781</v>
      </c>
      <c r="O217">
        <v>17.3903397017237</v>
      </c>
      <c r="P217">
        <v>17.390192558671</v>
      </c>
      <c r="Q217" t="s">
        <v>51</v>
      </c>
    </row>
    <row r="218" spans="1:17" x14ac:dyDescent="0.2">
      <c r="A218">
        <v>217</v>
      </c>
      <c r="B218">
        <v>776</v>
      </c>
      <c r="C218">
        <v>105</v>
      </c>
      <c r="D218">
        <v>0.49478196635371602</v>
      </c>
      <c r="E218">
        <v>110.89856221239</v>
      </c>
      <c r="F218">
        <v>1.3738037176969899</v>
      </c>
      <c r="G218">
        <v>-1850.7293967300257</v>
      </c>
      <c r="H218">
        <v>-1522.2692488295384</v>
      </c>
      <c r="I218">
        <v>313.07811581760501</v>
      </c>
      <c r="J218">
        <v>160.25858005229199</v>
      </c>
      <c r="K218">
        <v>80.723731333539405</v>
      </c>
      <c r="L218">
        <v>0.1480217541342134</v>
      </c>
      <c r="M218">
        <v>-0.14662923379222281</v>
      </c>
      <c r="N218">
        <v>11.874908507420599</v>
      </c>
      <c r="O218">
        <v>11.8750693306761</v>
      </c>
      <c r="P218">
        <v>11.8749153560543</v>
      </c>
      <c r="Q218" t="s">
        <v>51</v>
      </c>
    </row>
    <row r="219" spans="1:17" x14ac:dyDescent="0.2">
      <c r="A219">
        <v>218</v>
      </c>
      <c r="B219">
        <v>774</v>
      </c>
      <c r="C219">
        <v>105</v>
      </c>
      <c r="D219">
        <v>0.493683330945906</v>
      </c>
      <c r="E219">
        <v>110.898660111505</v>
      </c>
      <c r="F219">
        <v>1.36983185611085</v>
      </c>
      <c r="G219">
        <v>-1850.1060510319596</v>
      </c>
      <c r="H219">
        <v>-1523.4565469401866</v>
      </c>
      <c r="I219">
        <v>311.94707309595401</v>
      </c>
      <c r="J219">
        <v>160.03484748237301</v>
      </c>
      <c r="K219">
        <v>80.957863271162594</v>
      </c>
      <c r="L219">
        <v>0.11575441872997241</v>
      </c>
      <c r="M219">
        <v>-0.11433736018649464</v>
      </c>
      <c r="N219">
        <v>9.2955966061661108</v>
      </c>
      <c r="O219">
        <v>9.2957608698399206</v>
      </c>
      <c r="P219">
        <v>9.2956036274316194</v>
      </c>
      <c r="Q219" t="s">
        <v>51</v>
      </c>
    </row>
    <row r="220" spans="1:17" x14ac:dyDescent="0.2">
      <c r="A220">
        <v>219</v>
      </c>
      <c r="B220">
        <v>772</v>
      </c>
      <c r="C220">
        <v>105</v>
      </c>
      <c r="D220">
        <v>0.49258049083863298</v>
      </c>
      <c r="E220">
        <v>110.898619824504</v>
      </c>
      <c r="F220">
        <v>1.3686966943782499</v>
      </c>
      <c r="G220">
        <v>-1849.4823224308038</v>
      </c>
      <c r="H220">
        <v>-1524.2803017104088</v>
      </c>
      <c r="I220">
        <v>311.15912687937498</v>
      </c>
      <c r="J220">
        <v>159.94815255131701</v>
      </c>
      <c r="K220">
        <v>81.024978200068901</v>
      </c>
      <c r="L220">
        <v>9.7159896888185354E-2</v>
      </c>
      <c r="M220">
        <v>-9.5727418310446621E-2</v>
      </c>
      <c r="N220">
        <v>7.7957069863824602</v>
      </c>
      <c r="O220">
        <v>7.7958733189826201</v>
      </c>
      <c r="P220">
        <v>7.7957141087677604</v>
      </c>
      <c r="Q220" t="s">
        <v>51</v>
      </c>
    </row>
    <row r="221" spans="1:17" x14ac:dyDescent="0.2">
      <c r="A221">
        <v>220</v>
      </c>
      <c r="B221">
        <v>770</v>
      </c>
      <c r="C221">
        <v>105</v>
      </c>
      <c r="D221">
        <v>0.49147342184729198</v>
      </c>
      <c r="E221">
        <v>110.89853470956901</v>
      </c>
      <c r="F221">
        <v>1.36888581938524</v>
      </c>
      <c r="G221">
        <v>-1848.8592604627381</v>
      </c>
      <c r="H221">
        <v>-1524.9334732565478</v>
      </c>
      <c r="I221">
        <v>310.532303349031</v>
      </c>
      <c r="J221">
        <v>159.92779493466901</v>
      </c>
      <c r="K221">
        <v>81.013721626083395</v>
      </c>
      <c r="L221">
        <v>8.4933250166230767E-2</v>
      </c>
      <c r="M221">
        <v>-8.3489576347028333E-2</v>
      </c>
      <c r="N221">
        <v>6.8033471186957097</v>
      </c>
      <c r="O221">
        <v>6.80351487353831</v>
      </c>
      <c r="P221">
        <v>6.8033543014618596</v>
      </c>
      <c r="Q221" t="s">
        <v>51</v>
      </c>
    </row>
    <row r="222" spans="1:17" x14ac:dyDescent="0.2">
      <c r="A222">
        <v>221</v>
      </c>
      <c r="B222">
        <v>768</v>
      </c>
      <c r="C222">
        <v>105</v>
      </c>
      <c r="D222">
        <v>0.49036209960140498</v>
      </c>
      <c r="E222">
        <v>110.898432962942</v>
      </c>
      <c r="F222">
        <v>1.3698055710799</v>
      </c>
      <c r="G222">
        <v>-1848.237085178572</v>
      </c>
      <c r="H222">
        <v>-1525.492858942582</v>
      </c>
      <c r="I222">
        <v>309.99399025411901</v>
      </c>
      <c r="J222">
        <v>159.94544334528601</v>
      </c>
      <c r="K222">
        <v>80.959250936258101</v>
      </c>
      <c r="L222">
        <v>7.6194476654029508E-2</v>
      </c>
      <c r="M222">
        <v>-7.4741908030032167E-2</v>
      </c>
      <c r="N222">
        <v>6.0906594277915396</v>
      </c>
      <c r="O222">
        <v>6.0908282457366996</v>
      </c>
      <c r="P222">
        <v>6.0906666419887898</v>
      </c>
      <c r="Q222" t="s">
        <v>51</v>
      </c>
    </row>
    <row r="223" spans="1:17" x14ac:dyDescent="0.2">
      <c r="A223">
        <v>222</v>
      </c>
      <c r="B223">
        <v>766</v>
      </c>
      <c r="C223">
        <v>105</v>
      </c>
      <c r="D223">
        <v>0.4892464995429</v>
      </c>
      <c r="E223">
        <v>110.898324735815</v>
      </c>
      <c r="F223">
        <v>1.37117660000953</v>
      </c>
      <c r="G223">
        <v>-1847.6158234680968</v>
      </c>
      <c r="H223">
        <v>-1525.994919735643</v>
      </c>
      <c r="I223">
        <v>309.50964194107598</v>
      </c>
      <c r="J223">
        <v>159.987615416919</v>
      </c>
      <c r="K223">
        <v>80.878221474203002</v>
      </c>
      <c r="L223">
        <v>6.958400185182384E-2</v>
      </c>
      <c r="M223">
        <v>-6.8123932243121466E-2</v>
      </c>
      <c r="N223">
        <v>5.5493647601528799</v>
      </c>
      <c r="O223">
        <v>5.5495344180782702</v>
      </c>
      <c r="P223">
        <v>5.5493719820371297</v>
      </c>
      <c r="Q223" t="s">
        <v>51</v>
      </c>
    </row>
    <row r="224" spans="1:17" x14ac:dyDescent="0.2">
      <c r="A224">
        <v>223</v>
      </c>
      <c r="B224">
        <v>764</v>
      </c>
      <c r="C224">
        <v>105</v>
      </c>
      <c r="D224">
        <v>0.48812659692426702</v>
      </c>
      <c r="E224">
        <v>110.89821407194</v>
      </c>
      <c r="F224">
        <v>1.37284998080153</v>
      </c>
      <c r="G224">
        <v>-1846.9954536340592</v>
      </c>
      <c r="H224">
        <v>-1526.4592227726387</v>
      </c>
      <c r="I224">
        <v>309.06068595726401</v>
      </c>
      <c r="J224">
        <v>160.04709205824901</v>
      </c>
      <c r="K224">
        <v>80.779557579330501</v>
      </c>
      <c r="L224">
        <v>6.4375037997506462E-2</v>
      </c>
      <c r="M224">
        <v>-6.2908377442267016E-2</v>
      </c>
      <c r="N224">
        <v>5.1213096957448103</v>
      </c>
      <c r="O224">
        <v>5.1214800431573098</v>
      </c>
      <c r="P224">
        <v>5.1213169040131596</v>
      </c>
      <c r="Q224" t="s">
        <v>51</v>
      </c>
    </row>
    <row r="225" spans="1:17" x14ac:dyDescent="0.2">
      <c r="A225">
        <v>224</v>
      </c>
      <c r="B225">
        <v>762</v>
      </c>
      <c r="C225">
        <v>105</v>
      </c>
      <c r="D225">
        <v>0.48700236680674502</v>
      </c>
      <c r="E225">
        <v>110.89810264932299</v>
      </c>
      <c r="F225">
        <v>1.37473883088626</v>
      </c>
      <c r="G225">
        <v>-1846.3759440279005</v>
      </c>
      <c r="H225">
        <v>-1526.8972465015277</v>
      </c>
      <c r="I225">
        <v>308.63620967801302</v>
      </c>
      <c r="J225">
        <v>160.11967217314401</v>
      </c>
      <c r="K225">
        <v>80.668487830397297</v>
      </c>
      <c r="L225">
        <v>6.0142487527216779E-2</v>
      </c>
      <c r="M225">
        <v>-5.8669863594594862E-2</v>
      </c>
      <c r="N225">
        <v>4.77235967325604</v>
      </c>
      <c r="O225">
        <v>4.77253060196007</v>
      </c>
      <c r="P225">
        <v>4.7723668477123802</v>
      </c>
      <c r="Q225" t="s">
        <v>51</v>
      </c>
    </row>
    <row r="226" spans="1:17" x14ac:dyDescent="0.2">
      <c r="A226">
        <v>225</v>
      </c>
      <c r="B226">
        <v>814</v>
      </c>
      <c r="C226">
        <v>90</v>
      </c>
      <c r="D226">
        <v>0.53006530837511401</v>
      </c>
      <c r="E226">
        <v>110.88383958577801</v>
      </c>
      <c r="F226">
        <v>1.32420516599815</v>
      </c>
      <c r="G226">
        <v>-1864.0714935779226</v>
      </c>
      <c r="H226">
        <v>-1504.1696093484748</v>
      </c>
      <c r="I226">
        <v>331.05474972204303</v>
      </c>
      <c r="J226">
        <v>163.02524566305701</v>
      </c>
      <c r="K226">
        <v>83.736147866631498</v>
      </c>
      <c r="L226">
        <v>0.55843469377739163</v>
      </c>
      <c r="M226">
        <v>-0.55719901392446824</v>
      </c>
      <c r="N226">
        <v>46.7007285323646</v>
      </c>
      <c r="O226">
        <v>46.7008976774109</v>
      </c>
      <c r="P226">
        <v>46.700734484645103</v>
      </c>
      <c r="Q226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8A81-6A6F-4B63-9C98-A037ACE99581}">
  <sheetPr codeName="Sheet4"/>
  <dimension ref="A1:AI226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760</v>
      </c>
      <c r="C2">
        <v>300</v>
      </c>
      <c r="D2">
        <v>0.27825630353772701</v>
      </c>
      <c r="E2">
        <v>107.013944983546</v>
      </c>
      <c r="F2">
        <v>2.19953979202494</v>
      </c>
      <c r="G2">
        <v>-1749.5622388074037</v>
      </c>
      <c r="H2">
        <v>-1457.3177540063862</v>
      </c>
      <c r="I2">
        <v>282.867429512672</v>
      </c>
      <c r="J2">
        <v>145.27599386968299</v>
      </c>
      <c r="K2">
        <v>48.652879739459799</v>
      </c>
      <c r="L2">
        <v>1.6212078738732128E-4</v>
      </c>
      <c r="M2">
        <v>1.7703293559335897E-5</v>
      </c>
      <c r="N2" s="1">
        <v>3.9806646822459397E-6</v>
      </c>
      <c r="O2" s="1">
        <v>1.08273570866068E-7</v>
      </c>
      <c r="P2" s="1">
        <v>-5.4135079420404E-7</v>
      </c>
      <c r="Q2">
        <v>71.738314115810596</v>
      </c>
      <c r="R2">
        <v>8.9707934806777398E-2</v>
      </c>
      <c r="S2">
        <v>12.1105711989153</v>
      </c>
      <c r="T2">
        <v>0.225782664419721</v>
      </c>
      <c r="V2">
        <v>0.57243812538121097</v>
      </c>
      <c r="W2">
        <v>2.5230356664406001E-2</v>
      </c>
      <c r="X2">
        <v>0.112134918508472</v>
      </c>
      <c r="AA2">
        <v>0.73822154684743702</v>
      </c>
      <c r="AB2">
        <v>3.31732467254227</v>
      </c>
      <c r="AC2">
        <v>4.3826063983727304</v>
      </c>
      <c r="AD2">
        <v>3.7378306169489901E-2</v>
      </c>
      <c r="AE2">
        <v>6.6502897615614103</v>
      </c>
    </row>
    <row r="3" spans="1:35" x14ac:dyDescent="0.2">
      <c r="A3">
        <v>2</v>
      </c>
      <c r="B3">
        <v>758</v>
      </c>
      <c r="C3">
        <v>300</v>
      </c>
      <c r="D3">
        <v>0.27672065169955901</v>
      </c>
      <c r="E3">
        <v>106.82954866752701</v>
      </c>
      <c r="F3">
        <v>2.2003776327237801</v>
      </c>
      <c r="G3">
        <v>-1745.9305644961048</v>
      </c>
      <c r="H3">
        <v>-1455.0247153962371</v>
      </c>
      <c r="I3">
        <v>282.11787722433002</v>
      </c>
      <c r="J3">
        <v>145.01546562259099</v>
      </c>
      <c r="K3">
        <v>48.550551995607101</v>
      </c>
      <c r="L3">
        <v>1.6207190201628587E-4</v>
      </c>
      <c r="M3">
        <v>1.7686166263887454E-5</v>
      </c>
      <c r="N3" s="1">
        <v>3.9837101201814903E-6</v>
      </c>
      <c r="O3" s="1">
        <v>1.07919065364836E-7</v>
      </c>
      <c r="P3" s="1">
        <v>-5.4046932416666999E-7</v>
      </c>
      <c r="Q3">
        <v>71.700123865887093</v>
      </c>
      <c r="R3">
        <v>8.9862777852567299E-2</v>
      </c>
      <c r="S3">
        <v>12.1314750100972</v>
      </c>
      <c r="T3">
        <v>0.226943937204379</v>
      </c>
      <c r="V3">
        <v>0.57273194650896597</v>
      </c>
      <c r="W3">
        <v>2.5273906271034301E-2</v>
      </c>
      <c r="X3">
        <v>0.112328472315711</v>
      </c>
      <c r="AA3">
        <v>0.73949577607841399</v>
      </c>
      <c r="AB3">
        <v>3.3230506393397001</v>
      </c>
      <c r="AC3">
        <v>4.3901711263388998</v>
      </c>
      <c r="AD3">
        <v>3.7442824105235098E-2</v>
      </c>
      <c r="AE3">
        <v>6.6510997180006397</v>
      </c>
    </row>
    <row r="4" spans="1:35" x14ac:dyDescent="0.2">
      <c r="A4">
        <v>3</v>
      </c>
      <c r="B4">
        <v>756</v>
      </c>
      <c r="C4">
        <v>300</v>
      </c>
      <c r="D4">
        <v>0.27517903123937498</v>
      </c>
      <c r="E4">
        <v>106.36426371126601</v>
      </c>
      <c r="F4">
        <v>2.20134363462377</v>
      </c>
      <c r="G4">
        <v>-1737.6455472366979</v>
      </c>
      <c r="H4">
        <v>-1448.7905994699845</v>
      </c>
      <c r="I4">
        <v>280.67332047487002</v>
      </c>
      <c r="J4">
        <v>144.40442603613999</v>
      </c>
      <c r="K4">
        <v>48.317882786821102</v>
      </c>
      <c r="L4">
        <v>1.6215866008525721E-4</v>
      </c>
      <c r="M4">
        <v>1.7670971915089247E-5</v>
      </c>
      <c r="N4" s="1">
        <v>3.9784052101106097E-6</v>
      </c>
      <c r="O4" s="1">
        <v>1.0733738734696801E-7</v>
      </c>
      <c r="P4" s="1">
        <v>-5.3886186499030199E-7</v>
      </c>
      <c r="Q4">
        <v>71.600874617140306</v>
      </c>
      <c r="R4">
        <v>9.0255877914596799E-2</v>
      </c>
      <c r="S4">
        <v>12.184543518471701</v>
      </c>
      <c r="T4">
        <v>0.22880973943680899</v>
      </c>
      <c r="V4">
        <v>0.57445175473461496</v>
      </c>
      <c r="W4">
        <v>2.5384465663479901E-2</v>
      </c>
      <c r="X4">
        <v>0.112819847393249</v>
      </c>
      <c r="AA4">
        <v>0.74273066200552895</v>
      </c>
      <c r="AB4">
        <v>3.3375871520501499</v>
      </c>
      <c r="AC4">
        <v>4.4093757022859199</v>
      </c>
      <c r="AD4">
        <v>3.7606615797746497E-2</v>
      </c>
      <c r="AE4">
        <v>6.6555600471057996</v>
      </c>
    </row>
    <row r="5" spans="1:35" x14ac:dyDescent="0.2">
      <c r="A5">
        <v>4</v>
      </c>
      <c r="B5">
        <v>754</v>
      </c>
      <c r="C5">
        <v>300</v>
      </c>
      <c r="D5">
        <v>0.27363140729202201</v>
      </c>
      <c r="E5">
        <v>105.903697856607</v>
      </c>
      <c r="F5">
        <v>2.20230929452803</v>
      </c>
      <c r="G5">
        <v>-1729.4442242139869</v>
      </c>
      <c r="H5">
        <v>-1442.6201423206019</v>
      </c>
      <c r="I5">
        <v>279.24264410590803</v>
      </c>
      <c r="J5">
        <v>143.79961234287299</v>
      </c>
      <c r="K5">
        <v>48.087567954120402</v>
      </c>
      <c r="L5">
        <v>1.6224568218136217E-4</v>
      </c>
      <c r="M5">
        <v>1.7655772998533834E-5</v>
      </c>
      <c r="N5" s="1">
        <v>3.97321650313568E-6</v>
      </c>
      <c r="O5" s="1">
        <v>1.06762010378368E-7</v>
      </c>
      <c r="P5" s="1">
        <v>-5.3727569701861001E-7</v>
      </c>
      <c r="Q5">
        <v>71.501711222812901</v>
      </c>
      <c r="R5">
        <v>9.0648392778487796E-2</v>
      </c>
      <c r="S5">
        <v>12.2375330250979</v>
      </c>
      <c r="T5">
        <v>0.23068858158314101</v>
      </c>
      <c r="V5">
        <v>0.57615476997649095</v>
      </c>
      <c r="W5">
        <v>2.5494860468948902E-2</v>
      </c>
      <c r="X5">
        <v>0.11331049097311501</v>
      </c>
      <c r="AA5">
        <v>0.745960732239627</v>
      </c>
      <c r="AB5">
        <v>3.3521020246211002</v>
      </c>
      <c r="AC5">
        <v>4.4285516888655101</v>
      </c>
      <c r="AD5">
        <v>3.7770163657699599E-2</v>
      </c>
      <c r="AE5">
        <v>6.6600740469249198</v>
      </c>
    </row>
    <row r="6" spans="1:35" x14ac:dyDescent="0.2">
      <c r="A6">
        <v>5</v>
      </c>
      <c r="B6">
        <v>752</v>
      </c>
      <c r="C6">
        <v>300</v>
      </c>
      <c r="D6">
        <v>0.27207774472028401</v>
      </c>
      <c r="E6">
        <v>105.44777232886101</v>
      </c>
      <c r="F6">
        <v>2.20327461422022</v>
      </c>
      <c r="G6">
        <v>-1721.3252105652177</v>
      </c>
      <c r="H6">
        <v>-1436.5122774137885</v>
      </c>
      <c r="I6">
        <v>277.82561883766101</v>
      </c>
      <c r="J6">
        <v>143.200921875544</v>
      </c>
      <c r="K6">
        <v>47.859568502395199</v>
      </c>
      <c r="L6">
        <v>1.623329741806584E-4</v>
      </c>
      <c r="M6">
        <v>1.764056956028499E-5</v>
      </c>
      <c r="N6" s="1">
        <v>3.9681425470722702E-6</v>
      </c>
      <c r="O6" s="1">
        <v>1.0619283514802799E-7</v>
      </c>
      <c r="P6" s="1">
        <v>-5.35710515056646E-7</v>
      </c>
      <c r="Q6">
        <v>71.4026313921308</v>
      </c>
      <c r="R6">
        <v>9.1040330089292396E-2</v>
      </c>
      <c r="S6">
        <v>12.290444562057001</v>
      </c>
      <c r="T6">
        <v>0.232580622851248</v>
      </c>
      <c r="V6">
        <v>0.57784091507562396</v>
      </c>
      <c r="W6">
        <v>2.56050928376125E-2</v>
      </c>
      <c r="X6">
        <v>0.11380041261162201</v>
      </c>
      <c r="AA6">
        <v>0.74918604969312097</v>
      </c>
      <c r="AB6">
        <v>3.3665955397602101</v>
      </c>
      <c r="AC6">
        <v>4.4476994595704102</v>
      </c>
      <c r="AD6">
        <v>3.79334708705341E-2</v>
      </c>
      <c r="AE6">
        <v>6.6646421524525099</v>
      </c>
    </row>
    <row r="7" spans="1:35" x14ac:dyDescent="0.2">
      <c r="A7">
        <v>6</v>
      </c>
      <c r="B7">
        <v>750</v>
      </c>
      <c r="C7">
        <v>300</v>
      </c>
      <c r="D7">
        <v>0.270518008112205</v>
      </c>
      <c r="E7">
        <v>104.99641006576</v>
      </c>
      <c r="F7">
        <v>2.2042395952302898</v>
      </c>
      <c r="G7">
        <v>-1713.2871516028301</v>
      </c>
      <c r="H7">
        <v>-1430.4659613759648</v>
      </c>
      <c r="I7">
        <v>276.42202045337001</v>
      </c>
      <c r="J7">
        <v>142.60825422520901</v>
      </c>
      <c r="K7">
        <v>47.633846290103797</v>
      </c>
      <c r="L7">
        <v>1.6242054214203171E-4</v>
      </c>
      <c r="M7">
        <v>1.7625361656785514E-5</v>
      </c>
      <c r="N7" s="1">
        <v>3.9631819325049398E-6</v>
      </c>
      <c r="O7" s="1">
        <v>1.05629764665334E-7</v>
      </c>
      <c r="P7" s="1">
        <v>-5.3416602181803995E-7</v>
      </c>
      <c r="Q7">
        <v>71.303632827008997</v>
      </c>
      <c r="R7">
        <v>9.1431697464585002E-2</v>
      </c>
      <c r="S7">
        <v>12.3432791577219</v>
      </c>
      <c r="T7">
        <v>0.234486024153684</v>
      </c>
      <c r="V7">
        <v>0.57951011110129302</v>
      </c>
      <c r="W7">
        <v>2.5715164911913401E-2</v>
      </c>
      <c r="X7">
        <v>0.114289621830739</v>
      </c>
      <c r="AA7">
        <v>0.75240667705229602</v>
      </c>
      <c r="AB7">
        <v>3.3810679791590399</v>
      </c>
      <c r="AC7">
        <v>4.4668193865508004</v>
      </c>
      <c r="AD7">
        <v>3.80965406102384E-2</v>
      </c>
      <c r="AE7">
        <v>6.6692648124343101</v>
      </c>
    </row>
    <row r="8" spans="1:35" x14ac:dyDescent="0.2">
      <c r="A8">
        <v>7</v>
      </c>
      <c r="B8">
        <v>748</v>
      </c>
      <c r="C8">
        <v>300</v>
      </c>
      <c r="D8">
        <v>0.26895216177838999</v>
      </c>
      <c r="E8">
        <v>104.54953567259901</v>
      </c>
      <c r="F8">
        <v>2.20520423882376</v>
      </c>
      <c r="G8">
        <v>-1705.3287220247271</v>
      </c>
      <c r="H8">
        <v>-1424.4801733877671</v>
      </c>
      <c r="I8">
        <v>275.03162966945098</v>
      </c>
      <c r="J8">
        <v>142.02151118278999</v>
      </c>
      <c r="K8">
        <v>47.410364007084098</v>
      </c>
      <c r="L8">
        <v>1.6250839231406886E-4</v>
      </c>
      <c r="M8">
        <v>1.7610149355299107E-5</v>
      </c>
      <c r="N8" s="1">
        <v>3.95833329211351E-6</v>
      </c>
      <c r="O8" s="1">
        <v>1.05072704205094E-7</v>
      </c>
      <c r="P8" s="1">
        <v>-5.3264192776623695E-7</v>
      </c>
      <c r="Q8">
        <v>71.204713221765203</v>
      </c>
      <c r="R8">
        <v>9.1822502493582397E-2</v>
      </c>
      <c r="S8">
        <v>12.3960378366373</v>
      </c>
      <c r="T8">
        <v>0.236404948120221</v>
      </c>
      <c r="V8">
        <v>0.58116227733251602</v>
      </c>
      <c r="W8">
        <v>2.5825078826318602E-2</v>
      </c>
      <c r="X8">
        <v>0.114778128116988</v>
      </c>
      <c r="AA8">
        <v>0.75562267677008299</v>
      </c>
      <c r="AB8">
        <v>3.3955196234604799</v>
      </c>
      <c r="AC8">
        <v>4.4859118405715499</v>
      </c>
      <c r="AD8">
        <v>3.8259376038986097E-2</v>
      </c>
      <c r="AE8">
        <v>6.6739424898666702</v>
      </c>
    </row>
    <row r="9" spans="1:35" x14ac:dyDescent="0.2">
      <c r="A9">
        <v>8</v>
      </c>
      <c r="B9">
        <v>746</v>
      </c>
      <c r="C9">
        <v>300</v>
      </c>
      <c r="D9">
        <v>0.26738016974930101</v>
      </c>
      <c r="E9">
        <v>104.107075374725</v>
      </c>
      <c r="F9">
        <v>2.2061685459981399</v>
      </c>
      <c r="G9">
        <v>-1697.4486250812083</v>
      </c>
      <c r="H9">
        <v>-1418.5539145399118</v>
      </c>
      <c r="I9">
        <v>273.65423199852398</v>
      </c>
      <c r="J9">
        <v>141.440596677185</v>
      </c>
      <c r="K9">
        <v>47.189085151073201</v>
      </c>
      <c r="L9">
        <v>1.6259653114092631E-4</v>
      </c>
      <c r="M9">
        <v>1.7594932734152296E-5</v>
      </c>
      <c r="N9" s="1">
        <v>3.9535952997997098E-6</v>
      </c>
      <c r="O9" s="1">
        <v>1.0452156124835701E-7</v>
      </c>
      <c r="P9" s="1">
        <v>-5.3113795093371502E-7</v>
      </c>
      <c r="Q9">
        <v>71.105870262085304</v>
      </c>
      <c r="R9">
        <v>9.2212752739865997E-2</v>
      </c>
      <c r="S9">
        <v>12.448721619885999</v>
      </c>
      <c r="T9">
        <v>0.23833755912103699</v>
      </c>
      <c r="V9">
        <v>0.58279733126075495</v>
      </c>
      <c r="W9">
        <v>2.59348367080857E-2</v>
      </c>
      <c r="X9">
        <v>0.115265940924844</v>
      </c>
      <c r="AA9">
        <v>0.758834111088456</v>
      </c>
      <c r="AB9">
        <v>3.4099507523594901</v>
      </c>
      <c r="AC9">
        <v>4.5049771911451497</v>
      </c>
      <c r="AD9">
        <v>3.8421980308270202E-2</v>
      </c>
      <c r="AE9">
        <v>6.6786756623726298</v>
      </c>
    </row>
    <row r="10" spans="1:35" x14ac:dyDescent="0.2">
      <c r="A10">
        <v>9</v>
      </c>
      <c r="B10">
        <v>744</v>
      </c>
      <c r="C10">
        <v>300</v>
      </c>
      <c r="D10">
        <v>0.26580199577250502</v>
      </c>
      <c r="E10">
        <v>103.668956972212</v>
      </c>
      <c r="F10">
        <v>2.2071325174724001</v>
      </c>
      <c r="G10">
        <v>-1689.6455917809378</v>
      </c>
      <c r="H10">
        <v>-1412.6862072185895</v>
      </c>
      <c r="I10">
        <v>272.28961762016303</v>
      </c>
      <c r="J10">
        <v>140.865416716526</v>
      </c>
      <c r="K10">
        <v>46.969974005427297</v>
      </c>
      <c r="L10">
        <v>1.6268496527204729E-4</v>
      </c>
      <c r="M10">
        <v>1.7579711883271585E-5</v>
      </c>
      <c r="N10" s="1">
        <v>3.9489666700121501E-6</v>
      </c>
      <c r="O10" s="1">
        <v>1.0397624542928199E-7</v>
      </c>
      <c r="P10" s="1">
        <v>-5.2965381677203205E-7</v>
      </c>
      <c r="Q10">
        <v>71.007101623879606</v>
      </c>
      <c r="R10">
        <v>9.2602455743559006E-2</v>
      </c>
      <c r="S10">
        <v>12.501331525385201</v>
      </c>
      <c r="T10">
        <v>0.24028402328814399</v>
      </c>
      <c r="V10">
        <v>0.58441518858915198</v>
      </c>
      <c r="W10">
        <v>2.6044440677874099E-2</v>
      </c>
      <c r="X10">
        <v>0.115753069679462</v>
      </c>
      <c r="AA10">
        <v>0.76204104205634204</v>
      </c>
      <c r="AB10">
        <v>3.4243616446835401</v>
      </c>
      <c r="AC10">
        <v>4.5240158066380101</v>
      </c>
      <c r="AD10">
        <v>3.8584356559807902E-2</v>
      </c>
      <c r="AE10">
        <v>6.6834648228191798</v>
      </c>
    </row>
    <row r="11" spans="1:35" x14ac:dyDescent="0.2">
      <c r="A11">
        <v>10</v>
      </c>
      <c r="B11">
        <v>742</v>
      </c>
      <c r="C11">
        <v>300</v>
      </c>
      <c r="D11">
        <v>0.264217603309855</v>
      </c>
      <c r="E11">
        <v>103.235109798175</v>
      </c>
      <c r="F11">
        <v>2.2080961536807902</v>
      </c>
      <c r="G11">
        <v>-1681.9183801575716</v>
      </c>
      <c r="H11">
        <v>-1406.8760945415745</v>
      </c>
      <c r="I11">
        <v>270.93758125990797</v>
      </c>
      <c r="J11">
        <v>140.29587933379901</v>
      </c>
      <c r="K11">
        <v>46.752995618459501</v>
      </c>
      <c r="L11">
        <v>1.627737015674657E-4</v>
      </c>
      <c r="M11">
        <v>1.7564486904458914E-5</v>
      </c>
      <c r="N11" s="1">
        <v>3.9444461570518498E-6</v>
      </c>
      <c r="O11" s="1">
        <v>1.0343666848263701E-7</v>
      </c>
      <c r="P11" s="1">
        <v>-5.2818925799465499E-7</v>
      </c>
      <c r="Q11">
        <v>70.908404972832301</v>
      </c>
      <c r="R11">
        <v>9.2991619021553798E-2</v>
      </c>
      <c r="S11">
        <v>12.553868567915099</v>
      </c>
      <c r="T11">
        <v>0.24224450853139701</v>
      </c>
      <c r="V11">
        <v>0.58601576322042304</v>
      </c>
      <c r="W11">
        <v>2.6153892849809901E-2</v>
      </c>
      <c r="X11">
        <v>0.116239523776957</v>
      </c>
      <c r="AA11">
        <v>0.76524353153150404</v>
      </c>
      <c r="AB11">
        <v>3.43875257840104</v>
      </c>
      <c r="AC11">
        <v>4.5430280542816703</v>
      </c>
      <c r="AD11">
        <v>3.87465079256381E-2</v>
      </c>
      <c r="AE11">
        <v>6.6883104797124604</v>
      </c>
    </row>
    <row r="12" spans="1:35" x14ac:dyDescent="0.2">
      <c r="A12">
        <v>11</v>
      </c>
      <c r="B12">
        <v>740</v>
      </c>
      <c r="C12">
        <v>300</v>
      </c>
      <c r="D12">
        <v>0.26262695553471999</v>
      </c>
      <c r="E12">
        <v>102.805464677122</v>
      </c>
      <c r="F12">
        <v>2.2090594547622202</v>
      </c>
      <c r="G12">
        <v>-1674.2657745392737</v>
      </c>
      <c r="H12">
        <v>-1401.1226397938065</v>
      </c>
      <c r="I12">
        <v>269.59792207024299</v>
      </c>
      <c r="J12">
        <v>139.731894532843</v>
      </c>
      <c r="K12">
        <v>46.538115782939599</v>
      </c>
      <c r="L12">
        <v>1.6286274710700709E-4</v>
      </c>
      <c r="M12">
        <v>1.7549257911907496E-5</v>
      </c>
      <c r="N12" s="1">
        <v>3.9400325544803597E-6</v>
      </c>
      <c r="O12" s="1">
        <v>1.0290274419469199E-7</v>
      </c>
      <c r="P12" s="1">
        <v>-5.2674401443949095E-7</v>
      </c>
      <c r="Q12">
        <v>70.809777963454096</v>
      </c>
      <c r="R12">
        <v>9.3380250068911E-2</v>
      </c>
      <c r="S12">
        <v>12.6063337593092</v>
      </c>
      <c r="T12">
        <v>0.24421918455765701</v>
      </c>
      <c r="V12">
        <v>0.587598967251455</v>
      </c>
      <c r="W12">
        <v>2.6263195331878798E-2</v>
      </c>
      <c r="X12">
        <v>0.116725312586156</v>
      </c>
      <c r="AA12">
        <v>0.76844164119204295</v>
      </c>
      <c r="AB12">
        <v>3.45312383067307</v>
      </c>
      <c r="AC12">
        <v>4.5620143002410201</v>
      </c>
      <c r="AD12">
        <v>3.89084375287021E-2</v>
      </c>
      <c r="AE12">
        <v>6.6932131578057303</v>
      </c>
    </row>
    <row r="13" spans="1:35" x14ac:dyDescent="0.2">
      <c r="A13">
        <v>12</v>
      </c>
      <c r="B13">
        <v>738</v>
      </c>
      <c r="C13">
        <v>300</v>
      </c>
      <c r="D13">
        <v>0.26103001532908299</v>
      </c>
      <c r="E13">
        <v>102.379953883638</v>
      </c>
      <c r="F13">
        <v>2.2100224205527299</v>
      </c>
      <c r="G13">
        <v>-1666.6865848247824</v>
      </c>
      <c r="H13">
        <v>-1395.4249258672551</v>
      </c>
      <c r="I13">
        <v>268.27044351236401</v>
      </c>
      <c r="J13">
        <v>139.17337423473401</v>
      </c>
      <c r="K13">
        <v>46.3253010157392</v>
      </c>
      <c r="L13">
        <v>1.6295210919847519E-4</v>
      </c>
      <c r="M13">
        <v>1.7534025032606967E-5</v>
      </c>
      <c r="N13" s="1">
        <v>3.9357246944725701E-6</v>
      </c>
      <c r="O13" s="1">
        <v>1.02374388353583E-7</v>
      </c>
      <c r="P13" s="1">
        <v>-5.2531783292541501E-7</v>
      </c>
      <c r="Q13">
        <v>70.711218237992</v>
      </c>
      <c r="R13">
        <v>9.3768356361161598E-2</v>
      </c>
      <c r="S13">
        <v>12.6587281087634</v>
      </c>
      <c r="T13">
        <v>0.24620822289296401</v>
      </c>
      <c r="V13">
        <v>0.58916471097353096</v>
      </c>
      <c r="W13">
        <v>2.6372350226574099E-2</v>
      </c>
      <c r="X13">
        <v>0.11721044545147</v>
      </c>
      <c r="AA13">
        <v>0.77163543255535305</v>
      </c>
      <c r="AB13">
        <v>3.4674756779385798</v>
      </c>
      <c r="AC13">
        <v>4.5809749097269696</v>
      </c>
      <c r="AD13">
        <v>3.90701484838058E-2</v>
      </c>
      <c r="AE13">
        <v>6.69817339863401</v>
      </c>
    </row>
    <row r="14" spans="1:35" x14ac:dyDescent="0.2">
      <c r="A14">
        <v>13</v>
      </c>
      <c r="B14">
        <v>736</v>
      </c>
      <c r="C14">
        <v>300</v>
      </c>
      <c r="D14">
        <v>0.25942674528068399</v>
      </c>
      <c r="E14">
        <v>101.490284333581</v>
      </c>
      <c r="F14">
        <v>2.2109562480379599</v>
      </c>
      <c r="G14">
        <v>-1651.6002479993219</v>
      </c>
      <c r="H14">
        <v>-1383.4017438658157</v>
      </c>
      <c r="I14">
        <v>265.76673847644599</v>
      </c>
      <c r="J14">
        <v>137.99615753793401</v>
      </c>
      <c r="K14">
        <v>45.903343597886902</v>
      </c>
      <c r="L14">
        <v>1.6312495448487442E-4</v>
      </c>
      <c r="M14">
        <v>1.7525252596714445E-5</v>
      </c>
      <c r="N14" s="1">
        <v>3.9161684033123304E-6</v>
      </c>
      <c r="O14" s="1">
        <v>1.0144842285533E-7</v>
      </c>
      <c r="P14" s="1">
        <v>-5.21822311646142E-7</v>
      </c>
      <c r="Q14">
        <v>70.603103347429695</v>
      </c>
      <c r="R14">
        <v>9.4590335055587602E-2</v>
      </c>
      <c r="S14">
        <v>12.7146114253311</v>
      </c>
      <c r="T14">
        <v>0.24932183783961301</v>
      </c>
      <c r="V14">
        <v>0.59346973675456804</v>
      </c>
      <c r="W14">
        <v>2.6603531734381101E-2</v>
      </c>
      <c r="X14">
        <v>0.118237918819506</v>
      </c>
      <c r="AA14">
        <v>0.77767546563539103</v>
      </c>
      <c r="AB14">
        <v>3.4866650139989899</v>
      </c>
      <c r="AC14">
        <v>4.58848922519139</v>
      </c>
      <c r="AD14">
        <v>3.9412639606481503E-2</v>
      </c>
      <c r="AE14">
        <v>6.7078195226031401</v>
      </c>
    </row>
    <row r="15" spans="1:35" x14ac:dyDescent="0.2">
      <c r="A15">
        <v>14</v>
      </c>
      <c r="B15">
        <v>734</v>
      </c>
      <c r="C15">
        <v>300</v>
      </c>
      <c r="D15">
        <v>0.25781710768008598</v>
      </c>
      <c r="E15">
        <v>38.767065896167097</v>
      </c>
      <c r="F15">
        <v>2.21520829950805</v>
      </c>
      <c r="G15">
        <v>-630.99692070907793</v>
      </c>
      <c r="H15">
        <v>-528.95376171098883</v>
      </c>
      <c r="I15">
        <v>101.318730078031</v>
      </c>
      <c r="J15">
        <v>52.796378717471597</v>
      </c>
      <c r="K15">
        <v>17.500415606413299</v>
      </c>
      <c r="L15">
        <v>1.6316019284475075E-4</v>
      </c>
      <c r="M15">
        <v>1.7544860948533298E-5</v>
      </c>
      <c r="N15" s="1">
        <v>1.4972563014005799E-6</v>
      </c>
      <c r="O15" s="1">
        <v>3.86269456727313E-8</v>
      </c>
      <c r="P15" s="1">
        <v>-1.97800547722024E-7</v>
      </c>
      <c r="Q15">
        <v>70.072474815506595</v>
      </c>
      <c r="R15">
        <v>0.13924887817332199</v>
      </c>
      <c r="S15">
        <v>13.3117860803978</v>
      </c>
      <c r="T15">
        <v>0.24314653180399101</v>
      </c>
      <c r="V15">
        <v>0.58552877215350896</v>
      </c>
      <c r="W15">
        <v>6.9646746215736202E-2</v>
      </c>
      <c r="X15">
        <v>0.131578261866068</v>
      </c>
      <c r="AA15">
        <v>0.74591128838434395</v>
      </c>
      <c r="AB15">
        <v>3.3443743058069999</v>
      </c>
      <c r="AC15">
        <v>4.5546190645403</v>
      </c>
      <c r="AD15">
        <v>0.103180364763931</v>
      </c>
      <c r="AE15">
        <v>6.69850489038721</v>
      </c>
    </row>
    <row r="16" spans="1:35" x14ac:dyDescent="0.2">
      <c r="A16">
        <v>15</v>
      </c>
      <c r="B16">
        <v>732</v>
      </c>
      <c r="C16">
        <v>300</v>
      </c>
      <c r="D16">
        <v>0.256201064517732</v>
      </c>
      <c r="E16">
        <v>22.596419861206702</v>
      </c>
      <c r="F16">
        <v>2.2203819848704902</v>
      </c>
      <c r="G16">
        <v>-367.81544709558187</v>
      </c>
      <c r="H16">
        <v>-308.66118432128337</v>
      </c>
      <c r="I16">
        <v>58.851179201411099</v>
      </c>
      <c r="J16">
        <v>30.8125005343257</v>
      </c>
      <c r="K16">
        <v>10.176816428514</v>
      </c>
      <c r="L16">
        <v>1.6253663328863075E-4</v>
      </c>
      <c r="M16">
        <v>1.7528076056901471E-5</v>
      </c>
      <c r="N16" s="1">
        <v>8.6931815004700002E-7</v>
      </c>
      <c r="O16" s="1">
        <v>2.2341324287630802E-8</v>
      </c>
      <c r="P16" s="1">
        <v>-1.13724691702413E-7</v>
      </c>
      <c r="Q16">
        <v>69.5273324174577</v>
      </c>
      <c r="R16">
        <v>0.132742262126953</v>
      </c>
      <c r="S16">
        <v>14.007540626044699</v>
      </c>
      <c r="T16">
        <v>0.23580975491880701</v>
      </c>
      <c r="V16">
        <v>0.57620074118231701</v>
      </c>
      <c r="W16">
        <v>0.11843533826873399</v>
      </c>
      <c r="X16">
        <v>0.12833516257928301</v>
      </c>
      <c r="AA16">
        <v>0.75894978322499795</v>
      </c>
      <c r="AB16">
        <v>3.0866993729386798</v>
      </c>
      <c r="AC16">
        <v>4.5938173960182596</v>
      </c>
      <c r="AD16">
        <v>0.177019192622625</v>
      </c>
      <c r="AE16">
        <v>6.6571179526167201</v>
      </c>
    </row>
    <row r="17" spans="1:31" x14ac:dyDescent="0.2">
      <c r="A17">
        <v>16</v>
      </c>
      <c r="B17">
        <v>730</v>
      </c>
      <c r="C17">
        <v>300</v>
      </c>
      <c r="D17">
        <v>0.25457857748093798</v>
      </c>
      <c r="E17">
        <v>17.141823196936301</v>
      </c>
      <c r="F17">
        <v>2.22452164157909</v>
      </c>
      <c r="G17">
        <v>-279.03364950529624</v>
      </c>
      <c r="H17">
        <v>-234.37654387700627</v>
      </c>
      <c r="I17">
        <v>44.516877464277499</v>
      </c>
      <c r="J17">
        <v>23.3982943623766</v>
      </c>
      <c r="K17">
        <v>7.7058469005354597</v>
      </c>
      <c r="L17">
        <v>1.6208010477326455E-4</v>
      </c>
      <c r="M17">
        <v>1.7513409992286726E-5</v>
      </c>
      <c r="N17" s="1">
        <v>6.5804083107323805E-7</v>
      </c>
      <c r="O17" s="1">
        <v>1.6845768749705099E-8</v>
      </c>
      <c r="P17" s="1">
        <v>-8.5388442487032694E-8</v>
      </c>
      <c r="Q17">
        <v>69.097356234537997</v>
      </c>
      <c r="R17">
        <v>0.13263806167238901</v>
      </c>
      <c r="S17">
        <v>14.5451468125648</v>
      </c>
      <c r="T17">
        <v>0.22807462716919399</v>
      </c>
      <c r="V17">
        <v>0.56278568072014501</v>
      </c>
      <c r="W17">
        <v>0.15528567985715599</v>
      </c>
      <c r="X17">
        <v>0.12669106990564999</v>
      </c>
      <c r="AA17">
        <v>0.77930219441486104</v>
      </c>
      <c r="AB17">
        <v>2.8907197979030399</v>
      </c>
      <c r="AC17">
        <v>4.6211829593007696</v>
      </c>
      <c r="AD17">
        <v>0.233347407334555</v>
      </c>
      <c r="AE17">
        <v>6.6274694746192804</v>
      </c>
    </row>
    <row r="18" spans="1:31" x14ac:dyDescent="0.2">
      <c r="A18">
        <v>17</v>
      </c>
      <c r="B18">
        <v>728</v>
      </c>
      <c r="C18">
        <v>300</v>
      </c>
      <c r="D18">
        <v>0.25294960795086002</v>
      </c>
      <c r="E18">
        <v>14.2292629967069</v>
      </c>
      <c r="F18">
        <v>2.2280391008719498</v>
      </c>
      <c r="G18">
        <v>-231.62391563254815</v>
      </c>
      <c r="H18">
        <v>-194.71893376083793</v>
      </c>
      <c r="I18">
        <v>36.862589893332903</v>
      </c>
      <c r="J18">
        <v>19.440783454765</v>
      </c>
      <c r="K18">
        <v>6.3864512032747802</v>
      </c>
      <c r="L18">
        <v>1.6177268946638158E-4</v>
      </c>
      <c r="M18">
        <v>1.7504937044576766E-5</v>
      </c>
      <c r="N18" s="1">
        <v>5.4585295585774903E-7</v>
      </c>
      <c r="O18" s="1">
        <v>1.39184537179374E-8</v>
      </c>
      <c r="P18" s="1">
        <v>-7.0321095507522196E-8</v>
      </c>
      <c r="Q18">
        <v>68.721379291613303</v>
      </c>
      <c r="R18">
        <v>0.13215516239549899</v>
      </c>
      <c r="S18">
        <v>15.0042084520432</v>
      </c>
      <c r="T18">
        <v>0.22157113555711</v>
      </c>
      <c r="V18">
        <v>0.55081497531396695</v>
      </c>
      <c r="W18">
        <v>0.186229678197945</v>
      </c>
      <c r="X18">
        <v>0.12502597988591599</v>
      </c>
      <c r="AA18">
        <v>0.80046186757480797</v>
      </c>
      <c r="AB18">
        <v>2.7316108683032501</v>
      </c>
      <c r="AC18">
        <v>4.6377030215491404</v>
      </c>
      <c r="AD18">
        <v>0.28111083482802202</v>
      </c>
      <c r="AE18">
        <v>6.6077287327377201</v>
      </c>
    </row>
    <row r="19" spans="1:31" x14ac:dyDescent="0.2">
      <c r="A19">
        <v>18</v>
      </c>
      <c r="B19">
        <v>726</v>
      </c>
      <c r="C19">
        <v>300</v>
      </c>
      <c r="D19">
        <v>0.251314116999449</v>
      </c>
      <c r="E19">
        <v>12.3650258707303</v>
      </c>
      <c r="F19">
        <v>2.23114671168543</v>
      </c>
      <c r="G19">
        <v>-201.27677166893923</v>
      </c>
      <c r="H19">
        <v>-169.34020270200293</v>
      </c>
      <c r="I19">
        <v>31.963738144358899</v>
      </c>
      <c r="J19">
        <v>16.908698241772601</v>
      </c>
      <c r="K19">
        <v>5.5420048381263296</v>
      </c>
      <c r="L19">
        <v>1.6156807423617291E-4</v>
      </c>
      <c r="M19">
        <v>1.7501040796979263E-5</v>
      </c>
      <c r="N19" s="1">
        <v>4.7448850243203501E-7</v>
      </c>
      <c r="O19" s="1">
        <v>1.2050277800242501E-8</v>
      </c>
      <c r="P19" s="1">
        <v>-6.0723511326345801E-8</v>
      </c>
      <c r="Q19">
        <v>68.379436757699196</v>
      </c>
      <c r="R19">
        <v>0.131406956211642</v>
      </c>
      <c r="S19">
        <v>15.4132632050695</v>
      </c>
      <c r="T19">
        <v>0.21588378123198701</v>
      </c>
      <c r="V19">
        <v>0.53985520589463798</v>
      </c>
      <c r="W19">
        <v>0.21345446532555701</v>
      </c>
      <c r="X19">
        <v>0.123347945006805</v>
      </c>
      <c r="AA19">
        <v>0.82158205921711203</v>
      </c>
      <c r="AB19">
        <v>2.5969080470693902</v>
      </c>
      <c r="AC19">
        <v>4.6466097395935897</v>
      </c>
      <c r="AD19">
        <v>0.323493055478283</v>
      </c>
      <c r="AE19">
        <v>6.5947587822021099</v>
      </c>
    </row>
    <row r="20" spans="1:31" x14ac:dyDescent="0.2">
      <c r="A20">
        <v>19</v>
      </c>
      <c r="B20">
        <v>724</v>
      </c>
      <c r="C20">
        <v>300</v>
      </c>
      <c r="D20">
        <v>0.249672065386352</v>
      </c>
      <c r="E20">
        <v>11.0457282694671</v>
      </c>
      <c r="F20">
        <v>2.2339608550507899</v>
      </c>
      <c r="G20">
        <v>-179.79943444043971</v>
      </c>
      <c r="H20">
        <v>-151.38326322392203</v>
      </c>
      <c r="I20">
        <v>28.497388774525</v>
      </c>
      <c r="J20">
        <v>15.117494066736301</v>
      </c>
      <c r="K20">
        <v>4.9444591853495101</v>
      </c>
      <c r="L20">
        <v>1.614389242942771E-4</v>
      </c>
      <c r="M20">
        <v>1.7500618423784738E-5</v>
      </c>
      <c r="N20" s="1">
        <v>4.24311929738148E-7</v>
      </c>
      <c r="O20" s="1">
        <v>1.07324029168938E-8</v>
      </c>
      <c r="P20" s="1">
        <v>-5.3966439363810298E-8</v>
      </c>
      <c r="Q20">
        <v>68.061323886271794</v>
      </c>
      <c r="R20">
        <v>0.1304655306135</v>
      </c>
      <c r="S20">
        <v>15.787027035267901</v>
      </c>
      <c r="T20">
        <v>0.21078539941001401</v>
      </c>
      <c r="V20">
        <v>0.52965170724974597</v>
      </c>
      <c r="W20">
        <v>0.23808297558782099</v>
      </c>
      <c r="X20">
        <v>0.121661588891738</v>
      </c>
      <c r="AA20">
        <v>0.84252022497199996</v>
      </c>
      <c r="AB20">
        <v>2.47971197499486</v>
      </c>
      <c r="AC20">
        <v>4.6498960405721999</v>
      </c>
      <c r="AD20">
        <v>0.36213094351109798</v>
      </c>
      <c r="AE20">
        <v>6.5867426926572099</v>
      </c>
    </row>
    <row r="21" spans="1:31" x14ac:dyDescent="0.2">
      <c r="A21">
        <v>20</v>
      </c>
      <c r="B21">
        <v>760</v>
      </c>
      <c r="C21">
        <v>285</v>
      </c>
      <c r="D21">
        <v>0.29422687896239802</v>
      </c>
      <c r="E21">
        <v>106.763025917809</v>
      </c>
      <c r="F21">
        <v>2.2000134823029498</v>
      </c>
      <c r="G21">
        <v>-1744.8541347176636</v>
      </c>
      <c r="H21">
        <v>-1454.7437638733043</v>
      </c>
      <c r="I21">
        <v>280.80179145754198</v>
      </c>
      <c r="J21">
        <v>144.71458625313701</v>
      </c>
      <c r="K21">
        <v>48.528350747219697</v>
      </c>
      <c r="L21">
        <v>1.5966479519694416E-4</v>
      </c>
      <c r="M21">
        <v>1.7705821010068826E-5</v>
      </c>
      <c r="N21" s="1">
        <v>3.8582821337416403E-6</v>
      </c>
      <c r="O21" s="1">
        <v>1.06027020180889E-7</v>
      </c>
      <c r="P21" s="1">
        <v>-5.3231999279578604E-7</v>
      </c>
      <c r="Q21">
        <v>71.906916594065706</v>
      </c>
      <c r="R21">
        <v>8.9918770262192096E-2</v>
      </c>
      <c r="S21">
        <v>12.1390339853964</v>
      </c>
      <c r="T21">
        <v>0.22796316858506399</v>
      </c>
      <c r="V21">
        <v>0.57229893193101899</v>
      </c>
      <c r="W21">
        <v>2.5289654136241301E-2</v>
      </c>
      <c r="X21">
        <v>0.11239846282774101</v>
      </c>
      <c r="AA21">
        <v>0.73995654694928603</v>
      </c>
      <c r="AB21">
        <v>3.3251211919872898</v>
      </c>
      <c r="AC21">
        <v>4.3929065888508001</v>
      </c>
      <c r="AD21">
        <v>3.74661542759126E-2</v>
      </c>
      <c r="AE21">
        <v>6.4307299507322098</v>
      </c>
    </row>
    <row r="22" spans="1:31" x14ac:dyDescent="0.2">
      <c r="A22">
        <v>21</v>
      </c>
      <c r="B22">
        <v>758</v>
      </c>
      <c r="C22">
        <v>285</v>
      </c>
      <c r="D22">
        <v>0.29272220336517601</v>
      </c>
      <c r="E22">
        <v>106.597465344037</v>
      </c>
      <c r="F22">
        <v>2.2008443860672502</v>
      </c>
      <c r="G22">
        <v>-1741.5374079366002</v>
      </c>
      <c r="H22">
        <v>-1452.7127347863757</v>
      </c>
      <c r="I22">
        <v>280.09957149806002</v>
      </c>
      <c r="J22">
        <v>144.477623889786</v>
      </c>
      <c r="K22">
        <v>48.434803486728597</v>
      </c>
      <c r="L22">
        <v>1.5960410568099945E-4</v>
      </c>
      <c r="M22">
        <v>1.7688312247070377E-5</v>
      </c>
      <c r="N22" s="1">
        <v>3.8614938074649003E-6</v>
      </c>
      <c r="O22" s="1">
        <v>1.05691357642923E-7</v>
      </c>
      <c r="P22" s="1">
        <v>-5.3147133766179596E-7</v>
      </c>
      <c r="Q22">
        <v>71.873017631939803</v>
      </c>
      <c r="R22">
        <v>9.0058426520898599E-2</v>
      </c>
      <c r="S22">
        <v>12.1578875803224</v>
      </c>
      <c r="T22">
        <v>0.22909081987098601</v>
      </c>
      <c r="V22">
        <v>0.57249170362349899</v>
      </c>
      <c r="W22">
        <v>2.53289324590023E-2</v>
      </c>
      <c r="X22">
        <v>0.112573033151126</v>
      </c>
      <c r="AA22">
        <v>0.74110580157822203</v>
      </c>
      <c r="AB22">
        <v>3.3302855640540199</v>
      </c>
      <c r="AC22">
        <v>4.3997293789896199</v>
      </c>
      <c r="AD22">
        <v>3.7524344383705797E-2</v>
      </c>
      <c r="AE22">
        <v>6.4309067831066002</v>
      </c>
    </row>
    <row r="23" spans="1:31" x14ac:dyDescent="0.2">
      <c r="A23">
        <v>22</v>
      </c>
      <c r="B23">
        <v>756</v>
      </c>
      <c r="C23">
        <v>285</v>
      </c>
      <c r="D23">
        <v>0.29121167954136901</v>
      </c>
      <c r="E23">
        <v>106.13983488599899</v>
      </c>
      <c r="F23">
        <v>2.20181666398457</v>
      </c>
      <c r="G23">
        <v>-1733.3816484013084</v>
      </c>
      <c r="H23">
        <v>-1446.5813630297241</v>
      </c>
      <c r="I23">
        <v>278.67685504696402</v>
      </c>
      <c r="J23">
        <v>143.87650124328599</v>
      </c>
      <c r="K23">
        <v>48.205573434947503</v>
      </c>
      <c r="L23">
        <v>1.5968217475358684E-4</v>
      </c>
      <c r="M23">
        <v>1.7672635415931476E-5</v>
      </c>
      <c r="N23" s="1">
        <v>3.8561820997575702E-6</v>
      </c>
      <c r="O23" s="1">
        <v>1.05121381312391E-7</v>
      </c>
      <c r="P23" s="1">
        <v>-5.2987033938643102E-7</v>
      </c>
      <c r="Q23">
        <v>71.775687186956901</v>
      </c>
      <c r="R23">
        <v>9.0446720689843205E-2</v>
      </c>
      <c r="S23">
        <v>12.2103072931308</v>
      </c>
      <c r="T23">
        <v>0.230958969829027</v>
      </c>
      <c r="V23">
        <v>0.57416784838909496</v>
      </c>
      <c r="W23">
        <v>2.5438140194017599E-2</v>
      </c>
      <c r="X23">
        <v>0.11305840086230901</v>
      </c>
      <c r="AA23">
        <v>0.74430113901015704</v>
      </c>
      <c r="AB23">
        <v>3.3446443588430901</v>
      </c>
      <c r="AC23">
        <v>4.4186991670348599</v>
      </c>
      <c r="AD23">
        <v>3.7686133620764603E-2</v>
      </c>
      <c r="AE23">
        <v>6.4346046414389999</v>
      </c>
    </row>
    <row r="24" spans="1:31" x14ac:dyDescent="0.2">
      <c r="A24">
        <v>23</v>
      </c>
      <c r="B24">
        <v>754</v>
      </c>
      <c r="C24">
        <v>285</v>
      </c>
      <c r="D24">
        <v>0.28969527332911499</v>
      </c>
      <c r="E24">
        <v>105.686795860448</v>
      </c>
      <c r="F24">
        <v>2.2027888478517799</v>
      </c>
      <c r="G24">
        <v>-1725.3073239946714</v>
      </c>
      <c r="H24">
        <v>-1440.5119524099764</v>
      </c>
      <c r="I24">
        <v>277.26755740124997</v>
      </c>
      <c r="J24">
        <v>143.28141743276501</v>
      </c>
      <c r="K24">
        <v>47.978632161460503</v>
      </c>
      <c r="L24">
        <v>1.5976033634136847E-4</v>
      </c>
      <c r="M24">
        <v>1.7656944255564017E-5</v>
      </c>
      <c r="N24" s="1">
        <v>3.8509753446727199E-6</v>
      </c>
      <c r="O24" s="1">
        <v>1.0455737232161699E-7</v>
      </c>
      <c r="P24" s="1">
        <v>-5.2828921721280903E-7</v>
      </c>
      <c r="Q24">
        <v>71.678455009728296</v>
      </c>
      <c r="R24">
        <v>9.0834431319842798E-2</v>
      </c>
      <c r="S24">
        <v>12.262648228181201</v>
      </c>
      <c r="T24">
        <v>0.232840163803956</v>
      </c>
      <c r="V24">
        <v>0.57582721082426702</v>
      </c>
      <c r="W24">
        <v>2.5547183808704799E-2</v>
      </c>
      <c r="X24">
        <v>0.11354303914981</v>
      </c>
      <c r="AA24">
        <v>0.74749167440285902</v>
      </c>
      <c r="AB24">
        <v>3.3589815748482699</v>
      </c>
      <c r="AC24">
        <v>4.4376404467712502</v>
      </c>
      <c r="AD24">
        <v>3.7847679716596902E-2</v>
      </c>
      <c r="AE24">
        <v>6.4383433574447499</v>
      </c>
    </row>
    <row r="25" spans="1:31" x14ac:dyDescent="0.2">
      <c r="A25">
        <v>24</v>
      </c>
      <c r="B25">
        <v>752</v>
      </c>
      <c r="C25">
        <v>285</v>
      </c>
      <c r="D25">
        <v>0.28817295029995899</v>
      </c>
      <c r="E25">
        <v>105.238272836427</v>
      </c>
      <c r="F25">
        <v>2.2037609439202601</v>
      </c>
      <c r="G25">
        <v>-1717.3131072901986</v>
      </c>
      <c r="H25">
        <v>-1434.5034816489015</v>
      </c>
      <c r="I25">
        <v>275.87145846100202</v>
      </c>
      <c r="J25">
        <v>142.692274053651</v>
      </c>
      <c r="K25">
        <v>47.753942244397599</v>
      </c>
      <c r="L25">
        <v>1.5983859247579681E-4</v>
      </c>
      <c r="M25">
        <v>1.7641238599841896E-5</v>
      </c>
      <c r="N25" s="1">
        <v>3.8458720788381904E-6</v>
      </c>
      <c r="O25" s="1">
        <v>1.03999235005557E-7</v>
      </c>
      <c r="P25" s="1">
        <v>-5.2672766817064004E-7</v>
      </c>
      <c r="Q25">
        <v>71.581319202558603</v>
      </c>
      <c r="R25">
        <v>9.1221565512781405E-2</v>
      </c>
      <c r="S25">
        <v>12.314911344228401</v>
      </c>
      <c r="T25">
        <v>0.2347345594977</v>
      </c>
      <c r="V25">
        <v>0.57746971042872297</v>
      </c>
      <c r="W25">
        <v>2.56560653004686E-2</v>
      </c>
      <c r="X25">
        <v>0.11402695689098501</v>
      </c>
      <c r="AA25">
        <v>0.75067746619891296</v>
      </c>
      <c r="AB25">
        <v>3.3732974746913</v>
      </c>
      <c r="AC25">
        <v>4.4565535651554002</v>
      </c>
      <c r="AD25">
        <v>3.8008985630320402E-2</v>
      </c>
      <c r="AE25">
        <v>6.4421231039062397</v>
      </c>
    </row>
    <row r="26" spans="1:31" x14ac:dyDescent="0.2">
      <c r="A26">
        <v>25</v>
      </c>
      <c r="B26">
        <v>750</v>
      </c>
      <c r="C26">
        <v>285</v>
      </c>
      <c r="D26">
        <v>0.28664467575624197</v>
      </c>
      <c r="E26">
        <v>104.794192013501</v>
      </c>
      <c r="F26">
        <v>2.2047329583128499</v>
      </c>
      <c r="G26">
        <v>-1709.3976995792393</v>
      </c>
      <c r="H26">
        <v>-1428.5549515356677</v>
      </c>
      <c r="I26">
        <v>274.488342905313</v>
      </c>
      <c r="J26">
        <v>142.10897484256799</v>
      </c>
      <c r="K26">
        <v>47.531467073315703</v>
      </c>
      <c r="L26">
        <v>1.5991694526181527E-4</v>
      </c>
      <c r="M26">
        <v>1.762551828715853E-5</v>
      </c>
      <c r="N26" s="1">
        <v>3.8408708754502398E-6</v>
      </c>
      <c r="O26" s="1">
        <v>1.0344687583245799E-7</v>
      </c>
      <c r="P26" s="1">
        <v>-5.2518539637716104E-7</v>
      </c>
      <c r="Q26">
        <v>71.484277870629199</v>
      </c>
      <c r="R26">
        <v>9.1608130331911203E-2</v>
      </c>
      <c r="S26">
        <v>12.367097594811501</v>
      </c>
      <c r="T26">
        <v>0.23664231625860299</v>
      </c>
      <c r="V26">
        <v>0.579095264886758</v>
      </c>
      <c r="W26">
        <v>2.57647866558487E-2</v>
      </c>
      <c r="X26">
        <v>0.114510162914899</v>
      </c>
      <c r="AA26">
        <v>0.75385857252299904</v>
      </c>
      <c r="AB26">
        <v>3.3875923195653499</v>
      </c>
      <c r="AC26">
        <v>4.4754388672565897</v>
      </c>
      <c r="AD26">
        <v>3.8170054304956902E-2</v>
      </c>
      <c r="AE26">
        <v>6.4459440598612501</v>
      </c>
    </row>
    <row r="27" spans="1:31" x14ac:dyDescent="0.2">
      <c r="A27">
        <v>26</v>
      </c>
      <c r="B27">
        <v>748</v>
      </c>
      <c r="C27">
        <v>285</v>
      </c>
      <c r="D27">
        <v>0.28511041472849202</v>
      </c>
      <c r="E27">
        <v>104.35448117733699</v>
      </c>
      <c r="F27">
        <v>2.2057048970216999</v>
      </c>
      <c r="G27">
        <v>-1701.5598300901102</v>
      </c>
      <c r="H27">
        <v>-1422.6653843253316</v>
      </c>
      <c r="I27">
        <v>273.118000063436</v>
      </c>
      <c r="J27">
        <v>141.53142561934399</v>
      </c>
      <c r="K27">
        <v>47.311170827178103</v>
      </c>
      <c r="L27">
        <v>1.5999539688043326E-4</v>
      </c>
      <c r="M27">
        <v>1.760978316055092E-5</v>
      </c>
      <c r="N27" s="1">
        <v>3.8359703434261896E-6</v>
      </c>
      <c r="O27" s="1">
        <v>1.02900203348041E-7</v>
      </c>
      <c r="P27" s="1">
        <v>-5.2366211286185195E-7</v>
      </c>
      <c r="Q27">
        <v>71.387329121591193</v>
      </c>
      <c r="R27">
        <v>9.1994132802847101E-2</v>
      </c>
      <c r="S27">
        <v>12.419207928388399</v>
      </c>
      <c r="T27">
        <v>0.238563595098573</v>
      </c>
      <c r="V27">
        <v>0.58070379006040296</v>
      </c>
      <c r="W27">
        <v>2.5873349850799199E-2</v>
      </c>
      <c r="X27">
        <v>0.11499266600357</v>
      </c>
      <c r="AA27">
        <v>0.75703505119007297</v>
      </c>
      <c r="AB27">
        <v>3.4018663692718198</v>
      </c>
      <c r="AC27">
        <v>4.4942966963053896</v>
      </c>
      <c r="AD27">
        <v>3.8330888667846001E-2</v>
      </c>
      <c r="AE27">
        <v>6.4498064107689697</v>
      </c>
    </row>
    <row r="28" spans="1:31" x14ac:dyDescent="0.2">
      <c r="A28">
        <v>27</v>
      </c>
      <c r="B28">
        <v>746</v>
      </c>
      <c r="C28">
        <v>285</v>
      </c>
      <c r="D28">
        <v>0.28357013197272302</v>
      </c>
      <c r="E28">
        <v>103.919069656066</v>
      </c>
      <c r="F28">
        <v>2.2066767659047102</v>
      </c>
      <c r="G28">
        <v>-1693.7982552218343</v>
      </c>
      <c r="H28">
        <v>-1416.833823147354</v>
      </c>
      <c r="I28">
        <v>271.76022378892202</v>
      </c>
      <c r="J28">
        <v>140.959534230163</v>
      </c>
      <c r="K28">
        <v>47.093018452777301</v>
      </c>
      <c r="L28">
        <v>1.6007394959275742E-4</v>
      </c>
      <c r="M28">
        <v>1.759403306790973E-5</v>
      </c>
      <c r="N28" s="1">
        <v>3.8311691266063399E-6</v>
      </c>
      <c r="O28" s="1">
        <v>1.02359128121936E-7</v>
      </c>
      <c r="P28" s="1">
        <v>-5.2215753540151296E-7</v>
      </c>
      <c r="Q28">
        <v>71.290471064942295</v>
      </c>
      <c r="R28">
        <v>9.2379579915146101E-2</v>
      </c>
      <c r="S28">
        <v>12.4712432885491</v>
      </c>
      <c r="T28">
        <v>0.24049855871196099</v>
      </c>
      <c r="V28">
        <v>0.58229519998605095</v>
      </c>
      <c r="W28">
        <v>2.59817568511331E-2</v>
      </c>
      <c r="X28">
        <v>0.11547447489394499</v>
      </c>
      <c r="AA28">
        <v>0.76020695971836505</v>
      </c>
      <c r="AB28">
        <v>3.4161198822787</v>
      </c>
      <c r="AC28">
        <v>4.5131273937707901</v>
      </c>
      <c r="AD28">
        <v>3.8491491631303297E-2</v>
      </c>
      <c r="AE28">
        <v>6.45371034875114</v>
      </c>
    </row>
    <row r="29" spans="1:31" x14ac:dyDescent="0.2">
      <c r="A29">
        <v>28</v>
      </c>
      <c r="B29">
        <v>744</v>
      </c>
      <c r="C29">
        <v>285</v>
      </c>
      <c r="D29">
        <v>0.28202379196775501</v>
      </c>
      <c r="E29">
        <v>103.487888280973</v>
      </c>
      <c r="F29">
        <v>2.2076485706837499</v>
      </c>
      <c r="G29">
        <v>-1686.1117578504065</v>
      </c>
      <c r="H29">
        <v>-1411.0593314744867</v>
      </c>
      <c r="I29">
        <v>270.41481234421599</v>
      </c>
      <c r="J29">
        <v>140.393210496037</v>
      </c>
      <c r="K29">
        <v>46.8769756451413</v>
      </c>
      <c r="L29">
        <v>1.6015260574051861E-4</v>
      </c>
      <c r="M29">
        <v>1.7578267862017594E-5</v>
      </c>
      <c r="N29" s="1">
        <v>3.8264659030009997E-6</v>
      </c>
      <c r="O29" s="1">
        <v>1.0182356269642699E-7</v>
      </c>
      <c r="P29" s="1">
        <v>-5.2067138835706602E-7</v>
      </c>
      <c r="Q29">
        <v>71.193701812188706</v>
      </c>
      <c r="R29">
        <v>9.2764478621265106E-2</v>
      </c>
      <c r="S29">
        <v>12.5232046138761</v>
      </c>
      <c r="T29">
        <v>0.24244737148662901</v>
      </c>
      <c r="V29">
        <v>0.58386940685534605</v>
      </c>
      <c r="W29">
        <v>2.6090009612228699E-2</v>
      </c>
      <c r="X29">
        <v>0.115955598276596</v>
      </c>
      <c r="AA29">
        <v>0.763374355320797</v>
      </c>
      <c r="AB29">
        <v>3.4303531156820299</v>
      </c>
      <c r="AC29">
        <v>4.53193129930923</v>
      </c>
      <c r="AD29">
        <v>3.86518660921846E-2</v>
      </c>
      <c r="AE29">
        <v>6.4576560726787697</v>
      </c>
    </row>
    <row r="30" spans="1:31" x14ac:dyDescent="0.2">
      <c r="A30">
        <v>29</v>
      </c>
      <c r="B30">
        <v>742</v>
      </c>
      <c r="C30">
        <v>285</v>
      </c>
      <c r="D30">
        <v>0.28047135891247499</v>
      </c>
      <c r="E30">
        <v>103.060869343826</v>
      </c>
      <c r="F30">
        <v>2.2086203169371901</v>
      </c>
      <c r="G30">
        <v>-1678.4991465822548</v>
      </c>
      <c r="H30">
        <v>-1405.3409925432591</v>
      </c>
      <c r="I30">
        <v>269.08156827955997</v>
      </c>
      <c r="J30">
        <v>139.83236615756701</v>
      </c>
      <c r="K30">
        <v>46.663008826589902</v>
      </c>
      <c r="L30">
        <v>1.6023136775395258E-4</v>
      </c>
      <c r="M30">
        <v>1.7562487400988309E-5</v>
      </c>
      <c r="N30" s="1">
        <v>3.8218593841013702E-6</v>
      </c>
      <c r="O30" s="1">
        <v>1.01293421537454E-7</v>
      </c>
      <c r="P30" s="1">
        <v>-5.1920340253159999E-7</v>
      </c>
      <c r="Q30">
        <v>71.097019475660403</v>
      </c>
      <c r="R30">
        <v>9.3148835839655303E-2</v>
      </c>
      <c r="S30">
        <v>12.575092838359399</v>
      </c>
      <c r="T30">
        <v>0.244410199527371</v>
      </c>
      <c r="V30">
        <v>0.58542632102130698</v>
      </c>
      <c r="W30">
        <v>2.6198110079900801E-2</v>
      </c>
      <c r="X30">
        <v>0.116436044799585</v>
      </c>
      <c r="AA30">
        <v>0.76653729493046296</v>
      </c>
      <c r="AB30">
        <v>3.4445663253204</v>
      </c>
      <c r="AC30">
        <v>4.5507087509159501</v>
      </c>
      <c r="AD30">
        <v>3.8812014933179602E-2</v>
      </c>
      <c r="AE30">
        <v>6.4616437886123199</v>
      </c>
    </row>
    <row r="31" spans="1:31" x14ac:dyDescent="0.2">
      <c r="A31">
        <v>30</v>
      </c>
      <c r="B31">
        <v>740</v>
      </c>
      <c r="C31">
        <v>285</v>
      </c>
      <c r="D31">
        <v>0.27891279672309399</v>
      </c>
      <c r="E31">
        <v>102.63794655914</v>
      </c>
      <c r="F31">
        <v>2.2095920101033002</v>
      </c>
      <c r="G31">
        <v>-1670.959255088369</v>
      </c>
      <c r="H31">
        <v>-1399.6779088439212</v>
      </c>
      <c r="I31">
        <v>267.76029832151897</v>
      </c>
      <c r="J31">
        <v>139.27691482532001</v>
      </c>
      <c r="K31">
        <v>46.451085127856899</v>
      </c>
      <c r="L31">
        <v>1.6031023815006549E-4</v>
      </c>
      <c r="M31">
        <v>1.7546691548101567E-5</v>
      </c>
      <c r="N31" s="1">
        <v>3.8173483140545798E-6</v>
      </c>
      <c r="O31" s="1">
        <v>1.00768620983375E-7</v>
      </c>
      <c r="P31" s="1">
        <v>-5.1775331499952301E-7</v>
      </c>
      <c r="Q31">
        <v>71.000422168599201</v>
      </c>
      <c r="R31">
        <v>9.35326584546258E-2</v>
      </c>
      <c r="S31">
        <v>12.6269088913809</v>
      </c>
      <c r="T31">
        <v>0.24638721066970601</v>
      </c>
      <c r="V31">
        <v>0.58696585098422804</v>
      </c>
      <c r="W31">
        <v>2.6306060190361E-2</v>
      </c>
      <c r="X31">
        <v>0.11691582306830001</v>
      </c>
      <c r="AA31">
        <v>0.76969583519948903</v>
      </c>
      <c r="AB31">
        <v>3.4587597657698099</v>
      </c>
      <c r="AC31">
        <v>4.5694600849181102</v>
      </c>
      <c r="AD31">
        <v>3.8971941022749701E-2</v>
      </c>
      <c r="AE31">
        <v>6.4656737097424202</v>
      </c>
    </row>
    <row r="32" spans="1:31" x14ac:dyDescent="0.2">
      <c r="A32">
        <v>31</v>
      </c>
      <c r="B32">
        <v>738</v>
      </c>
      <c r="C32">
        <v>285</v>
      </c>
      <c r="D32">
        <v>0.277348069030313</v>
      </c>
      <c r="E32">
        <v>102.219055026581</v>
      </c>
      <c r="F32">
        <v>2.2105636554706698</v>
      </c>
      <c r="G32">
        <v>-1663.490941444478</v>
      </c>
      <c r="H32">
        <v>-1394.069201610901</v>
      </c>
      <c r="I32">
        <v>266.45081326566401</v>
      </c>
      <c r="J32">
        <v>138.726771931103</v>
      </c>
      <c r="K32">
        <v>46.241172369594899</v>
      </c>
      <c r="L32">
        <v>1.6038921953974268E-4</v>
      </c>
      <c r="M32">
        <v>1.7530880172259011E-5</v>
      </c>
      <c r="N32" s="1">
        <v>3.8129314691194101E-6</v>
      </c>
      <c r="O32" s="1">
        <v>1.00249079201556E-7</v>
      </c>
      <c r="P32" s="1">
        <v>-5.1632086898388301E-7</v>
      </c>
      <c r="Q32">
        <v>70.903908004522506</v>
      </c>
      <c r="R32">
        <v>9.39159533171567E-2</v>
      </c>
      <c r="S32">
        <v>12.678653697823</v>
      </c>
      <c r="T32">
        <v>0.24837857449633</v>
      </c>
      <c r="V32">
        <v>0.58848790338415902</v>
      </c>
      <c r="W32">
        <v>2.64138618704477E-2</v>
      </c>
      <c r="X32">
        <v>0.117394941646465</v>
      </c>
      <c r="AA32">
        <v>0.77285003250572903</v>
      </c>
      <c r="AB32">
        <v>3.4729336903738002</v>
      </c>
      <c r="AC32">
        <v>4.5881856360146296</v>
      </c>
      <c r="AD32">
        <v>3.9131647215470203E-2</v>
      </c>
      <c r="AE32">
        <v>6.4697460568301697</v>
      </c>
    </row>
    <row r="33" spans="1:31" x14ac:dyDescent="0.2">
      <c r="A33">
        <v>32</v>
      </c>
      <c r="B33">
        <v>736</v>
      </c>
      <c r="C33">
        <v>285</v>
      </c>
      <c r="D33">
        <v>0.27577713917653601</v>
      </c>
      <c r="E33">
        <v>35.459172726939201</v>
      </c>
      <c r="F33">
        <v>2.2162780607793899</v>
      </c>
      <c r="G33">
        <v>-577.03964775646659</v>
      </c>
      <c r="H33">
        <v>-484.08334918527822</v>
      </c>
      <c r="I33">
        <v>92.113460408451104</v>
      </c>
      <c r="J33">
        <v>48.1848497054756</v>
      </c>
      <c r="K33">
        <v>15.9994241491833</v>
      </c>
      <c r="L33">
        <v>1.5974217527453243E-4</v>
      </c>
      <c r="M33">
        <v>1.750320713042833E-5</v>
      </c>
      <c r="N33" s="1">
        <v>1.3155267075408099E-6</v>
      </c>
      <c r="O33" s="1">
        <v>3.4460610673968203E-8</v>
      </c>
      <c r="P33" s="1">
        <v>-1.76410069986083E-7</v>
      </c>
      <c r="Q33">
        <v>70.340926629316698</v>
      </c>
      <c r="R33">
        <v>0.143905799343758</v>
      </c>
      <c r="S33">
        <v>13.3482089904783</v>
      </c>
      <c r="T33">
        <v>0.239570049434049</v>
      </c>
      <c r="V33">
        <v>0.57587055663084896</v>
      </c>
      <c r="W33">
        <v>7.6143908398287205E-2</v>
      </c>
      <c r="X33">
        <v>0.13668350894977399</v>
      </c>
      <c r="AA33">
        <v>0.74298250317028802</v>
      </c>
      <c r="AB33">
        <v>3.2391678397252601</v>
      </c>
      <c r="AC33">
        <v>4.62375538080975</v>
      </c>
      <c r="AD33">
        <v>0.11280579021958</v>
      </c>
      <c r="AE33">
        <v>6.4199790435233002</v>
      </c>
    </row>
    <row r="34" spans="1:31" x14ac:dyDescent="0.2">
      <c r="A34">
        <v>33</v>
      </c>
      <c r="B34">
        <v>734</v>
      </c>
      <c r="C34">
        <v>285</v>
      </c>
      <c r="D34">
        <v>0.27419997021297599</v>
      </c>
      <c r="E34">
        <v>21.850147591353799</v>
      </c>
      <c r="F34">
        <v>2.2213043667452901</v>
      </c>
      <c r="G34">
        <v>-355.58985128855778</v>
      </c>
      <c r="H34">
        <v>-298.61964397688428</v>
      </c>
      <c r="I34">
        <v>56.565762112568798</v>
      </c>
      <c r="J34">
        <v>29.727143714915599</v>
      </c>
      <c r="K34">
        <v>9.8366292879391501</v>
      </c>
      <c r="L34">
        <v>1.5910343013217053E-4</v>
      </c>
      <c r="M34">
        <v>1.7482933465471427E-5</v>
      </c>
      <c r="N34" s="1">
        <v>8.0735758506997199E-7</v>
      </c>
      <c r="O34" s="1">
        <v>2.1069308669870399E-8</v>
      </c>
      <c r="P34" s="1">
        <v>-1.07226695628357E-7</v>
      </c>
      <c r="Q34">
        <v>69.817815708428697</v>
      </c>
      <c r="R34">
        <v>0.13932698151123801</v>
      </c>
      <c r="S34">
        <v>14.013847495688101</v>
      </c>
      <c r="T34">
        <v>0.23175439471145601</v>
      </c>
      <c r="V34">
        <v>0.56482629196661105</v>
      </c>
      <c r="W34">
        <v>0.12255546668285899</v>
      </c>
      <c r="X34">
        <v>0.13391647199500401</v>
      </c>
      <c r="AA34">
        <v>0.76029022648769296</v>
      </c>
      <c r="AB34">
        <v>2.9871625976916301</v>
      </c>
      <c r="AC34">
        <v>4.6660540678033797</v>
      </c>
      <c r="AD34">
        <v>0.183065124996069</v>
      </c>
      <c r="AE34">
        <v>6.3793851720370798</v>
      </c>
    </row>
    <row r="35" spans="1:31" x14ac:dyDescent="0.2">
      <c r="A35">
        <v>34</v>
      </c>
      <c r="B35">
        <v>732</v>
      </c>
      <c r="C35">
        <v>285</v>
      </c>
      <c r="D35">
        <v>0.27261652489678301</v>
      </c>
      <c r="E35">
        <v>16.848208992457899</v>
      </c>
      <c r="F35">
        <v>2.2253042456741299</v>
      </c>
      <c r="G35">
        <v>-274.19202947604515</v>
      </c>
      <c r="H35">
        <v>-230.47305882605284</v>
      </c>
      <c r="I35">
        <v>43.494971546527601</v>
      </c>
      <c r="J35">
        <v>22.944810000900301</v>
      </c>
      <c r="K35">
        <v>7.5711934784692501</v>
      </c>
      <c r="L35">
        <v>1.5866654790349882E-4</v>
      </c>
      <c r="M35">
        <v>1.7468535967265425E-5</v>
      </c>
      <c r="N35" s="1">
        <v>6.2128581809796497E-7</v>
      </c>
      <c r="O35" s="1">
        <v>1.6150940942276499E-8</v>
      </c>
      <c r="P35" s="1">
        <v>-8.1853294537466803E-8</v>
      </c>
      <c r="Q35">
        <v>69.398594665254194</v>
      </c>
      <c r="R35">
        <v>0.13916064769627501</v>
      </c>
      <c r="S35">
        <v>14.534931460064399</v>
      </c>
      <c r="T35">
        <v>0.224288628067392</v>
      </c>
      <c r="V35">
        <v>0.55179349187995397</v>
      </c>
      <c r="W35">
        <v>0.15810144888937</v>
      </c>
      <c r="X35">
        <v>0.13226492285642399</v>
      </c>
      <c r="AA35">
        <v>0.78083257488325897</v>
      </c>
      <c r="AB35">
        <v>2.7977917442964402</v>
      </c>
      <c r="AC35">
        <v>4.69280474349</v>
      </c>
      <c r="AD35">
        <v>0.23741395906138699</v>
      </c>
      <c r="AE35">
        <v>6.3520217135607098</v>
      </c>
    </row>
    <row r="36" spans="1:31" x14ac:dyDescent="0.2">
      <c r="A36">
        <v>35</v>
      </c>
      <c r="B36">
        <v>730</v>
      </c>
      <c r="C36">
        <v>285</v>
      </c>
      <c r="D36">
        <v>0.27102676568808798</v>
      </c>
      <c r="E36">
        <v>14.095866018071501</v>
      </c>
      <c r="F36">
        <v>2.2287172529840702</v>
      </c>
      <c r="G36">
        <v>-229.3995229758421</v>
      </c>
      <c r="H36">
        <v>-192.98263431127049</v>
      </c>
      <c r="I36">
        <v>36.302535677188402</v>
      </c>
      <c r="J36">
        <v>19.214136311734599</v>
      </c>
      <c r="K36">
        <v>6.3246542374086596</v>
      </c>
      <c r="L36">
        <v>1.583711211969459E-4</v>
      </c>
      <c r="M36">
        <v>1.7460282269313523E-5</v>
      </c>
      <c r="N36" s="1">
        <v>5.1948333622801499E-7</v>
      </c>
      <c r="O36" s="1">
        <v>1.3451469174221201E-8</v>
      </c>
      <c r="P36" s="1">
        <v>-6.7951523103160701E-8</v>
      </c>
      <c r="Q36">
        <v>69.030518656699897</v>
      </c>
      <c r="R36">
        <v>0.138604764005411</v>
      </c>
      <c r="S36">
        <v>14.982434115493099</v>
      </c>
      <c r="T36">
        <v>0.21798845205468101</v>
      </c>
      <c r="V36">
        <v>0.54015101687701705</v>
      </c>
      <c r="W36">
        <v>0.18812696531579601</v>
      </c>
      <c r="X36">
        <v>0.130589789401692</v>
      </c>
      <c r="AA36">
        <v>0.80153438141060696</v>
      </c>
      <c r="AB36">
        <v>2.6439364928660201</v>
      </c>
      <c r="AC36">
        <v>4.7085579696186599</v>
      </c>
      <c r="AD36">
        <v>0.28377114218201999</v>
      </c>
      <c r="AE36">
        <v>6.3337862540749796</v>
      </c>
    </row>
    <row r="37" spans="1:31" x14ac:dyDescent="0.2">
      <c r="A37">
        <v>36</v>
      </c>
      <c r="B37">
        <v>728</v>
      </c>
      <c r="C37">
        <v>285</v>
      </c>
      <c r="D37">
        <v>0.26943065474704297</v>
      </c>
      <c r="E37">
        <v>12.305960892137</v>
      </c>
      <c r="F37">
        <v>2.2317450005131199</v>
      </c>
      <c r="G37">
        <v>-200.26842496267781</v>
      </c>
      <c r="H37">
        <v>-168.60665661373167</v>
      </c>
      <c r="I37">
        <v>31.625399139935201</v>
      </c>
      <c r="J37">
        <v>16.788919918543201</v>
      </c>
      <c r="K37">
        <v>5.5140533032706198</v>
      </c>
      <c r="L37">
        <v>1.5817119335751384E-4</v>
      </c>
      <c r="M37">
        <v>1.7456368801361575E-5</v>
      </c>
      <c r="N37" s="1">
        <v>4.5368392418930002E-7</v>
      </c>
      <c r="O37" s="1">
        <v>1.1700989206933501E-8</v>
      </c>
      <c r="P37" s="1">
        <v>-5.8953649976666599E-8</v>
      </c>
      <c r="Q37">
        <v>68.695172454938003</v>
      </c>
      <c r="R37">
        <v>0.137783693741031</v>
      </c>
      <c r="S37">
        <v>15.3825541284273</v>
      </c>
      <c r="T37">
        <v>0.212460233950727</v>
      </c>
      <c r="V37">
        <v>0.52946943389648504</v>
      </c>
      <c r="W37">
        <v>0.21463220961150301</v>
      </c>
      <c r="X37">
        <v>0.12890027484407601</v>
      </c>
      <c r="AA37">
        <v>0.82202542819150404</v>
      </c>
      <c r="AB37">
        <v>2.5134821787464898</v>
      </c>
      <c r="AC37">
        <v>4.7167880865145904</v>
      </c>
      <c r="AD37">
        <v>0.32504572662405001</v>
      </c>
      <c r="AE37">
        <v>6.3216861505141297</v>
      </c>
    </row>
    <row r="38" spans="1:31" x14ac:dyDescent="0.2">
      <c r="A38">
        <v>37</v>
      </c>
      <c r="B38">
        <v>726</v>
      </c>
      <c r="C38">
        <v>285</v>
      </c>
      <c r="D38">
        <v>0.26782815393083897</v>
      </c>
      <c r="E38">
        <v>11.026758916042199</v>
      </c>
      <c r="F38">
        <v>2.2344966163414601</v>
      </c>
      <c r="G38">
        <v>-179.44806785006946</v>
      </c>
      <c r="H38">
        <v>-151.18902575699116</v>
      </c>
      <c r="I38">
        <v>28.283082713384601</v>
      </c>
      <c r="J38">
        <v>15.0563383503177</v>
      </c>
      <c r="K38">
        <v>4.9347843426571298</v>
      </c>
      <c r="L38">
        <v>1.5804090807143231E-4</v>
      </c>
      <c r="M38">
        <v>1.7455700580564886E-5</v>
      </c>
      <c r="N38" s="1">
        <v>4.06955869802968E-7</v>
      </c>
      <c r="O38" s="1">
        <v>1.0453760475192999E-8</v>
      </c>
      <c r="P38" s="1">
        <v>-5.2554947212102697E-8</v>
      </c>
      <c r="Q38">
        <v>68.382970780463907</v>
      </c>
      <c r="R38">
        <v>0.136771382438585</v>
      </c>
      <c r="S38">
        <v>15.7489732620854</v>
      </c>
      <c r="T38">
        <v>0.20749066344016401</v>
      </c>
      <c r="V38">
        <v>0.51950537915268002</v>
      </c>
      <c r="W38">
        <v>0.23865854225758401</v>
      </c>
      <c r="X38">
        <v>0.12720140318765799</v>
      </c>
      <c r="AA38">
        <v>0.84228497611083597</v>
      </c>
      <c r="AB38">
        <v>2.3998269316253702</v>
      </c>
      <c r="AC38">
        <v>4.7195089580335097</v>
      </c>
      <c r="AD38">
        <v>0.36275391803226698</v>
      </c>
      <c r="AE38">
        <v>6.3140538031719098</v>
      </c>
    </row>
    <row r="39" spans="1:31" x14ac:dyDescent="0.2">
      <c r="A39">
        <v>38</v>
      </c>
      <c r="B39">
        <v>760</v>
      </c>
      <c r="C39">
        <v>270</v>
      </c>
      <c r="D39">
        <v>0.31019745438706797</v>
      </c>
      <c r="E39">
        <v>106.51749672173599</v>
      </c>
      <c r="F39">
        <v>2.2004922275404102</v>
      </c>
      <c r="G39">
        <v>-1740.2543897769408</v>
      </c>
      <c r="H39">
        <v>-1452.241875805825</v>
      </c>
      <c r="I39">
        <v>278.77124712879601</v>
      </c>
      <c r="J39">
        <v>144.16252903239999</v>
      </c>
      <c r="K39">
        <v>48.406213568314101</v>
      </c>
      <c r="L39">
        <v>1.5718873534995218E-4</v>
      </c>
      <c r="M39">
        <v>1.7697464562227503E-5</v>
      </c>
      <c r="N39" s="1">
        <v>3.7376208193707199E-6</v>
      </c>
      <c r="O39" s="1">
        <v>1.03760598899372E-7</v>
      </c>
      <c r="P39" s="1">
        <v>-5.2282741406368303E-7</v>
      </c>
      <c r="Q39">
        <v>72.072666334404005</v>
      </c>
      <c r="R39">
        <v>9.0126038401735803E-2</v>
      </c>
      <c r="S39">
        <v>12.1670151842347</v>
      </c>
      <c r="T39">
        <v>0.23015107079326999</v>
      </c>
      <c r="V39">
        <v>0.57212223922195604</v>
      </c>
      <c r="W39">
        <v>2.5347948300488001E-2</v>
      </c>
      <c r="X39">
        <v>0.11265754800217</v>
      </c>
      <c r="AA39">
        <v>0.74166219101428199</v>
      </c>
      <c r="AB39">
        <v>3.3327857950641699</v>
      </c>
      <c r="AC39">
        <v>4.40303250108476</v>
      </c>
      <c r="AD39">
        <v>3.7552516000722597E-2</v>
      </c>
      <c r="AE39">
        <v>6.2148806334776303</v>
      </c>
    </row>
    <row r="40" spans="1:31" x14ac:dyDescent="0.2">
      <c r="A40">
        <v>39</v>
      </c>
      <c r="B40">
        <v>758</v>
      </c>
      <c r="C40">
        <v>270</v>
      </c>
      <c r="D40">
        <v>0.30872375503079302</v>
      </c>
      <c r="E40">
        <v>106.361719821178</v>
      </c>
      <c r="F40">
        <v>2.2013172374418701</v>
      </c>
      <c r="G40">
        <v>-1737.1029914918863</v>
      </c>
      <c r="H40">
        <v>-1450.3459572130673</v>
      </c>
      <c r="I40">
        <v>278.09439390856602</v>
      </c>
      <c r="J40">
        <v>143.937932846932</v>
      </c>
      <c r="K40">
        <v>48.317306570851102</v>
      </c>
      <c r="L40">
        <v>1.5712217196257771E-4</v>
      </c>
      <c r="M40">
        <v>1.7679762516149927E-5</v>
      </c>
      <c r="N40" s="1">
        <v>3.7407834406971698E-6</v>
      </c>
      <c r="O40" s="1">
        <v>1.03437578561775E-7</v>
      </c>
      <c r="P40" s="1">
        <v>-5.2199678669189296E-7</v>
      </c>
      <c r="Q40">
        <v>72.0410133891328</v>
      </c>
      <c r="R40">
        <v>9.0258036595686195E-2</v>
      </c>
      <c r="S40">
        <v>12.1848349404184</v>
      </c>
      <c r="T40">
        <v>0.231266581314445</v>
      </c>
      <c r="V40">
        <v>0.57225972495676203</v>
      </c>
      <c r="W40">
        <v>2.5385072792536399E-2</v>
      </c>
      <c r="X40">
        <v>0.11282254574460999</v>
      </c>
      <c r="AA40">
        <v>0.74274842615199699</v>
      </c>
      <c r="AB40">
        <v>3.3376669782779498</v>
      </c>
      <c r="AC40">
        <v>4.4094811628516801</v>
      </c>
      <c r="AD40">
        <v>3.7607515248201301E-2</v>
      </c>
      <c r="AE40">
        <v>6.2146556265148902</v>
      </c>
    </row>
    <row r="41" spans="1:31" x14ac:dyDescent="0.2">
      <c r="A41">
        <v>40</v>
      </c>
      <c r="B41">
        <v>756</v>
      </c>
      <c r="C41">
        <v>270</v>
      </c>
      <c r="D41">
        <v>0.30724432784336703</v>
      </c>
      <c r="E41">
        <v>105.912017324765</v>
      </c>
      <c r="F41">
        <v>2.2022924912260202</v>
      </c>
      <c r="G41">
        <v>-1729.0815829919086</v>
      </c>
      <c r="H41">
        <v>-1444.3211435943883</v>
      </c>
      <c r="I41">
        <v>276.694786374697</v>
      </c>
      <c r="J41">
        <v>143.34719504616001</v>
      </c>
      <c r="K41">
        <v>48.091712498099298</v>
      </c>
      <c r="L41">
        <v>1.5719320261514493E-4</v>
      </c>
      <c r="M41">
        <v>1.766372617773913E-5</v>
      </c>
      <c r="N41" s="1">
        <v>3.7355344826168001E-6</v>
      </c>
      <c r="O41" s="1">
        <v>1.0288099946492501E-7</v>
      </c>
      <c r="P41" s="1">
        <v>-5.2041395353371295E-7</v>
      </c>
      <c r="Q41">
        <v>71.945534591224302</v>
      </c>
      <c r="R41">
        <v>9.0641272279451804E-2</v>
      </c>
      <c r="S41">
        <v>12.2365717577271</v>
      </c>
      <c r="T41">
        <v>0.23313616816202901</v>
      </c>
      <c r="V41">
        <v>0.57389084197363105</v>
      </c>
      <c r="W41">
        <v>2.5492857828595301E-2</v>
      </c>
      <c r="X41">
        <v>0.113301590349318</v>
      </c>
      <c r="AA41">
        <v>0.74590213646631498</v>
      </c>
      <c r="AB41">
        <v>3.35183871450052</v>
      </c>
      <c r="AC41">
        <v>4.42820382281894</v>
      </c>
      <c r="AD41">
        <v>3.7767196783102801E-2</v>
      </c>
      <c r="AE41">
        <v>6.2177190498865897</v>
      </c>
    </row>
    <row r="42" spans="1:31" x14ac:dyDescent="0.2">
      <c r="A42">
        <v>41</v>
      </c>
      <c r="B42">
        <v>754</v>
      </c>
      <c r="C42">
        <v>270</v>
      </c>
      <c r="D42">
        <v>0.30575913936620902</v>
      </c>
      <c r="E42">
        <v>105.466771234082</v>
      </c>
      <c r="F42">
        <v>2.2032678584947099</v>
      </c>
      <c r="G42">
        <v>-1721.1392312825747</v>
      </c>
      <c r="H42">
        <v>-1438.3564887290734</v>
      </c>
      <c r="I42">
        <v>275.30812690795</v>
      </c>
      <c r="J42">
        <v>142.76230169866199</v>
      </c>
      <c r="K42">
        <v>47.868338308233803</v>
      </c>
      <c r="L42">
        <v>1.5726418610733097E-4</v>
      </c>
      <c r="M42">
        <v>1.7647667299834942E-5</v>
      </c>
      <c r="N42" s="1">
        <v>3.7303802244873101E-6</v>
      </c>
      <c r="O42" s="1">
        <v>1.02330060351439E-7</v>
      </c>
      <c r="P42" s="1">
        <v>-5.1884963641386196E-7</v>
      </c>
      <c r="Q42">
        <v>71.850163152503697</v>
      </c>
      <c r="R42">
        <v>9.1023929979736795E-2</v>
      </c>
      <c r="S42">
        <v>12.2882305472664</v>
      </c>
      <c r="T42">
        <v>0.23501880372115999</v>
      </c>
      <c r="V42">
        <v>0.57550522046725605</v>
      </c>
      <c r="W42">
        <v>2.5600480306800202E-2</v>
      </c>
      <c r="X42">
        <v>0.113779912474676</v>
      </c>
      <c r="AA42">
        <v>0.74905109045824003</v>
      </c>
      <c r="AB42">
        <v>3.36598907737562</v>
      </c>
      <c r="AC42">
        <v>4.4468982458848796</v>
      </c>
      <c r="AD42">
        <v>3.7926637491553498E-2</v>
      </c>
      <c r="AE42">
        <v>6.22081290206983</v>
      </c>
    </row>
    <row r="43" spans="1:31" x14ac:dyDescent="0.2">
      <c r="A43">
        <v>42</v>
      </c>
      <c r="B43">
        <v>752</v>
      </c>
      <c r="C43">
        <v>270</v>
      </c>
      <c r="D43">
        <v>0.30426815587962902</v>
      </c>
      <c r="E43">
        <v>105.02590951714799</v>
      </c>
      <c r="F43">
        <v>2.2042433488504898</v>
      </c>
      <c r="G43">
        <v>-1713.2746675720657</v>
      </c>
      <c r="H43">
        <v>-1432.4510173297767</v>
      </c>
      <c r="I43">
        <v>273.93420498686902</v>
      </c>
      <c r="J43">
        <v>142.18315878787399</v>
      </c>
      <c r="K43">
        <v>47.647148202542702</v>
      </c>
      <c r="L43">
        <v>1.5733512149880804E-4</v>
      </c>
      <c r="M43">
        <v>1.7631585549383579E-5</v>
      </c>
      <c r="N43" s="1">
        <v>3.7253192213911699E-6</v>
      </c>
      <c r="O43" s="1">
        <v>1.0178466974409799E-7</v>
      </c>
      <c r="P43" s="1">
        <v>-5.17303538729634E-7</v>
      </c>
      <c r="Q43">
        <v>71.754897486425804</v>
      </c>
      <c r="R43">
        <v>9.1406016326215395E-2</v>
      </c>
      <c r="S43">
        <v>12.3398122040415</v>
      </c>
      <c r="T43">
        <v>0.236914644320812</v>
      </c>
      <c r="V43">
        <v>0.57710277709028301</v>
      </c>
      <c r="W43">
        <v>2.57079420917471E-2</v>
      </c>
      <c r="X43">
        <v>0.11425752040777599</v>
      </c>
      <c r="AA43">
        <v>0.75219534268446697</v>
      </c>
      <c r="AB43">
        <v>3.38011831206309</v>
      </c>
      <c r="AC43">
        <v>4.4655647559367502</v>
      </c>
      <c r="AD43">
        <v>3.8085840135918703E-2</v>
      </c>
      <c r="AE43">
        <v>6.2239371584755698</v>
      </c>
    </row>
    <row r="44" spans="1:31" x14ac:dyDescent="0.2">
      <c r="A44">
        <v>43</v>
      </c>
      <c r="B44">
        <v>750</v>
      </c>
      <c r="C44">
        <v>270</v>
      </c>
      <c r="D44">
        <v>0.302771343400284</v>
      </c>
      <c r="E44">
        <v>104.58936168551</v>
      </c>
      <c r="F44">
        <v>2.2052189718533799</v>
      </c>
      <c r="G44">
        <v>-1705.4866502497819</v>
      </c>
      <c r="H44">
        <v>-1426.6037750099485</v>
      </c>
      <c r="I44">
        <v>272.57281458225401</v>
      </c>
      <c r="J44">
        <v>141.60967431711299</v>
      </c>
      <c r="K44">
        <v>47.4281071496533</v>
      </c>
      <c r="L44">
        <v>1.5740600784626023E-4</v>
      </c>
      <c r="M44">
        <v>1.7615480593707395E-5</v>
      </c>
      <c r="N44" s="1">
        <v>3.72035005978867E-6</v>
      </c>
      <c r="O44" s="1">
        <v>1.01244738124422E-7</v>
      </c>
      <c r="P44" s="1">
        <v>-5.1577537024266204E-7</v>
      </c>
      <c r="Q44">
        <v>71.659736016071093</v>
      </c>
      <c r="R44">
        <v>9.1787537903389602E-2</v>
      </c>
      <c r="S44">
        <v>12.3913176169608</v>
      </c>
      <c r="T44">
        <v>0.238823847891072</v>
      </c>
      <c r="V44">
        <v>0.57868342666388295</v>
      </c>
      <c r="W44">
        <v>2.5815245035327099E-2</v>
      </c>
      <c r="X44">
        <v>0.114734422379246</v>
      </c>
      <c r="AA44">
        <v>0.75533494732995898</v>
      </c>
      <c r="AB44">
        <v>3.39422666205233</v>
      </c>
      <c r="AC44">
        <v>4.4842036746548803</v>
      </c>
      <c r="AD44">
        <v>3.8244807459739898E-2</v>
      </c>
      <c r="AE44">
        <v>6.2270917955981604</v>
      </c>
    </row>
    <row r="45" spans="1:31" x14ac:dyDescent="0.2">
      <c r="A45">
        <v>44</v>
      </c>
      <c r="B45">
        <v>748</v>
      </c>
      <c r="C45">
        <v>270</v>
      </c>
      <c r="D45">
        <v>0.301268667678598</v>
      </c>
      <c r="E45">
        <v>104.15705875407301</v>
      </c>
      <c r="F45">
        <v>2.2061947370221699</v>
      </c>
      <c r="G45">
        <v>-1697.7739641777423</v>
      </c>
      <c r="H45">
        <v>-1420.8138277404144</v>
      </c>
      <c r="I45">
        <v>271.22375403939401</v>
      </c>
      <c r="J45">
        <v>141.04175825690501</v>
      </c>
      <c r="K45">
        <v>47.211180865502598</v>
      </c>
      <c r="L45">
        <v>1.5747684420208533E-4</v>
      </c>
      <c r="M45">
        <v>1.759935210042517E-5</v>
      </c>
      <c r="N45" s="1">
        <v>3.71547135668511E-6</v>
      </c>
      <c r="O45" s="1">
        <v>1.0071017788054E-7</v>
      </c>
      <c r="P45" s="1">
        <v>-5.1426484690742201E-7</v>
      </c>
      <c r="Q45">
        <v>71.564677174283801</v>
      </c>
      <c r="R45">
        <v>9.2168501250278201E-2</v>
      </c>
      <c r="S45">
        <v>12.4427476687913</v>
      </c>
      <c r="T45">
        <v>0.24074657397579499</v>
      </c>
      <c r="V45">
        <v>0.58024708216410703</v>
      </c>
      <c r="W45">
        <v>2.5922390976639301E-2</v>
      </c>
      <c r="X45">
        <v>0.11521062656285801</v>
      </c>
      <c r="AA45">
        <v>0.75846995820539298</v>
      </c>
      <c r="AB45">
        <v>3.4083143691507898</v>
      </c>
      <c r="AC45">
        <v>4.5028153214976196</v>
      </c>
      <c r="AD45">
        <v>3.8403542187609302E-2</v>
      </c>
      <c r="AE45">
        <v>6.2302767909537602</v>
      </c>
    </row>
    <row r="46" spans="1:31" x14ac:dyDescent="0.2">
      <c r="A46">
        <v>45</v>
      </c>
      <c r="B46">
        <v>746</v>
      </c>
      <c r="C46">
        <v>270</v>
      </c>
      <c r="D46">
        <v>0.29976009419614502</v>
      </c>
      <c r="E46">
        <v>103.728933200916</v>
      </c>
      <c r="F46">
        <v>2.2071706538318798</v>
      </c>
      <c r="G46">
        <v>-1690.1354199841048</v>
      </c>
      <c r="H46">
        <v>-1415.0802613049457</v>
      </c>
      <c r="I46">
        <v>269.88682596198697</v>
      </c>
      <c r="J46">
        <v>140.47932249261501</v>
      </c>
      <c r="K46">
        <v>46.996335793442803</v>
      </c>
      <c r="L46">
        <v>1.5754762961653552E-4</v>
      </c>
      <c r="M46">
        <v>1.7583199737593016E-5</v>
      </c>
      <c r="N46" s="1">
        <v>3.7106817588829599E-6</v>
      </c>
      <c r="O46" s="1">
        <v>1.0018090325812601E-7</v>
      </c>
      <c r="P46" s="1">
        <v>-5.1277169071752404E-7</v>
      </c>
      <c r="Q46">
        <v>71.469719403357203</v>
      </c>
      <c r="R46">
        <v>9.2548912861232596E-2</v>
      </c>
      <c r="S46">
        <v>12.494103236270901</v>
      </c>
      <c r="T46">
        <v>0.242682983748196</v>
      </c>
      <c r="V46">
        <v>0.58179365471449995</v>
      </c>
      <c r="W46">
        <v>2.6029381742219901E-2</v>
      </c>
      <c r="X46">
        <v>0.11568614107655301</v>
      </c>
      <c r="AA46">
        <v>0.76160042875386702</v>
      </c>
      <c r="AB46">
        <v>3.4223816735141801</v>
      </c>
      <c r="AC46">
        <v>4.5214000137410499</v>
      </c>
      <c r="AD46">
        <v>3.8562047025505503E-2</v>
      </c>
      <c r="AE46">
        <v>6.23349212319446</v>
      </c>
    </row>
    <row r="47" spans="1:31" x14ac:dyDescent="0.2">
      <c r="A47">
        <v>46</v>
      </c>
      <c r="B47">
        <v>744</v>
      </c>
      <c r="C47">
        <v>270</v>
      </c>
      <c r="D47">
        <v>0.298245588163005</v>
      </c>
      <c r="E47">
        <v>103.304918928283</v>
      </c>
      <c r="F47">
        <v>2.2081467317158801</v>
      </c>
      <c r="G47">
        <v>-1682.5698533765994</v>
      </c>
      <c r="H47">
        <v>-1409.4021807719769</v>
      </c>
      <c r="I47">
        <v>268.56183709838501</v>
      </c>
      <c r="J47">
        <v>139.92228077340201</v>
      </c>
      <c r="K47">
        <v>46.783539084836299</v>
      </c>
      <c r="L47">
        <v>1.5761836313704465E-4</v>
      </c>
      <c r="M47">
        <v>1.7567023173628916E-5</v>
      </c>
      <c r="N47" s="1">
        <v>3.7059799421593299E-6</v>
      </c>
      <c r="O47" s="1">
        <v>9.9656830310367995E-8</v>
      </c>
      <c r="P47" s="1">
        <v>-5.1129562954088698E-7</v>
      </c>
      <c r="Q47">
        <v>71.374861154866295</v>
      </c>
      <c r="R47">
        <v>9.2928779186833801E-2</v>
      </c>
      <c r="S47">
        <v>12.5453851902277</v>
      </c>
      <c r="T47">
        <v>0.24463324002704301</v>
      </c>
      <c r="V47">
        <v>0.58332305357966696</v>
      </c>
      <c r="W47">
        <v>2.6136219146294999E-2</v>
      </c>
      <c r="X47">
        <v>0.116160973983556</v>
      </c>
      <c r="AA47">
        <v>0.76472641205828995</v>
      </c>
      <c r="AB47">
        <v>3.4364288136796302</v>
      </c>
      <c r="AC47">
        <v>4.53995806652296</v>
      </c>
      <c r="AD47">
        <v>3.8720324661171597E-2</v>
      </c>
      <c r="AE47">
        <v>6.2367377720604003</v>
      </c>
    </row>
    <row r="48" spans="1:31" x14ac:dyDescent="0.2">
      <c r="A48">
        <v>47</v>
      </c>
      <c r="B48">
        <v>742</v>
      </c>
      <c r="C48">
        <v>270</v>
      </c>
      <c r="D48">
        <v>0.29672511451509398</v>
      </c>
      <c r="E48">
        <v>102.884951226033</v>
      </c>
      <c r="F48">
        <v>2.2091229800628001</v>
      </c>
      <c r="G48">
        <v>-1675.0761244986454</v>
      </c>
      <c r="H48">
        <v>-1403.7787099998693</v>
      </c>
      <c r="I48">
        <v>267.24859823550798</v>
      </c>
      <c r="J48">
        <v>139.37054866450401</v>
      </c>
      <c r="K48">
        <v>46.572758580922603</v>
      </c>
      <c r="L48">
        <v>1.5768904380975969E-4</v>
      </c>
      <c r="M48">
        <v>1.7550822077442435E-5</v>
      </c>
      <c r="N48" s="1">
        <v>3.7013646105992301E-6</v>
      </c>
      <c r="O48" s="1">
        <v>9.9137876852858705E-8</v>
      </c>
      <c r="P48" s="1">
        <v>-5.0983639697866999E-7</v>
      </c>
      <c r="Q48">
        <v>71.280100889616506</v>
      </c>
      <c r="R48">
        <v>9.3308106633685106E-2</v>
      </c>
      <c r="S48">
        <v>12.596594395553</v>
      </c>
      <c r="T48">
        <v>0.24659750728914001</v>
      </c>
      <c r="V48">
        <v>0.58483518615201602</v>
      </c>
      <c r="W48">
        <v>2.6242904990721801E-2</v>
      </c>
      <c r="X48">
        <v>0.116635133292121</v>
      </c>
      <c r="AA48">
        <v>0.767847960839669</v>
      </c>
      <c r="AB48">
        <v>3.45045602655797</v>
      </c>
      <c r="AC48">
        <v>4.55848979283265</v>
      </c>
      <c r="AD48">
        <v>3.88783777640258E-2</v>
      </c>
      <c r="AE48">
        <v>6.2400137184783402</v>
      </c>
    </row>
    <row r="49" spans="1:31" x14ac:dyDescent="0.2">
      <c r="A49">
        <v>48</v>
      </c>
      <c r="B49">
        <v>740</v>
      </c>
      <c r="C49">
        <v>270</v>
      </c>
      <c r="D49">
        <v>0.295198637911468</v>
      </c>
      <c r="E49">
        <v>102.468966734974</v>
      </c>
      <c r="F49">
        <v>2.21009940821865</v>
      </c>
      <c r="G49">
        <v>-1667.6531172841107</v>
      </c>
      <c r="H49">
        <v>-1398.2089911403591</v>
      </c>
      <c r="I49">
        <v>265.94692409194198</v>
      </c>
      <c r="J49">
        <v>138.82404349926</v>
      </c>
      <c r="K49">
        <v>46.363962794580502</v>
      </c>
      <c r="L49">
        <v>1.5775967067893393E-4</v>
      </c>
      <c r="M49">
        <v>1.7534596118363058E-5</v>
      </c>
      <c r="N49" s="1">
        <v>3.6968344958218102E-6</v>
      </c>
      <c r="O49" s="1">
        <v>9.8623962416584797E-8</v>
      </c>
      <c r="P49" s="1">
        <v>-5.0839373221035502E-7</v>
      </c>
      <c r="Q49">
        <v>71.185437077465707</v>
      </c>
      <c r="R49">
        <v>9.3686901565326997E-2</v>
      </c>
      <c r="S49">
        <v>12.647731711325701</v>
      </c>
      <c r="T49">
        <v>0.248575951685302</v>
      </c>
      <c r="V49">
        <v>0.58632995794516296</v>
      </c>
      <c r="W49">
        <v>2.6349441065245699E-2</v>
      </c>
      <c r="X49">
        <v>0.11710862695667699</v>
      </c>
      <c r="AA49">
        <v>0.77096512746463197</v>
      </c>
      <c r="AB49">
        <v>3.4644635474676102</v>
      </c>
      <c r="AC49">
        <v>4.5769955035554704</v>
      </c>
      <c r="AD49">
        <v>3.9036208985541401E-2</v>
      </c>
      <c r="AE49">
        <v>6.2433199445174203</v>
      </c>
    </row>
    <row r="50" spans="1:31" x14ac:dyDescent="0.2">
      <c r="A50">
        <v>49</v>
      </c>
      <c r="B50">
        <v>738</v>
      </c>
      <c r="C50">
        <v>270</v>
      </c>
      <c r="D50">
        <v>0.29366612273154402</v>
      </c>
      <c r="E50">
        <v>32.751899629525603</v>
      </c>
      <c r="F50">
        <v>2.2171947797397098</v>
      </c>
      <c r="G50">
        <v>-532.89336091378163</v>
      </c>
      <c r="H50">
        <v>-447.36289599830161</v>
      </c>
      <c r="I50">
        <v>84.587316338307701</v>
      </c>
      <c r="J50">
        <v>44.412502459329801</v>
      </c>
      <c r="K50">
        <v>14.7717737425714</v>
      </c>
      <c r="L50">
        <v>1.5643211904591787E-4</v>
      </c>
      <c r="M50">
        <v>1.7457218503445916E-5</v>
      </c>
      <c r="N50" s="1">
        <v>1.16755356128401E-6</v>
      </c>
      <c r="O50" s="1">
        <v>3.1048445807594498E-8</v>
      </c>
      <c r="P50" s="1">
        <v>-1.5883754456384799E-7</v>
      </c>
      <c r="Q50">
        <v>70.592556430569999</v>
      </c>
      <c r="R50">
        <v>0.14851404633360199</v>
      </c>
      <c r="S50">
        <v>13.385315672439599</v>
      </c>
      <c r="T50">
        <v>0.236211539361562</v>
      </c>
      <c r="V50">
        <v>0.56675520733931595</v>
      </c>
      <c r="W50">
        <v>8.2437966363484799E-2</v>
      </c>
      <c r="X50">
        <v>0.14186674868451901</v>
      </c>
      <c r="AA50">
        <v>0.74216385600835499</v>
      </c>
      <c r="AB50">
        <v>3.1354769392283499</v>
      </c>
      <c r="AC50">
        <v>4.6916436125417702</v>
      </c>
      <c r="AD50">
        <v>0.122130320538367</v>
      </c>
      <c r="AE50">
        <v>6.1549276605909196</v>
      </c>
    </row>
    <row r="51" spans="1:31" x14ac:dyDescent="0.2">
      <c r="A51">
        <v>50</v>
      </c>
      <c r="B51">
        <v>736</v>
      </c>
      <c r="C51">
        <v>270</v>
      </c>
      <c r="D51">
        <v>0.29212753307238798</v>
      </c>
      <c r="E51">
        <v>21.1907262625095</v>
      </c>
      <c r="F51">
        <v>2.22202663058534</v>
      </c>
      <c r="G51">
        <v>-344.796258622339</v>
      </c>
      <c r="H51">
        <v>-289.75179632876979</v>
      </c>
      <c r="I51">
        <v>54.545372138501897</v>
      </c>
      <c r="J51">
        <v>28.767906675919299</v>
      </c>
      <c r="K51">
        <v>9.5366661995978106</v>
      </c>
      <c r="L51">
        <v>1.5580448608922977E-4</v>
      </c>
      <c r="M51">
        <v>1.7435338248419062E-5</v>
      </c>
      <c r="N51" s="1">
        <v>7.5241594268364104E-7</v>
      </c>
      <c r="O51" s="1">
        <v>1.9934305251065101E-8</v>
      </c>
      <c r="P51" s="1">
        <v>-1.01399119930068E-7</v>
      </c>
      <c r="Q51">
        <v>70.091207747980903</v>
      </c>
      <c r="R51">
        <v>0.14597267080578899</v>
      </c>
      <c r="S51">
        <v>14.0199922408208</v>
      </c>
      <c r="T51">
        <v>0.22801373855659701</v>
      </c>
      <c r="V51">
        <v>0.55422881546123703</v>
      </c>
      <c r="W51">
        <v>0.126461532326649</v>
      </c>
      <c r="X51">
        <v>0.13958949864306899</v>
      </c>
      <c r="AA51">
        <v>0.76189401801504497</v>
      </c>
      <c r="AB51">
        <v>2.8924434821662102</v>
      </c>
      <c r="AC51">
        <v>4.7349517293328596</v>
      </c>
      <c r="AD51">
        <v>0.188761817336525</v>
      </c>
      <c r="AE51">
        <v>6.1164827085541997</v>
      </c>
    </row>
    <row r="52" spans="1:31" x14ac:dyDescent="0.2">
      <c r="A52">
        <v>51</v>
      </c>
      <c r="B52">
        <v>734</v>
      </c>
      <c r="C52">
        <v>270</v>
      </c>
      <c r="D52">
        <v>0.29058283274586499</v>
      </c>
      <c r="E52">
        <v>16.584589237404501</v>
      </c>
      <c r="F52">
        <v>2.22588398537795</v>
      </c>
      <c r="G52">
        <v>-269.8515714573752</v>
      </c>
      <c r="H52">
        <v>-226.97374836870824</v>
      </c>
      <c r="I52">
        <v>42.573423113406001</v>
      </c>
      <c r="J52">
        <v>22.5367713788246</v>
      </c>
      <c r="K52">
        <v>7.4507877977245602</v>
      </c>
      <c r="L52">
        <v>1.5538986360780219E-4</v>
      </c>
      <c r="M52">
        <v>1.7421504752340119E-5</v>
      </c>
      <c r="N52" s="1">
        <v>5.8779441460246295E-7</v>
      </c>
      <c r="O52" s="1">
        <v>1.55132717808934E-8</v>
      </c>
      <c r="P52" s="1">
        <v>-7.8586614056872204E-8</v>
      </c>
      <c r="Q52">
        <v>69.682632747580797</v>
      </c>
      <c r="R52">
        <v>0.14572875014790801</v>
      </c>
      <c r="S52">
        <v>14.5248757248575</v>
      </c>
      <c r="T52">
        <v>0.220812342463415</v>
      </c>
      <c r="V52">
        <v>0.54157960873241395</v>
      </c>
      <c r="W52">
        <v>0.16074461956856401</v>
      </c>
      <c r="X52">
        <v>0.13793019269510801</v>
      </c>
      <c r="AA52">
        <v>0.78236272365464798</v>
      </c>
      <c r="AB52">
        <v>2.7099271754878602</v>
      </c>
      <c r="AC52">
        <v>4.7607838941647396</v>
      </c>
      <c r="AD52">
        <v>0.24118776429924399</v>
      </c>
      <c r="AE52">
        <v>6.0914344563476801</v>
      </c>
    </row>
    <row r="53" spans="1:31" x14ac:dyDescent="0.2">
      <c r="A53">
        <v>52</v>
      </c>
      <c r="B53">
        <v>732</v>
      </c>
      <c r="C53">
        <v>270</v>
      </c>
      <c r="D53">
        <v>0.28903198527583002</v>
      </c>
      <c r="E53">
        <v>13.9772504689243</v>
      </c>
      <c r="F53">
        <v>2.2291922065009202</v>
      </c>
      <c r="G53">
        <v>-227.42600438307255</v>
      </c>
      <c r="H53">
        <v>-191.44518349135609</v>
      </c>
      <c r="I53">
        <v>35.796469075975097</v>
      </c>
      <c r="J53">
        <v>19.010849134232</v>
      </c>
      <c r="K53">
        <v>6.2700965973965399</v>
      </c>
      <c r="L53">
        <v>1.5510756328577382E-4</v>
      </c>
      <c r="M53">
        <v>1.7413621985291146E-5</v>
      </c>
      <c r="N53" s="1">
        <v>4.9514894991700997E-7</v>
      </c>
      <c r="O53" s="1">
        <v>1.30172415398369E-8</v>
      </c>
      <c r="P53" s="1">
        <v>-6.5729706922017504E-8</v>
      </c>
      <c r="Q53">
        <v>69.322384282702401</v>
      </c>
      <c r="R53">
        <v>0.145091959182159</v>
      </c>
      <c r="S53">
        <v>14.9610427699486</v>
      </c>
      <c r="T53">
        <v>0.214707133283292</v>
      </c>
      <c r="V53">
        <v>0.53025450982729905</v>
      </c>
      <c r="W53">
        <v>0.18988170024418499</v>
      </c>
      <c r="X53">
        <v>0.13624561406749799</v>
      </c>
      <c r="AA53">
        <v>0.80254181764680199</v>
      </c>
      <c r="AB53">
        <v>2.5613030254856199</v>
      </c>
      <c r="AC53">
        <v>4.77567332102499</v>
      </c>
      <c r="AD53">
        <v>0.286179317519135</v>
      </c>
      <c r="AE53">
        <v>6.0746945490678899</v>
      </c>
    </row>
    <row r="54" spans="1:31" x14ac:dyDescent="0.2">
      <c r="A54">
        <v>53</v>
      </c>
      <c r="B54">
        <v>730</v>
      </c>
      <c r="C54">
        <v>270</v>
      </c>
      <c r="D54">
        <v>0.28747495389523398</v>
      </c>
      <c r="E54">
        <v>12.2557819091017</v>
      </c>
      <c r="F54">
        <v>2.2321391670755499</v>
      </c>
      <c r="G54">
        <v>-199.41341200814094</v>
      </c>
      <c r="H54">
        <v>-167.99258837081544</v>
      </c>
      <c r="I54">
        <v>31.322158836988901</v>
      </c>
      <c r="J54">
        <v>16.683743495721998</v>
      </c>
      <c r="K54">
        <v>5.4905993720627304</v>
      </c>
      <c r="L54">
        <v>1.5491368042546674E-4</v>
      </c>
      <c r="M54">
        <v>1.7409830668381128E-5</v>
      </c>
      <c r="N54" s="1">
        <v>4.3435035113143301E-7</v>
      </c>
      <c r="O54" s="1">
        <v>1.13738773891909E-8</v>
      </c>
      <c r="P54" s="1">
        <v>-5.7280263755361803E-8</v>
      </c>
      <c r="Q54">
        <v>68.993543716348498</v>
      </c>
      <c r="R54">
        <v>0.14419215973930699</v>
      </c>
      <c r="S54">
        <v>15.352378336932301</v>
      </c>
      <c r="T54">
        <v>0.209330879396427</v>
      </c>
      <c r="V54">
        <v>0.51984024370225901</v>
      </c>
      <c r="W54">
        <v>0.21569029008489701</v>
      </c>
      <c r="X54">
        <v>0.13454557873089501</v>
      </c>
      <c r="AA54">
        <v>0.82239047298315904</v>
      </c>
      <c r="AB54">
        <v>2.4350346370917899</v>
      </c>
      <c r="AC54">
        <v>4.7831793941359697</v>
      </c>
      <c r="AD54">
        <v>0.32637656492725797</v>
      </c>
      <c r="AE54">
        <v>6.0634977259271396</v>
      </c>
    </row>
    <row r="55" spans="1:31" x14ac:dyDescent="0.2">
      <c r="A55">
        <v>54</v>
      </c>
      <c r="B55">
        <v>728</v>
      </c>
      <c r="C55">
        <v>270</v>
      </c>
      <c r="D55">
        <v>0.28591170154322698</v>
      </c>
      <c r="E55">
        <v>11.0138416032558</v>
      </c>
      <c r="F55">
        <v>2.2348264468646</v>
      </c>
      <c r="G55">
        <v>-179.20286285514635</v>
      </c>
      <c r="H55">
        <v>-151.07619228893569</v>
      </c>
      <c r="I55">
        <v>28.094362049853299</v>
      </c>
      <c r="J55">
        <v>15.005480453410801</v>
      </c>
      <c r="K55">
        <v>4.9282760272986197</v>
      </c>
      <c r="L55">
        <v>1.5478406940379715E-4</v>
      </c>
      <c r="M55">
        <v>1.7409067685844443E-5</v>
      </c>
      <c r="N55" s="1">
        <v>3.9075840906870198E-7</v>
      </c>
      <c r="O55" s="1">
        <v>1.0191721199915399E-8</v>
      </c>
      <c r="P55" s="1">
        <v>-5.1213531596386399E-8</v>
      </c>
      <c r="Q55">
        <v>68.687130823249305</v>
      </c>
      <c r="R55">
        <v>0.14310391327764699</v>
      </c>
      <c r="S55">
        <v>15.7115604393623</v>
      </c>
      <c r="T55">
        <v>0.20448441499394801</v>
      </c>
      <c r="V55">
        <v>0.51010651951830899</v>
      </c>
      <c r="W55">
        <v>0.23913324380565201</v>
      </c>
      <c r="X55">
        <v>0.13283535668195101</v>
      </c>
      <c r="AA55">
        <v>0.84197603318634895</v>
      </c>
      <c r="AB55">
        <v>2.3248575302346102</v>
      </c>
      <c r="AC55">
        <v>4.7853021986351196</v>
      </c>
      <c r="AD55">
        <v>0.363179365027963</v>
      </c>
      <c r="AE55">
        <v>6.0563301620266703</v>
      </c>
    </row>
    <row r="56" spans="1:31" x14ac:dyDescent="0.2">
      <c r="A56">
        <v>55</v>
      </c>
      <c r="B56">
        <v>760</v>
      </c>
      <c r="C56">
        <v>255</v>
      </c>
      <c r="D56">
        <v>0.32616802981174298</v>
      </c>
      <c r="E56">
        <v>106.276129326085</v>
      </c>
      <c r="F56">
        <v>2.2010101698367599</v>
      </c>
      <c r="G56">
        <v>-1735.736457038734</v>
      </c>
      <c r="H56">
        <v>-1449.7964598072576</v>
      </c>
      <c r="I56">
        <v>276.76522986156499</v>
      </c>
      <c r="J56">
        <v>143.61685996688399</v>
      </c>
      <c r="K56">
        <v>48.285160506081397</v>
      </c>
      <c r="L56">
        <v>1.546740616332924E-4</v>
      </c>
      <c r="M56">
        <v>1.7676924495513463E-5</v>
      </c>
      <c r="N56" s="1">
        <v>3.6180266122327298E-6</v>
      </c>
      <c r="O56" s="1">
        <v>1.01459143590106E-7</v>
      </c>
      <c r="P56" s="1">
        <v>-5.1278872513232895E-7</v>
      </c>
      <c r="Q56">
        <v>72.236353061433505</v>
      </c>
      <c r="R56">
        <v>9.0330726766915295E-2</v>
      </c>
      <c r="S56">
        <v>12.1946481135339</v>
      </c>
      <c r="T56">
        <v>0.23234984569577199</v>
      </c>
      <c r="V56">
        <v>0.57191345884363698</v>
      </c>
      <c r="W56">
        <v>2.5405516903194699E-2</v>
      </c>
      <c r="X56">
        <v>0.112913408458645</v>
      </c>
      <c r="AA56">
        <v>0.74334660568607103</v>
      </c>
      <c r="AB56">
        <v>3.3403550002348701</v>
      </c>
      <c r="AC56">
        <v>4.4130323805919698</v>
      </c>
      <c r="AD56">
        <v>3.76378028195474E-2</v>
      </c>
      <c r="AE56">
        <v>6.0017140790318404</v>
      </c>
    </row>
    <row r="57" spans="1:31" x14ac:dyDescent="0.2">
      <c r="A57">
        <v>56</v>
      </c>
      <c r="B57">
        <v>758</v>
      </c>
      <c r="C57">
        <v>255</v>
      </c>
      <c r="D57">
        <v>0.32472530669640698</v>
      </c>
      <c r="E57">
        <v>106.117367389452</v>
      </c>
      <c r="F57">
        <v>2.20183308786868</v>
      </c>
      <c r="G57">
        <v>-1732.5391144748485</v>
      </c>
      <c r="H57">
        <v>-1447.8562945398312</v>
      </c>
      <c r="I57">
        <v>276.08283948505698</v>
      </c>
      <c r="J57">
        <v>143.388827501912</v>
      </c>
      <c r="K57">
        <v>48.195009864335702</v>
      </c>
      <c r="L57">
        <v>1.5460902406994804E-4</v>
      </c>
      <c r="M57">
        <v>1.7659223905059093E-5</v>
      </c>
      <c r="N57" s="1">
        <v>3.62083078690493E-6</v>
      </c>
      <c r="O57" s="1">
        <v>1.01139799602337E-7</v>
      </c>
      <c r="P57" s="1">
        <v>-5.11952063197903E-7</v>
      </c>
      <c r="Q57">
        <v>72.204105845929007</v>
      </c>
      <c r="R57">
        <v>9.0465870348704694E-2</v>
      </c>
      <c r="S57">
        <v>12.212892497076201</v>
      </c>
      <c r="T57">
        <v>0.23348500266272401</v>
      </c>
      <c r="V57">
        <v>0.57206046098916996</v>
      </c>
      <c r="W57">
        <v>2.5443526035572799E-2</v>
      </c>
      <c r="X57">
        <v>0.113082337935883</v>
      </c>
      <c r="AA57">
        <v>0.744458724744543</v>
      </c>
      <c r="AB57">
        <v>3.3453524972697699</v>
      </c>
      <c r="AC57">
        <v>4.4196347076605704</v>
      </c>
      <c r="AD57">
        <v>3.7694112645291697E-2</v>
      </c>
      <c r="AE57">
        <v>6.00132441670244</v>
      </c>
    </row>
    <row r="58" spans="1:31" x14ac:dyDescent="0.2">
      <c r="A58">
        <v>57</v>
      </c>
      <c r="B58">
        <v>756</v>
      </c>
      <c r="C58">
        <v>255</v>
      </c>
      <c r="D58">
        <v>0.32327697614536499</v>
      </c>
      <c r="E58">
        <v>105.67594750111201</v>
      </c>
      <c r="F58">
        <v>2.2028080840881401</v>
      </c>
      <c r="G58">
        <v>-1724.658500301088</v>
      </c>
      <c r="H58">
        <v>-1441.9429878998503</v>
      </c>
      <c r="I58">
        <v>274.70778059683897</v>
      </c>
      <c r="J58">
        <v>142.809037481611</v>
      </c>
      <c r="K58">
        <v>47.973288396958601</v>
      </c>
      <c r="L58">
        <v>1.5467456431443857E-4</v>
      </c>
      <c r="M58">
        <v>1.764295311529155E-5</v>
      </c>
      <c r="N58" s="1">
        <v>3.6157105462058098E-6</v>
      </c>
      <c r="O58" s="1">
        <v>1.00598348492843E-7</v>
      </c>
      <c r="P58" s="1">
        <v>-5.1039913763699499E-7</v>
      </c>
      <c r="Q58">
        <v>72.110432363682605</v>
      </c>
      <c r="R58">
        <v>9.0843756095955602E-2</v>
      </c>
      <c r="S58">
        <v>12.263907072955501</v>
      </c>
      <c r="T58">
        <v>0.23535504536523599</v>
      </c>
      <c r="V58">
        <v>0.57364491316330701</v>
      </c>
      <c r="W58">
        <v>2.55498064019869E-2</v>
      </c>
      <c r="X58">
        <v>0.11355469511994799</v>
      </c>
      <c r="AA58">
        <v>0.747568409539626</v>
      </c>
      <c r="AB58">
        <v>3.3593263972983101</v>
      </c>
      <c r="AC58">
        <v>4.4380960009376897</v>
      </c>
      <c r="AD58">
        <v>3.7851565039979003E-2</v>
      </c>
      <c r="AE58">
        <v>6.0038699743998398</v>
      </c>
    </row>
    <row r="59" spans="1:31" x14ac:dyDescent="0.2">
      <c r="A59">
        <v>58</v>
      </c>
      <c r="B59">
        <v>754</v>
      </c>
      <c r="C59">
        <v>255</v>
      </c>
      <c r="D59">
        <v>0.321823005403299</v>
      </c>
      <c r="E59">
        <v>105.238840769749</v>
      </c>
      <c r="F59">
        <v>2.2037833677664902</v>
      </c>
      <c r="G59">
        <v>-1716.8544288087321</v>
      </c>
      <c r="H59">
        <v>-1436.087921220884</v>
      </c>
      <c r="I59">
        <v>273.34518579355199</v>
      </c>
      <c r="J59">
        <v>142.23488874022399</v>
      </c>
      <c r="K59">
        <v>47.753714048766803</v>
      </c>
      <c r="L59">
        <v>1.5473994513932356E-4</v>
      </c>
      <c r="M59">
        <v>1.7626652930510423E-5</v>
      </c>
      <c r="N59" s="1">
        <v>3.6106755625996702E-6</v>
      </c>
      <c r="O59" s="1">
        <v>1.0006221255656001E-7</v>
      </c>
      <c r="P59" s="1">
        <v>-5.0886340232225996E-7</v>
      </c>
      <c r="Q59">
        <v>72.0168724138031</v>
      </c>
      <c r="R59">
        <v>9.1221073225272106E-2</v>
      </c>
      <c r="S59">
        <v>12.3148448854138</v>
      </c>
      <c r="T59">
        <v>0.237238141761311</v>
      </c>
      <c r="V59">
        <v>0.57521270330430696</v>
      </c>
      <c r="W59">
        <v>2.5655926844607001E-2</v>
      </c>
      <c r="X59">
        <v>0.11402634153159601</v>
      </c>
      <c r="AA59">
        <v>0.75067341508295704</v>
      </c>
      <c r="AB59">
        <v>3.3732792703094701</v>
      </c>
      <c r="AC59">
        <v>4.4565295148594499</v>
      </c>
      <c r="AD59">
        <v>3.8008780510526398E-2</v>
      </c>
      <c r="AE59">
        <v>6.0064375333534903</v>
      </c>
    </row>
    <row r="60" spans="1:31" x14ac:dyDescent="0.2">
      <c r="A60">
        <v>59</v>
      </c>
      <c r="B60">
        <v>752</v>
      </c>
      <c r="C60">
        <v>255</v>
      </c>
      <c r="D60">
        <v>0.3203633614593</v>
      </c>
      <c r="E60">
        <v>104.805978635339</v>
      </c>
      <c r="F60">
        <v>2.2047589510306902</v>
      </c>
      <c r="G60">
        <v>-1709.1256912976103</v>
      </c>
      <c r="H60">
        <v>-1430.2901661945916</v>
      </c>
      <c r="I60">
        <v>271.994854512041</v>
      </c>
      <c r="J60">
        <v>141.66629178293101</v>
      </c>
      <c r="K60">
        <v>47.536252698438403</v>
      </c>
      <c r="L60">
        <v>1.548051633071861E-4</v>
      </c>
      <c r="M60">
        <v>1.7610322885549683E-5</v>
      </c>
      <c r="N60" s="1">
        <v>3.6057244320474598E-6</v>
      </c>
      <c r="O60" s="1">
        <v>9.95313049349637E-8</v>
      </c>
      <c r="P60" s="1">
        <v>-5.0734457034465601E-7</v>
      </c>
      <c r="Q60">
        <v>71.923424656047303</v>
      </c>
      <c r="R60">
        <v>9.1597827957909203E-2</v>
      </c>
      <c r="S60">
        <v>12.3657067743205</v>
      </c>
      <c r="T60">
        <v>0.23913444693326899</v>
      </c>
      <c r="V60">
        <v>0.57676374565535005</v>
      </c>
      <c r="W60">
        <v>2.57618891131609E-2</v>
      </c>
      <c r="X60">
        <v>0.114497284947394</v>
      </c>
      <c r="AA60">
        <v>0.75377379257027799</v>
      </c>
      <c r="AB60">
        <v>3.3872113463600901</v>
      </c>
      <c r="AC60">
        <v>4.4749355533600896</v>
      </c>
      <c r="AD60">
        <v>3.81657616491239E-2</v>
      </c>
      <c r="AE60">
        <v>6.0090269210853897</v>
      </c>
    </row>
    <row r="61" spans="1:31" x14ac:dyDescent="0.2">
      <c r="A61">
        <v>60</v>
      </c>
      <c r="B61">
        <v>750</v>
      </c>
      <c r="C61">
        <v>255</v>
      </c>
      <c r="D61">
        <v>0.31889801104432502</v>
      </c>
      <c r="E61">
        <v>104.37729399216001</v>
      </c>
      <c r="F61">
        <v>2.2057348460222599</v>
      </c>
      <c r="G61">
        <v>-1701.4711046778264</v>
      </c>
      <c r="H61">
        <v>-1424.5488142138367</v>
      </c>
      <c r="I61">
        <v>270.65659039631402</v>
      </c>
      <c r="J61">
        <v>141.10315901224999</v>
      </c>
      <c r="K61">
        <v>47.320870947108602</v>
      </c>
      <c r="L61">
        <v>1.5487021552411902E-4</v>
      </c>
      <c r="M61">
        <v>1.759396251272778E-5</v>
      </c>
      <c r="N61" s="1">
        <v>3.6008557774928098E-6</v>
      </c>
      <c r="O61" s="1">
        <v>9.9005540564105803E-8</v>
      </c>
      <c r="P61" s="1">
        <v>-5.0584236051005796E-7</v>
      </c>
      <c r="Q61">
        <v>71.830087764481505</v>
      </c>
      <c r="R61">
        <v>9.1974026465192704E-2</v>
      </c>
      <c r="S61">
        <v>12.4164935728042</v>
      </c>
      <c r="T61">
        <v>0.24104411752491101</v>
      </c>
      <c r="V61">
        <v>0.57829795262293604</v>
      </c>
      <c r="W61">
        <v>2.58676949433343E-2</v>
      </c>
      <c r="X61">
        <v>0.1149675330815</v>
      </c>
      <c r="AA61">
        <v>0.75686959278646304</v>
      </c>
      <c r="AB61">
        <v>3.4011228536606701</v>
      </c>
      <c r="AC61">
        <v>4.4933144179346298</v>
      </c>
      <c r="AD61">
        <v>3.8322511027158002E-2</v>
      </c>
      <c r="AE61">
        <v>6.0116379626673604</v>
      </c>
    </row>
    <row r="62" spans="1:31" x14ac:dyDescent="0.2">
      <c r="A62">
        <v>61</v>
      </c>
      <c r="B62">
        <v>748</v>
      </c>
      <c r="C62">
        <v>255</v>
      </c>
      <c r="D62">
        <v>0.31742692062870498</v>
      </c>
      <c r="E62">
        <v>103.952721151883</v>
      </c>
      <c r="F62">
        <v>2.2067110649026498</v>
      </c>
      <c r="G62">
        <v>-1693.8895108172787</v>
      </c>
      <c r="H62">
        <v>-1418.8629758737454</v>
      </c>
      <c r="I62">
        <v>269.33020118839801</v>
      </c>
      <c r="J62">
        <v>140.545404679472</v>
      </c>
      <c r="K62">
        <v>47.107536099869698</v>
      </c>
      <c r="L62">
        <v>1.549350984351837E-4</v>
      </c>
      <c r="M62">
        <v>1.7577571341560727E-5</v>
      </c>
      <c r="N62" s="1">
        <v>3.5960682480184799E-6</v>
      </c>
      <c r="O62" s="1">
        <v>9.8484836125155906E-8</v>
      </c>
      <c r="P62" s="1">
        <v>-5.0435649716837696E-7</v>
      </c>
      <c r="Q62">
        <v>71.736860427905199</v>
      </c>
      <c r="R62">
        <v>9.2349674867806E-2</v>
      </c>
      <c r="S62">
        <v>12.4672061071578</v>
      </c>
      <c r="T62">
        <v>0.24296731175209901</v>
      </c>
      <c r="V62">
        <v>0.57981523476100005</v>
      </c>
      <c r="W62">
        <v>2.5973346056569001E-2</v>
      </c>
      <c r="X62">
        <v>0.115437093584768</v>
      </c>
      <c r="AA62">
        <v>0.75996086609963098</v>
      </c>
      <c r="AB62">
        <v>3.4150140185489501</v>
      </c>
      <c r="AC62">
        <v>4.5116664076038999</v>
      </c>
      <c r="AD62">
        <v>3.8479031194912201E-2</v>
      </c>
      <c r="AE62">
        <v>6.0142704804673004</v>
      </c>
    </row>
    <row r="63" spans="1:31" x14ac:dyDescent="0.2">
      <c r="A63">
        <v>62</v>
      </c>
      <c r="B63">
        <v>746</v>
      </c>
      <c r="C63">
        <v>255</v>
      </c>
      <c r="D63">
        <v>0.31595005641956603</v>
      </c>
      <c r="E63">
        <v>103.532195806186</v>
      </c>
      <c r="F63">
        <v>2.2076876198496298</v>
      </c>
      <c r="G63">
        <v>-1686.3797758844014</v>
      </c>
      <c r="H63">
        <v>-1413.2317804648887</v>
      </c>
      <c r="I63">
        <v>268.01549862092202</v>
      </c>
      <c r="J63">
        <v>139.99294483605101</v>
      </c>
      <c r="K63">
        <v>46.896216147299597</v>
      </c>
      <c r="L63">
        <v>1.5499980862671288E-4</v>
      </c>
      <c r="M63">
        <v>1.7561148898951217E-5</v>
      </c>
      <c r="N63" s="1">
        <v>3.5913605181835001E-6</v>
      </c>
      <c r="O63" s="1">
        <v>9.7969110000392994E-8</v>
      </c>
      <c r="P63" s="1">
        <v>-5.0288671007748197E-7</v>
      </c>
      <c r="Q63">
        <v>71.643741349572593</v>
      </c>
      <c r="R63">
        <v>9.2724779236514496E-2</v>
      </c>
      <c r="S63">
        <v>12.5178451969342</v>
      </c>
      <c r="T63">
        <v>0.24490418941747699</v>
      </c>
      <c r="V63">
        <v>0.581315500764226</v>
      </c>
      <c r="W63">
        <v>2.6078844160268001E-2</v>
      </c>
      <c r="X63">
        <v>0.115905974045656</v>
      </c>
      <c r="AA63">
        <v>0.76304766246712397</v>
      </c>
      <c r="AB63">
        <v>3.42888506551679</v>
      </c>
      <c r="AC63">
        <v>4.5299918189501103</v>
      </c>
      <c r="AD63">
        <v>3.8635324681872599E-2</v>
      </c>
      <c r="AE63">
        <v>6.0169242942530099</v>
      </c>
    </row>
    <row r="64" spans="1:31" x14ac:dyDescent="0.2">
      <c r="A64">
        <v>63</v>
      </c>
      <c r="B64">
        <v>744</v>
      </c>
      <c r="C64">
        <v>255</v>
      </c>
      <c r="D64">
        <v>0.31446738435825899</v>
      </c>
      <c r="E64">
        <v>102.686756023585</v>
      </c>
      <c r="F64">
        <v>2.20881658929442</v>
      </c>
      <c r="G64">
        <v>-1671.8133966385244</v>
      </c>
      <c r="H64">
        <v>-1401.7070024410002</v>
      </c>
      <c r="I64">
        <v>265.55217440645299</v>
      </c>
      <c r="J64">
        <v>138.85027033962101</v>
      </c>
      <c r="K64">
        <v>46.489489675730397</v>
      </c>
      <c r="L64">
        <v>1.5497117955261462E-4</v>
      </c>
      <c r="M64">
        <v>1.7536360415210331E-5</v>
      </c>
      <c r="N64" s="1">
        <v>3.5684475937733201E-6</v>
      </c>
      <c r="O64" s="1">
        <v>9.6968791958331206E-8</v>
      </c>
      <c r="P64" s="1">
        <v>-4.9892810352421904E-7</v>
      </c>
      <c r="Q64">
        <v>71.555011384044207</v>
      </c>
      <c r="R64">
        <v>9.3488200151101306E-2</v>
      </c>
      <c r="S64">
        <v>12.5638164045123</v>
      </c>
      <c r="T64">
        <v>0.24788351852482099</v>
      </c>
      <c r="V64">
        <v>0.58523507761728499</v>
      </c>
      <c r="W64">
        <v>2.6293556292495201E-2</v>
      </c>
      <c r="X64">
        <v>0.116860250188893</v>
      </c>
      <c r="AA64">
        <v>0.760906838317017</v>
      </c>
      <c r="AB64">
        <v>3.4343877990079599</v>
      </c>
      <c r="AC64">
        <v>4.5632354800375099</v>
      </c>
      <c r="AD64">
        <v>3.8953416729615303E-2</v>
      </c>
      <c r="AE64">
        <v>6.0139280745767003</v>
      </c>
    </row>
    <row r="65" spans="1:31" x14ac:dyDescent="0.2">
      <c r="A65">
        <v>64</v>
      </c>
      <c r="B65">
        <v>742</v>
      </c>
      <c r="C65">
        <v>255</v>
      </c>
      <c r="D65">
        <v>0.31297887011771702</v>
      </c>
      <c r="E65">
        <v>93.308881181756306</v>
      </c>
      <c r="F65">
        <v>2.2117092334427899</v>
      </c>
      <c r="G65">
        <v>-1517.185595032804</v>
      </c>
      <c r="H65">
        <v>-1272.7630627329831</v>
      </c>
      <c r="I65">
        <v>240.77479416817201</v>
      </c>
      <c r="J65">
        <v>126.105305192581</v>
      </c>
      <c r="K65">
        <v>42.188584182247801</v>
      </c>
      <c r="L65">
        <v>1.5449075057147983E-4</v>
      </c>
      <c r="M65">
        <v>1.7467933976651E-5</v>
      </c>
      <c r="N65" s="1">
        <v>3.2308649117030201E-6</v>
      </c>
      <c r="O65" s="1">
        <v>8.7492962836691002E-8</v>
      </c>
      <c r="P65" s="1">
        <v>-4.5114403840459898E-7</v>
      </c>
      <c r="Q65">
        <v>71.432745712891105</v>
      </c>
      <c r="R65">
        <v>0.102884097187928</v>
      </c>
      <c r="S65">
        <v>12.591590657164399</v>
      </c>
      <c r="T65">
        <v>0.27344201933237799</v>
      </c>
      <c r="V65">
        <v>0.64347261695074798</v>
      </c>
      <c r="W65">
        <v>2.89361523340988E-2</v>
      </c>
      <c r="X65">
        <v>0.12860512148495901</v>
      </c>
      <c r="AA65">
        <v>0.73252515350381597</v>
      </c>
      <c r="AB65">
        <v>3.3798279914784399</v>
      </c>
      <c r="AC65">
        <v>4.6645802976886497</v>
      </c>
      <c r="AD65">
        <v>4.2868373828274103E-2</v>
      </c>
      <c r="AE65">
        <v>5.9785218061550696</v>
      </c>
    </row>
    <row r="66" spans="1:31" x14ac:dyDescent="0.2">
      <c r="A66">
        <v>65</v>
      </c>
      <c r="B66">
        <v>740</v>
      </c>
      <c r="C66">
        <v>255</v>
      </c>
      <c r="D66">
        <v>0.31148447909983901</v>
      </c>
      <c r="E66">
        <v>30.3164549769056</v>
      </c>
      <c r="F66">
        <v>2.21806106487238</v>
      </c>
      <c r="G66">
        <v>-493.19885454716729</v>
      </c>
      <c r="H66">
        <v>-414.31860453628224</v>
      </c>
      <c r="I66">
        <v>77.856437853116503</v>
      </c>
      <c r="J66">
        <v>41.027732440388803</v>
      </c>
      <c r="K66">
        <v>13.667998350915401</v>
      </c>
      <c r="L66">
        <v>1.5318938914698769E-4</v>
      </c>
      <c r="M66">
        <v>1.7404860166563216E-5</v>
      </c>
      <c r="N66" s="1">
        <v>1.03838994155555E-6</v>
      </c>
      <c r="O66" s="1">
        <v>2.8027667068310799E-8</v>
      </c>
      <c r="P66" s="1">
        <v>-1.4321886548432099E-7</v>
      </c>
      <c r="Q66">
        <v>70.824228713389999</v>
      </c>
      <c r="R66">
        <v>0.15339129014774</v>
      </c>
      <c r="S66">
        <v>13.430281220055999</v>
      </c>
      <c r="T66">
        <v>0.23287737409668899</v>
      </c>
      <c r="V66">
        <v>0.55781983600180995</v>
      </c>
      <c r="W66">
        <v>8.9060544910543604E-2</v>
      </c>
      <c r="X66">
        <v>0.147184426939938</v>
      </c>
      <c r="AA66">
        <v>0.74302845972311005</v>
      </c>
      <c r="AB66">
        <v>3.0308469056572398</v>
      </c>
      <c r="AC66">
        <v>4.7588644528072601</v>
      </c>
      <c r="AD66">
        <v>0.13194154801549099</v>
      </c>
      <c r="AE66">
        <v>5.9004752282541002</v>
      </c>
    </row>
    <row r="67" spans="1:31" x14ac:dyDescent="0.2">
      <c r="A67">
        <v>66</v>
      </c>
      <c r="B67">
        <v>738</v>
      </c>
      <c r="C67">
        <v>255</v>
      </c>
      <c r="D67">
        <v>0.30998417643277698</v>
      </c>
      <c r="E67">
        <v>20.529563067235902</v>
      </c>
      <c r="F67">
        <v>2.2226626423655098</v>
      </c>
      <c r="G67">
        <v>-333.98931714767366</v>
      </c>
      <c r="H67">
        <v>-280.85077572097765</v>
      </c>
      <c r="I67">
        <v>52.552580157934997</v>
      </c>
      <c r="J67">
        <v>27.813292429505001</v>
      </c>
      <c r="K67">
        <v>9.2364728123504101</v>
      </c>
      <c r="L67">
        <v>1.5259172294220403E-4</v>
      </c>
      <c r="M67">
        <v>1.7382784676167118E-5</v>
      </c>
      <c r="N67" s="1">
        <v>7.0055095245655496E-7</v>
      </c>
      <c r="O67" s="1">
        <v>1.8839103629821099E-8</v>
      </c>
      <c r="P67" s="1">
        <v>-9.57375657788358E-8</v>
      </c>
      <c r="Q67">
        <v>70.345149655283507</v>
      </c>
      <c r="R67">
        <v>0.15273609688573</v>
      </c>
      <c r="S67">
        <v>14.0326558058185</v>
      </c>
      <c r="T67">
        <v>0.22446224185385699</v>
      </c>
      <c r="V67">
        <v>0.54419950946256002</v>
      </c>
      <c r="W67">
        <v>0.13063654540472799</v>
      </c>
      <c r="X67">
        <v>0.14534910419305599</v>
      </c>
      <c r="AA67">
        <v>0.76396973721672401</v>
      </c>
      <c r="AB67">
        <v>2.7994011942164199</v>
      </c>
      <c r="AC67">
        <v>4.8015162117421797</v>
      </c>
      <c r="AD67">
        <v>0.19484097089121599</v>
      </c>
      <c r="AE67">
        <v>5.8650829270314899</v>
      </c>
    </row>
    <row r="68" spans="1:31" x14ac:dyDescent="0.2">
      <c r="A68">
        <v>67</v>
      </c>
      <c r="B68">
        <v>736</v>
      </c>
      <c r="C68">
        <v>255</v>
      </c>
      <c r="D68">
        <v>0.308477926968244</v>
      </c>
      <c r="E68">
        <v>16.307071361821901</v>
      </c>
      <c r="F68">
        <v>2.2263688033482101</v>
      </c>
      <c r="G68">
        <v>-265.29564752260444</v>
      </c>
      <c r="H68">
        <v>-223.28042011730329</v>
      </c>
      <c r="I68">
        <v>41.634273800030797</v>
      </c>
      <c r="J68">
        <v>22.113917802134001</v>
      </c>
      <c r="K68">
        <v>7.3245148500544497</v>
      </c>
      <c r="L68">
        <v>1.5220268880881358E-4</v>
      </c>
      <c r="M68">
        <v>1.7369817631047732E-5</v>
      </c>
      <c r="N68" s="1">
        <v>5.5557678203935397E-7</v>
      </c>
      <c r="O68" s="1">
        <v>1.4883690705882401E-8</v>
      </c>
      <c r="P68" s="1">
        <v>-7.53317923519079E-8</v>
      </c>
      <c r="Q68">
        <v>69.947860126244294</v>
      </c>
      <c r="R68">
        <v>0.152395489164937</v>
      </c>
      <c r="S68">
        <v>14.520668326538299</v>
      </c>
      <c r="T68">
        <v>0.21753348856011501</v>
      </c>
      <c r="V68">
        <v>0.53194704760823097</v>
      </c>
      <c r="W68">
        <v>0.16362261073801901</v>
      </c>
      <c r="X68">
        <v>0.14368112944969499</v>
      </c>
      <c r="AA68">
        <v>0.78416324267648296</v>
      </c>
      <c r="AB68">
        <v>2.6243503100494099</v>
      </c>
      <c r="AC68">
        <v>4.82605331563453</v>
      </c>
      <c r="AD68">
        <v>0.245292358832568</v>
      </c>
      <c r="AE68">
        <v>5.84243255450333</v>
      </c>
    </row>
    <row r="69" spans="1:31" x14ac:dyDescent="0.2">
      <c r="A69">
        <v>68</v>
      </c>
      <c r="B69">
        <v>734</v>
      </c>
      <c r="C69">
        <v>255</v>
      </c>
      <c r="D69">
        <v>0.306965695278758</v>
      </c>
      <c r="E69">
        <v>13.846341340655201</v>
      </c>
      <c r="F69">
        <v>2.22956706662639</v>
      </c>
      <c r="G69">
        <v>-225.26096654124746</v>
      </c>
      <c r="H69">
        <v>-189.73750202416304</v>
      </c>
      <c r="I69">
        <v>35.271274901538398</v>
      </c>
      <c r="J69">
        <v>18.793675138545499</v>
      </c>
      <c r="K69">
        <v>6.2103273536446997</v>
      </c>
      <c r="L69">
        <v>1.5193553129882434E-4</v>
      </c>
      <c r="M69">
        <v>1.7362490624537885E-5</v>
      </c>
      <c r="N69" s="1">
        <v>4.7158330423602601E-7</v>
      </c>
      <c r="O69" s="1">
        <v>1.2584687490257101E-8</v>
      </c>
      <c r="P69" s="1">
        <v>-6.3491938254073803E-8</v>
      </c>
      <c r="Q69">
        <v>69.595866616178895</v>
      </c>
      <c r="R69">
        <v>0.15166633099657301</v>
      </c>
      <c r="S69">
        <v>14.9450390696437</v>
      </c>
      <c r="T69">
        <v>0.21162535773424501</v>
      </c>
      <c r="V69">
        <v>0.520939978158654</v>
      </c>
      <c r="W69">
        <v>0.19184972265014999</v>
      </c>
      <c r="X69">
        <v>0.141987133515627</v>
      </c>
      <c r="AA69">
        <v>0.80376362540656399</v>
      </c>
      <c r="AB69">
        <v>2.4812372460161298</v>
      </c>
      <c r="AC69">
        <v>4.8399029700777403</v>
      </c>
      <c r="AD69">
        <v>0.28888497701897098</v>
      </c>
      <c r="AE69">
        <v>5.8272369726025897</v>
      </c>
    </row>
    <row r="70" spans="1:31" x14ac:dyDescent="0.2">
      <c r="A70">
        <v>69</v>
      </c>
      <c r="B70">
        <v>732</v>
      </c>
      <c r="C70">
        <v>255</v>
      </c>
      <c r="D70">
        <v>0.30544744565487703</v>
      </c>
      <c r="E70">
        <v>12.195797546472001</v>
      </c>
      <c r="F70">
        <v>2.2324288054624102</v>
      </c>
      <c r="G70">
        <v>-198.40607284840473</v>
      </c>
      <c r="H70">
        <v>-167.24316480927754</v>
      </c>
      <c r="I70">
        <v>31.003241346194201</v>
      </c>
      <c r="J70">
        <v>16.567390741146198</v>
      </c>
      <c r="K70">
        <v>5.4630174618025196</v>
      </c>
      <c r="L70">
        <v>1.5174964325194982E-4</v>
      </c>
      <c r="M70">
        <v>1.7358985153780031E-5</v>
      </c>
      <c r="N70" s="1">
        <v>4.1558045224293399E-7</v>
      </c>
      <c r="O70" s="1">
        <v>1.1046826981088801E-8</v>
      </c>
      <c r="P70" s="1">
        <v>-5.5586091955600599E-8</v>
      </c>
      <c r="Q70">
        <v>69.273813953420401</v>
      </c>
      <c r="R70">
        <v>0.15067913007817199</v>
      </c>
      <c r="S70">
        <v>15.327241417114699</v>
      </c>
      <c r="T70">
        <v>0.20640169395657401</v>
      </c>
      <c r="V70">
        <v>0.51079113266514498</v>
      </c>
      <c r="W70">
        <v>0.216947226717396</v>
      </c>
      <c r="X70">
        <v>0.140277047889452</v>
      </c>
      <c r="AA70">
        <v>0.822954575288667</v>
      </c>
      <c r="AB70">
        <v>2.35932159055913</v>
      </c>
      <c r="AC70">
        <v>4.8465760823036597</v>
      </c>
      <c r="AD70">
        <v>0.32798183019600902</v>
      </c>
      <c r="AE70">
        <v>5.8170143198105402</v>
      </c>
    </row>
    <row r="71" spans="1:31" x14ac:dyDescent="0.2">
      <c r="A71">
        <v>70</v>
      </c>
      <c r="B71">
        <v>730</v>
      </c>
      <c r="C71">
        <v>255</v>
      </c>
      <c r="D71">
        <v>0.30392314210237997</v>
      </c>
      <c r="E71">
        <v>10.9931504093292</v>
      </c>
      <c r="F71">
        <v>2.2350474066233499</v>
      </c>
      <c r="G71">
        <v>-178.83752665181106</v>
      </c>
      <c r="H71">
        <v>-150.85624453741602</v>
      </c>
      <c r="I71">
        <v>27.8934178481732</v>
      </c>
      <c r="J71">
        <v>14.945798073042001</v>
      </c>
      <c r="K71">
        <v>4.9185312028514696</v>
      </c>
      <c r="L71">
        <v>1.5162283777735196E-4</v>
      </c>
      <c r="M71">
        <v>1.7358291727151122E-5</v>
      </c>
      <c r="N71" s="1">
        <v>3.7502102693027198E-7</v>
      </c>
      <c r="O71" s="1">
        <v>9.9293932884163302E-9</v>
      </c>
      <c r="P71" s="1">
        <v>-4.9852052015143902E-8</v>
      </c>
      <c r="Q71">
        <v>68.973367056028195</v>
      </c>
      <c r="R71">
        <v>0.14950767674844001</v>
      </c>
      <c r="S71">
        <v>15.678909463762</v>
      </c>
      <c r="T71">
        <v>0.20167857292168101</v>
      </c>
      <c r="V71">
        <v>0.50128552469369603</v>
      </c>
      <c r="W71">
        <v>0.23979707833960701</v>
      </c>
      <c r="X71">
        <v>0.13855621798565701</v>
      </c>
      <c r="AA71">
        <v>0.84186587569835103</v>
      </c>
      <c r="AB71">
        <v>2.25273701093061</v>
      </c>
      <c r="AC71">
        <v>4.8480218039147402</v>
      </c>
      <c r="AD71">
        <v>0.363862937470248</v>
      </c>
      <c r="AE71">
        <v>5.8104107815066399</v>
      </c>
    </row>
    <row r="72" spans="1:31" x14ac:dyDescent="0.2">
      <c r="A72">
        <v>71</v>
      </c>
      <c r="B72">
        <v>760</v>
      </c>
      <c r="C72">
        <v>240</v>
      </c>
      <c r="D72">
        <v>0.34213860523641398</v>
      </c>
      <c r="E72">
        <v>106.03767296407</v>
      </c>
      <c r="F72">
        <v>2.20160483269684</v>
      </c>
      <c r="G72">
        <v>-1731.2731592245502</v>
      </c>
      <c r="H72">
        <v>-1447.3916641373251</v>
      </c>
      <c r="I72">
        <v>274.772777512679</v>
      </c>
      <c r="J72">
        <v>143.074517865595</v>
      </c>
      <c r="K72">
        <v>48.163808231734301</v>
      </c>
      <c r="L72">
        <v>1.5210031980920032E-4</v>
      </c>
      <c r="M72">
        <v>1.7642667577516448E-5</v>
      </c>
      <c r="N72" s="1">
        <v>3.4988195179610201E-6</v>
      </c>
      <c r="O72" s="1">
        <v>9.9106174671242505E-8</v>
      </c>
      <c r="P72" s="1">
        <v>-5.0210806267099499E-7</v>
      </c>
      <c r="Q72">
        <v>72.398797384048095</v>
      </c>
      <c r="R72">
        <v>9.0533861519696293E-2</v>
      </c>
      <c r="S72">
        <v>12.2220713051593</v>
      </c>
      <c r="T72">
        <v>0.23456325858832799</v>
      </c>
      <c r="V72">
        <v>0.57167807476681998</v>
      </c>
      <c r="W72">
        <v>2.54626485524144E-2</v>
      </c>
      <c r="X72">
        <v>0.113167326899621</v>
      </c>
      <c r="AA72">
        <v>0.74501823542249801</v>
      </c>
      <c r="AB72">
        <v>3.3478667541137499</v>
      </c>
      <c r="AC72">
        <v>4.4229563596601196</v>
      </c>
      <c r="AD72">
        <v>3.7722442299872802E-2</v>
      </c>
      <c r="AE72">
        <v>5.7901623489693499</v>
      </c>
    </row>
    <row r="73" spans="1:31" x14ac:dyDescent="0.2">
      <c r="A73">
        <v>72</v>
      </c>
      <c r="B73">
        <v>758</v>
      </c>
      <c r="C73">
        <v>240</v>
      </c>
      <c r="D73">
        <v>0.34072685836202499</v>
      </c>
      <c r="E73">
        <v>105.858744791088</v>
      </c>
      <c r="F73">
        <v>2.2024329143065202</v>
      </c>
      <c r="G73">
        <v>-1727.7454268506146</v>
      </c>
      <c r="H73">
        <v>-1445.1655162670638</v>
      </c>
      <c r="I73">
        <v>274.04345690108198</v>
      </c>
      <c r="J73">
        <v>142.82180289563999</v>
      </c>
      <c r="K73">
        <v>48.064458219568401</v>
      </c>
      <c r="L73">
        <v>1.5204595788742345E-4</v>
      </c>
      <c r="M73">
        <v>1.762516521197897E-5</v>
      </c>
      <c r="N73" s="1">
        <v>3.5008539294401199E-6</v>
      </c>
      <c r="O73" s="1">
        <v>9.8778448897213505E-8</v>
      </c>
      <c r="P73" s="1">
        <v>-5.0123128708644803E-7</v>
      </c>
      <c r="Q73">
        <v>72.362162153296396</v>
      </c>
      <c r="R73">
        <v>9.0686886746537604E-2</v>
      </c>
      <c r="S73">
        <v>12.2427297107835</v>
      </c>
      <c r="T73">
        <v>0.235762456420511</v>
      </c>
      <c r="V73">
        <v>0.57192205395951001</v>
      </c>
      <c r="W73">
        <v>2.5505686897463301E-2</v>
      </c>
      <c r="X73">
        <v>0.113358608433174</v>
      </c>
      <c r="AA73">
        <v>0.74627750551837702</v>
      </c>
      <c r="AB73">
        <v>3.3535254994813002</v>
      </c>
      <c r="AC73">
        <v>4.4304322795963804</v>
      </c>
      <c r="AD73">
        <v>3.77862028110557E-2</v>
      </c>
      <c r="AE73">
        <v>5.7898509560557097</v>
      </c>
    </row>
    <row r="74" spans="1:31" x14ac:dyDescent="0.2">
      <c r="A74">
        <v>73</v>
      </c>
      <c r="B74">
        <v>756</v>
      </c>
      <c r="C74">
        <v>240</v>
      </c>
      <c r="D74">
        <v>0.33930962444735902</v>
      </c>
      <c r="E74">
        <v>105.426052975904</v>
      </c>
      <c r="F74">
        <v>2.2034044285383101</v>
      </c>
      <c r="G74">
        <v>-1720.0135741237921</v>
      </c>
      <c r="H74">
        <v>-1439.3699346632955</v>
      </c>
      <c r="I74">
        <v>272.69459210075797</v>
      </c>
      <c r="J74">
        <v>142.253632768768</v>
      </c>
      <c r="K74">
        <v>47.8468916602123</v>
      </c>
      <c r="L74">
        <v>1.5210747756359673E-4</v>
      </c>
      <c r="M74">
        <v>1.7608788720680525E-5</v>
      </c>
      <c r="N74" s="1">
        <v>3.4959258523860001E-6</v>
      </c>
      <c r="O74" s="1">
        <v>9.8253919797884004E-8</v>
      </c>
      <c r="P74" s="1">
        <v>-4.9972019215423997E-7</v>
      </c>
      <c r="Q74">
        <v>72.270268052038304</v>
      </c>
      <c r="R74">
        <v>9.10590857669131E-2</v>
      </c>
      <c r="S74">
        <v>12.2929765785345</v>
      </c>
      <c r="T74">
        <v>0.23763188947153699</v>
      </c>
      <c r="V74">
        <v>0.57345788821200505</v>
      </c>
      <c r="W74">
        <v>2.56103678719438E-2</v>
      </c>
      <c r="X74">
        <v>0.11382385720864401</v>
      </c>
      <c r="AA74">
        <v>0.74934039329021496</v>
      </c>
      <c r="AB74">
        <v>3.3672891090889299</v>
      </c>
      <c r="AC74">
        <v>4.4486157525709498</v>
      </c>
      <c r="AD74">
        <v>3.7941285736211597E-2</v>
      </c>
      <c r="AE74">
        <v>5.7919857402097596</v>
      </c>
    </row>
    <row r="75" spans="1:31" x14ac:dyDescent="0.2">
      <c r="A75">
        <v>74</v>
      </c>
      <c r="B75">
        <v>754</v>
      </c>
      <c r="C75">
        <v>240</v>
      </c>
      <c r="D75">
        <v>0.33788687144039198</v>
      </c>
      <c r="E75">
        <v>104.997521952357</v>
      </c>
      <c r="F75">
        <v>2.20437637575594</v>
      </c>
      <c r="G75">
        <v>-1712.3555974164651</v>
      </c>
      <c r="H75">
        <v>-1433.6305456824982</v>
      </c>
      <c r="I75">
        <v>271.35769043855998</v>
      </c>
      <c r="J75">
        <v>141.69089054207799</v>
      </c>
      <c r="K75">
        <v>47.631395031781103</v>
      </c>
      <c r="L75">
        <v>1.5216874963518243E-4</v>
      </c>
      <c r="M75">
        <v>1.7592377192047958E-5</v>
      </c>
      <c r="N75" s="1">
        <v>3.4910742594743501E-6</v>
      </c>
      <c r="O75" s="1">
        <v>9.7734380645989593E-8</v>
      </c>
      <c r="P75" s="1">
        <v>-4.9822498046682096E-7</v>
      </c>
      <c r="Q75">
        <v>72.178491060822694</v>
      </c>
      <c r="R75">
        <v>9.1430729235267905E-2</v>
      </c>
      <c r="S75">
        <v>12.343148446763299</v>
      </c>
      <c r="T75">
        <v>0.239514380930754</v>
      </c>
      <c r="V75">
        <v>0.57497716915475106</v>
      </c>
      <c r="W75">
        <v>2.5714892597418298E-2</v>
      </c>
      <c r="X75">
        <v>0.11428841154409</v>
      </c>
      <c r="AA75">
        <v>0.75239870933188002</v>
      </c>
      <c r="AB75">
        <v>3.3810321748457701</v>
      </c>
      <c r="AC75">
        <v>4.4667720845144503</v>
      </c>
      <c r="AD75">
        <v>3.8096137181357903E-2</v>
      </c>
      <c r="AE75">
        <v>5.7941358030782002</v>
      </c>
    </row>
    <row r="76" spans="1:31" x14ac:dyDescent="0.2">
      <c r="A76">
        <v>75</v>
      </c>
      <c r="B76">
        <v>752</v>
      </c>
      <c r="C76">
        <v>240</v>
      </c>
      <c r="D76">
        <v>0.33645856703896998</v>
      </c>
      <c r="E76">
        <v>104.573086718916</v>
      </c>
      <c r="F76">
        <v>2.2053487700060002</v>
      </c>
      <c r="G76">
        <v>-1704.7703497779601</v>
      </c>
      <c r="H76">
        <v>-1427.9464691763601</v>
      </c>
      <c r="I76">
        <v>270.03256167546101</v>
      </c>
      <c r="J76">
        <v>141.133491382557</v>
      </c>
      <c r="K76">
        <v>47.417935947896297</v>
      </c>
      <c r="L76">
        <v>1.5222976909160722E-4</v>
      </c>
      <c r="M76">
        <v>1.7575930055429668E-5</v>
      </c>
      <c r="N76" s="1">
        <v>3.4862978044062201E-6</v>
      </c>
      <c r="O76" s="1">
        <v>9.7219749544377099E-8</v>
      </c>
      <c r="P76" s="1">
        <v>-4.96745377482094E-7</v>
      </c>
      <c r="Q76">
        <v>72.086830033529296</v>
      </c>
      <c r="R76">
        <v>9.1801823023585902E-2</v>
      </c>
      <c r="S76">
        <v>12.393246108186499</v>
      </c>
      <c r="T76">
        <v>0.241410084754316</v>
      </c>
      <c r="V76">
        <v>0.57647980902467399</v>
      </c>
      <c r="W76">
        <v>2.58192627253826E-2</v>
      </c>
      <c r="X76">
        <v>0.114752278779489</v>
      </c>
      <c r="AA76">
        <v>0.75545250196491198</v>
      </c>
      <c r="AB76">
        <v>3.3947549138929398</v>
      </c>
      <c r="AC76">
        <v>4.4849015622978801</v>
      </c>
      <c r="AD76">
        <v>3.8250759593156498E-2</v>
      </c>
      <c r="AE76">
        <v>5.7963008622277101</v>
      </c>
    </row>
    <row r="77" spans="1:31" x14ac:dyDescent="0.2">
      <c r="A77">
        <v>76</v>
      </c>
      <c r="B77">
        <v>750</v>
      </c>
      <c r="C77">
        <v>240</v>
      </c>
      <c r="D77">
        <v>0.335024678688366</v>
      </c>
      <c r="E77">
        <v>104.152683638017</v>
      </c>
      <c r="F77">
        <v>2.2063216253892302</v>
      </c>
      <c r="G77">
        <v>-1697.2567082791907</v>
      </c>
      <c r="H77">
        <v>-1422.3168434815605</v>
      </c>
      <c r="I77">
        <v>268.71901949629103</v>
      </c>
      <c r="J77">
        <v>140.581352231621</v>
      </c>
      <c r="K77">
        <v>47.206482699295002</v>
      </c>
      <c r="L77">
        <v>1.5229053082646446E-4</v>
      </c>
      <c r="M77">
        <v>1.7559446735515367E-5</v>
      </c>
      <c r="N77" s="1">
        <v>3.4815951640135899E-6</v>
      </c>
      <c r="O77" s="1">
        <v>9.6709946232707505E-8</v>
      </c>
      <c r="P77" s="1">
        <v>-4.9528111376610905E-7</v>
      </c>
      <c r="Q77">
        <v>71.995283841844</v>
      </c>
      <c r="R77">
        <v>9.2172372949744896E-2</v>
      </c>
      <c r="S77">
        <v>12.443270348218499</v>
      </c>
      <c r="T77">
        <v>0.243319156422519</v>
      </c>
      <c r="V77">
        <v>0.57796571821918397</v>
      </c>
      <c r="W77">
        <v>2.59234798921146E-2</v>
      </c>
      <c r="X77">
        <v>0.115215466187189</v>
      </c>
      <c r="AA77">
        <v>0.758501819065592</v>
      </c>
      <c r="AB77">
        <v>3.4084575413706801</v>
      </c>
      <c r="AC77">
        <v>4.5030044701487197</v>
      </c>
      <c r="AD77">
        <v>3.8405155395721903E-2</v>
      </c>
      <c r="AE77">
        <v>5.79848063028592</v>
      </c>
    </row>
    <row r="78" spans="1:31" x14ac:dyDescent="0.2">
      <c r="A78">
        <v>77</v>
      </c>
      <c r="B78">
        <v>748</v>
      </c>
      <c r="C78">
        <v>240</v>
      </c>
      <c r="D78">
        <v>0.33358517357881101</v>
      </c>
      <c r="E78">
        <v>103.736250400141</v>
      </c>
      <c r="F78">
        <v>2.20729495606607</v>
      </c>
      <c r="G78">
        <v>-1689.8135733796776</v>
      </c>
      <c r="H78">
        <v>-1416.7408249331415</v>
      </c>
      <c r="I78">
        <v>267.41688140482302</v>
      </c>
      <c r="J78">
        <v>140.03439175806901</v>
      </c>
      <c r="K78">
        <v>46.997004235910701</v>
      </c>
      <c r="L78">
        <v>1.5235102963404666E-4</v>
      </c>
      <c r="M78">
        <v>1.7542926652090536E-5</v>
      </c>
      <c r="N78" s="1">
        <v>3.4769650374500299E-6</v>
      </c>
      <c r="O78" s="1">
        <v>9.6204892041456306E-8</v>
      </c>
      <c r="P78" s="1">
        <v>-4.9383192483454304E-7</v>
      </c>
      <c r="Q78">
        <v>71.903851375273504</v>
      </c>
      <c r="R78">
        <v>9.2542384778417294E-2</v>
      </c>
      <c r="S78">
        <v>12.493221945090101</v>
      </c>
      <c r="T78">
        <v>0.245241752954724</v>
      </c>
      <c r="V78">
        <v>0.57943480529088998</v>
      </c>
      <c r="W78">
        <v>2.6027545718928499E-2</v>
      </c>
      <c r="X78">
        <v>0.115677980973032</v>
      </c>
      <c r="AA78">
        <v>0.76154670807237002</v>
      </c>
      <c r="AB78">
        <v>3.42214027045177</v>
      </c>
      <c r="AC78">
        <v>4.5210810896952403</v>
      </c>
      <c r="AD78">
        <v>3.8559326991000502E-2</v>
      </c>
      <c r="AE78">
        <v>5.8006748147099199</v>
      </c>
    </row>
    <row r="79" spans="1:31" x14ac:dyDescent="0.2">
      <c r="A79">
        <v>78</v>
      </c>
      <c r="B79">
        <v>746</v>
      </c>
      <c r="C79">
        <v>240</v>
      </c>
      <c r="D79">
        <v>0.33214001864298798</v>
      </c>
      <c r="E79">
        <v>100.935197717102</v>
      </c>
      <c r="F79">
        <v>2.2091071491070902</v>
      </c>
      <c r="G79">
        <v>-1642.7642042680966</v>
      </c>
      <c r="H79">
        <v>-1378.0867469136463</v>
      </c>
      <c r="I79">
        <v>259.70412339150198</v>
      </c>
      <c r="J79">
        <v>136.186197167578</v>
      </c>
      <c r="K79">
        <v>45.690494351031901</v>
      </c>
      <c r="L79">
        <v>1.5191480975817781E-4</v>
      </c>
      <c r="M79">
        <v>1.7480812127029958E-5</v>
      </c>
      <c r="N79" s="1">
        <v>3.3746276662606799E-6</v>
      </c>
      <c r="O79" s="1">
        <v>9.3048962386628503E-8</v>
      </c>
      <c r="P79" s="1">
        <v>-4.7881612625009296E-7</v>
      </c>
      <c r="Q79">
        <v>71.833126918423801</v>
      </c>
      <c r="R79">
        <v>9.5110528508665707E-2</v>
      </c>
      <c r="S79">
        <v>12.518455325002799</v>
      </c>
      <c r="T79">
        <v>0.25300595878524301</v>
      </c>
      <c r="V79">
        <v>0.59465223005697398</v>
      </c>
      <c r="W79">
        <v>2.67498361430599E-2</v>
      </c>
      <c r="X79">
        <v>0.11888816063584901</v>
      </c>
      <c r="AA79">
        <v>0.73705206560683201</v>
      </c>
      <c r="AB79">
        <v>3.38804884256905</v>
      </c>
      <c r="AC79">
        <v>4.6223467725977399</v>
      </c>
      <c r="AD79">
        <v>3.9629386878600403E-2</v>
      </c>
      <c r="AE79">
        <v>5.7729339747912203</v>
      </c>
    </row>
    <row r="80" spans="1:31" x14ac:dyDescent="0.2">
      <c r="A80">
        <v>79</v>
      </c>
      <c r="B80">
        <v>744</v>
      </c>
      <c r="C80">
        <v>240</v>
      </c>
      <c r="D80">
        <v>0.33068918055350899</v>
      </c>
      <c r="E80">
        <v>60.697249879372997</v>
      </c>
      <c r="F80">
        <v>2.2129648180436501</v>
      </c>
      <c r="G80">
        <v>-987.17841975009628</v>
      </c>
      <c r="H80">
        <v>-828.81874033387703</v>
      </c>
      <c r="I80">
        <v>155.68960272940899</v>
      </c>
      <c r="J80">
        <v>81.893602474941204</v>
      </c>
      <c r="K80">
        <v>27.428022978255701</v>
      </c>
      <c r="L80">
        <v>1.5107225944327685E-4</v>
      </c>
      <c r="M80">
        <v>1.7400391370851589E-5</v>
      </c>
      <c r="N80" s="1">
        <v>2.0151366165666301E-6</v>
      </c>
      <c r="O80" s="1">
        <v>5.5382592075158599E-8</v>
      </c>
      <c r="P80" s="1">
        <v>-2.8471738089591199E-7</v>
      </c>
      <c r="Q80">
        <v>71.595960255509397</v>
      </c>
      <c r="R80">
        <v>0.119066519799416</v>
      </c>
      <c r="S80">
        <v>12.758241820086599</v>
      </c>
      <c r="T80">
        <v>0.25329995935350702</v>
      </c>
      <c r="V80">
        <v>0.59653518445255305</v>
      </c>
      <c r="W80">
        <v>4.4483069749704E-2</v>
      </c>
      <c r="X80">
        <v>0.14558899969887301</v>
      </c>
      <c r="AA80">
        <v>0.72242067518678899</v>
      </c>
      <c r="AB80">
        <v>3.2394237959582899</v>
      </c>
      <c r="AC80">
        <v>4.7396094051476299</v>
      </c>
      <c r="AD80">
        <v>6.5900844073581002E-2</v>
      </c>
      <c r="AE80">
        <v>5.7194694709835598</v>
      </c>
    </row>
    <row r="81" spans="1:31" x14ac:dyDescent="0.2">
      <c r="A81">
        <v>80</v>
      </c>
      <c r="B81">
        <v>742</v>
      </c>
      <c r="C81">
        <v>240</v>
      </c>
      <c r="D81">
        <v>0.32923262572033701</v>
      </c>
      <c r="E81">
        <v>27.973232307012999</v>
      </c>
      <c r="F81">
        <v>2.2189813276828501</v>
      </c>
      <c r="G81">
        <v>-455.02770501095762</v>
      </c>
      <c r="H81">
        <v>-382.50460408146898</v>
      </c>
      <c r="I81">
        <v>71.440773215277005</v>
      </c>
      <c r="J81">
        <v>37.7844992017287</v>
      </c>
      <c r="K81">
        <v>12.606339655964399</v>
      </c>
      <c r="L81">
        <v>1.4997384100312095E-4</v>
      </c>
      <c r="M81">
        <v>1.7343876728275983E-5</v>
      </c>
      <c r="N81" s="1">
        <v>9.2016977590416695E-7</v>
      </c>
      <c r="O81" s="1">
        <v>2.52055491503229E-8</v>
      </c>
      <c r="P81" s="1">
        <v>-1.2856591826583799E-7</v>
      </c>
      <c r="Q81">
        <v>71.032341585670196</v>
      </c>
      <c r="R81">
        <v>0.15881805082675399</v>
      </c>
      <c r="S81">
        <v>13.490213279243299</v>
      </c>
      <c r="T81">
        <v>0.229406054645759</v>
      </c>
      <c r="V81">
        <v>0.54877627983399002</v>
      </c>
      <c r="W81">
        <v>9.6520844297359604E-2</v>
      </c>
      <c r="X81">
        <v>0.15267664095086</v>
      </c>
      <c r="AA81">
        <v>0.74552352001493805</v>
      </c>
      <c r="AB81">
        <v>2.9225274337399498</v>
      </c>
      <c r="AC81">
        <v>4.8262162737904601</v>
      </c>
      <c r="AD81">
        <v>0.14299384340334501</v>
      </c>
      <c r="AE81">
        <v>5.6539861935829103</v>
      </c>
    </row>
    <row r="82" spans="1:31" x14ac:dyDescent="0.2">
      <c r="A82">
        <v>81</v>
      </c>
      <c r="B82">
        <v>740</v>
      </c>
      <c r="C82">
        <v>240</v>
      </c>
      <c r="D82">
        <v>0.32777032028821201</v>
      </c>
      <c r="E82">
        <v>19.801100398999498</v>
      </c>
      <c r="F82">
        <v>2.2233201517251402</v>
      </c>
      <c r="G82">
        <v>-322.09993149741371</v>
      </c>
      <c r="H82">
        <v>-271.02198888742254</v>
      </c>
      <c r="I82">
        <v>50.414985550008602</v>
      </c>
      <c r="J82">
        <v>26.774135545546301</v>
      </c>
      <c r="K82">
        <v>8.9060949605639106</v>
      </c>
      <c r="L82">
        <v>1.4942149661026125E-4</v>
      </c>
      <c r="M82">
        <v>1.7322817968964705E-5</v>
      </c>
      <c r="N82" s="1">
        <v>6.4918052448855499E-7</v>
      </c>
      <c r="O82" s="1">
        <v>1.7717273657114998E-8</v>
      </c>
      <c r="P82" s="1">
        <v>-8.9897163841981504E-8</v>
      </c>
      <c r="Q82">
        <v>70.576652258007002</v>
      </c>
      <c r="R82">
        <v>0.15967899303970801</v>
      </c>
      <c r="S82">
        <v>14.058503095564699</v>
      </c>
      <c r="T82">
        <v>0.22098698343876699</v>
      </c>
      <c r="V82">
        <v>0.534555052310836</v>
      </c>
      <c r="W82">
        <v>0.13554710003093401</v>
      </c>
      <c r="X82">
        <v>0.151189829022223</v>
      </c>
      <c r="AA82">
        <v>0.76678452443275902</v>
      </c>
      <c r="AB82">
        <v>2.7050713723057802</v>
      </c>
      <c r="AC82">
        <v>4.8666830601452098</v>
      </c>
      <c r="AD82">
        <v>0.20200897522817801</v>
      </c>
      <c r="AE82">
        <v>5.6223387564738703</v>
      </c>
    </row>
    <row r="83" spans="1:31" x14ac:dyDescent="0.2">
      <c r="A83">
        <v>82</v>
      </c>
      <c r="B83">
        <v>738</v>
      </c>
      <c r="C83">
        <v>240</v>
      </c>
      <c r="D83">
        <v>0.326302230134007</v>
      </c>
      <c r="E83">
        <v>15.977874074282401</v>
      </c>
      <c r="F83">
        <v>2.2268610737547299</v>
      </c>
      <c r="G83">
        <v>-259.90793285324611</v>
      </c>
      <c r="H83">
        <v>-218.87723125909395</v>
      </c>
      <c r="I83">
        <v>40.5782540613679</v>
      </c>
      <c r="J83">
        <v>21.624886145461399</v>
      </c>
      <c r="K83">
        <v>7.1750655048013297</v>
      </c>
      <c r="L83">
        <v>1.4906221229704273E-4</v>
      </c>
      <c r="M83">
        <v>1.7311050084088275E-5</v>
      </c>
      <c r="N83" s="1">
        <v>5.23147845948217E-7</v>
      </c>
      <c r="O83" s="1">
        <v>1.4223656265572E-8</v>
      </c>
      <c r="P83" s="1">
        <v>-7.1886941005747196E-8</v>
      </c>
      <c r="Q83">
        <v>70.191921334011894</v>
      </c>
      <c r="R83">
        <v>0.159217536316416</v>
      </c>
      <c r="S83">
        <v>14.528154090334301</v>
      </c>
      <c r="T83">
        <v>0.214350937083754</v>
      </c>
      <c r="V83">
        <v>0.52272461699403105</v>
      </c>
      <c r="W83">
        <v>0.16714008469483499</v>
      </c>
      <c r="X83">
        <v>0.14951152573061099</v>
      </c>
      <c r="AA83">
        <v>0.78652114470804402</v>
      </c>
      <c r="AB83">
        <v>2.53845067046651</v>
      </c>
      <c r="AC83">
        <v>4.8894443594060801</v>
      </c>
      <c r="AD83">
        <v>0.25034619633347599</v>
      </c>
      <c r="AE83">
        <v>5.6022175039198903</v>
      </c>
    </row>
    <row r="84" spans="1:31" x14ac:dyDescent="0.2">
      <c r="A84">
        <v>83</v>
      </c>
      <c r="B84">
        <v>736</v>
      </c>
      <c r="C84">
        <v>240</v>
      </c>
      <c r="D84">
        <v>0.32482832086409602</v>
      </c>
      <c r="E84">
        <v>13.6779177707585</v>
      </c>
      <c r="F84">
        <v>2.2299398947625999</v>
      </c>
      <c r="G84">
        <v>-222.49279991166307</v>
      </c>
      <c r="H84">
        <v>-187.51515222351949</v>
      </c>
      <c r="I84">
        <v>34.660504075849502</v>
      </c>
      <c r="J84">
        <v>18.528289569149699</v>
      </c>
      <c r="K84">
        <v>6.1337607362796698</v>
      </c>
      <c r="L84">
        <v>1.4881300428392478E-4</v>
      </c>
      <c r="M84">
        <v>1.7304499153353537E-5</v>
      </c>
      <c r="N84" s="1">
        <v>4.47772384753584E-7</v>
      </c>
      <c r="O84" s="1">
        <v>1.21275348338665E-8</v>
      </c>
      <c r="P84" s="1">
        <v>-6.1099543304533803E-8</v>
      </c>
      <c r="Q84">
        <v>69.849069845266001</v>
      </c>
      <c r="R84">
        <v>0.15838044170667501</v>
      </c>
      <c r="S84">
        <v>14.9396637426397</v>
      </c>
      <c r="T84">
        <v>0.20865123450632</v>
      </c>
      <c r="V84">
        <v>0.51204674012604701</v>
      </c>
      <c r="W84">
        <v>0.194390409568902</v>
      </c>
      <c r="X84">
        <v>0.14780748061724699</v>
      </c>
      <c r="AA84">
        <v>0.80548449382225296</v>
      </c>
      <c r="AB84">
        <v>2.4014124442786402</v>
      </c>
      <c r="AC84">
        <v>4.9019903704609904</v>
      </c>
      <c r="AD84">
        <v>0.29244217336522299</v>
      </c>
      <c r="AE84">
        <v>5.5886606236418999</v>
      </c>
    </row>
    <row r="85" spans="1:31" x14ac:dyDescent="0.2">
      <c r="A85">
        <v>84</v>
      </c>
      <c r="B85">
        <v>734</v>
      </c>
      <c r="C85">
        <v>240</v>
      </c>
      <c r="D85">
        <v>0.32334855781164801</v>
      </c>
      <c r="E85">
        <v>12.1077475535593</v>
      </c>
      <c r="F85">
        <v>2.23270875934102</v>
      </c>
      <c r="G85">
        <v>-196.94824155336389</v>
      </c>
      <c r="H85">
        <v>-166.10896879917627</v>
      </c>
      <c r="I85">
        <v>30.620337342191</v>
      </c>
      <c r="J85">
        <v>16.414968019797001</v>
      </c>
      <c r="K85">
        <v>5.4228960686896404</v>
      </c>
      <c r="L85">
        <v>1.4863759857800015E-4</v>
      </c>
      <c r="M85">
        <v>1.7301468346705465E-5</v>
      </c>
      <c r="N85" s="1">
        <v>3.9661674664131598E-7</v>
      </c>
      <c r="O85" s="1">
        <v>1.0700317953444199E-8</v>
      </c>
      <c r="P85" s="1">
        <v>-5.37673793347349E-8</v>
      </c>
      <c r="Q85">
        <v>69.534443642889698</v>
      </c>
      <c r="R85">
        <v>0.157293983743375</v>
      </c>
      <c r="S85">
        <v>15.311924362214</v>
      </c>
      <c r="T85">
        <v>0.203587801847843</v>
      </c>
      <c r="V85">
        <v>0.50216956175851701</v>
      </c>
      <c r="W85">
        <v>0.21872815519685901</v>
      </c>
      <c r="X85">
        <v>0.14608725098622699</v>
      </c>
      <c r="AA85">
        <v>0.82399680355929406</v>
      </c>
      <c r="AB85">
        <v>2.2842337897278799</v>
      </c>
      <c r="AC85">
        <v>4.9076554030434503</v>
      </c>
      <c r="AD85">
        <v>0.33036698050540397</v>
      </c>
      <c r="AE85">
        <v>5.5795122645272803</v>
      </c>
    </row>
    <row r="86" spans="1:31" x14ac:dyDescent="0.2">
      <c r="A86">
        <v>85</v>
      </c>
      <c r="B86">
        <v>732</v>
      </c>
      <c r="C86">
        <v>240</v>
      </c>
      <c r="D86">
        <v>0.32186290603392398</v>
      </c>
      <c r="E86">
        <v>10.9507441399565</v>
      </c>
      <c r="F86">
        <v>2.2352519299651199</v>
      </c>
      <c r="G86">
        <v>-178.12428666441991</v>
      </c>
      <c r="H86">
        <v>-150.33873693465361</v>
      </c>
      <c r="I86">
        <v>27.643187315093598</v>
      </c>
      <c r="J86">
        <v>14.8582472718926</v>
      </c>
      <c r="K86">
        <v>4.8991095782780096</v>
      </c>
      <c r="L86">
        <v>1.4851604822199062E-4</v>
      </c>
      <c r="M86">
        <v>1.7301024053626098E-5</v>
      </c>
      <c r="N86" s="1">
        <v>3.5914474769060501E-7</v>
      </c>
      <c r="O86" s="1">
        <v>9.6514491486231495E-9</v>
      </c>
      <c r="P86" s="1">
        <v>-4.8388499962003998E-8</v>
      </c>
      <c r="Q86">
        <v>69.240431469183093</v>
      </c>
      <c r="R86">
        <v>0.156029528910333</v>
      </c>
      <c r="S86">
        <v>15.655436919698699</v>
      </c>
      <c r="T86">
        <v>0.19899370883203901</v>
      </c>
      <c r="V86">
        <v>0.49289617913955602</v>
      </c>
      <c r="W86">
        <v>0.24094822647742301</v>
      </c>
      <c r="X86">
        <v>0.14435606395942599</v>
      </c>
      <c r="AA86">
        <v>0.84222765170099401</v>
      </c>
      <c r="AB86">
        <v>2.1815263596357801</v>
      </c>
      <c r="AC86">
        <v>4.9082950393665801</v>
      </c>
      <c r="AD86">
        <v>0.36527198050367099</v>
      </c>
      <c r="AE86">
        <v>5.5735868725923003</v>
      </c>
    </row>
    <row r="87" spans="1:31" x14ac:dyDescent="0.2">
      <c r="A87">
        <v>86</v>
      </c>
      <c r="B87">
        <v>760</v>
      </c>
      <c r="C87">
        <v>225</v>
      </c>
      <c r="D87">
        <v>0.35810918066108399</v>
      </c>
      <c r="E87">
        <v>105.800819760256</v>
      </c>
      <c r="F87">
        <v>2.2023183864034901</v>
      </c>
      <c r="G87">
        <v>-1726.8359243789901</v>
      </c>
      <c r="H87">
        <v>-1445.0109849322582</v>
      </c>
      <c r="I87">
        <v>272.78220921137398</v>
      </c>
      <c r="J87">
        <v>142.53225435998201</v>
      </c>
      <c r="K87">
        <v>48.040655889467203</v>
      </c>
      <c r="L87">
        <v>1.4944444134227641E-4</v>
      </c>
      <c r="M87">
        <v>1.759286363934151E-5</v>
      </c>
      <c r="N87" s="1">
        <v>3.3792736733066002E-6</v>
      </c>
      <c r="O87" s="1">
        <v>9.6683345777579806E-8</v>
      </c>
      <c r="P87" s="1">
        <v>-4.9067445938180297E-7</v>
      </c>
      <c r="Q87">
        <v>72.560874456338496</v>
      </c>
      <c r="R87">
        <v>9.0736537030180503E-2</v>
      </c>
      <c r="S87">
        <v>12.2494324990747</v>
      </c>
      <c r="T87">
        <v>0.23679548928348201</v>
      </c>
      <c r="V87">
        <v>0.57142178769165697</v>
      </c>
      <c r="W87">
        <v>2.5519651039738099E-2</v>
      </c>
      <c r="X87">
        <v>0.113420671287726</v>
      </c>
      <c r="AA87">
        <v>0.74668608597752495</v>
      </c>
      <c r="AB87">
        <v>3.3553615255952001</v>
      </c>
      <c r="AC87">
        <v>4.4328579028285704</v>
      </c>
      <c r="AD87">
        <v>3.7806890429241201E-2</v>
      </c>
      <c r="AE87">
        <v>5.5790865034233299</v>
      </c>
    </row>
    <row r="88" spans="1:31" x14ac:dyDescent="0.2">
      <c r="A88">
        <v>87</v>
      </c>
      <c r="B88">
        <v>758</v>
      </c>
      <c r="C88">
        <v>225</v>
      </c>
      <c r="D88">
        <v>0.356728410027642</v>
      </c>
      <c r="E88">
        <v>105.57926298863001</v>
      </c>
      <c r="F88">
        <v>2.20316323992061</v>
      </c>
      <c r="G88">
        <v>-1722.6058097317914</v>
      </c>
      <c r="H88">
        <v>-1442.1823519844907</v>
      </c>
      <c r="I88">
        <v>271.95214832691698</v>
      </c>
      <c r="J88">
        <v>142.22711887262699</v>
      </c>
      <c r="K88">
        <v>47.921670566923098</v>
      </c>
      <c r="L88">
        <v>1.4941200185967878E-4</v>
      </c>
      <c r="M88">
        <v>1.7575751480531794E-5</v>
      </c>
      <c r="N88" s="1">
        <v>3.3800159800866199E-6</v>
      </c>
      <c r="O88" s="1">
        <v>9.6331711244659805E-8</v>
      </c>
      <c r="P88" s="1">
        <v>-4.8971281420599899E-7</v>
      </c>
      <c r="Q88">
        <v>72.5149035809726</v>
      </c>
      <c r="R88">
        <v>9.0926946525794694E-2</v>
      </c>
      <c r="S88">
        <v>12.2751377809837</v>
      </c>
      <c r="T88">
        <v>0.238118655756686</v>
      </c>
      <c r="V88">
        <v>0.57187743669309898</v>
      </c>
      <c r="W88">
        <v>2.5573203710379199E-2</v>
      </c>
      <c r="X88">
        <v>0.113658683157247</v>
      </c>
      <c r="AA88">
        <v>0.74825299745184404</v>
      </c>
      <c r="AB88">
        <v>3.3624027100684</v>
      </c>
      <c r="AC88">
        <v>4.4421602000621201</v>
      </c>
      <c r="AD88">
        <v>3.7886227719078597E-2</v>
      </c>
      <c r="AE88">
        <v>5.5791015768989096</v>
      </c>
    </row>
    <row r="89" spans="1:31" x14ac:dyDescent="0.2">
      <c r="A89">
        <v>88</v>
      </c>
      <c r="B89">
        <v>756</v>
      </c>
      <c r="C89">
        <v>225</v>
      </c>
      <c r="D89">
        <v>0.35534227274935698</v>
      </c>
      <c r="E89">
        <v>105.155846509482</v>
      </c>
      <c r="F89">
        <v>2.2041280027803398</v>
      </c>
      <c r="G89">
        <v>-1715.032404924144</v>
      </c>
      <c r="H89">
        <v>-1436.5121361011711</v>
      </c>
      <c r="I89">
        <v>270.63136454644399</v>
      </c>
      <c r="J89">
        <v>141.67136529443101</v>
      </c>
      <c r="K89">
        <v>47.708593319823699</v>
      </c>
      <c r="L89">
        <v>1.4947091288338105E-4</v>
      </c>
      <c r="M89">
        <v>1.7559403297012769E-5</v>
      </c>
      <c r="N89" s="1">
        <v>3.3753417939666598E-6</v>
      </c>
      <c r="O89" s="1">
        <v>9.5825986307237196E-8</v>
      </c>
      <c r="P89" s="1">
        <v>-4.8825577277243202E-7</v>
      </c>
      <c r="Q89">
        <v>72.424783464645898</v>
      </c>
      <c r="R89">
        <v>9.1293069464610105E-2</v>
      </c>
      <c r="S89">
        <v>12.3245643777243</v>
      </c>
      <c r="T89">
        <v>0.23998631467512399</v>
      </c>
      <c r="V89">
        <v>0.57336233454111996</v>
      </c>
      <c r="W89">
        <v>2.5676175786920899E-2</v>
      </c>
      <c r="X89">
        <v>0.11411633683076799</v>
      </c>
      <c r="AA89">
        <v>0.75126588413584305</v>
      </c>
      <c r="AB89">
        <v>3.3759416312433301</v>
      </c>
      <c r="AC89">
        <v>4.4600468311354602</v>
      </c>
      <c r="AD89">
        <v>3.8038778943584102E-2</v>
      </c>
      <c r="AE89">
        <v>5.5809248008729204</v>
      </c>
    </row>
    <row r="90" spans="1:31" x14ac:dyDescent="0.2">
      <c r="A90">
        <v>89</v>
      </c>
      <c r="B90">
        <v>754</v>
      </c>
      <c r="C90">
        <v>225</v>
      </c>
      <c r="D90">
        <v>0.35395073747748601</v>
      </c>
      <c r="E90">
        <v>104.73642845407799</v>
      </c>
      <c r="F90">
        <v>2.2050933192137601</v>
      </c>
      <c r="G90">
        <v>-1707.5300404979212</v>
      </c>
      <c r="H90">
        <v>-1430.8959249000018</v>
      </c>
      <c r="I90">
        <v>269.3220226821</v>
      </c>
      <c r="J90">
        <v>141.120814713432</v>
      </c>
      <c r="K90">
        <v>47.497503865923498</v>
      </c>
      <c r="L90">
        <v>1.4952950981179174E-4</v>
      </c>
      <c r="M90">
        <v>1.75430155604996E-5</v>
      </c>
      <c r="N90" s="1">
        <v>3.37073589298154E-6</v>
      </c>
      <c r="O90" s="1">
        <v>9.5324923552898202E-8</v>
      </c>
      <c r="P90" s="1">
        <v>-4.8681331617972405E-7</v>
      </c>
      <c r="Q90">
        <v>72.334781702078502</v>
      </c>
      <c r="R90">
        <v>9.1658653457036901E-2</v>
      </c>
      <c r="S90">
        <v>12.3739182167023</v>
      </c>
      <c r="T90">
        <v>0.241867035567122</v>
      </c>
      <c r="V90">
        <v>0.57483081944086101</v>
      </c>
      <c r="W90">
        <v>2.5778996284790801E-2</v>
      </c>
      <c r="X90">
        <v>0.11457331682130199</v>
      </c>
      <c r="AA90">
        <v>0.75427433574018499</v>
      </c>
      <c r="AB90">
        <v>3.38946062262993</v>
      </c>
      <c r="AC90">
        <v>4.4779071324321</v>
      </c>
      <c r="AD90">
        <v>3.81911056070946E-2</v>
      </c>
      <c r="AE90">
        <v>5.5827580632386704</v>
      </c>
    </row>
    <row r="91" spans="1:31" x14ac:dyDescent="0.2">
      <c r="A91">
        <v>90</v>
      </c>
      <c r="B91">
        <v>752</v>
      </c>
      <c r="C91">
        <v>225</v>
      </c>
      <c r="D91">
        <v>0.35255377261864101</v>
      </c>
      <c r="E91">
        <v>104.320947476824</v>
      </c>
      <c r="F91">
        <v>2.2060592047520799</v>
      </c>
      <c r="G91">
        <v>-1700.0976330743135</v>
      </c>
      <c r="H91">
        <v>-1425.3328877288423</v>
      </c>
      <c r="I91">
        <v>268.02394317462898</v>
      </c>
      <c r="J91">
        <v>140.575387103699</v>
      </c>
      <c r="K91">
        <v>47.288371614010401</v>
      </c>
      <c r="L91">
        <v>1.4958778626992069E-4</v>
      </c>
      <c r="M91">
        <v>1.7526587615055408E-5</v>
      </c>
      <c r="N91" s="1">
        <v>3.3661970011243699E-6</v>
      </c>
      <c r="O91" s="1">
        <v>9.4828446315549098E-8</v>
      </c>
      <c r="P91" s="1">
        <v>-4.85385184388255E-7</v>
      </c>
      <c r="Q91">
        <v>72.244897298849807</v>
      </c>
      <c r="R91">
        <v>9.2023704080456001E-2</v>
      </c>
      <c r="S91">
        <v>12.4232000508648</v>
      </c>
      <c r="T91">
        <v>0.24376097137008301</v>
      </c>
      <c r="V91">
        <v>0.57628280199858495</v>
      </c>
      <c r="W91">
        <v>2.5881666772627099E-2</v>
      </c>
      <c r="X91">
        <v>0.115029630100579</v>
      </c>
      <c r="AA91">
        <v>0.75727839816206599</v>
      </c>
      <c r="AB91">
        <v>3.4029598904750902</v>
      </c>
      <c r="AC91">
        <v>4.4957413764303098</v>
      </c>
      <c r="AD91">
        <v>3.8343210033517698E-2</v>
      </c>
      <c r="AE91">
        <v>5.5846010008619604</v>
      </c>
    </row>
    <row r="92" spans="1:31" x14ac:dyDescent="0.2">
      <c r="A92">
        <v>91</v>
      </c>
      <c r="B92">
        <v>750</v>
      </c>
      <c r="C92">
        <v>225</v>
      </c>
      <c r="D92">
        <v>0.35115134633240402</v>
      </c>
      <c r="E92">
        <v>102.578452314722</v>
      </c>
      <c r="F92">
        <v>2.2074653242786502</v>
      </c>
      <c r="G92">
        <v>-1670.6190606184721</v>
      </c>
      <c r="H92">
        <v>-1401.3508615756084</v>
      </c>
      <c r="I92">
        <v>263.17568200445999</v>
      </c>
      <c r="J92">
        <v>138.196667543812</v>
      </c>
      <c r="K92">
        <v>46.4688850087567</v>
      </c>
      <c r="L92">
        <v>1.4938629814225375E-4</v>
      </c>
      <c r="M92">
        <v>1.7485625519945428E-5</v>
      </c>
      <c r="N92" s="1">
        <v>3.30945138431267E-6</v>
      </c>
      <c r="O92" s="1">
        <v>9.28912896992994E-8</v>
      </c>
      <c r="P92" s="1">
        <v>-4.7661395257618402E-7</v>
      </c>
      <c r="Q92">
        <v>72.165581999490101</v>
      </c>
      <c r="R92">
        <v>9.3586906249533294E-2</v>
      </c>
      <c r="S92">
        <v>12.4587405770814</v>
      </c>
      <c r="T92">
        <v>0.24884563432687001</v>
      </c>
      <c r="V92">
        <v>0.58522275170058402</v>
      </c>
      <c r="W92">
        <v>2.6321317382679701E-2</v>
      </c>
      <c r="X92">
        <v>0.116983632811929</v>
      </c>
      <c r="AA92">
        <v>0.74473384253717301</v>
      </c>
      <c r="AB92">
        <v>3.3903157495462999</v>
      </c>
      <c r="AC92">
        <v>4.5597315717889604</v>
      </c>
      <c r="AD92">
        <v>3.8994544270631003E-2</v>
      </c>
      <c r="AE92">
        <v>5.5709414728137698</v>
      </c>
    </row>
    <row r="93" spans="1:31" x14ac:dyDescent="0.2">
      <c r="A93">
        <v>92</v>
      </c>
      <c r="B93">
        <v>748</v>
      </c>
      <c r="C93">
        <v>225</v>
      </c>
      <c r="D93">
        <v>0.34974342652891699</v>
      </c>
      <c r="E93">
        <v>98.9427407688366</v>
      </c>
      <c r="F93">
        <v>2.2095810721987901</v>
      </c>
      <c r="G93">
        <v>-1609.7465681355593</v>
      </c>
      <c r="H93">
        <v>-1351.1117268663304</v>
      </c>
      <c r="I93">
        <v>253.27801132960701</v>
      </c>
      <c r="J93">
        <v>133.20744470651599</v>
      </c>
      <c r="K93">
        <v>44.778959239715398</v>
      </c>
      <c r="L93">
        <v>1.4879799413157317E-4</v>
      </c>
      <c r="M93">
        <v>1.7408385355809891E-5</v>
      </c>
      <c r="N93" s="1">
        <v>3.1783341513438899E-6</v>
      </c>
      <c r="O93" s="1">
        <v>8.89182131499543E-8</v>
      </c>
      <c r="P93" s="1">
        <v>-4.57377873673548E-7</v>
      </c>
      <c r="Q93">
        <v>72.098486302847704</v>
      </c>
      <c r="R93">
        <v>9.7025814379137806E-2</v>
      </c>
      <c r="S93">
        <v>12.4764157860641</v>
      </c>
      <c r="T93">
        <v>0.25893948288802698</v>
      </c>
      <c r="V93">
        <v>0.605872422154345</v>
      </c>
      <c r="W93">
        <v>2.7288510294130101E-2</v>
      </c>
      <c r="X93">
        <v>0.121282267973942</v>
      </c>
      <c r="AA93">
        <v>0.71385110295583398</v>
      </c>
      <c r="AB93">
        <v>3.3362647533155401</v>
      </c>
      <c r="AC93">
        <v>4.6899924522897898</v>
      </c>
      <c r="AD93">
        <v>4.0427422657961697E-2</v>
      </c>
      <c r="AE93">
        <v>5.5341536821794</v>
      </c>
    </row>
    <row r="94" spans="1:31" x14ac:dyDescent="0.2">
      <c r="A94">
        <v>93</v>
      </c>
      <c r="B94">
        <v>746</v>
      </c>
      <c r="C94">
        <v>225</v>
      </c>
      <c r="D94">
        <v>0.34832998086640898</v>
      </c>
      <c r="E94">
        <v>46.052959006235803</v>
      </c>
      <c r="F94">
        <v>2.2146329886000302</v>
      </c>
      <c r="G94">
        <v>-748.98732433589237</v>
      </c>
      <c r="H94">
        <v>-629.31383159639267</v>
      </c>
      <c r="I94">
        <v>117.42480767257</v>
      </c>
      <c r="J94">
        <v>62.026617126162797</v>
      </c>
      <c r="K94">
        <v>20.794849188690101</v>
      </c>
      <c r="L94">
        <v>1.4767553943013272E-4</v>
      </c>
      <c r="M94">
        <v>1.7319990982820534E-5</v>
      </c>
      <c r="N94" s="1">
        <v>1.46470994830362E-6</v>
      </c>
      <c r="O94" s="1">
        <v>4.0850472854078299E-8</v>
      </c>
      <c r="P94" s="1">
        <v>-2.0928717649267699E-7</v>
      </c>
      <c r="Q94">
        <v>71.733180477803302</v>
      </c>
      <c r="R94">
        <v>0.13340001643445901</v>
      </c>
      <c r="S94">
        <v>12.909865013141101</v>
      </c>
      <c r="T94">
        <v>0.24517016964379401</v>
      </c>
      <c r="V94">
        <v>0.57799515455027295</v>
      </c>
      <c r="W94">
        <v>5.8628154591190397E-2</v>
      </c>
      <c r="X94">
        <v>0.153307937487387</v>
      </c>
      <c r="AA94">
        <v>0.72429095931281695</v>
      </c>
      <c r="AB94">
        <v>3.0926726432231302</v>
      </c>
      <c r="AC94">
        <v>4.8177620335095499</v>
      </c>
      <c r="AD94">
        <v>8.6856525320206199E-2</v>
      </c>
      <c r="AE94">
        <v>5.4668709149826498</v>
      </c>
    </row>
    <row r="95" spans="1:31" x14ac:dyDescent="0.2">
      <c r="A95">
        <v>94</v>
      </c>
      <c r="B95">
        <v>744</v>
      </c>
      <c r="C95">
        <v>225</v>
      </c>
      <c r="D95">
        <v>0.34691097674876298</v>
      </c>
      <c r="E95">
        <v>25.6435480998876</v>
      </c>
      <c r="F95">
        <v>2.2200569839681399</v>
      </c>
      <c r="G95">
        <v>-417.09513682609435</v>
      </c>
      <c r="H95">
        <v>-350.8485760190203</v>
      </c>
      <c r="I95">
        <v>65.129588366587001</v>
      </c>
      <c r="J95">
        <v>34.574960517463197</v>
      </c>
      <c r="K95">
        <v>11.550851300245499</v>
      </c>
      <c r="L95">
        <v>1.4674750626655583E-4</v>
      </c>
      <c r="M95">
        <v>1.7271927202272949E-5</v>
      </c>
      <c r="N95" s="1">
        <v>8.0941504754723102E-7</v>
      </c>
      <c r="O95" s="1">
        <v>2.2498603297455499E-8</v>
      </c>
      <c r="P95" s="1">
        <v>-1.14456307333806E-7</v>
      </c>
      <c r="Q95">
        <v>71.213027002380798</v>
      </c>
      <c r="R95">
        <v>0.165026850305074</v>
      </c>
      <c r="S95">
        <v>13.571912260815299</v>
      </c>
      <c r="T95">
        <v>0.22567462918283501</v>
      </c>
      <c r="V95">
        <v>0.53941862123786799</v>
      </c>
      <c r="W95">
        <v>0.10528964203713</v>
      </c>
      <c r="X95">
        <v>0.15836719667972199</v>
      </c>
      <c r="AA95">
        <v>0.74975188923186298</v>
      </c>
      <c r="AB95">
        <v>2.8079705045232499</v>
      </c>
      <c r="AC95">
        <v>4.8944365775460499</v>
      </c>
      <c r="AD95">
        <v>0.15598465486964999</v>
      </c>
      <c r="AE95">
        <v>5.4131401711903502</v>
      </c>
    </row>
    <row r="96" spans="1:31" x14ac:dyDescent="0.2">
      <c r="A96">
        <v>95</v>
      </c>
      <c r="B96">
        <v>742</v>
      </c>
      <c r="C96">
        <v>225</v>
      </c>
      <c r="D96">
        <v>0.345486381322956</v>
      </c>
      <c r="E96">
        <v>18.9615821788205</v>
      </c>
      <c r="F96">
        <v>2.2241035251363299</v>
      </c>
      <c r="G96">
        <v>-308.41448382931713</v>
      </c>
      <c r="H96">
        <v>-259.66702900864442</v>
      </c>
      <c r="I96">
        <v>48.019952539696497</v>
      </c>
      <c r="J96">
        <v>25.591480108213101</v>
      </c>
      <c r="K96">
        <v>8.5254944136011908</v>
      </c>
      <c r="L96">
        <v>1.462530472471834E-4</v>
      </c>
      <c r="M96">
        <v>1.7252955005579202E-5</v>
      </c>
      <c r="N96" s="1">
        <v>5.9683187237857602E-7</v>
      </c>
      <c r="O96" s="1">
        <v>1.6528902354367298E-8</v>
      </c>
      <c r="P96" s="1">
        <v>-8.3671719117997602E-8</v>
      </c>
      <c r="Q96">
        <v>70.782191168012304</v>
      </c>
      <c r="R96">
        <v>0.16686769223456899</v>
      </c>
      <c r="S96">
        <v>14.104226289495999</v>
      </c>
      <c r="T96">
        <v>0.21748649568232001</v>
      </c>
      <c r="V96">
        <v>0.52513466732313197</v>
      </c>
      <c r="W96">
        <v>0.14164705329556199</v>
      </c>
      <c r="X96">
        <v>0.157105601733113</v>
      </c>
      <c r="AA96">
        <v>0.77063824396640201</v>
      </c>
      <c r="AB96">
        <v>2.6067097164594299</v>
      </c>
      <c r="AC96">
        <v>4.9312779267526601</v>
      </c>
      <c r="AD96">
        <v>0.21095286048763601</v>
      </c>
      <c r="AE96">
        <v>5.3857622845567299</v>
      </c>
    </row>
    <row r="97" spans="1:31" x14ac:dyDescent="0.2">
      <c r="A97">
        <v>96</v>
      </c>
      <c r="B97">
        <v>740</v>
      </c>
      <c r="C97">
        <v>225</v>
      </c>
      <c r="D97">
        <v>0.34405616147658602</v>
      </c>
      <c r="E97">
        <v>15.565769869677901</v>
      </c>
      <c r="F97">
        <v>2.2274613398355498</v>
      </c>
      <c r="G97">
        <v>-253.17924675998952</v>
      </c>
      <c r="H97">
        <v>-213.33696138942693</v>
      </c>
      <c r="I97">
        <v>39.325159522837303</v>
      </c>
      <c r="J97">
        <v>21.0276412799602</v>
      </c>
      <c r="K97">
        <v>6.9881212263047097</v>
      </c>
      <c r="L97">
        <v>1.4592820601145708E-4</v>
      </c>
      <c r="M97">
        <v>1.7242743557636912E-5</v>
      </c>
      <c r="N97" s="1">
        <v>4.89467396301685E-7</v>
      </c>
      <c r="O97" s="1">
        <v>1.35044969481951E-8</v>
      </c>
      <c r="P97" s="1">
        <v>-6.81020959433142E-8</v>
      </c>
      <c r="Q97">
        <v>70.411777676727297</v>
      </c>
      <c r="R97">
        <v>0.16625606686444599</v>
      </c>
      <c r="S97">
        <v>14.553431451208301</v>
      </c>
      <c r="T97">
        <v>0.21117190747697101</v>
      </c>
      <c r="V97">
        <v>0.51376093073631202</v>
      </c>
      <c r="W97">
        <v>0.17170629991388101</v>
      </c>
      <c r="X97">
        <v>0.15541456098485401</v>
      </c>
      <c r="AA97">
        <v>0.78974005458542995</v>
      </c>
      <c r="AB97">
        <v>2.4497571830399099</v>
      </c>
      <c r="AC97">
        <v>4.9516850534439802</v>
      </c>
      <c r="AD97">
        <v>0.25697411907552598</v>
      </c>
      <c r="AE97">
        <v>5.3683246959429898</v>
      </c>
    </row>
    <row r="98" spans="1:31" x14ac:dyDescent="0.2">
      <c r="A98">
        <v>97</v>
      </c>
      <c r="B98">
        <v>738</v>
      </c>
      <c r="C98">
        <v>225</v>
      </c>
      <c r="D98">
        <v>0.34262028383523802</v>
      </c>
      <c r="E98">
        <v>13.4488539929872</v>
      </c>
      <c r="F98">
        <v>2.2304077431388101</v>
      </c>
      <c r="G98">
        <v>-218.74437374717164</v>
      </c>
      <c r="H98">
        <v>-184.46171747114516</v>
      </c>
      <c r="I98">
        <v>33.904619765639602</v>
      </c>
      <c r="J98">
        <v>18.1835335188923</v>
      </c>
      <c r="K98">
        <v>6.02977371933836</v>
      </c>
      <c r="L98">
        <v>1.4570034317766149E-4</v>
      </c>
      <c r="M98">
        <v>1.7237218727024141E-5</v>
      </c>
      <c r="N98" s="1">
        <v>4.2292663318083302E-7</v>
      </c>
      <c r="O98" s="1">
        <v>1.1624049790150001E-8</v>
      </c>
      <c r="P98" s="1">
        <v>-5.8437832563552801E-8</v>
      </c>
      <c r="Q98">
        <v>70.079357080995607</v>
      </c>
      <c r="R98">
        <v>0.16529118529140399</v>
      </c>
      <c r="S98">
        <v>14.950512728209301</v>
      </c>
      <c r="T98">
        <v>0.20569956579231</v>
      </c>
      <c r="V98">
        <v>0.50343216187804896</v>
      </c>
      <c r="W98">
        <v>0.19787548637692401</v>
      </c>
      <c r="X98">
        <v>0.153699136236257</v>
      </c>
      <c r="AA98">
        <v>0.80800135372914395</v>
      </c>
      <c r="AB98">
        <v>2.3196006723560201</v>
      </c>
      <c r="AC98">
        <v>4.9625785147372303</v>
      </c>
      <c r="AD98">
        <v>0.29742311144715899</v>
      </c>
      <c r="AE98">
        <v>5.3565290029504498</v>
      </c>
    </row>
    <row r="99" spans="1:31" x14ac:dyDescent="0.2">
      <c r="A99">
        <v>98</v>
      </c>
      <c r="B99">
        <v>736</v>
      </c>
      <c r="C99">
        <v>225</v>
      </c>
      <c r="D99">
        <v>0.34117871475994799</v>
      </c>
      <c r="E99">
        <v>11.9738462502111</v>
      </c>
      <c r="F99">
        <v>2.2330732833720202</v>
      </c>
      <c r="G99">
        <v>-194.74979230142804</v>
      </c>
      <c r="H99">
        <v>-164.34663036409299</v>
      </c>
      <c r="I99">
        <v>30.127495354838299</v>
      </c>
      <c r="J99">
        <v>16.2024772808543</v>
      </c>
      <c r="K99">
        <v>5.3620480525073404</v>
      </c>
      <c r="L99">
        <v>1.4553834003325951E-4</v>
      </c>
      <c r="M99">
        <v>1.7234873677905197E-5</v>
      </c>
      <c r="N99" s="1">
        <v>3.7683192910394701E-7</v>
      </c>
      <c r="O99" s="1">
        <v>1.03171836517825E-8</v>
      </c>
      <c r="P99" s="1">
        <v>-5.1732846308915299E-8</v>
      </c>
      <c r="Q99">
        <v>69.773127844843003</v>
      </c>
      <c r="R99">
        <v>0.164090215536002</v>
      </c>
      <c r="S99">
        <v>15.311612277586701</v>
      </c>
      <c r="T99">
        <v>0.20081009948468501</v>
      </c>
      <c r="V99">
        <v>0.49383996970733501</v>
      </c>
      <c r="W99">
        <v>0.22137426741104099</v>
      </c>
      <c r="X99">
        <v>0.15196805175876299</v>
      </c>
      <c r="AA99">
        <v>0.82580733687988706</v>
      </c>
      <c r="AB99">
        <v>2.2077399126497101</v>
      </c>
      <c r="AC99">
        <v>4.9669943806635004</v>
      </c>
      <c r="AD99">
        <v>0.33406141321728799</v>
      </c>
      <c r="AE99">
        <v>5.3485742302619599</v>
      </c>
    </row>
    <row r="100" spans="1:31" x14ac:dyDescent="0.2">
      <c r="A100">
        <v>99</v>
      </c>
      <c r="B100">
        <v>734</v>
      </c>
      <c r="C100">
        <v>225</v>
      </c>
      <c r="D100">
        <v>0.33973142034453802</v>
      </c>
      <c r="E100">
        <v>10.872498329277899</v>
      </c>
      <c r="F100">
        <v>2.2355320592966201</v>
      </c>
      <c r="G100">
        <v>-176.83265945889596</v>
      </c>
      <c r="H100">
        <v>-149.33038362414536</v>
      </c>
      <c r="I100">
        <v>27.307030566202201</v>
      </c>
      <c r="J100">
        <v>14.7237388876491</v>
      </c>
      <c r="K100">
        <v>4.8634947032245996</v>
      </c>
      <c r="L100">
        <v>1.4542477334906551E-4</v>
      </c>
      <c r="M100">
        <v>1.7234872935914218E-5</v>
      </c>
      <c r="N100" s="1">
        <v>3.4261365245526801E-7</v>
      </c>
      <c r="O100" s="1">
        <v>9.3438744284398795E-9</v>
      </c>
      <c r="P100" s="1">
        <v>-4.6747837938602702E-8</v>
      </c>
      <c r="Q100">
        <v>69.486300046747203</v>
      </c>
      <c r="R100">
        <v>0.16272021412906301</v>
      </c>
      <c r="S100">
        <v>15.6459876502005</v>
      </c>
      <c r="T100">
        <v>0.196355632036669</v>
      </c>
      <c r="V100">
        <v>0.48480858554518202</v>
      </c>
      <c r="W100">
        <v>0.242902732308311</v>
      </c>
      <c r="X100">
        <v>0.150226208659302</v>
      </c>
      <c r="AA100">
        <v>0.843345636204196</v>
      </c>
      <c r="AB100">
        <v>2.10935361783898</v>
      </c>
      <c r="AC100">
        <v>4.9666478664210203</v>
      </c>
      <c r="AD100">
        <v>0.367900723352589</v>
      </c>
      <c r="AE100">
        <v>5.3434510865567999</v>
      </c>
    </row>
    <row r="101" spans="1:31" x14ac:dyDescent="0.2">
      <c r="A101">
        <v>100</v>
      </c>
      <c r="B101">
        <v>760</v>
      </c>
      <c r="C101">
        <v>210</v>
      </c>
      <c r="D101">
        <v>0.374079756085759</v>
      </c>
      <c r="E101">
        <v>105.564164472778</v>
      </c>
      <c r="F101">
        <v>2.20319925996067</v>
      </c>
      <c r="G101">
        <v>-1722.3938846733749</v>
      </c>
      <c r="H101">
        <v>-1442.6367663131625</v>
      </c>
      <c r="I101">
        <v>270.78073693095098</v>
      </c>
      <c r="J101">
        <v>141.986529041057</v>
      </c>
      <c r="K101">
        <v>47.914034100875099</v>
      </c>
      <c r="L101">
        <v>1.4667984287772127E-4</v>
      </c>
      <c r="M101">
        <v>1.7525302257438583E-5</v>
      </c>
      <c r="N101" s="1">
        <v>3.2585934381415999E-6</v>
      </c>
      <c r="O101" s="1">
        <v>9.4169761363995702E-8</v>
      </c>
      <c r="P101" s="1">
        <v>-4.7835729553052102E-7</v>
      </c>
      <c r="Q101">
        <v>72.723542485682501</v>
      </c>
      <c r="R101">
        <v>9.0939951525647697E-2</v>
      </c>
      <c r="S101">
        <v>12.276893455962799</v>
      </c>
      <c r="T101">
        <v>0.239051287556627</v>
      </c>
      <c r="V101">
        <v>0.57115068339130504</v>
      </c>
      <c r="W101">
        <v>2.5576861366588301E-2</v>
      </c>
      <c r="X101">
        <v>0.11367493940706</v>
      </c>
      <c r="AA101">
        <v>0.74836001776314098</v>
      </c>
      <c r="AB101">
        <v>3.3628836241254998</v>
      </c>
      <c r="AC101">
        <v>4.4427955484925397</v>
      </c>
      <c r="AD101">
        <v>3.78916464690192E-2</v>
      </c>
      <c r="AE101">
        <v>5.3672394982571703</v>
      </c>
    </row>
    <row r="102" spans="1:31" x14ac:dyDescent="0.2">
      <c r="A102">
        <v>101</v>
      </c>
      <c r="B102">
        <v>758</v>
      </c>
      <c r="C102">
        <v>210</v>
      </c>
      <c r="D102">
        <v>0.37272996169325601</v>
      </c>
      <c r="E102">
        <v>105.271144286154</v>
      </c>
      <c r="F102">
        <v>2.20407802741278</v>
      </c>
      <c r="G102">
        <v>-1716.9838007666287</v>
      </c>
      <c r="H102">
        <v>-1438.7988108435054</v>
      </c>
      <c r="I102">
        <v>269.78130235477101</v>
      </c>
      <c r="J102">
        <v>141.59342985697899</v>
      </c>
      <c r="K102">
        <v>47.761986180554899</v>
      </c>
      <c r="L102">
        <v>1.4668310122098406E-4</v>
      </c>
      <c r="M102">
        <v>1.750875725581056E-5</v>
      </c>
      <c r="N102" s="1">
        <v>3.2574000635672599E-6</v>
      </c>
      <c r="O102" s="1">
        <v>9.3774797066051202E-8</v>
      </c>
      <c r="P102" s="1">
        <v>-4.77254893525651E-7</v>
      </c>
      <c r="Q102">
        <v>72.661878338152803</v>
      </c>
      <c r="R102">
        <v>9.1193081115417005E-2</v>
      </c>
      <c r="S102">
        <v>12.311065950582099</v>
      </c>
      <c r="T102">
        <v>0.24057764731958201</v>
      </c>
      <c r="V102">
        <v>0.57196576431399604</v>
      </c>
      <c r="W102">
        <v>2.56480540637107E-2</v>
      </c>
      <c r="X102">
        <v>0.11399135139427299</v>
      </c>
      <c r="AA102">
        <v>0.75044306334561395</v>
      </c>
      <c r="AB102">
        <v>3.3722441454138301</v>
      </c>
      <c r="AC102">
        <v>4.4551619836593499</v>
      </c>
      <c r="AD102">
        <v>3.7997117131422203E-2</v>
      </c>
      <c r="AE102">
        <v>5.3678335035078097</v>
      </c>
    </row>
    <row r="103" spans="1:31" x14ac:dyDescent="0.2">
      <c r="A103">
        <v>102</v>
      </c>
      <c r="B103">
        <v>756</v>
      </c>
      <c r="C103">
        <v>210</v>
      </c>
      <c r="D103">
        <v>0.371374921051355</v>
      </c>
      <c r="E103">
        <v>104.85766435485201</v>
      </c>
      <c r="F103">
        <v>2.2050326750879501</v>
      </c>
      <c r="G103">
        <v>-1709.5804641628163</v>
      </c>
      <c r="H103">
        <v>-1433.2631940886054</v>
      </c>
      <c r="I103">
        <v>268.49076429501099</v>
      </c>
      <c r="J103">
        <v>141.051030328054</v>
      </c>
      <c r="K103">
        <v>47.553791623822399</v>
      </c>
      <c r="L103">
        <v>1.4674077296072201E-4</v>
      </c>
      <c r="M103">
        <v>1.7492578087911251E-5</v>
      </c>
      <c r="N103" s="1">
        <v>3.2530402783781098E-6</v>
      </c>
      <c r="O103" s="1">
        <v>9.3289867029406103E-8</v>
      </c>
      <c r="P103" s="1">
        <v>-4.7586451493932602E-7</v>
      </c>
      <c r="Q103">
        <v>72.573548055202096</v>
      </c>
      <c r="R103">
        <v>9.1552678185853803E-2</v>
      </c>
      <c r="S103">
        <v>12.3596115550916</v>
      </c>
      <c r="T103">
        <v>0.24244225494413599</v>
      </c>
      <c r="V103">
        <v>0.57339698617948498</v>
      </c>
      <c r="W103">
        <v>2.5749190739770798E-2</v>
      </c>
      <c r="X103">
        <v>0.11444084773232099</v>
      </c>
      <c r="AA103">
        <v>0.75340224757107999</v>
      </c>
      <c r="AB103">
        <v>3.3855417454143399</v>
      </c>
      <c r="AC103">
        <v>4.4727297988712698</v>
      </c>
      <c r="AD103">
        <v>3.8146949244103202E-2</v>
      </c>
      <c r="AE103">
        <v>5.3694376908237498</v>
      </c>
    </row>
    <row r="104" spans="1:31" x14ac:dyDescent="0.2">
      <c r="A104">
        <v>103</v>
      </c>
      <c r="B104">
        <v>754</v>
      </c>
      <c r="C104">
        <v>210</v>
      </c>
      <c r="D104">
        <v>0.37001460351457899</v>
      </c>
      <c r="E104">
        <v>103.859162082754</v>
      </c>
      <c r="F104">
        <v>2.20617174463084</v>
      </c>
      <c r="G104">
        <v>-1692.4577367175243</v>
      </c>
      <c r="H104">
        <v>-1419.6024437533301</v>
      </c>
      <c r="I104">
        <v>265.64308325385201</v>
      </c>
      <c r="J104">
        <v>139.702059804187</v>
      </c>
      <c r="K104">
        <v>47.076644116903601</v>
      </c>
      <c r="L104">
        <v>1.4669057513969793E-4</v>
      </c>
      <c r="M104">
        <v>1.7465911647364024E-5</v>
      </c>
      <c r="N104" s="1">
        <v>3.22659026616131E-6</v>
      </c>
      <c r="O104" s="1">
        <v>9.2185911150912906E-8</v>
      </c>
      <c r="P104" s="1">
        <v>-4.7133033601230397E-7</v>
      </c>
      <c r="Q104">
        <v>72.489485244191798</v>
      </c>
      <c r="R104">
        <v>9.2432865887661003E-2</v>
      </c>
      <c r="S104">
        <v>12.4020998598583</v>
      </c>
      <c r="T104">
        <v>0.24570113597054899</v>
      </c>
      <c r="V104">
        <v>0.57807456531865897</v>
      </c>
      <c r="W104">
        <v>2.5996743530903699E-2</v>
      </c>
      <c r="X104">
        <v>0.11554108235958301</v>
      </c>
      <c r="AA104">
        <v>0.74946076385716598</v>
      </c>
      <c r="AB104">
        <v>3.38742745293822</v>
      </c>
      <c r="AC104">
        <v>4.5105954535390698</v>
      </c>
      <c r="AD104">
        <v>3.85136941198541E-2</v>
      </c>
      <c r="AE104">
        <v>5.3646711384281298</v>
      </c>
    </row>
    <row r="105" spans="1:31" x14ac:dyDescent="0.2">
      <c r="A105">
        <v>104</v>
      </c>
      <c r="B105">
        <v>752</v>
      </c>
      <c r="C105">
        <v>210</v>
      </c>
      <c r="D105">
        <v>0.36864897819831499</v>
      </c>
      <c r="E105">
        <v>100.30223322638101</v>
      </c>
      <c r="F105">
        <v>2.20817694162159</v>
      </c>
      <c r="G105">
        <v>-1632.8606562081372</v>
      </c>
      <c r="H105">
        <v>-1370.4277906363491</v>
      </c>
      <c r="I105">
        <v>255.99460134788799</v>
      </c>
      <c r="J105">
        <v>134.830214787236</v>
      </c>
      <c r="K105">
        <v>45.423096010016202</v>
      </c>
      <c r="L105">
        <v>1.4615726610502051E-4</v>
      </c>
      <c r="M105">
        <v>1.7392515146413732E-5</v>
      </c>
      <c r="N105" s="1">
        <v>3.1037757760119102E-6</v>
      </c>
      <c r="O105" s="1">
        <v>8.8386864091854799E-8</v>
      </c>
      <c r="P105" s="1">
        <v>-4.53065631588009E-7</v>
      </c>
      <c r="Q105">
        <v>72.421559211669603</v>
      </c>
      <c r="R105">
        <v>9.5710730371606004E-2</v>
      </c>
      <c r="S105">
        <v>12.419643215184999</v>
      </c>
      <c r="T105">
        <v>0.25534852645406603</v>
      </c>
      <c r="V105">
        <v>0.59773360714732104</v>
      </c>
      <c r="W105">
        <v>2.6918642917013E-2</v>
      </c>
      <c r="X105">
        <v>0.11963841296451599</v>
      </c>
      <c r="AA105">
        <v>0.71833248632176405</v>
      </c>
      <c r="AB105">
        <v>3.3362593469608002</v>
      </c>
      <c r="AC105">
        <v>4.6377064966842596</v>
      </c>
      <c r="AD105">
        <v>3.9879470988163003E-2</v>
      </c>
      <c r="AE105">
        <v>5.3312698523356996</v>
      </c>
    </row>
    <row r="106" spans="1:31" x14ac:dyDescent="0.2">
      <c r="A106">
        <v>105</v>
      </c>
      <c r="B106">
        <v>750</v>
      </c>
      <c r="C106">
        <v>210</v>
      </c>
      <c r="D106">
        <v>0.36727801397644499</v>
      </c>
      <c r="E106">
        <v>96.601665346174698</v>
      </c>
      <c r="F106">
        <v>2.2103421664238998</v>
      </c>
      <c r="G106">
        <v>-1570.9760999828645</v>
      </c>
      <c r="H106">
        <v>-1319.2901956678618</v>
      </c>
      <c r="I106">
        <v>245.99120785320099</v>
      </c>
      <c r="J106">
        <v>129.76823178903101</v>
      </c>
      <c r="K106">
        <v>43.704394194526699</v>
      </c>
      <c r="L106">
        <v>1.4557986278051414E-4</v>
      </c>
      <c r="M106">
        <v>1.7315165794898334E-5</v>
      </c>
      <c r="N106" s="1">
        <v>2.9758338584562401E-6</v>
      </c>
      <c r="O106" s="1">
        <v>8.4469990547443301E-8</v>
      </c>
      <c r="P106" s="1">
        <v>-4.34067051350612E-7</v>
      </c>
      <c r="Q106">
        <v>72.350037749960705</v>
      </c>
      <c r="R106">
        <v>9.9377168764103102E-2</v>
      </c>
      <c r="S106">
        <v>12.438406294517</v>
      </c>
      <c r="T106">
        <v>0.26607270163204599</v>
      </c>
      <c r="V106">
        <v>0.619783291501802</v>
      </c>
      <c r="W106">
        <v>2.7949828714902099E-2</v>
      </c>
      <c r="X106">
        <v>0.124221460955143</v>
      </c>
      <c r="AA106">
        <v>0.69127492421706005</v>
      </c>
      <c r="AB106">
        <v>3.27677851218548</v>
      </c>
      <c r="AC106">
        <v>4.7694698917063603</v>
      </c>
      <c r="AD106">
        <v>4.1407153651699599E-2</v>
      </c>
      <c r="AE106">
        <v>5.29522102219362</v>
      </c>
    </row>
    <row r="107" spans="1:31" x14ac:dyDescent="0.2">
      <c r="A107">
        <v>106</v>
      </c>
      <c r="B107">
        <v>748</v>
      </c>
      <c r="C107">
        <v>210</v>
      </c>
      <c r="D107">
        <v>0.36590167947901903</v>
      </c>
      <c r="E107">
        <v>36.350150210795299</v>
      </c>
      <c r="F107">
        <v>2.2165898417033101</v>
      </c>
      <c r="G107">
        <v>-591.16805701101612</v>
      </c>
      <c r="H107">
        <v>-497.092012380992</v>
      </c>
      <c r="I107">
        <v>92.127547010746696</v>
      </c>
      <c r="J107">
        <v>48.876725670094402</v>
      </c>
      <c r="K107">
        <v>16.399132364002099</v>
      </c>
      <c r="L107">
        <v>1.4422401177621982E-4</v>
      </c>
      <c r="M107">
        <v>1.722483293147299E-5</v>
      </c>
      <c r="N107" s="1">
        <v>1.10596335884112E-6</v>
      </c>
      <c r="O107" s="1">
        <v>3.1299802904614901E-8</v>
      </c>
      <c r="P107" s="1">
        <v>-1.59638284849365E-7</v>
      </c>
      <c r="Q107">
        <v>71.837890509110693</v>
      </c>
      <c r="R107">
        <v>0.147036180761172</v>
      </c>
      <c r="S107">
        <v>13.087984864161101</v>
      </c>
      <c r="T107">
        <v>0.23755230749442699</v>
      </c>
      <c r="V107">
        <v>0.561029648885359</v>
      </c>
      <c r="W107">
        <v>7.4277547254737702E-2</v>
      </c>
      <c r="X107">
        <v>0.16073615145772199</v>
      </c>
      <c r="AA107">
        <v>0.73154139555177</v>
      </c>
      <c r="AB107">
        <v>2.93362883227657</v>
      </c>
      <c r="AC107">
        <v>4.90025975820281</v>
      </c>
      <c r="AD107">
        <v>0.110040810747648</v>
      </c>
      <c r="AE107">
        <v>5.2180219940958699</v>
      </c>
    </row>
    <row r="108" spans="1:31" x14ac:dyDescent="0.2">
      <c r="A108">
        <v>107</v>
      </c>
      <c r="B108">
        <v>746</v>
      </c>
      <c r="C108">
        <v>210</v>
      </c>
      <c r="D108">
        <v>0.36451994308983099</v>
      </c>
      <c r="E108">
        <v>23.317343539798401</v>
      </c>
      <c r="F108">
        <v>2.22138580652901</v>
      </c>
      <c r="G108">
        <v>-379.23358223227604</v>
      </c>
      <c r="H108">
        <v>-319.21363143099728</v>
      </c>
      <c r="I108">
        <v>58.892165825716198</v>
      </c>
      <c r="J108">
        <v>31.3845499609731</v>
      </c>
      <c r="K108">
        <v>10.4967554358477</v>
      </c>
      <c r="L108">
        <v>1.4347447982172046E-4</v>
      </c>
      <c r="M108">
        <v>1.7186595353890188E-5</v>
      </c>
      <c r="N108" s="1">
        <v>7.0531034710567996E-7</v>
      </c>
      <c r="O108" s="1">
        <v>1.9892657939947199E-8</v>
      </c>
      <c r="P108" s="1">
        <v>-1.0082796936550599E-7</v>
      </c>
      <c r="Q108">
        <v>71.362301562301994</v>
      </c>
      <c r="R108">
        <v>0.172196086690561</v>
      </c>
      <c r="S108">
        <v>13.681780737817601</v>
      </c>
      <c r="T108">
        <v>0.221600309405067</v>
      </c>
      <c r="V108">
        <v>0.52962215084407804</v>
      </c>
      <c r="W108">
        <v>0.115793636414479</v>
      </c>
      <c r="X108">
        <v>0.16426366332898801</v>
      </c>
      <c r="AA108">
        <v>0.75585918938438701</v>
      </c>
      <c r="AB108">
        <v>2.6851048296531501</v>
      </c>
      <c r="AC108">
        <v>4.9640283674774199</v>
      </c>
      <c r="AD108">
        <v>0.17154612802123601</v>
      </c>
      <c r="AE108">
        <v>5.1759033386609596</v>
      </c>
    </row>
    <row r="109" spans="1:31" x14ac:dyDescent="0.2">
      <c r="A109">
        <v>108</v>
      </c>
      <c r="B109">
        <v>744</v>
      </c>
      <c r="C109">
        <v>210</v>
      </c>
      <c r="D109">
        <v>0.36313277294401303</v>
      </c>
      <c r="E109">
        <v>17.990645772112298</v>
      </c>
      <c r="F109">
        <v>2.2251158745977899</v>
      </c>
      <c r="G109">
        <v>-292.60027849183018</v>
      </c>
      <c r="H109">
        <v>-246.50611583064332</v>
      </c>
      <c r="I109">
        <v>45.316976513972101</v>
      </c>
      <c r="J109">
        <v>24.238345481731699</v>
      </c>
      <c r="K109">
        <v>8.0852624249801295</v>
      </c>
      <c r="L109">
        <v>1.4304719737293873E-4</v>
      </c>
      <c r="M109">
        <v>1.7170605397146967E-5</v>
      </c>
      <c r="N109" s="1">
        <v>5.4302155364345003E-7</v>
      </c>
      <c r="O109" s="1">
        <v>1.5259400560117301E-8</v>
      </c>
      <c r="P109" s="1">
        <v>-7.6988346524272206E-8</v>
      </c>
      <c r="Q109">
        <v>70.957824560924394</v>
      </c>
      <c r="R109">
        <v>0.17437232605852401</v>
      </c>
      <c r="S109">
        <v>14.176519065326501</v>
      </c>
      <c r="T109">
        <v>0.213871265159048</v>
      </c>
      <c r="V109">
        <v>0.51579945356569801</v>
      </c>
      <c r="W109">
        <v>0.14937502084743801</v>
      </c>
      <c r="X109">
        <v>0.16308923966369701</v>
      </c>
      <c r="AA109">
        <v>0.77584491901587604</v>
      </c>
      <c r="AB109">
        <v>2.5018800849248799</v>
      </c>
      <c r="AC109">
        <v>4.9959560325650596</v>
      </c>
      <c r="AD109">
        <v>0.22233776656266499</v>
      </c>
      <c r="AE109">
        <v>5.15313026538609</v>
      </c>
    </row>
    <row r="110" spans="1:31" x14ac:dyDescent="0.2">
      <c r="A110">
        <v>109</v>
      </c>
      <c r="B110">
        <v>742</v>
      </c>
      <c r="C110">
        <v>210</v>
      </c>
      <c r="D110">
        <v>0.361740136925575</v>
      </c>
      <c r="E110">
        <v>15.048295690663499</v>
      </c>
      <c r="F110">
        <v>2.2282712283567299</v>
      </c>
      <c r="G110">
        <v>-244.74326452464589</v>
      </c>
      <c r="H110">
        <v>-206.35144889300798</v>
      </c>
      <c r="I110">
        <v>37.8188599040909</v>
      </c>
      <c r="J110">
        <v>20.2923086172868</v>
      </c>
      <c r="K110">
        <v>6.7533500855553701</v>
      </c>
      <c r="L110">
        <v>1.4276144908160476E-4</v>
      </c>
      <c r="M110">
        <v>1.7162306099665691E-5</v>
      </c>
      <c r="N110" s="1">
        <v>4.5394818273920198E-7</v>
      </c>
      <c r="O110" s="1">
        <v>1.2708499554004199E-8</v>
      </c>
      <c r="P110" s="1">
        <v>-6.3885462565451006E-8</v>
      </c>
      <c r="Q110">
        <v>70.603776771887695</v>
      </c>
      <c r="R110">
        <v>0.17357724579971601</v>
      </c>
      <c r="S110">
        <v>14.6028868971498</v>
      </c>
      <c r="T110">
        <v>0.207911055537749</v>
      </c>
      <c r="V110">
        <v>0.50492138162979605</v>
      </c>
      <c r="W110">
        <v>0.17773673840806301</v>
      </c>
      <c r="X110">
        <v>0.16138242934534899</v>
      </c>
      <c r="AA110">
        <v>0.79414070499277301</v>
      </c>
      <c r="AB110">
        <v>2.3559655328147899</v>
      </c>
      <c r="AC110">
        <v>5.0133730420460401</v>
      </c>
      <c r="AD110">
        <v>0.26581083215110501</v>
      </c>
      <c r="AE110">
        <v>5.1385173682370304</v>
      </c>
    </row>
    <row r="111" spans="1:31" x14ac:dyDescent="0.2">
      <c r="A111">
        <v>110</v>
      </c>
      <c r="B111">
        <v>740</v>
      </c>
      <c r="C111">
        <v>210</v>
      </c>
      <c r="D111">
        <v>0.36034200266496003</v>
      </c>
      <c r="E111">
        <v>13.1394903330667</v>
      </c>
      <c r="F111">
        <v>2.2310699631689799</v>
      </c>
      <c r="G111">
        <v>-213.6951762882633</v>
      </c>
      <c r="H111">
        <v>-180.30762777801948</v>
      </c>
      <c r="I111">
        <v>32.954200770116799</v>
      </c>
      <c r="J111">
        <v>17.733192566758198</v>
      </c>
      <c r="K111">
        <v>5.8893224103127597</v>
      </c>
      <c r="L111">
        <v>1.425585969578716E-4</v>
      </c>
      <c r="M111">
        <v>1.7158073064796222E-5</v>
      </c>
      <c r="N111" s="1">
        <v>3.96496338210779E-7</v>
      </c>
      <c r="O111" s="1">
        <v>1.10578971474517E-8</v>
      </c>
      <c r="P111" s="1">
        <v>-5.5420994341668899E-8</v>
      </c>
      <c r="Q111">
        <v>70.2833872716012</v>
      </c>
      <c r="R111">
        <v>0.17246081937619101</v>
      </c>
      <c r="S111">
        <v>14.9836117065077</v>
      </c>
      <c r="T111">
        <v>0.202690250734755</v>
      </c>
      <c r="V111">
        <v>0.49496765782297902</v>
      </c>
      <c r="W111">
        <v>0.202693489585173</v>
      </c>
      <c r="X111">
        <v>0.15965362313173001</v>
      </c>
      <c r="AA111">
        <v>0.81163001063529605</v>
      </c>
      <c r="AB111">
        <v>2.2336704817911901</v>
      </c>
      <c r="AC111">
        <v>5.0221974355617496</v>
      </c>
      <c r="AD111">
        <v>0.30442581094062399</v>
      </c>
      <c r="AE111">
        <v>5.1286114423113496</v>
      </c>
    </row>
    <row r="112" spans="1:31" x14ac:dyDescent="0.2">
      <c r="A112">
        <v>111</v>
      </c>
      <c r="B112">
        <v>738</v>
      </c>
      <c r="C112">
        <v>210</v>
      </c>
      <c r="D112">
        <v>0.35893833753646798</v>
      </c>
      <c r="E112">
        <v>11.777563780683099</v>
      </c>
      <c r="F112">
        <v>2.23361958451919</v>
      </c>
      <c r="G112">
        <v>-191.54123122858616</v>
      </c>
      <c r="H112">
        <v>-161.7295405244621</v>
      </c>
      <c r="I112">
        <v>29.482955747538998</v>
      </c>
      <c r="J112">
        <v>15.907831985420501</v>
      </c>
      <c r="K112">
        <v>5.2728601872544703</v>
      </c>
      <c r="L112">
        <v>1.4241317482535768E-4</v>
      </c>
      <c r="M112">
        <v>1.715663970353237E-5</v>
      </c>
      <c r="N112" s="1">
        <v>3.5573891773816102E-7</v>
      </c>
      <c r="O112" s="1">
        <v>9.8831388258068798E-9</v>
      </c>
      <c r="P112" s="1">
        <v>-4.9406740524734903E-8</v>
      </c>
      <c r="Q112">
        <v>69.9868132200193</v>
      </c>
      <c r="R112">
        <v>0.17112674426312</v>
      </c>
      <c r="S112">
        <v>15.331993971444801</v>
      </c>
      <c r="T112">
        <v>0.197993284694613</v>
      </c>
      <c r="V112">
        <v>0.48567928133948401</v>
      </c>
      <c r="W112">
        <v>0.22524905764984601</v>
      </c>
      <c r="X112">
        <v>0.157910339794367</v>
      </c>
      <c r="AA112">
        <v>0.82869662448301395</v>
      </c>
      <c r="AB112">
        <v>2.1278678399784301</v>
      </c>
      <c r="AC112">
        <v>5.0250649503120197</v>
      </c>
      <c r="AD112">
        <v>0.33962881241620302</v>
      </c>
      <c r="AE112">
        <v>5.1219758736047396</v>
      </c>
    </row>
    <row r="113" spans="1:31" x14ac:dyDescent="0.2">
      <c r="A113">
        <v>112</v>
      </c>
      <c r="B113">
        <v>736</v>
      </c>
      <c r="C113">
        <v>210</v>
      </c>
      <c r="D113">
        <v>0.35752910865580001</v>
      </c>
      <c r="E113">
        <v>10.7445331207543</v>
      </c>
      <c r="F113">
        <v>2.2359831406416899</v>
      </c>
      <c r="G113">
        <v>-174.73632034163751</v>
      </c>
      <c r="H113">
        <v>-147.64091962256933</v>
      </c>
      <c r="I113">
        <v>26.849725728650998</v>
      </c>
      <c r="J113">
        <v>14.523693326069401</v>
      </c>
      <c r="K113">
        <v>4.8052836023042698</v>
      </c>
      <c r="L113">
        <v>1.4231050917850417E-4</v>
      </c>
      <c r="M113">
        <v>1.7157288149697589E-5</v>
      </c>
      <c r="N113" s="1">
        <v>3.2499975397425599E-7</v>
      </c>
      <c r="O113" s="1">
        <v>8.9942618748435501E-9</v>
      </c>
      <c r="P113" s="1">
        <v>-4.4863751297956598E-8</v>
      </c>
      <c r="Q113">
        <v>69.708178074203204</v>
      </c>
      <c r="R113">
        <v>0.16963582810361899</v>
      </c>
      <c r="S113">
        <v>15.6559499948109</v>
      </c>
      <c r="T113">
        <v>0.19369319803798701</v>
      </c>
      <c r="V113">
        <v>0.47690439019703901</v>
      </c>
      <c r="W113">
        <v>0.24600186352568701</v>
      </c>
      <c r="X113">
        <v>0.15615695571650201</v>
      </c>
      <c r="AA113">
        <v>0.845525623158074</v>
      </c>
      <c r="AB113">
        <v>2.0343852754253602</v>
      </c>
      <c r="AC113">
        <v>5.0235045950376502</v>
      </c>
      <c r="AD113">
        <v>0.37228234629038998</v>
      </c>
      <c r="AE113">
        <v>5.1177818554934804</v>
      </c>
    </row>
    <row r="114" spans="1:31" x14ac:dyDescent="0.2">
      <c r="A114">
        <v>113</v>
      </c>
      <c r="B114">
        <v>762</v>
      </c>
      <c r="C114">
        <v>195</v>
      </c>
      <c r="D114">
        <v>0.39136405351881698</v>
      </c>
      <c r="E114">
        <v>105.32775938780701</v>
      </c>
      <c r="F114">
        <v>2.20362190574855</v>
      </c>
      <c r="G114">
        <v>-1718.4860923413244</v>
      </c>
      <c r="H114">
        <v>-1439.986577796559</v>
      </c>
      <c r="I114">
        <v>269.042664874428</v>
      </c>
      <c r="J114">
        <v>141.46421504709201</v>
      </c>
      <c r="K114">
        <v>47.797564143395299</v>
      </c>
      <c r="L114">
        <v>1.4389331323017923E-4</v>
      </c>
      <c r="M114">
        <v>1.7454090391380625E-5</v>
      </c>
      <c r="N114" s="1">
        <v>3.1296579928431501E-6</v>
      </c>
      <c r="O114" s="1">
        <v>9.1705540930433598E-8</v>
      </c>
      <c r="P114" s="1">
        <v>-4.6536485204304098E-7</v>
      </c>
      <c r="Q114">
        <v>72.886768356437202</v>
      </c>
      <c r="R114">
        <v>9.1144063595368405E-2</v>
      </c>
      <c r="S114">
        <v>12.3044485853751</v>
      </c>
      <c r="T114">
        <v>0.240577602781155</v>
      </c>
      <c r="V114">
        <v>0.57154200708148195</v>
      </c>
      <c r="W114">
        <v>2.5634267886197201E-2</v>
      </c>
      <c r="X114">
        <v>0.113930079494211</v>
      </c>
      <c r="AA114">
        <v>0.75003969000354997</v>
      </c>
      <c r="AB114">
        <v>3.3704315183703799</v>
      </c>
      <c r="AC114">
        <v>4.4527672735653603</v>
      </c>
      <c r="AD114">
        <v>3.7976693164736099E-2</v>
      </c>
      <c r="AE114">
        <v>5.1547398622451004</v>
      </c>
    </row>
    <row r="115" spans="1:31" x14ac:dyDescent="0.2">
      <c r="A115">
        <v>114</v>
      </c>
      <c r="B115">
        <v>760</v>
      </c>
      <c r="C115">
        <v>195</v>
      </c>
      <c r="D115">
        <v>0.39005033151043</v>
      </c>
      <c r="E115">
        <v>105.32615605325699</v>
      </c>
      <c r="F115">
        <v>2.2043042249812501</v>
      </c>
      <c r="G115">
        <v>-1717.9127839829785</v>
      </c>
      <c r="H115">
        <v>-1440.24960283063</v>
      </c>
      <c r="I115">
        <v>268.75398649987699</v>
      </c>
      <c r="J115">
        <v>141.433381638014</v>
      </c>
      <c r="K115">
        <v>47.7820415438132</v>
      </c>
      <c r="L115">
        <v>1.4377526190099399E-4</v>
      </c>
      <c r="M115">
        <v>1.7437282679231222E-5</v>
      </c>
      <c r="N115" s="1">
        <v>3.1358841234513898E-6</v>
      </c>
      <c r="O115" s="1">
        <v>9.15411176682519E-8</v>
      </c>
      <c r="P115" s="1">
        <v>-4.6500046074815198E-7</v>
      </c>
      <c r="Q115">
        <v>72.887877880284094</v>
      </c>
      <c r="R115">
        <v>9.1145451042055806E-2</v>
      </c>
      <c r="S115">
        <v>12.3046358906797</v>
      </c>
      <c r="T115">
        <v>0.24133617130407201</v>
      </c>
      <c r="V115">
        <v>0.57087143440417698</v>
      </c>
      <c r="W115">
        <v>2.5634658105577399E-2</v>
      </c>
      <c r="X115">
        <v>0.113931813802576</v>
      </c>
      <c r="AA115">
        <v>0.75005110753357196</v>
      </c>
      <c r="AB115">
        <v>3.37048282499262</v>
      </c>
      <c r="AC115">
        <v>4.4528350561168999</v>
      </c>
      <c r="AD115">
        <v>3.7977271267519597E-2</v>
      </c>
      <c r="AE115">
        <v>5.1532204404669804</v>
      </c>
    </row>
    <row r="116" spans="1:31" x14ac:dyDescent="0.2">
      <c r="A116">
        <v>115</v>
      </c>
      <c r="B116">
        <v>758</v>
      </c>
      <c r="C116">
        <v>195</v>
      </c>
      <c r="D116">
        <v>0.38873151335887302</v>
      </c>
      <c r="E116">
        <v>104.68154237511099</v>
      </c>
      <c r="F116">
        <v>2.2053133715992899</v>
      </c>
      <c r="G116">
        <v>-1706.6679317631858</v>
      </c>
      <c r="H116">
        <v>-1431.502067034887</v>
      </c>
      <c r="I116">
        <v>266.85338188265399</v>
      </c>
      <c r="J116">
        <v>140.57245733706</v>
      </c>
      <c r="K116">
        <v>47.467876322355004</v>
      </c>
      <c r="L116">
        <v>1.4378942966508879E-4</v>
      </c>
      <c r="M116">
        <v>1.7417288176934819E-5</v>
      </c>
      <c r="N116" s="1">
        <v>3.1232232597390898E-6</v>
      </c>
      <c r="O116" s="1">
        <v>9.0828244872296403E-8</v>
      </c>
      <c r="P116" s="1">
        <v>-4.6242737844847399E-7</v>
      </c>
      <c r="Q116">
        <v>72.8039330195557</v>
      </c>
      <c r="R116">
        <v>9.1706711442977706E-2</v>
      </c>
      <c r="S116">
        <v>12.3492299404405</v>
      </c>
      <c r="T116">
        <v>0.24373324842498101</v>
      </c>
      <c r="V116">
        <v>0.57356708189824501</v>
      </c>
      <c r="W116">
        <v>2.5792512593336099E-2</v>
      </c>
      <c r="X116">
        <v>0.114633389303733</v>
      </c>
      <c r="AA116">
        <v>0.75008621475102299</v>
      </c>
      <c r="AB116">
        <v>3.37869306717019</v>
      </c>
      <c r="AC116">
        <v>4.4782175855618798</v>
      </c>
      <c r="AD116">
        <v>3.8211129767900899E-2</v>
      </c>
      <c r="AE116">
        <v>5.1521960990894904</v>
      </c>
    </row>
    <row r="117" spans="1:31" x14ac:dyDescent="0.2">
      <c r="A117">
        <v>116</v>
      </c>
      <c r="B117">
        <v>756</v>
      </c>
      <c r="C117">
        <v>195</v>
      </c>
      <c r="D117">
        <v>0.38740756935335302</v>
      </c>
      <c r="E117">
        <v>101.179644791035</v>
      </c>
      <c r="F117">
        <v>2.2072302709035401</v>
      </c>
      <c r="G117">
        <v>-1647.9647543866051</v>
      </c>
      <c r="H117">
        <v>-1383.0687845985312</v>
      </c>
      <c r="I117">
        <v>257.39296486233599</v>
      </c>
      <c r="J117">
        <v>135.78607032521001</v>
      </c>
      <c r="K117">
        <v>45.840094767102201</v>
      </c>
      <c r="L117">
        <v>1.4330394135379754E-4</v>
      </c>
      <c r="M117">
        <v>1.7347292686620632E-5</v>
      </c>
      <c r="N117" s="1">
        <v>3.0077305515301499E-6</v>
      </c>
      <c r="O117" s="1">
        <v>8.7184701996202103E-8</v>
      </c>
      <c r="P117" s="1">
        <v>-4.45034253096038E-7</v>
      </c>
      <c r="Q117">
        <v>72.734946736881597</v>
      </c>
      <c r="R117">
        <v>9.4880744242845996E-2</v>
      </c>
      <c r="S117">
        <v>12.366713157700699</v>
      </c>
      <c r="T117">
        <v>0.25308764857788102</v>
      </c>
      <c r="V117">
        <v>0.59259204821730305</v>
      </c>
      <c r="W117">
        <v>2.6685209318298399E-2</v>
      </c>
      <c r="X117">
        <v>0.11860093030357199</v>
      </c>
      <c r="AA117">
        <v>0.71928091426238605</v>
      </c>
      <c r="AB117">
        <v>3.32917649261001</v>
      </c>
      <c r="AC117">
        <v>4.6028272155008096</v>
      </c>
      <c r="AD117">
        <v>3.9533643434510601E-2</v>
      </c>
      <c r="AE117">
        <v>5.1216752589499501</v>
      </c>
    </row>
    <row r="118" spans="1:31" x14ac:dyDescent="0.2">
      <c r="A118">
        <v>117</v>
      </c>
      <c r="B118">
        <v>754</v>
      </c>
      <c r="C118">
        <v>195</v>
      </c>
      <c r="D118">
        <v>0.38607846955167302</v>
      </c>
      <c r="E118">
        <v>97.574089131245302</v>
      </c>
      <c r="F118">
        <v>2.2092875502332499</v>
      </c>
      <c r="G118">
        <v>-1587.6274761963689</v>
      </c>
      <c r="H118">
        <v>-1333.2214972982556</v>
      </c>
      <c r="I118">
        <v>247.681428124532</v>
      </c>
      <c r="J118">
        <v>130.863591579315</v>
      </c>
      <c r="K118">
        <v>44.165409396773001</v>
      </c>
      <c r="L118">
        <v>1.4278039717148462E-4</v>
      </c>
      <c r="M118">
        <v>1.7273824280197025E-5</v>
      </c>
      <c r="N118" s="1">
        <v>2.8885786682487201E-6</v>
      </c>
      <c r="O118" s="1">
        <v>8.3461660947898604E-8</v>
      </c>
      <c r="P118" s="1">
        <v>-4.2711264399117098E-7</v>
      </c>
      <c r="Q118">
        <v>72.662641366887698</v>
      </c>
      <c r="R118">
        <v>9.8386775479783903E-2</v>
      </c>
      <c r="S118">
        <v>12.385358109087001</v>
      </c>
      <c r="T118">
        <v>0.26336873527814197</v>
      </c>
      <c r="V118">
        <v>0.61365357493075301</v>
      </c>
      <c r="W118">
        <v>2.7671280603686899E-2</v>
      </c>
      <c r="X118">
        <v>0.12298346934974801</v>
      </c>
      <c r="AA118">
        <v>0.69227645469471299</v>
      </c>
      <c r="AB118">
        <v>3.27214340908986</v>
      </c>
      <c r="AC118">
        <v>4.7316094504818</v>
      </c>
      <c r="AD118">
        <v>4.0994489783233001E-2</v>
      </c>
      <c r="AE118">
        <v>5.0889128843334399</v>
      </c>
    </row>
    <row r="119" spans="1:31" x14ac:dyDescent="0.2">
      <c r="A119">
        <v>118</v>
      </c>
      <c r="B119">
        <v>752</v>
      </c>
      <c r="C119">
        <v>195</v>
      </c>
      <c r="D119">
        <v>0.38474418377798603</v>
      </c>
      <c r="E119">
        <v>62.297103947603802</v>
      </c>
      <c r="F119">
        <v>2.2129816159796301</v>
      </c>
      <c r="G119">
        <v>-1013.0464071561802</v>
      </c>
      <c r="H119">
        <v>-851.47089125861453</v>
      </c>
      <c r="I119">
        <v>157.61158454622699</v>
      </c>
      <c r="J119">
        <v>83.547637956585802</v>
      </c>
      <c r="K119">
        <v>28.1507552967295</v>
      </c>
      <c r="L119">
        <v>1.4182456623799906E-4</v>
      </c>
      <c r="M119">
        <v>1.7179452689431824E-5</v>
      </c>
      <c r="N119" s="1">
        <v>1.82850115299231E-6</v>
      </c>
      <c r="O119" s="1">
        <v>5.2673365372345498E-8</v>
      </c>
      <c r="P119" s="1">
        <v>-2.6927397300739999E-7</v>
      </c>
      <c r="Q119">
        <v>72.452450249012102</v>
      </c>
      <c r="R119">
        <v>0.11760209658084</v>
      </c>
      <c r="S119">
        <v>12.6068141139455</v>
      </c>
      <c r="T119">
        <v>0.25439885792552103</v>
      </c>
      <c r="V119">
        <v>0.59350089168572795</v>
      </c>
      <c r="W119">
        <v>4.3340698506149501E-2</v>
      </c>
      <c r="X119">
        <v>0.16065967243677501</v>
      </c>
      <c r="AA119">
        <v>0.70190522195448501</v>
      </c>
      <c r="AB119">
        <v>3.0942457654800402</v>
      </c>
      <c r="AC119">
        <v>4.8768646165072997</v>
      </c>
      <c r="AD119">
        <v>6.4208442231286106E-2</v>
      </c>
      <c r="AE119">
        <v>5.03400937373413</v>
      </c>
    </row>
    <row r="120" spans="1:31" x14ac:dyDescent="0.2">
      <c r="A120">
        <v>119</v>
      </c>
      <c r="B120">
        <v>750</v>
      </c>
      <c r="C120">
        <v>195</v>
      </c>
      <c r="D120">
        <v>0.38340468162048602</v>
      </c>
      <c r="E120">
        <v>29.441705532365599</v>
      </c>
      <c r="F120">
        <v>2.2188709287806101</v>
      </c>
      <c r="G120">
        <v>-478.80337026586056</v>
      </c>
      <c r="H120">
        <v>-402.92234866100779</v>
      </c>
      <c r="I120">
        <v>74.1641221764676</v>
      </c>
      <c r="J120">
        <v>39.525340159988403</v>
      </c>
      <c r="K120">
        <v>13.2687778953169</v>
      </c>
      <c r="L120">
        <v>1.407046012631621E-4</v>
      </c>
      <c r="M120">
        <v>1.71140794130759E-5</v>
      </c>
      <c r="N120" s="1">
        <v>8.5548891576081201E-7</v>
      </c>
      <c r="O120" s="1">
        <v>2.4567657531636899E-8</v>
      </c>
      <c r="P120" s="1">
        <v>-1.2458690923383799E-7</v>
      </c>
      <c r="Q120">
        <v>71.907660346281304</v>
      </c>
      <c r="R120">
        <v>0.160490665816682</v>
      </c>
      <c r="S120">
        <v>13.296629933353101</v>
      </c>
      <c r="T120">
        <v>0.230228842864628</v>
      </c>
      <c r="V120">
        <v>0.54512035994890196</v>
      </c>
      <c r="W120">
        <v>9.1706643727931497E-2</v>
      </c>
      <c r="X120">
        <v>0.16800478712809999</v>
      </c>
      <c r="AA120">
        <v>0.74206641532168405</v>
      </c>
      <c r="AB120">
        <v>2.7651985019734799</v>
      </c>
      <c r="AC120">
        <v>4.9847970672928099</v>
      </c>
      <c r="AD120">
        <v>0.13586169441162799</v>
      </c>
      <c r="AE120">
        <v>4.9722347418797099</v>
      </c>
    </row>
    <row r="121" spans="1:31" x14ac:dyDescent="0.2">
      <c r="A121">
        <v>120</v>
      </c>
      <c r="B121">
        <v>748</v>
      </c>
      <c r="C121">
        <v>195</v>
      </c>
      <c r="D121">
        <v>0.382059932429125</v>
      </c>
      <c r="E121">
        <v>21.025326475724199</v>
      </c>
      <c r="F121">
        <v>2.2230638833933698</v>
      </c>
      <c r="G121">
        <v>-341.93908739817914</v>
      </c>
      <c r="H121">
        <v>-288.01969074011424</v>
      </c>
      <c r="I121">
        <v>52.802621219277199</v>
      </c>
      <c r="J121">
        <v>28.253641985075699</v>
      </c>
      <c r="K121">
        <v>9.4578147901131899</v>
      </c>
      <c r="L121">
        <v>1.4011975750696584E-4</v>
      </c>
      <c r="M121">
        <v>1.7085316111666242E-5</v>
      </c>
      <c r="N121" s="1">
        <v>6.0840539079837899E-7</v>
      </c>
      <c r="O121" s="1">
        <v>1.74111107440766E-8</v>
      </c>
      <c r="P121" s="1">
        <v>-8.7814131174690004E-8</v>
      </c>
      <c r="Q121">
        <v>71.476157041880299</v>
      </c>
      <c r="R121">
        <v>0.180452984241532</v>
      </c>
      <c r="S121">
        <v>13.825837118771799</v>
      </c>
      <c r="T121">
        <v>0.217137238612651</v>
      </c>
      <c r="V121">
        <v>0.51933295843977301</v>
      </c>
      <c r="W121">
        <v>0.128416555296616</v>
      </c>
      <c r="X121">
        <v>0.17035875453423099</v>
      </c>
      <c r="AA121">
        <v>0.76398643069227601</v>
      </c>
      <c r="AB121">
        <v>2.5524783338227102</v>
      </c>
      <c r="AC121">
        <v>5.0351481520858004</v>
      </c>
      <c r="AD121">
        <v>0.19024674858739399</v>
      </c>
      <c r="AE121">
        <v>4.9404476830348303</v>
      </c>
    </row>
    <row r="122" spans="1:31" x14ac:dyDescent="0.2">
      <c r="A122">
        <v>121</v>
      </c>
      <c r="B122">
        <v>746</v>
      </c>
      <c r="C122">
        <v>195</v>
      </c>
      <c r="D122">
        <v>0.38070990531325299</v>
      </c>
      <c r="E122">
        <v>16.891781266564799</v>
      </c>
      <c r="F122">
        <v>2.22646123452289</v>
      </c>
      <c r="G122">
        <v>-274.71273686970289</v>
      </c>
      <c r="H122">
        <v>-231.58507864808826</v>
      </c>
      <c r="I122">
        <v>42.317282266216502</v>
      </c>
      <c r="J122">
        <v>22.719995528367001</v>
      </c>
      <c r="K122">
        <v>7.5868292717814203</v>
      </c>
      <c r="L122">
        <v>1.3976505698358934E-4</v>
      </c>
      <c r="M122">
        <v>1.7072979295769529E-5</v>
      </c>
      <c r="N122" s="1">
        <v>4.8811073872449303E-7</v>
      </c>
      <c r="O122" s="1">
        <v>1.3917329030112401E-8</v>
      </c>
      <c r="P122" s="1">
        <v>-6.9896404744178202E-8</v>
      </c>
      <c r="Q122">
        <v>71.099309232913697</v>
      </c>
      <c r="R122">
        <v>0.18226574102616799</v>
      </c>
      <c r="S122">
        <v>14.2820319263074</v>
      </c>
      <c r="T122">
        <v>0.21006509317731001</v>
      </c>
      <c r="V122">
        <v>0.50643298314032403</v>
      </c>
      <c r="W122">
        <v>0.15914940676161399</v>
      </c>
      <c r="X122">
        <v>0.169131713024776</v>
      </c>
      <c r="AA122">
        <v>0.78272063080966303</v>
      </c>
      <c r="AB122">
        <v>2.38856859066202</v>
      </c>
      <c r="AC122">
        <v>5.0611227471828899</v>
      </c>
      <c r="AD122">
        <v>0.236801550817551</v>
      </c>
      <c r="AE122">
        <v>4.9224003841764503</v>
      </c>
    </row>
    <row r="123" spans="1:31" x14ac:dyDescent="0.2">
      <c r="A123">
        <v>122</v>
      </c>
      <c r="B123">
        <v>744</v>
      </c>
      <c r="C123">
        <v>195</v>
      </c>
      <c r="D123">
        <v>0.37935456913926302</v>
      </c>
      <c r="E123">
        <v>14.4144576590637</v>
      </c>
      <c r="F123">
        <v>2.22939606936102</v>
      </c>
      <c r="G123">
        <v>-234.42033558632198</v>
      </c>
      <c r="H123">
        <v>-197.76884656032087</v>
      </c>
      <c r="I123">
        <v>36.033514256502002</v>
      </c>
      <c r="J123">
        <v>19.404657686031399</v>
      </c>
      <c r="K123">
        <v>6.4656333870702101</v>
      </c>
      <c r="L123">
        <v>1.3952230012114999E-4</v>
      </c>
      <c r="M123">
        <v>1.7066907869366828E-5</v>
      </c>
      <c r="N123" s="1">
        <v>4.1647358332047999E-7</v>
      </c>
      <c r="O123" s="1">
        <v>1.1830285677283399E-8</v>
      </c>
      <c r="P123" s="1">
        <v>-5.9210976958910203E-8</v>
      </c>
      <c r="Q123">
        <v>70.763728838600898</v>
      </c>
      <c r="R123">
        <v>0.181252278715541</v>
      </c>
      <c r="S123">
        <v>14.6831897304218</v>
      </c>
      <c r="T123">
        <v>0.20449094610826801</v>
      </c>
      <c r="V123">
        <v>0.49608726085164301</v>
      </c>
      <c r="W123">
        <v>0.185650742083529</v>
      </c>
      <c r="X123">
        <v>0.16740570386546499</v>
      </c>
      <c r="AA123">
        <v>0.80006211661646598</v>
      </c>
      <c r="AB123">
        <v>2.2550105764561401</v>
      </c>
      <c r="AC123">
        <v>5.0749225208875997</v>
      </c>
      <c r="AD123">
        <v>0.277499167474897</v>
      </c>
      <c r="AE123">
        <v>4.9107001179176404</v>
      </c>
    </row>
    <row r="124" spans="1:31" x14ac:dyDescent="0.2">
      <c r="A124">
        <v>123</v>
      </c>
      <c r="B124">
        <v>742</v>
      </c>
      <c r="C124">
        <v>195</v>
      </c>
      <c r="D124">
        <v>0.37799389252819798</v>
      </c>
      <c r="E124">
        <v>12.7357271969462</v>
      </c>
      <c r="F124">
        <v>2.2320312253486101</v>
      </c>
      <c r="G124">
        <v>-207.11525284378988</v>
      </c>
      <c r="H124">
        <v>-174.85891315104649</v>
      </c>
      <c r="I124">
        <v>31.7749492121789</v>
      </c>
      <c r="J124">
        <v>17.158737690056402</v>
      </c>
      <c r="K124">
        <v>5.7058911418038702</v>
      </c>
      <c r="L124">
        <v>1.3934796965026989E-4</v>
      </c>
      <c r="M124">
        <v>1.7064226199385928E-5</v>
      </c>
      <c r="N124" s="1">
        <v>3.6820580277476002E-7</v>
      </c>
      <c r="O124" s="1">
        <v>1.04195616184861E-8</v>
      </c>
      <c r="P124" s="1">
        <v>-5.1999878402977801E-8</v>
      </c>
      <c r="Q124">
        <v>70.457152130400601</v>
      </c>
      <c r="R124">
        <v>0.17995767869579399</v>
      </c>
      <c r="S124">
        <v>15.045456476521</v>
      </c>
      <c r="T124">
        <v>0.199548006871865</v>
      </c>
      <c r="V124">
        <v>0.48653679289319002</v>
      </c>
      <c r="W124">
        <v>0.20925064185578801</v>
      </c>
      <c r="X124">
        <v>0.165660943322084</v>
      </c>
      <c r="AA124">
        <v>0.81671210273355699</v>
      </c>
      <c r="AB124">
        <v>2.1416274358635801</v>
      </c>
      <c r="AC124">
        <v>5.0812273915687101</v>
      </c>
      <c r="AD124">
        <v>0.31407707923820599</v>
      </c>
      <c r="AE124">
        <v>4.9027933200355598</v>
      </c>
    </row>
    <row r="125" spans="1:31" x14ac:dyDescent="0.2">
      <c r="A125">
        <v>124</v>
      </c>
      <c r="B125">
        <v>740</v>
      </c>
      <c r="C125">
        <v>195</v>
      </c>
      <c r="D125">
        <v>0.37662784385333098</v>
      </c>
      <c r="E125">
        <v>11.505034395595301</v>
      </c>
      <c r="F125">
        <v>2.2344511426026701</v>
      </c>
      <c r="G125">
        <v>-187.09651261189308</v>
      </c>
      <c r="H125">
        <v>-158.06716441637641</v>
      </c>
      <c r="I125">
        <v>28.6525669402522</v>
      </c>
      <c r="J125">
        <v>15.512711701815199</v>
      </c>
      <c r="K125">
        <v>5.1489308386462902</v>
      </c>
      <c r="L125">
        <v>1.39222310735234E-4</v>
      </c>
      <c r="M125">
        <v>1.7063932554157901E-5</v>
      </c>
      <c r="N125" s="1">
        <v>3.3301919886619199E-7</v>
      </c>
      <c r="O125" s="1">
        <v>9.3878402315863596E-9</v>
      </c>
      <c r="P125" s="1">
        <v>-4.6734690005128197E-8</v>
      </c>
      <c r="Q125">
        <v>70.171705986833999</v>
      </c>
      <c r="R125">
        <v>0.178469026055386</v>
      </c>
      <c r="S125">
        <v>15.379337744243299</v>
      </c>
      <c r="T125">
        <v>0.19506504473793401</v>
      </c>
      <c r="V125">
        <v>0.47757433778913999</v>
      </c>
      <c r="W125">
        <v>0.230741741591034</v>
      </c>
      <c r="X125">
        <v>0.16390351642284801</v>
      </c>
      <c r="AA125">
        <v>0.83300516833119498</v>
      </c>
      <c r="AB125">
        <v>2.0427231768233498</v>
      </c>
      <c r="AC125">
        <v>5.0822073378208303</v>
      </c>
      <c r="AD125">
        <v>0.34767388453197601</v>
      </c>
      <c r="AE125">
        <v>4.8975930348188799</v>
      </c>
    </row>
    <row r="126" spans="1:31" x14ac:dyDescent="0.2">
      <c r="A126">
        <v>125</v>
      </c>
      <c r="B126">
        <v>738</v>
      </c>
      <c r="C126">
        <v>195</v>
      </c>
      <c r="D126">
        <v>0.37525639123770199</v>
      </c>
      <c r="E126">
        <v>10.554131537539799</v>
      </c>
      <c r="F126">
        <v>2.23670736796387</v>
      </c>
      <c r="G126">
        <v>-171.62796883004401</v>
      </c>
      <c r="H126">
        <v>-145.09568271057483</v>
      </c>
      <c r="I126">
        <v>26.2397133159958</v>
      </c>
      <c r="J126">
        <v>14.2412540359767</v>
      </c>
      <c r="K126">
        <v>4.71860185588225</v>
      </c>
      <c r="L126">
        <v>1.3913349855518758E-4</v>
      </c>
      <c r="M126">
        <v>1.7065439448744714E-5</v>
      </c>
      <c r="N126" s="1">
        <v>3.0598352144541E-7</v>
      </c>
      <c r="O126" s="1">
        <v>8.5925497179158999E-9</v>
      </c>
      <c r="P126" s="1">
        <v>-4.2682767053340902E-8</v>
      </c>
      <c r="Q126">
        <v>69.902487991661999</v>
      </c>
      <c r="R126">
        <v>0.17683918487980799</v>
      </c>
      <c r="S126">
        <v>15.691357250048901</v>
      </c>
      <c r="T126">
        <v>0.190937124140413</v>
      </c>
      <c r="V126">
        <v>0.46907375623988901</v>
      </c>
      <c r="W126">
        <v>0.25061737978946003</v>
      </c>
      <c r="X126">
        <v>0.16213711618446</v>
      </c>
      <c r="AA126">
        <v>0.84910626356129104</v>
      </c>
      <c r="AB126">
        <v>1.9548296095197799</v>
      </c>
      <c r="AC126">
        <v>5.07916798012009</v>
      </c>
      <c r="AD126">
        <v>0.37899849795909701</v>
      </c>
      <c r="AE126">
        <v>4.8944478458946801</v>
      </c>
    </row>
    <row r="127" spans="1:31" x14ac:dyDescent="0.2">
      <c r="A127">
        <v>126</v>
      </c>
      <c r="B127">
        <v>764</v>
      </c>
      <c r="C127">
        <v>180</v>
      </c>
      <c r="D127">
        <v>0.40858169020874802</v>
      </c>
      <c r="E127">
        <v>105.087593402091</v>
      </c>
      <c r="F127">
        <v>2.20437964976102</v>
      </c>
      <c r="G127">
        <v>-1714.4784061289329</v>
      </c>
      <c r="H127">
        <v>-1437.2955097517106</v>
      </c>
      <c r="I127">
        <v>267.25439558137401</v>
      </c>
      <c r="J127">
        <v>140.92780902538399</v>
      </c>
      <c r="K127">
        <v>47.672184513898998</v>
      </c>
      <c r="L127">
        <v>1.409127628761785E-4</v>
      </c>
      <c r="M127">
        <v>1.7357465423168545E-5</v>
      </c>
      <c r="N127" s="1">
        <v>2.9979314142359198E-6</v>
      </c>
      <c r="O127" s="1">
        <v>8.9075540278138298E-8</v>
      </c>
      <c r="P127" s="1">
        <v>-4.5106594890157E-7</v>
      </c>
      <c r="Q127">
        <v>73.053342944374904</v>
      </c>
      <c r="R127">
        <v>9.1352363197318404E-2</v>
      </c>
      <c r="S127">
        <v>12.3325690316384</v>
      </c>
      <c r="T127">
        <v>0.24213372573880801</v>
      </c>
      <c r="V127">
        <v>0.57194271415088904</v>
      </c>
      <c r="W127">
        <v>2.5692852149245601E-2</v>
      </c>
      <c r="X127">
        <v>0.114190453996649</v>
      </c>
      <c r="AA127">
        <v>0.75175382214459596</v>
      </c>
      <c r="AB127">
        <v>3.3781342640674801</v>
      </c>
      <c r="AC127">
        <v>4.4629435770356096</v>
      </c>
      <c r="AD127">
        <v>3.80634846655485E-2</v>
      </c>
      <c r="AE127">
        <v>4.9378807668404399</v>
      </c>
    </row>
    <row r="128" spans="1:31" x14ac:dyDescent="0.2">
      <c r="A128">
        <v>127</v>
      </c>
      <c r="B128">
        <v>762</v>
      </c>
      <c r="C128">
        <v>180</v>
      </c>
      <c r="D128">
        <v>0.40730377240013699</v>
      </c>
      <c r="E128">
        <v>104.74645095352599</v>
      </c>
      <c r="F128">
        <v>2.2050676003279102</v>
      </c>
      <c r="G128">
        <v>-1708.2582419821861</v>
      </c>
      <c r="H128">
        <v>-1432.8739900187559</v>
      </c>
      <c r="I128">
        <v>266.03318549333898</v>
      </c>
      <c r="J128">
        <v>140.40742985358801</v>
      </c>
      <c r="K128">
        <v>47.502603066658402</v>
      </c>
      <c r="L128">
        <v>1.4064061389951291E-4</v>
      </c>
      <c r="M128">
        <v>1.7332515142840026E-5</v>
      </c>
      <c r="N128" s="1">
        <v>2.99059284721685E-6</v>
      </c>
      <c r="O128" s="1">
        <v>8.8533871390533301E-8</v>
      </c>
      <c r="P128" s="1">
        <v>-4.4854669495458999E-7</v>
      </c>
      <c r="Q128">
        <v>73.096827935580706</v>
      </c>
      <c r="R128">
        <v>9.1649883242911803E-2</v>
      </c>
      <c r="S128">
        <v>12.3059316847903</v>
      </c>
      <c r="T128">
        <v>0.24360803763057601</v>
      </c>
      <c r="V128">
        <v>0.57318842080379595</v>
      </c>
      <c r="W128">
        <v>2.57765296620685E-2</v>
      </c>
      <c r="X128">
        <v>0.114562354053643</v>
      </c>
      <c r="AA128">
        <v>0.74445883951752101</v>
      </c>
      <c r="AB128">
        <v>3.36216003353745</v>
      </c>
      <c r="AC128">
        <v>4.47312788083432</v>
      </c>
      <c r="AD128">
        <v>3.8187451351211099E-2</v>
      </c>
      <c r="AE128">
        <v>4.93052094899544</v>
      </c>
    </row>
    <row r="129" spans="1:31" x14ac:dyDescent="0.2">
      <c r="A129">
        <v>128</v>
      </c>
      <c r="B129">
        <v>760</v>
      </c>
      <c r="C129">
        <v>180</v>
      </c>
      <c r="D129">
        <v>0.40602090693510101</v>
      </c>
      <c r="E129">
        <v>101.45714345946099</v>
      </c>
      <c r="F129">
        <v>2.2068480972020801</v>
      </c>
      <c r="G129">
        <v>-1653.0794571442445</v>
      </c>
      <c r="H129">
        <v>-1387.3874010039649</v>
      </c>
      <c r="I129">
        <v>257.16697104997297</v>
      </c>
      <c r="J129">
        <v>135.91648195945601</v>
      </c>
      <c r="K129">
        <v>45.973777528273096</v>
      </c>
      <c r="L129">
        <v>1.4019405131194838E-4</v>
      </c>
      <c r="M129">
        <v>1.7267429828577698E-5</v>
      </c>
      <c r="N129" s="1">
        <v>2.8872492028485602E-6</v>
      </c>
      <c r="O129" s="1">
        <v>8.5196553551824904E-8</v>
      </c>
      <c r="P129" s="1">
        <v>-4.3270346459924597E-7</v>
      </c>
      <c r="Q129">
        <v>73.0369765196413</v>
      </c>
      <c r="R129">
        <v>9.4621232893629198E-2</v>
      </c>
      <c r="S129">
        <v>12.318589117920499</v>
      </c>
      <c r="T129">
        <v>0.25239107811033901</v>
      </c>
      <c r="V129">
        <v>0.59097513812129698</v>
      </c>
      <c r="W129">
        <v>2.6612221751332599E-2</v>
      </c>
      <c r="X129">
        <v>0.118276541117042</v>
      </c>
      <c r="AA129">
        <v>0.71559466271025896</v>
      </c>
      <c r="AB129">
        <v>3.31369989943384</v>
      </c>
      <c r="AC129">
        <v>4.5895971381885499</v>
      </c>
      <c r="AD129">
        <v>3.9425513705675902E-2</v>
      </c>
      <c r="AE129">
        <v>4.9032409364060703</v>
      </c>
    </row>
    <row r="130" spans="1:31" x14ac:dyDescent="0.2">
      <c r="A130">
        <v>129</v>
      </c>
      <c r="B130">
        <v>758</v>
      </c>
      <c r="C130">
        <v>180</v>
      </c>
      <c r="D130">
        <v>0.40473306502448703</v>
      </c>
      <c r="E130">
        <v>97.914619995134302</v>
      </c>
      <c r="F130">
        <v>2.2088242409653698</v>
      </c>
      <c r="G130">
        <v>-1593.7764297902595</v>
      </c>
      <c r="H130">
        <v>-1338.3951369268668</v>
      </c>
      <c r="I130">
        <v>247.66648195062999</v>
      </c>
      <c r="J130">
        <v>131.090851447261</v>
      </c>
      <c r="K130">
        <v>44.3288416430726</v>
      </c>
      <c r="L130">
        <v>1.3971714614561975E-4</v>
      </c>
      <c r="M130">
        <v>1.7197373281169292E-5</v>
      </c>
      <c r="N130" s="1">
        <v>2.77572275476536E-6</v>
      </c>
      <c r="O130" s="1">
        <v>8.1643811914339604E-8</v>
      </c>
      <c r="P130" s="1">
        <v>-4.1573133726832099E-7</v>
      </c>
      <c r="Q130">
        <v>72.9633702379612</v>
      </c>
      <c r="R130">
        <v>9.8044602537161601E-2</v>
      </c>
      <c r="S130">
        <v>12.3372638355272</v>
      </c>
      <c r="T130">
        <v>0.26243731613592702</v>
      </c>
      <c r="V130">
        <v>0.61153330589847099</v>
      </c>
      <c r="W130">
        <v>2.75750444635753E-2</v>
      </c>
      <c r="X130">
        <v>0.122555753171463</v>
      </c>
      <c r="AA130">
        <v>0.68937902282673202</v>
      </c>
      <c r="AB130">
        <v>3.2576248461353501</v>
      </c>
      <c r="AC130">
        <v>4.7161088219305896</v>
      </c>
      <c r="AD130">
        <v>4.0851917723810999E-2</v>
      </c>
      <c r="AE130">
        <v>4.8732552956884199</v>
      </c>
    </row>
    <row r="131" spans="1:31" x14ac:dyDescent="0.2">
      <c r="A131">
        <v>130</v>
      </c>
      <c r="B131">
        <v>756</v>
      </c>
      <c r="C131">
        <v>180</v>
      </c>
      <c r="D131">
        <v>0.40344021765534699</v>
      </c>
      <c r="E131">
        <v>94.197182543267601</v>
      </c>
      <c r="F131">
        <v>2.21095917840726</v>
      </c>
      <c r="G131">
        <v>-1531.6780825046596</v>
      </c>
      <c r="H131">
        <v>-1287.0099704604236</v>
      </c>
      <c r="I131">
        <v>237.73804794659301</v>
      </c>
      <c r="J131">
        <v>126.03464557333101</v>
      </c>
      <c r="K131">
        <v>42.604668355354001</v>
      </c>
      <c r="L131">
        <v>1.3920423546734761E-4</v>
      </c>
      <c r="M131">
        <v>1.7123907699276767E-5</v>
      </c>
      <c r="N131" s="1">
        <v>2.6587699829915499E-6</v>
      </c>
      <c r="O131" s="1">
        <v>7.7957164438462701E-8</v>
      </c>
      <c r="P131" s="1">
        <v>-3.9795524898818899E-7</v>
      </c>
      <c r="Q131">
        <v>72.885043595892199</v>
      </c>
      <c r="R131">
        <v>0.101913876198904</v>
      </c>
      <c r="S131">
        <v>12.357413771517701</v>
      </c>
      <c r="T131">
        <v>0.27371191028911801</v>
      </c>
      <c r="V131">
        <v>0.63484139713033605</v>
      </c>
      <c r="W131">
        <v>2.86632776809401E-2</v>
      </c>
      <c r="X131">
        <v>0.12739234524864401</v>
      </c>
      <c r="AA131">
        <v>0.66732688759884395</v>
      </c>
      <c r="AB131">
        <v>3.1934948304448501</v>
      </c>
      <c r="AC131">
        <v>4.8466261612489001</v>
      </c>
      <c r="AD131">
        <v>4.2464115082869097E-2</v>
      </c>
      <c r="AE131">
        <v>4.8411078316665899</v>
      </c>
    </row>
    <row r="132" spans="1:31" x14ac:dyDescent="0.2">
      <c r="A132">
        <v>131</v>
      </c>
      <c r="B132">
        <v>754</v>
      </c>
      <c r="C132">
        <v>180</v>
      </c>
      <c r="D132">
        <v>0.402142335588766</v>
      </c>
      <c r="E132">
        <v>37.840384414322301</v>
      </c>
      <c r="F132">
        <v>2.2169140295943901</v>
      </c>
      <c r="G132">
        <v>-615.3573720538767</v>
      </c>
      <c r="H132">
        <v>-517.72621971452099</v>
      </c>
      <c r="I132">
        <v>95.050530437964895</v>
      </c>
      <c r="J132">
        <v>50.6756246886928</v>
      </c>
      <c r="K132">
        <v>17.068945348884601</v>
      </c>
      <c r="L132">
        <v>1.3781200004593579E-4</v>
      </c>
      <c r="M132">
        <v>1.7024355530497097E-5</v>
      </c>
      <c r="N132" s="1">
        <v>1.0540413157178399E-6</v>
      </c>
      <c r="O132" s="1">
        <v>3.0818973546325598E-8</v>
      </c>
      <c r="P132" s="1">
        <v>-1.5615438544596701E-7</v>
      </c>
      <c r="Q132">
        <v>72.405599345743497</v>
      </c>
      <c r="R132">
        <v>0.14693772733369401</v>
      </c>
      <c r="S132">
        <v>12.966987210484399</v>
      </c>
      <c r="T132">
        <v>0.23929105991774999</v>
      </c>
      <c r="V132">
        <v>0.56200496886364804</v>
      </c>
      <c r="W132">
        <v>7.1352340674889603E-2</v>
      </c>
      <c r="X132">
        <v>0.171403818001684</v>
      </c>
      <c r="AA132">
        <v>0.72752191166299296</v>
      </c>
      <c r="AB132">
        <v>2.8363815684474001</v>
      </c>
      <c r="AC132">
        <v>5.0001161135829797</v>
      </c>
      <c r="AD132">
        <v>0.10570717137013801</v>
      </c>
      <c r="AE132">
        <v>4.7666967639168396</v>
      </c>
    </row>
    <row r="133" spans="1:31" x14ac:dyDescent="0.2">
      <c r="A133">
        <v>132</v>
      </c>
      <c r="B133">
        <v>752</v>
      </c>
      <c r="C133">
        <v>180</v>
      </c>
      <c r="D133">
        <v>0.40083938935765601</v>
      </c>
      <c r="E133">
        <v>24.275835192132099</v>
      </c>
      <c r="F133">
        <v>2.2215510226989199</v>
      </c>
      <c r="G133">
        <v>-394.78533452212861</v>
      </c>
      <c r="H133">
        <v>-332.48493570339798</v>
      </c>
      <c r="I133">
        <v>60.771983435332103</v>
      </c>
      <c r="J133">
        <v>32.542281191263498</v>
      </c>
      <c r="K133">
        <v>10.927426353971301</v>
      </c>
      <c r="L133">
        <v>1.3708838660688941E-4</v>
      </c>
      <c r="M133">
        <v>1.6985512583967971E-5</v>
      </c>
      <c r="N133" s="1">
        <v>6.7224417838038805E-7</v>
      </c>
      <c r="O133" s="1">
        <v>1.9590246350840899E-8</v>
      </c>
      <c r="P133" s="1">
        <v>-9.8629279367626205E-8</v>
      </c>
      <c r="Q133">
        <v>71.939467800050295</v>
      </c>
      <c r="R133">
        <v>0.174114804984072</v>
      </c>
      <c r="S133">
        <v>13.540688721434201</v>
      </c>
      <c r="T133">
        <v>0.223049706335643</v>
      </c>
      <c r="V133">
        <v>0.52992340804124405</v>
      </c>
      <c r="W133">
        <v>0.11122171404732401</v>
      </c>
      <c r="X133">
        <v>0.17518395897598499</v>
      </c>
      <c r="AA133">
        <v>0.75500105738929801</v>
      </c>
      <c r="AB133">
        <v>2.5884913952867401</v>
      </c>
      <c r="AC133">
        <v>5.0700127241318098</v>
      </c>
      <c r="AD133">
        <v>0.16477290969959499</v>
      </c>
      <c r="AE133">
        <v>4.7280717996236001</v>
      </c>
    </row>
    <row r="134" spans="1:31" x14ac:dyDescent="0.2">
      <c r="A134">
        <v>133</v>
      </c>
      <c r="B134">
        <v>750</v>
      </c>
      <c r="C134">
        <v>180</v>
      </c>
      <c r="D134">
        <v>0.39953134926452799</v>
      </c>
      <c r="E134">
        <v>18.8143978412499</v>
      </c>
      <c r="F134">
        <v>2.2251898182521201</v>
      </c>
      <c r="G134">
        <v>-305.97148997734445</v>
      </c>
      <c r="H134">
        <v>-257.9087627964978</v>
      </c>
      <c r="I134">
        <v>46.975250140103299</v>
      </c>
      <c r="J134">
        <v>25.244108613879099</v>
      </c>
      <c r="K134">
        <v>8.4551878167538206</v>
      </c>
      <c r="L134">
        <v>1.3664727371688051E-4</v>
      </c>
      <c r="M134">
        <v>1.6965228902509551E-5</v>
      </c>
      <c r="N134" s="1">
        <v>5.1964198641510196E-7</v>
      </c>
      <c r="O134" s="1">
        <v>1.5089522005922899E-8</v>
      </c>
      <c r="P134" s="1">
        <v>-7.56102721312113E-8</v>
      </c>
      <c r="Q134">
        <v>71.550564753876202</v>
      </c>
      <c r="R134">
        <v>0.18988715425651401</v>
      </c>
      <c r="S134">
        <v>14.009837982029699</v>
      </c>
      <c r="T134">
        <v>0.212268874782296</v>
      </c>
      <c r="V134">
        <v>0.508549418711149</v>
      </c>
      <c r="W134">
        <v>0.143507117409816</v>
      </c>
      <c r="X134">
        <v>0.17663321889271999</v>
      </c>
      <c r="AA134">
        <v>0.77427178867634205</v>
      </c>
      <c r="AB134">
        <v>2.4092990209509102</v>
      </c>
      <c r="AC134">
        <v>5.1075399869035598</v>
      </c>
      <c r="AD134">
        <v>0.21260313690323401</v>
      </c>
      <c r="AE134">
        <v>4.7050375466074703</v>
      </c>
    </row>
    <row r="135" spans="1:31" x14ac:dyDescent="0.2">
      <c r="A135">
        <v>134</v>
      </c>
      <c r="B135">
        <v>748</v>
      </c>
      <c r="C135">
        <v>180</v>
      </c>
      <c r="D135">
        <v>0.39821818537923098</v>
      </c>
      <c r="E135">
        <v>15.6891682240185</v>
      </c>
      <c r="F135">
        <v>2.2282475922443701</v>
      </c>
      <c r="G135">
        <v>-255.14380864806063</v>
      </c>
      <c r="H135">
        <v>-215.23279002919958</v>
      </c>
      <c r="I135">
        <v>39.084383899388897</v>
      </c>
      <c r="J135">
        <v>21.069384511270499</v>
      </c>
      <c r="K135">
        <v>7.0410345235539298</v>
      </c>
      <c r="L135">
        <v>1.3636645270855084E-4</v>
      </c>
      <c r="M135">
        <v>1.6956962638389101E-5</v>
      </c>
      <c r="N135" s="1">
        <v>4.3306553037475499E-7</v>
      </c>
      <c r="O135" s="1">
        <v>1.25291634097297E-8</v>
      </c>
      <c r="P135" s="1">
        <v>-6.2539854651683396E-8</v>
      </c>
      <c r="Q135">
        <v>71.202177711922801</v>
      </c>
      <c r="R135">
        <v>0.19062266326225399</v>
      </c>
      <c r="S135">
        <v>14.427368489250799</v>
      </c>
      <c r="T135">
        <v>0.20600625480659601</v>
      </c>
      <c r="V135">
        <v>0.49694171407432902</v>
      </c>
      <c r="W135">
        <v>0.17136520257539201</v>
      </c>
      <c r="X135">
        <v>0.17522114594709301</v>
      </c>
      <c r="AA135">
        <v>0.79158338259701699</v>
      </c>
      <c r="AB135">
        <v>2.2652923012670798</v>
      </c>
      <c r="AC135">
        <v>5.1268454032172697</v>
      </c>
      <c r="AD135">
        <v>0.25495296773420301</v>
      </c>
      <c r="AE135">
        <v>4.69162276334505</v>
      </c>
    </row>
    <row r="136" spans="1:31" x14ac:dyDescent="0.2">
      <c r="A136">
        <v>135</v>
      </c>
      <c r="B136">
        <v>746</v>
      </c>
      <c r="C136">
        <v>180</v>
      </c>
      <c r="D136">
        <v>0.396899867536674</v>
      </c>
      <c r="E136">
        <v>13.6664749165766</v>
      </c>
      <c r="F136">
        <v>2.2309478399168698</v>
      </c>
      <c r="G136">
        <v>-222.24573159752018</v>
      </c>
      <c r="H136">
        <v>-187.61781519792314</v>
      </c>
      <c r="I136">
        <v>33.977252023349898</v>
      </c>
      <c r="J136">
        <v>18.368275215243901</v>
      </c>
      <c r="K136">
        <v>6.1258603504983302</v>
      </c>
      <c r="L136">
        <v>1.3616916755102576E-4</v>
      </c>
      <c r="M136">
        <v>1.6953354914897508E-5</v>
      </c>
      <c r="N136" s="1">
        <v>3.7737556269204403E-7</v>
      </c>
      <c r="O136" s="1">
        <v>1.08770961645419E-8</v>
      </c>
      <c r="P136" s="1">
        <v>-5.4119850062714799E-8</v>
      </c>
      <c r="Q136">
        <v>70.886974542775704</v>
      </c>
      <c r="R136">
        <v>0.189357243598541</v>
      </c>
      <c r="S136">
        <v>14.8012819802852</v>
      </c>
      <c r="T136">
        <v>0.200843268416427</v>
      </c>
      <c r="V136">
        <v>0.48715606433932801</v>
      </c>
      <c r="W136">
        <v>0.19586759218237601</v>
      </c>
      <c r="X136">
        <v>0.17347238186709499</v>
      </c>
      <c r="AA136">
        <v>0.80786663547606097</v>
      </c>
      <c r="AB136">
        <v>2.1451681162895002</v>
      </c>
      <c r="AC136">
        <v>5.1364879201585802</v>
      </c>
      <c r="AD136">
        <v>0.29268703337264701</v>
      </c>
      <c r="AE136">
        <v>4.68283722123841</v>
      </c>
    </row>
    <row r="137" spans="1:31" x14ac:dyDescent="0.2">
      <c r="A137">
        <v>136</v>
      </c>
      <c r="B137">
        <v>744</v>
      </c>
      <c r="C137">
        <v>180</v>
      </c>
      <c r="D137">
        <v>0.39557636533451601</v>
      </c>
      <c r="E137">
        <v>12.2311875203669</v>
      </c>
      <c r="F137">
        <v>2.2334047228722902</v>
      </c>
      <c r="G137">
        <v>-198.90028712188752</v>
      </c>
      <c r="H137">
        <v>-168.0269592267839</v>
      </c>
      <c r="I137">
        <v>30.352777756578298</v>
      </c>
      <c r="J137">
        <v>16.4521364530268</v>
      </c>
      <c r="K137">
        <v>5.4764760704172399</v>
      </c>
      <c r="L137">
        <v>1.3602623407912211E-4</v>
      </c>
      <c r="M137">
        <v>1.6952451092425606E-5</v>
      </c>
      <c r="N137" s="1">
        <v>3.3807966635755E-7</v>
      </c>
      <c r="O137" s="1">
        <v>9.7076259230791198E-9</v>
      </c>
      <c r="P137" s="1">
        <v>-4.8168885570692299E-8</v>
      </c>
      <c r="Q137">
        <v>70.596010877225794</v>
      </c>
      <c r="R137">
        <v>0.18785664835579799</v>
      </c>
      <c r="S137">
        <v>15.1430366566507</v>
      </c>
      <c r="T137">
        <v>0.196203057868478</v>
      </c>
      <c r="V137">
        <v>0.478034876576164</v>
      </c>
      <c r="W137">
        <v>0.21796929325185599</v>
      </c>
      <c r="X137">
        <v>0.17170868459646199</v>
      </c>
      <c r="AA137">
        <v>0.82362439482723004</v>
      </c>
      <c r="AB137">
        <v>2.0416918630724301</v>
      </c>
      <c r="AC137">
        <v>5.1398366351551603</v>
      </c>
      <c r="AD137">
        <v>0.32703284070604299</v>
      </c>
      <c r="AE137">
        <v>4.6769941717137904</v>
      </c>
    </row>
    <row r="138" spans="1:31" x14ac:dyDescent="0.2">
      <c r="A138">
        <v>137</v>
      </c>
      <c r="B138">
        <v>742</v>
      </c>
      <c r="C138">
        <v>180</v>
      </c>
      <c r="D138">
        <v>0.39424764813081797</v>
      </c>
      <c r="E138">
        <v>11.146825629494</v>
      </c>
      <c r="F138">
        <v>2.2356812062502001</v>
      </c>
      <c r="G138">
        <v>-181.26174273642019</v>
      </c>
      <c r="H138">
        <v>-153.22933737932883</v>
      </c>
      <c r="I138">
        <v>27.614052462287699</v>
      </c>
      <c r="J138">
        <v>15.004885844300301</v>
      </c>
      <c r="K138">
        <v>4.9858743716820202</v>
      </c>
      <c r="L138">
        <v>1.3592319881580381E-4</v>
      </c>
      <c r="M138">
        <v>1.6953509540073578E-5</v>
      </c>
      <c r="N138" s="1">
        <v>3.0855552290693E-7</v>
      </c>
      <c r="O138" s="1">
        <v>8.8261357876059006E-9</v>
      </c>
      <c r="P138" s="1">
        <v>-4.36904890567096E-8</v>
      </c>
      <c r="Q138">
        <v>70.323274827483402</v>
      </c>
      <c r="R138">
        <v>0.18619000496834301</v>
      </c>
      <c r="S138">
        <v>15.460551918046001</v>
      </c>
      <c r="T138">
        <v>0.19195620024843499</v>
      </c>
      <c r="V138">
        <v>0.46942081187566598</v>
      </c>
      <c r="W138">
        <v>0.23826833687580001</v>
      </c>
      <c r="X138">
        <v>0.16993465204845701</v>
      </c>
      <c r="AA138">
        <v>0.83911551408098495</v>
      </c>
      <c r="AB138">
        <v>1.9505444274347199</v>
      </c>
      <c r="AC138">
        <v>5.1385790053145</v>
      </c>
      <c r="AD138">
        <v>0.358846557122945</v>
      </c>
      <c r="AE138">
        <v>4.6733177445005998</v>
      </c>
    </row>
    <row r="139" spans="1:31" x14ac:dyDescent="0.2">
      <c r="A139">
        <v>138</v>
      </c>
      <c r="B139">
        <v>740</v>
      </c>
      <c r="C139">
        <v>180</v>
      </c>
      <c r="D139">
        <v>0.39291368504170499</v>
      </c>
      <c r="E139">
        <v>10.2910599373596</v>
      </c>
      <c r="F139">
        <v>2.2378175376770799</v>
      </c>
      <c r="G139">
        <v>-167.34074789652863</v>
      </c>
      <c r="H139">
        <v>-141.55372884084215</v>
      </c>
      <c r="I139">
        <v>25.452321034088101</v>
      </c>
      <c r="J139">
        <v>13.863031206746401</v>
      </c>
      <c r="K139">
        <v>4.59870376565285</v>
      </c>
      <c r="L139">
        <v>1.3585100632161436E-4</v>
      </c>
      <c r="M139">
        <v>1.6956075804680477E-5</v>
      </c>
      <c r="N139" s="1">
        <v>2.8538273374012102E-7</v>
      </c>
      <c r="O139" s="1">
        <v>8.1320414071533301E-9</v>
      </c>
      <c r="P139" s="1">
        <v>-4.0169841229389301E-8</v>
      </c>
      <c r="Q139">
        <v>70.064846452674502</v>
      </c>
      <c r="R139">
        <v>0.184401111624203</v>
      </c>
      <c r="S139">
        <v>15.758979764181101</v>
      </c>
      <c r="T139">
        <v>0.188019679566401</v>
      </c>
      <c r="V139">
        <v>0.46121372772727498</v>
      </c>
      <c r="W139">
        <v>0.25715488752651899</v>
      </c>
      <c r="X139">
        <v>0.16815320373218701</v>
      </c>
      <c r="AA139">
        <v>0.85447278516684999</v>
      </c>
      <c r="AB139">
        <v>1.86897357670912</v>
      </c>
      <c r="AC139">
        <v>5.1337765528439601</v>
      </c>
      <c r="AD139">
        <v>0.388686882045296</v>
      </c>
      <c r="AE139">
        <v>4.67132137620258</v>
      </c>
    </row>
    <row r="140" spans="1:31" x14ac:dyDescent="0.2">
      <c r="A140">
        <v>139</v>
      </c>
      <c r="B140">
        <v>770</v>
      </c>
      <c r="C140">
        <v>165</v>
      </c>
      <c r="D140">
        <v>0.428203518190098</v>
      </c>
      <c r="E140">
        <v>104.842957687465</v>
      </c>
      <c r="F140">
        <v>2.2042999251445301</v>
      </c>
      <c r="G140">
        <v>-1711.4177190913674</v>
      </c>
      <c r="H140">
        <v>-1433.9928623318233</v>
      </c>
      <c r="I140">
        <v>265.94915089828299</v>
      </c>
      <c r="J140">
        <v>140.427274075691</v>
      </c>
      <c r="K140">
        <v>47.562927572385902</v>
      </c>
      <c r="L140">
        <v>1.3788180569102322E-4</v>
      </c>
      <c r="M140">
        <v>1.7260354056752254E-5</v>
      </c>
      <c r="N140" s="1">
        <v>2.84996776307369E-6</v>
      </c>
      <c r="O140" s="1">
        <v>8.6519508376830597E-8</v>
      </c>
      <c r="P140" s="1">
        <v>-4.3573400954092502E-7</v>
      </c>
      <c r="Q140">
        <v>73.2238022403629</v>
      </c>
      <c r="R140">
        <v>9.1565520581910698E-2</v>
      </c>
      <c r="S140">
        <v>12.3613452785583</v>
      </c>
      <c r="T140">
        <v>0.24223328140192099</v>
      </c>
      <c r="V140">
        <v>0.57369605608993601</v>
      </c>
      <c r="W140">
        <v>2.57528026636622E-2</v>
      </c>
      <c r="X140">
        <v>0.114456900727389</v>
      </c>
      <c r="AA140">
        <v>0.75350792978863801</v>
      </c>
      <c r="AB140">
        <v>3.3860166465185602</v>
      </c>
      <c r="AC140">
        <v>4.4733572034287201</v>
      </c>
      <c r="AD140">
        <v>3.8152300242462099E-2</v>
      </c>
      <c r="AE140">
        <v>4.7161138396355096</v>
      </c>
    </row>
    <row r="141" spans="1:31" x14ac:dyDescent="0.2">
      <c r="A141">
        <v>140</v>
      </c>
      <c r="B141">
        <v>768</v>
      </c>
      <c r="C141">
        <v>165</v>
      </c>
      <c r="D141">
        <v>0.42697065744609403</v>
      </c>
      <c r="E141">
        <v>104.51162120426299</v>
      </c>
      <c r="F141">
        <v>2.2049474278972001</v>
      </c>
      <c r="G141">
        <v>-1705.3651435103891</v>
      </c>
      <c r="H141">
        <v>-1429.704567792983</v>
      </c>
      <c r="I141">
        <v>264.765476364986</v>
      </c>
      <c r="J141">
        <v>139.92320301763499</v>
      </c>
      <c r="K141">
        <v>47.398690727031799</v>
      </c>
      <c r="L141">
        <v>1.3763321016120112E-4</v>
      </c>
      <c r="M141">
        <v>1.7237243577217896E-5</v>
      </c>
      <c r="N141" s="1">
        <v>2.8437087168092699E-6</v>
      </c>
      <c r="O141" s="1">
        <v>8.6016275565322996E-8</v>
      </c>
      <c r="P141" s="1">
        <v>-4.3341938729329402E-7</v>
      </c>
      <c r="Q141">
        <v>73.265653127923301</v>
      </c>
      <c r="R141">
        <v>9.1855813634707795E-2</v>
      </c>
      <c r="S141">
        <v>12.3351438594778</v>
      </c>
      <c r="T141">
        <v>0.243674562272617</v>
      </c>
      <c r="V141">
        <v>0.57490900104415099</v>
      </c>
      <c r="W141">
        <v>2.5834447584761201E-2</v>
      </c>
      <c r="X141">
        <v>0.11481976704338701</v>
      </c>
      <c r="AA141">
        <v>0.74635080296011003</v>
      </c>
      <c r="AB141">
        <v>3.3703373972500001</v>
      </c>
      <c r="AC141">
        <v>4.4833065858433603</v>
      </c>
      <c r="AD141">
        <v>3.82732556811268E-2</v>
      </c>
      <c r="AE141">
        <v>4.7098413792846596</v>
      </c>
    </row>
    <row r="142" spans="1:31" x14ac:dyDescent="0.2">
      <c r="A142">
        <v>141</v>
      </c>
      <c r="B142">
        <v>766</v>
      </c>
      <c r="C142">
        <v>165</v>
      </c>
      <c r="D142">
        <v>0.42573305105134501</v>
      </c>
      <c r="E142">
        <v>103.772482340835</v>
      </c>
      <c r="F142">
        <v>2.2056230315432099</v>
      </c>
      <c r="G142">
        <v>-1692.5315162686361</v>
      </c>
      <c r="H142">
        <v>-1419.7906713938312</v>
      </c>
      <c r="I142">
        <v>262.46532731059398</v>
      </c>
      <c r="J142">
        <v>138.83242032388401</v>
      </c>
      <c r="K142">
        <v>47.049056369450803</v>
      </c>
      <c r="L142">
        <v>1.371924847925001E-4</v>
      </c>
      <c r="M142">
        <v>1.7203662236150619E-5</v>
      </c>
      <c r="N142" s="1">
        <v>2.8221038133952E-6</v>
      </c>
      <c r="O142" s="1">
        <v>8.5064544468324796E-8</v>
      </c>
      <c r="P142" s="1">
        <v>-4.2856674242960602E-7</v>
      </c>
      <c r="Q142">
        <v>73.358533739667607</v>
      </c>
      <c r="R142">
        <v>9.2510073802314199E-2</v>
      </c>
      <c r="S142">
        <v>12.276656574295201</v>
      </c>
      <c r="T142">
        <v>0.24600261007379001</v>
      </c>
      <c r="V142">
        <v>0.57847082236319103</v>
      </c>
      <c r="W142">
        <v>2.6018458256900301E-2</v>
      </c>
      <c r="X142">
        <v>0.11563759225289599</v>
      </c>
      <c r="AA142">
        <v>0.73102308381287595</v>
      </c>
      <c r="AB142">
        <v>3.3347578586044402</v>
      </c>
      <c r="AC142">
        <v>4.5052713314553898</v>
      </c>
      <c r="AD142">
        <v>3.8545864084295098E-2</v>
      </c>
      <c r="AE142">
        <v>4.6965719913310702</v>
      </c>
    </row>
    <row r="143" spans="1:31" x14ac:dyDescent="0.2">
      <c r="A143">
        <v>142</v>
      </c>
      <c r="B143">
        <v>764</v>
      </c>
      <c r="C143">
        <v>165</v>
      </c>
      <c r="D143">
        <v>0.424490671551851</v>
      </c>
      <c r="E143">
        <v>100.97336624844</v>
      </c>
      <c r="F143">
        <v>2.2071704375541601</v>
      </c>
      <c r="G143">
        <v>-1645.5047690499537</v>
      </c>
      <c r="H143">
        <v>-1381.1323780710316</v>
      </c>
      <c r="I143">
        <v>254.90275367972001</v>
      </c>
      <c r="J143">
        <v>135.00565979465199</v>
      </c>
      <c r="K143">
        <v>45.747879062902101</v>
      </c>
      <c r="L143">
        <v>1.36774362301111E-4</v>
      </c>
      <c r="M143">
        <v>1.7146347384143696E-5</v>
      </c>
      <c r="N143" s="1">
        <v>2.7387075705553498E-6</v>
      </c>
      <c r="O143" s="1">
        <v>8.2280783870292804E-8</v>
      </c>
      <c r="P143" s="1">
        <v>-4.1537585491067699E-7</v>
      </c>
      <c r="Q143">
        <v>73.324863579572593</v>
      </c>
      <c r="R143">
        <v>9.5074576164765001E-2</v>
      </c>
      <c r="S143">
        <v>12.2766057331482</v>
      </c>
      <c r="T143">
        <v>0.25364491280767698</v>
      </c>
      <c r="V143">
        <v>0.59376645421909302</v>
      </c>
      <c r="W143">
        <v>2.6739724546339199E-2</v>
      </c>
      <c r="X143">
        <v>0.118843220205962</v>
      </c>
      <c r="AA143">
        <v>0.70632064639952596</v>
      </c>
      <c r="AB143">
        <v>3.2874275328088598</v>
      </c>
      <c r="AC143">
        <v>4.6036690689570197</v>
      </c>
      <c r="AD143">
        <v>3.9614406735314703E-2</v>
      </c>
      <c r="AE143">
        <v>4.6734301444346</v>
      </c>
    </row>
    <row r="144" spans="1:31" x14ac:dyDescent="0.2">
      <c r="A144">
        <v>143</v>
      </c>
      <c r="B144">
        <v>762</v>
      </c>
      <c r="C144">
        <v>165</v>
      </c>
      <c r="D144">
        <v>0.42324349128146099</v>
      </c>
      <c r="E144">
        <v>97.472081399238604</v>
      </c>
      <c r="F144">
        <v>2.2090903943753801</v>
      </c>
      <c r="G144">
        <v>-1586.8926051413471</v>
      </c>
      <c r="H144">
        <v>-1332.7005599024974</v>
      </c>
      <c r="I144">
        <v>245.56059048335899</v>
      </c>
      <c r="J144">
        <v>130.24837503377299</v>
      </c>
      <c r="K144">
        <v>44.123174700055102</v>
      </c>
      <c r="L144">
        <v>1.3633820889114807E-4</v>
      </c>
      <c r="M144">
        <v>1.7079323728736133E-5</v>
      </c>
      <c r="N144" s="1">
        <v>2.6341199851102399E-6</v>
      </c>
      <c r="O144" s="1">
        <v>7.8887597306792705E-8</v>
      </c>
      <c r="P144" s="1">
        <v>-3.9929151656737598E-7</v>
      </c>
      <c r="Q144">
        <v>73.249320964154805</v>
      </c>
      <c r="R144">
        <v>9.8489740469162895E-2</v>
      </c>
      <c r="S144">
        <v>12.295503081850599</v>
      </c>
      <c r="T144">
        <v>0.26365676886918499</v>
      </c>
      <c r="V144">
        <v>0.61428461727167205</v>
      </c>
      <c r="W144">
        <v>2.7700239506950702E-2</v>
      </c>
      <c r="X144">
        <v>0.12311217558646199</v>
      </c>
      <c r="AA144">
        <v>0.68171447272563901</v>
      </c>
      <c r="AB144">
        <v>3.23079557807988</v>
      </c>
      <c r="AC144">
        <v>4.7285772374387003</v>
      </c>
      <c r="AD144">
        <v>4.1037391862145202E-2</v>
      </c>
      <c r="AE144">
        <v>4.6458077321846902</v>
      </c>
    </row>
    <row r="145" spans="1:31" x14ac:dyDescent="0.2">
      <c r="A145">
        <v>144</v>
      </c>
      <c r="B145">
        <v>760</v>
      </c>
      <c r="C145">
        <v>165</v>
      </c>
      <c r="D145">
        <v>0.42199148235977502</v>
      </c>
      <c r="E145">
        <v>93.807391255797697</v>
      </c>
      <c r="F145">
        <v>2.2111592555237198</v>
      </c>
      <c r="G145">
        <v>-1525.6733333491727</v>
      </c>
      <c r="H145">
        <v>-1282.0337039126223</v>
      </c>
      <c r="I145">
        <v>235.82212596094399</v>
      </c>
      <c r="J145">
        <v>125.276472082396</v>
      </c>
      <c r="K145">
        <v>42.424529586214199</v>
      </c>
      <c r="L145">
        <v>1.3587076522119165E-4</v>
      </c>
      <c r="M145">
        <v>1.7009262452682172E-5</v>
      </c>
      <c r="N145" s="1">
        <v>2.5247336870250401E-6</v>
      </c>
      <c r="O145" s="1">
        <v>7.5374885914453995E-8</v>
      </c>
      <c r="P145" s="1">
        <v>-3.8248577477766699E-7</v>
      </c>
      <c r="Q145">
        <v>73.168966647757102</v>
      </c>
      <c r="R145">
        <v>0.10233735179589901</v>
      </c>
      <c r="S145">
        <v>12.315896351611</v>
      </c>
      <c r="T145">
        <v>0.27486015678596998</v>
      </c>
      <c r="V145">
        <v>0.63746949172101597</v>
      </c>
      <c r="W145">
        <v>2.8782380192595099E-2</v>
      </c>
      <c r="X145">
        <v>0.12792168974488699</v>
      </c>
      <c r="AA145">
        <v>0.66113298451615798</v>
      </c>
      <c r="AB145">
        <v>3.1666009180570698</v>
      </c>
      <c r="AC145">
        <v>4.8570738425827598</v>
      </c>
      <c r="AD145">
        <v>4.2640563248283497E-2</v>
      </c>
      <c r="AE145">
        <v>4.6163176219871396</v>
      </c>
    </row>
    <row r="146" spans="1:31" x14ac:dyDescent="0.2">
      <c r="A146">
        <v>145</v>
      </c>
      <c r="B146">
        <v>758</v>
      </c>
      <c r="C146">
        <v>165</v>
      </c>
      <c r="D146">
        <v>0.42073461669010398</v>
      </c>
      <c r="E146">
        <v>45.970249171398201</v>
      </c>
      <c r="F146">
        <v>2.21606293096991</v>
      </c>
      <c r="G146">
        <v>-747.55622403951963</v>
      </c>
      <c r="H146">
        <v>-628.89112823088544</v>
      </c>
      <c r="I146">
        <v>115.080343120432</v>
      </c>
      <c r="J146">
        <v>61.423190734482802</v>
      </c>
      <c r="K146">
        <v>20.7441081789487</v>
      </c>
      <c r="L146">
        <v>1.3463944838722035E-4</v>
      </c>
      <c r="M146">
        <v>1.6906732248539927E-5</v>
      </c>
      <c r="N146" s="1">
        <v>1.22258496888227E-6</v>
      </c>
      <c r="O146" s="1">
        <v>3.6399291776805403E-8</v>
      </c>
      <c r="P146" s="1">
        <v>-1.8381521288374199E-7</v>
      </c>
      <c r="Q146">
        <v>72.814160744409506</v>
      </c>
      <c r="R146">
        <v>0.136248684005805</v>
      </c>
      <c r="S146">
        <v>12.749014605036299</v>
      </c>
      <c r="T146">
        <v>0.24662663896616799</v>
      </c>
      <c r="V146">
        <v>0.57621621259257305</v>
      </c>
      <c r="W146">
        <v>5.8733638574215298E-2</v>
      </c>
      <c r="X146">
        <v>0.175401104320385</v>
      </c>
      <c r="AA146">
        <v>0.71416106195632201</v>
      </c>
      <c r="AB146">
        <v>2.8697551917484199</v>
      </c>
      <c r="AC146">
        <v>5.0213966666666696</v>
      </c>
      <c r="AD146">
        <v>8.7012797887683596E-2</v>
      </c>
      <c r="AE146">
        <v>4.5512726538358397</v>
      </c>
    </row>
    <row r="147" spans="1:31" x14ac:dyDescent="0.2">
      <c r="A147">
        <v>146</v>
      </c>
      <c r="B147">
        <v>756</v>
      </c>
      <c r="C147">
        <v>165</v>
      </c>
      <c r="D147">
        <v>0.41947286595734501</v>
      </c>
      <c r="E147">
        <v>27.0053337840871</v>
      </c>
      <c r="F147">
        <v>2.2209875374908501</v>
      </c>
      <c r="G147">
        <v>-439.1651956653285</v>
      </c>
      <c r="H147">
        <v>-369.84287183548577</v>
      </c>
      <c r="I147">
        <v>67.358814390363605</v>
      </c>
      <c r="J147">
        <v>36.1185675757281</v>
      </c>
      <c r="K147">
        <v>12.1591559287164</v>
      </c>
      <c r="L147">
        <v>1.338125960281119E-4</v>
      </c>
      <c r="M147">
        <v>1.6858852571236645E-5</v>
      </c>
      <c r="N147" s="1">
        <v>7.1300060962179003E-7</v>
      </c>
      <c r="O147" s="1">
        <v>2.1160239413481399E-8</v>
      </c>
      <c r="P147" s="1">
        <v>-1.06111486197163E-7</v>
      </c>
      <c r="Q147">
        <v>72.329692698078205</v>
      </c>
      <c r="R147">
        <v>0.16972466044925699</v>
      </c>
      <c r="S147">
        <v>13.343831286121</v>
      </c>
      <c r="T147">
        <v>0.227738132805968</v>
      </c>
      <c r="V147">
        <v>0.53863637949307797</v>
      </c>
      <c r="W147">
        <v>9.99802491458327E-2</v>
      </c>
      <c r="X147">
        <v>0.180389031576008</v>
      </c>
      <c r="AA147">
        <v>0.74943045541056297</v>
      </c>
      <c r="AB147">
        <v>2.5946139319113999</v>
      </c>
      <c r="AC147">
        <v>5.1098148853000396</v>
      </c>
      <c r="AD147">
        <v>0.14811888762336101</v>
      </c>
      <c r="AE147">
        <v>4.5080294020852101</v>
      </c>
    </row>
    <row r="148" spans="1:31" x14ac:dyDescent="0.2">
      <c r="A148">
        <v>147</v>
      </c>
      <c r="B148">
        <v>754</v>
      </c>
      <c r="C148">
        <v>165</v>
      </c>
      <c r="D148">
        <v>0.41820620162585598</v>
      </c>
      <c r="E148">
        <v>20.280797801858402</v>
      </c>
      <c r="F148">
        <v>2.2247285623072801</v>
      </c>
      <c r="G148">
        <v>-329.81302072857005</v>
      </c>
      <c r="H148">
        <v>-277.99568263605471</v>
      </c>
      <c r="I148">
        <v>50.447683485873803</v>
      </c>
      <c r="J148">
        <v>27.149797586940899</v>
      </c>
      <c r="K148">
        <v>9.1160774152263695</v>
      </c>
      <c r="L148">
        <v>1.3333706739707037E-4</v>
      </c>
      <c r="M148">
        <v>1.6835963198668696E-5</v>
      </c>
      <c r="N148" s="1">
        <v>5.33778976536305E-7</v>
      </c>
      <c r="O148" s="1">
        <v>1.57863729329244E-8</v>
      </c>
      <c r="P148" s="1">
        <v>-7.8756670795419804E-8</v>
      </c>
      <c r="Q148">
        <v>71.929900104096106</v>
      </c>
      <c r="R148">
        <v>0.18817160998705901</v>
      </c>
      <c r="S148">
        <v>13.825434984767201</v>
      </c>
      <c r="T148">
        <v>0.215914557259725</v>
      </c>
      <c r="V148">
        <v>0.51521060160270804</v>
      </c>
      <c r="W148">
        <v>0.13313085739416899</v>
      </c>
      <c r="X148">
        <v>0.18230819899293699</v>
      </c>
      <c r="AA148">
        <v>0.77006607054516596</v>
      </c>
      <c r="AB148">
        <v>2.40421046961495</v>
      </c>
      <c r="AC148">
        <v>5.1546780203318701</v>
      </c>
      <c r="AD148">
        <v>0.19723089984304201</v>
      </c>
      <c r="AE148">
        <v>4.48374362556501</v>
      </c>
    </row>
    <row r="149" spans="1:31" x14ac:dyDescent="0.2">
      <c r="A149">
        <v>148</v>
      </c>
      <c r="B149">
        <v>752</v>
      </c>
      <c r="C149">
        <v>165</v>
      </c>
      <c r="D149">
        <v>0.41693459493732699</v>
      </c>
      <c r="E149">
        <v>16.729253117072901</v>
      </c>
      <c r="F149">
        <v>2.22787098081103</v>
      </c>
      <c r="G149">
        <v>-272.05518164495737</v>
      </c>
      <c r="H149">
        <v>-229.49379366328785</v>
      </c>
      <c r="I149">
        <v>41.517229655825503</v>
      </c>
      <c r="J149">
        <v>22.4145269746131</v>
      </c>
      <c r="K149">
        <v>7.5090762710966601</v>
      </c>
      <c r="L149">
        <v>1.3301728975269073E-4</v>
      </c>
      <c r="M149">
        <v>1.6822964109133019E-5</v>
      </c>
      <c r="N149" s="1">
        <v>4.3973915459300702E-7</v>
      </c>
      <c r="O149" s="1">
        <v>1.29584103463735E-8</v>
      </c>
      <c r="P149" s="1">
        <v>-6.4383688247592994E-8</v>
      </c>
      <c r="Q149">
        <v>71.581376714897502</v>
      </c>
      <c r="R149">
        <v>0.20057243139736999</v>
      </c>
      <c r="S149">
        <v>14.2395112179839</v>
      </c>
      <c r="T149">
        <v>0.20699796172969001</v>
      </c>
      <c r="V149">
        <v>0.49730009838422901</v>
      </c>
      <c r="W149">
        <v>0.16139393558720999</v>
      </c>
      <c r="X149">
        <v>0.183059389521467</v>
      </c>
      <c r="AA149">
        <v>0.78688778752688604</v>
      </c>
      <c r="AB149">
        <v>2.2554034617693</v>
      </c>
      <c r="AC149">
        <v>5.1804984365093398</v>
      </c>
      <c r="AD149">
        <v>0.239102126795602</v>
      </c>
      <c r="AE149">
        <v>4.4678964378974397</v>
      </c>
    </row>
    <row r="150" spans="1:31" x14ac:dyDescent="0.2">
      <c r="A150">
        <v>149</v>
      </c>
      <c r="B150">
        <v>750</v>
      </c>
      <c r="C150">
        <v>165</v>
      </c>
      <c r="D150">
        <v>0.41565801690856902</v>
      </c>
      <c r="E150">
        <v>14.420707352690901</v>
      </c>
      <c r="F150">
        <v>2.23059150866177</v>
      </c>
      <c r="G150">
        <v>-234.50860251280608</v>
      </c>
      <c r="H150">
        <v>-197.96641205237967</v>
      </c>
      <c r="I150">
        <v>35.715379426698298</v>
      </c>
      <c r="J150">
        <v>19.337587896706999</v>
      </c>
      <c r="K150">
        <v>6.4649700748401502</v>
      </c>
      <c r="L150">
        <v>1.3280783042263442E-4</v>
      </c>
      <c r="M150">
        <v>1.6818939873383484E-5</v>
      </c>
      <c r="N150" s="1">
        <v>3.7914134913959602E-7</v>
      </c>
      <c r="O150" s="1">
        <v>1.1131292909970701E-8</v>
      </c>
      <c r="P150" s="1">
        <v>-5.5114749181879398E-8</v>
      </c>
      <c r="Q150">
        <v>71.261738810014094</v>
      </c>
      <c r="R150">
        <v>0.19951975814380801</v>
      </c>
      <c r="S150">
        <v>14.6191744945025</v>
      </c>
      <c r="T150">
        <v>0.20164756720596599</v>
      </c>
      <c r="V150">
        <v>0.487253982848666</v>
      </c>
      <c r="W150">
        <v>0.186396065903603</v>
      </c>
      <c r="X150">
        <v>0.18134149165400201</v>
      </c>
      <c r="AA150">
        <v>0.80277154863217104</v>
      </c>
      <c r="AB150">
        <v>2.1311748639263102</v>
      </c>
      <c r="AC150">
        <v>5.1927667435520402</v>
      </c>
      <c r="AD150">
        <v>0.27737890397220699</v>
      </c>
      <c r="AE150">
        <v>4.4588357696444598</v>
      </c>
    </row>
    <row r="151" spans="1:31" x14ac:dyDescent="0.2">
      <c r="A151">
        <v>150</v>
      </c>
      <c r="B151">
        <v>748</v>
      </c>
      <c r="C151">
        <v>165</v>
      </c>
      <c r="D151">
        <v>0.41437643832933801</v>
      </c>
      <c r="E151">
        <v>12.8193702916271</v>
      </c>
      <c r="F151">
        <v>2.2330491335375902</v>
      </c>
      <c r="G151">
        <v>-208.46293079478795</v>
      </c>
      <c r="H151">
        <v>-176.10230061937503</v>
      </c>
      <c r="I151">
        <v>31.690378666613999</v>
      </c>
      <c r="J151">
        <v>17.2038479109458</v>
      </c>
      <c r="K151">
        <v>5.74074707945128</v>
      </c>
      <c r="L151">
        <v>1.3265661766643713E-4</v>
      </c>
      <c r="M151">
        <v>1.6817921665338913E-5</v>
      </c>
      <c r="N151" s="1">
        <v>3.37345229404954E-7</v>
      </c>
      <c r="O151" s="1">
        <v>9.8670749111748402E-9</v>
      </c>
      <c r="P151" s="1">
        <v>-4.8711292699277399E-8</v>
      </c>
      <c r="Q151">
        <v>70.968417726804503</v>
      </c>
      <c r="R151">
        <v>0.197973106682374</v>
      </c>
      <c r="S151">
        <v>14.964406687962599</v>
      </c>
      <c r="T151">
        <v>0.19691005106015599</v>
      </c>
      <c r="V151">
        <v>0.47804191739778501</v>
      </c>
      <c r="W151">
        <v>0.20880396736447099</v>
      </c>
      <c r="X151">
        <v>0.179566532671881</v>
      </c>
      <c r="AA151">
        <v>0.81795411846649102</v>
      </c>
      <c r="AB151">
        <v>2.0251649948263801</v>
      </c>
      <c r="AC151">
        <v>5.1978700133677798</v>
      </c>
      <c r="AD151">
        <v>0.31202780706052402</v>
      </c>
      <c r="AE151">
        <v>4.4528630763349</v>
      </c>
    </row>
    <row r="152" spans="1:31" x14ac:dyDescent="0.2">
      <c r="A152">
        <v>151</v>
      </c>
      <c r="B152">
        <v>746</v>
      </c>
      <c r="C152">
        <v>165</v>
      </c>
      <c r="D152">
        <v>0.41308982976009601</v>
      </c>
      <c r="E152">
        <v>11.6286204462172</v>
      </c>
      <c r="F152">
        <v>2.2353161229880198</v>
      </c>
      <c r="G152">
        <v>-189.09437172142333</v>
      </c>
      <c r="H152">
        <v>-159.84794437263903</v>
      </c>
      <c r="I152">
        <v>28.696882057385299</v>
      </c>
      <c r="J152">
        <v>15.61762615035</v>
      </c>
      <c r="K152">
        <v>5.2022263547550898</v>
      </c>
      <c r="L152">
        <v>1.3254686432992625E-4</v>
      </c>
      <c r="M152">
        <v>1.68189617717766E-5</v>
      </c>
      <c r="N152" s="1">
        <v>3.0643644708457699E-7</v>
      </c>
      <c r="O152" s="1">
        <v>8.9291670317718208E-9</v>
      </c>
      <c r="P152" s="1">
        <v>-4.39680061815912E-8</v>
      </c>
      <c r="Q152">
        <v>70.694709540446098</v>
      </c>
      <c r="R152">
        <v>0.19623960084793499</v>
      </c>
      <c r="S152">
        <v>15.283869556087099</v>
      </c>
      <c r="T152">
        <v>0.192592333673543</v>
      </c>
      <c r="V152">
        <v>0.46936934642186201</v>
      </c>
      <c r="W152">
        <v>0.22928567539080499</v>
      </c>
      <c r="X152">
        <v>0.17778069462188201</v>
      </c>
      <c r="AA152">
        <v>0.83279399147827604</v>
      </c>
      <c r="AB152">
        <v>1.93240362799506</v>
      </c>
      <c r="AC152">
        <v>5.1978944252369699</v>
      </c>
      <c r="AD152">
        <v>0.343978894013523</v>
      </c>
      <c r="AE152">
        <v>4.4490823137868301</v>
      </c>
    </row>
    <row r="153" spans="1:31" x14ac:dyDescent="0.2">
      <c r="A153">
        <v>152</v>
      </c>
      <c r="B153">
        <v>744</v>
      </c>
      <c r="C153">
        <v>165</v>
      </c>
      <c r="D153">
        <v>0.411798161529766</v>
      </c>
      <c r="E153">
        <v>10.6996081270188</v>
      </c>
      <c r="F153">
        <v>2.2374369284692599</v>
      </c>
      <c r="G153">
        <v>-173.98228497211295</v>
      </c>
      <c r="H153">
        <v>-147.16925676853799</v>
      </c>
      <c r="I153">
        <v>26.360938114904201</v>
      </c>
      <c r="J153">
        <v>14.380384049697399</v>
      </c>
      <c r="K153">
        <v>4.7820825654911001</v>
      </c>
      <c r="L153">
        <v>1.3246862863700839E-4</v>
      </c>
      <c r="M153">
        <v>1.6821548042948033E-5</v>
      </c>
      <c r="N153" s="1">
        <v>2.82452355733862E-7</v>
      </c>
      <c r="O153" s="1">
        <v>8.1990392210956405E-9</v>
      </c>
      <c r="P153" s="1">
        <v>-4.0281308440973201E-8</v>
      </c>
      <c r="Q153">
        <v>70.436244436406298</v>
      </c>
      <c r="R153">
        <v>0.194371001217991</v>
      </c>
      <c r="S153">
        <v>15.5832451691894</v>
      </c>
      <c r="T153">
        <v>0.188601551888016</v>
      </c>
      <c r="V153">
        <v>0.46112315298978401</v>
      </c>
      <c r="W153">
        <v>0.248271285662375</v>
      </c>
      <c r="X153">
        <v>0.17598719749420499</v>
      </c>
      <c r="AA153">
        <v>0.84746911868054597</v>
      </c>
      <c r="AB153">
        <v>1.84979184134821</v>
      </c>
      <c r="AC153">
        <v>5.19407689723384</v>
      </c>
      <c r="AD153">
        <v>0.373845467283209</v>
      </c>
      <c r="AE153">
        <v>4.4469728806059301</v>
      </c>
    </row>
    <row r="154" spans="1:31" x14ac:dyDescent="0.2">
      <c r="A154">
        <v>153</v>
      </c>
      <c r="B154">
        <v>776</v>
      </c>
      <c r="C154">
        <v>150</v>
      </c>
      <c r="D154">
        <v>0.447600915026452</v>
      </c>
      <c r="E154">
        <v>104.588005473376</v>
      </c>
      <c r="F154">
        <v>2.2048736489890599</v>
      </c>
      <c r="G154">
        <v>-1708.0966294777211</v>
      </c>
      <c r="H154">
        <v>-1430.5726148783181</v>
      </c>
      <c r="I154">
        <v>264.522722775011</v>
      </c>
      <c r="J154">
        <v>139.89376369761601</v>
      </c>
      <c r="K154">
        <v>47.434920146707597</v>
      </c>
      <c r="L154">
        <v>1.3449917033840332E-4</v>
      </c>
      <c r="M154">
        <v>1.7122562142405402E-5</v>
      </c>
      <c r="N154" s="1">
        <v>2.6967271290430301E-6</v>
      </c>
      <c r="O154" s="1">
        <v>8.36586870302983E-8</v>
      </c>
      <c r="P154" s="1">
        <v>-4.1831049264969198E-7</v>
      </c>
      <c r="Q154">
        <v>73.402298526067298</v>
      </c>
      <c r="R154">
        <v>9.1788728129477401E-2</v>
      </c>
      <c r="S154">
        <v>12.391478297480001</v>
      </c>
      <c r="T154">
        <v>0.24240926332706</v>
      </c>
      <c r="V154">
        <v>0.57546752087084796</v>
      </c>
      <c r="W154">
        <v>2.5815579786415199E-2</v>
      </c>
      <c r="X154">
        <v>0.114735910161848</v>
      </c>
      <c r="AA154">
        <v>0.75534474189881995</v>
      </c>
      <c r="AB154">
        <v>3.3942706756212702</v>
      </c>
      <c r="AC154">
        <v>4.4842618221587802</v>
      </c>
      <c r="AD154">
        <v>3.8245303387281201E-2</v>
      </c>
      <c r="AE154">
        <v>4.4838836311107002</v>
      </c>
    </row>
    <row r="155" spans="1:31" x14ac:dyDescent="0.2">
      <c r="A155">
        <v>154</v>
      </c>
      <c r="B155">
        <v>774</v>
      </c>
      <c r="C155">
        <v>150</v>
      </c>
      <c r="D155">
        <v>0.44641216635630598</v>
      </c>
      <c r="E155">
        <v>104.043353765277</v>
      </c>
      <c r="F155">
        <v>2.2054837087780101</v>
      </c>
      <c r="G155">
        <v>-1698.4973017785198</v>
      </c>
      <c r="H155">
        <v>-1423.339918176961</v>
      </c>
      <c r="I155">
        <v>262.76787814693</v>
      </c>
      <c r="J155">
        <v>139.085403979267</v>
      </c>
      <c r="K155">
        <v>47.174845749790002</v>
      </c>
      <c r="L155">
        <v>1.3417486409588722E-4</v>
      </c>
      <c r="M155">
        <v>1.7096028525839989E-5</v>
      </c>
      <c r="N155" s="1">
        <v>2.6836568726415699E-6</v>
      </c>
      <c r="O155" s="1">
        <v>8.2958147412902805E-8</v>
      </c>
      <c r="P155" s="1">
        <v>-4.1487834809989299E-7</v>
      </c>
      <c r="Q155">
        <v>73.470353287136803</v>
      </c>
      <c r="R155">
        <v>9.2269228668442393E-2</v>
      </c>
      <c r="S155">
        <v>12.3478654337989</v>
      </c>
      <c r="T155">
        <v>0.24429118773384501</v>
      </c>
      <c r="V155">
        <v>0.57792847214333298</v>
      </c>
      <c r="W155">
        <v>2.5950720562999002E-2</v>
      </c>
      <c r="X155">
        <v>0.115336535835556</v>
      </c>
      <c r="AA155">
        <v>0.74358129055518896</v>
      </c>
      <c r="AB155">
        <v>3.36812021818622</v>
      </c>
      <c r="AC155">
        <v>4.50066603492676</v>
      </c>
      <c r="AD155">
        <v>3.8445511945182399E-2</v>
      </c>
      <c r="AE155">
        <v>4.4751920785066304</v>
      </c>
    </row>
    <row r="156" spans="1:31" x14ac:dyDescent="0.2">
      <c r="A156">
        <v>155</v>
      </c>
      <c r="B156">
        <v>772</v>
      </c>
      <c r="C156">
        <v>150</v>
      </c>
      <c r="D156">
        <v>0.44521886810505501</v>
      </c>
      <c r="E156">
        <v>103.325448864446</v>
      </c>
      <c r="F156">
        <v>2.2061050062167702</v>
      </c>
      <c r="G156">
        <v>-1686.0233290892677</v>
      </c>
      <c r="H156">
        <v>-1413.7165867919746</v>
      </c>
      <c r="I156">
        <v>260.54321609079301</v>
      </c>
      <c r="J156">
        <v>138.029029242045</v>
      </c>
      <c r="K156">
        <v>46.836142691882998</v>
      </c>
      <c r="L156">
        <v>1.3376994841508467E-4</v>
      </c>
      <c r="M156">
        <v>1.7065198910304823E-5</v>
      </c>
      <c r="N156" s="1">
        <v>2.6643967296464701E-6</v>
      </c>
      <c r="O156" s="1">
        <v>8.2075897641412599E-8</v>
      </c>
      <c r="P156" s="1">
        <v>-4.1041436178640399E-7</v>
      </c>
      <c r="Q156">
        <v>73.560040947251096</v>
      </c>
      <c r="R156">
        <v>9.2910314985366393E-2</v>
      </c>
      <c r="S156">
        <v>12.2905036188307</v>
      </c>
      <c r="T156">
        <v>0.246569256712629</v>
      </c>
      <c r="V156">
        <v>0.58142136603970096</v>
      </c>
      <c r="W156">
        <v>2.6131026089633601E-2</v>
      </c>
      <c r="X156">
        <v>0.116137893731713</v>
      </c>
      <c r="AA156">
        <v>0.72882778372891499</v>
      </c>
      <c r="AB156">
        <v>3.3330320479445201</v>
      </c>
      <c r="AC156">
        <v>4.5220362011015203</v>
      </c>
      <c r="AD156">
        <v>3.8712631243899398E-2</v>
      </c>
      <c r="AE156">
        <v>4.4636769123402296</v>
      </c>
    </row>
    <row r="157" spans="1:31" x14ac:dyDescent="0.2">
      <c r="A157">
        <v>156</v>
      </c>
      <c r="B157">
        <v>770</v>
      </c>
      <c r="C157">
        <v>150</v>
      </c>
      <c r="D157">
        <v>0.44402099410439499</v>
      </c>
      <c r="E157">
        <v>102.60610897453201</v>
      </c>
      <c r="F157">
        <v>2.2067346620946302</v>
      </c>
      <c r="G157">
        <v>-1673.5372280095939</v>
      </c>
      <c r="H157">
        <v>-1404.0726258228503</v>
      </c>
      <c r="I157">
        <v>258.318173020892</v>
      </c>
      <c r="J157">
        <v>136.97174537553801</v>
      </c>
      <c r="K157">
        <v>46.496803959719699</v>
      </c>
      <c r="L157">
        <v>1.3336060215158135E-4</v>
      </c>
      <c r="M157">
        <v>1.7034228288538416E-5</v>
      </c>
      <c r="N157" s="1">
        <v>2.6449831181085401E-6</v>
      </c>
      <c r="O157" s="1">
        <v>8.1194632644112105E-8</v>
      </c>
      <c r="P157" s="1">
        <v>-4.0594146630674998E-7</v>
      </c>
      <c r="Q157">
        <v>73.649986443696605</v>
      </c>
      <c r="R157">
        <v>9.3561680644013601E-2</v>
      </c>
      <c r="S157">
        <v>12.233139073020499</v>
      </c>
      <c r="T157">
        <v>0.248884004115593</v>
      </c>
      <c r="V157">
        <v>0.58497012976148499</v>
      </c>
      <c r="W157">
        <v>2.6314222681127899E-2</v>
      </c>
      <c r="X157">
        <v>0.116952100805023</v>
      </c>
      <c r="AA157">
        <v>0.714869661412184</v>
      </c>
      <c r="AB157">
        <v>3.29720135350891</v>
      </c>
      <c r="AC157">
        <v>4.5431362387728997</v>
      </c>
      <c r="AD157">
        <v>3.89840336016683E-2</v>
      </c>
      <c r="AE157">
        <v>4.4520010579798601</v>
      </c>
    </row>
    <row r="158" spans="1:31" x14ac:dyDescent="0.2">
      <c r="A158">
        <v>157</v>
      </c>
      <c r="B158">
        <v>768</v>
      </c>
      <c r="C158">
        <v>150</v>
      </c>
      <c r="D158">
        <v>0.442818517984921</v>
      </c>
      <c r="E158">
        <v>99.514666349817006</v>
      </c>
      <c r="F158">
        <v>2.2083824967400099</v>
      </c>
      <c r="G158">
        <v>-1621.6785809249172</v>
      </c>
      <c r="H158">
        <v>-1361.3282987290727</v>
      </c>
      <c r="I158">
        <v>250.06030081721499</v>
      </c>
      <c r="J158">
        <v>132.769903216796</v>
      </c>
      <c r="K158">
        <v>45.062241933505398</v>
      </c>
      <c r="L158">
        <v>1.3298042863177435E-4</v>
      </c>
      <c r="M158">
        <v>1.6975851419583517E-5</v>
      </c>
      <c r="N158" s="1">
        <v>2.5580091682106301E-6</v>
      </c>
      <c r="O158" s="1">
        <v>7.8272977445721705E-8</v>
      </c>
      <c r="P158" s="1">
        <v>-3.92267096289403E-7</v>
      </c>
      <c r="Q158">
        <v>73.594100777926798</v>
      </c>
      <c r="R158">
        <v>9.6468192600414504E-2</v>
      </c>
      <c r="S158">
        <v>12.242665334175101</v>
      </c>
      <c r="T158">
        <v>0.25746112172444202</v>
      </c>
      <c r="V158">
        <v>0.60238156284689404</v>
      </c>
      <c r="W158">
        <v>2.7131679168865299E-2</v>
      </c>
      <c r="X158">
        <v>0.120585240750528</v>
      </c>
      <c r="AA158">
        <v>0.690921828673143</v>
      </c>
      <c r="AB158">
        <v>3.2462507786666399</v>
      </c>
      <c r="AC158">
        <v>4.65261824542163</v>
      </c>
      <c r="AD158">
        <v>4.0195080250166999E-2</v>
      </c>
      <c r="AE158">
        <v>4.4292201577952399</v>
      </c>
    </row>
    <row r="159" spans="1:31" x14ac:dyDescent="0.2">
      <c r="A159">
        <v>158</v>
      </c>
      <c r="B159">
        <v>766</v>
      </c>
      <c r="C159">
        <v>150</v>
      </c>
      <c r="D159">
        <v>0.44161141317423203</v>
      </c>
      <c r="E159">
        <v>96.0293552567597</v>
      </c>
      <c r="F159">
        <v>2.2102743622731502</v>
      </c>
      <c r="G159">
        <v>-1563.3611890660013</v>
      </c>
      <c r="H159">
        <v>-1313.1157624588423</v>
      </c>
      <c r="I159">
        <v>240.81742444032</v>
      </c>
      <c r="J159">
        <v>128.04839203925599</v>
      </c>
      <c r="K159">
        <v>43.446803209533797</v>
      </c>
      <c r="L159">
        <v>1.3258006799589823E-4</v>
      </c>
      <c r="M159">
        <v>1.6911532087254927E-5</v>
      </c>
      <c r="N159" s="1">
        <v>2.4597511096317499E-6</v>
      </c>
      <c r="O159" s="1">
        <v>7.5030156391776099E-8</v>
      </c>
      <c r="P159" s="1">
        <v>-3.7701643008145301E-7</v>
      </c>
      <c r="Q159">
        <v>73.515632108315401</v>
      </c>
      <c r="R159">
        <v>9.9969430955066496E-2</v>
      </c>
      <c r="S159">
        <v>12.2620797089108</v>
      </c>
      <c r="T159">
        <v>0.26769184455628098</v>
      </c>
      <c r="V159">
        <v>0.62344696906224195</v>
      </c>
      <c r="W159">
        <v>2.81164024561107E-2</v>
      </c>
      <c r="X159">
        <v>0.124961788693847</v>
      </c>
      <c r="AA159">
        <v>0.66892224693254498</v>
      </c>
      <c r="AB159">
        <v>3.1873507786327702</v>
      </c>
      <c r="AC159">
        <v>4.77656964738122</v>
      </c>
      <c r="AD159">
        <v>4.1653929564602801E-2</v>
      </c>
      <c r="AE159">
        <v>4.4036051445389397</v>
      </c>
    </row>
    <row r="160" spans="1:31" x14ac:dyDescent="0.2">
      <c r="A160">
        <v>159</v>
      </c>
      <c r="B160">
        <v>764</v>
      </c>
      <c r="C160">
        <v>150</v>
      </c>
      <c r="D160">
        <v>0.44039965289495597</v>
      </c>
      <c r="E160">
        <v>92.356278289059105</v>
      </c>
      <c r="F160">
        <v>2.2123169953334001</v>
      </c>
      <c r="G160">
        <v>-1502.0394137634196</v>
      </c>
      <c r="H160">
        <v>-1262.3333008015147</v>
      </c>
      <c r="I160">
        <v>231.12000478417201</v>
      </c>
      <c r="J160">
        <v>123.080510421749</v>
      </c>
      <c r="K160">
        <v>41.746403650052301</v>
      </c>
      <c r="L160">
        <v>1.3215223934741373E-4</v>
      </c>
      <c r="M160">
        <v>1.6844458023625104E-5</v>
      </c>
      <c r="N160" s="1">
        <v>2.35637523642245E-6</v>
      </c>
      <c r="O160" s="1">
        <v>7.1654076497221997E-8</v>
      </c>
      <c r="P160" s="1">
        <v>-3.6098290230923901E-7</v>
      </c>
      <c r="Q160">
        <v>73.431710584319205</v>
      </c>
      <c r="R160">
        <v>0.10394528859157599</v>
      </c>
      <c r="S160">
        <v>12.283139370318001</v>
      </c>
      <c r="T160">
        <v>0.279223164302559</v>
      </c>
      <c r="V160">
        <v>0.64744556306040202</v>
      </c>
      <c r="W160">
        <v>2.92346124163789E-2</v>
      </c>
      <c r="X160">
        <v>0.129931610739487</v>
      </c>
      <c r="AA160">
        <v>0.65102324552317004</v>
      </c>
      <c r="AB160">
        <v>3.1210025514129902</v>
      </c>
      <c r="AC160">
        <v>4.9036995009970097</v>
      </c>
      <c r="AD160">
        <v>4.3310536913147298E-2</v>
      </c>
      <c r="AE160">
        <v>4.37633397140588</v>
      </c>
    </row>
    <row r="161" spans="1:31" x14ac:dyDescent="0.2">
      <c r="A161">
        <v>160</v>
      </c>
      <c r="B161">
        <v>762</v>
      </c>
      <c r="C161">
        <v>150</v>
      </c>
      <c r="D161">
        <v>0.439183210162781</v>
      </c>
      <c r="E161">
        <v>46.735993854431598</v>
      </c>
      <c r="F161">
        <v>2.2170250969131402</v>
      </c>
      <c r="G161">
        <v>-760.02795548279357</v>
      </c>
      <c r="H161">
        <v>-639.45755453515187</v>
      </c>
      <c r="I161">
        <v>116.47626039476501</v>
      </c>
      <c r="J161">
        <v>62.317781609332798</v>
      </c>
      <c r="K161">
        <v>21.080498330625101</v>
      </c>
      <c r="L161">
        <v>1.3096483210829811E-4</v>
      </c>
      <c r="M161">
        <v>1.6743293671143154E-5</v>
      </c>
      <c r="N161" s="1">
        <v>1.1784560727384E-6</v>
      </c>
      <c r="O161" s="1">
        <v>3.5738369208596799E-8</v>
      </c>
      <c r="P161" s="1">
        <v>-1.7918188194768401E-7</v>
      </c>
      <c r="Q161">
        <v>73.0878979788572</v>
      </c>
      <c r="R161">
        <v>0.13637346847434501</v>
      </c>
      <c r="S161">
        <v>12.700587061674799</v>
      </c>
      <c r="T161">
        <v>0.24867476181253301</v>
      </c>
      <c r="V161">
        <v>0.58060806862248904</v>
      </c>
      <c r="W161">
        <v>5.7771318791451101E-2</v>
      </c>
      <c r="X161">
        <v>0.18156615430940001</v>
      </c>
      <c r="AA161">
        <v>0.71192791689693202</v>
      </c>
      <c r="AB161">
        <v>2.8222371623212101</v>
      </c>
      <c r="AC161">
        <v>5.0715006463265802</v>
      </c>
      <c r="AD161">
        <v>8.5587138950252994E-2</v>
      </c>
      <c r="AE161">
        <v>4.3152683229626403</v>
      </c>
    </row>
    <row r="162" spans="1:31" x14ac:dyDescent="0.2">
      <c r="A162">
        <v>161</v>
      </c>
      <c r="B162">
        <v>760</v>
      </c>
      <c r="C162">
        <v>150</v>
      </c>
      <c r="D162">
        <v>0.43796205778444602</v>
      </c>
      <c r="E162">
        <v>27.690192472465402</v>
      </c>
      <c r="F162">
        <v>2.2218073651803198</v>
      </c>
      <c r="G162">
        <v>-450.30637053928967</v>
      </c>
      <c r="H162">
        <v>-379.26202436935858</v>
      </c>
      <c r="I162">
        <v>68.764793272933403</v>
      </c>
      <c r="J162">
        <v>36.957248771112397</v>
      </c>
      <c r="K162">
        <v>12.4629132599072</v>
      </c>
      <c r="L162">
        <v>1.3016880524531295E-4</v>
      </c>
      <c r="M162">
        <v>1.6695817989122755E-5</v>
      </c>
      <c r="N162" s="1">
        <v>6.9320966715934205E-7</v>
      </c>
      <c r="O162" s="1">
        <v>2.0956741116145999E-8</v>
      </c>
      <c r="P162" s="1">
        <v>-1.04336566254873E-7</v>
      </c>
      <c r="Q162">
        <v>72.6142350171624</v>
      </c>
      <c r="R162">
        <v>0.17056046136491701</v>
      </c>
      <c r="S162">
        <v>13.2763825253114</v>
      </c>
      <c r="T162">
        <v>0.22977159329180399</v>
      </c>
      <c r="V162">
        <v>0.54282913554045797</v>
      </c>
      <c r="W162">
        <v>9.7507447905409106E-2</v>
      </c>
      <c r="X162">
        <v>0.186556688817099</v>
      </c>
      <c r="AA162">
        <v>0.74992399155966805</v>
      </c>
      <c r="AB162">
        <v>2.5494360811555499</v>
      </c>
      <c r="AC162">
        <v>5.1636949438098902</v>
      </c>
      <c r="AD162">
        <v>0.144455478378297</v>
      </c>
      <c r="AE162">
        <v>4.2746466357030402</v>
      </c>
    </row>
    <row r="163" spans="1:31" x14ac:dyDescent="0.2">
      <c r="A163">
        <v>162</v>
      </c>
      <c r="B163">
        <v>758</v>
      </c>
      <c r="C163">
        <v>150</v>
      </c>
      <c r="D163">
        <v>0.43673616835572199</v>
      </c>
      <c r="E163">
        <v>20.774169797086898</v>
      </c>
      <c r="F163">
        <v>2.22545871999246</v>
      </c>
      <c r="G163">
        <v>-337.83781330908522</v>
      </c>
      <c r="H163">
        <v>-284.78386275474571</v>
      </c>
      <c r="I163">
        <v>51.4512442945638</v>
      </c>
      <c r="J163">
        <v>27.751942205574899</v>
      </c>
      <c r="K163">
        <v>9.3347810096236206</v>
      </c>
      <c r="L163">
        <v>1.2971043700720522E-4</v>
      </c>
      <c r="M163">
        <v>1.667356404898645E-5</v>
      </c>
      <c r="N163" s="1">
        <v>5.1847312773634599E-7</v>
      </c>
      <c r="O163" s="1">
        <v>1.5620363787713701E-8</v>
      </c>
      <c r="P163" s="1">
        <v>-7.7360978223382705E-8</v>
      </c>
      <c r="Q163">
        <v>72.219533069031797</v>
      </c>
      <c r="R163">
        <v>0.189865932953762</v>
      </c>
      <c r="S163">
        <v>13.7490130416575</v>
      </c>
      <c r="T163">
        <v>0.21778979668576701</v>
      </c>
      <c r="V163">
        <v>0.51901051391629205</v>
      </c>
      <c r="W163">
        <v>0.12996909269405199</v>
      </c>
      <c r="X163">
        <v>0.18856928461525499</v>
      </c>
      <c r="AA163">
        <v>0.77088108971755898</v>
      </c>
      <c r="AB163">
        <v>2.3604530453732702</v>
      </c>
      <c r="AC163">
        <v>5.2104777584827104</v>
      </c>
      <c r="AD163">
        <v>0.19254680399105001</v>
      </c>
      <c r="AE163">
        <v>4.2518905708808497</v>
      </c>
    </row>
    <row r="164" spans="1:31" x14ac:dyDescent="0.2">
      <c r="A164">
        <v>163</v>
      </c>
      <c r="B164">
        <v>756</v>
      </c>
      <c r="C164">
        <v>150</v>
      </c>
      <c r="D164">
        <v>0.43550551425934297</v>
      </c>
      <c r="E164">
        <v>17.114939496095701</v>
      </c>
      <c r="F164">
        <v>2.2285261385198898</v>
      </c>
      <c r="G164">
        <v>-278.32803848343383</v>
      </c>
      <c r="H164">
        <v>-234.80306265681523</v>
      </c>
      <c r="I164">
        <v>42.292159380672103</v>
      </c>
      <c r="J164">
        <v>22.883024952744901</v>
      </c>
      <c r="K164">
        <v>7.6799366183170799</v>
      </c>
      <c r="L164">
        <v>1.2940305747393891E-4</v>
      </c>
      <c r="M164">
        <v>1.6661272848026777E-5</v>
      </c>
      <c r="N164" s="1">
        <v>4.2662849187506803E-7</v>
      </c>
      <c r="O164" s="1">
        <v>1.2807468105347799E-8</v>
      </c>
      <c r="P164" s="1">
        <v>-6.3163165863085E-8</v>
      </c>
      <c r="Q164">
        <v>71.875000505374203</v>
      </c>
      <c r="R164">
        <v>0.20289587148003299</v>
      </c>
      <c r="S164">
        <v>14.156699750656699</v>
      </c>
      <c r="T164">
        <v>0.20875199840542499</v>
      </c>
      <c r="V164">
        <v>0.50081822786466301</v>
      </c>
      <c r="W164">
        <v>0.157756911767959</v>
      </c>
      <c r="X164">
        <v>0.189391373652506</v>
      </c>
      <c r="AA164">
        <v>0.78734820210631595</v>
      </c>
      <c r="AB164">
        <v>2.21309078283991</v>
      </c>
      <c r="AC164">
        <v>5.2373796156203403</v>
      </c>
      <c r="AD164">
        <v>0.23371394335975601</v>
      </c>
      <c r="AE164">
        <v>4.23715281687213</v>
      </c>
    </row>
    <row r="165" spans="1:31" x14ac:dyDescent="0.2">
      <c r="A165">
        <v>164</v>
      </c>
      <c r="B165">
        <v>754</v>
      </c>
      <c r="C165">
        <v>150</v>
      </c>
      <c r="D165">
        <v>0.43427006766295001</v>
      </c>
      <c r="E165">
        <v>14.802080674563401</v>
      </c>
      <c r="F165">
        <v>2.2312316374410499</v>
      </c>
      <c r="G165">
        <v>-240.71158473058512</v>
      </c>
      <c r="H165">
        <v>-203.21763903675736</v>
      </c>
      <c r="I165">
        <v>36.502892171374903</v>
      </c>
      <c r="J165">
        <v>19.806465761664501</v>
      </c>
      <c r="K165">
        <v>6.6340403327821198</v>
      </c>
      <c r="L165">
        <v>1.2918322634335796E-4</v>
      </c>
      <c r="M165">
        <v>1.6654365869617135E-5</v>
      </c>
      <c r="N165" s="1">
        <v>3.6892626983586098E-7</v>
      </c>
      <c r="O165" s="1">
        <v>1.10349202933873E-8</v>
      </c>
      <c r="P165" s="1">
        <v>-5.4229655560411598E-8</v>
      </c>
      <c r="Q165">
        <v>71.5641232220528</v>
      </c>
      <c r="R165">
        <v>0.212592909748582</v>
      </c>
      <c r="S165">
        <v>14.5208891582263</v>
      </c>
      <c r="T165">
        <v>0.20133656292434701</v>
      </c>
      <c r="V165">
        <v>0.48562329476763499</v>
      </c>
      <c r="W165">
        <v>0.18240678856988199</v>
      </c>
      <c r="X165">
        <v>0.18960417371233601</v>
      </c>
      <c r="AA165">
        <v>0.80209943621256896</v>
      </c>
      <c r="AB165">
        <v>2.0911912400218098</v>
      </c>
      <c r="AC165">
        <v>5.2528372049355498</v>
      </c>
      <c r="AD165">
        <v>0.27023227936255001</v>
      </c>
      <c r="AE165">
        <v>4.2270637294656002</v>
      </c>
    </row>
    <row r="166" spans="1:31" x14ac:dyDescent="0.2">
      <c r="A166">
        <v>165</v>
      </c>
      <c r="B166">
        <v>752</v>
      </c>
      <c r="C166">
        <v>150</v>
      </c>
      <c r="D166">
        <v>0.43302980051699702</v>
      </c>
      <c r="E166">
        <v>13.1292201730448</v>
      </c>
      <c r="F166">
        <v>2.2336248536485299</v>
      </c>
      <c r="G166">
        <v>-213.50228927407349</v>
      </c>
      <c r="H166">
        <v>-180.37131613059483</v>
      </c>
      <c r="I166">
        <v>32.318171139324598</v>
      </c>
      <c r="J166">
        <v>17.5819043371914</v>
      </c>
      <c r="K166">
        <v>5.8779880388592503</v>
      </c>
      <c r="L166">
        <v>1.2903944915906886E-4</v>
      </c>
      <c r="M166">
        <v>1.665454657543018E-5</v>
      </c>
      <c r="N166" s="1">
        <v>3.27570354706547E-7</v>
      </c>
      <c r="O166" s="1">
        <v>9.7613729327077805E-9</v>
      </c>
      <c r="P166" s="1">
        <v>-4.7823242038676698E-8</v>
      </c>
      <c r="Q166">
        <v>71.272976437636103</v>
      </c>
      <c r="R166">
        <v>0.20903705877331699</v>
      </c>
      <c r="S166">
        <v>14.8643486300122</v>
      </c>
      <c r="T166">
        <v>0.19695497385732599</v>
      </c>
      <c r="V166">
        <v>0.47731703405989301</v>
      </c>
      <c r="W166">
        <v>0.20460348946689599</v>
      </c>
      <c r="X166">
        <v>0.18747073793014701</v>
      </c>
      <c r="AA166">
        <v>0.81668434476270602</v>
      </c>
      <c r="AB166">
        <v>1.98597880710632</v>
      </c>
      <c r="AC166">
        <v>5.2580233569539701</v>
      </c>
      <c r="AD166">
        <v>0.30466394403276598</v>
      </c>
      <c r="AE166">
        <v>4.2219411854082001</v>
      </c>
    </row>
    <row r="167" spans="1:31" x14ac:dyDescent="0.2">
      <c r="A167">
        <v>166</v>
      </c>
      <c r="B167">
        <v>750</v>
      </c>
      <c r="C167">
        <v>150</v>
      </c>
      <c r="D167">
        <v>0.43178468455260599</v>
      </c>
      <c r="E167">
        <v>11.8980697103427</v>
      </c>
      <c r="F167">
        <v>2.2358388724221099</v>
      </c>
      <c r="G167">
        <v>-193.47643473943097</v>
      </c>
      <c r="H167">
        <v>-163.56217990434703</v>
      </c>
      <c r="I167">
        <v>29.2374088208805</v>
      </c>
      <c r="J167">
        <v>15.945137477663099</v>
      </c>
      <c r="K167">
        <v>5.3215237721730002</v>
      </c>
      <c r="L167">
        <v>1.2893286363092118E-4</v>
      </c>
      <c r="M167">
        <v>1.6656120428807912E-5</v>
      </c>
      <c r="N167" s="1">
        <v>2.9728228624300301E-7</v>
      </c>
      <c r="O167" s="1">
        <v>8.8255533704565304E-9</v>
      </c>
      <c r="P167" s="1">
        <v>-4.3122506510139598E-8</v>
      </c>
      <c r="Q167">
        <v>71.002492198573094</v>
      </c>
      <c r="R167">
        <v>0.20718642811648999</v>
      </c>
      <c r="S167">
        <v>15.180216946741</v>
      </c>
      <c r="T167">
        <v>0.19264418964779401</v>
      </c>
      <c r="V167">
        <v>0.46867513460938598</v>
      </c>
      <c r="W167">
        <v>0.224875584002309</v>
      </c>
      <c r="X167">
        <v>0.18566641082461999</v>
      </c>
      <c r="AA167">
        <v>0.83079112766079399</v>
      </c>
      <c r="AB167">
        <v>1.89427769540033</v>
      </c>
      <c r="AC167">
        <v>5.2584103781190104</v>
      </c>
      <c r="AD167">
        <v>0.33618898673259201</v>
      </c>
      <c r="AE167">
        <v>4.2185749195725304</v>
      </c>
    </row>
    <row r="168" spans="1:31" x14ac:dyDescent="0.2">
      <c r="A168">
        <v>167</v>
      </c>
      <c r="B168">
        <v>748</v>
      </c>
      <c r="C168">
        <v>150</v>
      </c>
      <c r="D168">
        <v>0.43053469127944</v>
      </c>
      <c r="E168">
        <v>10.939837578013201</v>
      </c>
      <c r="F168">
        <v>2.2379089319861998</v>
      </c>
      <c r="G168">
        <v>-177.88894417242696</v>
      </c>
      <c r="H168">
        <v>-150.48222302568848</v>
      </c>
      <c r="I168">
        <v>26.839074716484799</v>
      </c>
      <c r="J168">
        <v>14.6715151137654</v>
      </c>
      <c r="K168">
        <v>4.8884194623164703</v>
      </c>
      <c r="L168">
        <v>1.2885663529177313E-4</v>
      </c>
      <c r="M168">
        <v>1.6659187985321361E-5</v>
      </c>
      <c r="N168" s="1">
        <v>2.73835178579912E-7</v>
      </c>
      <c r="O168" s="1">
        <v>8.0987697810938107E-9</v>
      </c>
      <c r="P168" s="1">
        <v>-3.9477355841762901E-8</v>
      </c>
      <c r="Q168">
        <v>70.747362299828296</v>
      </c>
      <c r="R168">
        <v>0.20519614153084001</v>
      </c>
      <c r="S168">
        <v>15.476078430900399</v>
      </c>
      <c r="T168">
        <v>0.18866063660805399</v>
      </c>
      <c r="V168">
        <v>0.46046013373998901</v>
      </c>
      <c r="W168">
        <v>0.24364919179167499</v>
      </c>
      <c r="X168">
        <v>0.18385516913488401</v>
      </c>
      <c r="AA168">
        <v>0.84472442916563695</v>
      </c>
      <c r="AB168">
        <v>1.81273994307438</v>
      </c>
      <c r="AC168">
        <v>5.2548617030567204</v>
      </c>
      <c r="AD168">
        <v>0.36563614143893097</v>
      </c>
      <c r="AE168">
        <v>4.2167757797301499</v>
      </c>
    </row>
    <row r="169" spans="1:31" x14ac:dyDescent="0.2">
      <c r="A169">
        <v>168</v>
      </c>
      <c r="B169">
        <v>784</v>
      </c>
      <c r="C169">
        <v>135</v>
      </c>
      <c r="D169">
        <v>0.467918932980182</v>
      </c>
      <c r="E169">
        <v>104.319539512379</v>
      </c>
      <c r="F169">
        <v>2.2056827698993899</v>
      </c>
      <c r="G169">
        <v>-1704.9666971208064</v>
      </c>
      <c r="H169">
        <v>-1426.7172838851002</v>
      </c>
      <c r="I169">
        <v>263.20712598562699</v>
      </c>
      <c r="J169">
        <v>139.34330530468901</v>
      </c>
      <c r="K169">
        <v>47.295803791919496</v>
      </c>
      <c r="L169">
        <v>1.307571407890906E-4</v>
      </c>
      <c r="M169">
        <v>1.6948215664332588E-5</v>
      </c>
      <c r="N169" s="1">
        <v>2.53059755284649E-6</v>
      </c>
      <c r="O169" s="1">
        <v>8.0544400122993596E-8</v>
      </c>
      <c r="P169" s="1">
        <v>-3.9854981231431501E-7</v>
      </c>
      <c r="Q169">
        <v>73.591199078206898</v>
      </c>
      <c r="R169">
        <v>9.2024946092297499E-2</v>
      </c>
      <c r="S169">
        <v>12.4233677224607</v>
      </c>
      <c r="T169">
        <v>0.24196117458736499</v>
      </c>
      <c r="V169">
        <v>0.57791301718981902</v>
      </c>
      <c r="W169">
        <v>2.5882016088458401E-2</v>
      </c>
      <c r="X169">
        <v>0.115031182615373</v>
      </c>
      <c r="AA169">
        <v>0.75728861888452903</v>
      </c>
      <c r="AB169">
        <v>3.4030058190380701</v>
      </c>
      <c r="AC169">
        <v>4.4958020538840602</v>
      </c>
      <c r="AD169">
        <v>3.8343727538456399E-2</v>
      </c>
      <c r="AE169">
        <v>4.23818064341385</v>
      </c>
    </row>
    <row r="170" spans="1:31" x14ac:dyDescent="0.2">
      <c r="A170">
        <v>169</v>
      </c>
      <c r="B170">
        <v>782</v>
      </c>
      <c r="C170">
        <v>135</v>
      </c>
      <c r="D170">
        <v>0.466777709330429</v>
      </c>
      <c r="E170">
        <v>103.99196121224701</v>
      </c>
      <c r="F170">
        <v>2.2062431188266598</v>
      </c>
      <c r="G170">
        <v>-1698.9852848254866</v>
      </c>
      <c r="H170">
        <v>-1422.4773826155686</v>
      </c>
      <c r="I170">
        <v>262.05553922183401</v>
      </c>
      <c r="J170">
        <v>138.849285168259</v>
      </c>
      <c r="K170">
        <v>47.135313567596498</v>
      </c>
      <c r="L170">
        <v>1.3055034916333529E-4</v>
      </c>
      <c r="M170">
        <v>1.6928853816869143E-5</v>
      </c>
      <c r="N170" s="1">
        <v>2.5258704377266802E-6</v>
      </c>
      <c r="O170" s="1">
        <v>8.0104353164177905E-8</v>
      </c>
      <c r="P170" s="1">
        <v>-3.9657114822906899E-7</v>
      </c>
      <c r="Q170">
        <v>73.631747235921495</v>
      </c>
      <c r="R170">
        <v>9.2314827877959499E-2</v>
      </c>
      <c r="S170">
        <v>12.3968191697936</v>
      </c>
      <c r="T170">
        <v>0.24336346408183099</v>
      </c>
      <c r="V170">
        <v>0.57915749126659699</v>
      </c>
      <c r="W170">
        <v>2.5963545340675701E-2</v>
      </c>
      <c r="X170">
        <v>0.115393534847452</v>
      </c>
      <c r="AA170">
        <v>0.75011475769113301</v>
      </c>
      <c r="AB170">
        <v>3.3871505121684602</v>
      </c>
      <c r="AC170">
        <v>4.50572882403777</v>
      </c>
      <c r="AD170">
        <v>3.8464511615814601E-2</v>
      </c>
      <c r="AE170">
        <v>4.23378212535712</v>
      </c>
    </row>
    <row r="171" spans="1:31" x14ac:dyDescent="0.2">
      <c r="A171">
        <v>170</v>
      </c>
      <c r="B171">
        <v>780</v>
      </c>
      <c r="C171">
        <v>135</v>
      </c>
      <c r="D171">
        <v>0.46563215116555001</v>
      </c>
      <c r="E171">
        <v>103.29571752244</v>
      </c>
      <c r="F171">
        <v>2.2068031071036298</v>
      </c>
      <c r="G171">
        <v>-1686.8708617389609</v>
      </c>
      <c r="H171">
        <v>-1413.1516661318994</v>
      </c>
      <c r="I171">
        <v>259.90523249970198</v>
      </c>
      <c r="J171">
        <v>137.82731092474799</v>
      </c>
      <c r="K171">
        <v>46.807853944891598</v>
      </c>
      <c r="L171">
        <v>1.3018407011377488E-4</v>
      </c>
      <c r="M171">
        <v>1.6901022968112756E-5</v>
      </c>
      <c r="N171" s="1">
        <v>2.5089789064974899E-6</v>
      </c>
      <c r="O171" s="1">
        <v>7.9291884522072895E-8</v>
      </c>
      <c r="P171" s="1">
        <v>-3.9250897928815501E-7</v>
      </c>
      <c r="Q171">
        <v>73.718166849025593</v>
      </c>
      <c r="R171">
        <v>9.2937057123540001E-2</v>
      </c>
      <c r="S171">
        <v>12.3405792606252</v>
      </c>
      <c r="T171">
        <v>0.24556758157091901</v>
      </c>
      <c r="V171">
        <v>0.58255389243173605</v>
      </c>
      <c r="W171">
        <v>2.6138547315994999E-2</v>
      </c>
      <c r="X171">
        <v>0.11617132140443</v>
      </c>
      <c r="AA171">
        <v>0.73547578630047294</v>
      </c>
      <c r="AB171">
        <v>3.3529912541439399</v>
      </c>
      <c r="AC171">
        <v>4.5266414771804699</v>
      </c>
      <c r="AD171">
        <v>3.8723773801472003E-2</v>
      </c>
      <c r="AE171">
        <v>4.22405319907618</v>
      </c>
    </row>
    <row r="172" spans="1:31" x14ac:dyDescent="0.2">
      <c r="A172">
        <v>171</v>
      </c>
      <c r="B172">
        <v>778</v>
      </c>
      <c r="C172">
        <v>135</v>
      </c>
      <c r="D172">
        <v>0.464482233743996</v>
      </c>
      <c r="E172">
        <v>102.598333424118</v>
      </c>
      <c r="F172">
        <v>2.2073709752793</v>
      </c>
      <c r="G172">
        <v>-1674.7485825540891</v>
      </c>
      <c r="H172">
        <v>-1403.809285566296</v>
      </c>
      <c r="I172">
        <v>257.75512247328402</v>
      </c>
      <c r="J172">
        <v>136.80476931863299</v>
      </c>
      <c r="K172">
        <v>46.4798779059495</v>
      </c>
      <c r="L172">
        <v>1.2981381308696107E-4</v>
      </c>
      <c r="M172">
        <v>1.6873064839651927E-5</v>
      </c>
      <c r="N172" s="1">
        <v>2.4919512991755299E-6</v>
      </c>
      <c r="O172" s="1">
        <v>7.8480330643067696E-8</v>
      </c>
      <c r="P172" s="1">
        <v>-3.8843873114425199E-7</v>
      </c>
      <c r="Q172">
        <v>73.804782501442503</v>
      </c>
      <c r="R172">
        <v>9.3568771339742896E-2</v>
      </c>
      <c r="S172">
        <v>12.2843576957585</v>
      </c>
      <c r="T172">
        <v>0.24780580259302201</v>
      </c>
      <c r="V172">
        <v>0.586001612337538</v>
      </c>
      <c r="W172">
        <v>2.63162169393019E-2</v>
      </c>
      <c r="X172">
        <v>0.116960964174685</v>
      </c>
      <c r="AA172">
        <v>0.72159771670183404</v>
      </c>
      <c r="AB172">
        <v>3.3181279126779999</v>
      </c>
      <c r="AC172">
        <v>4.5473076142694797</v>
      </c>
      <c r="AD172">
        <v>3.8986988058222399E-2</v>
      </c>
      <c r="AE172">
        <v>4.2141862037070696</v>
      </c>
    </row>
    <row r="173" spans="1:31" x14ac:dyDescent="0.2">
      <c r="A173">
        <v>172</v>
      </c>
      <c r="B173">
        <v>776</v>
      </c>
      <c r="C173">
        <v>135</v>
      </c>
      <c r="D173">
        <v>0.46332793213554102</v>
      </c>
      <c r="E173">
        <v>101.900402985334</v>
      </c>
      <c r="F173">
        <v>2.2079460946243601</v>
      </c>
      <c r="G173">
        <v>-1662.6284788627299</v>
      </c>
      <c r="H173">
        <v>-1394.4584649425121</v>
      </c>
      <c r="I173">
        <v>255.60693315561801</v>
      </c>
      <c r="J173">
        <v>135.78249915986501</v>
      </c>
      <c r="K173">
        <v>46.151671561832302</v>
      </c>
      <c r="L173">
        <v>1.2943987339488825E-4</v>
      </c>
      <c r="M173">
        <v>1.6845007545545534E-5</v>
      </c>
      <c r="N173" s="1">
        <v>2.4748118650337798E-6</v>
      </c>
      <c r="O173" s="1">
        <v>7.7670438000517505E-8</v>
      </c>
      <c r="P173" s="1">
        <v>-3.8436452184324297E-7</v>
      </c>
      <c r="Q173">
        <v>73.891583059926205</v>
      </c>
      <c r="R173">
        <v>9.4209637241393293E-2</v>
      </c>
      <c r="S173">
        <v>12.228162730019401</v>
      </c>
      <c r="T173">
        <v>0.25007758635412602</v>
      </c>
      <c r="V173">
        <v>0.58949825606829798</v>
      </c>
      <c r="W173">
        <v>2.6496460474140799E-2</v>
      </c>
      <c r="X173">
        <v>0.117762046551749</v>
      </c>
      <c r="AA173">
        <v>0.70846214471273505</v>
      </c>
      <c r="AB173">
        <v>3.2826166012332498</v>
      </c>
      <c r="AC173">
        <v>4.56768243754758</v>
      </c>
      <c r="AD173">
        <v>3.9254015517242398E-2</v>
      </c>
      <c r="AE173">
        <v>4.2041950243537798</v>
      </c>
    </row>
    <row r="174" spans="1:31" x14ac:dyDescent="0.2">
      <c r="A174">
        <v>173</v>
      </c>
      <c r="B174">
        <v>774</v>
      </c>
      <c r="C174">
        <v>135</v>
      </c>
      <c r="D174">
        <v>0.46216922121950399</v>
      </c>
      <c r="E174">
        <v>100.183367598377</v>
      </c>
      <c r="F174">
        <v>2.20895909218638</v>
      </c>
      <c r="G174">
        <v>-1633.5923965794248</v>
      </c>
      <c r="H174">
        <v>-1370.8840657165551</v>
      </c>
      <c r="I174">
        <v>250.87936863187599</v>
      </c>
      <c r="J174">
        <v>133.41239875386</v>
      </c>
      <c r="K174">
        <v>45.353201855457399</v>
      </c>
      <c r="L174">
        <v>1.2908074654808217E-4</v>
      </c>
      <c r="M174">
        <v>1.6805346420188724E-5</v>
      </c>
      <c r="N174" s="1">
        <v>2.4302410344514999E-6</v>
      </c>
      <c r="O174" s="1">
        <v>7.6016726161655295E-8</v>
      </c>
      <c r="P174" s="1">
        <v>-3.7653946504312899E-7</v>
      </c>
      <c r="Q174">
        <v>73.915765206708798</v>
      </c>
      <c r="R174">
        <v>9.5824289302046395E-2</v>
      </c>
      <c r="S174">
        <v>12.2006157624901</v>
      </c>
      <c r="T174">
        <v>0.25505133632800298</v>
      </c>
      <c r="V174">
        <v>0.59898283368120997</v>
      </c>
      <c r="W174">
        <v>2.69505813661991E-2</v>
      </c>
      <c r="X174">
        <v>0.119780361627569</v>
      </c>
      <c r="AA174">
        <v>0.69151289330361998</v>
      </c>
      <c r="AB174">
        <v>3.2401344601274702</v>
      </c>
      <c r="AC174">
        <v>4.6258351771045296</v>
      </c>
      <c r="AD174">
        <v>3.9926787209178999E-2</v>
      </c>
      <c r="AE174">
        <v>4.1896203107511996</v>
      </c>
    </row>
    <row r="175" spans="1:31" x14ac:dyDescent="0.2">
      <c r="A175">
        <v>174</v>
      </c>
      <c r="B175">
        <v>772</v>
      </c>
      <c r="C175">
        <v>135</v>
      </c>
      <c r="D175">
        <v>0.46100607568291702</v>
      </c>
      <c r="E175">
        <v>96.790040835071196</v>
      </c>
      <c r="F175">
        <v>2.2107366196823102</v>
      </c>
      <c r="G175">
        <v>-1576.7718304978785</v>
      </c>
      <c r="H175">
        <v>-1323.9326545984031</v>
      </c>
      <c r="I175">
        <v>241.916639620604</v>
      </c>
      <c r="J175">
        <v>128.82589015694001</v>
      </c>
      <c r="K175">
        <v>43.781805563513998</v>
      </c>
      <c r="L175">
        <v>1.2873457368234328E-4</v>
      </c>
      <c r="M175">
        <v>1.6745737239008594E-5</v>
      </c>
      <c r="N175" s="1">
        <v>2.3406041723518401E-6</v>
      </c>
      <c r="O175" s="1">
        <v>7.2983823587265803E-8</v>
      </c>
      <c r="P175" s="1">
        <v>-3.62512704576881E-7</v>
      </c>
      <c r="Q175">
        <v>73.837226320975802</v>
      </c>
      <c r="R175">
        <v>9.9183758134356606E-2</v>
      </c>
      <c r="S175">
        <v>12.2196020461699</v>
      </c>
      <c r="T175">
        <v>0.26485853609162702</v>
      </c>
      <c r="V175">
        <v>0.61920361495510601</v>
      </c>
      <c r="W175">
        <v>2.78954319752861E-2</v>
      </c>
      <c r="X175">
        <v>0.12397969766796001</v>
      </c>
      <c r="AA175">
        <v>0.66982418002421595</v>
      </c>
      <c r="AB175">
        <v>3.18324538241058</v>
      </c>
      <c r="AC175">
        <v>4.7466410493629203</v>
      </c>
      <c r="AD175">
        <v>4.1326565889306499E-2</v>
      </c>
      <c r="AE175">
        <v>4.1670134163428303</v>
      </c>
    </row>
    <row r="176" spans="1:31" x14ac:dyDescent="0.2">
      <c r="A176">
        <v>175</v>
      </c>
      <c r="B176">
        <v>770</v>
      </c>
      <c r="C176">
        <v>135</v>
      </c>
      <c r="D176">
        <v>0.45983847001869499</v>
      </c>
      <c r="E176">
        <v>93.263818159789395</v>
      </c>
      <c r="F176">
        <v>2.2126410848006</v>
      </c>
      <c r="G176">
        <v>-1517.8416369444337</v>
      </c>
      <c r="H176">
        <v>-1275.1651673628796</v>
      </c>
      <c r="I176">
        <v>232.63813409534001</v>
      </c>
      <c r="J176">
        <v>124.06630206936001</v>
      </c>
      <c r="K176">
        <v>42.150450337585497</v>
      </c>
      <c r="L176">
        <v>1.2836581135176057E-4</v>
      </c>
      <c r="M176">
        <v>1.6683814971927389E-5</v>
      </c>
      <c r="N176" s="1">
        <v>2.2474983399254098E-6</v>
      </c>
      <c r="O176" s="1">
        <v>6.9863759832181504E-8</v>
      </c>
      <c r="P176" s="1">
        <v>-3.4794854457935402E-7</v>
      </c>
      <c r="Q176">
        <v>73.753958937788596</v>
      </c>
      <c r="R176">
        <v>0.102933808516744</v>
      </c>
      <c r="S176">
        <v>12.2400590502422</v>
      </c>
      <c r="T176">
        <v>0.27574102005944501</v>
      </c>
      <c r="V176">
        <v>0.64183374664667103</v>
      </c>
      <c r="W176">
        <v>2.8950133645332301E-2</v>
      </c>
      <c r="X176">
        <v>0.128667260645947</v>
      </c>
      <c r="AA176">
        <v>0.65179422021385802</v>
      </c>
      <c r="AB176">
        <v>3.1198831718736302</v>
      </c>
      <c r="AC176">
        <v>4.8702154107401103</v>
      </c>
      <c r="AD176">
        <v>4.28890868819665E-2</v>
      </c>
      <c r="AE176">
        <v>4.1430741527453998</v>
      </c>
    </row>
    <row r="177" spans="1:31" x14ac:dyDescent="0.2">
      <c r="A177">
        <v>176</v>
      </c>
      <c r="B177">
        <v>768</v>
      </c>
      <c r="C177">
        <v>135</v>
      </c>
      <c r="D177">
        <v>0.45866637852374798</v>
      </c>
      <c r="E177">
        <v>89.037180664321099</v>
      </c>
      <c r="F177">
        <v>2.2147954719520402</v>
      </c>
      <c r="G177">
        <v>-1447.5358274571074</v>
      </c>
      <c r="H177">
        <v>-1216.783248120578</v>
      </c>
      <c r="I177">
        <v>221.63240583636201</v>
      </c>
      <c r="J177">
        <v>118.381694097113</v>
      </c>
      <c r="K177">
        <v>40.201084836897699</v>
      </c>
      <c r="L177">
        <v>1.2797967578723584E-4</v>
      </c>
      <c r="M177">
        <v>1.6619879521339108E-5</v>
      </c>
      <c r="N177" s="1">
        <v>2.1373726215546501E-6</v>
      </c>
      <c r="O177" s="1">
        <v>6.6236990136473501E-8</v>
      </c>
      <c r="P177" s="1">
        <v>-3.3072270098108098E-7</v>
      </c>
      <c r="Q177">
        <v>73.658399153429102</v>
      </c>
      <c r="R177">
        <v>0.10782012557420501</v>
      </c>
      <c r="S177">
        <v>12.2636790676111</v>
      </c>
      <c r="T177">
        <v>0.28965025996051302</v>
      </c>
      <c r="V177">
        <v>0.67156434231519202</v>
      </c>
      <c r="W177">
        <v>3.03244103177422E-2</v>
      </c>
      <c r="X177">
        <v>0.134775156967783</v>
      </c>
      <c r="AA177">
        <v>0.63948987813955405</v>
      </c>
      <c r="AB177">
        <v>3.0475166236995199</v>
      </c>
      <c r="AC177">
        <v>4.9941385272927201</v>
      </c>
      <c r="AD177">
        <v>4.4925052322569901E-2</v>
      </c>
      <c r="AE177">
        <v>4.1177174023698697</v>
      </c>
    </row>
    <row r="178" spans="1:31" x14ac:dyDescent="0.2">
      <c r="A178">
        <v>177</v>
      </c>
      <c r="B178">
        <v>766</v>
      </c>
      <c r="C178">
        <v>135</v>
      </c>
      <c r="D178">
        <v>0.45748977529712298</v>
      </c>
      <c r="E178">
        <v>38.559498118807703</v>
      </c>
      <c r="F178">
        <v>2.2201851113363902</v>
      </c>
      <c r="G178">
        <v>-627.08798793116114</v>
      </c>
      <c r="H178">
        <v>-527.80194364307226</v>
      </c>
      <c r="I178">
        <v>95.545440300330895</v>
      </c>
      <c r="J178">
        <v>51.321524214077897</v>
      </c>
      <c r="K178">
        <v>17.367695117817298</v>
      </c>
      <c r="L178">
        <v>1.2667689273112919E-4</v>
      </c>
      <c r="M178">
        <v>1.6522831444457634E-5</v>
      </c>
      <c r="N178" s="1">
        <v>9.1352048642172903E-7</v>
      </c>
      <c r="O178" s="1">
        <v>2.82358942395632E-8</v>
      </c>
      <c r="P178" s="1">
        <v>-1.3985072190376901E-7</v>
      </c>
      <c r="Q178">
        <v>73.201253580417699</v>
      </c>
      <c r="R178">
        <v>0.150619641309338</v>
      </c>
      <c r="S178">
        <v>12.8483210792078</v>
      </c>
      <c r="T178">
        <v>0.24414515138833801</v>
      </c>
      <c r="V178">
        <v>0.57266120846818802</v>
      </c>
      <c r="W178">
        <v>7.0021658261223696E-2</v>
      </c>
      <c r="X178">
        <v>0.19035937983953</v>
      </c>
      <c r="AA178">
        <v>0.728079706125625</v>
      </c>
      <c r="AB178">
        <v>2.67285051128062</v>
      </c>
      <c r="AC178">
        <v>5.1633520891945999</v>
      </c>
      <c r="AD178">
        <v>0.103735790016561</v>
      </c>
      <c r="AE178">
        <v>4.0546002044904101</v>
      </c>
    </row>
    <row r="179" spans="1:31" x14ac:dyDescent="0.2">
      <c r="A179">
        <v>178</v>
      </c>
      <c r="B179">
        <v>764</v>
      </c>
      <c r="C179">
        <v>135</v>
      </c>
      <c r="D179">
        <v>0.45630863423805901</v>
      </c>
      <c r="E179">
        <v>25.520082413543399</v>
      </c>
      <c r="F179">
        <v>2.2243637829241001</v>
      </c>
      <c r="G179">
        <v>-415.02987758321382</v>
      </c>
      <c r="H179">
        <v>-349.64908788872623</v>
      </c>
      <c r="I179">
        <v>63.038894754363</v>
      </c>
      <c r="J179">
        <v>33.9979517434831</v>
      </c>
      <c r="K179">
        <v>11.4729805481706</v>
      </c>
      <c r="L179">
        <v>1.2605849532118881E-4</v>
      </c>
      <c r="M179">
        <v>1.6487699808419956E-5</v>
      </c>
      <c r="N179" s="1">
        <v>6.0141204522551505E-7</v>
      </c>
      <c r="O179" s="1">
        <v>1.85290617757607E-8</v>
      </c>
      <c r="P179" s="1">
        <v>-9.1189279266468005E-8</v>
      </c>
      <c r="Q179">
        <v>72.766631455550495</v>
      </c>
      <c r="R179">
        <v>0.17913566739445999</v>
      </c>
      <c r="S179">
        <v>13.3691167203805</v>
      </c>
      <c r="T179">
        <v>0.22818296307755001</v>
      </c>
      <c r="V179">
        <v>0.54073542144364095</v>
      </c>
      <c r="W179">
        <v>0.10579903137642201</v>
      </c>
      <c r="X179">
        <v>0.19405807027614799</v>
      </c>
      <c r="AA179">
        <v>0.75911965553819605</v>
      </c>
      <c r="AB179">
        <v>2.4378644334598998</v>
      </c>
      <c r="AC179">
        <v>5.23853521234801</v>
      </c>
      <c r="AD179">
        <v>0.15673930574272499</v>
      </c>
      <c r="AE179">
        <v>4.0240820634117496</v>
      </c>
    </row>
    <row r="180" spans="1:31" x14ac:dyDescent="0.2">
      <c r="A180">
        <v>179</v>
      </c>
      <c r="B180">
        <v>762</v>
      </c>
      <c r="C180">
        <v>135</v>
      </c>
      <c r="D180">
        <v>0.45512292904410101</v>
      </c>
      <c r="E180">
        <v>19.8750501120821</v>
      </c>
      <c r="F180">
        <v>2.2276969024061901</v>
      </c>
      <c r="G180">
        <v>-323.22471864885244</v>
      </c>
      <c r="H180">
        <v>-272.53011041824931</v>
      </c>
      <c r="I180">
        <v>48.973200242093398</v>
      </c>
      <c r="J180">
        <v>26.5009010160048</v>
      </c>
      <c r="K180">
        <v>8.9217927675056004</v>
      </c>
      <c r="L180">
        <v>1.2567768511672009E-4</v>
      </c>
      <c r="M180">
        <v>1.6470332396478489E-5</v>
      </c>
      <c r="N180" s="1">
        <v>4.6732276144851802E-7</v>
      </c>
      <c r="O180" s="1">
        <v>1.43481340785606E-8</v>
      </c>
      <c r="P180" s="1">
        <v>-7.0261753855653296E-8</v>
      </c>
      <c r="Q180">
        <v>72.396073420512096</v>
      </c>
      <c r="R180">
        <v>0.19673056010296999</v>
      </c>
      <c r="S180">
        <v>13.8085565296517</v>
      </c>
      <c r="T180">
        <v>0.21721155035717299</v>
      </c>
      <c r="V180">
        <v>0.51876243178106696</v>
      </c>
      <c r="W180">
        <v>0.13584871407986299</v>
      </c>
      <c r="X180">
        <v>0.19566243222041901</v>
      </c>
      <c r="AA180">
        <v>0.778143362247256</v>
      </c>
      <c r="AB180">
        <v>2.2666303190160999</v>
      </c>
      <c r="AC180">
        <v>5.2791932239253301</v>
      </c>
      <c r="AD180">
        <v>0.20125735419220001</v>
      </c>
      <c r="AE180">
        <v>4.0059301019137399</v>
      </c>
    </row>
    <row r="181" spans="1:31" x14ac:dyDescent="0.2">
      <c r="A181">
        <v>180</v>
      </c>
      <c r="B181">
        <v>760</v>
      </c>
      <c r="C181">
        <v>135</v>
      </c>
      <c r="D181">
        <v>0.45393263320911997</v>
      </c>
      <c r="E181">
        <v>16.665145874354899</v>
      </c>
      <c r="F181">
        <v>2.23055198417235</v>
      </c>
      <c r="G181">
        <v>-271.01937287098468</v>
      </c>
      <c r="H181">
        <v>-228.68508074961343</v>
      </c>
      <c r="I181">
        <v>40.975939719664296</v>
      </c>
      <c r="J181">
        <v>22.2391620073066</v>
      </c>
      <c r="K181">
        <v>7.4713102373798801</v>
      </c>
      <c r="L181">
        <v>1.2541607272441798E-4</v>
      </c>
      <c r="M181">
        <v>1.6460928591911425E-5</v>
      </c>
      <c r="N181" s="1">
        <v>3.91562359526033E-7</v>
      </c>
      <c r="O181" s="1">
        <v>1.1979194061381799E-8</v>
      </c>
      <c r="P181" s="1">
        <v>-5.84212884654439E-8</v>
      </c>
      <c r="Q181">
        <v>72.068171382360404</v>
      </c>
      <c r="R181">
        <v>0.209112539203992</v>
      </c>
      <c r="S181">
        <v>14.1938045104599</v>
      </c>
      <c r="T181">
        <v>0.20865132846305001</v>
      </c>
      <c r="V181">
        <v>0.50138147345788997</v>
      </c>
      <c r="W181">
        <v>0.16201478345017001</v>
      </c>
      <c r="X181">
        <v>0.19631051065178501</v>
      </c>
      <c r="AA181">
        <v>0.79344196306638803</v>
      </c>
      <c r="AB181">
        <v>2.1302144011270401</v>
      </c>
      <c r="AC181">
        <v>5.3028887813532597</v>
      </c>
      <c r="AD181">
        <v>0.24002190140740401</v>
      </c>
      <c r="AE181">
        <v>3.9939864249985901</v>
      </c>
    </row>
    <row r="182" spans="1:31" x14ac:dyDescent="0.2">
      <c r="A182">
        <v>181</v>
      </c>
      <c r="B182">
        <v>758</v>
      </c>
      <c r="C182">
        <v>135</v>
      </c>
      <c r="D182">
        <v>0.452737720021335</v>
      </c>
      <c r="E182">
        <v>14.558192012233199</v>
      </c>
      <c r="F182">
        <v>2.2330971427456898</v>
      </c>
      <c r="G182">
        <v>-236.74993701124802</v>
      </c>
      <c r="H182">
        <v>-199.91075901260572</v>
      </c>
      <c r="I182">
        <v>35.726303640248503</v>
      </c>
      <c r="J182">
        <v>19.442557348247099</v>
      </c>
      <c r="K182">
        <v>6.5192828979814603</v>
      </c>
      <c r="L182">
        <v>1.2522717439097239E-4</v>
      </c>
      <c r="M182">
        <v>1.6456058191763463E-5</v>
      </c>
      <c r="N182" s="1">
        <v>3.4212803638299598E-7</v>
      </c>
      <c r="O182" s="1">
        <v>1.0428801626272201E-8</v>
      </c>
      <c r="P182" s="1">
        <v>-5.0683232140548699E-8</v>
      </c>
      <c r="Q182">
        <v>71.769985209834999</v>
      </c>
      <c r="R182">
        <v>0.21853531420313699</v>
      </c>
      <c r="S182">
        <v>14.541238777633501</v>
      </c>
      <c r="T182">
        <v>0.20150606200070001</v>
      </c>
      <c r="V182">
        <v>0.48661656830917199</v>
      </c>
      <c r="W182">
        <v>0.18546259025366399</v>
      </c>
      <c r="X182">
        <v>0.19643342429702501</v>
      </c>
      <c r="AA182">
        <v>0.80723503519225404</v>
      </c>
      <c r="AB182">
        <v>2.01606342149379</v>
      </c>
      <c r="AC182">
        <v>5.3163385636783804</v>
      </c>
      <c r="AD182">
        <v>0.27475939296805701</v>
      </c>
      <c r="AE182">
        <v>3.9858256401352001</v>
      </c>
    </row>
    <row r="183" spans="1:31" x14ac:dyDescent="0.2">
      <c r="A183">
        <v>182</v>
      </c>
      <c r="B183">
        <v>756</v>
      </c>
      <c r="C183">
        <v>135</v>
      </c>
      <c r="D183">
        <v>0.451538162561337</v>
      </c>
      <c r="E183">
        <v>13.049555031855199</v>
      </c>
      <c r="F183">
        <v>2.23542300349947</v>
      </c>
      <c r="G183">
        <v>-212.21023979775083</v>
      </c>
      <c r="H183">
        <v>-179.31152284494266</v>
      </c>
      <c r="I183">
        <v>31.966882332806801</v>
      </c>
      <c r="J183">
        <v>17.440629926453301</v>
      </c>
      <c r="K183">
        <v>5.8376222358929999</v>
      </c>
      <c r="L183">
        <v>1.2508790232216007E-4</v>
      </c>
      <c r="M183">
        <v>1.6454144307525614E-5</v>
      </c>
      <c r="N183" s="1">
        <v>3.0693320096518798E-7</v>
      </c>
      <c r="O183" s="1">
        <v>9.32157586441732E-9</v>
      </c>
      <c r="P183" s="1">
        <v>-4.51649928586002E-8</v>
      </c>
      <c r="Q183">
        <v>71.493717813092005</v>
      </c>
      <c r="R183">
        <v>0.22607027536992699</v>
      </c>
      <c r="S183">
        <v>14.860724833367099</v>
      </c>
      <c r="T183">
        <v>0.195297876368551</v>
      </c>
      <c r="V183">
        <v>0.47355139858997602</v>
      </c>
      <c r="W183">
        <v>0.206903606552713</v>
      </c>
      <c r="X183">
        <v>0.19623050360744401</v>
      </c>
      <c r="AA183">
        <v>0.82033248435894901</v>
      </c>
      <c r="AB183">
        <v>1.9175624655241601</v>
      </c>
      <c r="AC183">
        <v>5.3228404431173004</v>
      </c>
      <c r="AD183">
        <v>0.30652386155919398</v>
      </c>
      <c r="AE183">
        <v>3.9802444384925399</v>
      </c>
    </row>
    <row r="184" spans="1:31" x14ac:dyDescent="0.2">
      <c r="A184">
        <v>183</v>
      </c>
      <c r="B184">
        <v>754</v>
      </c>
      <c r="C184">
        <v>135</v>
      </c>
      <c r="D184">
        <v>0.45033393370004399</v>
      </c>
      <c r="E184">
        <v>11.854533659139801</v>
      </c>
      <c r="F184">
        <v>2.2375040253134899</v>
      </c>
      <c r="G184">
        <v>-192.77142334823972</v>
      </c>
      <c r="H184">
        <v>-162.99281495616441</v>
      </c>
      <c r="I184">
        <v>28.991489453415099</v>
      </c>
      <c r="J184">
        <v>15.8552674215205</v>
      </c>
      <c r="K184">
        <v>5.2981060704366403</v>
      </c>
      <c r="L184">
        <v>1.250017177335803E-4</v>
      </c>
      <c r="M184">
        <v>1.6458334745301181E-5</v>
      </c>
      <c r="N184" s="1">
        <v>2.7933274599418597E-7</v>
      </c>
      <c r="O184" s="1">
        <v>8.4514529079049692E-9</v>
      </c>
      <c r="P184" s="1">
        <v>-4.0837068920955E-8</v>
      </c>
      <c r="Q184">
        <v>71.230337843292205</v>
      </c>
      <c r="R184">
        <v>0.21926095630301101</v>
      </c>
      <c r="S184">
        <v>15.170380740959001</v>
      </c>
      <c r="T184">
        <v>0.19190475632259399</v>
      </c>
      <c r="V184">
        <v>0.46709221741568002</v>
      </c>
      <c r="W184">
        <v>0.22635317632701599</v>
      </c>
      <c r="X184">
        <v>0.19357836365726</v>
      </c>
      <c r="AA184">
        <v>0.83384365531155902</v>
      </c>
      <c r="AB184">
        <v>1.8301041348876499</v>
      </c>
      <c r="AC184">
        <v>5.3211629477812101</v>
      </c>
      <c r="AD184">
        <v>0.33742364862310498</v>
      </c>
      <c r="AE184">
        <v>3.9785575591195901</v>
      </c>
    </row>
    <row r="185" spans="1:31" x14ac:dyDescent="0.2">
      <c r="A185">
        <v>184</v>
      </c>
      <c r="B185">
        <v>752</v>
      </c>
      <c r="C185">
        <v>135</v>
      </c>
      <c r="D185">
        <v>0.449125006096672</v>
      </c>
      <c r="E185">
        <v>10.9327424742032</v>
      </c>
      <c r="F185">
        <v>2.2394804603220901</v>
      </c>
      <c r="G185">
        <v>-177.77600957227349</v>
      </c>
      <c r="H185">
        <v>-150.40970640734534</v>
      </c>
      <c r="I185">
        <v>26.694925781522901</v>
      </c>
      <c r="J185">
        <v>14.6326608654892</v>
      </c>
      <c r="K185">
        <v>4.8818208811836801</v>
      </c>
      <c r="L185">
        <v>1.249363804054226E-4</v>
      </c>
      <c r="M185">
        <v>1.6462383733871199E-5</v>
      </c>
      <c r="N185" s="1">
        <v>2.5812035778565398E-7</v>
      </c>
      <c r="O185" s="1">
        <v>7.7802679229524408E-9</v>
      </c>
      <c r="P185" s="1">
        <v>-3.7503008210546501E-8</v>
      </c>
      <c r="Q185">
        <v>70.983035083293004</v>
      </c>
      <c r="R185">
        <v>0.217091259169402</v>
      </c>
      <c r="S185">
        <v>15.456998820172901</v>
      </c>
      <c r="T185">
        <v>0.188008807309262</v>
      </c>
      <c r="V185">
        <v>0.45900018999268699</v>
      </c>
      <c r="W185">
        <v>0.24450512386718001</v>
      </c>
      <c r="X185">
        <v>0.19174177713693599</v>
      </c>
      <c r="AA185">
        <v>0.84695994069429004</v>
      </c>
      <c r="AB185">
        <v>1.75240770719414</v>
      </c>
      <c r="AC185">
        <v>5.3168770604228701</v>
      </c>
      <c r="AD185">
        <v>0.365873431065451</v>
      </c>
      <c r="AE185">
        <v>3.97750079968174</v>
      </c>
    </row>
    <row r="186" spans="1:31" x14ac:dyDescent="0.2">
      <c r="A186">
        <v>185</v>
      </c>
      <c r="B186">
        <v>792</v>
      </c>
      <c r="C186">
        <v>120</v>
      </c>
      <c r="D186">
        <v>0.48793174670234402</v>
      </c>
      <c r="E186">
        <v>104.033843258461</v>
      </c>
      <c r="F186">
        <v>2.2075402303557801</v>
      </c>
      <c r="G186">
        <v>-1701.4064219163811</v>
      </c>
      <c r="H186">
        <v>-1422.6638655191612</v>
      </c>
      <c r="I186">
        <v>261.69324170043598</v>
      </c>
      <c r="J186">
        <v>138.73987666271699</v>
      </c>
      <c r="K186">
        <v>47.126589961032799</v>
      </c>
      <c r="L186">
        <v>1.2647164858076138E-4</v>
      </c>
      <c r="M186">
        <v>1.6712976532833501E-5</v>
      </c>
      <c r="N186" s="1">
        <v>2.3560806028920201E-6</v>
      </c>
      <c r="O186" s="1">
        <v>7.6973919578109604E-8</v>
      </c>
      <c r="P186" s="1">
        <v>-3.75769848196209E-7</v>
      </c>
      <c r="Q186">
        <v>73.793294177636099</v>
      </c>
      <c r="R186">
        <v>9.2277663684401504E-2</v>
      </c>
      <c r="S186">
        <v>12.4574845973946</v>
      </c>
      <c r="T186">
        <v>0.24164283600710601</v>
      </c>
      <c r="V186">
        <v>0.58038441593145595</v>
      </c>
      <c r="W186">
        <v>2.59530929112377E-2</v>
      </c>
      <c r="X186">
        <v>0.115347079605503</v>
      </c>
      <c r="AA186">
        <v>0.75936827406955199</v>
      </c>
      <c r="AB186">
        <v>3.41235110499608</v>
      </c>
      <c r="AC186">
        <v>4.5081483612483302</v>
      </c>
      <c r="AD186">
        <v>3.8449026535166603E-2</v>
      </c>
      <c r="AE186">
        <v>3.9752993699803501</v>
      </c>
    </row>
    <row r="187" spans="1:31" x14ac:dyDescent="0.2">
      <c r="A187">
        <v>186</v>
      </c>
      <c r="B187">
        <v>790</v>
      </c>
      <c r="C187">
        <v>120</v>
      </c>
      <c r="D187">
        <v>0.486836758688802</v>
      </c>
      <c r="E187">
        <v>103.565547883411</v>
      </c>
      <c r="F187">
        <v>2.2080465193525698</v>
      </c>
      <c r="G187">
        <v>-1693.0849271951563</v>
      </c>
      <c r="H187">
        <v>-1416.4819737456394</v>
      </c>
      <c r="I187">
        <v>260.17302680667501</v>
      </c>
      <c r="J187">
        <v>138.04713783901499</v>
      </c>
      <c r="K187">
        <v>46.903698348610099</v>
      </c>
      <c r="L187">
        <v>1.2622833832640691E-4</v>
      </c>
      <c r="M187">
        <v>1.6692675422276955E-5</v>
      </c>
      <c r="N187" s="1">
        <v>2.3477702823467399E-6</v>
      </c>
      <c r="O187" s="1">
        <v>7.6430474774854705E-8</v>
      </c>
      <c r="P187" s="1">
        <v>-3.7321466000978599E-7</v>
      </c>
      <c r="Q187">
        <v>73.850882518682795</v>
      </c>
      <c r="R187">
        <v>9.2694918302437507E-2</v>
      </c>
      <c r="S187">
        <v>12.419185004233601</v>
      </c>
      <c r="T187">
        <v>0.24332445318255599</v>
      </c>
      <c r="V187">
        <v>0.58247879216499698</v>
      </c>
      <c r="W187">
        <v>2.6070445772560201E-2</v>
      </c>
      <c r="X187">
        <v>0.115868647878049</v>
      </c>
      <c r="AA187">
        <v>0.74915271690273599</v>
      </c>
      <c r="AB187">
        <v>3.38939831973887</v>
      </c>
      <c r="AC187">
        <v>4.5223708386721002</v>
      </c>
      <c r="AD187">
        <v>3.8622882626014099E-2</v>
      </c>
      <c r="AE187">
        <v>3.9699504618431898</v>
      </c>
    </row>
    <row r="188" spans="1:31" x14ac:dyDescent="0.2">
      <c r="A188">
        <v>187</v>
      </c>
      <c r="B188">
        <v>788</v>
      </c>
      <c r="C188">
        <v>120</v>
      </c>
      <c r="D188">
        <v>0.48573764312303003</v>
      </c>
      <c r="E188">
        <v>102.88918130006201</v>
      </c>
      <c r="F188">
        <v>2.2085479891358002</v>
      </c>
      <c r="G188">
        <v>-1681.305632600689</v>
      </c>
      <c r="H188">
        <v>-1407.429581929767</v>
      </c>
      <c r="I188">
        <v>258.09362547323298</v>
      </c>
      <c r="J188">
        <v>137.05764876031299</v>
      </c>
      <c r="K188">
        <v>46.586799021887103</v>
      </c>
      <c r="L188">
        <v>1.2589810018984282E-4</v>
      </c>
      <c r="M188">
        <v>1.666789261715352E-5</v>
      </c>
      <c r="N188" s="1">
        <v>2.3330751705245401E-6</v>
      </c>
      <c r="O188" s="1">
        <v>7.5688363699872106E-8</v>
      </c>
      <c r="P188" s="1">
        <v>-3.6955284709491902E-7</v>
      </c>
      <c r="Q188">
        <v>73.934281083756503</v>
      </c>
      <c r="R188">
        <v>9.3304270465550093E-2</v>
      </c>
      <c r="S188">
        <v>12.364042052765001</v>
      </c>
      <c r="T188">
        <v>0.24547081494985001</v>
      </c>
      <c r="V188">
        <v>0.58581582945574195</v>
      </c>
      <c r="W188">
        <v>2.6241826068435399E-2</v>
      </c>
      <c r="X188">
        <v>0.116630338081941</v>
      </c>
      <c r="AA188">
        <v>0.73504908834945804</v>
      </c>
      <c r="AB188">
        <v>3.3557413908126401</v>
      </c>
      <c r="AC188">
        <v>4.54270946902734</v>
      </c>
      <c r="AD188">
        <v>3.88767793606433E-2</v>
      </c>
      <c r="AE188">
        <v>3.9618370569068699</v>
      </c>
    </row>
    <row r="189" spans="1:31" x14ac:dyDescent="0.2">
      <c r="A189">
        <v>188</v>
      </c>
      <c r="B189">
        <v>786</v>
      </c>
      <c r="C189">
        <v>120</v>
      </c>
      <c r="D189">
        <v>0.48463437662276798</v>
      </c>
      <c r="E189">
        <v>102.21230075078201</v>
      </c>
      <c r="F189">
        <v>2.2090565172964101</v>
      </c>
      <c r="G189">
        <v>-1669.5284146282852</v>
      </c>
      <c r="H189">
        <v>-1398.3690928598119</v>
      </c>
      <c r="I189">
        <v>256.01597674406202</v>
      </c>
      <c r="J189">
        <v>136.068407691928</v>
      </c>
      <c r="K189">
        <v>46.269663066781099</v>
      </c>
      <c r="L189">
        <v>1.2556450533121911E-4</v>
      </c>
      <c r="M189">
        <v>1.6643013748875631E-5</v>
      </c>
      <c r="N189" s="1">
        <v>2.31827440855766E-6</v>
      </c>
      <c r="O189" s="1">
        <v>7.4947532332168298E-8</v>
      </c>
      <c r="P189" s="1">
        <v>-3.6588614066416502E-7</v>
      </c>
      <c r="Q189">
        <v>74.017809014498695</v>
      </c>
      <c r="R189">
        <v>9.3922159363256694E-2</v>
      </c>
      <c r="S189">
        <v>12.308943272580899</v>
      </c>
      <c r="T189">
        <v>0.24764842687132599</v>
      </c>
      <c r="V189">
        <v>0.58919855469816795</v>
      </c>
      <c r="W189">
        <v>2.6415607320915201E-2</v>
      </c>
      <c r="X189">
        <v>0.11740269920407601</v>
      </c>
      <c r="AA189">
        <v>0.72166409721558</v>
      </c>
      <c r="AB189">
        <v>3.3214488204930399</v>
      </c>
      <c r="AC189">
        <v>4.5627979574569002</v>
      </c>
      <c r="AD189">
        <v>3.9134233068020101E-2</v>
      </c>
      <c r="AE189">
        <v>3.9536151572289802</v>
      </c>
    </row>
    <row r="190" spans="1:31" x14ac:dyDescent="0.2">
      <c r="A190">
        <v>189</v>
      </c>
      <c r="B190">
        <v>784</v>
      </c>
      <c r="C190">
        <v>120</v>
      </c>
      <c r="D190">
        <v>0.48352693562881199</v>
      </c>
      <c r="E190">
        <v>101.535444342145</v>
      </c>
      <c r="F190">
        <v>2.2095715516266501</v>
      </c>
      <c r="G190">
        <v>-1657.7623393686376</v>
      </c>
      <c r="H190">
        <v>-1389.3079528057651</v>
      </c>
      <c r="I190">
        <v>253.941622818779</v>
      </c>
      <c r="J190">
        <v>135.08016906098001</v>
      </c>
      <c r="K190">
        <v>45.9525487044748</v>
      </c>
      <c r="L190">
        <v>1.2522780428661211E-4</v>
      </c>
      <c r="M190">
        <v>1.6618062734403415E-5</v>
      </c>
      <c r="N190" s="1">
        <v>2.30338811438449E-6</v>
      </c>
      <c r="O190" s="1">
        <v>7.4208611733633597E-8</v>
      </c>
      <c r="P190" s="1">
        <v>-3.6221800144439401E-7</v>
      </c>
      <c r="Q190">
        <v>74.1014569851218</v>
      </c>
      <c r="R190">
        <v>9.4548264029365101E-2</v>
      </c>
      <c r="S190">
        <v>12.2538962145006</v>
      </c>
      <c r="T190">
        <v>0.24985676720723399</v>
      </c>
      <c r="V190">
        <v>0.59262466233921696</v>
      </c>
      <c r="W190">
        <v>2.6591699258257901E-2</v>
      </c>
      <c r="X190">
        <v>0.118185330036714</v>
      </c>
      <c r="AA190">
        <v>0.70897936476525503</v>
      </c>
      <c r="AB190">
        <v>3.28657292276496</v>
      </c>
      <c r="AC190">
        <v>4.5825965159364799</v>
      </c>
      <c r="AD190">
        <v>3.9395110012230797E-2</v>
      </c>
      <c r="AE190">
        <v>3.9452961640277602</v>
      </c>
    </row>
    <row r="191" spans="1:31" x14ac:dyDescent="0.2">
      <c r="A191">
        <v>190</v>
      </c>
      <c r="B191">
        <v>782</v>
      </c>
      <c r="C191">
        <v>120</v>
      </c>
      <c r="D191">
        <v>0.48241529640335601</v>
      </c>
      <c r="E191">
        <v>100.859132843601</v>
      </c>
      <c r="F191">
        <v>2.2100925301425001</v>
      </c>
      <c r="G191">
        <v>-1646.01616872256</v>
      </c>
      <c r="H191">
        <v>-1380.2533722270175</v>
      </c>
      <c r="I191">
        <v>251.872052784478</v>
      </c>
      <c r="J191">
        <v>134.09366153576701</v>
      </c>
      <c r="K191">
        <v>45.635705957115803</v>
      </c>
      <c r="L191">
        <v>1.2488825091115099E-4</v>
      </c>
      <c r="M191">
        <v>1.6593063702227648E-5</v>
      </c>
      <c r="N191" s="1">
        <v>2.2884360185558598E-6</v>
      </c>
      <c r="O191" s="1">
        <v>7.3472211601059101E-8</v>
      </c>
      <c r="P191" s="1">
        <v>-3.5855179028479601E-7</v>
      </c>
      <c r="Q191">
        <v>74.185216090817306</v>
      </c>
      <c r="R191">
        <v>9.5182257960580399E-2</v>
      </c>
      <c r="S191">
        <v>12.1989081037395</v>
      </c>
      <c r="T191">
        <v>0.25209530094500798</v>
      </c>
      <c r="V191">
        <v>0.59609181089605701</v>
      </c>
      <c r="W191">
        <v>2.6770010051412E-2</v>
      </c>
      <c r="X191">
        <v>0.118977822450734</v>
      </c>
      <c r="AA191">
        <v>0.69697568333802795</v>
      </c>
      <c r="AB191">
        <v>3.2511669679081501</v>
      </c>
      <c r="AC191">
        <v>4.6020650269255601</v>
      </c>
      <c r="AD191">
        <v>3.96592741502362E-2</v>
      </c>
      <c r="AE191">
        <v>3.93689165081731</v>
      </c>
    </row>
    <row r="192" spans="1:31" x14ac:dyDescent="0.2">
      <c r="A192">
        <v>191</v>
      </c>
      <c r="B192">
        <v>780</v>
      </c>
      <c r="C192">
        <v>120</v>
      </c>
      <c r="D192">
        <v>0.48129943502824801</v>
      </c>
      <c r="E192">
        <v>99.169777932653204</v>
      </c>
      <c r="F192">
        <v>2.21105061515056</v>
      </c>
      <c r="G192">
        <v>-1617.4522429603892</v>
      </c>
      <c r="H192">
        <v>-1357.0604247571275</v>
      </c>
      <c r="I192">
        <v>247.25045644330001</v>
      </c>
      <c r="J192">
        <v>131.770199293025</v>
      </c>
      <c r="K192">
        <v>44.851880483025397</v>
      </c>
      <c r="L192">
        <v>1.2456690094230578E-4</v>
      </c>
      <c r="M192">
        <v>1.6556694928905733E-5</v>
      </c>
      <c r="N192" s="1">
        <v>2.24798218917294E-6</v>
      </c>
      <c r="O192" s="1">
        <v>7.1933452785558298E-8</v>
      </c>
      <c r="P192" s="1">
        <v>-3.5138491483921001E-7</v>
      </c>
      <c r="Q192">
        <v>74.206559863835395</v>
      </c>
      <c r="R192">
        <v>9.6803685559522401E-2</v>
      </c>
      <c r="S192">
        <v>12.1722737400169</v>
      </c>
      <c r="T192">
        <v>0.25706319719227899</v>
      </c>
      <c r="V192">
        <v>0.60564023593127303</v>
      </c>
      <c r="W192">
        <v>2.7226036563613699E-2</v>
      </c>
      <c r="X192">
        <v>0.121004606949418</v>
      </c>
      <c r="AA192">
        <v>0.68147402331049101</v>
      </c>
      <c r="AB192">
        <v>3.20830744234447</v>
      </c>
      <c r="AC192">
        <v>4.6591632310973896</v>
      </c>
      <c r="AD192">
        <v>4.0334868983124897E-2</v>
      </c>
      <c r="AE192">
        <v>3.9241490682159998</v>
      </c>
    </row>
    <row r="193" spans="1:31" x14ac:dyDescent="0.2">
      <c r="A193">
        <v>192</v>
      </c>
      <c r="B193">
        <v>778</v>
      </c>
      <c r="C193">
        <v>120</v>
      </c>
      <c r="D193">
        <v>0.48017932740332298</v>
      </c>
      <c r="E193">
        <v>95.822247968143003</v>
      </c>
      <c r="F193">
        <v>2.2127654575300899</v>
      </c>
      <c r="G193">
        <v>-1561.4014779488195</v>
      </c>
      <c r="H193">
        <v>-1310.7448143956026</v>
      </c>
      <c r="I193">
        <v>238.459462068417</v>
      </c>
      <c r="J193">
        <v>127.25901368202599</v>
      </c>
      <c r="K193">
        <v>43.304294922924399</v>
      </c>
      <c r="L193">
        <v>1.2426506784466755E-4</v>
      </c>
      <c r="M193">
        <v>1.6501009509071123E-5</v>
      </c>
      <c r="N193" s="1">
        <v>2.1658519259413698E-6</v>
      </c>
      <c r="O193" s="1">
        <v>6.9090199400122495E-8</v>
      </c>
      <c r="P193" s="1">
        <v>-3.38456120365963E-7</v>
      </c>
      <c r="Q193">
        <v>74.126149906320805</v>
      </c>
      <c r="R193">
        <v>0.100185501838694</v>
      </c>
      <c r="S193">
        <v>12.191383164432301</v>
      </c>
      <c r="T193">
        <v>0.26688809143476599</v>
      </c>
      <c r="V193">
        <v>0.626038307819205</v>
      </c>
      <c r="W193">
        <v>2.8177172392130499E-2</v>
      </c>
      <c r="X193">
        <v>0.125231877298387</v>
      </c>
      <c r="AA193">
        <v>0.66179249363813197</v>
      </c>
      <c r="AB193">
        <v>3.1504368738788702</v>
      </c>
      <c r="AC193">
        <v>4.7780723358516397</v>
      </c>
      <c r="AD193">
        <v>4.17439590994447E-2</v>
      </c>
      <c r="AE193">
        <v>3.9039003159955401</v>
      </c>
    </row>
    <row r="194" spans="1:31" x14ac:dyDescent="0.2">
      <c r="A194">
        <v>193</v>
      </c>
      <c r="B194">
        <v>776</v>
      </c>
      <c r="C194">
        <v>120</v>
      </c>
      <c r="D194">
        <v>0.47905494924462999</v>
      </c>
      <c r="E194">
        <v>92.339531921877494</v>
      </c>
      <c r="F194">
        <v>2.21460211601114</v>
      </c>
      <c r="G194">
        <v>-1503.2030367055743</v>
      </c>
      <c r="H194">
        <v>-1262.5816794214875</v>
      </c>
      <c r="I194">
        <v>229.348860776902</v>
      </c>
      <c r="J194">
        <v>122.57216539918601</v>
      </c>
      <c r="K194">
        <v>41.695766139786599</v>
      </c>
      <c r="L194">
        <v>1.2394437953847727E-4</v>
      </c>
      <c r="M194">
        <v>1.6443324993878568E-5</v>
      </c>
      <c r="N194" s="1">
        <v>2.0804622870221401E-6</v>
      </c>
      <c r="O194" s="1">
        <v>6.6162410780625801E-8</v>
      </c>
      <c r="P194" s="1">
        <v>-3.2501357975694801E-7</v>
      </c>
      <c r="Q194">
        <v>74.040811958747895</v>
      </c>
      <c r="R194">
        <v>0.103964139737272</v>
      </c>
      <c r="S194">
        <v>12.2120062169544</v>
      </c>
      <c r="T194">
        <v>0.27779977276694501</v>
      </c>
      <c r="V194">
        <v>0.64888933030076901</v>
      </c>
      <c r="W194">
        <v>2.9239914301104199E-2</v>
      </c>
      <c r="X194">
        <v>0.12995517467162099</v>
      </c>
      <c r="AA194">
        <v>0.64568212587971996</v>
      </c>
      <c r="AB194">
        <v>3.0864644477167298</v>
      </c>
      <c r="AC194">
        <v>4.8993359268979102</v>
      </c>
      <c r="AD194">
        <v>4.3318391557178197E-2</v>
      </c>
      <c r="AE194">
        <v>3.88253260046833</v>
      </c>
    </row>
    <row r="195" spans="1:31" x14ac:dyDescent="0.2">
      <c r="A195">
        <v>194</v>
      </c>
      <c r="B195">
        <v>774</v>
      </c>
      <c r="C195">
        <v>120</v>
      </c>
      <c r="D195">
        <v>0.47792627608270499</v>
      </c>
      <c r="E195">
        <v>88.5646353491817</v>
      </c>
      <c r="F195">
        <v>2.2166111262104802</v>
      </c>
      <c r="G195">
        <v>-1440.2952148099378</v>
      </c>
      <c r="H195">
        <v>-1210.4138257136844</v>
      </c>
      <c r="I195">
        <v>219.530524849594</v>
      </c>
      <c r="J195">
        <v>117.502215624073</v>
      </c>
      <c r="K195">
        <v>39.954971939796899</v>
      </c>
      <c r="L195">
        <v>1.2360356825849648E-4</v>
      </c>
      <c r="M195">
        <v>1.6383443182693518E-5</v>
      </c>
      <c r="N195" s="1">
        <v>1.9882969449855902E-6</v>
      </c>
      <c r="O195" s="1">
        <v>6.3039381977728098E-8</v>
      </c>
      <c r="P195" s="1">
        <v>-3.1050021454456697E-7</v>
      </c>
      <c r="Q195">
        <v>73.947791738235793</v>
      </c>
      <c r="R195">
        <v>0.108395410449676</v>
      </c>
      <c r="S195">
        <v>12.2348212631723</v>
      </c>
      <c r="T195">
        <v>0.290468358620384</v>
      </c>
      <c r="V195">
        <v>0.67580202528471001</v>
      </c>
      <c r="W195">
        <v>3.04862091889673E-2</v>
      </c>
      <c r="X195">
        <v>0.135494263062128</v>
      </c>
      <c r="AA195">
        <v>0.63421938216094598</v>
      </c>
      <c r="AB195">
        <v>3.0148154236157501</v>
      </c>
      <c r="AC195">
        <v>5.0226707571555202</v>
      </c>
      <c r="AD195">
        <v>4.5164754354012099E-2</v>
      </c>
      <c r="AE195">
        <v>3.8598704146996199</v>
      </c>
    </row>
    <row r="196" spans="1:31" x14ac:dyDescent="0.2">
      <c r="A196">
        <v>195</v>
      </c>
      <c r="B196">
        <v>772</v>
      </c>
      <c r="C196">
        <v>120</v>
      </c>
      <c r="D196">
        <v>0.47679328326077502</v>
      </c>
      <c r="E196">
        <v>45.550450766562498</v>
      </c>
      <c r="F196">
        <v>2.2211198668816001</v>
      </c>
      <c r="G196">
        <v>-740.84449464641159</v>
      </c>
      <c r="H196">
        <v>-623.30674683209179</v>
      </c>
      <c r="I196">
        <v>112.460171089623</v>
      </c>
      <c r="J196">
        <v>60.480273527093203</v>
      </c>
      <c r="K196">
        <v>20.507875979928201</v>
      </c>
      <c r="L196">
        <v>1.2251571045695039E-4</v>
      </c>
      <c r="M196">
        <v>1.629058016176902E-5</v>
      </c>
      <c r="N196" s="1">
        <v>1.01098677811438E-6</v>
      </c>
      <c r="O196" s="1">
        <v>3.1969504400454402E-8</v>
      </c>
      <c r="P196" s="1">
        <v>-1.5657809918737301E-7</v>
      </c>
      <c r="Q196">
        <v>73.592152532554707</v>
      </c>
      <c r="R196">
        <v>0.14137957230841999</v>
      </c>
      <c r="S196">
        <v>12.6648049999891</v>
      </c>
      <c r="T196">
        <v>0.25336136902510797</v>
      </c>
      <c r="V196">
        <v>0.59383055653829597</v>
      </c>
      <c r="W196">
        <v>5.9274934815382499E-2</v>
      </c>
      <c r="X196">
        <v>0.19616823805594699</v>
      </c>
      <c r="AA196">
        <v>0.71550769828142502</v>
      </c>
      <c r="AB196">
        <v>2.6983995739301001</v>
      </c>
      <c r="AC196">
        <v>5.1900175635652701</v>
      </c>
      <c r="AD196">
        <v>8.7814718244945397E-2</v>
      </c>
      <c r="AE196">
        <v>3.80728824269119</v>
      </c>
    </row>
    <row r="197" spans="1:31" x14ac:dyDescent="0.2">
      <c r="A197">
        <v>196</v>
      </c>
      <c r="B197">
        <v>770</v>
      </c>
      <c r="C197">
        <v>120</v>
      </c>
      <c r="D197">
        <v>0.47565594593299199</v>
      </c>
      <c r="E197">
        <v>28.465469148746799</v>
      </c>
      <c r="F197">
        <v>2.2254193181786199</v>
      </c>
      <c r="G197">
        <v>-462.95946961958219</v>
      </c>
      <c r="H197">
        <v>-389.8865743589887</v>
      </c>
      <c r="I197">
        <v>70.050227925603807</v>
      </c>
      <c r="J197">
        <v>37.828957753203802</v>
      </c>
      <c r="K197">
        <v>12.791058708003</v>
      </c>
      <c r="L197">
        <v>1.2184330547156676E-4</v>
      </c>
      <c r="M197">
        <v>1.6248852300827683E-5</v>
      </c>
      <c r="N197" s="1">
        <v>6.2780120973783705E-7</v>
      </c>
      <c r="O197" s="1">
        <v>1.97912264836779E-8</v>
      </c>
      <c r="P197" s="1">
        <v>-9.6274044812512099E-8</v>
      </c>
      <c r="Q197">
        <v>73.153352203394107</v>
      </c>
      <c r="R197">
        <v>0.17481285377877701</v>
      </c>
      <c r="S197">
        <v>13.186028956546799</v>
      </c>
      <c r="T197">
        <v>0.23534719611363999</v>
      </c>
      <c r="V197">
        <v>0.557360649051726</v>
      </c>
      <c r="W197">
        <v>9.4851765340322303E-2</v>
      </c>
      <c r="X197">
        <v>0.20065898346154901</v>
      </c>
      <c r="AA197">
        <v>0.75569510311338794</v>
      </c>
      <c r="AB197">
        <v>2.44357063425322</v>
      </c>
      <c r="AC197">
        <v>5.2831204135856797</v>
      </c>
      <c r="AD197">
        <v>0.140521133837371</v>
      </c>
      <c r="AE197">
        <v>3.7746801075233898</v>
      </c>
    </row>
    <row r="198" spans="1:31" x14ac:dyDescent="0.2">
      <c r="A198">
        <v>197</v>
      </c>
      <c r="B198">
        <v>768</v>
      </c>
      <c r="C198">
        <v>120</v>
      </c>
      <c r="D198">
        <v>0.474514239062578</v>
      </c>
      <c r="E198">
        <v>21.557089262441</v>
      </c>
      <c r="F198">
        <v>2.2288026898619799</v>
      </c>
      <c r="G198">
        <v>-350.60030346346372</v>
      </c>
      <c r="H198">
        <v>-295.50775828770531</v>
      </c>
      <c r="I198">
        <v>52.915089252997603</v>
      </c>
      <c r="J198">
        <v>28.673261161265401</v>
      </c>
      <c r="K198">
        <v>9.6720491950662097</v>
      </c>
      <c r="L198">
        <v>1.2144243733902274E-4</v>
      </c>
      <c r="M198">
        <v>1.6229474563259071E-5</v>
      </c>
      <c r="N198" s="1">
        <v>4.7415212517698401E-7</v>
      </c>
      <c r="O198" s="1">
        <v>1.4896994268069699E-8</v>
      </c>
      <c r="P198" s="1">
        <v>-7.2074719633765498E-8</v>
      </c>
      <c r="Q198">
        <v>72.776556965996505</v>
      </c>
      <c r="R198">
        <v>0.19528497858247501</v>
      </c>
      <c r="S198">
        <v>13.6309721223582</v>
      </c>
      <c r="T198">
        <v>0.22327881149131701</v>
      </c>
      <c r="V198">
        <v>0.53307280567551796</v>
      </c>
      <c r="W198">
        <v>0.125248820336023</v>
      </c>
      <c r="X198">
        <v>0.202695268759055</v>
      </c>
      <c r="AA198">
        <v>0.776869205973025</v>
      </c>
      <c r="AB198">
        <v>2.2623257124077498</v>
      </c>
      <c r="AC198">
        <v>5.3321936212696297</v>
      </c>
      <c r="AD198">
        <v>0.18555380790501599</v>
      </c>
      <c r="AE198">
        <v>3.7559478792454501</v>
      </c>
    </row>
    <row r="199" spans="1:31" x14ac:dyDescent="0.2">
      <c r="A199">
        <v>198</v>
      </c>
      <c r="B199">
        <v>766</v>
      </c>
      <c r="C199">
        <v>120</v>
      </c>
      <c r="D199">
        <v>0.47336813742000999</v>
      </c>
      <c r="E199">
        <v>17.800960099747002</v>
      </c>
      <c r="F199">
        <v>2.2316673471420199</v>
      </c>
      <c r="G199">
        <v>-289.50802663364573</v>
      </c>
      <c r="H199">
        <v>-244.20048508804749</v>
      </c>
      <c r="I199">
        <v>43.600578882354</v>
      </c>
      <c r="J199">
        <v>23.6967214260535</v>
      </c>
      <c r="K199">
        <v>7.9765293526133103</v>
      </c>
      <c r="L199">
        <v>1.2117259461711962E-4</v>
      </c>
      <c r="M199">
        <v>1.6219490876868879E-5</v>
      </c>
      <c r="N199" s="1">
        <v>3.9116502811975902E-7</v>
      </c>
      <c r="O199" s="1">
        <v>1.22464711431668E-8</v>
      </c>
      <c r="P199" s="1">
        <v>-5.8987689618471703E-8</v>
      </c>
      <c r="Q199">
        <v>72.444805189834298</v>
      </c>
      <c r="R199">
        <v>0.209443428154274</v>
      </c>
      <c r="S199">
        <v>14.0199152168297</v>
      </c>
      <c r="T199">
        <v>0.214056584424374</v>
      </c>
      <c r="V199">
        <v>0.51432177661881695</v>
      </c>
      <c r="W199">
        <v>0.151677212064388</v>
      </c>
      <c r="X199">
        <v>0.20359050488772101</v>
      </c>
      <c r="AA199">
        <v>0.79245239602721895</v>
      </c>
      <c r="AB199">
        <v>2.1203937554815502</v>
      </c>
      <c r="AC199">
        <v>5.3607181592402302</v>
      </c>
      <c r="AD199">
        <v>0.22470698083587501</v>
      </c>
      <c r="AE199">
        <v>3.7439187956014202</v>
      </c>
    </row>
    <row r="200" spans="1:31" x14ac:dyDescent="0.2">
      <c r="A200">
        <v>199</v>
      </c>
      <c r="B200">
        <v>764</v>
      </c>
      <c r="C200">
        <v>120</v>
      </c>
      <c r="D200">
        <v>0.47221761558116099</v>
      </c>
      <c r="E200">
        <v>15.4042948457364</v>
      </c>
      <c r="F200">
        <v>2.23420118629019</v>
      </c>
      <c r="G200">
        <v>-250.52480386837775</v>
      </c>
      <c r="H200">
        <v>-211.4686188580225</v>
      </c>
      <c r="I200">
        <v>37.657219312881701</v>
      </c>
      <c r="J200">
        <v>20.5221940085179</v>
      </c>
      <c r="K200">
        <v>6.8947662100720297</v>
      </c>
      <c r="L200">
        <v>1.2097998953732039E-4</v>
      </c>
      <c r="M200">
        <v>1.6214578487501622E-5</v>
      </c>
      <c r="N200" s="1">
        <v>3.3853167981343301E-7</v>
      </c>
      <c r="O200" s="1">
        <v>1.05605307351701E-8</v>
      </c>
      <c r="P200" s="1">
        <v>-5.0674882137295403E-8</v>
      </c>
      <c r="Q200">
        <v>72.144705945100299</v>
      </c>
      <c r="R200">
        <v>0.22007148403287299</v>
      </c>
      <c r="S200">
        <v>14.369294661682099</v>
      </c>
      <c r="T200">
        <v>0.206461950795711</v>
      </c>
      <c r="V200">
        <v>0.49863302454943698</v>
      </c>
      <c r="W200">
        <v>0.175275793344496</v>
      </c>
      <c r="X200">
        <v>0.20386889179157699</v>
      </c>
      <c r="AA200">
        <v>0.80589063965261898</v>
      </c>
      <c r="AB200">
        <v>2.0029645403279601</v>
      </c>
      <c r="AC200">
        <v>5.3773327910287199</v>
      </c>
      <c r="AD200">
        <v>0.25966784199153597</v>
      </c>
      <c r="AE200">
        <v>3.7358324357025698</v>
      </c>
    </row>
    <row r="201" spans="1:31" x14ac:dyDescent="0.2">
      <c r="A201">
        <v>200</v>
      </c>
      <c r="B201">
        <v>762</v>
      </c>
      <c r="C201">
        <v>120</v>
      </c>
      <c r="D201">
        <v>0.47106264792542502</v>
      </c>
      <c r="E201">
        <v>13.720714896895</v>
      </c>
      <c r="F201">
        <v>2.2365043267381801</v>
      </c>
      <c r="G201">
        <v>-223.13846102162671</v>
      </c>
      <c r="H201">
        <v>-188.47989810439432</v>
      </c>
      <c r="I201">
        <v>33.481681801895697</v>
      </c>
      <c r="J201">
        <v>18.292746713863</v>
      </c>
      <c r="K201">
        <v>6.1348930707886904</v>
      </c>
      <c r="L201">
        <v>1.2083884571381092E-4</v>
      </c>
      <c r="M201">
        <v>1.621285176437886E-5</v>
      </c>
      <c r="N201" s="1">
        <v>3.0177010741704302E-7</v>
      </c>
      <c r="O201" s="1">
        <v>9.3794158159429594E-9</v>
      </c>
      <c r="P201" s="1">
        <v>-4.4859327867147399E-8</v>
      </c>
      <c r="Q201">
        <v>71.867872601482404</v>
      </c>
      <c r="R201">
        <v>0.22848295071140301</v>
      </c>
      <c r="S201">
        <v>14.6894781164682</v>
      </c>
      <c r="T201">
        <v>0.19992262743924299</v>
      </c>
      <c r="V201">
        <v>0.48488677428429999</v>
      </c>
      <c r="W201">
        <v>0.196782749316505</v>
      </c>
      <c r="X201">
        <v>0.20377068898763601</v>
      </c>
      <c r="AA201">
        <v>0.81837826037785599</v>
      </c>
      <c r="AB201">
        <v>1.9024299493978101</v>
      </c>
      <c r="AC201">
        <v>5.3860975491229599</v>
      </c>
      <c r="AD201">
        <v>0.29152999898704701</v>
      </c>
      <c r="AE201">
        <v>3.73036773342454</v>
      </c>
    </row>
    <row r="202" spans="1:31" x14ac:dyDescent="0.2">
      <c r="A202">
        <v>201</v>
      </c>
      <c r="B202">
        <v>760</v>
      </c>
      <c r="C202">
        <v>120</v>
      </c>
      <c r="D202">
        <v>0.46990320863379098</v>
      </c>
      <c r="E202">
        <v>12.460673321027301</v>
      </c>
      <c r="F202">
        <v>2.2386363523169401</v>
      </c>
      <c r="G202">
        <v>-202.64014041902715</v>
      </c>
      <c r="H202">
        <v>-171.27784974247902</v>
      </c>
      <c r="I202">
        <v>30.355989620624399</v>
      </c>
      <c r="J202">
        <v>16.624558576515302</v>
      </c>
      <c r="K202">
        <v>5.5661891258626204</v>
      </c>
      <c r="L202">
        <v>1.207347861488502E-4</v>
      </c>
      <c r="M202">
        <v>1.6213328324150147E-5</v>
      </c>
      <c r="N202" s="1">
        <v>2.74409901776947E-7</v>
      </c>
      <c r="O202" s="1">
        <v>8.4976109902929506E-9</v>
      </c>
      <c r="P202" s="1">
        <v>-4.0523626381222702E-8</v>
      </c>
      <c r="Q202">
        <v>71.608889067577294</v>
      </c>
      <c r="R202">
        <v>0.23538384868347401</v>
      </c>
      <c r="S202">
        <v>14.9871840025822</v>
      </c>
      <c r="T202">
        <v>0.194127797936306</v>
      </c>
      <c r="V202">
        <v>0.47249188552322202</v>
      </c>
      <c r="W202">
        <v>0.216681709763029</v>
      </c>
      <c r="X202">
        <v>0.20342214427355701</v>
      </c>
      <c r="AA202">
        <v>0.83041769353858996</v>
      </c>
      <c r="AB202">
        <v>1.81434782937022</v>
      </c>
      <c r="AC202">
        <v>5.3892542071178102</v>
      </c>
      <c r="AD202">
        <v>0.321009940389201</v>
      </c>
      <c r="AE202">
        <v>3.7267898732449698</v>
      </c>
    </row>
    <row r="203" spans="1:31" x14ac:dyDescent="0.2">
      <c r="A203">
        <v>202</v>
      </c>
      <c r="B203">
        <v>758</v>
      </c>
      <c r="C203">
        <v>120</v>
      </c>
      <c r="D203">
        <v>0.46873927168695301</v>
      </c>
      <c r="E203">
        <v>11.4745310156047</v>
      </c>
      <c r="F203">
        <v>2.2406357489286002</v>
      </c>
      <c r="G203">
        <v>-186.59630363722098</v>
      </c>
      <c r="H203">
        <v>-157.8177633645233</v>
      </c>
      <c r="I203">
        <v>27.909169638459701</v>
      </c>
      <c r="J203">
        <v>15.319288208389599</v>
      </c>
      <c r="K203">
        <v>5.12110503507387</v>
      </c>
      <c r="L203">
        <v>1.2065892896847321E-4</v>
      </c>
      <c r="M203">
        <v>1.6215431819573151E-5</v>
      </c>
      <c r="N203" s="1">
        <v>2.5311429605002999E-7</v>
      </c>
      <c r="O203" s="1">
        <v>7.8090765851848299E-9</v>
      </c>
      <c r="P203" s="1">
        <v>-3.7143028452317301E-8</v>
      </c>
      <c r="Q203">
        <v>71.364076526655396</v>
      </c>
      <c r="R203">
        <v>0.241192777874184</v>
      </c>
      <c r="S203">
        <v>15.2669843220296</v>
      </c>
      <c r="T203">
        <v>0.18889019663703899</v>
      </c>
      <c r="V203">
        <v>0.46110021745190299</v>
      </c>
      <c r="W203">
        <v>0.23530373453404799</v>
      </c>
      <c r="X203">
        <v>0.20289669692888301</v>
      </c>
      <c r="AA203">
        <v>0.84224857190247304</v>
      </c>
      <c r="AB203">
        <v>1.73588185768383</v>
      </c>
      <c r="AC203">
        <v>5.3881807722292097</v>
      </c>
      <c r="AD203">
        <v>0.34859812523503098</v>
      </c>
      <c r="AE203">
        <v>3.7246462008382699</v>
      </c>
    </row>
    <row r="204" spans="1:31" x14ac:dyDescent="0.2">
      <c r="A204">
        <v>203</v>
      </c>
      <c r="B204">
        <v>756</v>
      </c>
      <c r="C204">
        <v>120</v>
      </c>
      <c r="D204">
        <v>0.46757081086333502</v>
      </c>
      <c r="E204">
        <v>10.628314966908899</v>
      </c>
      <c r="F204">
        <v>2.24242215359636</v>
      </c>
      <c r="G204">
        <v>-172.82998032258374</v>
      </c>
      <c r="H204">
        <v>-146.26529634362862</v>
      </c>
      <c r="I204">
        <v>25.812256696259102</v>
      </c>
      <c r="J204">
        <v>14.1994236075749</v>
      </c>
      <c r="K204">
        <v>4.7396583867419499</v>
      </c>
      <c r="L204">
        <v>1.2062044882048114E-4</v>
      </c>
      <c r="M204">
        <v>1.6223325617911439E-5</v>
      </c>
      <c r="N204" s="1">
        <v>2.35048528242941E-7</v>
      </c>
      <c r="O204" s="1">
        <v>7.2242132889535299E-9</v>
      </c>
      <c r="P204" s="1">
        <v>-3.4277634091619802E-8</v>
      </c>
      <c r="Q204">
        <v>71.127409767083805</v>
      </c>
      <c r="R204">
        <v>0.23028886042524899</v>
      </c>
      <c r="S204">
        <v>15.545814503699599</v>
      </c>
      <c r="T204">
        <v>0.186479664584418</v>
      </c>
      <c r="V204">
        <v>0.45654860041474998</v>
      </c>
      <c r="W204">
        <v>0.25203812789858698</v>
      </c>
      <c r="X204">
        <v>0.199621538219724</v>
      </c>
      <c r="AA204">
        <v>0.85497556210989201</v>
      </c>
      <c r="AB204">
        <v>1.66457276199854</v>
      </c>
      <c r="AC204">
        <v>5.3800484618119402</v>
      </c>
      <c r="AD204">
        <v>0.37635316721838502</v>
      </c>
      <c r="AE204">
        <v>3.7258489845349998</v>
      </c>
    </row>
    <row r="205" spans="1:31" x14ac:dyDescent="0.2">
      <c r="A205">
        <v>204</v>
      </c>
      <c r="B205">
        <v>802</v>
      </c>
      <c r="C205">
        <v>105</v>
      </c>
      <c r="D205">
        <v>0.50869227549644302</v>
      </c>
      <c r="E205">
        <v>103.726382262841</v>
      </c>
      <c r="F205">
        <v>2.2101680598529398</v>
      </c>
      <c r="G205">
        <v>-1697.8259970068705</v>
      </c>
      <c r="H205">
        <v>-1418.0824526398194</v>
      </c>
      <c r="I205">
        <v>260.19024728368203</v>
      </c>
      <c r="J205">
        <v>138.09417017881501</v>
      </c>
      <c r="K205">
        <v>46.931445688226702</v>
      </c>
      <c r="L205">
        <v>1.2157775747674373E-4</v>
      </c>
      <c r="M205">
        <v>1.64141018690398E-5</v>
      </c>
      <c r="N205" s="1">
        <v>2.16570694205916E-6</v>
      </c>
      <c r="O205" s="1">
        <v>7.2951160524516405E-8</v>
      </c>
      <c r="P205" s="1">
        <v>-3.4949533929810301E-7</v>
      </c>
      <c r="Q205">
        <v>74.012028883338999</v>
      </c>
      <c r="R205">
        <v>9.2551188912322294E-2</v>
      </c>
      <c r="S205">
        <v>12.4944105031639</v>
      </c>
      <c r="T205">
        <v>0.24079684220553799</v>
      </c>
      <c r="V205">
        <v>0.58351050400277404</v>
      </c>
      <c r="W205">
        <v>2.6030021881590499E-2</v>
      </c>
      <c r="X205">
        <v>0.115688986140404</v>
      </c>
      <c r="AA205">
        <v>0.76161915875764996</v>
      </c>
      <c r="AB205">
        <v>3.4224658399868999</v>
      </c>
      <c r="AC205">
        <v>4.5215112083207103</v>
      </c>
      <c r="AD205">
        <v>3.8562995380133601E-2</v>
      </c>
      <c r="AE205">
        <v>3.6908238679089602</v>
      </c>
    </row>
    <row r="206" spans="1:31" x14ac:dyDescent="0.2">
      <c r="A206">
        <v>205</v>
      </c>
      <c r="B206">
        <v>800</v>
      </c>
      <c r="C206">
        <v>105</v>
      </c>
      <c r="D206">
        <v>0.50764618180124099</v>
      </c>
      <c r="E206">
        <v>103.354572094283</v>
      </c>
      <c r="F206">
        <v>2.2106290515502698</v>
      </c>
      <c r="G206">
        <v>-1691.1146753206435</v>
      </c>
      <c r="H206">
        <v>-1413.2307260588038</v>
      </c>
      <c r="I206">
        <v>258.942318652415</v>
      </c>
      <c r="J206">
        <v>137.542195415576</v>
      </c>
      <c r="K206">
        <v>46.753466856776797</v>
      </c>
      <c r="L206">
        <v>1.2139508208068678E-4</v>
      </c>
      <c r="M206">
        <v>1.6398075079243005E-5</v>
      </c>
      <c r="N206" s="1">
        <v>2.1611029578435999E-6</v>
      </c>
      <c r="O206" s="1">
        <v>7.2536240906888801E-8</v>
      </c>
      <c r="P206" s="1">
        <v>-3.4764748182222699E-7</v>
      </c>
      <c r="Q206">
        <v>74.057247848955697</v>
      </c>
      <c r="R206">
        <v>9.2884134736125598E-2</v>
      </c>
      <c r="S206">
        <v>12.4636664628009</v>
      </c>
      <c r="T206">
        <v>0.242249392226044</v>
      </c>
      <c r="V206">
        <v>0.58508207760119302</v>
      </c>
      <c r="W206">
        <v>2.61236628945349E-2</v>
      </c>
      <c r="X206">
        <v>0.116105168420159</v>
      </c>
      <c r="AA206">
        <v>0.75348775599513895</v>
      </c>
      <c r="AB206">
        <v>3.40403621420365</v>
      </c>
      <c r="AC206">
        <v>4.5328312739820698</v>
      </c>
      <c r="AD206">
        <v>3.8701722806717201E-2</v>
      </c>
      <c r="AE206">
        <v>3.6875842853775902</v>
      </c>
    </row>
    <row r="207" spans="1:31" x14ac:dyDescent="0.2">
      <c r="A207">
        <v>206</v>
      </c>
      <c r="B207">
        <v>798</v>
      </c>
      <c r="C207">
        <v>105</v>
      </c>
      <c r="D207">
        <v>0.50659618167390597</v>
      </c>
      <c r="E207">
        <v>102.696863533859</v>
      </c>
      <c r="F207">
        <v>2.2110684512267902</v>
      </c>
      <c r="G207">
        <v>-1679.6457550015737</v>
      </c>
      <c r="H207">
        <v>-1404.4361880098661</v>
      </c>
      <c r="I207">
        <v>256.92906408225502</v>
      </c>
      <c r="J207">
        <v>136.58319518778899</v>
      </c>
      <c r="K207">
        <v>46.446713794355198</v>
      </c>
      <c r="L207">
        <v>1.2110100097579378E-4</v>
      </c>
      <c r="M207">
        <v>1.6376459211878569E-5</v>
      </c>
      <c r="N207" s="1">
        <v>2.14852998816837E-6</v>
      </c>
      <c r="O207" s="1">
        <v>7.18640363929605E-8</v>
      </c>
      <c r="P207" s="1">
        <v>-3.4438910214856301E-7</v>
      </c>
      <c r="Q207">
        <v>74.137785930444494</v>
      </c>
      <c r="R207">
        <v>9.3478998965094207E-2</v>
      </c>
      <c r="S207">
        <v>12.4095462467685</v>
      </c>
      <c r="T207">
        <v>0.24432560024297301</v>
      </c>
      <c r="V207">
        <v>0.58835697974504098</v>
      </c>
      <c r="W207">
        <v>2.6290968458932099E-2</v>
      </c>
      <c r="X207">
        <v>0.116848748706372</v>
      </c>
      <c r="AA207">
        <v>0.73968634678540701</v>
      </c>
      <c r="AB207">
        <v>3.3710393766623099</v>
      </c>
      <c r="AC207">
        <v>4.5526885410024596</v>
      </c>
      <c r="AD207">
        <v>3.8949582902119598E-2</v>
      </c>
      <c r="AE207">
        <v>3.6810026793161699</v>
      </c>
    </row>
    <row r="208" spans="1:31" x14ac:dyDescent="0.2">
      <c r="A208">
        <v>207</v>
      </c>
      <c r="B208">
        <v>796</v>
      </c>
      <c r="C208">
        <v>105</v>
      </c>
      <c r="D208">
        <v>0.50554225319178703</v>
      </c>
      <c r="E208">
        <v>102.03909678052101</v>
      </c>
      <c r="F208">
        <v>2.2115142865467901</v>
      </c>
      <c r="G208">
        <v>-1668.186024837169</v>
      </c>
      <c r="H208">
        <v>-1395.6397634503453</v>
      </c>
      <c r="I208">
        <v>254.918637596991</v>
      </c>
      <c r="J208">
        <v>135.62502245223499</v>
      </c>
      <c r="K208">
        <v>46.139922044027202</v>
      </c>
      <c r="L208">
        <v>1.2080409479012083E-4</v>
      </c>
      <c r="M208">
        <v>1.6354771751317156E-5</v>
      </c>
      <c r="N208" s="1">
        <v>2.1358740031366501E-6</v>
      </c>
      <c r="O208" s="1">
        <v>7.1193272857937704E-8</v>
      </c>
      <c r="P208" s="1">
        <v>-3.4112782964409301E-7</v>
      </c>
      <c r="Q208">
        <v>74.218391843359996</v>
      </c>
      <c r="R208">
        <v>9.4081585420625405E-2</v>
      </c>
      <c r="S208">
        <v>12.3554938046322</v>
      </c>
      <c r="T208">
        <v>0.24643039204095701</v>
      </c>
      <c r="V208">
        <v>0.59167292697176799</v>
      </c>
      <c r="W208">
        <v>2.646044589955E-2</v>
      </c>
      <c r="X208">
        <v>0.117601981775788</v>
      </c>
      <c r="AA208">
        <v>0.72656943574224297</v>
      </c>
      <c r="AB208">
        <v>3.3374579395313999</v>
      </c>
      <c r="AC208">
        <v>4.57230200178478</v>
      </c>
      <c r="AD208">
        <v>3.9200660591923002E-2</v>
      </c>
      <c r="AE208">
        <v>3.67433698224864</v>
      </c>
    </row>
    <row r="209" spans="1:31" x14ac:dyDescent="0.2">
      <c r="A209">
        <v>208</v>
      </c>
      <c r="B209">
        <v>794</v>
      </c>
      <c r="C209">
        <v>105</v>
      </c>
      <c r="D209">
        <v>0.50448437426791004</v>
      </c>
      <c r="E209">
        <v>101.381762437375</v>
      </c>
      <c r="F209">
        <v>2.2119660756508401</v>
      </c>
      <c r="G209">
        <v>-1656.7437348785966</v>
      </c>
      <c r="H209">
        <v>-1386.8482369869012</v>
      </c>
      <c r="I209">
        <v>252.91242832937701</v>
      </c>
      <c r="J209">
        <v>134.668360297085</v>
      </c>
      <c r="K209">
        <v>45.833326086407197</v>
      </c>
      <c r="L209">
        <v>1.2050457389491869E-4</v>
      </c>
      <c r="M209">
        <v>1.6333032803985193E-5</v>
      </c>
      <c r="N209" s="1">
        <v>2.1231515683943598E-6</v>
      </c>
      <c r="O209" s="1">
        <v>7.0524482781724806E-8</v>
      </c>
      <c r="P209" s="1">
        <v>-3.3786655557766E-7</v>
      </c>
      <c r="Q209">
        <v>74.299057795525997</v>
      </c>
      <c r="R209">
        <v>9.4691587216488904E-2</v>
      </c>
      <c r="S209">
        <v>12.3015160507637</v>
      </c>
      <c r="T209">
        <v>0.248563268909815</v>
      </c>
      <c r="V209">
        <v>0.59502771473911498</v>
      </c>
      <c r="W209">
        <v>2.6632008904636399E-2</v>
      </c>
      <c r="X209">
        <v>0.118364484020619</v>
      </c>
      <c r="AA209">
        <v>0.71411893616198097</v>
      </c>
      <c r="AB209">
        <v>3.3033404119339802</v>
      </c>
      <c r="AC209">
        <v>4.5916364905313598</v>
      </c>
      <c r="AD209">
        <v>3.94548280068652E-2</v>
      </c>
      <c r="AE209">
        <v>3.66759642328533</v>
      </c>
    </row>
    <row r="210" spans="1:31" x14ac:dyDescent="0.2">
      <c r="A210">
        <v>209</v>
      </c>
      <c r="B210">
        <v>792</v>
      </c>
      <c r="C210">
        <v>105</v>
      </c>
      <c r="D210">
        <v>0.50342252264939402</v>
      </c>
      <c r="E210">
        <v>100.725334838297</v>
      </c>
      <c r="F210">
        <v>2.21242332994276</v>
      </c>
      <c r="G210">
        <v>-1645.3268495640821</v>
      </c>
      <c r="H210">
        <v>-1378.0681715728244</v>
      </c>
      <c r="I210">
        <v>250.91177579801499</v>
      </c>
      <c r="J210">
        <v>133.71386777448501</v>
      </c>
      <c r="K210">
        <v>45.527152726645198</v>
      </c>
      <c r="L210">
        <v>1.2020265070684282E-4</v>
      </c>
      <c r="M210">
        <v>1.6311262569964395E-5</v>
      </c>
      <c r="N210" s="1">
        <v>2.1103789054811098E-6</v>
      </c>
      <c r="O210" s="1">
        <v>6.98581797957736E-8</v>
      </c>
      <c r="P210" s="1">
        <v>-3.3460808420610698E-7</v>
      </c>
      <c r="Q210">
        <v>74.379776336539095</v>
      </c>
      <c r="R210">
        <v>9.5308692846857501E-2</v>
      </c>
      <c r="S210">
        <v>12.247619622116</v>
      </c>
      <c r="T210">
        <v>0.25072372140827298</v>
      </c>
      <c r="V210">
        <v>0.59841910822047095</v>
      </c>
      <c r="W210">
        <v>2.6805569863177298E-2</v>
      </c>
      <c r="X210">
        <v>0.11913586605858199</v>
      </c>
      <c r="AA210">
        <v>0.70231606722121398</v>
      </c>
      <c r="AB210">
        <v>3.2687359821778599</v>
      </c>
      <c r="AC210">
        <v>4.6106567458219496</v>
      </c>
      <c r="AD210">
        <v>3.97119553528512E-2</v>
      </c>
      <c r="AE210">
        <v>3.66079033237351</v>
      </c>
    </row>
    <row r="211" spans="1:31" x14ac:dyDescent="0.2">
      <c r="A211">
        <v>210</v>
      </c>
      <c r="B211">
        <v>790</v>
      </c>
      <c r="C211">
        <v>105</v>
      </c>
      <c r="D211">
        <v>0.50235667591591204</v>
      </c>
      <c r="E211">
        <v>100.0702673272</v>
      </c>
      <c r="F211">
        <v>2.2128855571697001</v>
      </c>
      <c r="G211">
        <v>-1633.9429701058391</v>
      </c>
      <c r="H211">
        <v>-1369.3058437212508</v>
      </c>
      <c r="I211">
        <v>248.91795737627601</v>
      </c>
      <c r="J211">
        <v>132.76217345212299</v>
      </c>
      <c r="K211">
        <v>45.221618896184999</v>
      </c>
      <c r="L211">
        <v>1.1989853783733315E-4</v>
      </c>
      <c r="M211">
        <v>1.6289481232515025E-5</v>
      </c>
      <c r="N211" s="1">
        <v>2.09757175075937E-6</v>
      </c>
      <c r="O211" s="1">
        <v>6.9194854423350606E-8</v>
      </c>
      <c r="P211" s="1">
        <v>-3.3135510821367E-7</v>
      </c>
      <c r="Q211">
        <v>74.460540619602497</v>
      </c>
      <c r="R211">
        <v>9.5932590732579898E-2</v>
      </c>
      <c r="S211">
        <v>12.1938107211489</v>
      </c>
      <c r="T211">
        <v>0.25291123965479601</v>
      </c>
      <c r="V211">
        <v>0.60184487235143302</v>
      </c>
      <c r="W211">
        <v>2.69810411435366E-2</v>
      </c>
      <c r="X211">
        <v>0.119915738415736</v>
      </c>
      <c r="AA211">
        <v>0.69114154267320904</v>
      </c>
      <c r="AB211">
        <v>3.23369412489214</v>
      </c>
      <c r="AC211">
        <v>4.6293275190647298</v>
      </c>
      <c r="AD211">
        <v>3.9971912805234697E-2</v>
      </c>
      <c r="AE211">
        <v>3.65392807751511</v>
      </c>
    </row>
    <row r="212" spans="1:31" x14ac:dyDescent="0.2">
      <c r="A212">
        <v>211</v>
      </c>
      <c r="B212">
        <v>788</v>
      </c>
      <c r="C212">
        <v>105</v>
      </c>
      <c r="D212">
        <v>0.50128681147811704</v>
      </c>
      <c r="E212">
        <v>99.287225379024207</v>
      </c>
      <c r="F212">
        <v>2.2134070596017201</v>
      </c>
      <c r="G212">
        <v>-1620.4426508219715</v>
      </c>
      <c r="H212">
        <v>-1358.7563958817516</v>
      </c>
      <c r="I212">
        <v>246.60628086530599</v>
      </c>
      <c r="J212">
        <v>131.64285347499001</v>
      </c>
      <c r="K212">
        <v>44.857191969420001</v>
      </c>
      <c r="L212">
        <v>1.1959570554370265E-4</v>
      </c>
      <c r="M212">
        <v>1.626629628107263E-5</v>
      </c>
      <c r="N212" s="1">
        <v>2.0817329053394198E-6</v>
      </c>
      <c r="O212" s="1">
        <v>6.8437096541965598E-8</v>
      </c>
      <c r="P212" s="1">
        <v>-3.2769565605652502E-7</v>
      </c>
      <c r="Q212">
        <v>74.533339029511595</v>
      </c>
      <c r="R212">
        <v>9.6689175907098496E-2</v>
      </c>
      <c r="S212">
        <v>12.1436937575124</v>
      </c>
      <c r="T212">
        <v>0.25547112913475301</v>
      </c>
      <c r="V212">
        <v>0.60608276493049995</v>
      </c>
      <c r="W212">
        <v>2.7193830723869501E-2</v>
      </c>
      <c r="X212">
        <v>0.120861469883888</v>
      </c>
      <c r="AA212">
        <v>0.68006629523407203</v>
      </c>
      <c r="AB212">
        <v>3.1973303970379101</v>
      </c>
      <c r="AC212">
        <v>4.65247614028398</v>
      </c>
      <c r="AD212">
        <v>4.0287156627949003E-2</v>
      </c>
      <c r="AE212">
        <v>3.6465088532118699</v>
      </c>
    </row>
    <row r="213" spans="1:31" x14ac:dyDescent="0.2">
      <c r="A213">
        <v>212</v>
      </c>
      <c r="B213">
        <v>786</v>
      </c>
      <c r="C213">
        <v>105</v>
      </c>
      <c r="D213">
        <v>0.50021290657603101</v>
      </c>
      <c r="E213">
        <v>96.017888185234497</v>
      </c>
      <c r="F213">
        <v>2.2150159210146101</v>
      </c>
      <c r="G213">
        <v>-1565.6659394396686</v>
      </c>
      <c r="H213">
        <v>-1313.5232724742273</v>
      </c>
      <c r="I213">
        <v>238.061338776794</v>
      </c>
      <c r="J213">
        <v>127.24886553420799</v>
      </c>
      <c r="K213">
        <v>43.348622135976399</v>
      </c>
      <c r="L213">
        <v>1.1934580147206773E-4</v>
      </c>
      <c r="M213">
        <v>1.6215548628142926E-5</v>
      </c>
      <c r="N213" s="1">
        <v>2.0081239858652399E-6</v>
      </c>
      <c r="O213" s="1">
        <v>6.5813175326350394E-8</v>
      </c>
      <c r="P213" s="1">
        <v>-3.1607324014486201E-7</v>
      </c>
      <c r="Q213">
        <v>74.452725083380997</v>
      </c>
      <c r="R213">
        <v>9.9981369945152901E-2</v>
      </c>
      <c r="S213">
        <v>12.162356931950301</v>
      </c>
      <c r="T213">
        <v>0.26498679318064799</v>
      </c>
      <c r="V213">
        <v>0.62598422659472597</v>
      </c>
      <c r="W213">
        <v>2.8119760297071899E-2</v>
      </c>
      <c r="X213">
        <v>0.124976712431459</v>
      </c>
      <c r="AA213">
        <v>0.661217472997364</v>
      </c>
      <c r="AB213">
        <v>3.1404946734196599</v>
      </c>
      <c r="AC213">
        <v>4.7685251050191404</v>
      </c>
      <c r="AD213">
        <v>4.1658904143802897E-2</v>
      </c>
      <c r="AE213">
        <v>3.62897296663956</v>
      </c>
    </row>
    <row r="214" spans="1:31" x14ac:dyDescent="0.2">
      <c r="A214">
        <v>213</v>
      </c>
      <c r="B214">
        <v>784</v>
      </c>
      <c r="C214">
        <v>105</v>
      </c>
      <c r="D214">
        <v>0.49913493827744299</v>
      </c>
      <c r="E214">
        <v>92.643002619140603</v>
      </c>
      <c r="F214">
        <v>2.21673147431432</v>
      </c>
      <c r="G214">
        <v>-1509.2243118834988</v>
      </c>
      <c r="H214">
        <v>-1266.8500611583117</v>
      </c>
      <c r="I214">
        <v>229.271390744157</v>
      </c>
      <c r="J214">
        <v>122.71872418556001</v>
      </c>
      <c r="K214">
        <v>41.792613896907298</v>
      </c>
      <c r="L214">
        <v>1.190807388588271E-4</v>
      </c>
      <c r="M214">
        <v>1.6163142961632991E-5</v>
      </c>
      <c r="N214" s="1">
        <v>1.9321389350309599E-6</v>
      </c>
      <c r="O214" s="1">
        <v>6.3129057362033903E-8</v>
      </c>
      <c r="P214" s="1">
        <v>-3.0406913820125301E-7</v>
      </c>
      <c r="Q214">
        <v>74.367581360071696</v>
      </c>
      <c r="R214">
        <v>0.10362358438949</v>
      </c>
      <c r="S214">
        <v>12.1824337798647</v>
      </c>
      <c r="T214">
        <v>0.27545984941951102</v>
      </c>
      <c r="V214">
        <v>0.64805043431730702</v>
      </c>
      <c r="W214">
        <v>2.9144133109541202E-2</v>
      </c>
      <c r="X214">
        <v>0.12952948048688701</v>
      </c>
      <c r="AA214">
        <v>0.64564524489770803</v>
      </c>
      <c r="AB214">
        <v>3.0782377744498102</v>
      </c>
      <c r="AC214">
        <v>4.88656999537685</v>
      </c>
      <c r="AD214">
        <v>4.3176493495606802E-2</v>
      </c>
      <c r="AE214">
        <v>3.6105478701207301</v>
      </c>
    </row>
    <row r="215" spans="1:31" x14ac:dyDescent="0.2">
      <c r="A215">
        <v>214</v>
      </c>
      <c r="B215">
        <v>782</v>
      </c>
      <c r="C215">
        <v>105</v>
      </c>
      <c r="D215">
        <v>0.49805288347628701</v>
      </c>
      <c r="E215">
        <v>89.047620518922699</v>
      </c>
      <c r="F215">
        <v>2.2185907155331099</v>
      </c>
      <c r="G215">
        <v>-1449.2413983792057</v>
      </c>
      <c r="H215">
        <v>-1217.1573431743741</v>
      </c>
      <c r="I215">
        <v>219.953613424471</v>
      </c>
      <c r="J215">
        <v>117.900899389477</v>
      </c>
      <c r="K215">
        <v>40.137020269430401</v>
      </c>
      <c r="L215">
        <v>1.1879996176751133E-4</v>
      </c>
      <c r="M215">
        <v>1.6108967269538428E-5</v>
      </c>
      <c r="N215" s="1">
        <v>1.8514050781226499E-6</v>
      </c>
      <c r="O215" s="1">
        <v>6.0307977573217301E-8</v>
      </c>
      <c r="P215" s="1">
        <v>-2.9130413420975297E-7</v>
      </c>
      <c r="Q215">
        <v>74.275838864394103</v>
      </c>
      <c r="R215">
        <v>0.107807484849754</v>
      </c>
      <c r="S215">
        <v>12.2044305971238</v>
      </c>
      <c r="T215">
        <v>0.287390566608415</v>
      </c>
      <c r="V215">
        <v>0.67348834967863203</v>
      </c>
      <c r="W215">
        <v>3.0320855113989E-2</v>
      </c>
      <c r="X215">
        <v>0.134759356062226</v>
      </c>
      <c r="AA215">
        <v>0.634121835692526</v>
      </c>
      <c r="AB215">
        <v>3.0094555333130999</v>
      </c>
      <c r="AC215">
        <v>5.00633934692903</v>
      </c>
      <c r="AD215">
        <v>4.4919785354044499E-2</v>
      </c>
      <c r="AE215">
        <v>3.5911274248802698</v>
      </c>
    </row>
    <row r="216" spans="1:31" x14ac:dyDescent="0.2">
      <c r="A216">
        <v>215</v>
      </c>
      <c r="B216">
        <v>780</v>
      </c>
      <c r="C216">
        <v>105</v>
      </c>
      <c r="D216">
        <v>0.49696671889094501</v>
      </c>
      <c r="E216">
        <v>68.756124025882599</v>
      </c>
      <c r="F216">
        <v>2.2211023212261001</v>
      </c>
      <c r="G216">
        <v>-1118.4898973669626</v>
      </c>
      <c r="H216">
        <v>-940.11646034188891</v>
      </c>
      <c r="I216">
        <v>169.37134978405101</v>
      </c>
      <c r="J216">
        <v>91.0310373627416</v>
      </c>
      <c r="K216">
        <v>30.955856184026398</v>
      </c>
      <c r="L216">
        <v>1.1817281440128055E-4</v>
      </c>
      <c r="M216">
        <v>1.6033218551521296E-5</v>
      </c>
      <c r="N216" s="1">
        <v>1.41978903153223E-6</v>
      </c>
      <c r="O216" s="1">
        <v>4.6120147605716003E-8</v>
      </c>
      <c r="P216" s="1">
        <v>-2.2279719236286001E-7</v>
      </c>
      <c r="Q216">
        <v>74.123010611809704</v>
      </c>
      <c r="R216">
        <v>0.11892964171442801</v>
      </c>
      <c r="S216">
        <v>12.3489204851493</v>
      </c>
      <c r="T216">
        <v>0.27314054428915402</v>
      </c>
      <c r="V216">
        <v>0.63940421819459903</v>
      </c>
      <c r="W216">
        <v>3.9269229297786798E-2</v>
      </c>
      <c r="X216">
        <v>0.17076556315122299</v>
      </c>
      <c r="AA216">
        <v>0.66568073029602903</v>
      </c>
      <c r="AB216">
        <v>2.8432446048744899</v>
      </c>
      <c r="AC216">
        <v>5.1609271876575704</v>
      </c>
      <c r="AD216">
        <v>5.8176635996689201E-2</v>
      </c>
      <c r="AE216">
        <v>3.5585305475689699</v>
      </c>
    </row>
    <row r="217" spans="1:31" x14ac:dyDescent="0.2">
      <c r="A217">
        <v>216</v>
      </c>
      <c r="B217">
        <v>778</v>
      </c>
      <c r="C217">
        <v>105</v>
      </c>
      <c r="D217">
        <v>0.49587642106264601</v>
      </c>
      <c r="E217">
        <v>38.704732370046003</v>
      </c>
      <c r="F217">
        <v>2.22565608331572</v>
      </c>
      <c r="G217">
        <v>-629.56580712671598</v>
      </c>
      <c r="H217">
        <v>-529.69629011715165</v>
      </c>
      <c r="I217">
        <v>95.009767406711205</v>
      </c>
      <c r="J217">
        <v>51.287025342194298</v>
      </c>
      <c r="K217">
        <v>17.390257488652399</v>
      </c>
      <c r="L217">
        <v>1.1737712082637867E-4</v>
      </c>
      <c r="M217">
        <v>1.5969198217478675E-5</v>
      </c>
      <c r="N217" s="1">
        <v>7.9231832499943598E-7</v>
      </c>
      <c r="O217" s="1">
        <v>2.5665358581640799E-8</v>
      </c>
      <c r="P217" s="1">
        <v>-1.2319884355827399E-7</v>
      </c>
      <c r="Q217">
        <v>73.719873287114794</v>
      </c>
      <c r="R217">
        <v>0.155618495035548</v>
      </c>
      <c r="S217">
        <v>12.7993112280723</v>
      </c>
      <c r="T217">
        <v>0.25188323510488198</v>
      </c>
      <c r="V217">
        <v>0.59494269158858104</v>
      </c>
      <c r="W217">
        <v>6.9758911499122001E-2</v>
      </c>
      <c r="X217">
        <v>0.20616427573010601</v>
      </c>
      <c r="AA217">
        <v>0.73526866427272297</v>
      </c>
      <c r="AB217">
        <v>2.55594988061035</v>
      </c>
      <c r="AC217">
        <v>5.2882062774872702</v>
      </c>
      <c r="AD217">
        <v>0.10334653555416699</v>
      </c>
      <c r="AE217">
        <v>3.51967651793001</v>
      </c>
    </row>
    <row r="218" spans="1:31" x14ac:dyDescent="0.2">
      <c r="A218">
        <v>217</v>
      </c>
      <c r="B218">
        <v>776</v>
      </c>
      <c r="C218">
        <v>105</v>
      </c>
      <c r="D218">
        <v>0.49478196635371602</v>
      </c>
      <c r="E218">
        <v>26.4742565439951</v>
      </c>
      <c r="F218">
        <v>2.2294141657027402</v>
      </c>
      <c r="G218">
        <v>-430.61644657103847</v>
      </c>
      <c r="H218">
        <v>-362.63010030514744</v>
      </c>
      <c r="I218">
        <v>64.801359448973898</v>
      </c>
      <c r="J218">
        <v>35.110945095146803</v>
      </c>
      <c r="K218">
        <v>11.8749835500619</v>
      </c>
      <c r="L218">
        <v>1.1685960973183327E-4</v>
      </c>
      <c r="M218">
        <v>1.5938888117195947E-5</v>
      </c>
      <c r="N218" s="1">
        <v>5.3945082744614497E-7</v>
      </c>
      <c r="O218" s="1">
        <v>1.7418987426803601E-8</v>
      </c>
      <c r="P218" s="1">
        <v>-8.3082552147539196E-8</v>
      </c>
      <c r="Q218">
        <v>73.316271159568601</v>
      </c>
      <c r="R218">
        <v>0.18442808833117499</v>
      </c>
      <c r="S218">
        <v>13.273057448835401</v>
      </c>
      <c r="T218">
        <v>0.23623361005659799</v>
      </c>
      <c r="V218">
        <v>0.56306821367517601</v>
      </c>
      <c r="W218">
        <v>0.101985866742364</v>
      </c>
      <c r="X218">
        <v>0.20958038958259401</v>
      </c>
      <c r="AA218">
        <v>0.76797712322502598</v>
      </c>
      <c r="AB218">
        <v>2.3352671085856</v>
      </c>
      <c r="AC218">
        <v>5.3655648755388299</v>
      </c>
      <c r="AD218">
        <v>0.151090172951483</v>
      </c>
      <c r="AE218">
        <v>3.4954759429070301</v>
      </c>
    </row>
    <row r="219" spans="1:31" x14ac:dyDescent="0.2">
      <c r="A219">
        <v>218</v>
      </c>
      <c r="B219">
        <v>774</v>
      </c>
      <c r="C219">
        <v>105</v>
      </c>
      <c r="D219">
        <v>0.493683330945906</v>
      </c>
      <c r="E219">
        <v>20.752471588339599</v>
      </c>
      <c r="F219">
        <v>2.2324871381933402</v>
      </c>
      <c r="G219">
        <v>-337.54497588959003</v>
      </c>
      <c r="H219">
        <v>-284.47796813224198</v>
      </c>
      <c r="I219">
        <v>50.677560767175798</v>
      </c>
      <c r="J219">
        <v>27.5457420800774</v>
      </c>
      <c r="K219">
        <v>9.2956735263136707</v>
      </c>
      <c r="L219">
        <v>1.165321347766501E-4</v>
      </c>
      <c r="M219">
        <v>1.5924407787612711E-5</v>
      </c>
      <c r="N219" s="1">
        <v>4.22049867542404E-7</v>
      </c>
      <c r="O219" s="1">
        <v>1.35817600718422E-8</v>
      </c>
      <c r="P219" s="1">
        <v>-6.4440433224251002E-8</v>
      </c>
      <c r="Q219">
        <v>72.963381505214599</v>
      </c>
      <c r="R219">
        <v>0.20338516171363499</v>
      </c>
      <c r="S219">
        <v>13.6862178017111</v>
      </c>
      <c r="T219">
        <v>0.22502332714394699</v>
      </c>
      <c r="V219">
        <v>0.54025407798665104</v>
      </c>
      <c r="W219">
        <v>0.130104984772802</v>
      </c>
      <c r="X219">
        <v>0.21121893973880501</v>
      </c>
      <c r="AA219">
        <v>0.78689609119412496</v>
      </c>
      <c r="AB219">
        <v>2.1710574190789398</v>
      </c>
      <c r="AC219">
        <v>5.40886085743014</v>
      </c>
      <c r="AD219">
        <v>0.19274812558909399</v>
      </c>
      <c r="AE219">
        <v>3.4808517084260799</v>
      </c>
    </row>
    <row r="220" spans="1:31" x14ac:dyDescent="0.2">
      <c r="A220">
        <v>219</v>
      </c>
      <c r="B220">
        <v>772</v>
      </c>
      <c r="C220">
        <v>105</v>
      </c>
      <c r="D220">
        <v>0.49258049083863298</v>
      </c>
      <c r="E220">
        <v>17.4246647881473</v>
      </c>
      <c r="F220">
        <v>2.2351391760435901</v>
      </c>
      <c r="G220">
        <v>-283.41278995444662</v>
      </c>
      <c r="H220">
        <v>-239.0310861525941</v>
      </c>
      <c r="I220">
        <v>42.464434580541102</v>
      </c>
      <c r="J220">
        <v>23.146982053271799</v>
      </c>
      <c r="K220">
        <v>7.7957851461360104</v>
      </c>
      <c r="L220">
        <v>1.1630635147787368E-4</v>
      </c>
      <c r="M220">
        <v>1.5917366349691882E-5</v>
      </c>
      <c r="N220" s="1">
        <v>3.54204787102596E-7</v>
      </c>
      <c r="O220" s="1">
        <v>1.13583509461956E-8</v>
      </c>
      <c r="P220" s="1">
        <v>-5.3652913934354897E-8</v>
      </c>
      <c r="Q220">
        <v>72.648612464016097</v>
      </c>
      <c r="R220">
        <v>0.21702593081263999</v>
      </c>
      <c r="S220">
        <v>14.0529636652918</v>
      </c>
      <c r="T220">
        <v>0.21617829465590899</v>
      </c>
      <c r="V220">
        <v>0.52205293703116296</v>
      </c>
      <c r="W220">
        <v>0.15495276568163799</v>
      </c>
      <c r="X220">
        <v>0.21193470326789299</v>
      </c>
      <c r="AA220">
        <v>0.80115070893394702</v>
      </c>
      <c r="AB220">
        <v>2.0397054687628602</v>
      </c>
      <c r="AC220">
        <v>5.4345232953107203</v>
      </c>
      <c r="AD220">
        <v>0.229559652861378</v>
      </c>
      <c r="AE220">
        <v>3.4713401133738699</v>
      </c>
    </row>
    <row r="221" spans="1:31" x14ac:dyDescent="0.2">
      <c r="A221">
        <v>220</v>
      </c>
      <c r="B221">
        <v>770</v>
      </c>
      <c r="C221">
        <v>105</v>
      </c>
      <c r="D221">
        <v>0.49147342184729198</v>
      </c>
      <c r="E221">
        <v>15.2227342880887</v>
      </c>
      <c r="F221">
        <v>2.2375100142230702</v>
      </c>
      <c r="G221">
        <v>-247.59288562334322</v>
      </c>
      <c r="H221">
        <v>-208.96525571145247</v>
      </c>
      <c r="I221">
        <v>37.029794288348398</v>
      </c>
      <c r="J221">
        <v>20.237141720242299</v>
      </c>
      <c r="K221">
        <v>6.8034262154462297</v>
      </c>
      <c r="L221">
        <v>1.1614370553925705E-4</v>
      </c>
      <c r="M221">
        <v>1.591455426644785E-5</v>
      </c>
      <c r="N221" s="1">
        <v>3.0957776962634402E-7</v>
      </c>
      <c r="O221" s="1">
        <v>9.8916230997961504E-9</v>
      </c>
      <c r="P221" s="1">
        <v>-4.6546150732800397E-8</v>
      </c>
      <c r="Q221">
        <v>72.361667908453995</v>
      </c>
      <c r="R221">
        <v>0.22749727021101099</v>
      </c>
      <c r="S221">
        <v>14.385525057229801</v>
      </c>
      <c r="T221">
        <v>0.20877043149721999</v>
      </c>
      <c r="V221">
        <v>0.50657231042300899</v>
      </c>
      <c r="W221">
        <v>0.17736629628433401</v>
      </c>
      <c r="X221">
        <v>0.21211666570446</v>
      </c>
      <c r="AA221">
        <v>0.81350690531796199</v>
      </c>
      <c r="AB221">
        <v>1.9297696605411601</v>
      </c>
      <c r="AC221">
        <v>5.44945177892036</v>
      </c>
      <c r="AD221">
        <v>0.26276488338384002</v>
      </c>
      <c r="AE221">
        <v>3.4649908320326799</v>
      </c>
    </row>
    <row r="222" spans="1:31" x14ac:dyDescent="0.2">
      <c r="A222">
        <v>221</v>
      </c>
      <c r="B222">
        <v>768</v>
      </c>
      <c r="C222">
        <v>105</v>
      </c>
      <c r="D222">
        <v>0.49036209960140498</v>
      </c>
      <c r="E222">
        <v>13.6413025398482</v>
      </c>
      <c r="F222">
        <v>2.2396792714969398</v>
      </c>
      <c r="G222">
        <v>-221.86522099758105</v>
      </c>
      <c r="H222">
        <v>-187.37603013101742</v>
      </c>
      <c r="I222">
        <v>33.126053754563401</v>
      </c>
      <c r="J222">
        <v>18.147771295518901</v>
      </c>
      <c r="K222">
        <v>6.0907392917606202</v>
      </c>
      <c r="L222">
        <v>1.1602437054845119E-4</v>
      </c>
      <c r="M222">
        <v>1.5914469890319709E-5</v>
      </c>
      <c r="N222" s="1">
        <v>2.7770764379879102E-7</v>
      </c>
      <c r="O222" s="1">
        <v>8.8410028510678898E-9</v>
      </c>
      <c r="P222" s="1">
        <v>-4.1462438986949501E-8</v>
      </c>
      <c r="Q222">
        <v>72.0957048070469</v>
      </c>
      <c r="R222">
        <v>0.23589895007092601</v>
      </c>
      <c r="S222">
        <v>14.692153430924501</v>
      </c>
      <c r="T222">
        <v>0.202328138021169</v>
      </c>
      <c r="V222">
        <v>0.49288365590684902</v>
      </c>
      <c r="W222">
        <v>0.19792831308532399</v>
      </c>
      <c r="X222">
        <v>0.211959014282882</v>
      </c>
      <c r="AA222">
        <v>0.82500897638732196</v>
      </c>
      <c r="AB222">
        <v>1.83498364262958</v>
      </c>
      <c r="AC222">
        <v>5.4571198457830903</v>
      </c>
      <c r="AD222">
        <v>0.29322713049632998</v>
      </c>
      <c r="AE222">
        <v>3.4608040953649399</v>
      </c>
    </row>
    <row r="223" spans="1:31" x14ac:dyDescent="0.2">
      <c r="A223">
        <v>222</v>
      </c>
      <c r="B223">
        <v>766</v>
      </c>
      <c r="C223">
        <v>105</v>
      </c>
      <c r="D223">
        <v>0.4892464995429</v>
      </c>
      <c r="E223">
        <v>12.440171066063501</v>
      </c>
      <c r="F223">
        <v>2.2416963189864298</v>
      </c>
      <c r="G223">
        <v>-202.32303750042703</v>
      </c>
      <c r="H223">
        <v>-170.98180210199956</v>
      </c>
      <c r="I223">
        <v>30.160453638480899</v>
      </c>
      <c r="J223">
        <v>16.561200659274199</v>
      </c>
      <c r="K223">
        <v>5.5494452842248601</v>
      </c>
      <c r="L223">
        <v>1.1593682340444694E-4</v>
      </c>
      <c r="M223">
        <v>1.5916300350068307E-5</v>
      </c>
      <c r="N223" s="1">
        <v>2.5363509092340701E-7</v>
      </c>
      <c r="O223" s="1">
        <v>8.0449616227713306E-9</v>
      </c>
      <c r="P223" s="1">
        <v>-3.76158564925421E-8</v>
      </c>
      <c r="Q223">
        <v>71.846121392607799</v>
      </c>
      <c r="R223">
        <v>0.242853510055901</v>
      </c>
      <c r="S223">
        <v>14.9784382709594</v>
      </c>
      <c r="T223">
        <v>0.19658258480794599</v>
      </c>
      <c r="V223">
        <v>0.48047177718162498</v>
      </c>
      <c r="W223">
        <v>0.217038816078999</v>
      </c>
      <c r="X223">
        <v>0.211569467018175</v>
      </c>
      <c r="AA223">
        <v>0.83611649589903103</v>
      </c>
      <c r="AB223">
        <v>1.7515461032608799</v>
      </c>
      <c r="AC223">
        <v>5.4595214565402301</v>
      </c>
      <c r="AD223">
        <v>0.32153898678318998</v>
      </c>
      <c r="AE223">
        <v>3.45820113880669</v>
      </c>
    </row>
    <row r="224" spans="1:31" x14ac:dyDescent="0.2">
      <c r="A224">
        <v>223</v>
      </c>
      <c r="B224">
        <v>764</v>
      </c>
      <c r="C224">
        <v>105</v>
      </c>
      <c r="D224">
        <v>0.48812659692426702</v>
      </c>
      <c r="E224">
        <v>11.4903212842272</v>
      </c>
      <c r="F224">
        <v>2.2435939218929501</v>
      </c>
      <c r="G224">
        <v>-186.86791316710762</v>
      </c>
      <c r="H224">
        <v>-158.01992336510966</v>
      </c>
      <c r="I224">
        <v>27.814674639153399</v>
      </c>
      <c r="J224">
        <v>15.306814090620801</v>
      </c>
      <c r="K224">
        <v>5.1213908061101598</v>
      </c>
      <c r="L224">
        <v>1.1587375558054559E-4</v>
      </c>
      <c r="M224">
        <v>1.5919557849851654E-5</v>
      </c>
      <c r="N224" s="1">
        <v>2.34701990535885E-7</v>
      </c>
      <c r="O224" s="1">
        <v>7.4168790100743003E-9</v>
      </c>
      <c r="P224" s="1">
        <v>-3.4585097539220198E-8</v>
      </c>
      <c r="Q224">
        <v>71.609704054033699</v>
      </c>
      <c r="R224">
        <v>0.24874320323368199</v>
      </c>
      <c r="S224">
        <v>15.248299543247001</v>
      </c>
      <c r="T224">
        <v>0.191366566374296</v>
      </c>
      <c r="V224">
        <v>0.46902313995342998</v>
      </c>
      <c r="W224">
        <v>0.234980374631031</v>
      </c>
      <c r="X224">
        <v>0.211013019331589</v>
      </c>
      <c r="AA224">
        <v>0.84705367282187005</v>
      </c>
      <c r="AB224">
        <v>1.6769689099465599</v>
      </c>
      <c r="AC224">
        <v>5.4579121536129698</v>
      </c>
      <c r="AD224">
        <v>0.34811907352688498</v>
      </c>
      <c r="AE224">
        <v>3.45681628928681</v>
      </c>
    </row>
    <row r="225" spans="1:31" x14ac:dyDescent="0.2">
      <c r="A225">
        <v>224</v>
      </c>
      <c r="B225">
        <v>762</v>
      </c>
      <c r="C225">
        <v>105</v>
      </c>
      <c r="D225">
        <v>0.48700236680674502</v>
      </c>
      <c r="E225">
        <v>10.716015880692201</v>
      </c>
      <c r="F225">
        <v>2.24539500280533</v>
      </c>
      <c r="G225">
        <v>-174.26802556685573</v>
      </c>
      <c r="H225">
        <v>-147.45569025925741</v>
      </c>
      <c r="I225">
        <v>25.901884082112002</v>
      </c>
      <c r="J225">
        <v>14.2844637616115</v>
      </c>
      <c r="K225">
        <v>4.7724413153605303</v>
      </c>
      <c r="L225">
        <v>1.1583022477504709E-4</v>
      </c>
      <c r="M225">
        <v>1.5923926781415249E-5</v>
      </c>
      <c r="N225" s="1">
        <v>2.1935089756040299E-7</v>
      </c>
      <c r="O225" s="1">
        <v>6.9059752091800698E-9</v>
      </c>
      <c r="P225" s="1">
        <v>-3.2123261060315902E-8</v>
      </c>
      <c r="Q225">
        <v>71.384123409047007</v>
      </c>
      <c r="R225">
        <v>0.25381816078770297</v>
      </c>
      <c r="S225">
        <v>15.5045861752006</v>
      </c>
      <c r="T225">
        <v>0.186568987738052</v>
      </c>
      <c r="V225">
        <v>0.458333137392545</v>
      </c>
      <c r="W225">
        <v>0.251959313056203</v>
      </c>
      <c r="X225">
        <v>0.210331526984782</v>
      </c>
      <c r="AA225">
        <v>0.85793774377476595</v>
      </c>
      <c r="AB225">
        <v>1.6095277572075</v>
      </c>
      <c r="AC225">
        <v>5.4531376072840203</v>
      </c>
      <c r="AD225">
        <v>0.37327305637892899</v>
      </c>
      <c r="AE225">
        <v>3.4564031251477298</v>
      </c>
    </row>
    <row r="226" spans="1:31" x14ac:dyDescent="0.2">
      <c r="A226">
        <v>225</v>
      </c>
      <c r="B226">
        <v>814</v>
      </c>
      <c r="C226">
        <v>90</v>
      </c>
      <c r="D226">
        <v>0.53006530837511401</v>
      </c>
      <c r="E226">
        <v>103.39262871747</v>
      </c>
      <c r="F226">
        <v>2.2139373690925201</v>
      </c>
      <c r="G226">
        <v>-1694.1007846865875</v>
      </c>
      <c r="H226">
        <v>-1412.9250954393858</v>
      </c>
      <c r="I226">
        <v>258.63559697116398</v>
      </c>
      <c r="J226">
        <v>137.39106516959899</v>
      </c>
      <c r="K226">
        <v>46.700792064344</v>
      </c>
      <c r="L226">
        <v>1.1591419260458182E-4</v>
      </c>
      <c r="M226">
        <v>1.6032920364134993E-5</v>
      </c>
      <c r="N226" s="1">
        <v>1.9584176112007301E-6</v>
      </c>
      <c r="O226" s="1">
        <v>6.8350759669748899E-8</v>
      </c>
      <c r="P226" s="1">
        <v>-3.1903370411342799E-7</v>
      </c>
      <c r="Q226">
        <v>74.250941244371404</v>
      </c>
      <c r="R226">
        <v>9.2849946065621594E-2</v>
      </c>
      <c r="S226">
        <v>12.534742718859301</v>
      </c>
      <c r="T226">
        <v>0.239502440636324</v>
      </c>
      <c r="V226">
        <v>0.58725822534252103</v>
      </c>
      <c r="W226">
        <v>2.6114047330955899E-2</v>
      </c>
      <c r="X226">
        <v>0.116062432582028</v>
      </c>
      <c r="AA226">
        <v>0.76407768116500796</v>
      </c>
      <c r="AB226">
        <v>3.4335136305516101</v>
      </c>
      <c r="AC226">
        <v>4.5361067400808404</v>
      </c>
      <c r="AD226">
        <v>3.8687477527341502E-2</v>
      </c>
      <c r="AE226">
        <v>3.3801434154868701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0A343-707D-43C0-9841-599194E7E68F}">
  <sheetPr codeName="Sheet5"/>
  <dimension ref="A1:P226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760</v>
      </c>
      <c r="C2">
        <v>300</v>
      </c>
      <c r="D2">
        <v>0.27825630353772701</v>
      </c>
      <c r="E2">
        <v>3.8692925733162502</v>
      </c>
      <c r="F2">
        <v>0.57755233730724798</v>
      </c>
      <c r="G2">
        <v>-83.774936899819068</v>
      </c>
      <c r="H2">
        <v>-49.244392244761336</v>
      </c>
      <c r="I2">
        <v>33.424729131171603</v>
      </c>
      <c r="J2">
        <v>14.7881423401564</v>
      </c>
      <c r="K2">
        <v>6.6994665649804901</v>
      </c>
      <c r="L2">
        <v>1.1159856656337461E-3</v>
      </c>
      <c r="M2">
        <v>1.6872488244912802E-4</v>
      </c>
      <c r="N2" s="1">
        <v>4.8352050419734703E-6</v>
      </c>
      <c r="O2" s="1">
        <v>8.1607293310886605E-7</v>
      </c>
      <c r="P2" s="1">
        <v>-3.2817022494353401E-6</v>
      </c>
    </row>
    <row r="3" spans="1:16" x14ac:dyDescent="0.2">
      <c r="A3">
        <v>2</v>
      </c>
      <c r="B3">
        <v>758</v>
      </c>
      <c r="C3">
        <v>300</v>
      </c>
      <c r="D3">
        <v>0.27672065169955901</v>
      </c>
      <c r="E3">
        <v>4.0537714698781198</v>
      </c>
      <c r="F3">
        <v>0.59858723537782299</v>
      </c>
      <c r="G3">
        <v>-86.775677131926145</v>
      </c>
      <c r="H3">
        <v>-51.888503797761842</v>
      </c>
      <c r="I3">
        <v>33.835420747119798</v>
      </c>
      <c r="J3">
        <v>15.0434554511565</v>
      </c>
      <c r="K3">
        <v>6.7722317321374499</v>
      </c>
      <c r="L3">
        <v>1.1058051317867396E-3</v>
      </c>
      <c r="M3">
        <v>1.6644467890524126E-4</v>
      </c>
      <c r="N3" s="1">
        <v>4.9138661746535096E-6</v>
      </c>
      <c r="O3" s="1">
        <v>8.1284603371041795E-7</v>
      </c>
      <c r="P3" s="1">
        <v>-3.2872864610869202E-6</v>
      </c>
    </row>
    <row r="4" spans="1:16" x14ac:dyDescent="0.2">
      <c r="A4">
        <v>3</v>
      </c>
      <c r="B4">
        <v>756</v>
      </c>
      <c r="C4">
        <v>300</v>
      </c>
      <c r="D4">
        <v>0.27517903123937498</v>
      </c>
      <c r="E4">
        <v>4.5191494627372597</v>
      </c>
      <c r="F4">
        <v>0.64790499706949001</v>
      </c>
      <c r="G4">
        <v>-94.430670157308597</v>
      </c>
      <c r="H4">
        <v>-58.519290143410309</v>
      </c>
      <c r="I4">
        <v>34.8963861222677</v>
      </c>
      <c r="J4">
        <v>15.6636975749214</v>
      </c>
      <c r="K4">
        <v>6.9750186881990803</v>
      </c>
      <c r="L4">
        <v>1.0794771997337711E-3</v>
      </c>
      <c r="M4">
        <v>1.6177894973802857E-4</v>
      </c>
      <c r="N4" s="1">
        <v>5.0120028077533801E-6</v>
      </c>
      <c r="O4" s="1">
        <v>8.1266565931713E-7</v>
      </c>
      <c r="P4" s="1">
        <v>-3.3052423447498101E-6</v>
      </c>
    </row>
    <row r="5" spans="1:16" x14ac:dyDescent="0.2">
      <c r="A5">
        <v>4</v>
      </c>
      <c r="B5">
        <v>754</v>
      </c>
      <c r="C5">
        <v>300</v>
      </c>
      <c r="D5">
        <v>0.27363140729202201</v>
      </c>
      <c r="E5">
        <v>4.97980908869775</v>
      </c>
      <c r="F5">
        <v>0.69401792559193298</v>
      </c>
      <c r="G5">
        <v>-102.00274772857492</v>
      </c>
      <c r="H5">
        <v>-65.085697234249309</v>
      </c>
      <c r="I5">
        <v>35.943436756201301</v>
      </c>
      <c r="J5">
        <v>16.277447140190901</v>
      </c>
      <c r="K5">
        <v>7.1753320844709103</v>
      </c>
      <c r="L5">
        <v>1.054875191297726E-3</v>
      </c>
      <c r="M5">
        <v>1.574064628149553E-4</v>
      </c>
      <c r="N5" s="1">
        <v>5.1106786806924704E-6</v>
      </c>
      <c r="O5" s="1">
        <v>8.1234147738660102E-7</v>
      </c>
      <c r="P5" s="1">
        <v>-3.3227318058658702E-6</v>
      </c>
    </row>
    <row r="6" spans="1:16" x14ac:dyDescent="0.2">
      <c r="A6">
        <v>5</v>
      </c>
      <c r="B6">
        <v>752</v>
      </c>
      <c r="C6">
        <v>300</v>
      </c>
      <c r="D6">
        <v>0.27207774472028401</v>
      </c>
      <c r="E6">
        <v>5.43582912946672</v>
      </c>
      <c r="F6">
        <v>0.73724013127786303</v>
      </c>
      <c r="G6">
        <v>-109.49329489924203</v>
      </c>
      <c r="H6">
        <v>-71.588803704334765</v>
      </c>
      <c r="I6">
        <v>36.976790113500698</v>
      </c>
      <c r="J6">
        <v>16.884805921183599</v>
      </c>
      <c r="K6">
        <v>7.3732138266059497</v>
      </c>
      <c r="L6">
        <v>1.0318290592513603E-3</v>
      </c>
      <c r="M6">
        <v>1.5329852600156661E-4</v>
      </c>
      <c r="N6" s="1">
        <v>5.2098760444014604E-6</v>
      </c>
      <c r="O6" s="1">
        <v>8.1187631782419003E-7</v>
      </c>
      <c r="P6" s="1">
        <v>-3.3397570397854798E-6</v>
      </c>
    </row>
    <row r="7" spans="1:16" x14ac:dyDescent="0.2">
      <c r="A7">
        <v>6</v>
      </c>
      <c r="B7">
        <v>750</v>
      </c>
      <c r="C7">
        <v>300</v>
      </c>
      <c r="D7">
        <v>0.270518008112205</v>
      </c>
      <c r="E7">
        <v>5.8872866544627902</v>
      </c>
      <c r="F7">
        <v>0.77784597567610103</v>
      </c>
      <c r="G7">
        <v>-116.90366657321705</v>
      </c>
      <c r="H7">
        <v>-78.02966475588731</v>
      </c>
      <c r="I7">
        <v>37.996658793254703</v>
      </c>
      <c r="J7">
        <v>17.485873355230002</v>
      </c>
      <c r="K7">
        <v>7.5687049088935403</v>
      </c>
      <c r="L7">
        <v>1.0101902723440002E-3</v>
      </c>
      <c r="M7">
        <v>1.4943007978857707E-4</v>
      </c>
      <c r="N7" s="1">
        <v>5.3095769368872799E-6</v>
      </c>
      <c r="O7" s="1">
        <v>8.1127297079529899E-7</v>
      </c>
      <c r="P7" s="1">
        <v>-3.35632020460451E-6</v>
      </c>
    </row>
    <row r="8" spans="1:16" x14ac:dyDescent="0.2">
      <c r="A8">
        <v>7</v>
      </c>
      <c r="B8">
        <v>748</v>
      </c>
      <c r="C8">
        <v>300</v>
      </c>
      <c r="D8">
        <v>0.26895216177838999</v>
      </c>
      <c r="E8">
        <v>6.3342570655847599</v>
      </c>
      <c r="F8">
        <v>0.81607616596961696</v>
      </c>
      <c r="G8">
        <v>-124.23518829261688</v>
      </c>
      <c r="H8">
        <v>-84.409312771424737</v>
      </c>
      <c r="I8">
        <v>39.003250653463702</v>
      </c>
      <c r="J8">
        <v>18.080746602120598</v>
      </c>
      <c r="K8">
        <v>7.7618454376237498</v>
      </c>
      <c r="L8">
        <v>9.8982851658788152E-4</v>
      </c>
      <c r="M8">
        <v>1.4577914033172558E-4</v>
      </c>
      <c r="N8" s="1">
        <v>5.4097631864128696E-6</v>
      </c>
      <c r="O8" s="1">
        <v>8.10534187811481E-7</v>
      </c>
      <c r="P8" s="1">
        <v>-3.3724234243336399E-6</v>
      </c>
    </row>
    <row r="9" spans="1:16" x14ac:dyDescent="0.2">
      <c r="A9">
        <v>8</v>
      </c>
      <c r="B9">
        <v>746</v>
      </c>
      <c r="C9">
        <v>300</v>
      </c>
      <c r="D9">
        <v>0.26738016974930101</v>
      </c>
      <c r="E9">
        <v>6.7768141447112802</v>
      </c>
      <c r="F9">
        <v>0.85214276176983605</v>
      </c>
      <c r="G9">
        <v>-131.48915707030434</v>
      </c>
      <c r="H9">
        <v>-90.72875796512993</v>
      </c>
      <c r="I9">
        <v>39.996768942284703</v>
      </c>
      <c r="J9">
        <v>18.669520607457699</v>
      </c>
      <c r="K9">
        <v>7.9526746558714496</v>
      </c>
      <c r="L9">
        <v>9.7062898523254406E-4</v>
      </c>
      <c r="M9">
        <v>1.4232634188983523E-4</v>
      </c>
      <c r="N9" s="1">
        <v>5.5104164153777104E-6</v>
      </c>
      <c r="O9" s="1">
        <v>8.09662682852217E-7</v>
      </c>
      <c r="P9" s="1">
        <v>-3.38806879231746E-6</v>
      </c>
    </row>
    <row r="10" spans="1:16" x14ac:dyDescent="0.2">
      <c r="A10">
        <v>9</v>
      </c>
      <c r="B10">
        <v>744</v>
      </c>
      <c r="C10">
        <v>300</v>
      </c>
      <c r="D10">
        <v>0.26580199577250502</v>
      </c>
      <c r="E10">
        <v>7.2150300991050003</v>
      </c>
      <c r="F10">
        <v>0.88623331391287496</v>
      </c>
      <c r="G10">
        <v>-138.66684218482524</v>
      </c>
      <c r="H10">
        <v>-96.988989005626365</v>
      </c>
      <c r="I10">
        <v>40.977412421971103</v>
      </c>
      <c r="J10">
        <v>19.2522881625301</v>
      </c>
      <c r="K10">
        <v>8.1412309668764102</v>
      </c>
      <c r="L10">
        <v>9.5249013856208201E-4</v>
      </c>
      <c r="M10">
        <v>1.3905455858719541E-4</v>
      </c>
      <c r="N10" s="1">
        <v>5.6115180439812799E-6</v>
      </c>
      <c r="O10" s="1">
        <v>8.0866113337995105E-7</v>
      </c>
      <c r="P10" s="1">
        <v>-3.4032583743113901E-6</v>
      </c>
    </row>
    <row r="11" spans="1:16" x14ac:dyDescent="0.2">
      <c r="A11">
        <v>10</v>
      </c>
      <c r="B11">
        <v>742</v>
      </c>
      <c r="C11">
        <v>300</v>
      </c>
      <c r="D11">
        <v>0.264217603309855</v>
      </c>
      <c r="E11">
        <v>7.6489756030113902</v>
      </c>
      <c r="F11">
        <v>0.91851430571097803</v>
      </c>
      <c r="G11">
        <v>-145.76948591205354</v>
      </c>
      <c r="H11">
        <v>-103.19097358510535</v>
      </c>
      <c r="I11">
        <v>41.945375484776399</v>
      </c>
      <c r="J11">
        <v>19.8291399597767</v>
      </c>
      <c r="K11">
        <v>8.3275519558627593</v>
      </c>
      <c r="L11">
        <v>9.3532184125965268E-4</v>
      </c>
      <c r="M11">
        <v>1.3594858992134988E-4</v>
      </c>
      <c r="N11" s="1">
        <v>5.7130492941394899E-6</v>
      </c>
      <c r="O11" s="1">
        <v>8.0753218132779196E-7</v>
      </c>
      <c r="P11" s="1">
        <v>-3.4179942115379502E-6</v>
      </c>
    </row>
    <row r="12" spans="1:16" x14ac:dyDescent="0.2">
      <c r="A12">
        <v>11</v>
      </c>
      <c r="B12">
        <v>740</v>
      </c>
      <c r="C12">
        <v>300</v>
      </c>
      <c r="D12">
        <v>0.26262695553471999</v>
      </c>
      <c r="E12">
        <v>8.0787198393764399</v>
      </c>
      <c r="F12">
        <v>0.94913403036203703</v>
      </c>
      <c r="G12">
        <v>-152.79830425636629</v>
      </c>
      <c r="H12">
        <v>-109.3356589911343</v>
      </c>
      <c r="I12">
        <v>42.900848267121603</v>
      </c>
      <c r="J12">
        <v>20.400164647804701</v>
      </c>
      <c r="K12">
        <v>8.5116744115632397</v>
      </c>
      <c r="L12">
        <v>9.1904380495804947E-4</v>
      </c>
      <c r="M12">
        <v>1.329948978004017E-4</v>
      </c>
      <c r="N12" s="1">
        <v>5.8149911933894098E-6</v>
      </c>
      <c r="O12" s="1">
        <v>8.0627843401885202E-7</v>
      </c>
      <c r="P12" s="1">
        <v>-3.43227832354644E-6</v>
      </c>
    </row>
    <row r="13" spans="1:16" x14ac:dyDescent="0.2">
      <c r="A13">
        <v>12</v>
      </c>
      <c r="B13">
        <v>738</v>
      </c>
      <c r="C13">
        <v>300</v>
      </c>
      <c r="D13">
        <v>0.26103001532908299</v>
      </c>
      <c r="E13">
        <v>8.5043305410898</v>
      </c>
      <c r="F13">
        <v>0.978225009366261</v>
      </c>
      <c r="G13">
        <v>-159.75448767316479</v>
      </c>
      <c r="H13">
        <v>-115.42397267224082</v>
      </c>
      <c r="I13">
        <v>43.844016762713203</v>
      </c>
      <c r="J13">
        <v>20.9654488860273</v>
      </c>
      <c r="K13">
        <v>8.6936343475815399</v>
      </c>
      <c r="L13">
        <v>9.0358427922805358E-4</v>
      </c>
      <c r="M13">
        <v>1.3018138552705618E-4</v>
      </c>
      <c r="N13" s="1">
        <v>5.9173245791227702E-6</v>
      </c>
      <c r="O13" s="1">
        <v>8.04902465073162E-7</v>
      </c>
      <c r="P13" s="1">
        <v>-3.4461127111050299E-6</v>
      </c>
    </row>
    <row r="14" spans="1:16" x14ac:dyDescent="0.2">
      <c r="A14">
        <v>13</v>
      </c>
      <c r="B14">
        <v>736</v>
      </c>
      <c r="C14">
        <v>300</v>
      </c>
      <c r="D14">
        <v>0.25942674528068399</v>
      </c>
      <c r="E14">
        <v>9.3940972321322498</v>
      </c>
      <c r="F14">
        <v>1.03313689562718</v>
      </c>
      <c r="G14">
        <v>-174.21854609170964</v>
      </c>
      <c r="H14">
        <v>-127.9115428373858</v>
      </c>
      <c r="I14">
        <v>45.889505328866598</v>
      </c>
      <c r="J14">
        <v>22.147935839936</v>
      </c>
      <c r="K14">
        <v>9.0927903861466692</v>
      </c>
      <c r="L14">
        <v>8.7338101082194166E-4</v>
      </c>
      <c r="M14">
        <v>1.2525092161252052E-4</v>
      </c>
      <c r="N14" s="1">
        <v>6.0554750443429598E-6</v>
      </c>
      <c r="O14" s="1">
        <v>8.0857291414520196E-7</v>
      </c>
      <c r="P14" s="1">
        <v>-3.48172797438493E-6</v>
      </c>
    </row>
    <row r="15" spans="1:16" x14ac:dyDescent="0.2">
      <c r="A15">
        <v>14</v>
      </c>
      <c r="B15">
        <v>734</v>
      </c>
      <c r="C15">
        <v>300</v>
      </c>
      <c r="D15">
        <v>0.25781710768008598</v>
      </c>
      <c r="E15">
        <v>72.123926243791502</v>
      </c>
      <c r="F15">
        <v>1.8493570522035101</v>
      </c>
      <c r="G15">
        <v>-1194.3160602537348</v>
      </c>
      <c r="H15">
        <v>-993.31074300669604</v>
      </c>
      <c r="I15">
        <v>199.58309891446399</v>
      </c>
      <c r="J15">
        <v>107.879248258827</v>
      </c>
      <c r="K15">
        <v>38.9994599246562</v>
      </c>
      <c r="L15">
        <v>4.2000787061930746E-4</v>
      </c>
      <c r="M15">
        <v>5.914459824081389E-5</v>
      </c>
      <c r="N15" s="1">
        <v>1.15629511349586E-5</v>
      </c>
      <c r="O15" s="1">
        <v>1.61150431090173E-6</v>
      </c>
      <c r="P15" s="1">
        <v>-6.9760715132136398E-6</v>
      </c>
    </row>
    <row r="16" spans="1:16" x14ac:dyDescent="0.2">
      <c r="A16">
        <v>15</v>
      </c>
      <c r="B16">
        <v>732</v>
      </c>
      <c r="C16">
        <v>300</v>
      </c>
      <c r="D16">
        <v>0.256201064517732</v>
      </c>
      <c r="E16">
        <v>88.295013220935601</v>
      </c>
      <c r="F16">
        <v>1.89141239310281</v>
      </c>
      <c r="G16">
        <v>-1456.9065963118137</v>
      </c>
      <c r="H16">
        <v>-1216.6618001554557</v>
      </c>
      <c r="I16">
        <v>239.01927294582001</v>
      </c>
      <c r="J16">
        <v>130.09070276812301</v>
      </c>
      <c r="K16">
        <v>46.682052810328599</v>
      </c>
      <c r="L16">
        <v>3.9731519962658439E-4</v>
      </c>
      <c r="M16">
        <v>5.5601287545192245E-5</v>
      </c>
      <c r="N16" s="1">
        <v>1.3060584256478999E-5</v>
      </c>
      <c r="O16" s="1">
        <v>1.80770530009359E-6</v>
      </c>
      <c r="P16" s="1">
        <v>-7.8699263032826304E-6</v>
      </c>
    </row>
    <row r="17" spans="1:16" x14ac:dyDescent="0.2">
      <c r="A17">
        <v>16</v>
      </c>
      <c r="B17">
        <v>730</v>
      </c>
      <c r="C17">
        <v>300</v>
      </c>
      <c r="D17">
        <v>0.25457857748093798</v>
      </c>
      <c r="E17">
        <v>93.749733817225803</v>
      </c>
      <c r="F17">
        <v>1.90373153777719</v>
      </c>
      <c r="G17">
        <v>-1545.0960134887403</v>
      </c>
      <c r="H17">
        <v>-1292.1928914841369</v>
      </c>
      <c r="I17">
        <v>252.114597774098</v>
      </c>
      <c r="J17">
        <v>137.64627432352901</v>
      </c>
      <c r="K17">
        <v>49.245249110433001</v>
      </c>
      <c r="L17">
        <v>3.9107560250351849E-4</v>
      </c>
      <c r="M17">
        <v>5.4448608360058955E-5</v>
      </c>
      <c r="N17" s="1">
        <v>1.36258239340687E-5</v>
      </c>
      <c r="O17" s="1">
        <v>1.86370322703541E-6</v>
      </c>
      <c r="P17" s="1">
        <v>-8.1602015465824492E-6</v>
      </c>
    </row>
    <row r="18" spans="1:16" x14ac:dyDescent="0.2">
      <c r="A18">
        <v>17</v>
      </c>
      <c r="B18">
        <v>728</v>
      </c>
      <c r="C18">
        <v>300</v>
      </c>
      <c r="D18">
        <v>0.25294960795086002</v>
      </c>
      <c r="E18">
        <v>96.662271911505698</v>
      </c>
      <c r="F18">
        <v>1.9105821373096401</v>
      </c>
      <c r="G18">
        <v>-1591.9129798008682</v>
      </c>
      <c r="H18">
        <v>-1332.6669890670571</v>
      </c>
      <c r="I18">
        <v>258.953942522923</v>
      </c>
      <c r="J18">
        <v>141.72784192399601</v>
      </c>
      <c r="K18">
        <v>50.593099361652598</v>
      </c>
      <c r="L18">
        <v>3.8785878442891124E-4</v>
      </c>
      <c r="M18">
        <v>5.3736300745765675E-5</v>
      </c>
      <c r="N18" s="1">
        <v>1.3965653353093699E-5</v>
      </c>
      <c r="O18" s="1">
        <v>1.88628664428447E-6</v>
      </c>
      <c r="P18" s="1">
        <v>-8.3064967802849908E-6</v>
      </c>
    </row>
    <row r="19" spans="1:16" x14ac:dyDescent="0.2">
      <c r="A19">
        <v>18</v>
      </c>
      <c r="B19">
        <v>726</v>
      </c>
      <c r="C19">
        <v>300</v>
      </c>
      <c r="D19">
        <v>0.251314116999449</v>
      </c>
      <c r="E19">
        <v>98.526426350519003</v>
      </c>
      <c r="F19">
        <v>1.9153757462902301</v>
      </c>
      <c r="G19">
        <v>-1621.6678083085008</v>
      </c>
      <c r="H19">
        <v>-1358.6851027957102</v>
      </c>
      <c r="I19">
        <v>263.21225616459702</v>
      </c>
      <c r="J19">
        <v>144.38064155218001</v>
      </c>
      <c r="K19">
        <v>51.439737890253703</v>
      </c>
      <c r="L19">
        <v>3.8577668910583034E-4</v>
      </c>
      <c r="M19">
        <v>5.318993499645619E-5</v>
      </c>
      <c r="N19" s="1">
        <v>1.42095296277835E-5</v>
      </c>
      <c r="O19" s="1">
        <v>1.89508142210551E-6</v>
      </c>
      <c r="P19" s="1">
        <v>-8.3931925340530003E-6</v>
      </c>
    </row>
    <row r="20" spans="1:16" x14ac:dyDescent="0.2">
      <c r="A20">
        <v>19</v>
      </c>
      <c r="B20">
        <v>724</v>
      </c>
      <c r="C20">
        <v>300</v>
      </c>
      <c r="D20">
        <v>0.249672065386352</v>
      </c>
      <c r="E20">
        <v>99.845608947359693</v>
      </c>
      <c r="F20">
        <v>1.9191532123528401</v>
      </c>
      <c r="G20">
        <v>-1642.5534888474808</v>
      </c>
      <c r="H20">
        <v>-1377.1895066141903</v>
      </c>
      <c r="I20">
        <v>266.12831847101398</v>
      </c>
      <c r="J20">
        <v>146.29418237576701</v>
      </c>
      <c r="K20">
        <v>52.025866566927597</v>
      </c>
      <c r="L20">
        <v>3.8425343034174247E-4</v>
      </c>
      <c r="M20">
        <v>5.2725742835342711E-5</v>
      </c>
      <c r="N20" s="1">
        <v>1.44011259034033E-5</v>
      </c>
      <c r="O20" s="1">
        <v>1.8967110909039601E-6</v>
      </c>
      <c r="P20" s="1">
        <v>-8.4487407059468404E-6</v>
      </c>
    </row>
    <row r="21" spans="1:16" x14ac:dyDescent="0.2">
      <c r="A21">
        <v>20</v>
      </c>
      <c r="B21">
        <v>760</v>
      </c>
      <c r="C21">
        <v>285</v>
      </c>
      <c r="D21">
        <v>0.29422687896239802</v>
      </c>
      <c r="E21">
        <v>4.1203881159953699</v>
      </c>
      <c r="F21">
        <v>0.56249676447811703</v>
      </c>
      <c r="G21">
        <v>-89.319882546393487</v>
      </c>
      <c r="H21">
        <v>-52.42086977885031</v>
      </c>
      <c r="I21">
        <v>35.717340857226802</v>
      </c>
      <c r="J21">
        <v>15.8300665522172</v>
      </c>
      <c r="K21">
        <v>7.32517656313677</v>
      </c>
      <c r="L21">
        <v>1.16333709900694E-3</v>
      </c>
      <c r="M21">
        <v>1.8384245366813071E-4</v>
      </c>
      <c r="N21" s="1">
        <v>5.4645509201119498E-6</v>
      </c>
      <c r="O21" s="1">
        <v>1.0442048733237901E-6</v>
      </c>
      <c r="P21" s="1">
        <v>-3.9864161227289501E-6</v>
      </c>
    </row>
    <row r="22" spans="1:16" x14ac:dyDescent="0.2">
      <c r="A22">
        <v>21</v>
      </c>
      <c r="B22">
        <v>758</v>
      </c>
      <c r="C22">
        <v>285</v>
      </c>
      <c r="D22">
        <v>0.29272220336517601</v>
      </c>
      <c r="E22">
        <v>4.2860313087006299</v>
      </c>
      <c r="F22">
        <v>0.58015851568611898</v>
      </c>
      <c r="G22">
        <v>-92.005221257852369</v>
      </c>
      <c r="H22">
        <v>-54.800640864857215</v>
      </c>
      <c r="I22">
        <v>36.082960109539201</v>
      </c>
      <c r="J22">
        <v>16.0629608181723</v>
      </c>
      <c r="K22">
        <v>7.38769007575765</v>
      </c>
      <c r="L22">
        <v>1.154926930027716E-3</v>
      </c>
      <c r="M22">
        <v>1.816783261318067E-4</v>
      </c>
      <c r="N22" s="1">
        <v>5.5584553397413801E-6</v>
      </c>
      <c r="O22" s="1">
        <v>1.0396565962753099E-6</v>
      </c>
      <c r="P22" s="1">
        <v>-3.99233838490944E-6</v>
      </c>
    </row>
    <row r="23" spans="1:16" x14ac:dyDescent="0.2">
      <c r="A23">
        <v>22</v>
      </c>
      <c r="B23">
        <v>756</v>
      </c>
      <c r="C23">
        <v>285</v>
      </c>
      <c r="D23">
        <v>0.29121167954136901</v>
      </c>
      <c r="E23">
        <v>4.7437553895706603</v>
      </c>
      <c r="F23">
        <v>0.62535870250145298</v>
      </c>
      <c r="G23">
        <v>-99.530507237778309</v>
      </c>
      <c r="H23">
        <v>-61.32774695919408</v>
      </c>
      <c r="I23">
        <v>37.123003253173202</v>
      </c>
      <c r="J23">
        <v>16.674699418866499</v>
      </c>
      <c r="K23">
        <v>7.5856550338157902</v>
      </c>
      <c r="L23">
        <v>1.1302459945320862E-3</v>
      </c>
      <c r="M23">
        <v>1.7699861582720305E-4</v>
      </c>
      <c r="N23" s="1">
        <v>5.6734687799938004E-6</v>
      </c>
      <c r="O23" s="1">
        <v>1.03882890482492E-6</v>
      </c>
      <c r="P23" s="1">
        <v>-4.0125946108785503E-6</v>
      </c>
    </row>
    <row r="24" spans="1:16" x14ac:dyDescent="0.2">
      <c r="A24">
        <v>23</v>
      </c>
      <c r="B24">
        <v>754</v>
      </c>
      <c r="C24">
        <v>285</v>
      </c>
      <c r="D24">
        <v>0.28969527332911499</v>
      </c>
      <c r="E24">
        <v>5.1968887770768699</v>
      </c>
      <c r="F24">
        <v>0.66787674583702905</v>
      </c>
      <c r="G24">
        <v>-106.97513513653502</v>
      </c>
      <c r="H24">
        <v>-67.792197072287479</v>
      </c>
      <c r="I24">
        <v>38.149570174385602</v>
      </c>
      <c r="J24">
        <v>17.280160374433802</v>
      </c>
      <c r="K24">
        <v>7.78120934658949</v>
      </c>
      <c r="L24">
        <v>1.107044012197941E-3</v>
      </c>
      <c r="M24">
        <v>1.7258605177977536E-4</v>
      </c>
      <c r="N24" s="1">
        <v>5.7892038215433697E-6</v>
      </c>
      <c r="O24" s="1">
        <v>1.03783321717234E-6</v>
      </c>
      <c r="P24" s="1">
        <v>-4.0323292516450603E-6</v>
      </c>
    </row>
    <row r="25" spans="1:16" x14ac:dyDescent="0.2">
      <c r="A25">
        <v>24</v>
      </c>
      <c r="B25">
        <v>752</v>
      </c>
      <c r="C25">
        <v>285</v>
      </c>
      <c r="D25">
        <v>0.28817295029995899</v>
      </c>
      <c r="E25">
        <v>5.64550690927907</v>
      </c>
      <c r="F25">
        <v>0.70795438117620302</v>
      </c>
      <c r="G25">
        <v>-114.34043261857794</v>
      </c>
      <c r="H25">
        <v>-74.195024045072515</v>
      </c>
      <c r="I25">
        <v>39.162869592764501</v>
      </c>
      <c r="J25">
        <v>17.879440848968098</v>
      </c>
      <c r="K25">
        <v>7.97439363239699</v>
      </c>
      <c r="L25">
        <v>1.0851867359786388E-3</v>
      </c>
      <c r="M25">
        <v>1.6841659961806306E-4</v>
      </c>
      <c r="N25" s="1">
        <v>5.90563874797773E-6</v>
      </c>
      <c r="O25" s="1">
        <v>1.03667274964844E-6</v>
      </c>
      <c r="P25" s="1">
        <v>-4.0515438344260403E-6</v>
      </c>
    </row>
    <row r="26" spans="1:16" x14ac:dyDescent="0.2">
      <c r="A26">
        <v>25</v>
      </c>
      <c r="B26">
        <v>750</v>
      </c>
      <c r="C26">
        <v>285</v>
      </c>
      <c r="D26">
        <v>0.28664467575624197</v>
      </c>
      <c r="E26">
        <v>6.0896835937666403</v>
      </c>
      <c r="F26">
        <v>0.74580513183267405</v>
      </c>
      <c r="G26">
        <v>-121.62769865383474</v>
      </c>
      <c r="H26">
        <v>-80.537238391535425</v>
      </c>
      <c r="I26">
        <v>40.163105636308998</v>
      </c>
      <c r="J26">
        <v>18.472635798381599</v>
      </c>
      <c r="K26">
        <v>8.16524764156879</v>
      </c>
      <c r="L26">
        <v>1.0645555835805251E-3</v>
      </c>
      <c r="M26">
        <v>1.6446903195127001E-4</v>
      </c>
      <c r="N26" s="1">
        <v>6.0227515392173197E-6</v>
      </c>
      <c r="O26" s="1">
        <v>1.0353506796293099E-6</v>
      </c>
      <c r="P26" s="1">
        <v>-4.07023986324928E-6</v>
      </c>
    </row>
    <row r="27" spans="1:16" x14ac:dyDescent="0.2">
      <c r="A27">
        <v>26</v>
      </c>
      <c r="B27">
        <v>748</v>
      </c>
      <c r="C27">
        <v>285</v>
      </c>
      <c r="D27">
        <v>0.28511041472849202</v>
      </c>
      <c r="E27">
        <v>6.5294910520770602</v>
      </c>
      <c r="F27">
        <v>0.78161830749484196</v>
      </c>
      <c r="G27">
        <v>-128.83820429828415</v>
      </c>
      <c r="H27">
        <v>-86.819828907160669</v>
      </c>
      <c r="I27">
        <v>41.150477965032501</v>
      </c>
      <c r="J27">
        <v>19.059838029914602</v>
      </c>
      <c r="K27">
        <v>8.3538102798598306</v>
      </c>
      <c r="L27">
        <v>1.0450454175069675E-3</v>
      </c>
      <c r="M27">
        <v>1.6072453054046378E-4</v>
      </c>
      <c r="N27" s="1">
        <v>6.1405198775448903E-6</v>
      </c>
      <c r="O27" s="1">
        <v>1.0338701467679299E-6</v>
      </c>
      <c r="P27" s="1">
        <v>-4.0884188231620602E-6</v>
      </c>
    </row>
    <row r="28" spans="1:16" x14ac:dyDescent="0.2">
      <c r="A28">
        <v>27</v>
      </c>
      <c r="B28">
        <v>746</v>
      </c>
      <c r="C28">
        <v>285</v>
      </c>
      <c r="D28">
        <v>0.28357013197272302</v>
      </c>
      <c r="E28">
        <v>6.9649999633511701</v>
      </c>
      <c r="F28">
        <v>0.81556234151668405</v>
      </c>
      <c r="G28">
        <v>-135.97319346007251</v>
      </c>
      <c r="H28">
        <v>-93.043763267371418</v>
      </c>
      <c r="I28">
        <v>42.125181891649198</v>
      </c>
      <c r="J28">
        <v>19.641138260432101</v>
      </c>
      <c r="K28">
        <v>8.5401196313190493</v>
      </c>
      <c r="L28">
        <v>1.0265626922252278E-3</v>
      </c>
      <c r="M28">
        <v>1.5716635425991169E-4</v>
      </c>
      <c r="N28" s="1">
        <v>6.25892115389027E-6</v>
      </c>
      <c r="O28" s="1">
        <v>1.0322342541592901E-6</v>
      </c>
      <c r="P28" s="1">
        <v>-4.1060821843013101E-6</v>
      </c>
    </row>
    <row r="29" spans="1:16" x14ac:dyDescent="0.2">
      <c r="A29">
        <v>28</v>
      </c>
      <c r="B29">
        <v>744</v>
      </c>
      <c r="C29">
        <v>285</v>
      </c>
      <c r="D29">
        <v>0.28202379196775501</v>
      </c>
      <c r="E29">
        <v>7.3962795036745304</v>
      </c>
      <c r="F29">
        <v>0.84778759084351696</v>
      </c>
      <c r="G29">
        <v>-143.03388359345971</v>
      </c>
      <c r="H29">
        <v>-99.209988565192589</v>
      </c>
      <c r="I29">
        <v>43.087408492483597</v>
      </c>
      <c r="J29">
        <v>20.2166251694103</v>
      </c>
      <c r="K29">
        <v>8.7242129792387004</v>
      </c>
      <c r="L29">
        <v>1.0090238996836836E-3</v>
      </c>
      <c r="M29">
        <v>1.5377956051981854E-4</v>
      </c>
      <c r="N29" s="1">
        <v>6.3779324743826897E-6</v>
      </c>
      <c r="O29" s="1">
        <v>1.0304460694415901E-6</v>
      </c>
      <c r="P29" s="1">
        <v>-4.1232314058282399E-6</v>
      </c>
    </row>
    <row r="30" spans="1:16" x14ac:dyDescent="0.2">
      <c r="A30">
        <v>29</v>
      </c>
      <c r="B30">
        <v>742</v>
      </c>
      <c r="C30">
        <v>285</v>
      </c>
      <c r="D30">
        <v>0.28047135891247499</v>
      </c>
      <c r="E30">
        <v>7.8233973886374697</v>
      </c>
      <c r="F30">
        <v>0.87842869741627505</v>
      </c>
      <c r="G30">
        <v>-150.02146644314763</v>
      </c>
      <c r="H30">
        <v>-105.31943189576461</v>
      </c>
      <c r="I30">
        <v>44.037344723169497</v>
      </c>
      <c r="J30">
        <v>20.786385455255498</v>
      </c>
      <c r="K30">
        <v>8.9061268281061992</v>
      </c>
      <c r="L30">
        <v>9.9235425827944338E-4</v>
      </c>
      <c r="M30">
        <v>1.5055077032206002E-4</v>
      </c>
      <c r="N30" s="1">
        <v>6.4975306670760199E-6</v>
      </c>
      <c r="O30" s="1">
        <v>1.02850862582906E-6</v>
      </c>
      <c r="P30" s="1">
        <v>-4.1398679396982599E-6</v>
      </c>
    </row>
    <row r="31" spans="1:16" x14ac:dyDescent="0.2">
      <c r="A31">
        <v>30</v>
      </c>
      <c r="B31">
        <v>740</v>
      </c>
      <c r="C31">
        <v>285</v>
      </c>
      <c r="D31">
        <v>0.27891279672309399</v>
      </c>
      <c r="E31">
        <v>8.2464199112021905</v>
      </c>
      <c r="F31">
        <v>0.90760658856818999</v>
      </c>
      <c r="G31">
        <v>-156.9371087120289</v>
      </c>
      <c r="H31">
        <v>-111.37300087414185</v>
      </c>
      <c r="I31">
        <v>44.9751735259836</v>
      </c>
      <c r="J31">
        <v>21.3505038867415</v>
      </c>
      <c r="K31">
        <v>9.0858969239210392</v>
      </c>
      <c r="L31">
        <v>9.7648660226701907E-4</v>
      </c>
      <c r="M31">
        <v>1.4746796923032778E-4</v>
      </c>
      <c r="N31" s="1">
        <v>6.61769228938841E-6</v>
      </c>
      <c r="O31" s="1">
        <v>1.02642492315838E-6</v>
      </c>
      <c r="P31" s="1">
        <v>-4.1559932345953197E-6</v>
      </c>
    </row>
    <row r="32" spans="1:16" x14ac:dyDescent="0.2">
      <c r="A32">
        <v>31</v>
      </c>
      <c r="B32">
        <v>738</v>
      </c>
      <c r="C32">
        <v>285</v>
      </c>
      <c r="D32">
        <v>0.277348069030313</v>
      </c>
      <c r="E32">
        <v>8.6654119792325606</v>
      </c>
      <c r="F32">
        <v>0.93543017955811603</v>
      </c>
      <c r="G32">
        <v>-163.78195271953055</v>
      </c>
      <c r="H32">
        <v>-117.37158414965781</v>
      </c>
      <c r="I32">
        <v>45.901073932546502</v>
      </c>
      <c r="J32">
        <v>21.909063352644701</v>
      </c>
      <c r="K32">
        <v>9.2635582736126505</v>
      </c>
      <c r="L32">
        <v>9.61360436533682E-4</v>
      </c>
      <c r="M32">
        <v>1.4452033797661583E-4</v>
      </c>
      <c r="N32" s="1">
        <v>6.7383936351327796E-6</v>
      </c>
      <c r="O32" s="1">
        <v>1.02419792877804E-6</v>
      </c>
      <c r="P32" s="1">
        <v>-4.1716087393346302E-6</v>
      </c>
    </row>
    <row r="33" spans="1:16" x14ac:dyDescent="0.2">
      <c r="A33">
        <v>32</v>
      </c>
      <c r="B33">
        <v>736</v>
      </c>
      <c r="C33">
        <v>285</v>
      </c>
      <c r="D33">
        <v>0.27577713917653601</v>
      </c>
      <c r="E33">
        <v>75.432714550559496</v>
      </c>
      <c r="F33">
        <v>1.83449115829544</v>
      </c>
      <c r="G33">
        <v>-1249.741818629592</v>
      </c>
      <c r="H33">
        <v>-1038.9700568081589</v>
      </c>
      <c r="I33">
        <v>208.86562549240301</v>
      </c>
      <c r="J33">
        <v>112.816464690318</v>
      </c>
      <c r="K33">
        <v>41.119148603937397</v>
      </c>
      <c r="L33">
        <v>4.4265685019013562E-4</v>
      </c>
      <c r="M33">
        <v>6.5342944120454788E-5</v>
      </c>
      <c r="N33" s="1">
        <v>1.2862344132851399E-5</v>
      </c>
      <c r="O33" s="1">
        <v>2.0249427920110501E-6</v>
      </c>
      <c r="P33" s="1">
        <v>-8.2936566368390697E-6</v>
      </c>
    </row>
    <row r="34" spans="1:16" x14ac:dyDescent="0.2">
      <c r="A34">
        <v>33</v>
      </c>
      <c r="B34">
        <v>734</v>
      </c>
      <c r="C34">
        <v>285</v>
      </c>
      <c r="D34">
        <v>0.27419997021297599</v>
      </c>
      <c r="E34">
        <v>89.042029720012806</v>
      </c>
      <c r="F34">
        <v>1.8717462027432601</v>
      </c>
      <c r="G34">
        <v>-1470.597463965031</v>
      </c>
      <c r="H34">
        <v>-1227.0501789286561</v>
      </c>
      <c r="I34">
        <v>241.823734537338</v>
      </c>
      <c r="J34">
        <v>131.41998752118801</v>
      </c>
      <c r="K34">
        <v>47.571636362617397</v>
      </c>
      <c r="L34">
        <v>4.218669860776906E-4</v>
      </c>
      <c r="M34">
        <v>6.1899264074969545E-5</v>
      </c>
      <c r="N34" s="1">
        <v>1.42154467340284E-5</v>
      </c>
      <c r="O34" s="1">
        <v>2.2134096273991301E-6</v>
      </c>
      <c r="P34" s="1">
        <v>-9.1190359095357399E-6</v>
      </c>
    </row>
    <row r="35" spans="1:16" x14ac:dyDescent="0.2">
      <c r="A35">
        <v>34</v>
      </c>
      <c r="B35">
        <v>732</v>
      </c>
      <c r="C35">
        <v>285</v>
      </c>
      <c r="D35">
        <v>0.27261652489678301</v>
      </c>
      <c r="E35">
        <v>94.044028476136504</v>
      </c>
      <c r="F35">
        <v>1.88412744590521</v>
      </c>
      <c r="G35">
        <v>-1551.4007367185804</v>
      </c>
      <c r="H35">
        <v>-1296.3634684997446</v>
      </c>
      <c r="I35">
        <v>253.736201228254</v>
      </c>
      <c r="J35">
        <v>138.314137267787</v>
      </c>
      <c r="K35">
        <v>49.913836073309596</v>
      </c>
      <c r="L35">
        <v>4.1539158706811676E-4</v>
      </c>
      <c r="M35">
        <v>6.0633512914502951E-5</v>
      </c>
      <c r="N35" s="1">
        <v>1.47929623200196E-5</v>
      </c>
      <c r="O35" s="1">
        <v>2.27080872234328E-6</v>
      </c>
      <c r="P35" s="1">
        <v>-9.4109544284671705E-6</v>
      </c>
    </row>
    <row r="36" spans="1:16" x14ac:dyDescent="0.2">
      <c r="A36">
        <v>35</v>
      </c>
      <c r="B36">
        <v>730</v>
      </c>
      <c r="C36">
        <v>285</v>
      </c>
      <c r="D36">
        <v>0.27102676568808798</v>
      </c>
      <c r="E36">
        <v>96.796324455097505</v>
      </c>
      <c r="F36">
        <v>1.89124631409143</v>
      </c>
      <c r="G36">
        <v>-1595.5988386847671</v>
      </c>
      <c r="H36">
        <v>-1334.6417252628244</v>
      </c>
      <c r="I36">
        <v>260.14343755847602</v>
      </c>
      <c r="J36">
        <v>142.15122572138</v>
      </c>
      <c r="K36">
        <v>51.181236274661998</v>
      </c>
      <c r="L36">
        <v>4.119407192274916E-4</v>
      </c>
      <c r="M36">
        <v>5.9829178514007049E-5</v>
      </c>
      <c r="N36" s="1">
        <v>1.51641074983158E-5</v>
      </c>
      <c r="O36" s="1">
        <v>2.29383419166716E-6</v>
      </c>
      <c r="P36" s="1">
        <v>-9.56280941075873E-6</v>
      </c>
    </row>
    <row r="37" spans="1:16" x14ac:dyDescent="0.2">
      <c r="A37">
        <v>36</v>
      </c>
      <c r="B37">
        <v>728</v>
      </c>
      <c r="C37">
        <v>285</v>
      </c>
      <c r="D37">
        <v>0.26943065474704297</v>
      </c>
      <c r="E37">
        <v>98.586136286331495</v>
      </c>
      <c r="F37">
        <v>1.8962944051897199</v>
      </c>
      <c r="G37">
        <v>-1624.1361740215027</v>
      </c>
      <c r="H37">
        <v>-1359.6436319369668</v>
      </c>
      <c r="I37">
        <v>264.19456003402502</v>
      </c>
      <c r="J37">
        <v>144.684058963371</v>
      </c>
      <c r="K37">
        <v>51.9888346537983</v>
      </c>
      <c r="L37">
        <v>4.0967689957931424E-4</v>
      </c>
      <c r="M37">
        <v>5.9206671463021349E-5</v>
      </c>
      <c r="N37" s="1">
        <v>1.5444103863406099E-5</v>
      </c>
      <c r="O37" s="1">
        <v>2.3021446214832102E-6</v>
      </c>
      <c r="P37" s="1">
        <v>-9.6544914233103795E-6</v>
      </c>
    </row>
    <row r="38" spans="1:16" x14ac:dyDescent="0.2">
      <c r="A38">
        <v>37</v>
      </c>
      <c r="B38">
        <v>726</v>
      </c>
      <c r="C38">
        <v>285</v>
      </c>
      <c r="D38">
        <v>0.26782815393083897</v>
      </c>
      <c r="E38">
        <v>99.865219514691006</v>
      </c>
      <c r="F38">
        <v>1.9002949286302699</v>
      </c>
      <c r="G38">
        <v>-1644.3635163822012</v>
      </c>
      <c r="H38">
        <v>-1377.6014128676775</v>
      </c>
      <c r="I38">
        <v>266.99493766382199</v>
      </c>
      <c r="J38">
        <v>146.52799182781001</v>
      </c>
      <c r="K38">
        <v>52.552484359190203</v>
      </c>
      <c r="L38">
        <v>4.0801120855445388E-4</v>
      </c>
      <c r="M38">
        <v>5.8676320463860437E-5</v>
      </c>
      <c r="N38" s="1">
        <v>1.56733062117887E-5</v>
      </c>
      <c r="O38" s="1">
        <v>2.3026468411951799E-6</v>
      </c>
      <c r="P38" s="1">
        <v>-9.7140406009414106E-6</v>
      </c>
    </row>
    <row r="39" spans="1:16" x14ac:dyDescent="0.2">
      <c r="A39">
        <v>38</v>
      </c>
      <c r="B39">
        <v>760</v>
      </c>
      <c r="C39">
        <v>270</v>
      </c>
      <c r="D39">
        <v>0.31019745438706797</v>
      </c>
      <c r="E39">
        <v>4.3660947249755804</v>
      </c>
      <c r="F39">
        <v>0.54649111306141895</v>
      </c>
      <c r="G39">
        <v>-94.764298209750365</v>
      </c>
      <c r="H39">
        <v>-55.519848157273124</v>
      </c>
      <c r="I39">
        <v>37.9876577457172</v>
      </c>
      <c r="J39">
        <v>16.866216599813299</v>
      </c>
      <c r="K39">
        <v>7.9893242920583001</v>
      </c>
      <c r="L39">
        <v>1.2152499243538633E-3</v>
      </c>
      <c r="M39">
        <v>2.0153019672638673E-4</v>
      </c>
      <c r="N39" s="1">
        <v>6.0978086335884098E-6</v>
      </c>
      <c r="O39" s="1">
        <v>1.3452193957590099E-6</v>
      </c>
      <c r="P39" s="1">
        <v>-4.8518330275524598E-6</v>
      </c>
    </row>
    <row r="40" spans="1:16" x14ac:dyDescent="0.2">
      <c r="A40">
        <v>39</v>
      </c>
      <c r="B40">
        <v>758</v>
      </c>
      <c r="C40">
        <v>270</v>
      </c>
      <c r="D40">
        <v>0.30872375503079302</v>
      </c>
      <c r="E40">
        <v>4.5219545774222798</v>
      </c>
      <c r="F40">
        <v>0.56205460228205995</v>
      </c>
      <c r="G40">
        <v>-97.283834789398469</v>
      </c>
      <c r="H40">
        <v>-57.763684475009434</v>
      </c>
      <c r="I40">
        <v>38.328715064846001</v>
      </c>
      <c r="J40">
        <v>17.088546697454099</v>
      </c>
      <c r="K40">
        <v>8.0454008544048801</v>
      </c>
      <c r="L40">
        <v>1.207989963725111E-3</v>
      </c>
      <c r="M40">
        <v>1.9938070997383597E-4</v>
      </c>
      <c r="N40" s="1">
        <v>6.2115516739209902E-6</v>
      </c>
      <c r="O40" s="1">
        <v>1.3390592109208401E-6</v>
      </c>
      <c r="P40" s="1">
        <v>-4.8589700518586003E-6</v>
      </c>
    </row>
    <row r="41" spans="1:16" x14ac:dyDescent="0.2">
      <c r="A41">
        <v>40</v>
      </c>
      <c r="B41">
        <v>756</v>
      </c>
      <c r="C41">
        <v>270</v>
      </c>
      <c r="D41">
        <v>0.30724432784336703</v>
      </c>
      <c r="E41">
        <v>4.9717512620776096</v>
      </c>
      <c r="F41">
        <v>0.60350877252579405</v>
      </c>
      <c r="G41">
        <v>-104.67429736441149</v>
      </c>
      <c r="H41">
        <v>-64.183266301968573</v>
      </c>
      <c r="I41">
        <v>39.346596146044902</v>
      </c>
      <c r="J41">
        <v>17.691484379469198</v>
      </c>
      <c r="K41">
        <v>8.2380762110050707</v>
      </c>
      <c r="L41">
        <v>1.1848679781696202E-3</v>
      </c>
      <c r="M41">
        <v>1.9465598311159735E-4</v>
      </c>
      <c r="N41" s="1">
        <v>6.3473432276140002E-6</v>
      </c>
      <c r="O41" s="1">
        <v>1.33733876875925E-6</v>
      </c>
      <c r="P41" s="1">
        <v>-4.8822637755289198E-6</v>
      </c>
    </row>
    <row r="42" spans="1:16" x14ac:dyDescent="0.2">
      <c r="A42">
        <v>41</v>
      </c>
      <c r="B42">
        <v>754</v>
      </c>
      <c r="C42">
        <v>270</v>
      </c>
      <c r="D42">
        <v>0.30575913936620902</v>
      </c>
      <c r="E42">
        <v>5.4170922843920497</v>
      </c>
      <c r="F42">
        <v>0.64271854987138899</v>
      </c>
      <c r="G42">
        <v>-111.98647840333533</v>
      </c>
      <c r="H42">
        <v>-70.542022442212698</v>
      </c>
      <c r="I42">
        <v>40.351446524531099</v>
      </c>
      <c r="J42">
        <v>18.2883654939324</v>
      </c>
      <c r="K42">
        <v>8.4284050701135609</v>
      </c>
      <c r="L42">
        <v>1.1630116799605649E-3</v>
      </c>
      <c r="M42">
        <v>1.9017580594010651E-4</v>
      </c>
      <c r="N42" s="1">
        <v>6.4841117219785797E-6</v>
      </c>
      <c r="O42" s="1">
        <v>1.3354188647508199E-6</v>
      </c>
      <c r="P42" s="1">
        <v>-4.9049695379754698E-6</v>
      </c>
    </row>
    <row r="43" spans="1:16" x14ac:dyDescent="0.2">
      <c r="A43">
        <v>42</v>
      </c>
      <c r="B43">
        <v>752</v>
      </c>
      <c r="C43">
        <v>270</v>
      </c>
      <c r="D43">
        <v>0.30426815587962902</v>
      </c>
      <c r="E43">
        <v>5.8580496834240101</v>
      </c>
      <c r="F43">
        <v>0.67986995938262695</v>
      </c>
      <c r="G43">
        <v>-119.22164698557864</v>
      </c>
      <c r="H43">
        <v>-76.840939205433287</v>
      </c>
      <c r="I43">
        <v>41.3434657692233</v>
      </c>
      <c r="J43">
        <v>18.879282320812798</v>
      </c>
      <c r="K43">
        <v>8.6164267189324804</v>
      </c>
      <c r="L43">
        <v>1.1423151233238584E-3</v>
      </c>
      <c r="M43">
        <v>1.8591994432394217E-4</v>
      </c>
      <c r="N43" s="1">
        <v>6.6218303634802897E-6</v>
      </c>
      <c r="O43" s="1">
        <v>1.3333031465066801E-6</v>
      </c>
      <c r="P43" s="1">
        <v>-4.9270877064440501E-6</v>
      </c>
    </row>
    <row r="44" spans="1:16" x14ac:dyDescent="0.2">
      <c r="A44">
        <v>43</v>
      </c>
      <c r="B44">
        <v>750</v>
      </c>
      <c r="C44">
        <v>270</v>
      </c>
      <c r="D44">
        <v>0.302771343400284</v>
      </c>
      <c r="E44">
        <v>6.2946939548208096</v>
      </c>
      <c r="F44">
        <v>0.71512900503528598</v>
      </c>
      <c r="G44">
        <v>-126.38104503297984</v>
      </c>
      <c r="H44">
        <v>-83.080981755668688</v>
      </c>
      <c r="I44">
        <v>42.322849133523398</v>
      </c>
      <c r="J44">
        <v>19.464325061012701</v>
      </c>
      <c r="K44">
        <v>8.8021796214379702</v>
      </c>
      <c r="L44">
        <v>1.1226837615035731E-3</v>
      </c>
      <c r="M44">
        <v>1.8187034415072511E-4</v>
      </c>
      <c r="N44" s="1">
        <v>6.76047189092706E-6</v>
      </c>
      <c r="O44" s="1">
        <v>1.3309952257699999E-6</v>
      </c>
      <c r="P44" s="1">
        <v>-4.9486186393651897E-6</v>
      </c>
    </row>
    <row r="45" spans="1:16" x14ac:dyDescent="0.2">
      <c r="A45">
        <v>44</v>
      </c>
      <c r="B45">
        <v>748</v>
      </c>
      <c r="C45">
        <v>270</v>
      </c>
      <c r="D45">
        <v>0.301268667678598</v>
      </c>
      <c r="E45">
        <v>6.7270940908812502</v>
      </c>
      <c r="F45">
        <v>0.74864429181233905</v>
      </c>
      <c r="G45">
        <v>-133.46588801622218</v>
      </c>
      <c r="H45">
        <v>-89.26309465930963</v>
      </c>
      <c r="I45">
        <v>43.289787668185298</v>
      </c>
      <c r="J45">
        <v>20.043581890607999</v>
      </c>
      <c r="K45">
        <v>8.9857014398601809</v>
      </c>
      <c r="L45">
        <v>1.1040329541627146E-3</v>
      </c>
      <c r="M45">
        <v>1.7801084583175271E-4</v>
      </c>
      <c r="N45" s="1">
        <v>6.9000085842164997E-6</v>
      </c>
      <c r="O45" s="1">
        <v>1.3284986797908499E-6</v>
      </c>
      <c r="P45" s="1">
        <v>-4.96956269185818E-6</v>
      </c>
    </row>
    <row r="46" spans="1:16" x14ac:dyDescent="0.2">
      <c r="A46">
        <v>45</v>
      </c>
      <c r="B46">
        <v>746</v>
      </c>
      <c r="C46">
        <v>270</v>
      </c>
      <c r="D46">
        <v>0.29976009419614502</v>
      </c>
      <c r="E46">
        <v>7.1553176208481801</v>
      </c>
      <c r="F46">
        <v>0.78054924634780298</v>
      </c>
      <c r="G46">
        <v>-140.47736566276114</v>
      </c>
      <c r="H46">
        <v>-95.388202437311662</v>
      </c>
      <c r="I46">
        <v>44.244468332868003</v>
      </c>
      <c r="J46">
        <v>20.617139014869402</v>
      </c>
      <c r="K46">
        <v>9.1670290559218106</v>
      </c>
      <c r="L46">
        <v>1.0862867033038859E-3</v>
      </c>
      <c r="M46">
        <v>1.7432694251361363E-4</v>
      </c>
      <c r="N46" s="1">
        <v>7.0404122734560598E-6</v>
      </c>
      <c r="O46" s="1">
        <v>1.32581705259882E-6</v>
      </c>
      <c r="P46" s="1">
        <v>-4.9899202210099796E-6</v>
      </c>
    </row>
    <row r="47" spans="1:16" x14ac:dyDescent="0.2">
      <c r="A47">
        <v>46</v>
      </c>
      <c r="B47">
        <v>744</v>
      </c>
      <c r="C47">
        <v>270</v>
      </c>
      <c r="D47">
        <v>0.298245588163005</v>
      </c>
      <c r="E47">
        <v>7.57943064981158</v>
      </c>
      <c r="F47">
        <v>0.81096400590345896</v>
      </c>
      <c r="G47">
        <v>-147.41664264139771</v>
      </c>
      <c r="H47">
        <v>-101.45721009804063</v>
      </c>
      <c r="I47">
        <v>45.187074105085898</v>
      </c>
      <c r="J47">
        <v>21.1850807209393</v>
      </c>
      <c r="K47">
        <v>9.3461985915980001</v>
      </c>
      <c r="L47">
        <v>1.0693765779923538E-3</v>
      </c>
      <c r="M47">
        <v>1.7080557440098262E-4</v>
      </c>
      <c r="N47" s="1">
        <v>7.18165434891686E-6</v>
      </c>
      <c r="O47" s="1">
        <v>1.32295385625828E-6</v>
      </c>
      <c r="P47" s="1">
        <v>-5.0096915912382002E-6</v>
      </c>
    </row>
    <row r="48" spans="1:16" x14ac:dyDescent="0.2">
      <c r="A48">
        <v>47</v>
      </c>
      <c r="B48">
        <v>742</v>
      </c>
      <c r="C48">
        <v>270</v>
      </c>
      <c r="D48">
        <v>0.29672511451509398</v>
      </c>
      <c r="E48">
        <v>7.9994978953270799</v>
      </c>
      <c r="F48">
        <v>0.83999703204134801</v>
      </c>
      <c r="G48">
        <v>-154.28485920684273</v>
      </c>
      <c r="H48">
        <v>-107.47100363853835</v>
      </c>
      <c r="I48">
        <v>46.117784082142599</v>
      </c>
      <c r="J48">
        <v>21.7474894270437</v>
      </c>
      <c r="K48">
        <v>9.5232454284830297</v>
      </c>
      <c r="L48">
        <v>1.0532407957982335E-3</v>
      </c>
      <c r="M48">
        <v>1.674349530535996E-4</v>
      </c>
      <c r="N48" s="1">
        <v>7.32370577113068E-6</v>
      </c>
      <c r="O48" s="1">
        <v>1.3199125719882501E-6</v>
      </c>
      <c r="P48" s="1">
        <v>-5.0288771792853397E-6</v>
      </c>
    </row>
    <row r="49" spans="1:16" x14ac:dyDescent="0.2">
      <c r="A49">
        <v>48</v>
      </c>
      <c r="B49">
        <v>740</v>
      </c>
      <c r="C49">
        <v>270</v>
      </c>
      <c r="D49">
        <v>0.295198637911468</v>
      </c>
      <c r="E49">
        <v>8.4155827241132108</v>
      </c>
      <c r="F49">
        <v>0.86774649479828703</v>
      </c>
      <c r="G49">
        <v>-161.0831318452436</v>
      </c>
      <c r="H49">
        <v>-113.43045054726342</v>
      </c>
      <c r="I49">
        <v>47.036773583766703</v>
      </c>
      <c r="J49">
        <v>22.304445732223801</v>
      </c>
      <c r="K49">
        <v>9.6982042273411402</v>
      </c>
      <c r="L49">
        <v>1.0378234348768279E-3</v>
      </c>
      <c r="M49">
        <v>1.6420441067146075E-4</v>
      </c>
      <c r="N49" s="1">
        <v>7.4665370818711502E-6</v>
      </c>
      <c r="O49" s="1">
        <v>1.31669665128388E-6</v>
      </c>
      <c r="P49" s="1">
        <v>-5.0474773793536004E-6</v>
      </c>
    </row>
    <row r="50" spans="1:16" x14ac:dyDescent="0.2">
      <c r="A50">
        <v>49</v>
      </c>
      <c r="B50">
        <v>738</v>
      </c>
      <c r="C50">
        <v>270</v>
      </c>
      <c r="D50">
        <v>0.29366612273154402</v>
      </c>
      <c r="E50">
        <v>78.140788362819706</v>
      </c>
      <c r="F50">
        <v>1.8170129012645899</v>
      </c>
      <c r="G50">
        <v>-1295.3648996703805</v>
      </c>
      <c r="H50">
        <v>-1076.3607827271899</v>
      </c>
      <c r="I50">
        <v>216.594224623191</v>
      </c>
      <c r="J50">
        <v>116.896809716905</v>
      </c>
      <c r="K50">
        <v>43.005081751723097</v>
      </c>
      <c r="L50">
        <v>4.6870803562594796E-4</v>
      </c>
      <c r="M50">
        <v>7.283847126914675E-5</v>
      </c>
      <c r="N50" s="1">
        <v>1.4097437364811E-5</v>
      </c>
      <c r="O50" s="1">
        <v>2.5551201748121602E-6</v>
      </c>
      <c r="P50" s="1">
        <v>-9.8521862316111597E-6</v>
      </c>
    </row>
    <row r="51" spans="1:16" x14ac:dyDescent="0.2">
      <c r="A51">
        <v>50</v>
      </c>
      <c r="B51">
        <v>736</v>
      </c>
      <c r="C51">
        <v>270</v>
      </c>
      <c r="D51">
        <v>0.29212753307238798</v>
      </c>
      <c r="E51">
        <v>89.702149271342705</v>
      </c>
      <c r="F51">
        <v>1.8504210761703599</v>
      </c>
      <c r="G51">
        <v>-1482.8653015102325</v>
      </c>
      <c r="H51">
        <v>-1236.2345713646077</v>
      </c>
      <c r="I51">
        <v>244.40001516433401</v>
      </c>
      <c r="J51">
        <v>132.63058035485599</v>
      </c>
      <c r="K51">
        <v>48.476614553586003</v>
      </c>
      <c r="L51">
        <v>4.4944399107945006E-4</v>
      </c>
      <c r="M51">
        <v>6.9432000437873054E-5</v>
      </c>
      <c r="N51" s="1">
        <v>1.5337270750992101E-5</v>
      </c>
      <c r="O51" s="1">
        <v>2.7395584192228099E-6</v>
      </c>
      <c r="P51" s="1">
        <v>-1.0628049852295E-5</v>
      </c>
    </row>
    <row r="52" spans="1:16" x14ac:dyDescent="0.2">
      <c r="A52">
        <v>51</v>
      </c>
      <c r="B52">
        <v>734</v>
      </c>
      <c r="C52">
        <v>270</v>
      </c>
      <c r="D52">
        <v>0.29058283274586499</v>
      </c>
      <c r="E52">
        <v>94.308295573869799</v>
      </c>
      <c r="F52">
        <v>1.8628364562522</v>
      </c>
      <c r="G52">
        <v>-1557.2134182401821</v>
      </c>
      <c r="H52">
        <v>-1300.1092695498019</v>
      </c>
      <c r="I52">
        <v>255.28457275515501</v>
      </c>
      <c r="J52">
        <v>138.950340452841</v>
      </c>
      <c r="K52">
        <v>50.626180981880999</v>
      </c>
      <c r="L52">
        <v>4.4275192006170875E-4</v>
      </c>
      <c r="M52">
        <v>6.8037928783602625E-5</v>
      </c>
      <c r="N52" s="1">
        <v>1.59342259989255E-5</v>
      </c>
      <c r="O52" s="1">
        <v>2.7991888203381799E-6</v>
      </c>
      <c r="P52" s="1">
        <v>-1.0926117712191801E-5</v>
      </c>
    </row>
    <row r="53" spans="1:16" x14ac:dyDescent="0.2">
      <c r="A53">
        <v>52</v>
      </c>
      <c r="B53">
        <v>732</v>
      </c>
      <c r="C53">
        <v>270</v>
      </c>
      <c r="D53">
        <v>0.28903198527583002</v>
      </c>
      <c r="E53">
        <v>96.915567053206999</v>
      </c>
      <c r="F53">
        <v>1.87020439809564</v>
      </c>
      <c r="G53">
        <v>-1599.0429669395855</v>
      </c>
      <c r="H53">
        <v>-1336.3995308219341</v>
      </c>
      <c r="I53">
        <v>261.30352395724702</v>
      </c>
      <c r="J53">
        <v>142.56827634054801</v>
      </c>
      <c r="K53">
        <v>51.820842230877098</v>
      </c>
      <c r="L53">
        <v>4.3907742086722736E-4</v>
      </c>
      <c r="M53">
        <v>6.7128220690572884E-5</v>
      </c>
      <c r="N53" s="1">
        <v>1.63434029308067E-5</v>
      </c>
      <c r="O53" s="1">
        <v>2.82286477022516E-6</v>
      </c>
      <c r="P53" s="1">
        <v>-1.10863478169134E-5</v>
      </c>
    </row>
    <row r="54" spans="1:16" x14ac:dyDescent="0.2">
      <c r="A54">
        <v>53</v>
      </c>
      <c r="B54">
        <v>730</v>
      </c>
      <c r="C54">
        <v>270</v>
      </c>
      <c r="D54">
        <v>0.28747495389523398</v>
      </c>
      <c r="E54">
        <v>98.636933827407702</v>
      </c>
      <c r="F54">
        <v>1.87550009019367</v>
      </c>
      <c r="G54">
        <v>-1626.4603356062453</v>
      </c>
      <c r="H54">
        <v>-1360.4655408121973</v>
      </c>
      <c r="I54">
        <v>265.16538544679599</v>
      </c>
      <c r="J54">
        <v>144.99211405262199</v>
      </c>
      <c r="K54">
        <v>52.592337554738201</v>
      </c>
      <c r="L54">
        <v>4.36637741258405E-4</v>
      </c>
      <c r="M54">
        <v>6.6417564886477178E-5</v>
      </c>
      <c r="N54" s="1">
        <v>1.6666752595307901E-5</v>
      </c>
      <c r="O54" s="1">
        <v>2.8305921524838798E-6</v>
      </c>
      <c r="P54" s="1">
        <v>-1.11851941510117E-5</v>
      </c>
    </row>
    <row r="55" spans="1:16" x14ac:dyDescent="0.2">
      <c r="A55">
        <v>54</v>
      </c>
      <c r="B55">
        <v>728</v>
      </c>
      <c r="C55">
        <v>270</v>
      </c>
      <c r="D55">
        <v>0.28591170154322698</v>
      </c>
      <c r="E55">
        <v>99.878752739991995</v>
      </c>
      <c r="F55">
        <v>1.8797233971457299</v>
      </c>
      <c r="G55">
        <v>-1646.0764829761731</v>
      </c>
      <c r="H55">
        <v>-1377.9152084183727</v>
      </c>
      <c r="I55">
        <v>267.85914170765602</v>
      </c>
      <c r="J55">
        <v>146.77249597704599</v>
      </c>
      <c r="K55">
        <v>53.134813819763302</v>
      </c>
      <c r="L55">
        <v>4.3483394178228077E-4</v>
      </c>
      <c r="M55">
        <v>6.5810045703028298E-5</v>
      </c>
      <c r="N55" s="1">
        <v>1.6941323735110801E-5</v>
      </c>
      <c r="O55" s="1">
        <v>2.8296812978081402E-6</v>
      </c>
      <c r="P55" s="1">
        <v>-1.1250561905427301E-5</v>
      </c>
    </row>
    <row r="56" spans="1:16" x14ac:dyDescent="0.2">
      <c r="A56">
        <v>55</v>
      </c>
      <c r="B56">
        <v>760</v>
      </c>
      <c r="C56">
        <v>255</v>
      </c>
      <c r="D56">
        <v>0.32616802981174298</v>
      </c>
      <c r="E56">
        <v>4.6076405835861802</v>
      </c>
      <c r="F56">
        <v>0.52941222262725796</v>
      </c>
      <c r="G56">
        <v>-100.13541760711458</v>
      </c>
      <c r="H56">
        <v>-58.554808745741461</v>
      </c>
      <c r="I56">
        <v>40.248991565848698</v>
      </c>
      <c r="J56">
        <v>17.901133553981101</v>
      </c>
      <c r="K56">
        <v>8.70331357428873</v>
      </c>
      <c r="L56">
        <v>1.2722106074365411E-3</v>
      </c>
      <c r="M56">
        <v>2.2240278677549441E-4</v>
      </c>
      <c r="N56" s="1">
        <v>6.6896973588255103E-6</v>
      </c>
      <c r="O56" s="1">
        <v>1.74830161024343E-6</v>
      </c>
      <c r="P56" s="1">
        <v>-5.9229738131048496E-6</v>
      </c>
    </row>
    <row r="57" spans="1:16" x14ac:dyDescent="0.2">
      <c r="A57">
        <v>56</v>
      </c>
      <c r="B57">
        <v>758</v>
      </c>
      <c r="C57">
        <v>255</v>
      </c>
      <c r="D57">
        <v>0.32472530669640698</v>
      </c>
      <c r="E57">
        <v>4.7664862497492102</v>
      </c>
      <c r="F57">
        <v>0.54421492340703104</v>
      </c>
      <c r="G57">
        <v>-102.7004023772236</v>
      </c>
      <c r="H57">
        <v>-60.844118234622613</v>
      </c>
      <c r="I57">
        <v>40.5944107131564</v>
      </c>
      <c r="J57">
        <v>18.1296020345595</v>
      </c>
      <c r="K57">
        <v>8.7584629614874601</v>
      </c>
      <c r="L57">
        <v>1.2653824794584634E-3</v>
      </c>
      <c r="M57">
        <v>2.2013240338433516E-4</v>
      </c>
      <c r="N57" s="1">
        <v>6.8293139810541396E-6</v>
      </c>
      <c r="O57" s="1">
        <v>1.7402530255820301E-6</v>
      </c>
      <c r="P57" s="1">
        <v>-5.9329358078494999E-6</v>
      </c>
    </row>
    <row r="58" spans="1:16" x14ac:dyDescent="0.2">
      <c r="A58">
        <v>57</v>
      </c>
      <c r="B58">
        <v>756</v>
      </c>
      <c r="C58">
        <v>255</v>
      </c>
      <c r="D58">
        <v>0.32327697614536499</v>
      </c>
      <c r="E58">
        <v>5.2080008704125698</v>
      </c>
      <c r="F58">
        <v>0.58220617633491001</v>
      </c>
      <c r="G58">
        <v>-109.9495707443057</v>
      </c>
      <c r="H58">
        <v>-67.151180513439257</v>
      </c>
      <c r="I58">
        <v>41.5887346990515</v>
      </c>
      <c r="J58">
        <v>18.723436143993201</v>
      </c>
      <c r="K58">
        <v>8.9452861925956402</v>
      </c>
      <c r="L58">
        <v>1.2437920498362127E-3</v>
      </c>
      <c r="M58">
        <v>2.1533558171192457E-4</v>
      </c>
      <c r="N58" s="1">
        <v>6.9908151799307496E-6</v>
      </c>
      <c r="O58" s="1">
        <v>1.7373182102127301E-6</v>
      </c>
      <c r="P58" s="1">
        <v>-5.9603884145817298E-6</v>
      </c>
    </row>
    <row r="59" spans="1:16" x14ac:dyDescent="0.2">
      <c r="A59">
        <v>58</v>
      </c>
      <c r="B59">
        <v>754</v>
      </c>
      <c r="C59">
        <v>255</v>
      </c>
      <c r="D59">
        <v>0.321823005403299</v>
      </c>
      <c r="E59">
        <v>5.6452030815154197</v>
      </c>
      <c r="F59">
        <v>0.61832518787068802</v>
      </c>
      <c r="G59">
        <v>-117.12296980060501</v>
      </c>
      <c r="H59">
        <v>-73.399366201547167</v>
      </c>
      <c r="I59">
        <v>42.570484501260196</v>
      </c>
      <c r="J59">
        <v>19.311443847280799</v>
      </c>
      <c r="K59">
        <v>9.1298287571878909</v>
      </c>
      <c r="L59">
        <v>1.2232790019923189E-3</v>
      </c>
      <c r="M59">
        <v>2.107630458733159E-4</v>
      </c>
      <c r="N59" s="1">
        <v>7.1536638204151904E-6</v>
      </c>
      <c r="O59" s="1">
        <v>1.7341423222671E-6</v>
      </c>
      <c r="P59" s="1">
        <v>-5.9871752330309399E-6</v>
      </c>
    </row>
    <row r="60" spans="1:16" x14ac:dyDescent="0.2">
      <c r="A60">
        <v>59</v>
      </c>
      <c r="B60">
        <v>752</v>
      </c>
      <c r="C60">
        <v>255</v>
      </c>
      <c r="D60">
        <v>0.3203633614593</v>
      </c>
      <c r="E60">
        <v>6.0781614501962702</v>
      </c>
      <c r="F60">
        <v>0.65271451128574798</v>
      </c>
      <c r="G60">
        <v>-124.22180858909948</v>
      </c>
      <c r="H60">
        <v>-79.589614085531139</v>
      </c>
      <c r="I60">
        <v>43.539850154145299</v>
      </c>
      <c r="J60">
        <v>19.893712248456001</v>
      </c>
      <c r="K60">
        <v>9.3121285724492608</v>
      </c>
      <c r="L60">
        <v>1.2037601488261605E-3</v>
      </c>
      <c r="M60">
        <v>2.0639774286916254E-4</v>
      </c>
      <c r="N60" s="1">
        <v>7.31782699551425E-6</v>
      </c>
      <c r="O60" s="1">
        <v>1.7307294646746799E-6</v>
      </c>
      <c r="P60" s="1">
        <v>-6.0132947151786402E-6</v>
      </c>
    </row>
    <row r="61" spans="1:16" x14ac:dyDescent="0.2">
      <c r="A61">
        <v>60</v>
      </c>
      <c r="B61">
        <v>750</v>
      </c>
      <c r="C61">
        <v>255</v>
      </c>
      <c r="D61">
        <v>0.31889801104432502</v>
      </c>
      <c r="E61">
        <v>6.5069430893417701</v>
      </c>
      <c r="F61">
        <v>0.68550256791814901</v>
      </c>
      <c r="G61">
        <v>-131.24727056418413</v>
      </c>
      <c r="H61">
        <v>-85.722843018790272</v>
      </c>
      <c r="I61">
        <v>44.497017650460997</v>
      </c>
      <c r="J61">
        <v>20.470326497902199</v>
      </c>
      <c r="K61">
        <v>9.49222277766685</v>
      </c>
      <c r="L61">
        <v>1.1851605451657597E-3</v>
      </c>
      <c r="M61">
        <v>2.0222431295815164E-4</v>
      </c>
      <c r="N61" s="1">
        <v>7.4832710473899499E-6</v>
      </c>
      <c r="O61" s="1">
        <v>1.72708371118027E-6</v>
      </c>
      <c r="P61" s="1">
        <v>-6.0387453140310304E-6</v>
      </c>
    </row>
    <row r="62" spans="1:16" x14ac:dyDescent="0.2">
      <c r="A62">
        <v>61</v>
      </c>
      <c r="B62">
        <v>748</v>
      </c>
      <c r="C62">
        <v>255</v>
      </c>
      <c r="D62">
        <v>0.31742692062870498</v>
      </c>
      <c r="E62">
        <v>6.9316136945522304</v>
      </c>
      <c r="F62">
        <v>0.71680535506035303</v>
      </c>
      <c r="G62">
        <v>-138.20051424472456</v>
      </c>
      <c r="H62">
        <v>-91.799952426940209</v>
      </c>
      <c r="I62">
        <v>45.442169046368797</v>
      </c>
      <c r="J62">
        <v>21.0413698430078</v>
      </c>
      <c r="K62">
        <v>9.6701477543629792</v>
      </c>
      <c r="L62">
        <v>1.1674124920754137E-3</v>
      </c>
      <c r="M62">
        <v>1.9822888504197821E-4</v>
      </c>
      <c r="N62" s="1">
        <v>7.6499615783482108E-6</v>
      </c>
      <c r="O62" s="1">
        <v>1.7232091080143399E-6</v>
      </c>
      <c r="P62" s="1">
        <v>-6.0635254912954204E-6</v>
      </c>
    </row>
    <row r="63" spans="1:16" x14ac:dyDescent="0.2">
      <c r="A63">
        <v>62</v>
      </c>
      <c r="B63">
        <v>746</v>
      </c>
      <c r="C63">
        <v>255</v>
      </c>
      <c r="D63">
        <v>0.31595005641956603</v>
      </c>
      <c r="E63">
        <v>7.3522375814488097</v>
      </c>
      <c r="F63">
        <v>0.74672791213139</v>
      </c>
      <c r="G63">
        <v>-145.08267386966227</v>
      </c>
      <c r="H63">
        <v>-97.821822819231912</v>
      </c>
      <c r="I63">
        <v>46.375482564289101</v>
      </c>
      <c r="J63">
        <v>21.606923678290499</v>
      </c>
      <c r="K63">
        <v>9.8459391459779102</v>
      </c>
      <c r="L63">
        <v>1.1504546820810125E-3</v>
      </c>
      <c r="M63">
        <v>1.9439890100927742E-4</v>
      </c>
      <c r="N63" s="1">
        <v>7.8178634623420505E-6</v>
      </c>
      <c r="O63" s="1">
        <v>1.71910967537276E-6</v>
      </c>
      <c r="P63" s="1">
        <v>-6.0876337246096502E-6</v>
      </c>
    </row>
    <row r="64" spans="1:16" x14ac:dyDescent="0.2">
      <c r="A64">
        <v>63</v>
      </c>
      <c r="B64">
        <v>744</v>
      </c>
      <c r="C64">
        <v>255</v>
      </c>
      <c r="D64">
        <v>0.31446738435825899</v>
      </c>
      <c r="E64">
        <v>8.1977764368727595</v>
      </c>
      <c r="F64">
        <v>0.80113131636644797</v>
      </c>
      <c r="G64">
        <v>-159.02225898877487</v>
      </c>
      <c r="H64">
        <v>-109.81226970691137</v>
      </c>
      <c r="I64">
        <v>48.382974151455002</v>
      </c>
      <c r="J64">
        <v>22.768866625488801</v>
      </c>
      <c r="K64">
        <v>10.232749949226699</v>
      </c>
      <c r="L64">
        <v>1.118278191148401E-3</v>
      </c>
      <c r="M64">
        <v>1.8801055990133131E-4</v>
      </c>
      <c r="N64" s="1">
        <v>8.03420428685521E-6</v>
      </c>
      <c r="O64" s="1">
        <v>1.72614416603666E-6</v>
      </c>
      <c r="P64" s="1">
        <v>-6.1515120912668198E-6</v>
      </c>
    </row>
    <row r="65" spans="1:16" x14ac:dyDescent="0.2">
      <c r="A65">
        <v>64</v>
      </c>
      <c r="B65">
        <v>742</v>
      </c>
      <c r="C65">
        <v>255</v>
      </c>
      <c r="D65">
        <v>0.31297887011771702</v>
      </c>
      <c r="E65">
        <v>17.575711607376402</v>
      </c>
      <c r="F65">
        <v>1.1911817958484401</v>
      </c>
      <c r="G65">
        <v>-313.02425514449823</v>
      </c>
      <c r="H65">
        <v>-240.64077283386916</v>
      </c>
      <c r="I65">
        <v>71.306286594141895</v>
      </c>
      <c r="J65">
        <v>35.577893997362303</v>
      </c>
      <c r="K65">
        <v>14.7548524235612</v>
      </c>
      <c r="L65">
        <v>8.7502864993348097E-4</v>
      </c>
      <c r="M65">
        <v>1.4599102380968056E-4</v>
      </c>
      <c r="N65" s="1">
        <v>9.0896048331512693E-6</v>
      </c>
      <c r="O65" s="1">
        <v>1.9263604957470198E-6</v>
      </c>
      <c r="P65" s="1">
        <v>-6.9084902102575199E-6</v>
      </c>
    </row>
    <row r="66" spans="1:16" x14ac:dyDescent="0.2">
      <c r="A66">
        <v>65</v>
      </c>
      <c r="B66">
        <v>740</v>
      </c>
      <c r="C66">
        <v>255</v>
      </c>
      <c r="D66">
        <v>0.31148447909983901</v>
      </c>
      <c r="E66">
        <v>80.576971759137194</v>
      </c>
      <c r="F66">
        <v>1.79738503836765</v>
      </c>
      <c r="G66">
        <v>-1336.5460002716361</v>
      </c>
      <c r="H66">
        <v>-1110.0092804008825</v>
      </c>
      <c r="I66">
        <v>223.60162175590699</v>
      </c>
      <c r="J66">
        <v>120.57983532110001</v>
      </c>
      <c r="K66">
        <v>44.830111544889498</v>
      </c>
      <c r="L66">
        <v>4.9825280295275358E-4</v>
      </c>
      <c r="M66">
        <v>8.1910110186212686E-5</v>
      </c>
      <c r="N66" s="1">
        <v>1.52023897694391E-5</v>
      </c>
      <c r="O66" s="1">
        <v>3.2526191455981398E-6</v>
      </c>
      <c r="P66" s="1">
        <v>-1.17371952606265E-5</v>
      </c>
    </row>
    <row r="67" spans="1:16" x14ac:dyDescent="0.2">
      <c r="A67">
        <v>66</v>
      </c>
      <c r="B67">
        <v>738</v>
      </c>
      <c r="C67">
        <v>255</v>
      </c>
      <c r="D67">
        <v>0.30998417643277698</v>
      </c>
      <c r="E67">
        <v>90.363971343937095</v>
      </c>
      <c r="F67">
        <v>1.8272492284717901</v>
      </c>
      <c r="G67">
        <v>-1495.1565822901528</v>
      </c>
      <c r="H67">
        <v>-1245.4337773005711</v>
      </c>
      <c r="I67">
        <v>246.97463563704599</v>
      </c>
      <c r="J67">
        <v>133.84470139182901</v>
      </c>
      <c r="K67">
        <v>49.453555615679399</v>
      </c>
      <c r="L67">
        <v>4.8049125086054988E-4</v>
      </c>
      <c r="M67">
        <v>7.8527754399885282E-5</v>
      </c>
      <c r="N67" s="1">
        <v>1.6342399688231199E-5</v>
      </c>
      <c r="O67" s="1">
        <v>3.43398088404515E-6</v>
      </c>
      <c r="P67" s="1">
        <v>-1.2470638019097801E-5</v>
      </c>
    </row>
    <row r="68" spans="1:16" x14ac:dyDescent="0.2">
      <c r="A68">
        <v>67</v>
      </c>
      <c r="B68">
        <v>736</v>
      </c>
      <c r="C68">
        <v>255</v>
      </c>
      <c r="D68">
        <v>0.308477926968244</v>
      </c>
      <c r="E68">
        <v>94.586430670623997</v>
      </c>
      <c r="F68">
        <v>1.8395907273235601</v>
      </c>
      <c r="G68">
        <v>-1563.2517609513363</v>
      </c>
      <c r="H68">
        <v>-1304.032966434818</v>
      </c>
      <c r="I68">
        <v>256.87413782598799</v>
      </c>
      <c r="J68">
        <v>139.61473334929099</v>
      </c>
      <c r="K68">
        <v>51.417105590784601</v>
      </c>
      <c r="L68">
        <v>4.7365791853001913E-4</v>
      </c>
      <c r="M68">
        <v>7.699550021548232E-5</v>
      </c>
      <c r="N68" s="1">
        <v>1.69628057444362E-5</v>
      </c>
      <c r="O68" s="1">
        <v>3.49609293865524E-6</v>
      </c>
      <c r="P68" s="1">
        <v>-1.27773417444289E-5</v>
      </c>
    </row>
    <row r="69" spans="1:16" x14ac:dyDescent="0.2">
      <c r="A69">
        <v>68</v>
      </c>
      <c r="B69">
        <v>734</v>
      </c>
      <c r="C69">
        <v>255</v>
      </c>
      <c r="D69">
        <v>0.306965695278758</v>
      </c>
      <c r="E69">
        <v>97.047076474052304</v>
      </c>
      <c r="F69">
        <v>1.8471607492475901</v>
      </c>
      <c r="G69">
        <v>-1602.6888168748342</v>
      </c>
      <c r="H69">
        <v>-1338.3111744674752</v>
      </c>
      <c r="I69">
        <v>262.50654575188202</v>
      </c>
      <c r="J69">
        <v>143.015483000936</v>
      </c>
      <c r="K69">
        <v>52.538511612258297</v>
      </c>
      <c r="L69">
        <v>4.6979359637712767E-4</v>
      </c>
      <c r="M69">
        <v>7.596732548820735E-5</v>
      </c>
      <c r="N69" s="1">
        <v>1.7416385985645299E-5</v>
      </c>
      <c r="O69" s="1">
        <v>3.5203876057255799E-6</v>
      </c>
      <c r="P69" s="1">
        <v>-1.2948481641705499E-5</v>
      </c>
    </row>
    <row r="70" spans="1:16" x14ac:dyDescent="0.2">
      <c r="A70">
        <v>69</v>
      </c>
      <c r="B70">
        <v>732</v>
      </c>
      <c r="C70">
        <v>255</v>
      </c>
      <c r="D70">
        <v>0.30544744565487703</v>
      </c>
      <c r="E70">
        <v>98.697511542689199</v>
      </c>
      <c r="F70">
        <v>1.85268453230118</v>
      </c>
      <c r="G70">
        <v>-1628.9470028914259</v>
      </c>
      <c r="H70">
        <v>-1361.4059635093488</v>
      </c>
      <c r="I70">
        <v>266.17611329942201</v>
      </c>
      <c r="J70">
        <v>145.32971963776299</v>
      </c>
      <c r="K70">
        <v>53.272702298700999</v>
      </c>
      <c r="L70">
        <v>4.6719744197956794E-4</v>
      </c>
      <c r="M70">
        <v>7.5155419852489534E-5</v>
      </c>
      <c r="N70" s="1">
        <v>1.77910236727711E-5</v>
      </c>
      <c r="O70" s="1">
        <v>3.5272676131980802E-6</v>
      </c>
      <c r="P70" s="1">
        <v>-1.3056925588879499E-5</v>
      </c>
    </row>
    <row r="71" spans="1:16" x14ac:dyDescent="0.2">
      <c r="A71">
        <v>70</v>
      </c>
      <c r="B71">
        <v>730</v>
      </c>
      <c r="C71">
        <v>255</v>
      </c>
      <c r="D71">
        <v>0.30392314210237997</v>
      </c>
      <c r="E71">
        <v>99.900035429993096</v>
      </c>
      <c r="F71">
        <v>1.8571239107101001</v>
      </c>
      <c r="G71">
        <v>-1647.9197242354671</v>
      </c>
      <c r="H71">
        <v>-1378.3189064900159</v>
      </c>
      <c r="I71">
        <v>268.76014464044903</v>
      </c>
      <c r="J71">
        <v>147.04595192761099</v>
      </c>
      <c r="K71">
        <v>53.792875560896</v>
      </c>
      <c r="L71">
        <v>4.6526936592257651E-4</v>
      </c>
      <c r="M71">
        <v>7.445817796046548E-5</v>
      </c>
      <c r="N71" s="1">
        <v>1.8119939611312801E-5</v>
      </c>
      <c r="O71" s="1">
        <v>3.5245053865409298E-6</v>
      </c>
      <c r="P71" s="1">
        <v>-1.31303971922962E-5</v>
      </c>
    </row>
    <row r="72" spans="1:16" x14ac:dyDescent="0.2">
      <c r="A72">
        <v>71</v>
      </c>
      <c r="B72">
        <v>760</v>
      </c>
      <c r="C72">
        <v>240</v>
      </c>
      <c r="D72">
        <v>0.34213860523641398</v>
      </c>
      <c r="E72">
        <v>4.8462765843111004</v>
      </c>
      <c r="F72">
        <v>0.51111706220977304</v>
      </c>
      <c r="G72">
        <v>-105.46127844356636</v>
      </c>
      <c r="H72">
        <v>-61.5390540634465</v>
      </c>
      <c r="I72">
        <v>42.515605398225702</v>
      </c>
      <c r="J72">
        <v>18.938503613761</v>
      </c>
      <c r="K72">
        <v>9.48173509089799</v>
      </c>
      <c r="L72">
        <v>1.3346634856921684E-3</v>
      </c>
      <c r="M72">
        <v>2.472544059161152E-4</v>
      </c>
      <c r="N72" s="1">
        <v>7.1598492948756702E-6</v>
      </c>
      <c r="O72" s="1">
        <v>2.2965857098922699E-6</v>
      </c>
      <c r="P72" s="1">
        <v>-7.2579855456983501E-6</v>
      </c>
    </row>
    <row r="73" spans="1:16" x14ac:dyDescent="0.2">
      <c r="A73">
        <v>72</v>
      </c>
      <c r="B73">
        <v>758</v>
      </c>
      <c r="C73">
        <v>240</v>
      </c>
      <c r="D73">
        <v>0.34072685836202499</v>
      </c>
      <c r="E73">
        <v>5.0252898935140298</v>
      </c>
      <c r="F73">
        <v>0.52656697499584904</v>
      </c>
      <c r="G73">
        <v>-108.35613153415784</v>
      </c>
      <c r="H73">
        <v>-64.118246316147832</v>
      </c>
      <c r="I73">
        <v>42.904198877433998</v>
      </c>
      <c r="J73">
        <v>19.1955378522544</v>
      </c>
      <c r="K73">
        <v>9.5434961403601992</v>
      </c>
      <c r="L73">
        <v>1.3274308620369385E-3</v>
      </c>
      <c r="M73">
        <v>2.4468039328758826E-4</v>
      </c>
      <c r="N73" s="1">
        <v>7.3329026767932596E-6</v>
      </c>
      <c r="O73" s="1">
        <v>2.28647123190317E-6</v>
      </c>
      <c r="P73" s="1">
        <v>-7.2735565839258899E-6</v>
      </c>
    </row>
    <row r="74" spans="1:16" x14ac:dyDescent="0.2">
      <c r="A74">
        <v>73</v>
      </c>
      <c r="B74">
        <v>756</v>
      </c>
      <c r="C74">
        <v>240</v>
      </c>
      <c r="D74">
        <v>0.33930962444735902</v>
      </c>
      <c r="E74">
        <v>5.4580769628537</v>
      </c>
      <c r="F74">
        <v>0.561311971135254</v>
      </c>
      <c r="G74">
        <v>-115.45600562755457</v>
      </c>
      <c r="H74">
        <v>-70.30650658636678</v>
      </c>
      <c r="I74">
        <v>43.873382445819601</v>
      </c>
      <c r="J74">
        <v>19.779966337454201</v>
      </c>
      <c r="K74">
        <v>9.7237850670006694</v>
      </c>
      <c r="L74">
        <v>1.307403529805085E-3</v>
      </c>
      <c r="M74">
        <v>2.3978866485149241E-4</v>
      </c>
      <c r="N74" s="1">
        <v>7.5261460123800902E-6</v>
      </c>
      <c r="O74" s="1">
        <v>2.28191005378435E-6</v>
      </c>
      <c r="P74" s="1">
        <v>-7.3068823441815003E-6</v>
      </c>
    </row>
    <row r="75" spans="1:16" x14ac:dyDescent="0.2">
      <c r="A75">
        <v>74</v>
      </c>
      <c r="B75">
        <v>754</v>
      </c>
      <c r="C75">
        <v>240</v>
      </c>
      <c r="D75">
        <v>0.33788687144039198</v>
      </c>
      <c r="E75">
        <v>5.8867039918376101</v>
      </c>
      <c r="F75">
        <v>0.59450480318089904</v>
      </c>
      <c r="G75">
        <v>-122.48277506373896</v>
      </c>
      <c r="H75">
        <v>-76.437970482655658</v>
      </c>
      <c r="I75">
        <v>44.830462927432499</v>
      </c>
      <c r="J75">
        <v>20.358811149858902</v>
      </c>
      <c r="K75">
        <v>9.9018611125440597</v>
      </c>
      <c r="L75">
        <v>1.2882841208041219E-3</v>
      </c>
      <c r="M75">
        <v>2.3510234140829345E-4</v>
      </c>
      <c r="N75" s="1">
        <v>7.7212887339210592E-6</v>
      </c>
      <c r="O75" s="1">
        <v>2.2770519772832999E-6</v>
      </c>
      <c r="P75" s="1">
        <v>-7.3394557112979004E-6</v>
      </c>
    </row>
    <row r="76" spans="1:16" x14ac:dyDescent="0.2">
      <c r="A76">
        <v>75</v>
      </c>
      <c r="B76">
        <v>752</v>
      </c>
      <c r="C76">
        <v>240</v>
      </c>
      <c r="D76">
        <v>0.33645856703896998</v>
      </c>
      <c r="E76">
        <v>6.3112359890776197</v>
      </c>
      <c r="F76">
        <v>0.62625379993874397</v>
      </c>
      <c r="G76">
        <v>-129.43758719505297</v>
      </c>
      <c r="H76">
        <v>-82.513528082188685</v>
      </c>
      <c r="I76">
        <v>45.775620450967097</v>
      </c>
      <c r="J76">
        <v>20.932153904179302</v>
      </c>
      <c r="K76">
        <v>10.077760789148</v>
      </c>
      <c r="L76">
        <v>1.2700079672126202E-3</v>
      </c>
      <c r="M76">
        <v>2.3060709477236693E-4</v>
      </c>
      <c r="N76" s="1">
        <v>7.9182913961844302E-6</v>
      </c>
      <c r="O76" s="1">
        <v>2.27190152764107E-6</v>
      </c>
      <c r="P76" s="1">
        <v>-7.3712720831926404E-6</v>
      </c>
    </row>
    <row r="77" spans="1:16" x14ac:dyDescent="0.2">
      <c r="A77">
        <v>76</v>
      </c>
      <c r="B77">
        <v>750</v>
      </c>
      <c r="C77">
        <v>240</v>
      </c>
      <c r="D77">
        <v>0.335024678688366</v>
      </c>
      <c r="E77">
        <v>6.7317365993634901</v>
      </c>
      <c r="F77">
        <v>0.65665742054866705</v>
      </c>
      <c r="G77">
        <v>-136.32156537458056</v>
      </c>
      <c r="H77">
        <v>-88.534050760181785</v>
      </c>
      <c r="I77">
        <v>46.709031376057297</v>
      </c>
      <c r="J77">
        <v>21.5000743810571</v>
      </c>
      <c r="K77">
        <v>10.2515198773491</v>
      </c>
      <c r="L77">
        <v>1.2525162858975942E-3</v>
      </c>
      <c r="M77">
        <v>2.2628990540829122E-4</v>
      </c>
      <c r="N77" s="1">
        <v>8.1171133306785298E-6</v>
      </c>
      <c r="O77" s="1">
        <v>2.2664632127071401E-6</v>
      </c>
      <c r="P77" s="1">
        <v>-7.4023268522885899E-6</v>
      </c>
    </row>
    <row r="78" spans="1:16" x14ac:dyDescent="0.2">
      <c r="A78">
        <v>77</v>
      </c>
      <c r="B78">
        <v>748</v>
      </c>
      <c r="C78">
        <v>240</v>
      </c>
      <c r="D78">
        <v>0.33358517357881101</v>
      </c>
      <c r="E78">
        <v>7.14826813947698</v>
      </c>
      <c r="F78">
        <v>0.68580535254845199</v>
      </c>
      <c r="G78">
        <v>-143.13580958718427</v>
      </c>
      <c r="H78">
        <v>-94.500391680569862</v>
      </c>
      <c r="I78">
        <v>47.6308683938203</v>
      </c>
      <c r="J78">
        <v>22.062650576275399</v>
      </c>
      <c r="K78">
        <v>10.423173445517699</v>
      </c>
      <c r="L78">
        <v>1.2357555241623169E-3</v>
      </c>
      <c r="M78">
        <v>2.2213891687537281E-4</v>
      </c>
      <c r="N78" s="1">
        <v>8.3177126557878997E-6</v>
      </c>
      <c r="O78" s="1">
        <v>2.2607415251594899E-6</v>
      </c>
      <c r="P78" s="1">
        <v>-7.4326154164312099E-6</v>
      </c>
    </row>
    <row r="79" spans="1:16" x14ac:dyDescent="0.2">
      <c r="A79">
        <v>78</v>
      </c>
      <c r="B79">
        <v>746</v>
      </c>
      <c r="C79">
        <v>240</v>
      </c>
      <c r="D79">
        <v>0.33214001864298798</v>
      </c>
      <c r="E79">
        <v>9.9494177520262603</v>
      </c>
      <c r="F79">
        <v>0.84451687950080201</v>
      </c>
      <c r="G79">
        <v>-189.55733165401145</v>
      </c>
      <c r="H79">
        <v>-133.96303366152998</v>
      </c>
      <c r="I79">
        <v>54.552568660845402</v>
      </c>
      <c r="J79">
        <v>25.952958160487501</v>
      </c>
      <c r="K79">
        <v>11.781194661150399</v>
      </c>
      <c r="L79">
        <v>1.1352683379347184E-3</v>
      </c>
      <c r="M79">
        <v>2.0288792127585095E-4</v>
      </c>
      <c r="N79" s="1">
        <v>8.77925428803137E-6</v>
      </c>
      <c r="O79" s="1">
        <v>2.33102942056714E-6</v>
      </c>
      <c r="P79" s="1">
        <v>-7.7144980859003792E-6</v>
      </c>
    </row>
    <row r="80" spans="1:16" x14ac:dyDescent="0.2">
      <c r="A80">
        <v>79</v>
      </c>
      <c r="B80">
        <v>744</v>
      </c>
      <c r="C80">
        <v>240</v>
      </c>
      <c r="D80">
        <v>0.33068918055350899</v>
      </c>
      <c r="E80">
        <v>50.194103389263702</v>
      </c>
      <c r="F80">
        <v>1.61506505056437</v>
      </c>
      <c r="G80">
        <v>-844.62690765155799</v>
      </c>
      <c r="H80">
        <v>-690.30525921429432</v>
      </c>
      <c r="I80">
        <v>151.72388406631401</v>
      </c>
      <c r="J80">
        <v>80.116265206365199</v>
      </c>
      <c r="K80">
        <v>31.0786883610191</v>
      </c>
      <c r="L80">
        <v>6.3502568559015192E-4</v>
      </c>
      <c r="M80">
        <v>1.1202071694794298E-4</v>
      </c>
      <c r="N80" s="1">
        <v>1.27263119656607E-5</v>
      </c>
      <c r="O80" s="1">
        <v>3.3714146636210301E-6</v>
      </c>
      <c r="P80" s="1">
        <v>-1.12304613933944E-5</v>
      </c>
    </row>
    <row r="81" spans="1:16" x14ac:dyDescent="0.2">
      <c r="A81">
        <v>80</v>
      </c>
      <c r="B81">
        <v>742</v>
      </c>
      <c r="C81">
        <v>240</v>
      </c>
      <c r="D81">
        <v>0.32923262572033701</v>
      </c>
      <c r="E81">
        <v>82.920884596574894</v>
      </c>
      <c r="F81">
        <v>1.77562188393333</v>
      </c>
      <c r="G81">
        <v>-1376.2150002311826</v>
      </c>
      <c r="H81">
        <v>-1142.3877377712611</v>
      </c>
      <c r="I81">
        <v>230.34294857974101</v>
      </c>
      <c r="J81">
        <v>124.112478367149</v>
      </c>
      <c r="K81">
        <v>46.699629773028803</v>
      </c>
      <c r="L81">
        <v>5.3161741813060519E-4</v>
      </c>
      <c r="M81">
        <v>9.2968067977382737E-5</v>
      </c>
      <c r="N81" s="1">
        <v>1.6034772562177699E-5</v>
      </c>
      <c r="O81" s="1">
        <v>4.1893954695061298E-6</v>
      </c>
      <c r="P81" s="1">
        <v>-1.4047322110627401E-5</v>
      </c>
    </row>
    <row r="82" spans="1:16" x14ac:dyDescent="0.2">
      <c r="A82">
        <v>81</v>
      </c>
      <c r="B82">
        <v>740</v>
      </c>
      <c r="C82">
        <v>240</v>
      </c>
      <c r="D82">
        <v>0.32777032028821201</v>
      </c>
      <c r="E82">
        <v>91.093056143739702</v>
      </c>
      <c r="F82">
        <v>1.80196352170369</v>
      </c>
      <c r="G82">
        <v>-1508.541706766583</v>
      </c>
      <c r="H82">
        <v>-1255.5496704766774</v>
      </c>
      <c r="I82">
        <v>249.71394766903501</v>
      </c>
      <c r="J82">
        <v>135.14866582918901</v>
      </c>
      <c r="K82">
        <v>50.552108878216401</v>
      </c>
      <c r="L82">
        <v>5.155182875986224E-4</v>
      </c>
      <c r="M82">
        <v>8.9626693566310556E-5</v>
      </c>
      <c r="N82" s="1">
        <v>1.7080808556728599E-5</v>
      </c>
      <c r="O82" s="1">
        <v>4.36644890169838E-6</v>
      </c>
      <c r="P82" s="1">
        <v>-1.4738387181355601E-5</v>
      </c>
    </row>
    <row r="83" spans="1:16" x14ac:dyDescent="0.2">
      <c r="A83">
        <v>82</v>
      </c>
      <c r="B83">
        <v>738</v>
      </c>
      <c r="C83">
        <v>240</v>
      </c>
      <c r="D83">
        <v>0.326302230134007</v>
      </c>
      <c r="E83">
        <v>94.916216128813005</v>
      </c>
      <c r="F83">
        <v>1.8140571952940301</v>
      </c>
      <c r="G83">
        <v>-1570.133377016361</v>
      </c>
      <c r="H83">
        <v>-1308.6531673170525</v>
      </c>
      <c r="I83">
        <v>258.60256573245999</v>
      </c>
      <c r="J83">
        <v>140.355441129947</v>
      </c>
      <c r="K83">
        <v>52.322614951194197</v>
      </c>
      <c r="L83">
        <v>5.0867915369279368E-4</v>
      </c>
      <c r="M83">
        <v>8.7953413150653869E-5</v>
      </c>
      <c r="N83" s="1">
        <v>1.77266813216049E-5</v>
      </c>
      <c r="O83" s="1">
        <v>4.4305976933613497E-6</v>
      </c>
      <c r="P83" s="1">
        <v>-1.50546092182361E-5</v>
      </c>
    </row>
    <row r="84" spans="1:16" x14ac:dyDescent="0.2">
      <c r="A84">
        <v>83</v>
      </c>
      <c r="B84">
        <v>736</v>
      </c>
      <c r="C84">
        <v>240</v>
      </c>
      <c r="D84">
        <v>0.32482832086409602</v>
      </c>
      <c r="E84">
        <v>97.216074169562106</v>
      </c>
      <c r="F84">
        <v>1.8217522037162299</v>
      </c>
      <c r="G84">
        <v>-1606.9492785775151</v>
      </c>
      <c r="H84">
        <v>-1340.7218244844437</v>
      </c>
      <c r="I84">
        <v>263.819356419104</v>
      </c>
      <c r="J84">
        <v>143.52389555317399</v>
      </c>
      <c r="K84">
        <v>53.364049167196796</v>
      </c>
      <c r="L84">
        <v>5.0469032698659592E-4</v>
      </c>
      <c r="M84">
        <v>8.679509116066235E-5</v>
      </c>
      <c r="N84" s="1">
        <v>1.8230890456703598E-5</v>
      </c>
      <c r="O84" s="1">
        <v>4.45515452324667E-6</v>
      </c>
      <c r="P84" s="1">
        <v>-1.52391217389905E-5</v>
      </c>
    </row>
    <row r="85" spans="1:16" x14ac:dyDescent="0.2">
      <c r="A85">
        <v>84</v>
      </c>
      <c r="B85">
        <v>734</v>
      </c>
      <c r="C85">
        <v>240</v>
      </c>
      <c r="D85">
        <v>0.32334855781164801</v>
      </c>
      <c r="E85">
        <v>98.786130057027194</v>
      </c>
      <c r="F85">
        <v>1.8274687552019599</v>
      </c>
      <c r="G85">
        <v>-1631.8956168639011</v>
      </c>
      <c r="H85">
        <v>-1362.7139178812388</v>
      </c>
      <c r="I85">
        <v>267.276571782345</v>
      </c>
      <c r="J85">
        <v>145.71855627787301</v>
      </c>
      <c r="K85">
        <v>54.056262125318497</v>
      </c>
      <c r="L85">
        <v>5.0197735710073551E-4</v>
      </c>
      <c r="M85">
        <v>8.586833374610909E-5</v>
      </c>
      <c r="N85" s="1">
        <v>1.8665543905837099E-5</v>
      </c>
      <c r="O85" s="1">
        <v>4.4607017000894401E-6</v>
      </c>
      <c r="P85" s="1">
        <v>-1.53601058926252E-5</v>
      </c>
    </row>
    <row r="86" spans="1:16" x14ac:dyDescent="0.2">
      <c r="A86">
        <v>85</v>
      </c>
      <c r="B86">
        <v>732</v>
      </c>
      <c r="C86">
        <v>240</v>
      </c>
      <c r="D86">
        <v>0.32186290603392398</v>
      </c>
      <c r="E86">
        <v>99.943009036428194</v>
      </c>
      <c r="F86">
        <v>1.83210850439679</v>
      </c>
      <c r="G86">
        <v>-1650.1222821272008</v>
      </c>
      <c r="H86">
        <v>-1379.001849374225</v>
      </c>
      <c r="I86">
        <v>269.73722365283498</v>
      </c>
      <c r="J86">
        <v>147.36429920706601</v>
      </c>
      <c r="K86">
        <v>54.5508133369717</v>
      </c>
      <c r="L86">
        <v>4.9995387936047433E-4</v>
      </c>
      <c r="M86">
        <v>8.5067540740603137E-5</v>
      </c>
      <c r="N86" s="1">
        <v>1.9059134279394598E-5</v>
      </c>
      <c r="O86" s="1">
        <v>4.4554552678896298E-6</v>
      </c>
      <c r="P86" s="1">
        <v>-1.5444738770140799E-5</v>
      </c>
    </row>
    <row r="87" spans="1:16" x14ac:dyDescent="0.2">
      <c r="A87">
        <v>86</v>
      </c>
      <c r="B87">
        <v>760</v>
      </c>
      <c r="C87">
        <v>225</v>
      </c>
      <c r="D87">
        <v>0.35810918066108399</v>
      </c>
      <c r="E87">
        <v>5.0833107442442298</v>
      </c>
      <c r="F87">
        <v>0.49144061549942297</v>
      </c>
      <c r="G87">
        <v>-110.77154250412573</v>
      </c>
      <c r="H87">
        <v>-64.486014628558678</v>
      </c>
      <c r="I87">
        <v>44.803210432295302</v>
      </c>
      <c r="J87">
        <v>19.9805555444871</v>
      </c>
      <c r="K87">
        <v>10.3436927757351</v>
      </c>
      <c r="L87">
        <v>1.4029199985897739E-3</v>
      </c>
      <c r="M87">
        <v>2.7711513706788111E-4</v>
      </c>
      <c r="N87" s="1">
        <v>7.3719359959799798E-6</v>
      </c>
      <c r="O87" s="1">
        <v>3.0548612057369199E-6</v>
      </c>
      <c r="P87" s="1">
        <v>-8.9311637275618899E-6</v>
      </c>
    </row>
    <row r="88" spans="1:16" x14ac:dyDescent="0.2">
      <c r="A88">
        <v>87</v>
      </c>
      <c r="B88">
        <v>758</v>
      </c>
      <c r="C88">
        <v>225</v>
      </c>
      <c r="D88">
        <v>0.356728410027642</v>
      </c>
      <c r="E88">
        <v>5.30495491608061</v>
      </c>
      <c r="F88">
        <v>0.50901202908701604</v>
      </c>
      <c r="G88">
        <v>-114.36822822878098</v>
      </c>
      <c r="H88">
        <v>-67.674981485906656</v>
      </c>
      <c r="I88">
        <v>45.285518876943101</v>
      </c>
      <c r="J88">
        <v>20.2953921136281</v>
      </c>
      <c r="K88">
        <v>10.4220619807272</v>
      </c>
      <c r="L88">
        <v>1.3943150505056183E-3</v>
      </c>
      <c r="M88">
        <v>2.7399059695049289E-4</v>
      </c>
      <c r="N88" s="1">
        <v>7.5871594406340899E-6</v>
      </c>
      <c r="O88" s="1">
        <v>3.0427835549232199E-6</v>
      </c>
      <c r="P88" s="1">
        <v>-8.9569683949644701E-6</v>
      </c>
    </row>
    <row r="89" spans="1:16" x14ac:dyDescent="0.2">
      <c r="A89">
        <v>88</v>
      </c>
      <c r="B89">
        <v>756</v>
      </c>
      <c r="C89">
        <v>225</v>
      </c>
      <c r="D89">
        <v>0.35534227274935698</v>
      </c>
      <c r="E89">
        <v>5.72846714776135</v>
      </c>
      <c r="F89">
        <v>0.54067728431909701</v>
      </c>
      <c r="G89">
        <v>-121.30908190858575</v>
      </c>
      <c r="H89">
        <v>-73.736713626394632</v>
      </c>
      <c r="I89">
        <v>46.2277576160511</v>
      </c>
      <c r="J89">
        <v>20.870120903563102</v>
      </c>
      <c r="K89">
        <v>10.594983946802</v>
      </c>
      <c r="L89">
        <v>1.3759434703014182E-3</v>
      </c>
      <c r="M89">
        <v>2.6898689628833557E-4</v>
      </c>
      <c r="N89" s="1">
        <v>7.8190561645353105E-6</v>
      </c>
      <c r="O89" s="1">
        <v>3.0360875924645501E-6</v>
      </c>
      <c r="P89" s="1">
        <v>-8.9987804530247108E-6</v>
      </c>
    </row>
    <row r="90" spans="1:16" x14ac:dyDescent="0.2">
      <c r="A90">
        <v>89</v>
      </c>
      <c r="B90">
        <v>754</v>
      </c>
      <c r="C90">
        <v>225</v>
      </c>
      <c r="D90">
        <v>0.35395073747748601</v>
      </c>
      <c r="E90">
        <v>6.1479817106227497</v>
      </c>
      <c r="F90">
        <v>0.57106791562803605</v>
      </c>
      <c r="G90">
        <v>-128.17966439501237</v>
      </c>
      <c r="H90">
        <v>-79.743873018652394</v>
      </c>
      <c r="I90">
        <v>47.158382067943002</v>
      </c>
      <c r="J90">
        <v>21.439525822004001</v>
      </c>
      <c r="K90">
        <v>10.765762779478599</v>
      </c>
      <c r="L90">
        <v>1.3583250886557076E-3</v>
      </c>
      <c r="M90">
        <v>2.6417028030766341E-4</v>
      </c>
      <c r="N90" s="1">
        <v>8.0536864983518503E-6</v>
      </c>
      <c r="O90" s="1">
        <v>3.0290191557246399E-6</v>
      </c>
      <c r="P90" s="1">
        <v>-9.0397541769631807E-6</v>
      </c>
    </row>
    <row r="91" spans="1:16" x14ac:dyDescent="0.2">
      <c r="A91">
        <v>90</v>
      </c>
      <c r="B91">
        <v>752</v>
      </c>
      <c r="C91">
        <v>225</v>
      </c>
      <c r="D91">
        <v>0.35255377261864101</v>
      </c>
      <c r="E91">
        <v>6.5635599574205603</v>
      </c>
      <c r="F91">
        <v>0.60026520128152205</v>
      </c>
      <c r="G91">
        <v>-134.981059534362</v>
      </c>
      <c r="H91">
        <v>-85.697299695801135</v>
      </c>
      <c r="I91">
        <v>48.077562090279102</v>
      </c>
      <c r="J91">
        <v>22.003682666343298</v>
      </c>
      <c r="K91">
        <v>10.934433552715999</v>
      </c>
      <c r="L91">
        <v>1.3414103902862299E-3</v>
      </c>
      <c r="M91">
        <v>2.5952880039789447E-4</v>
      </c>
      <c r="N91" s="1">
        <v>8.2910059342071398E-6</v>
      </c>
      <c r="O91" s="1">
        <v>3.0215830322533999E-6</v>
      </c>
      <c r="P91" s="1">
        <v>-9.0798802736506492E-6</v>
      </c>
    </row>
    <row r="92" spans="1:16" x14ac:dyDescent="0.2">
      <c r="A92">
        <v>91</v>
      </c>
      <c r="B92">
        <v>750</v>
      </c>
      <c r="C92">
        <v>225</v>
      </c>
      <c r="D92">
        <v>0.35115134633240402</v>
      </c>
      <c r="E92">
        <v>8.3061521271073193</v>
      </c>
      <c r="F92">
        <v>0.705989699396532</v>
      </c>
      <c r="G92">
        <v>-163.82946927321831</v>
      </c>
      <c r="H92">
        <v>-110.3020459982618</v>
      </c>
      <c r="I92">
        <v>52.319249297931897</v>
      </c>
      <c r="J92">
        <v>24.408840764883099</v>
      </c>
      <c r="K92">
        <v>11.765259654931601</v>
      </c>
      <c r="L92">
        <v>1.2729609962460252E-3</v>
      </c>
      <c r="M92">
        <v>2.4490896929364389E-4</v>
      </c>
      <c r="N92" s="1">
        <v>8.6655735886836903E-6</v>
      </c>
      <c r="O92" s="1">
        <v>3.0662900709163702E-6</v>
      </c>
      <c r="P92" s="1">
        <v>-9.2779664675299203E-6</v>
      </c>
    </row>
    <row r="93" spans="1:16" x14ac:dyDescent="0.2">
      <c r="A93">
        <v>92</v>
      </c>
      <c r="B93">
        <v>748</v>
      </c>
      <c r="C93">
        <v>225</v>
      </c>
      <c r="D93">
        <v>0.34974342652891699</v>
      </c>
      <c r="E93">
        <v>11.9419578327955</v>
      </c>
      <c r="F93">
        <v>0.88205701623700505</v>
      </c>
      <c r="G93">
        <v>-224.07341494808395</v>
      </c>
      <c r="H93">
        <v>-161.49178421886725</v>
      </c>
      <c r="I93">
        <v>61.288531666106699</v>
      </c>
      <c r="J93">
        <v>29.442897315397801</v>
      </c>
      <c r="K93">
        <v>13.5387595279745</v>
      </c>
      <c r="L93">
        <v>1.1567644445963951E-3</v>
      </c>
      <c r="M93">
        <v>2.2118930859576423E-4</v>
      </c>
      <c r="N93" s="1">
        <v>9.2421431970446902E-6</v>
      </c>
      <c r="O93" s="1">
        <v>3.1837946609650399E-6</v>
      </c>
      <c r="P93" s="1">
        <v>-9.7001903103877002E-6</v>
      </c>
    </row>
    <row r="94" spans="1:16" x14ac:dyDescent="0.2">
      <c r="A94">
        <v>93</v>
      </c>
      <c r="B94">
        <v>746</v>
      </c>
      <c r="C94">
        <v>225</v>
      </c>
      <c r="D94">
        <v>0.34832998086640898</v>
      </c>
      <c r="E94">
        <v>64.840466720093801</v>
      </c>
      <c r="F94">
        <v>1.6651329196542599</v>
      </c>
      <c r="G94">
        <v>-1084.3515121870582</v>
      </c>
      <c r="H94">
        <v>-892.41934194695705</v>
      </c>
      <c r="I94">
        <v>188.33048752766899</v>
      </c>
      <c r="J94">
        <v>100.259175401015</v>
      </c>
      <c r="K94">
        <v>38.940114602716903</v>
      </c>
      <c r="L94">
        <v>6.265901072576175E-4</v>
      </c>
      <c r="M94">
        <v>1.1816730573740243E-4</v>
      </c>
      <c r="N94" s="1">
        <v>1.4185529072181701E-5</v>
      </c>
      <c r="O94" s="1">
        <v>4.8598366823824001E-6</v>
      </c>
      <c r="P94" s="1">
        <v>-1.49078853159606E-5</v>
      </c>
    </row>
    <row r="95" spans="1:16" x14ac:dyDescent="0.2">
      <c r="A95">
        <v>94</v>
      </c>
      <c r="B95">
        <v>744</v>
      </c>
      <c r="C95">
        <v>225</v>
      </c>
      <c r="D95">
        <v>0.34691097674876298</v>
      </c>
      <c r="E95">
        <v>85.251212977006503</v>
      </c>
      <c r="F95">
        <v>1.75137635495122</v>
      </c>
      <c r="G95">
        <v>-1415.6583015309409</v>
      </c>
      <c r="H95">
        <v>-1174.5768448255426</v>
      </c>
      <c r="I95">
        <v>237.02202154863099</v>
      </c>
      <c r="J95">
        <v>127.597780903914</v>
      </c>
      <c r="K95">
        <v>48.676695180905597</v>
      </c>
      <c r="L95">
        <v>5.6931594098497866E-4</v>
      </c>
      <c r="M95">
        <v>1.065962907348378E-4</v>
      </c>
      <c r="N95" s="1">
        <v>1.6340912260398502E-5</v>
      </c>
      <c r="O95" s="1">
        <v>5.4703848253509898E-6</v>
      </c>
      <c r="P95" s="1">
        <v>-1.6897081083327001E-5</v>
      </c>
    </row>
    <row r="96" spans="1:16" x14ac:dyDescent="0.2">
      <c r="A96">
        <v>95</v>
      </c>
      <c r="B96">
        <v>742</v>
      </c>
      <c r="C96">
        <v>225</v>
      </c>
      <c r="D96">
        <v>0.345486381322956</v>
      </c>
      <c r="E96">
        <v>91.933159655795393</v>
      </c>
      <c r="F96">
        <v>1.77417287028072</v>
      </c>
      <c r="G96">
        <v>-1523.7358805891236</v>
      </c>
      <c r="H96">
        <v>-1267.1833785645881</v>
      </c>
      <c r="I96">
        <v>252.72935477263499</v>
      </c>
      <c r="J96">
        <v>136.594306190476</v>
      </c>
      <c r="K96">
        <v>51.817475735185297</v>
      </c>
      <c r="L96">
        <v>5.5509899499596601E-4</v>
      </c>
      <c r="M96">
        <v>1.0332712065107365E-4</v>
      </c>
      <c r="N96" s="1">
        <v>1.7298911828202E-5</v>
      </c>
      <c r="O96" s="1">
        <v>5.6402308396237004E-6</v>
      </c>
      <c r="P96" s="1">
        <v>-1.7542938587645101E-5</v>
      </c>
    </row>
    <row r="97" spans="1:16" x14ac:dyDescent="0.2">
      <c r="A97">
        <v>96</v>
      </c>
      <c r="B97">
        <v>740</v>
      </c>
      <c r="C97">
        <v>225</v>
      </c>
      <c r="D97">
        <v>0.34405616147658602</v>
      </c>
      <c r="E97">
        <v>95.328879050086201</v>
      </c>
      <c r="F97">
        <v>1.78580443705879</v>
      </c>
      <c r="G97">
        <v>-1578.3690304869851</v>
      </c>
      <c r="H97">
        <v>-1314.3979184855534</v>
      </c>
      <c r="I97">
        <v>260.55067925650502</v>
      </c>
      <c r="J97">
        <v>141.207364145724</v>
      </c>
      <c r="K97">
        <v>53.381477317355198</v>
      </c>
      <c r="L97">
        <v>5.4844635150313569E-4</v>
      </c>
      <c r="M97">
        <v>1.0151808570749651E-4</v>
      </c>
      <c r="N97" s="1">
        <v>1.7971350300516199E-5</v>
      </c>
      <c r="O97" s="1">
        <v>5.7051464577987903E-6</v>
      </c>
      <c r="P97" s="1">
        <v>-1.7868584214383598E-5</v>
      </c>
    </row>
    <row r="98" spans="1:16" x14ac:dyDescent="0.2">
      <c r="A98">
        <v>97</v>
      </c>
      <c r="B98">
        <v>738</v>
      </c>
      <c r="C98">
        <v>225</v>
      </c>
      <c r="D98">
        <v>0.34262028383523802</v>
      </c>
      <c r="E98">
        <v>97.445685516599497</v>
      </c>
      <c r="F98">
        <v>1.7935196450356199</v>
      </c>
      <c r="G98">
        <v>-1612.2030638804044</v>
      </c>
      <c r="H98">
        <v>-1343.9474722507309</v>
      </c>
      <c r="I98">
        <v>265.30333408322599</v>
      </c>
      <c r="J98">
        <v>144.117696883636</v>
      </c>
      <c r="K98">
        <v>54.332098221686202</v>
      </c>
      <c r="L98">
        <v>5.4443703267063935E-4</v>
      </c>
      <c r="M98">
        <v>1.002207963048901E-4</v>
      </c>
      <c r="N98" s="1">
        <v>1.85321261618534E-5</v>
      </c>
      <c r="O98" s="1">
        <v>5.7291817509754603E-6</v>
      </c>
      <c r="P98" s="1">
        <v>-1.8069203039126201E-5</v>
      </c>
    </row>
    <row r="99" spans="1:16" x14ac:dyDescent="0.2">
      <c r="A99">
        <v>98</v>
      </c>
      <c r="B99">
        <v>736</v>
      </c>
      <c r="C99">
        <v>225</v>
      </c>
      <c r="D99">
        <v>0.34117871475994799</v>
      </c>
      <c r="E99">
        <v>98.920574699825593</v>
      </c>
      <c r="F99">
        <v>1.7993763940118099</v>
      </c>
      <c r="G99">
        <v>-1635.5978805213749</v>
      </c>
      <c r="H99">
        <v>-1364.6315106191701</v>
      </c>
      <c r="I99">
        <v>268.515374612085</v>
      </c>
      <c r="J99">
        <v>146.17583271146799</v>
      </c>
      <c r="K99">
        <v>54.974920772010499</v>
      </c>
      <c r="L99">
        <v>5.4167483814168726E-4</v>
      </c>
      <c r="M99">
        <v>9.9166069654433987E-5</v>
      </c>
      <c r="N99" s="1">
        <v>1.9035926860281501E-5</v>
      </c>
      <c r="O99" s="1">
        <v>5.7326274841202204E-6</v>
      </c>
      <c r="P99" s="1">
        <v>-1.8206561697163301E-5</v>
      </c>
    </row>
    <row r="100" spans="1:16" x14ac:dyDescent="0.2">
      <c r="A100">
        <v>99</v>
      </c>
      <c r="B100">
        <v>734</v>
      </c>
      <c r="C100">
        <v>225</v>
      </c>
      <c r="D100">
        <v>0.33973142034453802</v>
      </c>
      <c r="E100">
        <v>100.021797705041</v>
      </c>
      <c r="F100">
        <v>1.80418989699347</v>
      </c>
      <c r="G100">
        <v>-1652.9162118400309</v>
      </c>
      <c r="H100">
        <v>-1380.155477015411</v>
      </c>
      <c r="I100">
        <v>270.83025293235698</v>
      </c>
      <c r="J100">
        <v>147.74003602191101</v>
      </c>
      <c r="K100">
        <v>55.438619777063799</v>
      </c>
      <c r="L100">
        <v>5.3960686400728443E-4</v>
      </c>
      <c r="M100">
        <v>9.8247257120412346E-5</v>
      </c>
      <c r="N100" s="1">
        <v>1.9505480735814099E-5</v>
      </c>
      <c r="O100" s="1">
        <v>5.7240302263602896E-6</v>
      </c>
      <c r="P100" s="1">
        <v>-1.8306632880901102E-5</v>
      </c>
    </row>
    <row r="101" spans="1:16" x14ac:dyDescent="0.2">
      <c r="A101">
        <v>100</v>
      </c>
      <c r="B101">
        <v>760</v>
      </c>
      <c r="C101">
        <v>210</v>
      </c>
      <c r="D101">
        <v>0.374079756085759</v>
      </c>
      <c r="E101">
        <v>5.3201484684118201</v>
      </c>
      <c r="F101">
        <v>0.47019496186147802</v>
      </c>
      <c r="G101">
        <v>-116.098476273416</v>
      </c>
      <c r="H101">
        <v>-67.409598731120468</v>
      </c>
      <c r="I101">
        <v>47.129576593857301</v>
      </c>
      <c r="J101">
        <v>21.027058789778099</v>
      </c>
      <c r="K101">
        <v>11.3147713181562</v>
      </c>
      <c r="L101">
        <v>1.4770021716131714E-3</v>
      </c>
      <c r="M101">
        <v>3.1332272475201295E-4</v>
      </c>
      <c r="N101" s="1">
        <v>7.1036567863820796E-6</v>
      </c>
      <c r="O101" s="1">
        <v>4.1220927622634998E-6</v>
      </c>
      <c r="P101" s="1">
        <v>-1.10356793109578E-5</v>
      </c>
    </row>
    <row r="102" spans="1:16" x14ac:dyDescent="0.2">
      <c r="A102">
        <v>101</v>
      </c>
      <c r="B102">
        <v>758</v>
      </c>
      <c r="C102">
        <v>210</v>
      </c>
      <c r="D102">
        <v>0.37272996169325601</v>
      </c>
      <c r="E102">
        <v>5.6132594611325501</v>
      </c>
      <c r="F102">
        <v>0.491410083015757</v>
      </c>
      <c r="G102">
        <v>-120.87455160155771</v>
      </c>
      <c r="H102">
        <v>-71.61939189139693</v>
      </c>
      <c r="I102">
        <v>47.770172009866897</v>
      </c>
      <c r="J102">
        <v>21.437080052991501</v>
      </c>
      <c r="K102">
        <v>11.4227600432703</v>
      </c>
      <c r="L102">
        <v>1.4659230619627397E-3</v>
      </c>
      <c r="M102">
        <v>3.0931469216458648E-4</v>
      </c>
      <c r="N102" s="1">
        <v>7.3695483450862803E-6</v>
      </c>
      <c r="O102" s="1">
        <v>4.1088018888130902E-6</v>
      </c>
      <c r="P102" s="1">
        <v>-1.10791459737219E-5</v>
      </c>
    </row>
    <row r="103" spans="1:16" x14ac:dyDescent="0.2">
      <c r="A103">
        <v>102</v>
      </c>
      <c r="B103">
        <v>756</v>
      </c>
      <c r="C103">
        <v>210</v>
      </c>
      <c r="D103">
        <v>0.371374921051355</v>
      </c>
      <c r="E103">
        <v>6.02683561834308</v>
      </c>
      <c r="F103">
        <v>0.520124528220406</v>
      </c>
      <c r="G103">
        <v>-127.64471648543676</v>
      </c>
      <c r="H103">
        <v>-77.545250802456053</v>
      </c>
      <c r="I103">
        <v>48.683409201261703</v>
      </c>
      <c r="J103">
        <v>22.001826259302501</v>
      </c>
      <c r="K103">
        <v>11.5872936024835</v>
      </c>
      <c r="L103">
        <v>1.4493654613928731E-3</v>
      </c>
      <c r="M103">
        <v>3.0419076446691628E-4</v>
      </c>
      <c r="N103" s="1">
        <v>7.6469682034459406E-6</v>
      </c>
      <c r="O103" s="1">
        <v>4.0993808502546002E-6</v>
      </c>
      <c r="P103" s="1">
        <v>-1.11333716305963E-5</v>
      </c>
    </row>
    <row r="104" spans="1:16" x14ac:dyDescent="0.2">
      <c r="A104">
        <v>103</v>
      </c>
      <c r="B104">
        <v>754</v>
      </c>
      <c r="C104">
        <v>210</v>
      </c>
      <c r="D104">
        <v>0.37001460351457899</v>
      </c>
      <c r="E104">
        <v>7.0254344581602401</v>
      </c>
      <c r="F104">
        <v>0.58327265734675804</v>
      </c>
      <c r="G104">
        <v>-144.13505119843728</v>
      </c>
      <c r="H104">
        <v>-91.698376921475699</v>
      </c>
      <c r="I104">
        <v>51.053665664838597</v>
      </c>
      <c r="J104">
        <v>23.3734931579299</v>
      </c>
      <c r="K104">
        <v>12.044854785612801</v>
      </c>
      <c r="L104">
        <v>1.4086065992938476E-3</v>
      </c>
      <c r="M104">
        <v>2.9400914649672439E-4</v>
      </c>
      <c r="N104" s="1">
        <v>7.9794152046954995E-6</v>
      </c>
      <c r="O104" s="1">
        <v>4.1185827222027404E-6</v>
      </c>
      <c r="P104" s="1">
        <v>-1.1266270621928801E-5</v>
      </c>
    </row>
    <row r="105" spans="1:16" x14ac:dyDescent="0.2">
      <c r="A105">
        <v>104</v>
      </c>
      <c r="B105">
        <v>752</v>
      </c>
      <c r="C105">
        <v>210</v>
      </c>
      <c r="D105">
        <v>0.36864897819831499</v>
      </c>
      <c r="E105">
        <v>10.582457205017199</v>
      </c>
      <c r="F105">
        <v>0.76780014018925102</v>
      </c>
      <c r="G105">
        <v>-203.10116158677511</v>
      </c>
      <c r="H105">
        <v>-141.80903142361058</v>
      </c>
      <c r="I105">
        <v>59.791598247466197</v>
      </c>
      <c r="J105">
        <v>28.275625162329199</v>
      </c>
      <c r="K105">
        <v>13.782827914577799</v>
      </c>
      <c r="L105">
        <v>1.2824472540507567E-3</v>
      </c>
      <c r="M105">
        <v>2.6602189606677408E-4</v>
      </c>
      <c r="N105" s="1">
        <v>8.5461809362099108E-6</v>
      </c>
      <c r="O105" s="1">
        <v>4.2624025149382597E-6</v>
      </c>
      <c r="P105" s="1">
        <v>-1.17439532574549E-5</v>
      </c>
    </row>
    <row r="106" spans="1:16" x14ac:dyDescent="0.2">
      <c r="A106">
        <v>105</v>
      </c>
      <c r="B106">
        <v>750</v>
      </c>
      <c r="C106">
        <v>210</v>
      </c>
      <c r="D106">
        <v>0.36727801397644499</v>
      </c>
      <c r="E106">
        <v>14.283116295973</v>
      </c>
      <c r="F106">
        <v>0.91624016695150401</v>
      </c>
      <c r="G106">
        <v>-264.35654274402452</v>
      </c>
      <c r="H106">
        <v>-193.90185156420407</v>
      </c>
      <c r="I106">
        <v>68.863852600528304</v>
      </c>
      <c r="J106">
        <v>33.377605413387101</v>
      </c>
      <c r="K106">
        <v>15.588834468472999</v>
      </c>
      <c r="L106">
        <v>1.1809212866815463E-3</v>
      </c>
      <c r="M106">
        <v>2.4344421435386576E-4</v>
      </c>
      <c r="N106" s="1">
        <v>9.1431775277238094E-6</v>
      </c>
      <c r="O106" s="1">
        <v>4.4098003156305797E-6</v>
      </c>
      <c r="P106" s="1">
        <v>-1.22380751046595E-5</v>
      </c>
    </row>
    <row r="107" spans="1:16" x14ac:dyDescent="0.2">
      <c r="A107">
        <v>106</v>
      </c>
      <c r="B107">
        <v>748</v>
      </c>
      <c r="C107">
        <v>210</v>
      </c>
      <c r="D107">
        <v>0.36590167947901903</v>
      </c>
      <c r="E107">
        <v>74.5445991319028</v>
      </c>
      <c r="F107">
        <v>1.6716634380873301</v>
      </c>
      <c r="G107">
        <v>-1243.7082572271197</v>
      </c>
      <c r="H107">
        <v>-1026.3746483603331</v>
      </c>
      <c r="I107">
        <v>212.83730138167101</v>
      </c>
      <c r="J107">
        <v>113.63708170336</v>
      </c>
      <c r="K107">
        <v>44.593066662506303</v>
      </c>
      <c r="L107">
        <v>6.4748241330431927E-4</v>
      </c>
      <c r="M107">
        <v>1.3164381111819656E-4</v>
      </c>
      <c r="N107" s="1">
        <v>1.4237050448606201E-5</v>
      </c>
      <c r="O107" s="1">
        <v>6.7838377898035098E-6</v>
      </c>
      <c r="P107" s="1">
        <v>-1.8961694668750901E-5</v>
      </c>
    </row>
    <row r="108" spans="1:16" x14ac:dyDescent="0.2">
      <c r="A108">
        <v>107</v>
      </c>
      <c r="B108">
        <v>746</v>
      </c>
      <c r="C108">
        <v>210</v>
      </c>
      <c r="D108">
        <v>0.36451994308983099</v>
      </c>
      <c r="E108">
        <v>87.578012897505403</v>
      </c>
      <c r="F108">
        <v>1.7239752339587</v>
      </c>
      <c r="G108">
        <v>-1455.0454636075513</v>
      </c>
      <c r="H108">
        <v>-1206.7094898338412</v>
      </c>
      <c r="I108">
        <v>243.67519011140499</v>
      </c>
      <c r="J108">
        <v>131.03933220022799</v>
      </c>
      <c r="K108">
        <v>50.800041191080702</v>
      </c>
      <c r="L108">
        <v>6.1199620637266761E-4</v>
      </c>
      <c r="M108">
        <v>1.2361676877035529E-4</v>
      </c>
      <c r="N108" s="1">
        <v>1.5708204122512502E-5</v>
      </c>
      <c r="O108" s="1">
        <v>7.2515310476087503E-6</v>
      </c>
      <c r="P108" s="1">
        <v>-2.04163173328309E-5</v>
      </c>
    </row>
    <row r="109" spans="1:16" x14ac:dyDescent="0.2">
      <c r="A109">
        <v>108</v>
      </c>
      <c r="B109">
        <v>744</v>
      </c>
      <c r="C109">
        <v>210</v>
      </c>
      <c r="D109">
        <v>0.36313277294401303</v>
      </c>
      <c r="E109">
        <v>92.904642838518598</v>
      </c>
      <c r="F109">
        <v>1.7433052709268599</v>
      </c>
      <c r="G109">
        <v>-1541.0737979737037</v>
      </c>
      <c r="H109">
        <v>-1280.6124977958114</v>
      </c>
      <c r="I109">
        <v>256.07536403280102</v>
      </c>
      <c r="J109">
        <v>138.19568340755799</v>
      </c>
      <c r="K109">
        <v>53.292239969609</v>
      </c>
      <c r="L109">
        <v>5.9985186758737129E-4</v>
      </c>
      <c r="M109">
        <v>1.2045184372606955E-4</v>
      </c>
      <c r="N109" s="1">
        <v>1.6588710687692101E-5</v>
      </c>
      <c r="O109" s="1">
        <v>7.41021399197343E-6</v>
      </c>
      <c r="P109" s="1">
        <v>-2.1015219860329301E-5</v>
      </c>
    </row>
    <row r="110" spans="1:16" x14ac:dyDescent="0.2">
      <c r="A110">
        <v>109</v>
      </c>
      <c r="B110">
        <v>742</v>
      </c>
      <c r="C110">
        <v>210</v>
      </c>
      <c r="D110">
        <v>0.361740136925575</v>
      </c>
      <c r="E110">
        <v>95.846880999106702</v>
      </c>
      <c r="F110">
        <v>1.7542574142574801</v>
      </c>
      <c r="G110">
        <v>-1588.3270405804628</v>
      </c>
      <c r="H110">
        <v>-1321.573757438543</v>
      </c>
      <c r="I110">
        <v>262.778040207316</v>
      </c>
      <c r="J110">
        <v>142.18754152847399</v>
      </c>
      <c r="K110">
        <v>54.6367256139972</v>
      </c>
      <c r="L110">
        <v>5.936221154248301E-4</v>
      </c>
      <c r="M110">
        <v>1.1852039143386785E-4</v>
      </c>
      <c r="N110" s="1">
        <v>1.7288362954919799E-5</v>
      </c>
      <c r="O110" s="1">
        <v>7.4737463272789399E-6</v>
      </c>
      <c r="P110" s="1">
        <v>-2.13503116564362E-5</v>
      </c>
    </row>
    <row r="111" spans="1:16" x14ac:dyDescent="0.2">
      <c r="A111">
        <v>110</v>
      </c>
      <c r="B111">
        <v>740</v>
      </c>
      <c r="C111">
        <v>210</v>
      </c>
      <c r="D111">
        <v>0.36034200266496003</v>
      </c>
      <c r="E111">
        <v>97.755568980974303</v>
      </c>
      <c r="F111">
        <v>1.76186918275101</v>
      </c>
      <c r="G111">
        <v>-1618.7726765590719</v>
      </c>
      <c r="H111">
        <v>-1348.2557184210834</v>
      </c>
      <c r="I111">
        <v>267.01165610939199</v>
      </c>
      <c r="J111">
        <v>144.810514075897</v>
      </c>
      <c r="K111">
        <v>55.484010923181501</v>
      </c>
      <c r="L111">
        <v>5.8973942350079209E-4</v>
      </c>
      <c r="M111">
        <v>1.1707981491484761E-4</v>
      </c>
      <c r="N111" s="1">
        <v>1.7910309178625901E-5</v>
      </c>
      <c r="O111" s="1">
        <v>7.4959693583093804E-6</v>
      </c>
      <c r="P111" s="1">
        <v>-2.1570633331125501E-5</v>
      </c>
    </row>
    <row r="112" spans="1:16" x14ac:dyDescent="0.2">
      <c r="A112">
        <v>111</v>
      </c>
      <c r="B112">
        <v>738</v>
      </c>
      <c r="C112">
        <v>210</v>
      </c>
      <c r="D112">
        <v>0.35893833753646798</v>
      </c>
      <c r="E112">
        <v>99.117374320355097</v>
      </c>
      <c r="F112">
        <v>1.76779768753099</v>
      </c>
      <c r="G112">
        <v>-1640.3252750911397</v>
      </c>
      <c r="H112">
        <v>-1367.3829271300328</v>
      </c>
      <c r="I112">
        <v>269.93847562562001</v>
      </c>
      <c r="J112">
        <v>146.71130835350601</v>
      </c>
      <c r="K112">
        <v>56.068279203819898</v>
      </c>
      <c r="L112">
        <v>5.8703132421689466E-4</v>
      </c>
      <c r="M112">
        <v>1.1588600777894938E-4</v>
      </c>
      <c r="N112" s="1">
        <v>1.8491267800804E-5</v>
      </c>
      <c r="O112" s="1">
        <v>7.4962198642550098E-6</v>
      </c>
      <c r="P112" s="1">
        <v>-2.1729656694709399E-5</v>
      </c>
    </row>
    <row r="113" spans="1:16" x14ac:dyDescent="0.2">
      <c r="A113">
        <v>112</v>
      </c>
      <c r="B113">
        <v>736</v>
      </c>
      <c r="C113">
        <v>210</v>
      </c>
      <c r="D113">
        <v>0.35752910865580001</v>
      </c>
      <c r="E113">
        <v>100.150280421133</v>
      </c>
      <c r="F113">
        <v>1.77274665693406</v>
      </c>
      <c r="G113">
        <v>-1656.5298188438444</v>
      </c>
      <c r="H113">
        <v>-1381.9672253755339</v>
      </c>
      <c r="I113">
        <v>272.07904243490299</v>
      </c>
      <c r="J113">
        <v>148.17967378617701</v>
      </c>
      <c r="K113">
        <v>56.494412232789799</v>
      </c>
      <c r="L113">
        <v>5.850000469605172E-4</v>
      </c>
      <c r="M113">
        <v>1.1483529536805865E-4</v>
      </c>
      <c r="N113" s="1">
        <v>1.9047383722049699E-5</v>
      </c>
      <c r="O113" s="1">
        <v>7.4831589749544598E-6</v>
      </c>
      <c r="P113" s="1">
        <v>-2.1851284406176101E-5</v>
      </c>
    </row>
    <row r="114" spans="1:16" x14ac:dyDescent="0.2">
      <c r="A114">
        <v>113</v>
      </c>
      <c r="B114">
        <v>762</v>
      </c>
      <c r="C114">
        <v>195</v>
      </c>
      <c r="D114">
        <v>0.39136405351881698</v>
      </c>
      <c r="E114">
        <v>5.5566580008270297</v>
      </c>
      <c r="F114">
        <v>0.44578296558609498</v>
      </c>
      <c r="G114">
        <v>-121.5404196517982</v>
      </c>
      <c r="H114">
        <v>-70.259219477087598</v>
      </c>
      <c r="I114">
        <v>49.542945501266999</v>
      </c>
      <c r="J114">
        <v>22.033718696225801</v>
      </c>
      <c r="K114">
        <v>12.4649401834396</v>
      </c>
      <c r="L114">
        <v>1.5524979899906154E-3</v>
      </c>
      <c r="M114">
        <v>3.5869371759654088E-4</v>
      </c>
      <c r="N114" s="1">
        <v>5.7106187182406399E-6</v>
      </c>
      <c r="O114" s="1">
        <v>5.6820271603408302E-6</v>
      </c>
      <c r="P114" s="1">
        <v>-1.3655049620076E-5</v>
      </c>
    </row>
    <row r="115" spans="1:16" x14ac:dyDescent="0.2">
      <c r="A115">
        <v>114</v>
      </c>
      <c r="B115">
        <v>760</v>
      </c>
      <c r="C115">
        <v>195</v>
      </c>
      <c r="D115">
        <v>0.39005033151043</v>
      </c>
      <c r="E115">
        <v>5.5583409971052902</v>
      </c>
      <c r="F115">
        <v>0.44717101301297602</v>
      </c>
      <c r="G115">
        <v>-121.47815845097742</v>
      </c>
      <c r="H115">
        <v>-70.324613693673541</v>
      </c>
      <c r="I115">
        <v>49.515293598551601</v>
      </c>
      <c r="J115">
        <v>22.0737676739382</v>
      </c>
      <c r="K115">
        <v>12.4300118642618</v>
      </c>
      <c r="L115">
        <v>1.5563892040219205E-3</v>
      </c>
      <c r="M115">
        <v>3.5761072435080092E-4</v>
      </c>
      <c r="N115" s="1">
        <v>6.0078872361504199E-6</v>
      </c>
      <c r="O115" s="1">
        <v>5.6521805380752099E-6</v>
      </c>
      <c r="P115" s="1">
        <v>-1.36851122050002E-5</v>
      </c>
    </row>
    <row r="116" spans="1:16" x14ac:dyDescent="0.2">
      <c r="A116">
        <v>115</v>
      </c>
      <c r="B116">
        <v>758</v>
      </c>
      <c r="C116">
        <v>195</v>
      </c>
      <c r="D116">
        <v>0.38873151335887302</v>
      </c>
      <c r="E116">
        <v>6.2030502166792898</v>
      </c>
      <c r="F116">
        <v>0.48815639067319699</v>
      </c>
      <c r="G116">
        <v>-132.08839319418487</v>
      </c>
      <c r="H116">
        <v>-79.502899805214938</v>
      </c>
      <c r="I116">
        <v>51.000042511982798</v>
      </c>
      <c r="J116">
        <v>22.9598976108615</v>
      </c>
      <c r="K116">
        <v>12.7070961994882</v>
      </c>
      <c r="L116">
        <v>1.5310075260034416E-3</v>
      </c>
      <c r="M116">
        <v>3.4982750261765711E-4</v>
      </c>
      <c r="N116" s="1">
        <v>6.3444124692204903E-6</v>
      </c>
      <c r="O116" s="1">
        <v>5.65508078540733E-6</v>
      </c>
      <c r="P116" s="1">
        <v>-1.37950520697844E-5</v>
      </c>
    </row>
    <row r="117" spans="1:16" x14ac:dyDescent="0.2">
      <c r="A117">
        <v>116</v>
      </c>
      <c r="B117">
        <v>756</v>
      </c>
      <c r="C117">
        <v>195</v>
      </c>
      <c r="D117">
        <v>0.38740756935335302</v>
      </c>
      <c r="E117">
        <v>9.7050409224738505</v>
      </c>
      <c r="F117">
        <v>0.67292667044700105</v>
      </c>
      <c r="G117">
        <v>-190.15826163234306</v>
      </c>
      <c r="H117">
        <v>-128.8604123753646</v>
      </c>
      <c r="I117">
        <v>59.564855100060399</v>
      </c>
      <c r="J117">
        <v>27.763835145264199</v>
      </c>
      <c r="K117">
        <v>14.4221374314487</v>
      </c>
      <c r="L117">
        <v>1.400549721713551E-3</v>
      </c>
      <c r="M117">
        <v>3.1802341332278649E-4</v>
      </c>
      <c r="N117" s="1">
        <v>6.8746268466823397E-6</v>
      </c>
      <c r="O117" s="1">
        <v>5.8353586981625998E-6</v>
      </c>
      <c r="P117" s="1">
        <v>-1.4342047708075399E-5</v>
      </c>
    </row>
    <row r="118" spans="1:16" x14ac:dyDescent="0.2">
      <c r="A118">
        <v>117</v>
      </c>
      <c r="B118">
        <v>754</v>
      </c>
      <c r="C118">
        <v>195</v>
      </c>
      <c r="D118">
        <v>0.38607846955167302</v>
      </c>
      <c r="E118">
        <v>13.3106873996794</v>
      </c>
      <c r="F118">
        <v>0.82237039213917795</v>
      </c>
      <c r="G118">
        <v>-249.86399668890525</v>
      </c>
      <c r="H118">
        <v>-179.64490556397371</v>
      </c>
      <c r="I118">
        <v>68.366389003130607</v>
      </c>
      <c r="J118">
        <v>32.712554107853101</v>
      </c>
      <c r="K118">
        <v>16.185757083320102</v>
      </c>
      <c r="L118">
        <v>1.29505133824566E-3</v>
      </c>
      <c r="M118">
        <v>2.9223107861435255E-4</v>
      </c>
      <c r="N118" s="1">
        <v>7.4342066765546702E-6</v>
      </c>
      <c r="O118" s="1">
        <v>6.0183055942433198E-6</v>
      </c>
      <c r="P118" s="1">
        <v>-1.490343967281E-5</v>
      </c>
    </row>
    <row r="119" spans="1:16" x14ac:dyDescent="0.2">
      <c r="A119">
        <v>118</v>
      </c>
      <c r="B119">
        <v>752</v>
      </c>
      <c r="C119">
        <v>195</v>
      </c>
      <c r="D119">
        <v>0.38474418377798603</v>
      </c>
      <c r="E119">
        <v>48.595974528629696</v>
      </c>
      <c r="F119">
        <v>1.4602293320137101</v>
      </c>
      <c r="G119">
        <v>-823.95070652161985</v>
      </c>
      <c r="H119">
        <v>-667.54818946560624</v>
      </c>
      <c r="I119">
        <v>152.56987689719699</v>
      </c>
      <c r="J119">
        <v>79.593233384576095</v>
      </c>
      <c r="K119">
        <v>33.279686596634797</v>
      </c>
      <c r="L119">
        <v>8.2769390932018697E-4</v>
      </c>
      <c r="M119">
        <v>1.8473240737210009E-4</v>
      </c>
      <c r="N119" s="1">
        <v>9.9420637703405595E-6</v>
      </c>
      <c r="O119" s="1">
        <v>7.8013618623520204E-6</v>
      </c>
      <c r="P119" s="1">
        <v>-1.9464535061275301E-5</v>
      </c>
    </row>
    <row r="120" spans="1:16" x14ac:dyDescent="0.2">
      <c r="A120">
        <v>119</v>
      </c>
      <c r="B120">
        <v>750</v>
      </c>
      <c r="C120">
        <v>195</v>
      </c>
      <c r="D120">
        <v>0.38340468162048602</v>
      </c>
      <c r="E120">
        <v>81.453965680277406</v>
      </c>
      <c r="F120">
        <v>1.6586556469818099</v>
      </c>
      <c r="G120">
        <v>-1357.6225764196665</v>
      </c>
      <c r="H120">
        <v>-1121.7628519469592</v>
      </c>
      <c r="I120">
        <v>230.528440222928</v>
      </c>
      <c r="J120">
        <v>123.164336173941</v>
      </c>
      <c r="K120">
        <v>49.108424541583197</v>
      </c>
      <c r="L120">
        <v>6.8332861527585758E-4</v>
      </c>
      <c r="M120">
        <v>1.5117840726861347E-4</v>
      </c>
      <c r="N120" s="1">
        <v>1.24479398701552E-5</v>
      </c>
      <c r="O120" s="1">
        <v>9.4073360133387198E-6</v>
      </c>
      <c r="P120" s="1">
        <v>-2.3649319265514E-5</v>
      </c>
    </row>
    <row r="121" spans="1:16" x14ac:dyDescent="0.2">
      <c r="A121">
        <v>120</v>
      </c>
      <c r="B121">
        <v>748</v>
      </c>
      <c r="C121">
        <v>195</v>
      </c>
      <c r="D121">
        <v>0.382059932429125</v>
      </c>
      <c r="E121">
        <v>89.870572250466097</v>
      </c>
      <c r="F121">
        <v>1.6924458816175201</v>
      </c>
      <c r="G121">
        <v>-1493.8830151095431</v>
      </c>
      <c r="H121">
        <v>-1238.3541571225683</v>
      </c>
      <c r="I121">
        <v>250.24193353977299</v>
      </c>
      <c r="J121">
        <v>134.37756227130001</v>
      </c>
      <c r="K121">
        <v>53.101002062514397</v>
      </c>
      <c r="L121">
        <v>6.6033387285355759E-4</v>
      </c>
      <c r="M121">
        <v>1.4517873329120834E-4</v>
      </c>
      <c r="N121" s="1">
        <v>1.35118626048062E-5</v>
      </c>
      <c r="O121" s="1">
        <v>9.7686643746663607E-6</v>
      </c>
      <c r="P121" s="1">
        <v>-2.47447803209501E-5</v>
      </c>
    </row>
    <row r="122" spans="1:16" x14ac:dyDescent="0.2">
      <c r="A122">
        <v>121</v>
      </c>
      <c r="B122">
        <v>746</v>
      </c>
      <c r="C122">
        <v>195</v>
      </c>
      <c r="D122">
        <v>0.38070990531325299</v>
      </c>
      <c r="E122">
        <v>94.004013380789502</v>
      </c>
      <c r="F122">
        <v>1.7085468797968999</v>
      </c>
      <c r="G122">
        <v>-1560.502620534749</v>
      </c>
      <c r="H122">
        <v>-1295.7840086615611</v>
      </c>
      <c r="I122">
        <v>259.75020647561701</v>
      </c>
      <c r="J122">
        <v>139.92636837836801</v>
      </c>
      <c r="K122">
        <v>55.0198619027436</v>
      </c>
      <c r="L122">
        <v>6.5037525476035216E-4</v>
      </c>
      <c r="M122">
        <v>1.4214147295550419E-4</v>
      </c>
      <c r="N122" s="1">
        <v>1.4329355303326301E-5</v>
      </c>
      <c r="O122" s="1">
        <v>9.9118837008872506E-6</v>
      </c>
      <c r="P122" s="1">
        <v>-2.52994571306158E-5</v>
      </c>
    </row>
    <row r="123" spans="1:16" x14ac:dyDescent="0.2">
      <c r="A123">
        <v>122</v>
      </c>
      <c r="B123">
        <v>744</v>
      </c>
      <c r="C123">
        <v>195</v>
      </c>
      <c r="D123">
        <v>0.37935456913926302</v>
      </c>
      <c r="E123">
        <v>96.481213694723095</v>
      </c>
      <c r="F123">
        <v>1.7186404573213501</v>
      </c>
      <c r="G123">
        <v>-1600.1896261304016</v>
      </c>
      <c r="H123">
        <v>-1330.3279031382356</v>
      </c>
      <c r="I123">
        <v>265.31741119546098</v>
      </c>
      <c r="J123">
        <v>143.288990612981</v>
      </c>
      <c r="K123">
        <v>56.138102232910903</v>
      </c>
      <c r="L123">
        <v>6.448285442144108E-4</v>
      </c>
      <c r="M123">
        <v>1.4010784285801674E-4</v>
      </c>
      <c r="N123" s="1">
        <v>1.5054707679719901E-5</v>
      </c>
      <c r="O123" s="1">
        <v>9.9711142006071905E-6</v>
      </c>
      <c r="P123" s="1">
        <v>-2.56456962909842E-5</v>
      </c>
    </row>
    <row r="124" spans="1:16" x14ac:dyDescent="0.2">
      <c r="A124">
        <v>123</v>
      </c>
      <c r="B124">
        <v>742</v>
      </c>
      <c r="C124">
        <v>195</v>
      </c>
      <c r="D124">
        <v>0.37799389252819798</v>
      </c>
      <c r="E124">
        <v>98.159822314643307</v>
      </c>
      <c r="F124">
        <v>1.7260212830380499</v>
      </c>
      <c r="G124">
        <v>-1626.8906317290912</v>
      </c>
      <c r="H124">
        <v>-1353.8365340750472</v>
      </c>
      <c r="I124">
        <v>268.98490588716299</v>
      </c>
      <c r="J124">
        <v>145.599875339764</v>
      </c>
      <c r="K124">
        <v>56.870574702223401</v>
      </c>
      <c r="L124">
        <v>6.4126261824304571E-4</v>
      </c>
      <c r="M124">
        <v>1.3852595792845042E-4</v>
      </c>
      <c r="N124" s="1">
        <v>1.5737873991035399E-5</v>
      </c>
      <c r="O124" s="1">
        <v>9.9897320780787901E-6</v>
      </c>
      <c r="P124" s="1">
        <v>-2.58910246568778E-5</v>
      </c>
    </row>
    <row r="125" spans="1:16" x14ac:dyDescent="0.2">
      <c r="A125">
        <v>124</v>
      </c>
      <c r="B125">
        <v>740</v>
      </c>
      <c r="C125">
        <v>195</v>
      </c>
      <c r="D125">
        <v>0.37662784385333098</v>
      </c>
      <c r="E125">
        <v>99.390393084097298</v>
      </c>
      <c r="F125">
        <v>1.7319420611797101</v>
      </c>
      <c r="G125">
        <v>-1646.3063984556138</v>
      </c>
      <c r="H125">
        <v>-1371.1547311364998</v>
      </c>
      <c r="I125">
        <v>271.58627226777799</v>
      </c>
      <c r="J125">
        <v>147.32255567919799</v>
      </c>
      <c r="K125">
        <v>57.386673210302199</v>
      </c>
      <c r="L125">
        <v>6.3875417006245756E-4</v>
      </c>
      <c r="M125">
        <v>1.3718621824672367E-4</v>
      </c>
      <c r="N125" s="1">
        <v>1.6398937232498199E-5</v>
      </c>
      <c r="O125" s="1">
        <v>9.9853910070587996E-6</v>
      </c>
      <c r="P125" s="1">
        <v>-2.60791588699252E-5</v>
      </c>
    </row>
    <row r="126" spans="1:16" x14ac:dyDescent="0.2">
      <c r="A126">
        <v>125</v>
      </c>
      <c r="B126">
        <v>738</v>
      </c>
      <c r="C126">
        <v>195</v>
      </c>
      <c r="D126">
        <v>0.37525639123770199</v>
      </c>
      <c r="E126">
        <v>100.341172763459</v>
      </c>
      <c r="F126">
        <v>1.7369774649990799</v>
      </c>
      <c r="G126">
        <v>-1661.1729461882853</v>
      </c>
      <c r="H126">
        <v>-1384.6076295406108</v>
      </c>
      <c r="I126">
        <v>273.52154271632099</v>
      </c>
      <c r="J126">
        <v>148.67958025557499</v>
      </c>
      <c r="K126">
        <v>57.767688289215897</v>
      </c>
      <c r="L126">
        <v>6.3687970915178962E-4</v>
      </c>
      <c r="M126">
        <v>1.3599246397330889E-4</v>
      </c>
      <c r="N126" s="1">
        <v>1.7047261173868199E-5</v>
      </c>
      <c r="O126" s="1">
        <v>9.9665614809464497E-6</v>
      </c>
      <c r="P126" s="1">
        <v>-2.6231023721044501E-5</v>
      </c>
    </row>
    <row r="127" spans="1:16" x14ac:dyDescent="0.2">
      <c r="A127">
        <v>126</v>
      </c>
      <c r="B127">
        <v>764</v>
      </c>
      <c r="C127">
        <v>180</v>
      </c>
      <c r="D127">
        <v>0.40858169020874802</v>
      </c>
      <c r="E127">
        <v>5.79692993706258</v>
      </c>
      <c r="F127">
        <v>0.41939386807347301</v>
      </c>
      <c r="G127">
        <v>-127.10059165558442</v>
      </c>
      <c r="H127">
        <v>-73.120773640868663</v>
      </c>
      <c r="I127">
        <v>52.049496576192396</v>
      </c>
      <c r="J127">
        <v>23.019935461685499</v>
      </c>
      <c r="K127">
        <v>13.8221618825552</v>
      </c>
      <c r="L127">
        <v>1.6298838109191597E-3</v>
      </c>
      <c r="M127">
        <v>4.1443282257927374E-4</v>
      </c>
      <c r="N127" s="1">
        <v>2.88219213367142E-6</v>
      </c>
      <c r="O127" s="1">
        <v>7.9650387343994405E-6</v>
      </c>
      <c r="P127" s="1">
        <v>-1.6911429852817899E-5</v>
      </c>
    </row>
    <row r="128" spans="1:16" x14ac:dyDescent="0.2">
      <c r="A128">
        <v>127</v>
      </c>
      <c r="B128">
        <v>762</v>
      </c>
      <c r="C128">
        <v>180</v>
      </c>
      <c r="D128">
        <v>0.40730377240013699</v>
      </c>
      <c r="E128">
        <v>6.1381443482539702</v>
      </c>
      <c r="F128">
        <v>0.43975034035018601</v>
      </c>
      <c r="G128">
        <v>-132.68365264867273</v>
      </c>
      <c r="H128">
        <v>-77.934596262452189</v>
      </c>
      <c r="I128">
        <v>52.893192094877698</v>
      </c>
      <c r="J128">
        <v>23.542938608675101</v>
      </c>
      <c r="K128">
        <v>13.958248089963901</v>
      </c>
      <c r="L128">
        <v>1.6206609239138104E-3</v>
      </c>
      <c r="M128">
        <v>4.097096078668999E-4</v>
      </c>
      <c r="N128" s="1">
        <v>3.2331588043675999E-6</v>
      </c>
      <c r="O128" s="1">
        <v>7.9590684326188698E-6</v>
      </c>
      <c r="P128" s="1">
        <v>-1.7030183922691199E-5</v>
      </c>
    </row>
    <row r="129" spans="1:16" x14ac:dyDescent="0.2">
      <c r="A129">
        <v>128</v>
      </c>
      <c r="B129">
        <v>760</v>
      </c>
      <c r="C129">
        <v>180</v>
      </c>
      <c r="D129">
        <v>0.40602090693510101</v>
      </c>
      <c r="E129">
        <v>9.4275418125121995</v>
      </c>
      <c r="F129">
        <v>0.60538152787703603</v>
      </c>
      <c r="G129">
        <v>-187.22686660752703</v>
      </c>
      <c r="H129">
        <v>-124.30650874141267</v>
      </c>
      <c r="I129">
        <v>60.904803682946401</v>
      </c>
      <c r="J129">
        <v>28.038760389266301</v>
      </c>
      <c r="K129">
        <v>15.572893090367099</v>
      </c>
      <c r="L129">
        <v>1.5009183725728527E-3</v>
      </c>
      <c r="M129">
        <v>3.7706539172655077E-4</v>
      </c>
      <c r="N129" s="1">
        <v>3.67674541776677E-6</v>
      </c>
      <c r="O129" s="1">
        <v>8.1773251265800299E-6</v>
      </c>
      <c r="P129" s="1">
        <v>-1.76337523503858E-5</v>
      </c>
    </row>
    <row r="130" spans="1:16" x14ac:dyDescent="0.2">
      <c r="A130">
        <v>129</v>
      </c>
      <c r="B130">
        <v>758</v>
      </c>
      <c r="C130">
        <v>180</v>
      </c>
      <c r="D130">
        <v>0.40473306502448703</v>
      </c>
      <c r="E130">
        <v>12.970155018458</v>
      </c>
      <c r="F130">
        <v>0.74925256559124898</v>
      </c>
      <c r="G130">
        <v>-245.89609010519217</v>
      </c>
      <c r="H130">
        <v>-174.22179776064513</v>
      </c>
      <c r="I130">
        <v>69.512533197086597</v>
      </c>
      <c r="J130">
        <v>32.878060430527697</v>
      </c>
      <c r="K130">
        <v>17.310791599656401</v>
      </c>
      <c r="L130">
        <v>1.3966873060095677E-3</v>
      </c>
      <c r="M130">
        <v>3.4867361705965356E-4</v>
      </c>
      <c r="N130" s="1">
        <v>4.1541302651323698E-6</v>
      </c>
      <c r="O130" s="1">
        <v>8.4105084799387397E-6</v>
      </c>
      <c r="P130" s="1">
        <v>-1.8278701182945599E-5</v>
      </c>
    </row>
    <row r="131" spans="1:16" x14ac:dyDescent="0.2">
      <c r="A131">
        <v>130</v>
      </c>
      <c r="B131">
        <v>756</v>
      </c>
      <c r="C131">
        <v>180</v>
      </c>
      <c r="D131">
        <v>0.40344021765534699</v>
      </c>
      <c r="E131">
        <v>16.687679074411701</v>
      </c>
      <c r="F131">
        <v>0.87224236301971503</v>
      </c>
      <c r="G131">
        <v>-307.36238834128261</v>
      </c>
      <c r="H131">
        <v>-226.55286382231424</v>
      </c>
      <c r="I131">
        <v>78.524220746073098</v>
      </c>
      <c r="J131">
        <v>37.954870239167597</v>
      </c>
      <c r="K131">
        <v>19.131929131071701</v>
      </c>
      <c r="L131">
        <v>1.3074964255775871E-3</v>
      </c>
      <c r="M131">
        <v>3.2434539976649879E-4</v>
      </c>
      <c r="N131" s="1">
        <v>4.6647763733846601E-6</v>
      </c>
      <c r="O131" s="1">
        <v>8.6518214225271E-6</v>
      </c>
      <c r="P131" s="1">
        <v>-1.8951052846117099E-5</v>
      </c>
    </row>
    <row r="132" spans="1:16" x14ac:dyDescent="0.2">
      <c r="A132">
        <v>131</v>
      </c>
      <c r="B132">
        <v>754</v>
      </c>
      <c r="C132">
        <v>180</v>
      </c>
      <c r="D132">
        <v>0.402142335588766</v>
      </c>
      <c r="E132">
        <v>73.055358094838994</v>
      </c>
      <c r="F132">
        <v>1.5698129331161601</v>
      </c>
      <c r="G132">
        <v>-1223.238069922842</v>
      </c>
      <c r="H132">
        <v>-1005.3306209519226</v>
      </c>
      <c r="I132">
        <v>212.15275630938601</v>
      </c>
      <c r="J132">
        <v>112.30983537546</v>
      </c>
      <c r="K132">
        <v>46.537620218110902</v>
      </c>
      <c r="L132">
        <v>7.7564972450515422E-4</v>
      </c>
      <c r="M132">
        <v>1.9003194047601733E-4</v>
      </c>
      <c r="N132" s="1">
        <v>6.9916559981054304E-6</v>
      </c>
      <c r="O132" s="1">
        <v>1.22986614049982E-5</v>
      </c>
      <c r="P132" s="1">
        <v>-2.7150748755480201E-5</v>
      </c>
    </row>
    <row r="133" spans="1:16" x14ac:dyDescent="0.2">
      <c r="A133">
        <v>132</v>
      </c>
      <c r="B133">
        <v>752</v>
      </c>
      <c r="C133">
        <v>180</v>
      </c>
      <c r="D133">
        <v>0.40083938935765601</v>
      </c>
      <c r="E133">
        <v>86.620517076388694</v>
      </c>
      <c r="F133">
        <v>1.63275599060995</v>
      </c>
      <c r="G133">
        <v>-1443.2084453169507</v>
      </c>
      <c r="H133">
        <v>-1193.0765084317525</v>
      </c>
      <c r="I133">
        <v>244.00094321475399</v>
      </c>
      <c r="J133">
        <v>130.247233730955</v>
      </c>
      <c r="K133">
        <v>53.051722103331301</v>
      </c>
      <c r="L133">
        <v>7.2987552788343494E-4</v>
      </c>
      <c r="M133">
        <v>1.7760614913858895E-4</v>
      </c>
      <c r="N133" s="1">
        <v>8.0542633031796503E-6</v>
      </c>
      <c r="O133" s="1">
        <v>1.31075106678196E-5</v>
      </c>
      <c r="P133" s="1">
        <v>-2.9165632667175799E-5</v>
      </c>
    </row>
    <row r="134" spans="1:16" x14ac:dyDescent="0.2">
      <c r="A134">
        <v>133</v>
      </c>
      <c r="B134">
        <v>750</v>
      </c>
      <c r="C134">
        <v>180</v>
      </c>
      <c r="D134">
        <v>0.39953134926452799</v>
      </c>
      <c r="E134">
        <v>92.081986991679301</v>
      </c>
      <c r="F134">
        <v>1.6555349123840399</v>
      </c>
      <c r="G134">
        <v>-1531.4145398688659</v>
      </c>
      <c r="H134">
        <v>-1268.8538209385347</v>
      </c>
      <c r="I134">
        <v>256.62561621610502</v>
      </c>
      <c r="J134">
        <v>137.519903458996</v>
      </c>
      <c r="K134">
        <v>55.620685678610599</v>
      </c>
      <c r="L134">
        <v>7.1484557769528915E-4</v>
      </c>
      <c r="M134">
        <v>1.7288077833623402E-4</v>
      </c>
      <c r="N134" s="1">
        <v>8.8794214329574105E-6</v>
      </c>
      <c r="O134" s="1">
        <v>1.33851460055086E-5</v>
      </c>
      <c r="P134" s="1">
        <v>-3.00203695026225E-5</v>
      </c>
    </row>
    <row r="135" spans="1:16" x14ac:dyDescent="0.2">
      <c r="A135">
        <v>134</v>
      </c>
      <c r="B135">
        <v>748</v>
      </c>
      <c r="C135">
        <v>180</v>
      </c>
      <c r="D135">
        <v>0.39821818537923098</v>
      </c>
      <c r="E135">
        <v>95.207089838161806</v>
      </c>
      <c r="F135">
        <v>1.6687862548377299</v>
      </c>
      <c r="G135">
        <v>-1581.6338058037798</v>
      </c>
      <c r="H135">
        <v>-1312.3574173943689</v>
      </c>
      <c r="I135">
        <v>263.704895521884</v>
      </c>
      <c r="J135">
        <v>141.72066325554499</v>
      </c>
      <c r="K135">
        <v>57.0516982400598</v>
      </c>
      <c r="L135">
        <v>7.0710299712563307E-4</v>
      </c>
      <c r="M135">
        <v>1.6998297367964643E-4</v>
      </c>
      <c r="N135" s="1">
        <v>9.6442519460809205E-6</v>
      </c>
      <c r="O135" s="1">
        <v>1.3508983333997601E-5</v>
      </c>
      <c r="P135" s="1">
        <v>-3.0540087798146502E-5</v>
      </c>
    </row>
    <row r="136" spans="1:16" x14ac:dyDescent="0.2">
      <c r="A136">
        <v>135</v>
      </c>
      <c r="B136">
        <v>746</v>
      </c>
      <c r="C136">
        <v>180</v>
      </c>
      <c r="D136">
        <v>0.396899867536674</v>
      </c>
      <c r="E136">
        <v>97.2296556362773</v>
      </c>
      <c r="F136">
        <v>1.6779123818455299</v>
      </c>
      <c r="G136">
        <v>-1613.9248901031249</v>
      </c>
      <c r="H136">
        <v>-1340.6237484892304</v>
      </c>
      <c r="I136">
        <v>268.17157656844</v>
      </c>
      <c r="J136">
        <v>144.47501956547799</v>
      </c>
      <c r="K136">
        <v>57.946801447006798</v>
      </c>
      <c r="L136">
        <v>7.0250084568856095E-4</v>
      </c>
      <c r="M136">
        <v>1.6787302490261355E-4</v>
      </c>
      <c r="N136" s="1">
        <v>1.0385271251814001E-5</v>
      </c>
      <c r="O136" s="1">
        <v>1.3560554004912399E-5</v>
      </c>
      <c r="P136" s="1">
        <v>-3.0902401910463498E-5</v>
      </c>
    </row>
    <row r="137" spans="1:16" x14ac:dyDescent="0.2">
      <c r="A137">
        <v>136</v>
      </c>
      <c r="B137">
        <v>744</v>
      </c>
      <c r="C137">
        <v>180</v>
      </c>
      <c r="D137">
        <v>0.39557636533451601</v>
      </c>
      <c r="E137">
        <v>98.664820344857802</v>
      </c>
      <c r="F137">
        <v>1.6849486781063201</v>
      </c>
      <c r="G137">
        <v>-1636.6646022054413</v>
      </c>
      <c r="H137">
        <v>-1360.7720772783489</v>
      </c>
      <c r="I137">
        <v>271.24660516623601</v>
      </c>
      <c r="J137">
        <v>146.460722883687</v>
      </c>
      <c r="K137">
        <v>58.556573043960697</v>
      </c>
      <c r="L137">
        <v>6.9947904118855607E-4</v>
      </c>
      <c r="M137">
        <v>1.6616025820269208E-4</v>
      </c>
      <c r="N137" s="1">
        <v>1.11177605703444E-5</v>
      </c>
      <c r="O137" s="1">
        <v>1.35734203136309E-5</v>
      </c>
      <c r="P137" s="1">
        <v>-3.1180528998315099E-5</v>
      </c>
    </row>
    <row r="138" spans="1:16" x14ac:dyDescent="0.2">
      <c r="A138">
        <v>137</v>
      </c>
      <c r="B138">
        <v>742</v>
      </c>
      <c r="C138">
        <v>180</v>
      </c>
      <c r="D138">
        <v>0.39424764813081797</v>
      </c>
      <c r="E138">
        <v>99.749061410117307</v>
      </c>
      <c r="F138">
        <v>1.6907789404429401</v>
      </c>
      <c r="G138">
        <v>-1653.6984857533041</v>
      </c>
      <c r="H138">
        <v>-1376.0711799650028</v>
      </c>
      <c r="I138">
        <v>273.489922241155</v>
      </c>
      <c r="J138">
        <v>147.98882493649299</v>
      </c>
      <c r="K138">
        <v>58.995921361538301</v>
      </c>
      <c r="L138">
        <v>6.9736088721358022E-4</v>
      </c>
      <c r="M138">
        <v>1.6467524408821254E-4</v>
      </c>
      <c r="N138" s="1">
        <v>1.1848527382554999E-5</v>
      </c>
      <c r="O138" s="1">
        <v>1.35629201277336E-5</v>
      </c>
      <c r="P138" s="1">
        <v>-3.1407885494161298E-5</v>
      </c>
    </row>
    <row r="139" spans="1:16" x14ac:dyDescent="0.2">
      <c r="A139">
        <v>138</v>
      </c>
      <c r="B139">
        <v>740</v>
      </c>
      <c r="C139">
        <v>180</v>
      </c>
      <c r="D139">
        <v>0.39291368504170499</v>
      </c>
      <c r="E139">
        <v>100.604706493473</v>
      </c>
      <c r="F139">
        <v>1.6958436753811801</v>
      </c>
      <c r="G139">
        <v>-1667.0157774655222</v>
      </c>
      <c r="H139">
        <v>-1388.2118772724912</v>
      </c>
      <c r="I139">
        <v>275.19114837058498</v>
      </c>
      <c r="J139">
        <v>149.220304472707</v>
      </c>
      <c r="K139">
        <v>59.324280860298103</v>
      </c>
      <c r="L139">
        <v>6.9580907883780828E-4</v>
      </c>
      <c r="M139">
        <v>1.6333352553269342E-4</v>
      </c>
      <c r="N139" s="1">
        <v>1.25808812624245E-5</v>
      </c>
      <c r="O139" s="1">
        <v>1.3536982116451501E-5</v>
      </c>
      <c r="P139" s="1">
        <v>-3.1601693998293103E-5</v>
      </c>
    </row>
    <row r="140" spans="1:16" x14ac:dyDescent="0.2">
      <c r="A140">
        <v>139</v>
      </c>
      <c r="B140">
        <v>770</v>
      </c>
      <c r="C140">
        <v>165</v>
      </c>
      <c r="D140">
        <v>0.428203518190098</v>
      </c>
      <c r="E140">
        <v>6.0415167626182003</v>
      </c>
      <c r="F140">
        <v>0.38820509420539301</v>
      </c>
      <c r="G140">
        <v>-133.01470948504425</v>
      </c>
      <c r="H140">
        <v>-75.898527899247483</v>
      </c>
      <c r="I140">
        <v>54.756879559679703</v>
      </c>
      <c r="J140">
        <v>23.864332550945701</v>
      </c>
      <c r="K140">
        <v>15.5626931557516</v>
      </c>
      <c r="L140">
        <v>1.6934859353215411E-3</v>
      </c>
      <c r="M140">
        <v>4.8531295594346957E-4</v>
      </c>
      <c r="N140" s="1">
        <v>-2.7273777978418201E-6</v>
      </c>
      <c r="O140" s="1">
        <v>1.1466936549195399E-5</v>
      </c>
      <c r="P140" s="1">
        <v>-2.0771433699271901E-5</v>
      </c>
    </row>
    <row r="141" spans="1:16" x14ac:dyDescent="0.2">
      <c r="A141">
        <v>140</v>
      </c>
      <c r="B141">
        <v>768</v>
      </c>
      <c r="C141">
        <v>165</v>
      </c>
      <c r="D141">
        <v>0.42697065744609403</v>
      </c>
      <c r="E141">
        <v>6.3729237487086099</v>
      </c>
      <c r="F141">
        <v>0.40625840113211698</v>
      </c>
      <c r="G141">
        <v>-138.42735294101607</v>
      </c>
      <c r="H141">
        <v>-80.577922933065182</v>
      </c>
      <c r="I141">
        <v>55.5663449344854</v>
      </c>
      <c r="J141">
        <v>24.374656525193501</v>
      </c>
      <c r="K141">
        <v>15.6868725199263</v>
      </c>
      <c r="L141">
        <v>1.6868090740305914E-3</v>
      </c>
      <c r="M141">
        <v>4.8058973990980196E-4</v>
      </c>
      <c r="N141" s="1">
        <v>-2.39209451238118E-6</v>
      </c>
      <c r="O141" s="1">
        <v>1.14607386982977E-5</v>
      </c>
      <c r="P141" s="1">
        <v>-2.0924365083161702E-5</v>
      </c>
    </row>
    <row r="142" spans="1:16" x14ac:dyDescent="0.2">
      <c r="A142">
        <v>141</v>
      </c>
      <c r="B142">
        <v>766</v>
      </c>
      <c r="C142">
        <v>165</v>
      </c>
      <c r="D142">
        <v>0.42573305105134501</v>
      </c>
      <c r="E142">
        <v>7.1121242063076204</v>
      </c>
      <c r="F142">
        <v>0.44377914334907897</v>
      </c>
      <c r="G142">
        <v>-150.62175638290358</v>
      </c>
      <c r="H142">
        <v>-90.957932018475063</v>
      </c>
      <c r="I142">
        <v>57.419354459663197</v>
      </c>
      <c r="J142">
        <v>25.454613081166201</v>
      </c>
      <c r="K142">
        <v>16.026269627351901</v>
      </c>
      <c r="L142">
        <v>1.6651046589038496E-3</v>
      </c>
      <c r="M142">
        <v>4.7157389746688562E-4</v>
      </c>
      <c r="N142" s="1">
        <v>-2.0583808811342599E-6</v>
      </c>
      <c r="O142" s="1">
        <v>1.15034728687858E-5</v>
      </c>
      <c r="P142" s="1">
        <v>-2.1169337175127401E-5</v>
      </c>
    </row>
    <row r="143" spans="1:16" x14ac:dyDescent="0.2">
      <c r="A143">
        <v>142</v>
      </c>
      <c r="B143">
        <v>764</v>
      </c>
      <c r="C143">
        <v>165</v>
      </c>
      <c r="D143">
        <v>0.424490671551851</v>
      </c>
      <c r="E143">
        <v>9.9113235349146898</v>
      </c>
      <c r="F143">
        <v>0.569599856098013</v>
      </c>
      <c r="G143">
        <v>-197.01077311118922</v>
      </c>
      <c r="H143">
        <v>-130.41664439958544</v>
      </c>
      <c r="I143">
        <v>64.212230764056699</v>
      </c>
      <c r="J143">
        <v>29.275296124457501</v>
      </c>
      <c r="K143">
        <v>17.4005021750026</v>
      </c>
      <c r="L143">
        <v>1.5737360047443593E-3</v>
      </c>
      <c r="M143">
        <v>4.429255380134323E-4</v>
      </c>
      <c r="N143" s="1">
        <v>-1.74932607405868E-6</v>
      </c>
      <c r="O143" s="1">
        <v>1.17441152307369E-5</v>
      </c>
      <c r="P143" s="1">
        <v>-2.1784851836092498E-5</v>
      </c>
    </row>
    <row r="144" spans="1:16" x14ac:dyDescent="0.2">
      <c r="A144">
        <v>143</v>
      </c>
      <c r="B144">
        <v>762</v>
      </c>
      <c r="C144">
        <v>165</v>
      </c>
      <c r="D144">
        <v>0.42324349128146099</v>
      </c>
      <c r="E144">
        <v>13.412696343434</v>
      </c>
      <c r="F144">
        <v>0.70133016437383799</v>
      </c>
      <c r="G144">
        <v>-254.98700391629407</v>
      </c>
      <c r="H144">
        <v>-179.75928882063917</v>
      </c>
      <c r="I144">
        <v>72.676820333121796</v>
      </c>
      <c r="J144">
        <v>34.033621475009397</v>
      </c>
      <c r="K144">
        <v>19.124653443944201</v>
      </c>
      <c r="L144">
        <v>1.4767187433063456E-3</v>
      </c>
      <c r="M144">
        <v>4.1299818349250996E-4</v>
      </c>
      <c r="N144" s="1">
        <v>-1.4253909279303401E-6</v>
      </c>
      <c r="O144" s="1">
        <v>1.2048464465323201E-5</v>
      </c>
      <c r="P144" s="1">
        <v>-2.2528892266217399E-5</v>
      </c>
    </row>
    <row r="145" spans="1:16" x14ac:dyDescent="0.2">
      <c r="A145">
        <v>144</v>
      </c>
      <c r="B145">
        <v>760</v>
      </c>
      <c r="C145">
        <v>165</v>
      </c>
      <c r="D145">
        <v>0.42199148235977502</v>
      </c>
      <c r="E145">
        <v>17.077471387296601</v>
      </c>
      <c r="F145">
        <v>0.81606371311411496</v>
      </c>
      <c r="G145">
        <v>-315.57206637885054</v>
      </c>
      <c r="H145">
        <v>-231.35770330964581</v>
      </c>
      <c r="I145">
        <v>81.515919084760796</v>
      </c>
      <c r="J145">
        <v>39.012274624727503</v>
      </c>
      <c r="K145">
        <v>20.926639811159699</v>
      </c>
      <c r="L145">
        <v>1.3921420778030818E-3</v>
      </c>
      <c r="M145">
        <v>3.8687565264845455E-4</v>
      </c>
      <c r="N145" s="1">
        <v>-1.0727898781297299E-6</v>
      </c>
      <c r="O145" s="1">
        <v>1.2362916798554299E-5</v>
      </c>
      <c r="P145" s="1">
        <v>-2.3303481646074099E-5</v>
      </c>
    </row>
    <row r="146" spans="1:16" x14ac:dyDescent="0.2">
      <c r="A146">
        <v>145</v>
      </c>
      <c r="B146">
        <v>758</v>
      </c>
      <c r="C146">
        <v>165</v>
      </c>
      <c r="D146">
        <v>0.42073461669010398</v>
      </c>
      <c r="E146">
        <v>64.925436861030505</v>
      </c>
      <c r="F146">
        <v>1.4628813910131999</v>
      </c>
      <c r="G146">
        <v>-1093.237210452977</v>
      </c>
      <c r="H146">
        <v>-892.55765162239777</v>
      </c>
      <c r="I146">
        <v>194.62216787886399</v>
      </c>
      <c r="J146">
        <v>101.818194551332</v>
      </c>
      <c r="K146">
        <v>44.3818871850319</v>
      </c>
      <c r="L146">
        <v>8.841685334830383E-4</v>
      </c>
      <c r="M146">
        <v>2.4294646212940363E-4</v>
      </c>
      <c r="N146" s="1">
        <v>-1.04335006635311E-6</v>
      </c>
      <c r="O146" s="1">
        <v>1.6446675796706001E-5</v>
      </c>
      <c r="P146" s="1">
        <v>-3.12518789057578E-5</v>
      </c>
    </row>
    <row r="147" spans="1:16" x14ac:dyDescent="0.2">
      <c r="A147">
        <v>146</v>
      </c>
      <c r="B147">
        <v>756</v>
      </c>
      <c r="C147">
        <v>165</v>
      </c>
      <c r="D147">
        <v>0.41947286595734501</v>
      </c>
      <c r="E147">
        <v>83.891442322795697</v>
      </c>
      <c r="F147">
        <v>1.5655069975184801</v>
      </c>
      <c r="G147">
        <v>-1401.0304302021611</v>
      </c>
      <c r="H147">
        <v>-1154.9494752979585</v>
      </c>
      <c r="I147">
        <v>239.116304823739</v>
      </c>
      <c r="J147">
        <v>126.731517333388</v>
      </c>
      <c r="K147">
        <v>53.5873953011859</v>
      </c>
      <c r="L147">
        <v>8.0604689370798515E-4</v>
      </c>
      <c r="M147">
        <v>2.1986561872262665E-4</v>
      </c>
      <c r="N147" s="1">
        <v>-5.7064100238144198E-7</v>
      </c>
      <c r="O147" s="1">
        <v>1.79825913137928E-5</v>
      </c>
      <c r="P147" s="1">
        <v>-3.4448899921208997E-5</v>
      </c>
    </row>
    <row r="148" spans="1:16" x14ac:dyDescent="0.2">
      <c r="A148">
        <v>147</v>
      </c>
      <c r="B148">
        <v>754</v>
      </c>
      <c r="C148">
        <v>165</v>
      </c>
      <c r="D148">
        <v>0.41820620162585598</v>
      </c>
      <c r="E148">
        <v>90.616078449224005</v>
      </c>
      <c r="F148">
        <v>1.59576883584966</v>
      </c>
      <c r="G148">
        <v>-1509.7727646536762</v>
      </c>
      <c r="H148">
        <v>-1248.189581290748</v>
      </c>
      <c r="I148">
        <v>254.674536206309</v>
      </c>
      <c r="J148">
        <v>135.62083665414301</v>
      </c>
      <c r="K148">
        <v>56.785216262840102</v>
      </c>
      <c r="L148">
        <v>7.8516773701159002E-4</v>
      </c>
      <c r="M148">
        <v>2.1281788630231753E-4</v>
      </c>
      <c r="N148" s="1">
        <v>5.1423459977975698E-8</v>
      </c>
      <c r="O148" s="1">
        <v>1.8464525736283001E-5</v>
      </c>
      <c r="P148" s="1">
        <v>-3.56620371969463E-5</v>
      </c>
    </row>
    <row r="149" spans="1:16" x14ac:dyDescent="0.2">
      <c r="A149">
        <v>148</v>
      </c>
      <c r="B149">
        <v>752</v>
      </c>
      <c r="C149">
        <v>165</v>
      </c>
      <c r="D149">
        <v>0.41693459493732699</v>
      </c>
      <c r="E149">
        <v>94.167560767505904</v>
      </c>
      <c r="F149">
        <v>1.61170757282878</v>
      </c>
      <c r="G149">
        <v>-1566.9202568437499</v>
      </c>
      <c r="H149">
        <v>-1297.5802379837285</v>
      </c>
      <c r="I149">
        <v>262.73801688209102</v>
      </c>
      <c r="J149">
        <v>140.36196160268199</v>
      </c>
      <c r="K149">
        <v>58.4272000423924</v>
      </c>
      <c r="L149">
        <v>7.7560389292758304E-4</v>
      </c>
      <c r="M149">
        <v>2.0893964610862382E-4</v>
      </c>
      <c r="N149" s="1">
        <v>7.2369901833144197E-7</v>
      </c>
      <c r="O149" s="1">
        <v>1.8673865599137902E-5</v>
      </c>
      <c r="P149" s="1">
        <v>-3.6363445880621803E-5</v>
      </c>
    </row>
    <row r="150" spans="1:16" x14ac:dyDescent="0.2">
      <c r="A150">
        <v>149</v>
      </c>
      <c r="B150">
        <v>750</v>
      </c>
      <c r="C150">
        <v>165</v>
      </c>
      <c r="D150">
        <v>0.41565801690856902</v>
      </c>
      <c r="E150">
        <v>96.475970508757598</v>
      </c>
      <c r="F150">
        <v>1.62256929905168</v>
      </c>
      <c r="G150">
        <v>-1603.8568140978302</v>
      </c>
      <c r="H150">
        <v>-1329.8008203818761</v>
      </c>
      <c r="I150">
        <v>267.86093205819202</v>
      </c>
      <c r="J150">
        <v>143.479579945235</v>
      </c>
      <c r="K150">
        <v>59.458767379083902</v>
      </c>
      <c r="L150">
        <v>7.7004793951434116E-4</v>
      </c>
      <c r="M150">
        <v>2.0618535354357783E-4</v>
      </c>
      <c r="N150" s="1">
        <v>1.4260573527671199E-6</v>
      </c>
      <c r="O150" s="1">
        <v>1.8775379054205801E-5</v>
      </c>
      <c r="P150" s="1">
        <v>-3.6863770334635398E-5</v>
      </c>
    </row>
    <row r="151" spans="1:16" x14ac:dyDescent="0.2">
      <c r="A151">
        <v>150</v>
      </c>
      <c r="B151">
        <v>748</v>
      </c>
      <c r="C151">
        <v>165</v>
      </c>
      <c r="D151">
        <v>0.41437643832933801</v>
      </c>
      <c r="E151">
        <v>98.077181856238496</v>
      </c>
      <c r="F151">
        <v>1.6307011132406199</v>
      </c>
      <c r="G151">
        <v>-1629.2938713865433</v>
      </c>
      <c r="H151">
        <v>-1352.2462650381844</v>
      </c>
      <c r="I151">
        <v>271.31524904855701</v>
      </c>
      <c r="J151">
        <v>145.67619783785</v>
      </c>
      <c r="K151">
        <v>60.144180352789199</v>
      </c>
      <c r="L151">
        <v>7.6663374790350016E-4</v>
      </c>
      <c r="M151">
        <v>2.0403076176538551E-4</v>
      </c>
      <c r="N151" s="1">
        <v>2.1512876494100398E-6</v>
      </c>
      <c r="O151" s="1">
        <v>1.8815966843744401E-5</v>
      </c>
      <c r="P151" s="1">
        <v>-3.7250746443190703E-5</v>
      </c>
    </row>
    <row r="152" spans="1:16" x14ac:dyDescent="0.2">
      <c r="A152">
        <v>151</v>
      </c>
      <c r="B152">
        <v>746</v>
      </c>
      <c r="C152">
        <v>165</v>
      </c>
      <c r="D152">
        <v>0.41308982976009601</v>
      </c>
      <c r="E152">
        <v>99.267811554556701</v>
      </c>
      <c r="F152">
        <v>1.6373079535996899</v>
      </c>
      <c r="G152">
        <v>-1648.0549808975195</v>
      </c>
      <c r="H152">
        <v>-1369.0170934899909</v>
      </c>
      <c r="I152">
        <v>273.80059679086099</v>
      </c>
      <c r="J152">
        <v>147.339681431965</v>
      </c>
      <c r="K152">
        <v>60.628674853934399</v>
      </c>
      <c r="L152">
        <v>7.6440781732107122E-4</v>
      </c>
      <c r="M152">
        <v>2.0220892593550717E-4</v>
      </c>
      <c r="N152" s="1">
        <v>2.8960947482487999E-6</v>
      </c>
      <c r="O152" s="1">
        <v>1.8820853500255402E-5</v>
      </c>
      <c r="P152" s="1">
        <v>-3.7571808493017702E-5</v>
      </c>
    </row>
    <row r="153" spans="1:16" x14ac:dyDescent="0.2">
      <c r="A153">
        <v>152</v>
      </c>
      <c r="B153">
        <v>744</v>
      </c>
      <c r="C153">
        <v>165</v>
      </c>
      <c r="D153">
        <v>0.411798161529766</v>
      </c>
      <c r="E153">
        <v>100.196706285725</v>
      </c>
      <c r="F153">
        <v>1.6429700703027601</v>
      </c>
      <c r="G153">
        <v>-1662.5606342751657</v>
      </c>
      <c r="H153">
        <v>-1382.1709939943255</v>
      </c>
      <c r="I153">
        <v>275.66794954027</v>
      </c>
      <c r="J153">
        <v>148.66470244587899</v>
      </c>
      <c r="K153">
        <v>60.985107456802901</v>
      </c>
      <c r="L153">
        <v>7.6291102244054195E-4</v>
      </c>
      <c r="M153">
        <v>2.0059130783709454E-4</v>
      </c>
      <c r="N153" s="1">
        <v>3.65871960648464E-6</v>
      </c>
      <c r="O153" s="1">
        <v>1.8802672127465701E-5</v>
      </c>
      <c r="P153" s="1">
        <v>-3.7850658214177097E-5</v>
      </c>
    </row>
    <row r="154" spans="1:16" x14ac:dyDescent="0.2">
      <c r="A154">
        <v>153</v>
      </c>
      <c r="B154">
        <v>776</v>
      </c>
      <c r="C154">
        <v>150</v>
      </c>
      <c r="D154">
        <v>0.447600915026452</v>
      </c>
      <c r="E154">
        <v>6.2964255424740703</v>
      </c>
      <c r="F154">
        <v>0.35500396313718702</v>
      </c>
      <c r="G154">
        <v>-139.22531026274135</v>
      </c>
      <c r="H154">
        <v>-78.748896324324988</v>
      </c>
      <c r="I154">
        <v>57.646682685751799</v>
      </c>
      <c r="J154">
        <v>24.6135964632822</v>
      </c>
      <c r="K154">
        <v>17.7362119758671</v>
      </c>
      <c r="L154">
        <v>1.7449668098908988E-3</v>
      </c>
      <c r="M154">
        <v>5.7201298255247102E-4</v>
      </c>
      <c r="N154" s="1">
        <v>-1.0961177450042E-5</v>
      </c>
      <c r="O154" s="1">
        <v>1.6811491449313701E-5</v>
      </c>
      <c r="P154" s="1">
        <v>-2.5398240574037701E-5</v>
      </c>
    </row>
    <row r="155" spans="1:16" x14ac:dyDescent="0.2">
      <c r="A155">
        <v>154</v>
      </c>
      <c r="B155">
        <v>774</v>
      </c>
      <c r="C155">
        <v>150</v>
      </c>
      <c r="D155">
        <v>0.44641216635630598</v>
      </c>
      <c r="E155">
        <v>6.8411411442249701</v>
      </c>
      <c r="F155">
        <v>0.38076873880266199</v>
      </c>
      <c r="G155">
        <v>-148.18171766997955</v>
      </c>
      <c r="H155">
        <v>-86.412369946181343</v>
      </c>
      <c r="I155">
        <v>58.9915199117589</v>
      </c>
      <c r="J155">
        <v>25.4188453571441</v>
      </c>
      <c r="K155">
        <v>17.966656521586</v>
      </c>
      <c r="L155">
        <v>1.7332866986816762E-3</v>
      </c>
      <c r="M155">
        <v>5.6484869740391582E-4</v>
      </c>
      <c r="N155" s="1">
        <v>-1.07240670987609E-5</v>
      </c>
      <c r="O155" s="1">
        <v>1.6842471815150299E-5</v>
      </c>
      <c r="P155" s="1">
        <v>-2.5644838129216698E-5</v>
      </c>
    </row>
    <row r="156" spans="1:16" x14ac:dyDescent="0.2">
      <c r="A156">
        <v>155</v>
      </c>
      <c r="B156">
        <v>772</v>
      </c>
      <c r="C156">
        <v>150</v>
      </c>
      <c r="D156">
        <v>0.44521886810505501</v>
      </c>
      <c r="E156">
        <v>7.5591061631516201</v>
      </c>
      <c r="F156">
        <v>0.41330924653442802</v>
      </c>
      <c r="G156">
        <v>-160.01358213450035</v>
      </c>
      <c r="H156">
        <v>-96.497886708354756</v>
      </c>
      <c r="I156">
        <v>60.7753365279303</v>
      </c>
      <c r="J156">
        <v>26.4646585246931</v>
      </c>
      <c r="K156">
        <v>18.289225867880301</v>
      </c>
      <c r="L156">
        <v>1.7161577027042573E-3</v>
      </c>
      <c r="M156">
        <v>5.5594128297332198E-4</v>
      </c>
      <c r="N156" s="1">
        <v>-1.04921767384842E-5</v>
      </c>
      <c r="O156" s="1">
        <v>1.6900376746340601E-5</v>
      </c>
      <c r="P156" s="1">
        <v>-2.5936442968662101E-5</v>
      </c>
    </row>
    <row r="157" spans="1:16" x14ac:dyDescent="0.2">
      <c r="A157">
        <v>156</v>
      </c>
      <c r="B157">
        <v>770</v>
      </c>
      <c r="C157">
        <v>150</v>
      </c>
      <c r="D157">
        <v>0.44402099410439499</v>
      </c>
      <c r="E157">
        <v>8.2785063068628002</v>
      </c>
      <c r="F157">
        <v>0.44479994783726601</v>
      </c>
      <c r="G157">
        <v>-171.85845918617446</v>
      </c>
      <c r="H157">
        <v>-106.60365124647097</v>
      </c>
      <c r="I157">
        <v>62.559057389869601</v>
      </c>
      <c r="J157">
        <v>27.5141377940712</v>
      </c>
      <c r="K157">
        <v>18.611751973252399</v>
      </c>
      <c r="L157">
        <v>1.699628063082365E-3</v>
      </c>
      <c r="M157">
        <v>5.4729871502302233E-4</v>
      </c>
      <c r="N157" s="1">
        <v>-1.0245652304581201E-5</v>
      </c>
      <c r="O157" s="1">
        <v>1.6957153831904501E-5</v>
      </c>
      <c r="P157" s="1">
        <v>-2.6230716443413799E-5</v>
      </c>
    </row>
    <row r="158" spans="1:16" x14ac:dyDescent="0.2">
      <c r="A158">
        <v>157</v>
      </c>
      <c r="B158">
        <v>768</v>
      </c>
      <c r="C158">
        <v>150</v>
      </c>
      <c r="D158">
        <v>0.442818517984921</v>
      </c>
      <c r="E158">
        <v>11.370033229012</v>
      </c>
      <c r="F158">
        <v>0.56455697574558406</v>
      </c>
      <c r="G158">
        <v>-223.07747892157946</v>
      </c>
      <c r="H158">
        <v>-150.18976427727051</v>
      </c>
      <c r="I158">
        <v>70.010545219372702</v>
      </c>
      <c r="J158">
        <v>31.6985430888917</v>
      </c>
      <c r="K158">
        <v>20.1397444677681</v>
      </c>
      <c r="L158">
        <v>1.6119193164903949E-3</v>
      </c>
      <c r="M158">
        <v>5.1581984433393354E-4</v>
      </c>
      <c r="N158" s="1">
        <v>-1.0172614410288101E-5</v>
      </c>
      <c r="O158" s="1">
        <v>1.7318566228929002E-5</v>
      </c>
      <c r="P158" s="1">
        <v>-2.7004423494559198E-5</v>
      </c>
    </row>
    <row r="159" spans="1:16" x14ac:dyDescent="0.2">
      <c r="A159">
        <v>158</v>
      </c>
      <c r="B159">
        <v>766</v>
      </c>
      <c r="C159">
        <v>150</v>
      </c>
      <c r="D159">
        <v>0.44161141317423203</v>
      </c>
      <c r="E159">
        <v>14.855429600600299</v>
      </c>
      <c r="F159">
        <v>0.67943962660861001</v>
      </c>
      <c r="G159">
        <v>-280.75696995159973</v>
      </c>
      <c r="H159">
        <v>-199.30297670520622</v>
      </c>
      <c r="I159">
        <v>78.388933431051896</v>
      </c>
      <c r="J159">
        <v>36.406684663548397</v>
      </c>
      <c r="K159">
        <v>21.864237849579801</v>
      </c>
      <c r="L159">
        <v>1.5271161457242478E-3</v>
      </c>
      <c r="M159">
        <v>4.856083241823272E-4</v>
      </c>
      <c r="N159" s="1">
        <v>-1.0102186648512E-5</v>
      </c>
      <c r="O159" s="1">
        <v>1.7725396525798501E-5</v>
      </c>
      <c r="P159" s="1">
        <v>-2.7861717140032399E-5</v>
      </c>
    </row>
    <row r="160" spans="1:16" x14ac:dyDescent="0.2">
      <c r="A160">
        <v>159</v>
      </c>
      <c r="B160">
        <v>764</v>
      </c>
      <c r="C160">
        <v>150</v>
      </c>
      <c r="D160">
        <v>0.44039965289495597</v>
      </c>
      <c r="E160">
        <v>18.528588459820099</v>
      </c>
      <c r="F160">
        <v>0.78248832127187096</v>
      </c>
      <c r="G160">
        <v>-341.44253895698267</v>
      </c>
      <c r="H160">
        <v>-251.00977976771753</v>
      </c>
      <c r="I160">
        <v>87.197351485434893</v>
      </c>
      <c r="J160">
        <v>41.364925505586697</v>
      </c>
      <c r="K160">
        <v>23.679060704322499</v>
      </c>
      <c r="L160">
        <v>1.4509125168480916E-3</v>
      </c>
      <c r="M160">
        <v>4.584557894455876E-4</v>
      </c>
      <c r="N160" s="1">
        <v>-1.00142728834961E-5</v>
      </c>
      <c r="O160" s="1">
        <v>1.81490799905319E-5</v>
      </c>
      <c r="P160" s="1">
        <v>-2.87593251520416E-5</v>
      </c>
    </row>
    <row r="161" spans="1:16" x14ac:dyDescent="0.2">
      <c r="A161">
        <v>160</v>
      </c>
      <c r="B161">
        <v>762</v>
      </c>
      <c r="C161">
        <v>150</v>
      </c>
      <c r="D161">
        <v>0.439183210162781</v>
      </c>
      <c r="E161">
        <v>64.160128301783303</v>
      </c>
      <c r="F161">
        <v>1.3868780803032199</v>
      </c>
      <c r="G161">
        <v>-1083.0070833530187</v>
      </c>
      <c r="H161">
        <v>-881.5165209595948</v>
      </c>
      <c r="I161">
        <v>194.65362039030501</v>
      </c>
      <c r="J161">
        <v>100.88131241918801</v>
      </c>
      <c r="K161">
        <v>46.262270067571798</v>
      </c>
      <c r="L161">
        <v>9.6606044241806369E-4</v>
      </c>
      <c r="M161">
        <v>3.0201829755207606E-4</v>
      </c>
      <c r="N161" s="1">
        <v>-1.2564129023378501E-5</v>
      </c>
      <c r="O161" s="1">
        <v>2.33548627979717E-5</v>
      </c>
      <c r="P161" s="1">
        <v>-3.7310310392118597E-5</v>
      </c>
    </row>
    <row r="162" spans="1:16" x14ac:dyDescent="0.2">
      <c r="A162">
        <v>161</v>
      </c>
      <c r="B162">
        <v>760</v>
      </c>
      <c r="C162">
        <v>150</v>
      </c>
      <c r="D162">
        <v>0.43796205778444602</v>
      </c>
      <c r="E162">
        <v>83.207043083237807</v>
      </c>
      <c r="F162">
        <v>1.49683816083094</v>
      </c>
      <c r="G162">
        <v>-1392.128331597849</v>
      </c>
      <c r="H162">
        <v>-1145.0348059001863</v>
      </c>
      <c r="I162">
        <v>239.170628869887</v>
      </c>
      <c r="J162">
        <v>125.745123791818</v>
      </c>
      <c r="K162">
        <v>55.5885367306823</v>
      </c>
      <c r="L162">
        <v>8.8083397112682525E-4</v>
      </c>
      <c r="M162">
        <v>2.7336975756095909E-4</v>
      </c>
      <c r="N162" s="1">
        <v>-1.32065811756997E-5</v>
      </c>
      <c r="O162" s="1">
        <v>2.5428504916149399E-5</v>
      </c>
      <c r="P162" s="1">
        <v>-4.0957111522779097E-5</v>
      </c>
    </row>
    <row r="163" spans="1:16" x14ac:dyDescent="0.2">
      <c r="A163">
        <v>162</v>
      </c>
      <c r="B163">
        <v>758</v>
      </c>
      <c r="C163">
        <v>150</v>
      </c>
      <c r="D163">
        <v>0.43673616835572199</v>
      </c>
      <c r="E163">
        <v>90.123178468903006</v>
      </c>
      <c r="F163">
        <v>1.5300774776283399</v>
      </c>
      <c r="G163">
        <v>-1503.9843459356478</v>
      </c>
      <c r="H163">
        <v>-1240.9238013899569</v>
      </c>
      <c r="I163">
        <v>255.11935795088499</v>
      </c>
      <c r="J163">
        <v>134.83199250310301</v>
      </c>
      <c r="K163">
        <v>58.901055526021999</v>
      </c>
      <c r="L163">
        <v>8.5774658093109701E-4</v>
      </c>
      <c r="M163">
        <v>2.6451039988810513E-4</v>
      </c>
      <c r="N163" s="1">
        <v>-1.3024695601716301E-5</v>
      </c>
      <c r="O163" s="1">
        <v>2.61081393820681E-5</v>
      </c>
      <c r="P163" s="1">
        <v>-4.2400040386471701E-5</v>
      </c>
    </row>
    <row r="164" spans="1:16" x14ac:dyDescent="0.2">
      <c r="A164">
        <v>163</v>
      </c>
      <c r="B164">
        <v>756</v>
      </c>
      <c r="C164">
        <v>150</v>
      </c>
      <c r="D164">
        <v>0.43550551425934297</v>
      </c>
      <c r="E164">
        <v>93.782351149567802</v>
      </c>
      <c r="F164">
        <v>1.54754510569887</v>
      </c>
      <c r="G164">
        <v>-1562.8809610481528</v>
      </c>
      <c r="H164">
        <v>-1291.8035738304648</v>
      </c>
      <c r="I164">
        <v>263.40500325767101</v>
      </c>
      <c r="J164">
        <v>139.68867614237101</v>
      </c>
      <c r="K164">
        <v>60.600722269232698</v>
      </c>
      <c r="L164">
        <v>8.4742355715825327E-4</v>
      </c>
      <c r="M164">
        <v>2.5971360172861492E-4</v>
      </c>
      <c r="N164" s="1">
        <v>-1.2607829203058399E-5</v>
      </c>
      <c r="O164" s="1">
        <v>2.6414727221294602E-5</v>
      </c>
      <c r="P164" s="1">
        <v>-4.3255553454004501E-5</v>
      </c>
    </row>
    <row r="165" spans="1:16" x14ac:dyDescent="0.2">
      <c r="A165">
        <v>164</v>
      </c>
      <c r="B165">
        <v>754</v>
      </c>
      <c r="C165">
        <v>150</v>
      </c>
      <c r="D165">
        <v>0.43427006766295001</v>
      </c>
      <c r="E165">
        <v>96.095106372937906</v>
      </c>
      <c r="F165">
        <v>1.5591257495256701</v>
      </c>
      <c r="G165">
        <v>-1599.8850264876392</v>
      </c>
      <c r="H165">
        <v>-1324.076886746338</v>
      </c>
      <c r="I165">
        <v>268.52365142589701</v>
      </c>
      <c r="J165">
        <v>142.79918004310201</v>
      </c>
      <c r="K165">
        <v>61.633967883714703</v>
      </c>
      <c r="L165">
        <v>8.4185766006454968E-4</v>
      </c>
      <c r="M165">
        <v>2.5642932935431256E-4</v>
      </c>
      <c r="N165" s="1">
        <v>-1.20818387161392E-5</v>
      </c>
      <c r="O165" s="1">
        <v>2.65669233498451E-5</v>
      </c>
      <c r="P165" s="1">
        <v>-4.3869799269046397E-5</v>
      </c>
    </row>
    <row r="166" spans="1:16" x14ac:dyDescent="0.2">
      <c r="A166">
        <v>165</v>
      </c>
      <c r="B166">
        <v>752</v>
      </c>
      <c r="C166">
        <v>150</v>
      </c>
      <c r="D166">
        <v>0.43302980051699702</v>
      </c>
      <c r="E166">
        <v>97.767833839471905</v>
      </c>
      <c r="F166">
        <v>1.5680668755559499</v>
      </c>
      <c r="G166">
        <v>-1626.4826958182255</v>
      </c>
      <c r="H166">
        <v>-1347.5127629480808</v>
      </c>
      <c r="I166">
        <v>272.13178807206702</v>
      </c>
      <c r="J166">
        <v>145.08061163995899</v>
      </c>
      <c r="K166">
        <v>62.349275635841899</v>
      </c>
      <c r="L166">
        <v>8.3842656185319426E-4</v>
      </c>
      <c r="M166">
        <v>2.5382385557441521E-4</v>
      </c>
      <c r="N166" s="1">
        <v>-1.14917691593682E-5</v>
      </c>
      <c r="O166" s="1">
        <v>2.6644368504946898E-5</v>
      </c>
      <c r="P166" s="1">
        <v>-4.43691957035344E-5</v>
      </c>
    </row>
    <row r="167" spans="1:16" x14ac:dyDescent="0.2">
      <c r="A167">
        <v>166</v>
      </c>
      <c r="B167">
        <v>750</v>
      </c>
      <c r="C167">
        <v>150</v>
      </c>
      <c r="D167">
        <v>0.43178468455260599</v>
      </c>
      <c r="E167">
        <v>98.998864742549898</v>
      </c>
      <c r="F167">
        <v>1.5752481098325899</v>
      </c>
      <c r="G167">
        <v>-1645.8982226531532</v>
      </c>
      <c r="H167">
        <v>-1364.8421658149873</v>
      </c>
      <c r="I167">
        <v>274.70268922891398</v>
      </c>
      <c r="J167">
        <v>146.79209761564499</v>
      </c>
      <c r="K167">
        <v>62.8465218428803</v>
      </c>
      <c r="L167">
        <v>8.3640799666478429E-4</v>
      </c>
      <c r="M167">
        <v>2.5166493878037193E-4</v>
      </c>
      <c r="N167" s="1">
        <v>-1.08522649154292E-5</v>
      </c>
      <c r="O167" s="1">
        <v>2.66710265640347E-5</v>
      </c>
      <c r="P167" s="1">
        <v>-4.4790982887037401E-5</v>
      </c>
    </row>
    <row r="168" spans="1:16" x14ac:dyDescent="0.2">
      <c r="A168">
        <v>167</v>
      </c>
      <c r="B168">
        <v>748</v>
      </c>
      <c r="C168">
        <v>150</v>
      </c>
      <c r="D168">
        <v>0.43053469127944</v>
      </c>
      <c r="E168">
        <v>99.956982022614795</v>
      </c>
      <c r="F168">
        <v>1.5813751691035201</v>
      </c>
      <c r="G168">
        <v>-1660.8764388617883</v>
      </c>
      <c r="H168">
        <v>-1378.3998459468025</v>
      </c>
      <c r="I168">
        <v>276.63185213432303</v>
      </c>
      <c r="J168">
        <v>148.15272323103699</v>
      </c>
      <c r="K168">
        <v>63.208898163792597</v>
      </c>
      <c r="L168">
        <v>8.3523145114281123E-4</v>
      </c>
      <c r="M168">
        <v>2.4977127665826897E-4</v>
      </c>
      <c r="N168" s="1">
        <v>-1.01739045357973E-5</v>
      </c>
      <c r="O168" s="1">
        <v>2.6665806589956599E-5</v>
      </c>
      <c r="P168" s="1">
        <v>-4.5165124303978798E-5</v>
      </c>
    </row>
    <row r="169" spans="1:16" x14ac:dyDescent="0.2">
      <c r="A169">
        <v>168</v>
      </c>
      <c r="B169">
        <v>784</v>
      </c>
      <c r="C169">
        <v>135</v>
      </c>
      <c r="D169">
        <v>0.467918932980182</v>
      </c>
      <c r="E169">
        <v>6.5647794690878403</v>
      </c>
      <c r="F169">
        <v>0.31878575334848802</v>
      </c>
      <c r="G169">
        <v>-145.93518243123583</v>
      </c>
      <c r="H169">
        <v>-81.652293773590486</v>
      </c>
      <c r="I169">
        <v>60.8112807336529</v>
      </c>
      <c r="J169">
        <v>25.173315881815999</v>
      </c>
      <c r="K169">
        <v>20.593076698478999</v>
      </c>
      <c r="L169">
        <v>1.7688134784889513E-3</v>
      </c>
      <c r="M169">
        <v>6.7861446625114481E-4</v>
      </c>
      <c r="N169" s="1">
        <v>-2.21331240019423E-5</v>
      </c>
      <c r="O169" s="1">
        <v>2.5264713893796899E-5</v>
      </c>
      <c r="P169" s="1">
        <v>-3.0823663145764998E-5</v>
      </c>
    </row>
    <row r="170" spans="1:16" x14ac:dyDescent="0.2">
      <c r="A170">
        <v>169</v>
      </c>
      <c r="B170">
        <v>782</v>
      </c>
      <c r="C170">
        <v>135</v>
      </c>
      <c r="D170">
        <v>0.466777709330429</v>
      </c>
      <c r="E170">
        <v>6.8924244606502398</v>
      </c>
      <c r="F170">
        <v>0.33300065327087203</v>
      </c>
      <c r="G170">
        <v>-151.26997508344456</v>
      </c>
      <c r="H170">
        <v>-86.282940338291027</v>
      </c>
      <c r="I170">
        <v>61.593898571373202</v>
      </c>
      <c r="J170">
        <v>25.6773105298942</v>
      </c>
      <c r="K170">
        <v>20.6979307486335</v>
      </c>
      <c r="L170">
        <v>1.7671129666042907E-3</v>
      </c>
      <c r="M170">
        <v>6.7409159098558483E-4</v>
      </c>
      <c r="N170" s="1">
        <v>-2.2031457964409301E-5</v>
      </c>
      <c r="O170" s="1">
        <v>2.52655276664772E-5</v>
      </c>
      <c r="P170" s="1">
        <v>-3.1055279268646003E-5</v>
      </c>
    </row>
    <row r="171" spans="1:16" x14ac:dyDescent="0.2">
      <c r="A171">
        <v>170</v>
      </c>
      <c r="B171">
        <v>780</v>
      </c>
      <c r="C171">
        <v>135</v>
      </c>
      <c r="D171">
        <v>0.46563215116555001</v>
      </c>
      <c r="E171">
        <v>7.5887264961650498</v>
      </c>
      <c r="F171">
        <v>0.361316527372884</v>
      </c>
      <c r="G171">
        <v>-162.73847513058286</v>
      </c>
      <c r="H171">
        <v>-96.066902320315705</v>
      </c>
      <c r="I171">
        <v>63.310414245337803</v>
      </c>
      <c r="J171">
        <v>26.685495785574499</v>
      </c>
      <c r="K171">
        <v>21.002987467366399</v>
      </c>
      <c r="L171">
        <v>1.7543722159008423E-3</v>
      </c>
      <c r="M171">
        <v>6.653291430381925E-4</v>
      </c>
      <c r="N171" s="1">
        <v>-2.1990920278788499E-5</v>
      </c>
      <c r="O171" s="1">
        <v>2.5346146294182901E-5</v>
      </c>
      <c r="P171" s="1">
        <v>-3.1389386143300102E-5</v>
      </c>
    </row>
    <row r="172" spans="1:16" x14ac:dyDescent="0.2">
      <c r="A172">
        <v>171</v>
      </c>
      <c r="B172">
        <v>778</v>
      </c>
      <c r="C172">
        <v>135</v>
      </c>
      <c r="D172">
        <v>0.464482233743996</v>
      </c>
      <c r="E172">
        <v>8.2861690876641294</v>
      </c>
      <c r="F172">
        <v>0.38887935450897898</v>
      </c>
      <c r="G172">
        <v>-174.21570148481175</v>
      </c>
      <c r="H172">
        <v>-105.86708605906172</v>
      </c>
      <c r="I172">
        <v>65.026331188489905</v>
      </c>
      <c r="J172">
        <v>27.696902724894802</v>
      </c>
      <c r="K172">
        <v>21.307814342899999</v>
      </c>
      <c r="L172">
        <v>1.7420392867477244E-3</v>
      </c>
      <c r="M172">
        <v>6.5678100589627994E-4</v>
      </c>
      <c r="N172" s="1">
        <v>-2.1938257859350099E-5</v>
      </c>
      <c r="O172" s="1">
        <v>2.5425668428290699E-5</v>
      </c>
      <c r="P172" s="1">
        <v>-3.1727367907995603E-5</v>
      </c>
    </row>
    <row r="173" spans="1:16" x14ac:dyDescent="0.2">
      <c r="A173">
        <v>172</v>
      </c>
      <c r="B173">
        <v>776</v>
      </c>
      <c r="C173">
        <v>135</v>
      </c>
      <c r="D173">
        <v>0.46332793213554102</v>
      </c>
      <c r="E173">
        <v>8.98415818158362</v>
      </c>
      <c r="F173">
        <v>0.41570117129141998</v>
      </c>
      <c r="G173">
        <v>-185.69162349438918</v>
      </c>
      <c r="H173">
        <v>-115.67516173808443</v>
      </c>
      <c r="I173">
        <v>66.740024798133803</v>
      </c>
      <c r="J173">
        <v>28.710745297203001</v>
      </c>
      <c r="K173">
        <v>21.612058858706899</v>
      </c>
      <c r="L173">
        <v>1.7301122441918805E-3</v>
      </c>
      <c r="M173">
        <v>6.4844380595953778E-4</v>
      </c>
      <c r="N173" s="1">
        <v>-2.1872827563914599E-5</v>
      </c>
      <c r="O173" s="1">
        <v>2.5503909872647399E-5</v>
      </c>
      <c r="P173" s="1">
        <v>-3.20690702358339E-5</v>
      </c>
    </row>
    <row r="174" spans="1:16" x14ac:dyDescent="0.2">
      <c r="A174">
        <v>173</v>
      </c>
      <c r="B174">
        <v>774</v>
      </c>
      <c r="C174">
        <v>135</v>
      </c>
      <c r="D174">
        <v>0.46216922121950399</v>
      </c>
      <c r="E174">
        <v>10.7012625937547</v>
      </c>
      <c r="F174">
        <v>0.47684828625526599</v>
      </c>
      <c r="G174">
        <v>-214.08462159705653</v>
      </c>
      <c r="H174">
        <v>-139.86782463230031</v>
      </c>
      <c r="I174">
        <v>70.878748881614996</v>
      </c>
      <c r="J174">
        <v>31.061729497586199</v>
      </c>
      <c r="K174">
        <v>22.441650525354198</v>
      </c>
      <c r="L174">
        <v>1.6902662683757569E-3</v>
      </c>
      <c r="M174">
        <v>6.2970296778603707E-4</v>
      </c>
      <c r="N174" s="1">
        <v>-2.19498528583971E-5</v>
      </c>
      <c r="O174" s="1">
        <v>2.5759889795771601E-5</v>
      </c>
      <c r="P174" s="1">
        <v>-3.2641393566556997E-5</v>
      </c>
    </row>
    <row r="175" spans="1:16" x14ac:dyDescent="0.2">
      <c r="A175">
        <v>174</v>
      </c>
      <c r="B175">
        <v>772</v>
      </c>
      <c r="C175">
        <v>135</v>
      </c>
      <c r="D175">
        <v>0.46100607568291702</v>
      </c>
      <c r="E175">
        <v>14.0946732821428</v>
      </c>
      <c r="F175">
        <v>0.58402607819080199</v>
      </c>
      <c r="G175">
        <v>-270.26386876409896</v>
      </c>
      <c r="H175">
        <v>-187.70018748275993</v>
      </c>
      <c r="I175">
        <v>79.000775091348402</v>
      </c>
      <c r="J175">
        <v>35.612169853320502</v>
      </c>
      <c r="K175">
        <v>24.133636850267699</v>
      </c>
      <c r="L175">
        <v>1.6124761917460624E-3</v>
      </c>
      <c r="M175">
        <v>5.9700721760832956E-4</v>
      </c>
      <c r="N175" s="1">
        <v>-2.2263173743139501E-5</v>
      </c>
      <c r="O175" s="1">
        <v>2.6305773275577901E-5</v>
      </c>
      <c r="P175" s="1">
        <v>-3.3592942698641201E-5</v>
      </c>
    </row>
    <row r="176" spans="1:16" x14ac:dyDescent="0.2">
      <c r="A176">
        <v>175</v>
      </c>
      <c r="B176">
        <v>770</v>
      </c>
      <c r="C176">
        <v>135</v>
      </c>
      <c r="D176">
        <v>0.45983847001869499</v>
      </c>
      <c r="E176">
        <v>17.620977102354601</v>
      </c>
      <c r="F176">
        <v>0.68063186281570798</v>
      </c>
      <c r="G176">
        <v>-328.55439328782251</v>
      </c>
      <c r="H176">
        <v>-237.36412488094888</v>
      </c>
      <c r="I176">
        <v>87.422081269227604</v>
      </c>
      <c r="J176">
        <v>40.339150479121898</v>
      </c>
      <c r="K176">
        <v>25.889145167930099</v>
      </c>
      <c r="L176">
        <v>1.5423308988041589E-3</v>
      </c>
      <c r="M176">
        <v>5.6748439818805202E-4</v>
      </c>
      <c r="N176" s="1">
        <v>-2.25714832986195E-5</v>
      </c>
      <c r="O176" s="1">
        <v>2.6867174474485798E-5</v>
      </c>
      <c r="P176" s="1">
        <v>-3.4579518050892801E-5</v>
      </c>
    </row>
    <row r="177" spans="1:16" x14ac:dyDescent="0.2">
      <c r="A177">
        <v>176</v>
      </c>
      <c r="B177">
        <v>768</v>
      </c>
      <c r="C177">
        <v>135</v>
      </c>
      <c r="D177">
        <v>0.45866637852374798</v>
      </c>
      <c r="E177">
        <v>21.8476877180148</v>
      </c>
      <c r="F177">
        <v>0.78044265610296004</v>
      </c>
      <c r="G177">
        <v>-398.22215010307519</v>
      </c>
      <c r="H177">
        <v>-296.74105206119577</v>
      </c>
      <c r="I177">
        <v>97.474222581918298</v>
      </c>
      <c r="J177">
        <v>45.976474414195899</v>
      </c>
      <c r="K177">
        <v>27.993969252152901</v>
      </c>
      <c r="L177">
        <v>1.4685499140076434E-3</v>
      </c>
      <c r="M177">
        <v>5.3692134124440523E-4</v>
      </c>
      <c r="N177" s="1">
        <v>-2.2947213365875799E-5</v>
      </c>
      <c r="O177" s="1">
        <v>2.7531159037596899E-5</v>
      </c>
      <c r="P177" s="1">
        <v>-3.5714876475557101E-5</v>
      </c>
    </row>
    <row r="178" spans="1:16" x14ac:dyDescent="0.2">
      <c r="A178">
        <v>177</v>
      </c>
      <c r="B178">
        <v>766</v>
      </c>
      <c r="C178">
        <v>135</v>
      </c>
      <c r="D178">
        <v>0.45748977529712298</v>
      </c>
      <c r="E178">
        <v>72.337665688232804</v>
      </c>
      <c r="F178">
        <v>1.3581442753205</v>
      </c>
      <c r="G178">
        <v>-1218.2425361145595</v>
      </c>
      <c r="H178">
        <v>-994.02994770962744</v>
      </c>
      <c r="I178">
        <v>215.77056304986601</v>
      </c>
      <c r="J178">
        <v>111.28940709038299</v>
      </c>
      <c r="K178">
        <v>53.262136433304697</v>
      </c>
      <c r="L178">
        <v>1.0006545957033245E-3</v>
      </c>
      <c r="M178">
        <v>3.6205611430804104E-4</v>
      </c>
      <c r="N178" s="1">
        <v>-2.9303477705377799E-5</v>
      </c>
      <c r="O178" s="1">
        <v>3.5334575173190303E-5</v>
      </c>
      <c r="P178" s="1">
        <v>-4.6203440457807601E-5</v>
      </c>
    </row>
    <row r="179" spans="1:16" x14ac:dyDescent="0.2">
      <c r="A179">
        <v>178</v>
      </c>
      <c r="B179">
        <v>764</v>
      </c>
      <c r="C179">
        <v>135</v>
      </c>
      <c r="D179">
        <v>0.45630863423805901</v>
      </c>
      <c r="E179">
        <v>85.377671622234303</v>
      </c>
      <c r="F179">
        <v>1.4306467770058999</v>
      </c>
      <c r="G179">
        <v>-1429.6902082207278</v>
      </c>
      <c r="H179">
        <v>-1174.5335682399616</v>
      </c>
      <c r="I179">
        <v>246.02259960318</v>
      </c>
      <c r="J179">
        <v>128.215524856401</v>
      </c>
      <c r="K179">
        <v>59.677673758798001</v>
      </c>
      <c r="L179">
        <v>9.4601676117985292E-4</v>
      </c>
      <c r="M179">
        <v>3.3998328347465269E-4</v>
      </c>
      <c r="N179" s="1">
        <v>-3.0603943495191098E-5</v>
      </c>
      <c r="O179" s="1">
        <v>3.7233485650822699E-5</v>
      </c>
      <c r="P179" s="1">
        <v>-4.9078534857608202E-5</v>
      </c>
    </row>
    <row r="180" spans="1:16" x14ac:dyDescent="0.2">
      <c r="A180">
        <v>179</v>
      </c>
      <c r="B180">
        <v>762</v>
      </c>
      <c r="C180">
        <v>135</v>
      </c>
      <c r="D180">
        <v>0.45512292904410101</v>
      </c>
      <c r="E180">
        <v>91.022749684689401</v>
      </c>
      <c r="F180">
        <v>1.4591342061567001</v>
      </c>
      <c r="G180">
        <v>-1520.8792355606386</v>
      </c>
      <c r="H180">
        <v>-1252.8522225255624</v>
      </c>
      <c r="I180">
        <v>258.93140539305602</v>
      </c>
      <c r="J180">
        <v>135.59997201267601</v>
      </c>
      <c r="K180">
        <v>62.381341826287198</v>
      </c>
      <c r="L180">
        <v>9.2739390445368316E-4</v>
      </c>
      <c r="M180">
        <v>3.3120670541505012E-4</v>
      </c>
      <c r="N180" s="1">
        <v>-3.09041280279559E-5</v>
      </c>
      <c r="O180" s="1">
        <v>3.79798445457095E-5</v>
      </c>
      <c r="P180" s="1">
        <v>-5.0468874167926101E-5</v>
      </c>
    </row>
    <row r="181" spans="1:16" x14ac:dyDescent="0.2">
      <c r="A181">
        <v>180</v>
      </c>
      <c r="B181">
        <v>760</v>
      </c>
      <c r="C181">
        <v>135</v>
      </c>
      <c r="D181">
        <v>0.45393263320911997</v>
      </c>
      <c r="E181">
        <v>94.232583051594005</v>
      </c>
      <c r="F181">
        <v>1.4755243373792499</v>
      </c>
      <c r="G181">
        <v>-1572.4684490903619</v>
      </c>
      <c r="H181">
        <v>-1297.5188393845806</v>
      </c>
      <c r="I181">
        <v>266.13320010402902</v>
      </c>
      <c r="J181">
        <v>139.846399613736</v>
      </c>
      <c r="K181">
        <v>63.863794492854403</v>
      </c>
      <c r="L181">
        <v>9.1866967832861007E-4</v>
      </c>
      <c r="M181">
        <v>3.26078984365089E-4</v>
      </c>
      <c r="N181" s="1">
        <v>-3.0861851493901201E-5</v>
      </c>
      <c r="O181" s="1">
        <v>3.8347721728202102E-5</v>
      </c>
      <c r="P181" s="1">
        <v>-5.1374931678604803E-5</v>
      </c>
    </row>
    <row r="182" spans="1:16" x14ac:dyDescent="0.2">
      <c r="A182">
        <v>181</v>
      </c>
      <c r="B182">
        <v>758</v>
      </c>
      <c r="C182">
        <v>135</v>
      </c>
      <c r="D182">
        <v>0.452737720021335</v>
      </c>
      <c r="E182">
        <v>96.339431560586505</v>
      </c>
      <c r="F182">
        <v>1.48687208063911</v>
      </c>
      <c r="G182">
        <v>-1606.1226009329134</v>
      </c>
      <c r="H182">
        <v>-1326.9439159791621</v>
      </c>
      <c r="I182">
        <v>270.750753791357</v>
      </c>
      <c r="J182">
        <v>142.67378275422001</v>
      </c>
      <c r="K182">
        <v>64.793355672652197</v>
      </c>
      <c r="L182">
        <v>9.1407175059649384E-4</v>
      </c>
      <c r="M182">
        <v>3.2246807821750996E-4</v>
      </c>
      <c r="N182" s="1">
        <v>-3.0652481947915201E-5</v>
      </c>
      <c r="O182" s="1">
        <v>3.85440735417704E-5</v>
      </c>
      <c r="P182" s="1">
        <v>-5.2064210197678099E-5</v>
      </c>
    </row>
    <row r="183" spans="1:16" x14ac:dyDescent="0.2">
      <c r="A183">
        <v>182</v>
      </c>
      <c r="B183">
        <v>756</v>
      </c>
      <c r="C183">
        <v>135</v>
      </c>
      <c r="D183">
        <v>0.451538162561337</v>
      </c>
      <c r="E183">
        <v>97.8479515169347</v>
      </c>
      <c r="F183">
        <v>1.49561916523127</v>
      </c>
      <c r="G183">
        <v>-1630.0479926398516</v>
      </c>
      <c r="H183">
        <v>-1348.1014743138633</v>
      </c>
      <c r="I183">
        <v>273.96638776854797</v>
      </c>
      <c r="J183">
        <v>144.73305138816599</v>
      </c>
      <c r="K183">
        <v>65.423039361630401</v>
      </c>
      <c r="L183">
        <v>9.1160252436879206E-4</v>
      </c>
      <c r="M183">
        <v>3.1963604133377743E-4</v>
      </c>
      <c r="N183" s="1">
        <v>-3.03419256755672E-5</v>
      </c>
      <c r="O183" s="1">
        <v>3.8647070497961701E-5</v>
      </c>
      <c r="P183" s="1">
        <v>-5.26377168211808E-5</v>
      </c>
    </row>
    <row r="184" spans="1:16" x14ac:dyDescent="0.2">
      <c r="A184">
        <v>183</v>
      </c>
      <c r="B184">
        <v>754</v>
      </c>
      <c r="C184">
        <v>135</v>
      </c>
      <c r="D184">
        <v>0.45033393370004399</v>
      </c>
      <c r="E184">
        <v>99.042853392404098</v>
      </c>
      <c r="F184">
        <v>1.5030593896575</v>
      </c>
      <c r="G184">
        <v>-1648.8735106167262</v>
      </c>
      <c r="H184">
        <v>-1364.9323956286912</v>
      </c>
      <c r="I184">
        <v>276.441738760617</v>
      </c>
      <c r="J184">
        <v>146.390512958019</v>
      </c>
      <c r="K184">
        <v>65.894171630152599</v>
      </c>
      <c r="L184">
        <v>9.1021116560115471E-4</v>
      </c>
      <c r="M184">
        <v>3.1719679090098311E-4</v>
      </c>
      <c r="N184" s="1">
        <v>-2.9965497419586002E-5</v>
      </c>
      <c r="O184" s="1">
        <v>3.8699426934578798E-5</v>
      </c>
      <c r="P184" s="1">
        <v>-5.31511527072828E-5</v>
      </c>
    </row>
    <row r="185" spans="1:16" x14ac:dyDescent="0.2">
      <c r="A185">
        <v>184</v>
      </c>
      <c r="B185">
        <v>752</v>
      </c>
      <c r="C185">
        <v>135</v>
      </c>
      <c r="D185">
        <v>0.449125006096672</v>
      </c>
      <c r="E185">
        <v>99.964533694124796</v>
      </c>
      <c r="F185">
        <v>1.5093761252739299</v>
      </c>
      <c r="G185">
        <v>-1663.2567169103074</v>
      </c>
      <c r="H185">
        <v>-1377.9848619511797</v>
      </c>
      <c r="I185">
        <v>278.27917182098798</v>
      </c>
      <c r="J185">
        <v>147.69969436240299</v>
      </c>
      <c r="K185">
        <v>66.229041270930495</v>
      </c>
      <c r="L185">
        <v>9.097371700659846E-4</v>
      </c>
      <c r="M185">
        <v>3.1508764469096313E-4</v>
      </c>
      <c r="N185" s="1">
        <v>-2.9530318977162399E-5</v>
      </c>
      <c r="O185" s="1">
        <v>3.8709339661629997E-5</v>
      </c>
      <c r="P185" s="1">
        <v>-5.36142955124657E-5</v>
      </c>
    </row>
    <row r="186" spans="1:16" x14ac:dyDescent="0.2">
      <c r="A186">
        <v>185</v>
      </c>
      <c r="B186">
        <v>792</v>
      </c>
      <c r="C186">
        <v>120</v>
      </c>
      <c r="D186">
        <v>0.48793174670234402</v>
      </c>
      <c r="E186">
        <v>6.8503732843800202</v>
      </c>
      <c r="F186">
        <v>0.28122827198497002</v>
      </c>
      <c r="G186">
        <v>-153.13760998903999</v>
      </c>
      <c r="H186">
        <v>-84.696134257244836</v>
      </c>
      <c r="I186">
        <v>64.258926851663603</v>
      </c>
      <c r="J186">
        <v>25.5631500175915</v>
      </c>
      <c r="K186">
        <v>24.358764629276401</v>
      </c>
      <c r="L186">
        <v>1.7647498461571473E-3</v>
      </c>
      <c r="M186">
        <v>8.0830698742375686E-4</v>
      </c>
      <c r="N186" s="1">
        <v>-3.5442030306735397E-5</v>
      </c>
      <c r="O186" s="1">
        <v>3.90016359888221E-5</v>
      </c>
      <c r="P186" s="1">
        <v>-3.74745389125457E-5</v>
      </c>
    </row>
    <row r="187" spans="1:16" x14ac:dyDescent="0.2">
      <c r="A187">
        <v>186</v>
      </c>
      <c r="B187">
        <v>790</v>
      </c>
      <c r="C187">
        <v>120</v>
      </c>
      <c r="D187">
        <v>0.486836758688802</v>
      </c>
      <c r="E187">
        <v>7.3187297721098998</v>
      </c>
      <c r="F187">
        <v>0.29834737087847002</v>
      </c>
      <c r="G187">
        <v>-160.80855432625449</v>
      </c>
      <c r="H187">
        <v>-91.294232281538015</v>
      </c>
      <c r="I187">
        <v>65.388944243413704</v>
      </c>
      <c r="J187">
        <v>26.2521265942474</v>
      </c>
      <c r="K187">
        <v>24.530900844073901</v>
      </c>
      <c r="L187">
        <v>1.7616587737705289E-3</v>
      </c>
      <c r="M187">
        <v>8.0240481324879475E-4</v>
      </c>
      <c r="N187" s="1">
        <v>-3.5603498881876901E-5</v>
      </c>
      <c r="O187" s="1">
        <v>3.9051795152284798E-5</v>
      </c>
      <c r="P187" s="1">
        <v>-3.77787747673234E-5</v>
      </c>
    </row>
    <row r="188" spans="1:16" x14ac:dyDescent="0.2">
      <c r="A188">
        <v>187</v>
      </c>
      <c r="B188">
        <v>788</v>
      </c>
      <c r="C188">
        <v>120</v>
      </c>
      <c r="D188">
        <v>0.48573764312303003</v>
      </c>
      <c r="E188">
        <v>7.9951527226892001</v>
      </c>
      <c r="F188">
        <v>0.32215203137666798</v>
      </c>
      <c r="G188">
        <v>-171.93806241859642</v>
      </c>
      <c r="H188">
        <v>-100.80057348544838</v>
      </c>
      <c r="I188">
        <v>67.041834899853995</v>
      </c>
      <c r="J188">
        <v>27.222820879881102</v>
      </c>
      <c r="K188">
        <v>24.8179491171392</v>
      </c>
      <c r="L188">
        <v>1.7533863872965249E-3</v>
      </c>
      <c r="M188">
        <v>7.9413593377192487E-4</v>
      </c>
      <c r="N188" s="1">
        <v>-3.5816617075995401E-5</v>
      </c>
      <c r="O188" s="1">
        <v>3.9163592207745303E-5</v>
      </c>
      <c r="P188" s="1">
        <v>-3.8147847339918797E-5</v>
      </c>
    </row>
    <row r="189" spans="1:16" x14ac:dyDescent="0.2">
      <c r="A189">
        <v>188</v>
      </c>
      <c r="B189">
        <v>786</v>
      </c>
      <c r="C189">
        <v>120</v>
      </c>
      <c r="D189">
        <v>0.48463437662276798</v>
      </c>
      <c r="E189">
        <v>8.6720898029338898</v>
      </c>
      <c r="F189">
        <v>0.34544142984640802</v>
      </c>
      <c r="G189">
        <v>-183.06634966921939</v>
      </c>
      <c r="H189">
        <v>-110.31444193902702</v>
      </c>
      <c r="I189">
        <v>68.692708357145094</v>
      </c>
      <c r="J189">
        <v>28.195809511290101</v>
      </c>
      <c r="K189">
        <v>25.1043709690227</v>
      </c>
      <c r="L189">
        <v>1.745384708301213E-3</v>
      </c>
      <c r="M189">
        <v>7.8603318678882865E-4</v>
      </c>
      <c r="N189" s="1">
        <v>-3.6023127118900303E-5</v>
      </c>
      <c r="O189" s="1">
        <v>3.9274257874998702E-5</v>
      </c>
      <c r="P189" s="1">
        <v>-3.8521555719977101E-5</v>
      </c>
    </row>
    <row r="190" spans="1:16" x14ac:dyDescent="0.2">
      <c r="A190">
        <v>189</v>
      </c>
      <c r="B190">
        <v>784</v>
      </c>
      <c r="C190">
        <v>120</v>
      </c>
      <c r="D190">
        <v>0.48352693562881199</v>
      </c>
      <c r="E190">
        <v>9.3490029209620999</v>
      </c>
      <c r="F190">
        <v>0.36821826718126099</v>
      </c>
      <c r="G190">
        <v>-194.18435066811026</v>
      </c>
      <c r="H190">
        <v>-119.8282980018556</v>
      </c>
      <c r="I190">
        <v>70.340109861565296</v>
      </c>
      <c r="J190">
        <v>29.1703924644825</v>
      </c>
      <c r="K190">
        <v>25.389840087319399</v>
      </c>
      <c r="L190">
        <v>1.7376567768596441E-3</v>
      </c>
      <c r="M190">
        <v>7.7809595833409017E-4</v>
      </c>
      <c r="N190" s="1">
        <v>-3.62224169238654E-5</v>
      </c>
      <c r="O190" s="1">
        <v>3.9383576876978599E-5</v>
      </c>
      <c r="P190" s="1">
        <v>-3.8899795836374402E-5</v>
      </c>
    </row>
    <row r="191" spans="1:16" x14ac:dyDescent="0.2">
      <c r="A191">
        <v>190</v>
      </c>
      <c r="B191">
        <v>782</v>
      </c>
      <c r="C191">
        <v>120</v>
      </c>
      <c r="D191">
        <v>0.48241529640335601</v>
      </c>
      <c r="E191">
        <v>10.0253713224309</v>
      </c>
      <c r="F191">
        <v>0.39048668011593601</v>
      </c>
      <c r="G191">
        <v>-205.28330403001993</v>
      </c>
      <c r="H191">
        <v>-129.33484176430687</v>
      </c>
      <c r="I191">
        <v>71.9826345636844</v>
      </c>
      <c r="J191">
        <v>30.1458945138946</v>
      </c>
      <c r="K191">
        <v>25.6740417354426</v>
      </c>
      <c r="L191">
        <v>1.7302045371801399E-3</v>
      </c>
      <c r="M191">
        <v>7.7032310604314752E-4</v>
      </c>
      <c r="N191" s="1">
        <v>-3.6413861629352101E-5</v>
      </c>
      <c r="O191" s="1">
        <v>3.9491340678366497E-5</v>
      </c>
      <c r="P191" s="1">
        <v>-3.92824669315402E-5</v>
      </c>
    </row>
    <row r="192" spans="1:16" x14ac:dyDescent="0.2">
      <c r="A192">
        <v>191</v>
      </c>
      <c r="B192">
        <v>780</v>
      </c>
      <c r="C192">
        <v>120</v>
      </c>
      <c r="D192">
        <v>0.48129943502824801</v>
      </c>
      <c r="E192">
        <v>11.714793146421901</v>
      </c>
      <c r="F192">
        <v>0.44222987377664902</v>
      </c>
      <c r="G192">
        <v>-233.20108797508701</v>
      </c>
      <c r="H192">
        <v>-153.13757713151617</v>
      </c>
      <c r="I192">
        <v>76.026749018924406</v>
      </c>
      <c r="J192">
        <v>32.438566147078603</v>
      </c>
      <c r="K192">
        <v>26.490279922469799</v>
      </c>
      <c r="L192">
        <v>1.6990622335386219E-3</v>
      </c>
      <c r="M192">
        <v>7.5204131787427026E-4</v>
      </c>
      <c r="N192" s="1">
        <v>-3.6828166362384501E-5</v>
      </c>
      <c r="O192" s="1">
        <v>3.9844841876960201E-5</v>
      </c>
      <c r="P192" s="1">
        <v>-3.9917403911538098E-5</v>
      </c>
    </row>
    <row r="193" spans="1:16" x14ac:dyDescent="0.2">
      <c r="A193">
        <v>192</v>
      </c>
      <c r="B193">
        <v>778</v>
      </c>
      <c r="C193">
        <v>120</v>
      </c>
      <c r="D193">
        <v>0.48017932740332298</v>
      </c>
      <c r="E193">
        <v>15.0624041805912</v>
      </c>
      <c r="F193">
        <v>0.53459409532969304</v>
      </c>
      <c r="G193">
        <v>-288.60743152139497</v>
      </c>
      <c r="H193">
        <v>-200.31903857540547</v>
      </c>
      <c r="I193">
        <v>83.996136715614995</v>
      </c>
      <c r="J193">
        <v>36.886904962597697</v>
      </c>
      <c r="K193">
        <v>28.175403193149702</v>
      </c>
      <c r="L193">
        <v>1.6348002951276812E-3</v>
      </c>
      <c r="M193">
        <v>7.1925540923370261E-4</v>
      </c>
      <c r="N193" s="1">
        <v>-3.7610331579466799E-5</v>
      </c>
      <c r="O193" s="1">
        <v>4.0597187613100502E-5</v>
      </c>
      <c r="P193" s="1">
        <v>-4.0964559801214E-5</v>
      </c>
    </row>
    <row r="194" spans="1:16" x14ac:dyDescent="0.2">
      <c r="A194">
        <v>193</v>
      </c>
      <c r="B194">
        <v>776</v>
      </c>
      <c r="C194">
        <v>120</v>
      </c>
      <c r="D194">
        <v>0.47905494924462999</v>
      </c>
      <c r="E194">
        <v>18.545198458668199</v>
      </c>
      <c r="F194">
        <v>0.61970350991346601</v>
      </c>
      <c r="G194">
        <v>-346.16306177959376</v>
      </c>
      <c r="H194">
        <v>-249.36338251652728</v>
      </c>
      <c r="I194">
        <v>92.268898177160906</v>
      </c>
      <c r="J194">
        <v>41.512527557682198</v>
      </c>
      <c r="K194">
        <v>29.925921286548501</v>
      </c>
      <c r="L194">
        <v>1.5755383132674929E-3</v>
      </c>
      <c r="M194">
        <v>6.8899610935637724E-4</v>
      </c>
      <c r="N194" s="1">
        <v>-3.8409594502519598E-5</v>
      </c>
      <c r="O194" s="1">
        <v>4.1372712002636797E-5</v>
      </c>
      <c r="P194" s="1">
        <v>-4.2051154308702698E-5</v>
      </c>
    </row>
    <row r="195" spans="1:16" x14ac:dyDescent="0.2">
      <c r="A195">
        <v>194</v>
      </c>
      <c r="B195">
        <v>774</v>
      </c>
      <c r="C195">
        <v>120</v>
      </c>
      <c r="D195">
        <v>0.47792627608270499</v>
      </c>
      <c r="E195">
        <v>22.320168493233901</v>
      </c>
      <c r="F195">
        <v>0.70140376135940696</v>
      </c>
      <c r="G195">
        <v>-408.42970168838121</v>
      </c>
      <c r="H195">
        <v>-302.44932362226541</v>
      </c>
      <c r="I195">
        <v>101.212537537923</v>
      </c>
      <c r="J195">
        <v>46.517044939378501</v>
      </c>
      <c r="K195">
        <v>31.822139718747199</v>
      </c>
      <c r="L195">
        <v>1.5182201068115676E-3</v>
      </c>
      <c r="M195">
        <v>6.5988500045190775E-4</v>
      </c>
      <c r="N195" s="1">
        <v>-3.9256534390470397E-5</v>
      </c>
      <c r="O195" s="1">
        <v>4.2204708640466902E-5</v>
      </c>
      <c r="P195" s="1">
        <v>-4.3212181407630297E-5</v>
      </c>
    </row>
    <row r="196" spans="1:16" x14ac:dyDescent="0.2">
      <c r="A196">
        <v>195</v>
      </c>
      <c r="B196">
        <v>772</v>
      </c>
      <c r="C196">
        <v>120</v>
      </c>
      <c r="D196">
        <v>0.47679328326077502</v>
      </c>
      <c r="E196">
        <v>65.346613422961298</v>
      </c>
      <c r="F196">
        <v>1.2165605769721399</v>
      </c>
      <c r="G196">
        <v>-1107.4460453562231</v>
      </c>
      <c r="H196">
        <v>-896.62621864022958</v>
      </c>
      <c r="I196">
        <v>201.717572750416</v>
      </c>
      <c r="J196">
        <v>101.728912499846</v>
      </c>
      <c r="K196">
        <v>53.714228999266197</v>
      </c>
      <c r="L196">
        <v>1.1064520471347921E-3</v>
      </c>
      <c r="M196">
        <v>4.7641330490738024E-4</v>
      </c>
      <c r="N196" s="1">
        <v>-4.8027919793006198E-5</v>
      </c>
      <c r="O196" s="1">
        <v>5.1475679598724197E-5</v>
      </c>
      <c r="P196" s="1">
        <v>-5.30951808331982E-5</v>
      </c>
    </row>
    <row r="197" spans="1:16" x14ac:dyDescent="0.2">
      <c r="A197">
        <v>196</v>
      </c>
      <c r="B197">
        <v>770</v>
      </c>
      <c r="C197">
        <v>120</v>
      </c>
      <c r="D197">
        <v>0.47565594593299199</v>
      </c>
      <c r="E197">
        <v>82.4326309710939</v>
      </c>
      <c r="F197">
        <v>1.3234103091042699</v>
      </c>
      <c r="G197">
        <v>-1384.7228582710854</v>
      </c>
      <c r="H197">
        <v>-1132.9954304048804</v>
      </c>
      <c r="I197">
        <v>241.32013599532499</v>
      </c>
      <c r="J197">
        <v>123.69061385155</v>
      </c>
      <c r="K197">
        <v>62.288037507344796</v>
      </c>
      <c r="L197">
        <v>1.0252456695907953E-3</v>
      </c>
      <c r="M197">
        <v>4.3842511547600711E-4</v>
      </c>
      <c r="N197" s="1">
        <v>-5.14171564984116E-5</v>
      </c>
      <c r="O197" s="1">
        <v>5.5014879898941298E-5</v>
      </c>
      <c r="P197" s="1">
        <v>-5.7170822644344799E-5</v>
      </c>
    </row>
    <row r="198" spans="1:16" x14ac:dyDescent="0.2">
      <c r="A198">
        <v>197</v>
      </c>
      <c r="B198">
        <v>768</v>
      </c>
      <c r="C198">
        <v>120</v>
      </c>
      <c r="D198">
        <v>0.474514239062578</v>
      </c>
      <c r="E198">
        <v>89.341154463310403</v>
      </c>
      <c r="F198">
        <v>1.3605555312498701</v>
      </c>
      <c r="G198">
        <v>-1496.4630647695842</v>
      </c>
      <c r="H198">
        <v>-1228.7561556949165</v>
      </c>
      <c r="I198">
        <v>257.13176065986801</v>
      </c>
      <c r="J198">
        <v>132.62724271130301</v>
      </c>
      <c r="K198">
        <v>65.665202493599807</v>
      </c>
      <c r="L198">
        <v>1.0006035958190032E-3</v>
      </c>
      <c r="M198">
        <v>4.25239482738265E-4</v>
      </c>
      <c r="N198" s="1">
        <v>-5.2724505270163097E-5</v>
      </c>
      <c r="O198" s="1">
        <v>5.6348898800575297E-5</v>
      </c>
      <c r="P198" s="1">
        <v>-5.9000083796890099E-5</v>
      </c>
    </row>
    <row r="199" spans="1:16" x14ac:dyDescent="0.2">
      <c r="A199">
        <v>198</v>
      </c>
      <c r="B199">
        <v>766</v>
      </c>
      <c r="C199">
        <v>120</v>
      </c>
      <c r="D199">
        <v>0.47336813742000999</v>
      </c>
      <c r="E199">
        <v>93.097245391309599</v>
      </c>
      <c r="F199">
        <v>1.3805483474689</v>
      </c>
      <c r="G199">
        <v>-1556.9355326059308</v>
      </c>
      <c r="H199">
        <v>-1280.9611548867911</v>
      </c>
      <c r="I199">
        <v>265.58271973681599</v>
      </c>
      <c r="J199">
        <v>137.534917885315</v>
      </c>
      <c r="K199">
        <v>67.434976516391998</v>
      </c>
      <c r="L199">
        <v>9.8989528473008778E-4</v>
      </c>
      <c r="M199">
        <v>4.1815070998167621E-4</v>
      </c>
      <c r="N199" s="1">
        <v>-5.3379550525903102E-5</v>
      </c>
      <c r="O199" s="1">
        <v>5.7003485271484999E-5</v>
      </c>
      <c r="P199" s="1">
        <v>-6.0141323580642003E-5</v>
      </c>
    </row>
    <row r="200" spans="1:16" x14ac:dyDescent="0.2">
      <c r="A200">
        <v>199</v>
      </c>
      <c r="B200">
        <v>764</v>
      </c>
      <c r="C200">
        <v>120</v>
      </c>
      <c r="D200">
        <v>0.47221761558116099</v>
      </c>
      <c r="E200">
        <v>95.493820013237595</v>
      </c>
      <c r="F200">
        <v>1.39382740994517</v>
      </c>
      <c r="G200">
        <v>-1595.2995984337554</v>
      </c>
      <c r="H200">
        <v>-1314.3824321324437</v>
      </c>
      <c r="I200">
        <v>270.86065068512602</v>
      </c>
      <c r="J200">
        <v>140.70758753251499</v>
      </c>
      <c r="K200">
        <v>68.511940095218606</v>
      </c>
      <c r="L200">
        <v>9.8465166047253172E-4</v>
      </c>
      <c r="M200">
        <v>4.1344431601703498E-4</v>
      </c>
      <c r="N200" s="1">
        <v>-5.3744227208041402E-5</v>
      </c>
      <c r="O200" s="1">
        <v>5.7365585680071597E-5</v>
      </c>
      <c r="P200" s="1">
        <v>-6.0990060609779E-5</v>
      </c>
    </row>
    <row r="201" spans="1:16" x14ac:dyDescent="0.2">
      <c r="A201">
        <v>200</v>
      </c>
      <c r="B201">
        <v>762</v>
      </c>
      <c r="C201">
        <v>120</v>
      </c>
      <c r="D201">
        <v>0.47106264792542502</v>
      </c>
      <c r="E201">
        <v>97.177291463990997</v>
      </c>
      <c r="F201">
        <v>1.4037774567629699</v>
      </c>
      <c r="G201">
        <v>-1622.0677112902672</v>
      </c>
      <c r="H201">
        <v>-1337.9515653836102</v>
      </c>
      <c r="I201">
        <v>274.47436592310299</v>
      </c>
      <c r="J201">
        <v>142.97195150113399</v>
      </c>
      <c r="K201">
        <v>69.225567767754399</v>
      </c>
      <c r="L201">
        <v>9.8212699714135001E-4</v>
      </c>
      <c r="M201">
        <v>4.0991595425484822E-4</v>
      </c>
      <c r="N201" s="1">
        <v>-5.3948091286365503E-5</v>
      </c>
      <c r="O201" s="1">
        <v>5.7574224124749197E-5</v>
      </c>
      <c r="P201" s="1">
        <v>-6.1688439513135802E-5</v>
      </c>
    </row>
    <row r="202" spans="1:16" x14ac:dyDescent="0.2">
      <c r="A202">
        <v>201</v>
      </c>
      <c r="B202">
        <v>760</v>
      </c>
      <c r="C202">
        <v>120</v>
      </c>
      <c r="D202">
        <v>0.46990320863379098</v>
      </c>
      <c r="E202">
        <v>98.437218131873095</v>
      </c>
      <c r="F202">
        <v>1.41182527783996</v>
      </c>
      <c r="G202">
        <v>-1641.9487556953611</v>
      </c>
      <c r="H202">
        <v>-1355.669464978728</v>
      </c>
      <c r="I202">
        <v>277.09946459767201</v>
      </c>
      <c r="J202">
        <v>144.698257503029</v>
      </c>
      <c r="K202">
        <v>69.723371352635198</v>
      </c>
      <c r="L202">
        <v>9.8116411966375685E-4</v>
      </c>
      <c r="M202">
        <v>4.0705789225476281E-4</v>
      </c>
      <c r="N202" s="1">
        <v>-5.4048623626371099E-5</v>
      </c>
      <c r="O202" s="1">
        <v>5.7691520269422E-5</v>
      </c>
      <c r="P202" s="1">
        <v>-6.2300001964882694E-5</v>
      </c>
    </row>
    <row r="203" spans="1:16" x14ac:dyDescent="0.2">
      <c r="A203">
        <v>202</v>
      </c>
      <c r="B203">
        <v>758</v>
      </c>
      <c r="C203">
        <v>120</v>
      </c>
      <c r="D203">
        <v>0.46873927168695301</v>
      </c>
      <c r="E203">
        <v>99.423243392592795</v>
      </c>
      <c r="F203">
        <v>1.41867913672506</v>
      </c>
      <c r="G203">
        <v>-1657.3762413041279</v>
      </c>
      <c r="H203">
        <v>-1369.6037852025588</v>
      </c>
      <c r="I203">
        <v>279.08500063639798</v>
      </c>
      <c r="J203">
        <v>146.07785582626599</v>
      </c>
      <c r="K203">
        <v>70.081557428204405</v>
      </c>
      <c r="L203">
        <v>9.8118869730440587E-4</v>
      </c>
      <c r="M203">
        <v>4.046180112362026E-4</v>
      </c>
      <c r="N203" s="1">
        <v>-5.4075106813481698E-5</v>
      </c>
      <c r="O203" s="1">
        <v>5.7749508563159303E-5</v>
      </c>
      <c r="P203" s="1">
        <v>-6.2857546426336495E-5</v>
      </c>
    </row>
    <row r="204" spans="1:16" x14ac:dyDescent="0.2">
      <c r="A204">
        <v>203</v>
      </c>
      <c r="B204">
        <v>756</v>
      </c>
      <c r="C204">
        <v>120</v>
      </c>
      <c r="D204">
        <v>0.46757081086333502</v>
      </c>
      <c r="E204">
        <v>100.269362365462</v>
      </c>
      <c r="F204">
        <v>1.4249530630762599</v>
      </c>
      <c r="G204">
        <v>-1670.5274552015949</v>
      </c>
      <c r="H204">
        <v>-1381.6121280932168</v>
      </c>
      <c r="I204">
        <v>280.73787822642697</v>
      </c>
      <c r="J204">
        <v>147.281274085066</v>
      </c>
      <c r="K204">
        <v>70.366782572469504</v>
      </c>
      <c r="L204">
        <v>9.8170958648939816E-4</v>
      </c>
      <c r="M204">
        <v>4.0238396707701317E-4</v>
      </c>
      <c r="N204" s="1">
        <v>-5.4051933440228E-5</v>
      </c>
      <c r="O204" s="1">
        <v>5.7775018495216001E-5</v>
      </c>
      <c r="P204" s="1">
        <v>-6.3389202343347006E-5</v>
      </c>
    </row>
    <row r="205" spans="1:16" x14ac:dyDescent="0.2">
      <c r="A205">
        <v>204</v>
      </c>
      <c r="B205">
        <v>802</v>
      </c>
      <c r="C205">
        <v>105</v>
      </c>
      <c r="D205">
        <v>0.50869227549644302</v>
      </c>
      <c r="E205">
        <v>7.1576719261245199</v>
      </c>
      <c r="F205">
        <v>0.242008857056036</v>
      </c>
      <c r="G205">
        <v>-161.09445353308499</v>
      </c>
      <c r="H205">
        <v>-87.876951649488632</v>
      </c>
      <c r="I205">
        <v>68.1036115360683</v>
      </c>
      <c r="J205">
        <v>25.711166669533799</v>
      </c>
      <c r="K205">
        <v>29.5760742527997</v>
      </c>
      <c r="L205">
        <v>1.7187966334941808E-3</v>
      </c>
      <c r="M205">
        <v>9.6704090380412872E-4</v>
      </c>
      <c r="N205" s="1">
        <v>-4.9841573566414903E-5</v>
      </c>
      <c r="O205" s="1">
        <v>6.2536267449013306E-5</v>
      </c>
      <c r="P205" s="1">
        <v>-4.5870326644896501E-5</v>
      </c>
    </row>
    <row r="206" spans="1:16" x14ac:dyDescent="0.2">
      <c r="A206">
        <v>205</v>
      </c>
      <c r="B206">
        <v>800</v>
      </c>
      <c r="C206">
        <v>105</v>
      </c>
      <c r="D206">
        <v>0.50764618180124099</v>
      </c>
      <c r="E206">
        <v>7.5295428062031498</v>
      </c>
      <c r="F206">
        <v>0.25366906430446801</v>
      </c>
      <c r="G206">
        <v>-167.15051250565111</v>
      </c>
      <c r="H206">
        <v>-93.126294552259949</v>
      </c>
      <c r="I206">
        <v>68.982270681581298</v>
      </c>
      <c r="J206">
        <v>26.260438931806</v>
      </c>
      <c r="K206">
        <v>29.682542594810698</v>
      </c>
      <c r="L206">
        <v>1.7202312670131714E-3</v>
      </c>
      <c r="M206">
        <v>9.6277440596709957E-4</v>
      </c>
      <c r="N206" s="1">
        <v>-5.0238434093547901E-5</v>
      </c>
      <c r="O206" s="1">
        <v>6.2570210535926901E-5</v>
      </c>
      <c r="P206" s="1">
        <v>-4.6163908521956599E-5</v>
      </c>
    </row>
    <row r="207" spans="1:16" x14ac:dyDescent="0.2">
      <c r="A207">
        <v>206</v>
      </c>
      <c r="B207">
        <v>798</v>
      </c>
      <c r="C207">
        <v>105</v>
      </c>
      <c r="D207">
        <v>0.50659618167390597</v>
      </c>
      <c r="E207">
        <v>8.1873053590577403</v>
      </c>
      <c r="F207">
        <v>0.273353294791507</v>
      </c>
      <c r="G207">
        <v>-177.96487574734485</v>
      </c>
      <c r="H207">
        <v>-102.37060898023091</v>
      </c>
      <c r="I207">
        <v>70.576847633861306</v>
      </c>
      <c r="J207">
        <v>27.190877347925301</v>
      </c>
      <c r="K207">
        <v>29.951368851443199</v>
      </c>
      <c r="L207">
        <v>1.7157831029857679E-3</v>
      </c>
      <c r="M207">
        <v>9.5516973555532863E-4</v>
      </c>
      <c r="N207" s="1">
        <v>-5.0734389509874799E-5</v>
      </c>
      <c r="O207" s="1">
        <v>6.2724814291149406E-5</v>
      </c>
      <c r="P207" s="1">
        <v>-4.6551488331698302E-5</v>
      </c>
    </row>
    <row r="208" spans="1:16" x14ac:dyDescent="0.2">
      <c r="A208">
        <v>207</v>
      </c>
      <c r="B208">
        <v>796</v>
      </c>
      <c r="C208">
        <v>105</v>
      </c>
      <c r="D208">
        <v>0.50554225319178703</v>
      </c>
      <c r="E208">
        <v>8.8451262763944598</v>
      </c>
      <c r="F208">
        <v>0.29269828011811</v>
      </c>
      <c r="G208">
        <v>-188.77088896540852</v>
      </c>
      <c r="H208">
        <v>-111.61613296203709</v>
      </c>
      <c r="I208">
        <v>72.168449073937097</v>
      </c>
      <c r="J208">
        <v>28.1228227622465</v>
      </c>
      <c r="K208">
        <v>30.219262897018901</v>
      </c>
      <c r="L208">
        <v>1.7115153433194415E-3</v>
      </c>
      <c r="M208">
        <v>9.476907461635159E-4</v>
      </c>
      <c r="N208" s="1">
        <v>-5.1231389467272998E-5</v>
      </c>
      <c r="O208" s="1">
        <v>6.2878275941357305E-5</v>
      </c>
      <c r="P208" s="1">
        <v>-4.6943843252120001E-5</v>
      </c>
    </row>
    <row r="209" spans="1:16" x14ac:dyDescent="0.2">
      <c r="A209">
        <v>208</v>
      </c>
      <c r="B209">
        <v>794</v>
      </c>
      <c r="C209">
        <v>105</v>
      </c>
      <c r="D209">
        <v>0.50448437426791004</v>
      </c>
      <c r="E209">
        <v>9.5025149697423892</v>
      </c>
      <c r="F209">
        <v>0.31170177534773902</v>
      </c>
      <c r="G209">
        <v>-199.56030256409051</v>
      </c>
      <c r="H209">
        <v>-120.85599861333782</v>
      </c>
      <c r="I209">
        <v>73.755763488814495</v>
      </c>
      <c r="J209">
        <v>29.055646627530301</v>
      </c>
      <c r="K209">
        <v>30.485918661006099</v>
      </c>
      <c r="L209">
        <v>1.7074330887488897E-3</v>
      </c>
      <c r="M209">
        <v>9.4033873976242155E-4</v>
      </c>
      <c r="N209" s="1">
        <v>-5.1729019705448101E-5</v>
      </c>
      <c r="O209" s="1">
        <v>6.3030336361988296E-5</v>
      </c>
      <c r="P209" s="1">
        <v>-4.73408962544026E-5</v>
      </c>
    </row>
    <row r="210" spans="1:16" x14ac:dyDescent="0.2">
      <c r="A210">
        <v>209</v>
      </c>
      <c r="B210">
        <v>792</v>
      </c>
      <c r="C210">
        <v>105</v>
      </c>
      <c r="D210">
        <v>0.50342252264939402</v>
      </c>
      <c r="E210">
        <v>10.1589971202543</v>
      </c>
      <c r="F210">
        <v>0.33036270391938399</v>
      </c>
      <c r="G210">
        <v>-210.32515241475087</v>
      </c>
      <c r="H210">
        <v>-130.08356348990699</v>
      </c>
      <c r="I210">
        <v>75.3375258710537</v>
      </c>
      <c r="J210">
        <v>29.988743388403901</v>
      </c>
      <c r="K210">
        <v>30.751041203287102</v>
      </c>
      <c r="L210">
        <v>1.7035406653214658E-3</v>
      </c>
      <c r="M210">
        <v>9.3311452337190351E-4</v>
      </c>
      <c r="N210" s="1">
        <v>-5.2226854784881898E-5</v>
      </c>
      <c r="O210" s="1">
        <v>6.3180745491342298E-5</v>
      </c>
      <c r="P210" s="1">
        <v>-4.7742575882904898E-5</v>
      </c>
    </row>
    <row r="211" spans="1:16" x14ac:dyDescent="0.2">
      <c r="A211">
        <v>210</v>
      </c>
      <c r="B211">
        <v>790</v>
      </c>
      <c r="C211">
        <v>105</v>
      </c>
      <c r="D211">
        <v>0.50235667591591204</v>
      </c>
      <c r="E211">
        <v>10.814119399253</v>
      </c>
      <c r="F211">
        <v>0.348681162267232</v>
      </c>
      <c r="G211">
        <v>-221.05783747287549</v>
      </c>
      <c r="H211">
        <v>-139.29247611266507</v>
      </c>
      <c r="I211">
        <v>76.912529530058606</v>
      </c>
      <c r="J211">
        <v>30.9215369298194</v>
      </c>
      <c r="K211">
        <v>31.0143494100349</v>
      </c>
      <c r="L211">
        <v>1.6998415940666426E-3</v>
      </c>
      <c r="M211">
        <v>9.2601840385886727E-4</v>
      </c>
      <c r="N211" s="1">
        <v>-5.27244594589741E-5</v>
      </c>
      <c r="O211" s="1">
        <v>6.3329264285037393E-5</v>
      </c>
      <c r="P211" s="1">
        <v>-4.8148817870141201E-5</v>
      </c>
    </row>
    <row r="212" spans="1:16" x14ac:dyDescent="0.2">
      <c r="A212">
        <v>211</v>
      </c>
      <c r="B212">
        <v>788</v>
      </c>
      <c r="C212">
        <v>105</v>
      </c>
      <c r="D212">
        <v>0.50128681147811704</v>
      </c>
      <c r="E212">
        <v>11.597217577755</v>
      </c>
      <c r="F212">
        <v>0.369979858453308</v>
      </c>
      <c r="G212">
        <v>-233.90782451191319</v>
      </c>
      <c r="H212">
        <v>-150.30758763556736</v>
      </c>
      <c r="I212">
        <v>78.786648329560805</v>
      </c>
      <c r="J212">
        <v>32.020275091120801</v>
      </c>
      <c r="K212">
        <v>31.3455376361212</v>
      </c>
      <c r="L212">
        <v>1.6937777281407699E-3</v>
      </c>
      <c r="M212">
        <v>9.1765396996471005E-4</v>
      </c>
      <c r="N212" s="1">
        <v>-5.3259527319164401E-5</v>
      </c>
      <c r="O212" s="1">
        <v>6.3520848120529497E-5</v>
      </c>
      <c r="P212" s="1">
        <v>-4.85941297398193E-5</v>
      </c>
    </row>
    <row r="213" spans="1:16" x14ac:dyDescent="0.2">
      <c r="A213">
        <v>212</v>
      </c>
      <c r="B213">
        <v>786</v>
      </c>
      <c r="C213">
        <v>105</v>
      </c>
      <c r="D213">
        <v>0.50021290657603101</v>
      </c>
      <c r="E213">
        <v>14.8666333725523</v>
      </c>
      <c r="F213">
        <v>0.45031376641841098</v>
      </c>
      <c r="G213">
        <v>-288.03582114960415</v>
      </c>
      <c r="H213">
        <v>-196.38807835739181</v>
      </c>
      <c r="I213">
        <v>86.533574705548006</v>
      </c>
      <c r="J213">
        <v>36.316515614926502</v>
      </c>
      <c r="K213">
        <v>33.013943790336903</v>
      </c>
      <c r="L213">
        <v>1.6417963881988258E-3</v>
      </c>
      <c r="M213">
        <v>8.8442495011987652E-4</v>
      </c>
      <c r="N213" s="1">
        <v>-5.4527393659198102E-5</v>
      </c>
      <c r="O213" s="1">
        <v>6.4572523180736002E-5</v>
      </c>
      <c r="P213" s="1">
        <v>-4.97082037637311E-5</v>
      </c>
    </row>
    <row r="214" spans="1:16" x14ac:dyDescent="0.2">
      <c r="A214">
        <v>213</v>
      </c>
      <c r="B214">
        <v>784</v>
      </c>
      <c r="C214">
        <v>105</v>
      </c>
      <c r="D214">
        <v>0.49913493827744299</v>
      </c>
      <c r="E214">
        <v>18.2415950375349</v>
      </c>
      <c r="F214">
        <v>0.52518953851987504</v>
      </c>
      <c r="G214">
        <v>-343.83029884193826</v>
      </c>
      <c r="H214">
        <v>-243.91956381273496</v>
      </c>
      <c r="I214">
        <v>94.513652501146694</v>
      </c>
      <c r="J214">
        <v>40.749815850907197</v>
      </c>
      <c r="K214">
        <v>34.733355673733797</v>
      </c>
      <c r="L214">
        <v>1.5933611627336928E-3</v>
      </c>
      <c r="M214">
        <v>8.5341356724648787E-4</v>
      </c>
      <c r="N214" s="1">
        <v>-5.5828893581505402E-5</v>
      </c>
      <c r="O214" s="1">
        <v>6.5649557595008599E-5</v>
      </c>
      <c r="P214" s="1">
        <v>-5.0857151175891803E-5</v>
      </c>
    </row>
    <row r="215" spans="1:16" x14ac:dyDescent="0.2">
      <c r="A215">
        <v>214</v>
      </c>
      <c r="B215">
        <v>782</v>
      </c>
      <c r="C215">
        <v>105</v>
      </c>
      <c r="D215">
        <v>0.49805288347628701</v>
      </c>
      <c r="E215">
        <v>21.837049292520199</v>
      </c>
      <c r="F215">
        <v>0.59723148785270197</v>
      </c>
      <c r="G215">
        <v>-403.16764039539083</v>
      </c>
      <c r="H215">
        <v>-294.49699751219919</v>
      </c>
      <c r="I215">
        <v>102.994929421325</v>
      </c>
      <c r="J215">
        <v>45.466301757144301</v>
      </c>
      <c r="K215">
        <v>36.5637943354822</v>
      </c>
      <c r="L215">
        <v>1.546467012035723E-3</v>
      </c>
      <c r="M215">
        <v>8.2351101235927319E-4</v>
      </c>
      <c r="N215" s="1">
        <v>-5.7194139087129097E-5</v>
      </c>
      <c r="O215" s="1">
        <v>6.6786700523746806E-5</v>
      </c>
      <c r="P215" s="1">
        <v>-5.2068813788523402E-5</v>
      </c>
    </row>
    <row r="216" spans="1:16" x14ac:dyDescent="0.2">
      <c r="A216">
        <v>215</v>
      </c>
      <c r="B216">
        <v>780</v>
      </c>
      <c r="C216">
        <v>105</v>
      </c>
      <c r="D216">
        <v>0.49696671889094501</v>
      </c>
      <c r="E216">
        <v>42.136308119134803</v>
      </c>
      <c r="F216">
        <v>0.89452277901947697</v>
      </c>
      <c r="G216">
        <v>-733.4018697387562</v>
      </c>
      <c r="H216">
        <v>-575.04561071688795</v>
      </c>
      <c r="I216">
        <v>150.36903171103401</v>
      </c>
      <c r="J216">
        <v>71.355097336773795</v>
      </c>
      <c r="K216">
        <v>47.104790517824597</v>
      </c>
      <c r="L216">
        <v>1.3215677750746052E-3</v>
      </c>
      <c r="M216">
        <v>6.9868579727755723E-4</v>
      </c>
      <c r="N216" s="1">
        <v>-6.3047129679716599E-5</v>
      </c>
      <c r="O216" s="1">
        <v>7.3088526964908696E-5</v>
      </c>
      <c r="P216" s="1">
        <v>-5.7349697740694198E-5</v>
      </c>
    </row>
    <row r="217" spans="1:16" x14ac:dyDescent="0.2">
      <c r="A217">
        <v>216</v>
      </c>
      <c r="B217">
        <v>778</v>
      </c>
      <c r="C217">
        <v>105</v>
      </c>
      <c r="D217">
        <v>0.49587642106264601</v>
      </c>
      <c r="E217">
        <v>72.193184036962407</v>
      </c>
      <c r="F217">
        <v>1.1524684065601101</v>
      </c>
      <c r="G217">
        <v>-1221.7810153992698</v>
      </c>
      <c r="H217">
        <v>-990.39495958831503</v>
      </c>
      <c r="I217">
        <v>220.13182049268201</v>
      </c>
      <c r="J217">
        <v>109.55905274599699</v>
      </c>
      <c r="K217">
        <v>62.642223965552503</v>
      </c>
      <c r="L217">
        <v>1.1250198834725127E-3</v>
      </c>
      <c r="M217">
        <v>5.9028321294681278E-4</v>
      </c>
      <c r="N217" s="1">
        <v>-7.1432374242121196E-5</v>
      </c>
      <c r="O217" s="1">
        <v>8.2213071390873499E-5</v>
      </c>
      <c r="P217" s="1">
        <v>-6.4929981325251895E-5</v>
      </c>
    </row>
    <row r="218" spans="1:16" x14ac:dyDescent="0.2">
      <c r="A218">
        <v>217</v>
      </c>
      <c r="B218">
        <v>776</v>
      </c>
      <c r="C218">
        <v>105</v>
      </c>
      <c r="D218">
        <v>0.49478196635371602</v>
      </c>
      <c r="E218">
        <v>84.424305668394894</v>
      </c>
      <c r="F218">
        <v>1.2262286299512799</v>
      </c>
      <c r="G218">
        <v>-1420.1129501589874</v>
      </c>
      <c r="H218">
        <v>-1159.639148524391</v>
      </c>
      <c r="I218">
        <v>248.276756368631</v>
      </c>
      <c r="J218">
        <v>125.147634957145</v>
      </c>
      <c r="K218">
        <v>68.848747783477407</v>
      </c>
      <c r="L218">
        <v>1.0731460566269634E-3</v>
      </c>
      <c r="M218">
        <v>5.5955521365396745E-4</v>
      </c>
      <c r="N218" s="1">
        <v>-7.5042641320035398E-5</v>
      </c>
      <c r="O218" s="1">
        <v>8.5780614268153902E-5</v>
      </c>
      <c r="P218" s="1">
        <v>-6.8194007587157402E-5</v>
      </c>
    </row>
    <row r="219" spans="1:16" x14ac:dyDescent="0.2">
      <c r="A219">
        <v>218</v>
      </c>
      <c r="B219">
        <v>774</v>
      </c>
      <c r="C219">
        <v>105</v>
      </c>
      <c r="D219">
        <v>0.493683330945906</v>
      </c>
      <c r="E219">
        <v>90.146188523165506</v>
      </c>
      <c r="F219">
        <v>1.2579323747171001</v>
      </c>
      <c r="G219">
        <v>-1512.5610751423696</v>
      </c>
      <c r="H219">
        <v>-1238.9785788079446</v>
      </c>
      <c r="I219">
        <v>261.26951232877798</v>
      </c>
      <c r="J219">
        <v>132.489105402295</v>
      </c>
      <c r="K219">
        <v>71.662189744849002</v>
      </c>
      <c r="L219">
        <v>1.0543478859544213E-3</v>
      </c>
      <c r="M219">
        <v>5.4652465531972888E-4</v>
      </c>
      <c r="N219" s="1">
        <v>-7.6920147552381204E-5</v>
      </c>
      <c r="O219" s="1">
        <v>8.7343526249613894E-5</v>
      </c>
      <c r="P219" s="1">
        <v>-6.9898882048403894E-5</v>
      </c>
    </row>
    <row r="220" spans="1:16" x14ac:dyDescent="0.2">
      <c r="A220">
        <v>219</v>
      </c>
      <c r="B220">
        <v>772</v>
      </c>
      <c r="C220">
        <v>105</v>
      </c>
      <c r="D220">
        <v>0.49258049083863298</v>
      </c>
      <c r="E220">
        <v>93.473955036357296</v>
      </c>
      <c r="F220">
        <v>1.2764575320052201</v>
      </c>
      <c r="G220">
        <v>-1566.0695324763574</v>
      </c>
      <c r="H220">
        <v>-1285.2492155578148</v>
      </c>
      <c r="I220">
        <v>268.69469229883401</v>
      </c>
      <c r="J220">
        <v>136.801170498045</v>
      </c>
      <c r="K220">
        <v>73.229193053932903</v>
      </c>
      <c r="L220">
        <v>1.0459405321281811E-3</v>
      </c>
      <c r="M220">
        <v>5.3903590544998722E-4</v>
      </c>
      <c r="N220" s="1">
        <v>-7.8159753547609194E-5</v>
      </c>
      <c r="O220" s="1">
        <v>8.8172846610844305E-5</v>
      </c>
      <c r="P220" s="1">
        <v>-7.1037368250159307E-5</v>
      </c>
    </row>
    <row r="221" spans="1:16" x14ac:dyDescent="0.2">
      <c r="A221">
        <v>220</v>
      </c>
      <c r="B221">
        <v>770</v>
      </c>
      <c r="C221">
        <v>105</v>
      </c>
      <c r="D221">
        <v>0.49147342184729198</v>
      </c>
      <c r="E221">
        <v>95.675800421480503</v>
      </c>
      <c r="F221">
        <v>1.289252385967</v>
      </c>
      <c r="G221">
        <v>-1601.2663748393948</v>
      </c>
      <c r="H221">
        <v>-1315.9682175450951</v>
      </c>
      <c r="I221">
        <v>273.50250906068197</v>
      </c>
      <c r="J221">
        <v>139.69065321442599</v>
      </c>
      <c r="K221">
        <v>74.210295410637201</v>
      </c>
      <c r="L221">
        <v>1.0420719913776647E-3</v>
      </c>
      <c r="M221">
        <v>5.3395446506689895E-4</v>
      </c>
      <c r="N221" s="1">
        <v>-7.9096750523103196E-5</v>
      </c>
      <c r="O221" s="1">
        <v>8.86580920739712E-5</v>
      </c>
      <c r="P221" s="1">
        <v>-7.1913984369654501E-5</v>
      </c>
    </row>
    <row r="222" spans="1:16" x14ac:dyDescent="0.2">
      <c r="A222">
        <v>221</v>
      </c>
      <c r="B222">
        <v>768</v>
      </c>
      <c r="C222">
        <v>105</v>
      </c>
      <c r="D222">
        <v>0.49036209960140498</v>
      </c>
      <c r="E222">
        <v>97.257130423093997</v>
      </c>
      <c r="F222">
        <v>1.2990391859919099</v>
      </c>
      <c r="G222">
        <v>-1626.371864180991</v>
      </c>
      <c r="H222">
        <v>-1338.1168288115648</v>
      </c>
      <c r="I222">
        <v>276.86793649955501</v>
      </c>
      <c r="J222">
        <v>141.79767204976699</v>
      </c>
      <c r="K222">
        <v>74.868511644497502</v>
      </c>
      <c r="L222">
        <v>1.0406038789678271E-3</v>
      </c>
      <c r="M222">
        <v>5.3013480875628528E-4</v>
      </c>
      <c r="N222" s="1">
        <v>-7.9863969084905493E-5</v>
      </c>
      <c r="O222" s="1">
        <v>8.89539760789636E-5</v>
      </c>
      <c r="P222" s="1">
        <v>-7.2649771831876002E-5</v>
      </c>
    </row>
    <row r="223" spans="1:16" x14ac:dyDescent="0.2">
      <c r="A223">
        <v>222</v>
      </c>
      <c r="B223">
        <v>766</v>
      </c>
      <c r="C223">
        <v>105</v>
      </c>
      <c r="D223">
        <v>0.4892464995429</v>
      </c>
      <c r="E223">
        <v>98.458153669752306</v>
      </c>
      <c r="F223">
        <v>1.30704570881972</v>
      </c>
      <c r="G223">
        <v>-1645.2927859676697</v>
      </c>
      <c r="H223">
        <v>-1355.0131176336433</v>
      </c>
      <c r="I223">
        <v>279.349188302595</v>
      </c>
      <c r="J223">
        <v>143.42641475764501</v>
      </c>
      <c r="K223">
        <v>75.3287761899782</v>
      </c>
      <c r="L223">
        <v>1.0405721767019435E-3</v>
      </c>
      <c r="M223">
        <v>5.2706026276007388E-4</v>
      </c>
      <c r="N223" s="1">
        <v>-8.0524071986579001E-5</v>
      </c>
      <c r="O223" s="1">
        <v>8.9133853412352398E-5</v>
      </c>
      <c r="P223" s="1">
        <v>-7.3302187732760094E-5</v>
      </c>
    </row>
    <row r="224" spans="1:16" x14ac:dyDescent="0.2">
      <c r="A224">
        <v>223</v>
      </c>
      <c r="B224">
        <v>764</v>
      </c>
      <c r="C224">
        <v>105</v>
      </c>
      <c r="D224">
        <v>0.48812659692426702</v>
      </c>
      <c r="E224">
        <v>99.407892787713195</v>
      </c>
      <c r="F224">
        <v>1.3139082934124</v>
      </c>
      <c r="G224">
        <v>-1660.1275404669516</v>
      </c>
      <c r="H224">
        <v>-1368.4392994075292</v>
      </c>
      <c r="I224">
        <v>281.24601131811102</v>
      </c>
      <c r="J224">
        <v>144.740277967628</v>
      </c>
      <c r="K224">
        <v>75.658166773220401</v>
      </c>
      <c r="L224">
        <v>1.041477554130865E-3</v>
      </c>
      <c r="M224">
        <v>5.2446298902849361E-4</v>
      </c>
      <c r="N224" s="1">
        <v>-8.1110365353062705E-5</v>
      </c>
      <c r="O224" s="1">
        <v>8.9237047144360803E-5</v>
      </c>
      <c r="P224" s="1">
        <v>-7.3902097002963101E-5</v>
      </c>
    </row>
    <row r="225" spans="1:16" x14ac:dyDescent="0.2">
      <c r="A225">
        <v>224</v>
      </c>
      <c r="B225">
        <v>762</v>
      </c>
      <c r="C225">
        <v>105</v>
      </c>
      <c r="D225">
        <v>0.48700236680674502</v>
      </c>
      <c r="E225">
        <v>100.18208676863</v>
      </c>
      <c r="F225">
        <v>1.3199908475968101</v>
      </c>
      <c r="G225">
        <v>-1672.1079184610448</v>
      </c>
      <c r="H225">
        <v>-1379.4415562422705</v>
      </c>
      <c r="I225">
        <v>282.734325595901</v>
      </c>
      <c r="J225">
        <v>145.83520841153299</v>
      </c>
      <c r="K225">
        <v>75.896046515036801</v>
      </c>
      <c r="L225">
        <v>1.0430346698347903E-3</v>
      </c>
      <c r="M225">
        <v>5.221897554444217E-4</v>
      </c>
      <c r="N225" s="1">
        <v>-8.1642104491238499E-5</v>
      </c>
      <c r="O225" s="1">
        <v>8.92865995399966E-5</v>
      </c>
      <c r="P225" s="1">
        <v>-7.4467648146180299E-5</v>
      </c>
    </row>
    <row r="226" spans="1:16" x14ac:dyDescent="0.2">
      <c r="A226">
        <v>225</v>
      </c>
      <c r="B226">
        <v>814</v>
      </c>
      <c r="C226">
        <v>90</v>
      </c>
      <c r="D226">
        <v>0.53006530837511401</v>
      </c>
      <c r="E226">
        <v>7.49121086830759</v>
      </c>
      <c r="F226">
        <v>0.20227187523995299</v>
      </c>
      <c r="G226">
        <v>-169.97070889133514</v>
      </c>
      <c r="H226">
        <v>-91.244513909088823</v>
      </c>
      <c r="I226">
        <v>72.419152750878993</v>
      </c>
      <c r="J226">
        <v>25.6341804934581</v>
      </c>
      <c r="K226">
        <v>37.035355802287398</v>
      </c>
      <c r="L226">
        <v>1.6302807506163568E-3</v>
      </c>
      <c r="M226">
        <v>1.1635649851336812E-3</v>
      </c>
      <c r="N226" s="1">
        <v>-6.3531979401948403E-5</v>
      </c>
      <c r="O226">
        <v>1.05613066851046E-4</v>
      </c>
      <c r="P226" s="1">
        <v>-5.7579698927544298E-5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70513-A944-450C-A97F-B178DC0BD96F}">
  <sheetPr codeName="Sheet6"/>
  <dimension ref="A1:AN56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15</v>
      </c>
      <c r="B2">
        <v>732</v>
      </c>
      <c r="C2">
        <v>300</v>
      </c>
      <c r="D2">
        <v>0.256201064517732</v>
      </c>
      <c r="E2">
        <v>4.2090898469616798E-2</v>
      </c>
      <c r="F2">
        <v>4.6589371378438598</v>
      </c>
      <c r="G2">
        <v>-0.3984757026935753</v>
      </c>
      <c r="H2">
        <v>-0.32448167245351511</v>
      </c>
      <c r="I2">
        <v>7.3614913435865403E-2</v>
      </c>
      <c r="J2">
        <v>3.8586483762882103E-2</v>
      </c>
      <c r="K2">
        <v>9.0344422395654701E-3</v>
      </c>
      <c r="L2">
        <v>3.1700804849412402E-5</v>
      </c>
      <c r="M2">
        <v>5.5203378751761667E-7</v>
      </c>
      <c r="N2" s="1">
        <v>4.5496718644694298E-11</v>
      </c>
      <c r="O2" s="1">
        <v>1.9726361069436001E-14</v>
      </c>
      <c r="P2" s="1">
        <v>6.8000197652735001E-14</v>
      </c>
      <c r="R2">
        <v>47.210407267712</v>
      </c>
      <c r="S2">
        <v>2.5622688704738001</v>
      </c>
      <c r="T2">
        <v>9.5581701963534602</v>
      </c>
      <c r="V2">
        <v>37.834645360652203</v>
      </c>
      <c r="W2">
        <v>0.56509532795225703</v>
      </c>
      <c r="X2">
        <v>2.2694129768561599</v>
      </c>
      <c r="AJ2">
        <v>8.3311247017555407E-2</v>
      </c>
      <c r="AK2">
        <v>8.8559186199534901E-2</v>
      </c>
      <c r="AL2">
        <v>0.77916101949915895</v>
      </c>
      <c r="AM2">
        <v>1.1786612657356201E-2</v>
      </c>
      <c r="AN2">
        <v>3.7181934626394603E-2</v>
      </c>
    </row>
    <row r="3" spans="1:40" x14ac:dyDescent="0.2">
      <c r="A3">
        <v>16</v>
      </c>
      <c r="B3">
        <v>730</v>
      </c>
      <c r="C3">
        <v>300</v>
      </c>
      <c r="D3">
        <v>0.25457857748093798</v>
      </c>
      <c r="E3">
        <v>5.4316187038877098E-2</v>
      </c>
      <c r="F3">
        <v>4.6592418478738198</v>
      </c>
      <c r="G3">
        <v>-0.51480461868197214</v>
      </c>
      <c r="H3">
        <v>-0.41952870034457984</v>
      </c>
      <c r="I3">
        <v>9.4976741601348003E-2</v>
      </c>
      <c r="J3">
        <v>4.9785451800380798E-2</v>
      </c>
      <c r="K3">
        <v>1.1657730766576E-2</v>
      </c>
      <c r="L3">
        <v>3.1659067439457552E-5</v>
      </c>
      <c r="M3">
        <v>5.5178265031837746E-7</v>
      </c>
      <c r="N3" s="1">
        <v>6.1880980571720505E-11</v>
      </c>
      <c r="O3" s="1">
        <v>2.5444386205413201E-14</v>
      </c>
      <c r="P3" s="1">
        <v>8.3011965565742299E-14</v>
      </c>
      <c r="R3">
        <v>47.163757643241198</v>
      </c>
      <c r="S3">
        <v>2.7019236712882</v>
      </c>
      <c r="T3">
        <v>9.4974784810646398</v>
      </c>
      <c r="V3">
        <v>37.6801545528402</v>
      </c>
      <c r="W3">
        <v>0.70182266005056004</v>
      </c>
      <c r="X3">
        <v>2.2548629915150098</v>
      </c>
      <c r="AJ3">
        <v>8.2727442374603499E-2</v>
      </c>
      <c r="AK3">
        <v>8.7944060475934505E-2</v>
      </c>
      <c r="AL3">
        <v>0.77551385829266295</v>
      </c>
      <c r="AM3">
        <v>1.4629652792740601E-2</v>
      </c>
      <c r="AN3">
        <v>3.9184986064057702E-2</v>
      </c>
    </row>
    <row r="4" spans="1:40" x14ac:dyDescent="0.2">
      <c r="A4">
        <v>17</v>
      </c>
      <c r="B4">
        <v>728</v>
      </c>
      <c r="C4">
        <v>300</v>
      </c>
      <c r="D4">
        <v>0.25294960795086002</v>
      </c>
      <c r="E4">
        <v>6.2182945290263698E-2</v>
      </c>
      <c r="F4">
        <v>4.6594674416442796</v>
      </c>
      <c r="G4">
        <v>-0.58988702055887365</v>
      </c>
      <c r="H4">
        <v>-0.48107207885897252</v>
      </c>
      <c r="I4">
        <v>0.10868994825940199</v>
      </c>
      <c r="J4">
        <v>5.6985827755235599E-2</v>
      </c>
      <c r="K4">
        <v>1.33455048391367E-2</v>
      </c>
      <c r="L4">
        <v>3.1622096423575311E-5</v>
      </c>
      <c r="M4">
        <v>5.515693052439101E-7</v>
      </c>
      <c r="N4" s="1">
        <v>7.3627695085100396E-11</v>
      </c>
      <c r="O4" s="1">
        <v>2.9118269432648298E-14</v>
      </c>
      <c r="P4" s="1">
        <v>9.0765780179906195E-14</v>
      </c>
      <c r="R4">
        <v>47.1231517991678</v>
      </c>
      <c r="S4">
        <v>2.8249755621588801</v>
      </c>
      <c r="T4">
        <v>9.4404174744457805</v>
      </c>
      <c r="V4">
        <v>37.567000717712403</v>
      </c>
      <c r="W4">
        <v>0.80550914554267805</v>
      </c>
      <c r="X4">
        <v>2.2389453009724001</v>
      </c>
      <c r="AJ4">
        <v>8.2102009667252299E-2</v>
      </c>
      <c r="AK4">
        <v>8.7371594323333898E-2</v>
      </c>
      <c r="AL4">
        <v>0.77279495065654902</v>
      </c>
      <c r="AM4">
        <v>1.6782550918225999E-2</v>
      </c>
      <c r="AN4">
        <v>4.0948894434637499E-2</v>
      </c>
    </row>
    <row r="5" spans="1:40" x14ac:dyDescent="0.2">
      <c r="A5">
        <v>18</v>
      </c>
      <c r="B5">
        <v>726</v>
      </c>
      <c r="C5">
        <v>300</v>
      </c>
      <c r="D5">
        <v>0.251314116999449</v>
      </c>
      <c r="E5">
        <v>6.8174655083289903E-2</v>
      </c>
      <c r="F5">
        <v>4.6596461086960703</v>
      </c>
      <c r="G5">
        <v>-0.64719576808897838</v>
      </c>
      <c r="H5">
        <v>-0.52819425791492258</v>
      </c>
      <c r="I5">
        <v>0.119102747509438</v>
      </c>
      <c r="J5">
        <v>6.2465873308099003E-2</v>
      </c>
      <c r="K5">
        <v>1.46308654118729E-2</v>
      </c>
      <c r="L5">
        <v>3.1588980710404551E-5</v>
      </c>
      <c r="M5">
        <v>5.5138206342654353E-7</v>
      </c>
      <c r="N5" s="1">
        <v>8.3179818763867396E-11</v>
      </c>
      <c r="O5" s="1">
        <v>3.1913139661596502E-14</v>
      </c>
      <c r="P5" s="1">
        <v>9.56330121255816E-14</v>
      </c>
      <c r="R5">
        <v>47.086766945433901</v>
      </c>
      <c r="S5">
        <v>2.9376347584015599</v>
      </c>
      <c r="T5">
        <v>9.3848680875216406</v>
      </c>
      <c r="V5">
        <v>37.479148396225099</v>
      </c>
      <c r="W5">
        <v>0.889333638007474</v>
      </c>
      <c r="X5">
        <v>2.2222481744103</v>
      </c>
      <c r="AJ5">
        <v>8.1453408958884893E-2</v>
      </c>
      <c r="AK5">
        <v>8.6818771419915605E-2</v>
      </c>
      <c r="AL5">
        <v>0.77064412084691902</v>
      </c>
      <c r="AM5">
        <v>1.85207521464897E-2</v>
      </c>
      <c r="AN5">
        <v>4.2562946627790303E-2</v>
      </c>
    </row>
    <row r="6" spans="1:40" x14ac:dyDescent="0.2">
      <c r="A6">
        <v>19</v>
      </c>
      <c r="B6">
        <v>724</v>
      </c>
      <c r="C6">
        <v>300</v>
      </c>
      <c r="D6">
        <v>0.249672065386352</v>
      </c>
      <c r="E6">
        <v>7.3145711492950197E-2</v>
      </c>
      <c r="F6">
        <v>4.6597936828014603</v>
      </c>
      <c r="G6">
        <v>-0.69481616514626032</v>
      </c>
      <c r="H6">
        <v>-0.56746739969460902</v>
      </c>
      <c r="I6">
        <v>0.12771274677997399</v>
      </c>
      <c r="J6">
        <v>6.7009404733986297E-2</v>
      </c>
      <c r="K6">
        <v>1.5697199591243501E-2</v>
      </c>
      <c r="L6">
        <v>3.1558877322509344E-5</v>
      </c>
      <c r="M6">
        <v>5.5121397770231504E-7</v>
      </c>
      <c r="N6" s="1">
        <v>9.1447607114405101E-11</v>
      </c>
      <c r="O6" s="1">
        <v>3.42297868811404E-14</v>
      </c>
      <c r="P6" s="1">
        <v>9.9021861613890196E-14</v>
      </c>
      <c r="R6">
        <v>47.053510824801499</v>
      </c>
      <c r="S6">
        <v>3.0430818855870001</v>
      </c>
      <c r="T6">
        <v>9.3300090001459903</v>
      </c>
      <c r="V6">
        <v>37.408637849630203</v>
      </c>
      <c r="W6">
        <v>0.95973016922365095</v>
      </c>
      <c r="X6">
        <v>2.2050302706115299</v>
      </c>
      <c r="AJ6">
        <v>8.0789557357726902E-2</v>
      </c>
      <c r="AK6">
        <v>8.6276296014164394E-2</v>
      </c>
      <c r="AL6">
        <v>0.76888257007254701</v>
      </c>
      <c r="AM6">
        <v>1.99786902491558E-2</v>
      </c>
      <c r="AN6">
        <v>4.4072886306404699E-2</v>
      </c>
    </row>
    <row r="7" spans="1:40" x14ac:dyDescent="0.2">
      <c r="A7">
        <v>33</v>
      </c>
      <c r="B7">
        <v>734</v>
      </c>
      <c r="C7">
        <v>285</v>
      </c>
      <c r="D7">
        <v>0.27419997021297599</v>
      </c>
      <c r="E7">
        <v>3.6665424838077998E-2</v>
      </c>
      <c r="F7">
        <v>4.6568710419497101</v>
      </c>
      <c r="G7">
        <v>-0.34768222167149038</v>
      </c>
      <c r="H7">
        <v>-0.282997417718649</v>
      </c>
      <c r="I7">
        <v>6.4225590977353295E-2</v>
      </c>
      <c r="J7">
        <v>3.3633624155778502E-2</v>
      </c>
      <c r="K7">
        <v>7.8734035166082503E-3</v>
      </c>
      <c r="L7">
        <v>3.1681531105032556E-5</v>
      </c>
      <c r="M7">
        <v>5.521809444941281E-7</v>
      </c>
      <c r="N7" s="1">
        <v>3.9243779565440299E-11</v>
      </c>
      <c r="O7" s="1">
        <v>1.7177973478941899E-14</v>
      </c>
      <c r="P7" s="1">
        <v>6.1064913035976803E-14</v>
      </c>
      <c r="R7">
        <v>47.210996472182202</v>
      </c>
      <c r="S7">
        <v>2.5565180341984002</v>
      </c>
      <c r="T7">
        <v>9.61548683824563</v>
      </c>
      <c r="V7">
        <v>37.676927498198097</v>
      </c>
      <c r="W7">
        <v>0.60397404227650697</v>
      </c>
      <c r="X7">
        <v>2.3360971148990499</v>
      </c>
      <c r="AJ7">
        <v>8.5719950158738498E-2</v>
      </c>
      <c r="AK7">
        <v>8.9049410919468205E-2</v>
      </c>
      <c r="AL7">
        <v>0.77555739760597298</v>
      </c>
      <c r="AM7">
        <v>1.25917613592286E-2</v>
      </c>
      <c r="AN7">
        <v>3.7081479956590897E-2</v>
      </c>
    </row>
    <row r="8" spans="1:40" x14ac:dyDescent="0.2">
      <c r="A8">
        <v>34</v>
      </c>
      <c r="B8">
        <v>732</v>
      </c>
      <c r="C8">
        <v>285</v>
      </c>
      <c r="D8">
        <v>0.27261652489678301</v>
      </c>
      <c r="E8">
        <v>4.9089877630817597E-2</v>
      </c>
      <c r="F8">
        <v>4.6571943799415001</v>
      </c>
      <c r="G8">
        <v>-0.46601389024046724</v>
      </c>
      <c r="H8">
        <v>-0.37960116329784932</v>
      </c>
      <c r="I8">
        <v>8.5969981537698706E-2</v>
      </c>
      <c r="J8">
        <v>4.50222164691415E-2</v>
      </c>
      <c r="K8">
        <v>1.0540654657286199E-2</v>
      </c>
      <c r="L8">
        <v>3.1639652476610257E-5</v>
      </c>
      <c r="M8">
        <v>5.519356425516936E-7</v>
      </c>
      <c r="N8" s="1">
        <v>5.5306733850579402E-11</v>
      </c>
      <c r="O8" s="1">
        <v>2.2988506816333601E-14</v>
      </c>
      <c r="P8" s="1">
        <v>7.76397190570815E-14</v>
      </c>
      <c r="R8">
        <v>47.165405868913901</v>
      </c>
      <c r="S8">
        <v>2.6923327107411801</v>
      </c>
      <c r="T8">
        <v>9.5568579744670004</v>
      </c>
      <c r="V8">
        <v>37.524602989294799</v>
      </c>
      <c r="W8">
        <v>0.73892518887774306</v>
      </c>
      <c r="X8">
        <v>2.3218752677052601</v>
      </c>
      <c r="AJ8">
        <v>8.5148447767455004E-2</v>
      </c>
      <c r="AK8">
        <v>8.8454867864079995E-2</v>
      </c>
      <c r="AL8">
        <v>0.77197174386588796</v>
      </c>
      <c r="AM8">
        <v>1.5396269863308699E-2</v>
      </c>
      <c r="AN8">
        <v>3.9028670639267703E-2</v>
      </c>
    </row>
    <row r="9" spans="1:40" x14ac:dyDescent="0.2">
      <c r="A9">
        <v>35</v>
      </c>
      <c r="B9">
        <v>730</v>
      </c>
      <c r="C9">
        <v>285</v>
      </c>
      <c r="D9">
        <v>0.27102676568808798</v>
      </c>
      <c r="E9">
        <v>5.72171944920426E-2</v>
      </c>
      <c r="F9">
        <v>4.6574373191796399</v>
      </c>
      <c r="G9">
        <v>-0.54363395396984293</v>
      </c>
      <c r="H9">
        <v>-0.44315510520587015</v>
      </c>
      <c r="I9">
        <v>0.10016333426104999</v>
      </c>
      <c r="J9">
        <v>5.24661236315727E-2</v>
      </c>
      <c r="K9">
        <v>1.2285123893437701E-2</v>
      </c>
      <c r="L9">
        <v>3.1602749777589231E-5</v>
      </c>
      <c r="M9">
        <v>5.5172685216647633E-7</v>
      </c>
      <c r="N9" s="1">
        <v>6.6936538575667606E-11</v>
      </c>
      <c r="O9" s="1">
        <v>2.67840620755825E-14</v>
      </c>
      <c r="P9" s="1">
        <v>8.6711327304633303E-14</v>
      </c>
      <c r="R9">
        <v>47.125596819255399</v>
      </c>
      <c r="S9">
        <v>2.81269160915007</v>
      </c>
      <c r="T9">
        <v>9.5012307576022295</v>
      </c>
      <c r="V9">
        <v>37.412005902356398</v>
      </c>
      <c r="W9">
        <v>0.84218569170978896</v>
      </c>
      <c r="X9">
        <v>2.3062892199259601</v>
      </c>
      <c r="AJ9">
        <v>8.4535157748037507E-2</v>
      </c>
      <c r="AK9">
        <v>8.7896629266889903E-2</v>
      </c>
      <c r="AL9">
        <v>0.76927574772685503</v>
      </c>
      <c r="AM9">
        <v>1.7539154379940702E-2</v>
      </c>
      <c r="AN9">
        <v>4.0753310878276501E-2</v>
      </c>
    </row>
    <row r="10" spans="1:40" x14ac:dyDescent="0.2">
      <c r="A10">
        <v>36</v>
      </c>
      <c r="B10">
        <v>728</v>
      </c>
      <c r="C10">
        <v>285</v>
      </c>
      <c r="D10">
        <v>0.26943065474704297</v>
      </c>
      <c r="E10">
        <v>6.3429609582812796E-2</v>
      </c>
      <c r="F10">
        <v>4.6576321379127599</v>
      </c>
      <c r="G10">
        <v>-0.60308595457698377</v>
      </c>
      <c r="H10">
        <v>-0.49197593754614344</v>
      </c>
      <c r="I10">
        <v>0.110982387285462</v>
      </c>
      <c r="J10">
        <v>5.81520764438287E-2</v>
      </c>
      <c r="K10">
        <v>1.3618424062841E-2</v>
      </c>
      <c r="L10">
        <v>3.1569752763817204E-5</v>
      </c>
      <c r="M10">
        <v>5.5154338651645513E-7</v>
      </c>
      <c r="N10" s="1">
        <v>7.6414282062357696E-11</v>
      </c>
      <c r="O10" s="1">
        <v>2.9682042698788601E-14</v>
      </c>
      <c r="P10" s="1">
        <v>9.2642888791440904E-14</v>
      </c>
      <c r="R10">
        <v>47.089857118774098</v>
      </c>
      <c r="S10">
        <v>2.9232429961840301</v>
      </c>
      <c r="T10">
        <v>9.4468098989940703</v>
      </c>
      <c r="V10">
        <v>37.324049956810804</v>
      </c>
      <c r="W10">
        <v>0.92613564410877003</v>
      </c>
      <c r="X10">
        <v>2.2899043851280898</v>
      </c>
      <c r="AJ10">
        <v>8.3897878712855395E-2</v>
      </c>
      <c r="AK10">
        <v>8.7354958908729199E-2</v>
      </c>
      <c r="AL10">
        <v>0.76713154554813601</v>
      </c>
      <c r="AM10">
        <v>1.9279040882113799E-2</v>
      </c>
      <c r="AN10">
        <v>4.23365759481652E-2</v>
      </c>
    </row>
    <row r="11" spans="1:40" x14ac:dyDescent="0.2">
      <c r="A11">
        <v>37</v>
      </c>
      <c r="B11">
        <v>726</v>
      </c>
      <c r="C11">
        <v>285</v>
      </c>
      <c r="D11">
        <v>0.26782815393083897</v>
      </c>
      <c r="E11">
        <v>6.8581191128147104E-2</v>
      </c>
      <c r="F11">
        <v>4.6577948375228599</v>
      </c>
      <c r="G11">
        <v>-0.65246065899151773</v>
      </c>
      <c r="H11">
        <v>-0.53263651215311525</v>
      </c>
      <c r="I11">
        <v>0.11992608400981</v>
      </c>
      <c r="J11">
        <v>6.2864062338958596E-2</v>
      </c>
      <c r="K11">
        <v>1.47239613423206E-2</v>
      </c>
      <c r="L11">
        <v>3.1539780443663313E-5</v>
      </c>
      <c r="M11">
        <v>5.5137857903396066E-7</v>
      </c>
      <c r="N11" s="1">
        <v>8.4618949718014299E-11</v>
      </c>
      <c r="O11" s="1">
        <v>3.2083015312864703E-14</v>
      </c>
      <c r="P11" s="1">
        <v>9.6915389319917803E-14</v>
      </c>
      <c r="R11">
        <v>47.0571523618271</v>
      </c>
      <c r="S11">
        <v>3.0269291848739002</v>
      </c>
      <c r="T11">
        <v>9.3928974656510107</v>
      </c>
      <c r="V11">
        <v>37.253125723675304</v>
      </c>
      <c r="W11">
        <v>0.99691752425855595</v>
      </c>
      <c r="X11">
        <v>2.2729777397139701</v>
      </c>
      <c r="AJ11">
        <v>8.3244529225264902E-2</v>
      </c>
      <c r="AK11">
        <v>8.6821814291686894E-2</v>
      </c>
      <c r="AL11">
        <v>0.76536867880787895</v>
      </c>
      <c r="AM11">
        <v>2.0744212041627599E-2</v>
      </c>
      <c r="AN11">
        <v>4.3820765633541002E-2</v>
      </c>
    </row>
    <row r="12" spans="1:40" x14ac:dyDescent="0.2">
      <c r="A12">
        <v>50</v>
      </c>
      <c r="B12">
        <v>736</v>
      </c>
      <c r="C12">
        <v>270</v>
      </c>
      <c r="D12">
        <v>0.29212753307238798</v>
      </c>
      <c r="E12">
        <v>3.1412587896808002E-2</v>
      </c>
      <c r="F12">
        <v>4.6547853307850904</v>
      </c>
      <c r="G12">
        <v>-0.29836262000480324</v>
      </c>
      <c r="H12">
        <v>-0.24274880754760464</v>
      </c>
      <c r="I12">
        <v>5.5109559983350903E-2</v>
      </c>
      <c r="J12">
        <v>2.8833044428399301E-2</v>
      </c>
      <c r="K12">
        <v>6.7484503934169297E-3</v>
      </c>
      <c r="L12">
        <v>3.1661659676614231E-5</v>
      </c>
      <c r="M12">
        <v>5.5232615352027124E-7</v>
      </c>
      <c r="N12" s="1">
        <v>3.3265841936842003E-11</v>
      </c>
      <c r="O12" s="1">
        <v>1.47120948405695E-14</v>
      </c>
      <c r="P12" s="1">
        <v>5.3921539861428598E-14</v>
      </c>
      <c r="R12">
        <v>47.211666470851398</v>
      </c>
      <c r="S12">
        <v>2.5508049904045098</v>
      </c>
      <c r="T12">
        <v>9.6730998277587403</v>
      </c>
      <c r="V12">
        <v>37.5183402220704</v>
      </c>
      <c r="W12">
        <v>0.64268139236136801</v>
      </c>
      <c r="X12">
        <v>2.40340709655346</v>
      </c>
      <c r="AJ12">
        <v>8.8148978571080894E-2</v>
      </c>
      <c r="AK12">
        <v>8.9541501190316605E-2</v>
      </c>
      <c r="AL12">
        <v>0.77193549468994804</v>
      </c>
      <c r="AM12">
        <v>1.3392537301345001E-2</v>
      </c>
      <c r="AN12">
        <v>3.6981488247308902E-2</v>
      </c>
    </row>
    <row r="13" spans="1:40" x14ac:dyDescent="0.2">
      <c r="A13">
        <v>51</v>
      </c>
      <c r="B13">
        <v>734</v>
      </c>
      <c r="C13">
        <v>270</v>
      </c>
      <c r="D13">
        <v>0.29058283274586499</v>
      </c>
      <c r="E13">
        <v>4.3980512539090702E-2</v>
      </c>
      <c r="F13">
        <v>4.6551252693703198</v>
      </c>
      <c r="G13">
        <v>-0.41818074762944368</v>
      </c>
      <c r="H13">
        <v>-0.34048913137986458</v>
      </c>
      <c r="I13">
        <v>7.7140064786356502E-2</v>
      </c>
      <c r="J13">
        <v>4.0360631413403097E-2</v>
      </c>
      <c r="K13">
        <v>9.4477613370519808E-3</v>
      </c>
      <c r="L13">
        <v>3.1619840782225346E-5</v>
      </c>
      <c r="M13">
        <v>5.5208710636154903E-7</v>
      </c>
      <c r="N13" s="1">
        <v>4.8957893918562502E-11</v>
      </c>
      <c r="O13" s="1">
        <v>2.0588982767268899E-14</v>
      </c>
      <c r="P13" s="1">
        <v>7.1958519613384198E-14</v>
      </c>
      <c r="R13">
        <v>47.167175764434198</v>
      </c>
      <c r="S13">
        <v>2.6828259310404601</v>
      </c>
      <c r="T13">
        <v>9.6164053955217508</v>
      </c>
      <c r="V13">
        <v>37.368364048392699</v>
      </c>
      <c r="W13">
        <v>0.77571884367417099</v>
      </c>
      <c r="X13">
        <v>2.3895100169366001</v>
      </c>
      <c r="AJ13">
        <v>8.7589695979663706E-2</v>
      </c>
      <c r="AK13">
        <v>8.8966331566506698E-2</v>
      </c>
      <c r="AL13">
        <v>0.76841475794466196</v>
      </c>
      <c r="AM13">
        <v>1.61556969692109E-2</v>
      </c>
      <c r="AN13">
        <v>3.8873517539956499E-2</v>
      </c>
    </row>
    <row r="14" spans="1:40" x14ac:dyDescent="0.2">
      <c r="A14">
        <v>52</v>
      </c>
      <c r="B14">
        <v>732</v>
      </c>
      <c r="C14">
        <v>270</v>
      </c>
      <c r="D14">
        <v>0.28903198527583002</v>
      </c>
      <c r="E14">
        <v>5.2337382213632801E-2</v>
      </c>
      <c r="F14">
        <v>4.6553843274489601</v>
      </c>
      <c r="G14">
        <v>-0.49805535831587633</v>
      </c>
      <c r="H14">
        <v>-0.40582222003253521</v>
      </c>
      <c r="I14">
        <v>9.1760571340935307E-2</v>
      </c>
      <c r="J14">
        <v>4.8020069012740099E-2</v>
      </c>
      <c r="K14">
        <v>1.1242333292450699E-2</v>
      </c>
      <c r="L14">
        <v>3.1583113400422799E-5</v>
      </c>
      <c r="M14">
        <v>5.5188312903552134E-7</v>
      </c>
      <c r="N14" s="1">
        <v>6.0440621689708497E-11</v>
      </c>
      <c r="O14" s="1">
        <v>2.4491625037895101E-14</v>
      </c>
      <c r="P14" s="1">
        <v>8.2304445918450899E-14</v>
      </c>
      <c r="R14">
        <v>47.128192032125099</v>
      </c>
      <c r="S14">
        <v>2.80050065785196</v>
      </c>
      <c r="T14">
        <v>9.5621479540763996</v>
      </c>
      <c r="V14">
        <v>37.256450673690203</v>
      </c>
      <c r="W14">
        <v>0.87845272873323599</v>
      </c>
      <c r="X14">
        <v>2.3742559535230399</v>
      </c>
      <c r="AJ14">
        <v>8.6988591860952494E-2</v>
      </c>
      <c r="AK14">
        <v>8.8421724458486395E-2</v>
      </c>
      <c r="AL14">
        <v>0.76574415747386304</v>
      </c>
      <c r="AM14">
        <v>1.8286490087512298E-2</v>
      </c>
      <c r="AN14">
        <v>4.0559036119185203E-2</v>
      </c>
    </row>
    <row r="15" spans="1:40" x14ac:dyDescent="0.2">
      <c r="A15">
        <v>53</v>
      </c>
      <c r="B15">
        <v>730</v>
      </c>
      <c r="C15">
        <v>270</v>
      </c>
      <c r="D15">
        <v>0.28747495389523398</v>
      </c>
      <c r="E15">
        <v>5.8753383502383898E-2</v>
      </c>
      <c r="F15">
        <v>4.6555943879721502</v>
      </c>
      <c r="G15">
        <v>-0.55949683569429509</v>
      </c>
      <c r="H15">
        <v>-0.45621556024889354</v>
      </c>
      <c r="I15">
        <v>0.102956961018194</v>
      </c>
      <c r="J15">
        <v>5.3896579921028302E-2</v>
      </c>
      <c r="K15">
        <v>1.26199532446758E-2</v>
      </c>
      <c r="L15">
        <v>3.155030552889041E-5</v>
      </c>
      <c r="M15">
        <v>5.5170364128114709E-7</v>
      </c>
      <c r="N15" s="1">
        <v>6.9826489980936494E-11</v>
      </c>
      <c r="O15" s="1">
        <v>2.7484654569203399E-14</v>
      </c>
      <c r="P15" s="1">
        <v>8.9281717063920603E-14</v>
      </c>
      <c r="R15">
        <v>47.093123342045097</v>
      </c>
      <c r="S15">
        <v>2.9089336846309202</v>
      </c>
      <c r="T15">
        <v>9.5088192198608805</v>
      </c>
      <c r="V15">
        <v>37.168492157155399</v>
      </c>
      <c r="W15">
        <v>0.96244405745147599</v>
      </c>
      <c r="X15">
        <v>2.3581875388560798</v>
      </c>
      <c r="AJ15">
        <v>8.6362811356099106E-2</v>
      </c>
      <c r="AK15">
        <v>8.7890873021678903E-2</v>
      </c>
      <c r="AL15">
        <v>0.76360862095535198</v>
      </c>
      <c r="AM15">
        <v>2.0026318561905999E-2</v>
      </c>
      <c r="AN15">
        <v>4.2111376104963301E-2</v>
      </c>
    </row>
    <row r="16" spans="1:40" x14ac:dyDescent="0.2">
      <c r="A16">
        <v>54</v>
      </c>
      <c r="B16">
        <v>728</v>
      </c>
      <c r="C16">
        <v>270</v>
      </c>
      <c r="D16">
        <v>0.28591170154322698</v>
      </c>
      <c r="E16">
        <v>6.4075391144261598E-2</v>
      </c>
      <c r="F16">
        <v>4.6557714643576702</v>
      </c>
      <c r="G16">
        <v>-0.61053686823326148</v>
      </c>
      <c r="H16">
        <v>-0.49819031474993214</v>
      </c>
      <c r="I16">
        <v>0.112217503354471</v>
      </c>
      <c r="J16">
        <v>5.876804102627E-2</v>
      </c>
      <c r="K16">
        <v>1.3762572247111301E-2</v>
      </c>
      <c r="L16">
        <v>3.1520516283095787E-5</v>
      </c>
      <c r="M16">
        <v>5.5154228605039889E-7</v>
      </c>
      <c r="N16" s="1">
        <v>7.7957291373922306E-11</v>
      </c>
      <c r="O16" s="1">
        <v>2.9965193316394002E-14</v>
      </c>
      <c r="P16" s="1">
        <v>9.4430106231767398E-14</v>
      </c>
      <c r="R16">
        <v>47.060994977636</v>
      </c>
      <c r="S16">
        <v>3.0108376553981699</v>
      </c>
      <c r="T16">
        <v>9.4558317580568705</v>
      </c>
      <c r="V16">
        <v>37.097238735106401</v>
      </c>
      <c r="W16">
        <v>1.0335376728473999</v>
      </c>
      <c r="X16">
        <v>2.3415592009550301</v>
      </c>
      <c r="AJ16">
        <v>8.5720244561138803E-2</v>
      </c>
      <c r="AK16">
        <v>8.7366864936894897E-2</v>
      </c>
      <c r="AL16">
        <v>0.76184617667141896</v>
      </c>
      <c r="AM16">
        <v>2.14971934262293E-2</v>
      </c>
      <c r="AN16">
        <v>4.3569520404317198E-2</v>
      </c>
    </row>
    <row r="17" spans="1:40" x14ac:dyDescent="0.2">
      <c r="A17">
        <v>66</v>
      </c>
      <c r="B17">
        <v>738</v>
      </c>
      <c r="C17">
        <v>255</v>
      </c>
      <c r="D17">
        <v>0.30998417643277698</v>
      </c>
      <c r="E17">
        <v>2.6473296145035099E-2</v>
      </c>
      <c r="F17">
        <v>4.6526800950724203</v>
      </c>
      <c r="G17">
        <v>-0.25186964513916654</v>
      </c>
      <c r="H17">
        <v>-0.2048345059304591</v>
      </c>
      <c r="I17">
        <v>4.6516480451671199E-2</v>
      </c>
      <c r="J17">
        <v>2.43145262639912E-2</v>
      </c>
      <c r="K17">
        <v>5.6899025086793601E-3</v>
      </c>
      <c r="L17">
        <v>3.1640753799154154E-5</v>
      </c>
      <c r="M17">
        <v>5.5246501043407604E-7</v>
      </c>
      <c r="N17" s="1">
        <v>2.77338463573519E-11</v>
      </c>
      <c r="O17" s="1">
        <v>1.23944864612668E-14</v>
      </c>
      <c r="P17" s="1">
        <v>4.6805488278712897E-14</v>
      </c>
      <c r="R17">
        <v>47.2116037992174</v>
      </c>
      <c r="S17">
        <v>2.54696536715316</v>
      </c>
      <c r="T17">
        <v>9.7307250605281492</v>
      </c>
      <c r="V17">
        <v>37.356103447353398</v>
      </c>
      <c r="W17">
        <v>0.68328485155432495</v>
      </c>
      <c r="X17">
        <v>2.4713174741934401</v>
      </c>
      <c r="AJ17">
        <v>9.0596527379859404E-2</v>
      </c>
      <c r="AK17">
        <v>9.0032014839871694E-2</v>
      </c>
      <c r="AL17">
        <v>0.76823135563285905</v>
      </c>
      <c r="AM17">
        <v>1.42318709616331E-2</v>
      </c>
      <c r="AN17">
        <v>3.6908231185775901E-2</v>
      </c>
    </row>
    <row r="18" spans="1:40" x14ac:dyDescent="0.2">
      <c r="A18">
        <v>67</v>
      </c>
      <c r="B18">
        <v>736</v>
      </c>
      <c r="C18">
        <v>255</v>
      </c>
      <c r="D18">
        <v>0.308477926968244</v>
      </c>
      <c r="E18">
        <v>3.9066609817056397E-2</v>
      </c>
      <c r="F18">
        <v>4.6530337026134898</v>
      </c>
      <c r="G18">
        <v>-0.37206368950406948</v>
      </c>
      <c r="H18">
        <v>-0.30280908872899515</v>
      </c>
      <c r="I18">
        <v>6.8626666774091294E-2</v>
      </c>
      <c r="J18">
        <v>3.5873048327971502E-2</v>
      </c>
      <c r="K18">
        <v>8.39594387530734E-3</v>
      </c>
      <c r="L18">
        <v>3.1599236546717842E-5</v>
      </c>
      <c r="M18">
        <v>5.5223304781567166E-7</v>
      </c>
      <c r="N18" s="1">
        <v>4.2949699024567398E-11</v>
      </c>
      <c r="O18" s="1">
        <v>1.8282311146603399E-14</v>
      </c>
      <c r="P18" s="1">
        <v>6.6075868799384001E-14</v>
      </c>
      <c r="R18">
        <v>47.168317961290803</v>
      </c>
      <c r="S18">
        <v>2.6750413642967201</v>
      </c>
      <c r="T18">
        <v>9.6758883016589099</v>
      </c>
      <c r="V18">
        <v>37.209183355354398</v>
      </c>
      <c r="W18">
        <v>0.81385127696425297</v>
      </c>
      <c r="X18">
        <v>2.4577177404347799</v>
      </c>
      <c r="AJ18">
        <v>9.0048614003918198E-2</v>
      </c>
      <c r="AK18">
        <v>8.9475602385914205E-2</v>
      </c>
      <c r="AL18">
        <v>0.76479073013285903</v>
      </c>
      <c r="AM18">
        <v>1.69421011881907E-2</v>
      </c>
      <c r="AN18">
        <v>3.8742952289117498E-2</v>
      </c>
    </row>
    <row r="19" spans="1:40" x14ac:dyDescent="0.2">
      <c r="A19">
        <v>68</v>
      </c>
      <c r="B19">
        <v>734</v>
      </c>
      <c r="C19">
        <v>255</v>
      </c>
      <c r="D19">
        <v>0.306965695278758</v>
      </c>
      <c r="E19">
        <v>4.7595677851786901E-2</v>
      </c>
      <c r="F19">
        <v>4.6533071094378897</v>
      </c>
      <c r="G19">
        <v>-0.45365830300506299</v>
      </c>
      <c r="H19">
        <v>-0.36948593650497902</v>
      </c>
      <c r="I19">
        <v>8.3574806632660398E-2</v>
      </c>
      <c r="J19">
        <v>4.3695763812757298E-2</v>
      </c>
      <c r="K19">
        <v>1.0228355174592399E-2</v>
      </c>
      <c r="L19">
        <v>3.1562834396099455E-5</v>
      </c>
      <c r="M19">
        <v>5.5203445574633832E-7</v>
      </c>
      <c r="N19" s="1">
        <v>5.4228604016465798E-11</v>
      </c>
      <c r="O19" s="1">
        <v>2.2265093048399001E-14</v>
      </c>
      <c r="P19" s="1">
        <v>7.7602343955553405E-14</v>
      </c>
      <c r="R19">
        <v>47.130237726956601</v>
      </c>
      <c r="S19">
        <v>2.7899100869399098</v>
      </c>
      <c r="T19">
        <v>9.6229587901433398</v>
      </c>
      <c r="V19">
        <v>37.0984135160666</v>
      </c>
      <c r="W19">
        <v>0.91569772806764604</v>
      </c>
      <c r="X19">
        <v>2.4427821518258099</v>
      </c>
      <c r="AJ19">
        <v>8.94593062678819E-2</v>
      </c>
      <c r="AK19">
        <v>8.8944309954154296E-2</v>
      </c>
      <c r="AL19">
        <v>0.76215547552057505</v>
      </c>
      <c r="AM19">
        <v>1.9053296164334401E-2</v>
      </c>
      <c r="AN19">
        <v>4.03876120930537E-2</v>
      </c>
    </row>
    <row r="20" spans="1:40" x14ac:dyDescent="0.2">
      <c r="A20">
        <v>69</v>
      </c>
      <c r="B20">
        <v>732</v>
      </c>
      <c r="C20">
        <v>255</v>
      </c>
      <c r="D20">
        <v>0.30544744565487703</v>
      </c>
      <c r="E20">
        <v>5.4184165862852698E-2</v>
      </c>
      <c r="F20">
        <v>4.6535311667353199</v>
      </c>
      <c r="G20">
        <v>-0.51680201262782355</v>
      </c>
      <c r="H20">
        <v>-0.4212173589243301</v>
      </c>
      <c r="I20">
        <v>9.5094914891800594E-2</v>
      </c>
      <c r="J20">
        <v>4.97346251339656E-2</v>
      </c>
      <c r="K20">
        <v>1.1643666695557E-2</v>
      </c>
      <c r="L20">
        <v>3.1530321680658881E-5</v>
      </c>
      <c r="M20">
        <v>5.5185938392214169E-7</v>
      </c>
      <c r="N20" s="1">
        <v>6.3489337918125105E-11</v>
      </c>
      <c r="O20" s="1">
        <v>2.53385468536341E-14</v>
      </c>
      <c r="P20" s="1">
        <v>8.5582345421987801E-14</v>
      </c>
      <c r="R20">
        <v>47.095903491061001</v>
      </c>
      <c r="S20">
        <v>2.8961225554849799</v>
      </c>
      <c r="T20">
        <v>9.5706964591178707</v>
      </c>
      <c r="V20">
        <v>37.010780810702997</v>
      </c>
      <c r="W20">
        <v>0.99947177966797296</v>
      </c>
      <c r="X20">
        <v>2.42702490396508</v>
      </c>
      <c r="AJ20">
        <v>8.8844910820741502E-2</v>
      </c>
      <c r="AK20">
        <v>8.8424094655176699E-2</v>
      </c>
      <c r="AL20">
        <v>0.76003574680429897</v>
      </c>
      <c r="AM20">
        <v>2.0787681443894299E-2</v>
      </c>
      <c r="AN20">
        <v>4.1907566275887299E-2</v>
      </c>
    </row>
    <row r="21" spans="1:40" x14ac:dyDescent="0.2">
      <c r="A21">
        <v>70</v>
      </c>
      <c r="B21">
        <v>730</v>
      </c>
      <c r="C21">
        <v>255</v>
      </c>
      <c r="D21">
        <v>0.30392314210237997</v>
      </c>
      <c r="E21">
        <v>5.9658080142789401E-2</v>
      </c>
      <c r="F21">
        <v>4.65372165839005</v>
      </c>
      <c r="G21">
        <v>-0.56933801958209451</v>
      </c>
      <c r="H21">
        <v>-0.46436782994447251</v>
      </c>
      <c r="I21">
        <v>0.104640571836337</v>
      </c>
      <c r="J21">
        <v>5.4748844907851299E-2</v>
      </c>
      <c r="K21">
        <v>1.28194345347736E-2</v>
      </c>
      <c r="L21">
        <v>3.1500796051847819E-5</v>
      </c>
      <c r="M21">
        <v>5.517018367966953E-7</v>
      </c>
      <c r="N21" s="1">
        <v>7.1525101711695194E-11</v>
      </c>
      <c r="O21" s="1">
        <v>2.7889936236175E-14</v>
      </c>
      <c r="P21" s="1">
        <v>9.1585536332856602E-14</v>
      </c>
      <c r="R21">
        <v>47.064405510470998</v>
      </c>
      <c r="S21">
        <v>2.9961554193676898</v>
      </c>
      <c r="T21">
        <v>9.5186177905631304</v>
      </c>
      <c r="V21">
        <v>36.939447447301497</v>
      </c>
      <c r="W21">
        <v>1.07067894140494</v>
      </c>
      <c r="X21">
        <v>2.4106948908916501</v>
      </c>
      <c r="AJ21">
        <v>8.8213190158961993E-2</v>
      </c>
      <c r="AK21">
        <v>8.7909118594512101E-2</v>
      </c>
      <c r="AL21">
        <v>0.75827916659705796</v>
      </c>
      <c r="AM21">
        <v>2.2260132000796198E-2</v>
      </c>
      <c r="AN21">
        <v>4.3338392648671099E-2</v>
      </c>
    </row>
    <row r="22" spans="1:40" x14ac:dyDescent="0.2">
      <c r="A22">
        <v>81</v>
      </c>
      <c r="B22">
        <v>740</v>
      </c>
      <c r="C22">
        <v>240</v>
      </c>
      <c r="D22">
        <v>0.32777032028821201</v>
      </c>
      <c r="E22">
        <v>2.20050679873026E-2</v>
      </c>
      <c r="F22">
        <v>4.6505557235146799</v>
      </c>
      <c r="G22">
        <v>-0.20971973539655853</v>
      </c>
      <c r="H22">
        <v>-0.17048411812592779</v>
      </c>
      <c r="I22">
        <v>3.8726365563471102E-2</v>
      </c>
      <c r="J22">
        <v>2.0223381003597701E-2</v>
      </c>
      <c r="K22">
        <v>4.7317071970642199E-3</v>
      </c>
      <c r="L22">
        <v>3.1618313019089559E-5</v>
      </c>
      <c r="M22">
        <v>5.5259280874797686E-7</v>
      </c>
      <c r="N22" s="1">
        <v>2.2814539959372301E-11</v>
      </c>
      <c r="O22" s="1">
        <v>1.02986737073688E-14</v>
      </c>
      <c r="P22" s="1">
        <v>4.0031393058633699E-14</v>
      </c>
      <c r="R22">
        <v>47.209940623038797</v>
      </c>
      <c r="S22">
        <v>2.5468729574919</v>
      </c>
      <c r="T22">
        <v>9.7881514045254807</v>
      </c>
      <c r="V22">
        <v>37.187288316386997</v>
      </c>
      <c r="W22">
        <v>0.72793519666450301</v>
      </c>
      <c r="X22">
        <v>2.5398115018921699</v>
      </c>
      <c r="AJ22">
        <v>9.3061004685072196E-2</v>
      </c>
      <c r="AK22">
        <v>9.0518153482974206E-2</v>
      </c>
      <c r="AL22">
        <v>0.76437805582408602</v>
      </c>
      <c r="AM22">
        <v>1.5154309877597701E-2</v>
      </c>
      <c r="AN22">
        <v>3.6888476130268799E-2</v>
      </c>
    </row>
    <row r="23" spans="1:40" x14ac:dyDescent="0.2">
      <c r="A23">
        <v>82</v>
      </c>
      <c r="B23">
        <v>738</v>
      </c>
      <c r="C23">
        <v>240</v>
      </c>
      <c r="D23">
        <v>0.326302230134007</v>
      </c>
      <c r="E23">
        <v>3.4448521295907898E-2</v>
      </c>
      <c r="F23">
        <v>4.6509190311587396</v>
      </c>
      <c r="G23">
        <v>-0.32863151346222613</v>
      </c>
      <c r="H23">
        <v>-0.26734732661418525</v>
      </c>
      <c r="I23">
        <v>6.0608403152886202E-2</v>
      </c>
      <c r="J23">
        <v>3.16520122589663E-2</v>
      </c>
      <c r="K23">
        <v>7.4068202574847399E-3</v>
      </c>
      <c r="L23">
        <v>3.1577400223293626E-5</v>
      </c>
      <c r="M23">
        <v>5.52369157344106E-7</v>
      </c>
      <c r="N23" s="1">
        <v>3.74039790968401E-11</v>
      </c>
      <c r="O23" s="1">
        <v>1.6115221827331901E-14</v>
      </c>
      <c r="P23" s="1">
        <v>6.0172034018429101E-14</v>
      </c>
      <c r="R23">
        <v>47.1680245953076</v>
      </c>
      <c r="S23">
        <v>2.6706955301440298</v>
      </c>
      <c r="T23">
        <v>9.7351156173937099</v>
      </c>
      <c r="V23">
        <v>37.044610723172099</v>
      </c>
      <c r="W23">
        <v>0.85509545465403003</v>
      </c>
      <c r="X23">
        <v>2.5264580793284401</v>
      </c>
      <c r="AJ23">
        <v>9.2522850707337095E-2</v>
      </c>
      <c r="AK23">
        <v>8.9980163669431401E-2</v>
      </c>
      <c r="AL23">
        <v>0.76104334509022498</v>
      </c>
      <c r="AM23">
        <v>1.77921610207766E-2</v>
      </c>
      <c r="AN23">
        <v>3.8661479512229403E-2</v>
      </c>
    </row>
    <row r="24" spans="1:40" x14ac:dyDescent="0.2">
      <c r="A24">
        <v>83</v>
      </c>
      <c r="B24">
        <v>736</v>
      </c>
      <c r="C24">
        <v>240</v>
      </c>
      <c r="D24">
        <v>0.32482832086409602</v>
      </c>
      <c r="E24">
        <v>4.3062870221860103E-2</v>
      </c>
      <c r="F24">
        <v>4.65120434701634</v>
      </c>
      <c r="G24">
        <v>-0.41112852671606437</v>
      </c>
      <c r="H24">
        <v>-0.33470333294468912</v>
      </c>
      <c r="I24">
        <v>7.5732243741143707E-2</v>
      </c>
      <c r="J24">
        <v>3.9558492107647697E-2</v>
      </c>
      <c r="K24">
        <v>9.2584343772133103E-3</v>
      </c>
      <c r="L24">
        <v>3.1541525494375731E-5</v>
      </c>
      <c r="M24">
        <v>5.5217683327555381E-7</v>
      </c>
      <c r="N24" s="1">
        <v>4.83962583513907E-11</v>
      </c>
      <c r="O24" s="1">
        <v>2.01373317330694E-14</v>
      </c>
      <c r="P24" s="1">
        <v>7.2720267335407401E-14</v>
      </c>
      <c r="R24">
        <v>47.1309741069742</v>
      </c>
      <c r="S24">
        <v>2.7825234347835499</v>
      </c>
      <c r="T24">
        <v>9.6834786644751798</v>
      </c>
      <c r="V24">
        <v>36.935772227557699</v>
      </c>
      <c r="W24">
        <v>0.95543939080487394</v>
      </c>
      <c r="X24">
        <v>2.5118121754044198</v>
      </c>
      <c r="AJ24">
        <v>9.1944465406505402E-2</v>
      </c>
      <c r="AK24">
        <v>8.9461996734102697E-2</v>
      </c>
      <c r="AL24">
        <v>0.75846066520647604</v>
      </c>
      <c r="AM24">
        <v>1.9870956234703498E-2</v>
      </c>
      <c r="AN24">
        <v>4.0261916418212203E-2</v>
      </c>
    </row>
    <row r="25" spans="1:40" x14ac:dyDescent="0.2">
      <c r="A25">
        <v>84</v>
      </c>
      <c r="B25">
        <v>734</v>
      </c>
      <c r="C25">
        <v>240</v>
      </c>
      <c r="D25">
        <v>0.32334855781164801</v>
      </c>
      <c r="E25">
        <v>4.97754808183761E-2</v>
      </c>
      <c r="F25">
        <v>4.6514407120017403</v>
      </c>
      <c r="G25">
        <v>-0.47552203580972152</v>
      </c>
      <c r="H25">
        <v>-0.38740460800630594</v>
      </c>
      <c r="I25">
        <v>8.7491860997284898E-2</v>
      </c>
      <c r="J25">
        <v>4.5715592445810901E-2</v>
      </c>
      <c r="K25">
        <v>1.0701088952922501E-2</v>
      </c>
      <c r="L25">
        <v>3.1509455741415715E-5</v>
      </c>
      <c r="M25">
        <v>5.5200685564340808E-7</v>
      </c>
      <c r="N25" s="1">
        <v>5.7481872833364298E-11</v>
      </c>
      <c r="O25" s="1">
        <v>2.32684834564277E-14</v>
      </c>
      <c r="P25" s="1">
        <v>8.1624454104108905E-14</v>
      </c>
      <c r="R25">
        <v>47.097475439455003</v>
      </c>
      <c r="S25">
        <v>2.8863296894604802</v>
      </c>
      <c r="T25">
        <v>9.6322580568652398</v>
      </c>
      <c r="V25">
        <v>36.849029119480498</v>
      </c>
      <c r="W25">
        <v>1.0385578033460401</v>
      </c>
      <c r="X25">
        <v>2.49634989139272</v>
      </c>
      <c r="AJ25">
        <v>9.13409966813752E-2</v>
      </c>
      <c r="AK25">
        <v>8.8952294525026801E-2</v>
      </c>
      <c r="AL25">
        <v>0.75636911671898899</v>
      </c>
      <c r="AM25">
        <v>2.1590771268397101E-2</v>
      </c>
      <c r="AN25">
        <v>4.1746820806211199E-2</v>
      </c>
    </row>
    <row r="26" spans="1:40" x14ac:dyDescent="0.2">
      <c r="A26">
        <v>85</v>
      </c>
      <c r="B26">
        <v>732</v>
      </c>
      <c r="C26">
        <v>240</v>
      </c>
      <c r="D26">
        <v>0.32186290603392398</v>
      </c>
      <c r="E26">
        <v>5.5371790582401201E-2</v>
      </c>
      <c r="F26">
        <v>4.65164335317517</v>
      </c>
      <c r="G26">
        <v>-0.52927957750470789</v>
      </c>
      <c r="H26">
        <v>-0.43150719485630062</v>
      </c>
      <c r="I26">
        <v>9.7271434759396397E-2</v>
      </c>
      <c r="J26">
        <v>5.0845739774586098E-2</v>
      </c>
      <c r="K26">
        <v>1.19037050733059E-2</v>
      </c>
      <c r="L26">
        <v>3.148030761522646E-5</v>
      </c>
      <c r="M26">
        <v>5.518536616079255E-7</v>
      </c>
      <c r="N26" s="1">
        <v>6.5389916182594404E-11</v>
      </c>
      <c r="O26" s="1">
        <v>2.5876846175537599E-14</v>
      </c>
      <c r="P26" s="1">
        <v>8.8440073809387097E-14</v>
      </c>
      <c r="R26">
        <v>47.066691702452601</v>
      </c>
      <c r="S26">
        <v>2.98433875386602</v>
      </c>
      <c r="T26">
        <v>9.5810707721726498</v>
      </c>
      <c r="V26">
        <v>36.778041686560101</v>
      </c>
      <c r="W26">
        <v>1.1095473023672699</v>
      </c>
      <c r="X26">
        <v>2.4803097825811999</v>
      </c>
      <c r="AJ26">
        <v>9.07199203977231E-2</v>
      </c>
      <c r="AK26">
        <v>8.8446273349419402E-2</v>
      </c>
      <c r="AL26">
        <v>0.75462777078913201</v>
      </c>
      <c r="AM26">
        <v>2.3057899919127801E-2</v>
      </c>
      <c r="AN26">
        <v>4.3148135544597198E-2</v>
      </c>
    </row>
    <row r="27" spans="1:40" x14ac:dyDescent="0.2">
      <c r="A27">
        <v>95</v>
      </c>
      <c r="B27">
        <v>742</v>
      </c>
      <c r="C27">
        <v>225</v>
      </c>
      <c r="D27">
        <v>0.345486381322956</v>
      </c>
      <c r="E27">
        <v>1.8165181761470601E-2</v>
      </c>
      <c r="F27">
        <v>4.6484124509338303</v>
      </c>
      <c r="G27">
        <v>-0.17343486696080987</v>
      </c>
      <c r="H27">
        <v>-0.14092952613213081</v>
      </c>
      <c r="I27">
        <v>3.2020234279346901E-2</v>
      </c>
      <c r="J27">
        <v>1.6705033985597102E-2</v>
      </c>
      <c r="K27">
        <v>3.9078248656315802E-3</v>
      </c>
      <c r="L27">
        <v>3.1593791675874678E-5</v>
      </c>
      <c r="M27">
        <v>5.5270449875046159E-7</v>
      </c>
      <c r="N27" s="1">
        <v>1.8655816869362699E-11</v>
      </c>
      <c r="O27" s="1">
        <v>8.4980262286988596E-15</v>
      </c>
      <c r="P27" s="1">
        <v>3.39609975575178E-14</v>
      </c>
      <c r="R27">
        <v>47.205738397227698</v>
      </c>
      <c r="S27">
        <v>2.5524747811080499</v>
      </c>
      <c r="T27">
        <v>9.8452317366113995</v>
      </c>
      <c r="V27">
        <v>37.0088404532152</v>
      </c>
      <c r="W27">
        <v>0.77883936055143899</v>
      </c>
      <c r="X27">
        <v>2.6088752712860002</v>
      </c>
      <c r="AJ27">
        <v>9.5540800504809995E-2</v>
      </c>
      <c r="AK27">
        <v>9.0997667175772901E-2</v>
      </c>
      <c r="AL27">
        <v>0.760306119708138</v>
      </c>
      <c r="AM27">
        <v>1.6205433190504898E-2</v>
      </c>
      <c r="AN27">
        <v>3.6949979420773403E-2</v>
      </c>
    </row>
    <row r="28" spans="1:40" x14ac:dyDescent="0.2">
      <c r="A28">
        <v>96</v>
      </c>
      <c r="B28">
        <v>740</v>
      </c>
      <c r="C28">
        <v>225</v>
      </c>
      <c r="D28">
        <v>0.34405616147658602</v>
      </c>
      <c r="E28">
        <v>3.0242380232279799E-2</v>
      </c>
      <c r="F28">
        <v>4.6487805032841401</v>
      </c>
      <c r="G28">
        <v>-0.28900787832020375</v>
      </c>
      <c r="H28">
        <v>-0.23501456788079042</v>
      </c>
      <c r="I28">
        <v>5.3292513881866697E-2</v>
      </c>
      <c r="J28">
        <v>2.7804779065288901E-2</v>
      </c>
      <c r="K28">
        <v>6.5054437848624897E-3</v>
      </c>
      <c r="L28">
        <v>3.1553853706423277E-5</v>
      </c>
      <c r="M28">
        <v>5.5249072521392318E-7</v>
      </c>
      <c r="N28" s="1">
        <v>3.2443119661922603E-11</v>
      </c>
      <c r="O28" s="1">
        <v>1.4141819519368201E-14</v>
      </c>
      <c r="P28" s="1">
        <v>5.4492181668098798E-14</v>
      </c>
      <c r="R28">
        <v>47.1654081713884</v>
      </c>
      <c r="S28">
        <v>2.6716278708887602</v>
      </c>
      <c r="T28">
        <v>9.7939304004780503</v>
      </c>
      <c r="V28">
        <v>36.871978366263598</v>
      </c>
      <c r="W28">
        <v>0.901359289716264</v>
      </c>
      <c r="X28">
        <v>2.5956959012648002</v>
      </c>
      <c r="AJ28">
        <v>9.5010109088934896E-2</v>
      </c>
      <c r="AK28">
        <v>9.0477746486046201E-2</v>
      </c>
      <c r="AL28">
        <v>0.75711158941420598</v>
      </c>
      <c r="AM28">
        <v>1.8745245739453398E-2</v>
      </c>
      <c r="AN28">
        <v>3.8655309271358997E-2</v>
      </c>
    </row>
    <row r="29" spans="1:40" x14ac:dyDescent="0.2">
      <c r="A29">
        <v>97</v>
      </c>
      <c r="B29">
        <v>738</v>
      </c>
      <c r="C29">
        <v>225</v>
      </c>
      <c r="D29">
        <v>0.34262028383523802</v>
      </c>
      <c r="E29">
        <v>3.8826589047102997E-2</v>
      </c>
      <c r="F29">
        <v>4.6490745627120704</v>
      </c>
      <c r="G29">
        <v>-0.37131528927758223</v>
      </c>
      <c r="H29">
        <v>-0.30216345932345301</v>
      </c>
      <c r="I29">
        <v>6.8389289377569301E-2</v>
      </c>
      <c r="J29">
        <v>3.56891533760791E-2</v>
      </c>
      <c r="K29">
        <v>8.3514661946942903E-3</v>
      </c>
      <c r="L29">
        <v>3.1518764387735046E-5</v>
      </c>
      <c r="M29">
        <v>5.52305839348789E-7</v>
      </c>
      <c r="N29" s="1">
        <v>4.3044430970467299E-11</v>
      </c>
      <c r="O29" s="1">
        <v>1.8149085876508099E-14</v>
      </c>
      <c r="P29" s="1">
        <v>6.7831529158512494E-14</v>
      </c>
      <c r="R29">
        <v>47.129558023092699</v>
      </c>
      <c r="S29">
        <v>2.7800893852320998</v>
      </c>
      <c r="T29">
        <v>9.7435418751910596</v>
      </c>
      <c r="V29">
        <v>36.766162390722897</v>
      </c>
      <c r="W29">
        <v>0.99935317205455998</v>
      </c>
      <c r="X29">
        <v>2.5812951537065598</v>
      </c>
      <c r="AJ29">
        <v>9.4441268292992195E-2</v>
      </c>
      <c r="AK29">
        <v>8.9972493574031406E-2</v>
      </c>
      <c r="AL29">
        <v>0.75460537492146496</v>
      </c>
      <c r="AM29">
        <v>2.0774009874399701E-2</v>
      </c>
      <c r="AN29">
        <v>4.0206853337111201E-2</v>
      </c>
    </row>
    <row r="30" spans="1:40" x14ac:dyDescent="0.2">
      <c r="A30">
        <v>98</v>
      </c>
      <c r="B30">
        <v>736</v>
      </c>
      <c r="C30">
        <v>225</v>
      </c>
      <c r="D30">
        <v>0.34117871475994799</v>
      </c>
      <c r="E30">
        <v>4.55961397878469E-2</v>
      </c>
      <c r="F30">
        <v>4.6493210237093399</v>
      </c>
      <c r="G30">
        <v>-0.4363254325130605</v>
      </c>
      <c r="H30">
        <v>-0.35532023663857271</v>
      </c>
      <c r="I30">
        <v>8.0270718797490703E-2</v>
      </c>
      <c r="J30">
        <v>4.1903010148209303E-2</v>
      </c>
      <c r="K30">
        <v>9.8070534504561095E-3</v>
      </c>
      <c r="L30">
        <v>3.1487330329709589E-5</v>
      </c>
      <c r="M30">
        <v>5.5214186791711139E-7</v>
      </c>
      <c r="N30" s="1">
        <v>5.1889103658442101E-11</v>
      </c>
      <c r="O30" s="1">
        <v>2.1306382023919999E-14</v>
      </c>
      <c r="P30" s="1">
        <v>7.7537129427887605E-14</v>
      </c>
      <c r="R30">
        <v>47.097032699987601</v>
      </c>
      <c r="S30">
        <v>2.8812309052548399</v>
      </c>
      <c r="T30">
        <v>9.6933298484974397</v>
      </c>
      <c r="V30">
        <v>36.6811066997059</v>
      </c>
      <c r="W30">
        <v>1.08120026158361</v>
      </c>
      <c r="X30">
        <v>2.5660995849705102</v>
      </c>
      <c r="AJ30">
        <v>9.3847884357990199E-2</v>
      </c>
      <c r="AK30">
        <v>8.9473150090992201E-2</v>
      </c>
      <c r="AL30">
        <v>0.752559528432314</v>
      </c>
      <c r="AM30">
        <v>2.2466442885748901E-2</v>
      </c>
      <c r="AN30">
        <v>4.1652994232954099E-2</v>
      </c>
    </row>
    <row r="31" spans="1:40" x14ac:dyDescent="0.2">
      <c r="A31">
        <v>99</v>
      </c>
      <c r="B31">
        <v>734</v>
      </c>
      <c r="C31">
        <v>225</v>
      </c>
      <c r="D31">
        <v>0.33973142034453802</v>
      </c>
      <c r="E31">
        <v>5.1272506211574198E-2</v>
      </c>
      <c r="F31">
        <v>4.6495341664983796</v>
      </c>
      <c r="G31">
        <v>-0.49090706299069548</v>
      </c>
      <c r="H31">
        <v>-0.40005184634149304</v>
      </c>
      <c r="I31">
        <v>9.0210213621806395E-2</v>
      </c>
      <c r="J31">
        <v>4.7110428199513402E-2</v>
      </c>
      <c r="K31">
        <v>1.1027450143502799E-2</v>
      </c>
      <c r="L31">
        <v>3.1458709952565279E-5</v>
      </c>
      <c r="M31">
        <v>5.5199376257994948E-7</v>
      </c>
      <c r="N31" s="1">
        <v>5.9625062011931794E-11</v>
      </c>
      <c r="O31" s="1">
        <v>2.39518191961862E-14</v>
      </c>
      <c r="P31" s="1">
        <v>8.5094267439318003E-14</v>
      </c>
      <c r="R31">
        <v>47.067077270918901</v>
      </c>
      <c r="S31">
        <v>2.9770047780701701</v>
      </c>
      <c r="T31">
        <v>9.6430085824737493</v>
      </c>
      <c r="V31">
        <v>36.611074943755803</v>
      </c>
      <c r="W31">
        <v>1.1515030795613801</v>
      </c>
      <c r="X31">
        <v>2.5503313452199099</v>
      </c>
      <c r="AJ31">
        <v>9.3236945278824299E-2</v>
      </c>
      <c r="AK31">
        <v>8.8975971213642396E-2</v>
      </c>
      <c r="AL31">
        <v>0.75084683857641299</v>
      </c>
      <c r="AM31">
        <v>2.3918488146326501E-2</v>
      </c>
      <c r="AN31">
        <v>4.3021756784793301E-2</v>
      </c>
    </row>
    <row r="32" spans="1:40" x14ac:dyDescent="0.2">
      <c r="A32">
        <v>108</v>
      </c>
      <c r="B32">
        <v>744</v>
      </c>
      <c r="C32">
        <v>210</v>
      </c>
      <c r="D32">
        <v>0.36313277294401303</v>
      </c>
      <c r="E32">
        <v>1.5088320372002299E-2</v>
      </c>
      <c r="F32">
        <v>4.6462497027555401</v>
      </c>
      <c r="G32">
        <v>-0.14433070619764782</v>
      </c>
      <c r="H32">
        <v>-0.11723297812922651</v>
      </c>
      <c r="I32">
        <v>2.6640837701834799E-2</v>
      </c>
      <c r="J32">
        <v>1.3884482785571001E-2</v>
      </c>
      <c r="K32">
        <v>3.2474191740176801E-3</v>
      </c>
      <c r="L32">
        <v>3.1566628236764405E-5</v>
      </c>
      <c r="M32">
        <v>5.527946695883266E-7</v>
      </c>
      <c r="N32" s="1">
        <v>1.5369330994603699E-11</v>
      </c>
      <c r="O32" s="1">
        <v>7.0552583360379E-15</v>
      </c>
      <c r="P32" s="1">
        <v>2.8953706408597297E-14</v>
      </c>
      <c r="R32">
        <v>47.197972545918198</v>
      </c>
      <c r="S32">
        <v>2.5658225607629701</v>
      </c>
      <c r="T32">
        <v>9.9018715664175101</v>
      </c>
      <c r="V32">
        <v>36.817653774158899</v>
      </c>
      <c r="W32">
        <v>0.83819221879477301</v>
      </c>
      <c r="X32">
        <v>2.6784873339475501</v>
      </c>
      <c r="AJ32">
        <v>9.8033895046050104E-2</v>
      </c>
      <c r="AK32">
        <v>9.1468742071956502E-2</v>
      </c>
      <c r="AL32">
        <v>0.75594503511673805</v>
      </c>
      <c r="AM32">
        <v>1.7430405060470899E-2</v>
      </c>
      <c r="AN32">
        <v>3.7121922704783199E-2</v>
      </c>
    </row>
    <row r="33" spans="1:40" x14ac:dyDescent="0.2">
      <c r="A33">
        <v>109</v>
      </c>
      <c r="B33">
        <v>742</v>
      </c>
      <c r="C33">
        <v>210</v>
      </c>
      <c r="D33">
        <v>0.361740136925575</v>
      </c>
      <c r="E33">
        <v>2.6569607634019599E-2</v>
      </c>
      <c r="F33">
        <v>4.6466168228733098</v>
      </c>
      <c r="G33">
        <v>-0.25437320461628987</v>
      </c>
      <c r="H33">
        <v>-0.20676606515650436</v>
      </c>
      <c r="I33">
        <v>4.6896655134497797E-2</v>
      </c>
      <c r="J33">
        <v>2.44437304580069E-2</v>
      </c>
      <c r="K33">
        <v>5.7180543709196598E-3</v>
      </c>
      <c r="L33">
        <v>3.1528094667449783E-5</v>
      </c>
      <c r="M33">
        <v>5.5259257519731015E-7</v>
      </c>
      <c r="N33" s="1">
        <v>2.81804571335256E-11</v>
      </c>
      <c r="O33" s="1">
        <v>1.2418640412756701E-14</v>
      </c>
      <c r="P33" s="1">
        <v>4.9327919752429099E-14</v>
      </c>
      <c r="R33">
        <v>47.159481165518002</v>
      </c>
      <c r="S33">
        <v>2.6798424739429598</v>
      </c>
      <c r="T33">
        <v>9.8522008585389607</v>
      </c>
      <c r="V33">
        <v>36.688419091209703</v>
      </c>
      <c r="W33">
        <v>0.954662398080108</v>
      </c>
      <c r="X33">
        <v>2.6653940127100899</v>
      </c>
      <c r="AJ33">
        <v>9.7507857138026802E-2</v>
      </c>
      <c r="AK33">
        <v>9.0966232502570396E-2</v>
      </c>
      <c r="AL33">
        <v>0.75293006877966195</v>
      </c>
      <c r="AM33">
        <v>1.9842902811431199E-2</v>
      </c>
      <c r="AN33">
        <v>3.8752938768308903E-2</v>
      </c>
    </row>
    <row r="34" spans="1:40" x14ac:dyDescent="0.2">
      <c r="A34">
        <v>110</v>
      </c>
      <c r="B34">
        <v>740</v>
      </c>
      <c r="C34">
        <v>210</v>
      </c>
      <c r="D34">
        <v>0.36034200266496003</v>
      </c>
      <c r="E34">
        <v>3.4986890149677402E-2</v>
      </c>
      <c r="F34">
        <v>4.6469157837804804</v>
      </c>
      <c r="G34">
        <v>-0.33519108152125848</v>
      </c>
      <c r="H34">
        <v>-0.27265435064244831</v>
      </c>
      <c r="I34">
        <v>6.1725046517110103E-2</v>
      </c>
      <c r="J34">
        <v>3.2180268537378501E-2</v>
      </c>
      <c r="K34">
        <v>7.5290562122505202E-3</v>
      </c>
      <c r="L34">
        <v>3.1494100133162382E-5</v>
      </c>
      <c r="M34">
        <v>5.5241653210281872E-7</v>
      </c>
      <c r="N34" s="1">
        <v>3.8274350590277098E-11</v>
      </c>
      <c r="O34" s="1">
        <v>1.6346887219506501E-14</v>
      </c>
      <c r="P34" s="1">
        <v>6.3162424454329795E-14</v>
      </c>
      <c r="R34">
        <v>47.125039090641103</v>
      </c>
      <c r="S34">
        <v>2.7845515321244001</v>
      </c>
      <c r="T34">
        <v>9.8029929367825499</v>
      </c>
      <c r="V34">
        <v>36.586962436706997</v>
      </c>
      <c r="W34">
        <v>1.0492745385901601</v>
      </c>
      <c r="X34">
        <v>2.6511794651546099</v>
      </c>
      <c r="AJ34">
        <v>9.6946717803339896E-2</v>
      </c>
      <c r="AK34">
        <v>9.0473507845607495E-2</v>
      </c>
      <c r="AL34">
        <v>0.75052953272755496</v>
      </c>
      <c r="AM34">
        <v>2.18001916342099E-2</v>
      </c>
      <c r="AN34">
        <v>4.0250049989286697E-2</v>
      </c>
    </row>
    <row r="35" spans="1:40" x14ac:dyDescent="0.2">
      <c r="A35">
        <v>111</v>
      </c>
      <c r="B35">
        <v>738</v>
      </c>
      <c r="C35">
        <v>210</v>
      </c>
      <c r="D35">
        <v>0.35893833753646798</v>
      </c>
      <c r="E35">
        <v>4.1728722045362002E-2</v>
      </c>
      <c r="F35">
        <v>4.6471695819766099</v>
      </c>
      <c r="G35">
        <v>-0.40001581165567429</v>
      </c>
      <c r="H35">
        <v>-0.32561612626187703</v>
      </c>
      <c r="I35">
        <v>7.3579276461254201E-2</v>
      </c>
      <c r="J35">
        <v>3.8373215904342797E-2</v>
      </c>
      <c r="K35">
        <v>8.9793843993128501E-3</v>
      </c>
      <c r="L35">
        <v>3.1463537798826645E-5</v>
      </c>
      <c r="M35">
        <v>5.5225968704689765E-7</v>
      </c>
      <c r="N35" s="1">
        <v>4.6799963719328701E-11</v>
      </c>
      <c r="O35" s="1">
        <v>1.9490580748341901E-14</v>
      </c>
      <c r="P35" s="1">
        <v>7.3499351775049894E-14</v>
      </c>
      <c r="R35">
        <v>47.093658211600697</v>
      </c>
      <c r="S35">
        <v>2.8827129652436501</v>
      </c>
      <c r="T35">
        <v>9.7537383261960198</v>
      </c>
      <c r="V35">
        <v>36.504605294547197</v>
      </c>
      <c r="W35">
        <v>1.12907500347792</v>
      </c>
      <c r="X35">
        <v>2.6362101989343101</v>
      </c>
      <c r="AJ35">
        <v>9.6362186571792505E-2</v>
      </c>
      <c r="AK35">
        <v>8.9984242833476905E-2</v>
      </c>
      <c r="AL35">
        <v>0.74855155289114095</v>
      </c>
      <c r="AM35">
        <v>2.34491225611375E-2</v>
      </c>
      <c r="AN35">
        <v>4.1652895142451997E-2</v>
      </c>
    </row>
    <row r="36" spans="1:40" x14ac:dyDescent="0.2">
      <c r="A36">
        <v>112</v>
      </c>
      <c r="B36">
        <v>736</v>
      </c>
      <c r="C36">
        <v>210</v>
      </c>
      <c r="D36">
        <v>0.35752910865580001</v>
      </c>
      <c r="E36">
        <v>4.7429572819319601E-2</v>
      </c>
      <c r="F36">
        <v>4.6473911467271201</v>
      </c>
      <c r="G36">
        <v>-0.45489661869955167</v>
      </c>
      <c r="H36">
        <v>-0.37055079646103445</v>
      </c>
      <c r="I36">
        <v>8.3581055579960498E-2</v>
      </c>
      <c r="J36">
        <v>4.36070186067836E-2</v>
      </c>
      <c r="K36">
        <v>1.0205633939962501E-2</v>
      </c>
      <c r="L36">
        <v>3.1435631755399025E-5</v>
      </c>
      <c r="M36">
        <v>5.521175856151883E-7</v>
      </c>
      <c r="N36" s="1">
        <v>5.4309094923570998E-11</v>
      </c>
      <c r="O36" s="1">
        <v>2.21469837462329E-14</v>
      </c>
      <c r="P36" s="1">
        <v>8.1693648334777501E-14</v>
      </c>
      <c r="R36">
        <v>47.064674132140098</v>
      </c>
      <c r="S36">
        <v>2.9759903137477699</v>
      </c>
      <c r="T36">
        <v>9.7042428943750103</v>
      </c>
      <c r="V36">
        <v>36.436318526886403</v>
      </c>
      <c r="W36">
        <v>1.1980885806357999</v>
      </c>
      <c r="X36">
        <v>2.6206855522147698</v>
      </c>
      <c r="AJ36">
        <v>9.57605499689239E-2</v>
      </c>
      <c r="AK36">
        <v>8.9495692272219998E-2</v>
      </c>
      <c r="AL36">
        <v>0.74688485941515903</v>
      </c>
      <c r="AM36">
        <v>2.48735538153778E-2</v>
      </c>
      <c r="AN36">
        <v>4.2985344528318203E-2</v>
      </c>
    </row>
    <row r="37" spans="1:40" x14ac:dyDescent="0.2">
      <c r="A37">
        <v>121</v>
      </c>
      <c r="B37">
        <v>746</v>
      </c>
      <c r="C37">
        <v>195</v>
      </c>
      <c r="D37">
        <v>0.38070990531325299</v>
      </c>
      <c r="E37">
        <v>1.2865525701539701E-2</v>
      </c>
      <c r="F37">
        <v>4.64406523709751</v>
      </c>
      <c r="G37">
        <v>-0.12331547370644932</v>
      </c>
      <c r="H37">
        <v>-0.1001243291357987</v>
      </c>
      <c r="I37">
        <v>2.27553790616206E-2</v>
      </c>
      <c r="J37">
        <v>1.18468829818494E-2</v>
      </c>
      <c r="K37">
        <v>2.7703154552541302E-3</v>
      </c>
      <c r="L37">
        <v>3.1536288161502775E-5</v>
      </c>
      <c r="M37">
        <v>5.528575374381613E-7</v>
      </c>
      <c r="N37" s="1">
        <v>1.30164265552238E-11</v>
      </c>
      <c r="O37" s="1">
        <v>6.0125454719937397E-15</v>
      </c>
      <c r="P37" s="1">
        <v>2.5312904353175601E-14</v>
      </c>
      <c r="R37">
        <v>47.185515557642901</v>
      </c>
      <c r="S37">
        <v>2.5891154058781898</v>
      </c>
      <c r="T37">
        <v>9.9580059190349708</v>
      </c>
      <c r="V37">
        <v>36.610670776531997</v>
      </c>
      <c r="W37">
        <v>0.90808821569180298</v>
      </c>
      <c r="X37">
        <v>2.7486041252200502</v>
      </c>
      <c r="AJ37">
        <v>0.100537311647021</v>
      </c>
      <c r="AK37">
        <v>9.1929777825236703E-2</v>
      </c>
      <c r="AL37">
        <v>0.75122530484407202</v>
      </c>
      <c r="AM37">
        <v>1.88721034108855E-2</v>
      </c>
      <c r="AN37">
        <v>3.7435502272783798E-2</v>
      </c>
    </row>
    <row r="38" spans="1:40" x14ac:dyDescent="0.2">
      <c r="A38">
        <v>122</v>
      </c>
      <c r="B38">
        <v>744</v>
      </c>
      <c r="C38">
        <v>195</v>
      </c>
      <c r="D38">
        <v>0.37935456913926302</v>
      </c>
      <c r="E38">
        <v>2.3543009605518299E-2</v>
      </c>
      <c r="F38">
        <v>4.6444254881181504</v>
      </c>
      <c r="G38">
        <v>-0.22583339579878733</v>
      </c>
      <c r="H38">
        <v>-0.18349498381919699</v>
      </c>
      <c r="I38">
        <v>4.16245509311216E-2</v>
      </c>
      <c r="J38">
        <v>2.16736210267915E-2</v>
      </c>
      <c r="K38">
        <v>5.0690897433382197E-3</v>
      </c>
      <c r="L38">
        <v>3.1499622412814056E-5</v>
      </c>
      <c r="M38">
        <v>5.5266900559149859E-7</v>
      </c>
      <c r="N38" s="1">
        <v>2.47086929620695E-11</v>
      </c>
      <c r="O38" s="1">
        <v>1.09981071329337E-14</v>
      </c>
      <c r="P38" s="1">
        <v>4.4988519318784202E-14</v>
      </c>
      <c r="R38">
        <v>47.1491341708684</v>
      </c>
      <c r="S38">
        <v>2.6975567046491</v>
      </c>
      <c r="T38">
        <v>9.9098036158951199</v>
      </c>
      <c r="V38">
        <v>36.490918915025702</v>
      </c>
      <c r="W38">
        <v>1.01708486991515</v>
      </c>
      <c r="X38">
        <v>2.7355017236464301</v>
      </c>
      <c r="AJ38">
        <v>0.100012886038102</v>
      </c>
      <c r="AK38">
        <v>9.1443485487160706E-2</v>
      </c>
      <c r="AL38">
        <v>0.74843004817189496</v>
      </c>
      <c r="AM38">
        <v>2.1127755115809499E-2</v>
      </c>
      <c r="AN38">
        <v>3.8985825187032301E-2</v>
      </c>
    </row>
    <row r="39" spans="1:40" x14ac:dyDescent="0.2">
      <c r="A39">
        <v>123</v>
      </c>
      <c r="B39">
        <v>742</v>
      </c>
      <c r="C39">
        <v>195</v>
      </c>
      <c r="D39">
        <v>0.37799389252819798</v>
      </c>
      <c r="E39">
        <v>3.1648815443395803E-2</v>
      </c>
      <c r="F39">
        <v>4.6447250098006299</v>
      </c>
      <c r="G39">
        <v>-0.3037823236603458</v>
      </c>
      <c r="H39">
        <v>-0.2470065730049637</v>
      </c>
      <c r="I39">
        <v>5.59284348671448E-2</v>
      </c>
      <c r="J39">
        <v>2.9129195184820902E-2</v>
      </c>
      <c r="K39">
        <v>6.8139266321719802E-3</v>
      </c>
      <c r="L39">
        <v>3.1467068803320025E-5</v>
      </c>
      <c r="M39">
        <v>5.5250335408285866E-7</v>
      </c>
      <c r="N39" s="1">
        <v>3.4180464551599202E-11</v>
      </c>
      <c r="O39" s="1">
        <v>1.4779537910890801E-14</v>
      </c>
      <c r="P39" s="1">
        <v>5.8979952024593604E-14</v>
      </c>
      <c r="R39">
        <v>47.116333368036301</v>
      </c>
      <c r="S39">
        <v>2.7981059246525599</v>
      </c>
      <c r="T39">
        <v>9.8616716141709695</v>
      </c>
      <c r="V39">
        <v>36.395306320908198</v>
      </c>
      <c r="W39">
        <v>1.1071791802172399</v>
      </c>
      <c r="X39">
        <v>2.7214035920145698</v>
      </c>
      <c r="AJ39">
        <v>9.9457254660040406E-2</v>
      </c>
      <c r="AK39">
        <v>9.0962587681216803E-2</v>
      </c>
      <c r="AL39">
        <v>0.74616752035715805</v>
      </c>
      <c r="AM39">
        <v>2.29899812827177E-2</v>
      </c>
      <c r="AN39">
        <v>4.0422656018866299E-2</v>
      </c>
    </row>
    <row r="40" spans="1:40" x14ac:dyDescent="0.2">
      <c r="A40">
        <v>124</v>
      </c>
      <c r="B40">
        <v>740</v>
      </c>
      <c r="C40">
        <v>195</v>
      </c>
      <c r="D40">
        <v>0.37662784385333098</v>
      </c>
      <c r="E40">
        <v>3.8265957358956701E-2</v>
      </c>
      <c r="F40">
        <v>4.6449828924742604</v>
      </c>
      <c r="G40">
        <v>-0.36749902649295346</v>
      </c>
      <c r="H40">
        <v>-0.29902624124463129</v>
      </c>
      <c r="I40">
        <v>6.7584054926044704E-2</v>
      </c>
      <c r="J40">
        <v>3.5212091697419901E-2</v>
      </c>
      <c r="K40">
        <v>8.2381266507901892E-3</v>
      </c>
      <c r="L40">
        <v>3.1437649176506453E-5</v>
      </c>
      <c r="M40">
        <v>5.5235491107822912E-7</v>
      </c>
      <c r="N40" s="1">
        <v>4.2303209506772703E-11</v>
      </c>
      <c r="O40" s="1">
        <v>1.7864114635132299E-14</v>
      </c>
      <c r="P40" s="1">
        <v>6.9736347678919099E-14</v>
      </c>
      <c r="R40">
        <v>47.086294529031797</v>
      </c>
      <c r="S40">
        <v>2.89293856615391</v>
      </c>
      <c r="T40">
        <v>9.8132962752034896</v>
      </c>
      <c r="V40">
        <v>36.316823787441599</v>
      </c>
      <c r="W40">
        <v>1.18403744793638</v>
      </c>
      <c r="X40">
        <v>2.7066093942327401</v>
      </c>
      <c r="AJ40">
        <v>9.8879995286715094E-2</v>
      </c>
      <c r="AK40">
        <v>9.0482901675429994E-2</v>
      </c>
      <c r="AL40">
        <v>0.74428310274541898</v>
      </c>
      <c r="AM40">
        <v>2.4576808416226999E-2</v>
      </c>
      <c r="AN40">
        <v>4.17771918762085E-2</v>
      </c>
    </row>
    <row r="41" spans="1:40" x14ac:dyDescent="0.2">
      <c r="A41">
        <v>125</v>
      </c>
      <c r="B41">
        <v>738</v>
      </c>
      <c r="C41">
        <v>195</v>
      </c>
      <c r="D41">
        <v>0.37525639123770199</v>
      </c>
      <c r="E41">
        <v>4.3924265708603902E-2</v>
      </c>
      <c r="F41">
        <v>4.6452103646011498</v>
      </c>
      <c r="G41">
        <v>-0.42204293550409061</v>
      </c>
      <c r="H41">
        <v>-0.3436486434795693</v>
      </c>
      <c r="I41">
        <v>7.7529834371281497E-2</v>
      </c>
      <c r="J41">
        <v>4.0410767376367701E-2</v>
      </c>
      <c r="K41">
        <v>9.4558184153141801E-3</v>
      </c>
      <c r="L41">
        <v>3.141067576848054E-5</v>
      </c>
      <c r="M41">
        <v>5.5221987771748496E-7</v>
      </c>
      <c r="N41" s="1">
        <v>4.9523657800948698E-11</v>
      </c>
      <c r="O41" s="1">
        <v>2.0500002121986999E-14</v>
      </c>
      <c r="P41" s="1">
        <v>7.8429510053265302E-14</v>
      </c>
      <c r="R41">
        <v>47.058449971908203</v>
      </c>
      <c r="S41">
        <v>2.9834225605497702</v>
      </c>
      <c r="T41">
        <v>9.7645650062005096</v>
      </c>
      <c r="V41">
        <v>36.2512279094353</v>
      </c>
      <c r="W41">
        <v>1.25104443342381</v>
      </c>
      <c r="X41">
        <v>2.6912901184823101</v>
      </c>
      <c r="AJ41">
        <v>9.8286506756992603E-2</v>
      </c>
      <c r="AK41">
        <v>9.0002596867048895E-2</v>
      </c>
      <c r="AL41">
        <v>0.74268311999619896</v>
      </c>
      <c r="AM41">
        <v>2.5958722246017901E-2</v>
      </c>
      <c r="AN41">
        <v>4.3069054133740403E-2</v>
      </c>
    </row>
    <row r="42" spans="1:40" x14ac:dyDescent="0.2">
      <c r="A42">
        <v>134</v>
      </c>
      <c r="B42">
        <v>748</v>
      </c>
      <c r="C42">
        <v>180</v>
      </c>
      <c r="D42">
        <v>0.39821818537923098</v>
      </c>
      <c r="E42">
        <v>1.15327157309301E-2</v>
      </c>
      <c r="F42">
        <v>4.6418541292820397</v>
      </c>
      <c r="G42">
        <v>-0.11077837944470079</v>
      </c>
      <c r="H42">
        <v>-8.9911370281309771E-2</v>
      </c>
      <c r="I42">
        <v>2.0434812871165799E-2</v>
      </c>
      <c r="J42">
        <v>1.06268733138435E-2</v>
      </c>
      <c r="K42">
        <v>2.4845062791134802E-3</v>
      </c>
      <c r="L42">
        <v>3.1502317055837115E-5</v>
      </c>
      <c r="M42">
        <v>5.5288690491542701E-7</v>
      </c>
      <c r="N42" s="1">
        <v>1.1603351351193701E-11</v>
      </c>
      <c r="O42" s="1">
        <v>5.3861223815021998E-15</v>
      </c>
      <c r="P42" s="1">
        <v>2.3247784695501899E-14</v>
      </c>
      <c r="R42">
        <v>47.1671140346294</v>
      </c>
      <c r="S42">
        <v>2.6247717843633001</v>
      </c>
      <c r="T42">
        <v>10.0135559649912</v>
      </c>
      <c r="V42">
        <v>36.384972139047598</v>
      </c>
      <c r="W42">
        <v>0.99044399578798004</v>
      </c>
      <c r="X42">
        <v>2.8191420811802801</v>
      </c>
      <c r="AJ42">
        <v>0.10304643748287599</v>
      </c>
      <c r="AK42">
        <v>9.2378967384661601E-2</v>
      </c>
      <c r="AL42">
        <v>0.74608019704346695</v>
      </c>
      <c r="AM42">
        <v>2.0569471574458199E-2</v>
      </c>
      <c r="AN42">
        <v>3.7924926514535301E-2</v>
      </c>
    </row>
    <row r="43" spans="1:40" x14ac:dyDescent="0.2">
      <c r="A43">
        <v>135</v>
      </c>
      <c r="B43">
        <v>746</v>
      </c>
      <c r="C43">
        <v>180</v>
      </c>
      <c r="D43">
        <v>0.396899867536674</v>
      </c>
      <c r="E43">
        <v>2.1252800333606499E-2</v>
      </c>
      <c r="F43">
        <v>4.6422018836975401</v>
      </c>
      <c r="G43">
        <v>-0.20428691900926163</v>
      </c>
      <c r="H43">
        <v>-0.16592475452964947</v>
      </c>
      <c r="I43">
        <v>3.7641332953551598E-2</v>
      </c>
      <c r="J43">
        <v>1.9578716973309599E-2</v>
      </c>
      <c r="K43">
        <v>4.5781723557180897E-3</v>
      </c>
      <c r="L43">
        <v>3.1467974878746525E-5</v>
      </c>
      <c r="M43">
        <v>5.5271371385851575E-7</v>
      </c>
      <c r="N43" s="1">
        <v>2.20894808841731E-11</v>
      </c>
      <c r="O43" s="1">
        <v>9.9219442171974301E-15</v>
      </c>
      <c r="P43" s="1">
        <v>4.1767878112256502E-14</v>
      </c>
      <c r="R43">
        <v>47.133108870516097</v>
      </c>
      <c r="S43">
        <v>2.7272706980448702</v>
      </c>
      <c r="T43">
        <v>9.9665921874189607</v>
      </c>
      <c r="V43">
        <v>36.276387746304799</v>
      </c>
      <c r="W43">
        <v>1.09070165364427</v>
      </c>
      <c r="X43">
        <v>2.8059388440708002</v>
      </c>
      <c r="AJ43">
        <v>0.10252069443686999</v>
      </c>
      <c r="AK43">
        <v>9.1907040691150105E-2</v>
      </c>
      <c r="AL43">
        <v>0.74354082972658397</v>
      </c>
      <c r="AM43">
        <v>2.2642089526203502E-2</v>
      </c>
      <c r="AN43">
        <v>3.9389345619191503E-2</v>
      </c>
    </row>
    <row r="44" spans="1:40" x14ac:dyDescent="0.2">
      <c r="A44">
        <v>136</v>
      </c>
      <c r="B44">
        <v>744</v>
      </c>
      <c r="C44">
        <v>180</v>
      </c>
      <c r="D44">
        <v>0.39557636533451601</v>
      </c>
      <c r="E44">
        <v>2.8912792936990801E-2</v>
      </c>
      <c r="F44">
        <v>4.6424974254979396</v>
      </c>
      <c r="G44">
        <v>-0.27807910335744074</v>
      </c>
      <c r="H44">
        <v>-0.22601992096310425</v>
      </c>
      <c r="I44">
        <v>5.1181421023778602E-2</v>
      </c>
      <c r="J44">
        <v>2.6629339648593198E-2</v>
      </c>
      <c r="K44">
        <v>6.2278533054629997E-3</v>
      </c>
      <c r="L44">
        <v>3.1437219284125543E-5</v>
      </c>
      <c r="M44">
        <v>5.5256001992111215E-7</v>
      </c>
      <c r="N44" s="1">
        <v>3.0842005575786001E-11</v>
      </c>
      <c r="O44" s="1">
        <v>1.34935733920459E-14</v>
      </c>
      <c r="P44" s="1">
        <v>5.5572939809481102E-14</v>
      </c>
      <c r="R44">
        <v>47.102191571551401</v>
      </c>
      <c r="S44">
        <v>2.8232771269616399</v>
      </c>
      <c r="T44">
        <v>9.9193859468098999</v>
      </c>
      <c r="V44">
        <v>36.188118829365401</v>
      </c>
      <c r="W44">
        <v>1.17514418713489</v>
      </c>
      <c r="X44">
        <v>2.79188233817669</v>
      </c>
      <c r="AJ44">
        <v>0.101968215198262</v>
      </c>
      <c r="AK44">
        <v>9.1436848899184894E-2</v>
      </c>
      <c r="AL44">
        <v>0.74144879302915301</v>
      </c>
      <c r="AM44">
        <v>2.4385746607105501E-2</v>
      </c>
      <c r="AN44">
        <v>4.0760396266294401E-2</v>
      </c>
    </row>
    <row r="45" spans="1:40" x14ac:dyDescent="0.2">
      <c r="A45">
        <v>137</v>
      </c>
      <c r="B45">
        <v>742</v>
      </c>
      <c r="C45">
        <v>180</v>
      </c>
      <c r="D45">
        <v>0.39424764813081797</v>
      </c>
      <c r="E45">
        <v>3.5304966947403399E-2</v>
      </c>
      <c r="F45">
        <v>4.6427557893796996</v>
      </c>
      <c r="G45">
        <v>-0.33972987917420988</v>
      </c>
      <c r="H45">
        <v>-0.27632323232745526</v>
      </c>
      <c r="I45">
        <v>6.24603722078063E-2</v>
      </c>
      <c r="J45">
        <v>3.2509827534174002E-2</v>
      </c>
      <c r="K45">
        <v>7.6043127291259803E-3</v>
      </c>
      <c r="L45">
        <v>3.1409231824349427E-5</v>
      </c>
      <c r="M45">
        <v>5.5242132574850719E-7</v>
      </c>
      <c r="N45" s="1">
        <v>3.8481581618606401E-11</v>
      </c>
      <c r="O45" s="1">
        <v>1.6471978035849599E-14</v>
      </c>
      <c r="P45" s="1">
        <v>6.6510803132052298E-14</v>
      </c>
      <c r="R45">
        <v>47.0737077249929</v>
      </c>
      <c r="S45">
        <v>2.9144301535306099</v>
      </c>
      <c r="T45">
        <v>9.8717778878682196</v>
      </c>
      <c r="V45">
        <v>36.114772462568702</v>
      </c>
      <c r="W45">
        <v>1.24810755043569</v>
      </c>
      <c r="X45">
        <v>2.7772042206038301</v>
      </c>
      <c r="AJ45">
        <v>0.10139639591623199</v>
      </c>
      <c r="AK45">
        <v>9.0965944576908403E-2</v>
      </c>
      <c r="AL45">
        <v>0.73968537734315698</v>
      </c>
      <c r="AM45">
        <v>2.58907067683092E-2</v>
      </c>
      <c r="AN45">
        <v>4.2061575395392098E-2</v>
      </c>
    </row>
    <row r="46" spans="1:40" x14ac:dyDescent="0.2">
      <c r="A46">
        <v>138</v>
      </c>
      <c r="B46">
        <v>740</v>
      </c>
      <c r="C46">
        <v>180</v>
      </c>
      <c r="D46">
        <v>0.39291368504170499</v>
      </c>
      <c r="E46">
        <v>4.0846689237219402E-2</v>
      </c>
      <c r="F46">
        <v>4.6429862780046198</v>
      </c>
      <c r="G46">
        <v>-0.39323142325877369</v>
      </c>
      <c r="H46">
        <v>-0.3200628255024533</v>
      </c>
      <c r="I46">
        <v>7.2218918971840698E-2</v>
      </c>
      <c r="J46">
        <v>3.7605294233836302E-2</v>
      </c>
      <c r="K46">
        <v>8.7975037597513E-3</v>
      </c>
      <c r="L46">
        <v>3.1383430426921231E-5</v>
      </c>
      <c r="M46">
        <v>5.5229451734089456E-7</v>
      </c>
      <c r="N46" s="1">
        <v>4.5349727540627E-11</v>
      </c>
      <c r="O46" s="1">
        <v>1.9052579485225201E-14</v>
      </c>
      <c r="P46" s="1">
        <v>7.5536378550276394E-14</v>
      </c>
      <c r="R46">
        <v>47.047188542828799</v>
      </c>
      <c r="S46">
        <v>3.0018098811213298</v>
      </c>
      <c r="T46">
        <v>9.8237220302198001</v>
      </c>
      <c r="V46">
        <v>36.052922922211202</v>
      </c>
      <c r="W46">
        <v>1.3123129506853499</v>
      </c>
      <c r="X46">
        <v>2.7620436729334199</v>
      </c>
      <c r="AJ46">
        <v>0.10080962917323801</v>
      </c>
      <c r="AK46">
        <v>9.0493273264607904E-2</v>
      </c>
      <c r="AL46">
        <v>0.73817512191747603</v>
      </c>
      <c r="AM46">
        <v>2.7213605470696699E-2</v>
      </c>
      <c r="AN46">
        <v>4.3308370173979899E-2</v>
      </c>
    </row>
    <row r="47" spans="1:40" x14ac:dyDescent="0.2">
      <c r="A47">
        <v>149</v>
      </c>
      <c r="B47">
        <v>750</v>
      </c>
      <c r="C47">
        <v>165</v>
      </c>
      <c r="D47">
        <v>0.41565801690856902</v>
      </c>
      <c r="E47">
        <v>1.10738621292438E-2</v>
      </c>
      <c r="F47">
        <v>4.63960763716402</v>
      </c>
      <c r="G47">
        <v>-0.10661733897910551</v>
      </c>
      <c r="H47">
        <v>-8.6503336610180545E-2</v>
      </c>
      <c r="I47">
        <v>1.9658898860308801E-2</v>
      </c>
      <c r="J47">
        <v>1.02113871159302E-2</v>
      </c>
      <c r="K47">
        <v>2.3868100484490101E-3</v>
      </c>
      <c r="L47">
        <v>3.1464394439958786E-5</v>
      </c>
      <c r="M47">
        <v>5.5287603900682194E-7</v>
      </c>
      <c r="N47" s="1">
        <v>1.1088145861137701E-11</v>
      </c>
      <c r="O47" s="1">
        <v>5.1677440882775497E-15</v>
      </c>
      <c r="P47" s="1">
        <v>2.2866752276451599E-14</v>
      </c>
      <c r="R47">
        <v>47.1413529289105</v>
      </c>
      <c r="S47">
        <v>2.6755504745494898</v>
      </c>
      <c r="T47">
        <v>10.0683596358915</v>
      </c>
      <c r="V47">
        <v>36.137816330164704</v>
      </c>
      <c r="W47">
        <v>1.0869633168311501</v>
      </c>
      <c r="X47">
        <v>2.88995731365259</v>
      </c>
      <c r="AJ47">
        <v>0.105554231935183</v>
      </c>
      <c r="AK47">
        <v>9.28136170957575E-2</v>
      </c>
      <c r="AL47">
        <v>0.74044631593732002</v>
      </c>
      <c r="AM47">
        <v>2.2556738418292099E-2</v>
      </c>
      <c r="AN47">
        <v>3.8629096613446899E-2</v>
      </c>
    </row>
    <row r="48" spans="1:40" x14ac:dyDescent="0.2">
      <c r="A48">
        <v>150</v>
      </c>
      <c r="B48">
        <v>748</v>
      </c>
      <c r="C48">
        <v>165</v>
      </c>
      <c r="D48">
        <v>0.41437643832933801</v>
      </c>
      <c r="E48">
        <v>1.9757236151431899E-2</v>
      </c>
      <c r="F48">
        <v>4.6399381120913104</v>
      </c>
      <c r="G48">
        <v>-0.19033507714604006</v>
      </c>
      <c r="H48">
        <v>-0.15453677838608737</v>
      </c>
      <c r="I48">
        <v>3.5056846457379102E-2</v>
      </c>
      <c r="J48">
        <v>1.8214149084964201E-2</v>
      </c>
      <c r="K48">
        <v>4.2580818265541198E-3</v>
      </c>
      <c r="L48">
        <v>3.1432772366321616E-5</v>
      </c>
      <c r="M48">
        <v>5.527196638703293E-7</v>
      </c>
      <c r="N48" s="1">
        <v>2.0347810008881101E-11</v>
      </c>
      <c r="O48" s="1">
        <v>9.2167467612194097E-15</v>
      </c>
      <c r="P48" s="1">
        <v>3.99180445856284E-14</v>
      </c>
      <c r="R48">
        <v>47.109959879141996</v>
      </c>
      <c r="S48">
        <v>2.7718766529049201</v>
      </c>
      <c r="T48">
        <v>10.0223432041725</v>
      </c>
      <c r="V48">
        <v>36.0417210696681</v>
      </c>
      <c r="W48">
        <v>1.1775242151568499</v>
      </c>
      <c r="X48">
        <v>2.8765749789554702</v>
      </c>
      <c r="AJ48">
        <v>0.10502468445031</v>
      </c>
      <c r="AK48">
        <v>9.2353575453094805E-2</v>
      </c>
      <c r="AL48">
        <v>0.73819084799748103</v>
      </c>
      <c r="AM48">
        <v>2.4426583507493101E-2</v>
      </c>
      <c r="AN48">
        <v>4.00043085916202E-2</v>
      </c>
    </row>
    <row r="49" spans="1:40" x14ac:dyDescent="0.2">
      <c r="A49">
        <v>151</v>
      </c>
      <c r="B49">
        <v>746</v>
      </c>
      <c r="C49">
        <v>165</v>
      </c>
      <c r="D49">
        <v>0.41308982976009601</v>
      </c>
      <c r="E49">
        <v>2.6865192881891299E-2</v>
      </c>
      <c r="F49">
        <v>4.6402253010614301</v>
      </c>
      <c r="G49">
        <v>-0.25894597974083844</v>
      </c>
      <c r="H49">
        <v>-0.21039120979379972</v>
      </c>
      <c r="I49">
        <v>4.7642417649059202E-2</v>
      </c>
      <c r="J49">
        <v>2.4761495978319701E-2</v>
      </c>
      <c r="K49">
        <v>5.7896311361747997E-3</v>
      </c>
      <c r="L49">
        <v>3.1404147683863409E-5</v>
      </c>
      <c r="M49">
        <v>5.5257935650637756E-7</v>
      </c>
      <c r="N49" s="1">
        <v>2.8315465901293199E-11</v>
      </c>
      <c r="O49" s="1">
        <v>1.2528787224887401E-14</v>
      </c>
      <c r="P49" s="1">
        <v>5.3230932233737599E-14</v>
      </c>
      <c r="R49">
        <v>47.081156782570702</v>
      </c>
      <c r="S49">
        <v>2.8630289743508599</v>
      </c>
      <c r="T49">
        <v>9.9758660737520692</v>
      </c>
      <c r="V49">
        <v>35.962159551657898</v>
      </c>
      <c r="W49">
        <v>1.25530113529487</v>
      </c>
      <c r="X49">
        <v>2.8624874823734601</v>
      </c>
      <c r="AJ49">
        <v>0.1044730719122</v>
      </c>
      <c r="AK49">
        <v>9.1892514407727596E-2</v>
      </c>
      <c r="AL49">
        <v>0.73629861000973396</v>
      </c>
      <c r="AM49">
        <v>2.6030702211263999E-2</v>
      </c>
      <c r="AN49">
        <v>4.13051014590737E-2</v>
      </c>
    </row>
    <row r="50" spans="1:40" x14ac:dyDescent="0.2">
      <c r="A50">
        <v>152</v>
      </c>
      <c r="B50">
        <v>744</v>
      </c>
      <c r="C50">
        <v>165</v>
      </c>
      <c r="D50">
        <v>0.411798161529766</v>
      </c>
      <c r="E50">
        <v>3.2940263578715899E-2</v>
      </c>
      <c r="F50">
        <v>4.64048041435474</v>
      </c>
      <c r="G50">
        <v>-0.31764689823050291</v>
      </c>
      <c r="H50">
        <v>-0.25826550686461258</v>
      </c>
      <c r="I50">
        <v>5.8380171425935497E-2</v>
      </c>
      <c r="J50">
        <v>3.0354540684764099E-2</v>
      </c>
      <c r="K50">
        <v>7.0984597794700897E-3</v>
      </c>
      <c r="L50">
        <v>3.1377875847770098E-5</v>
      </c>
      <c r="M50">
        <v>5.524517144182046E-7</v>
      </c>
      <c r="N50" s="1">
        <v>3.5405301362925499E-11</v>
      </c>
      <c r="O50" s="1">
        <v>1.53577918706884E-14</v>
      </c>
      <c r="P50" s="1">
        <v>6.4110074704516002E-14</v>
      </c>
      <c r="R50">
        <v>47.054440560562298</v>
      </c>
      <c r="S50">
        <v>2.9501866679145601</v>
      </c>
      <c r="T50">
        <v>9.9288766686634204</v>
      </c>
      <c r="V50">
        <v>35.895190612343299</v>
      </c>
      <c r="W50">
        <v>1.3234421793873601</v>
      </c>
      <c r="X50">
        <v>2.8478633111289899</v>
      </c>
      <c r="AJ50">
        <v>0.10390475790205</v>
      </c>
      <c r="AK50">
        <v>9.14292519770743E-2</v>
      </c>
      <c r="AL50">
        <v>0.73468302667830798</v>
      </c>
      <c r="AM50">
        <v>2.7434589085805702E-2</v>
      </c>
      <c r="AN50">
        <v>4.2548374356761003E-2</v>
      </c>
    </row>
    <row r="51" spans="1:40" x14ac:dyDescent="0.2">
      <c r="A51">
        <v>165</v>
      </c>
      <c r="B51">
        <v>752</v>
      </c>
      <c r="C51">
        <v>150</v>
      </c>
      <c r="D51">
        <v>0.43302980051699702</v>
      </c>
      <c r="E51">
        <v>1.1437747011812801E-2</v>
      </c>
      <c r="F51">
        <v>4.6373119091133299</v>
      </c>
      <c r="G51">
        <v>-0.11039730190760605</v>
      </c>
      <c r="H51">
        <v>-8.9540249775694053E-2</v>
      </c>
      <c r="I51">
        <v>2.0345366172669299E-2</v>
      </c>
      <c r="J51">
        <v>1.0555026559244399E-2</v>
      </c>
      <c r="K51">
        <v>2.4664605780204498E-3</v>
      </c>
      <c r="L51">
        <v>3.142237420713413E-5</v>
      </c>
      <c r="M51">
        <v>5.5281739848016607E-7</v>
      </c>
      <c r="N51" s="1">
        <v>1.1396707365587201E-11</v>
      </c>
      <c r="O51" s="1">
        <v>5.3324897407949502E-15</v>
      </c>
      <c r="P51" s="1">
        <v>2.42054329006144E-14</v>
      </c>
      <c r="R51">
        <v>47.1065969508943</v>
      </c>
      <c r="S51">
        <v>2.7447421588783598</v>
      </c>
      <c r="T51">
        <v>10.122073662319799</v>
      </c>
      <c r="V51">
        <v>35.866600249881401</v>
      </c>
      <c r="W51">
        <v>1.1991643634820199</v>
      </c>
      <c r="X51">
        <v>2.96082261454398</v>
      </c>
      <c r="AJ51">
        <v>0.10805030133591401</v>
      </c>
      <c r="AK51">
        <v>9.3229175416768104E-2</v>
      </c>
      <c r="AL51">
        <v>0.734262340069887</v>
      </c>
      <c r="AM51">
        <v>2.4863914323311101E-2</v>
      </c>
      <c r="AN51">
        <v>3.9594268854117702E-2</v>
      </c>
    </row>
    <row r="52" spans="1:40" x14ac:dyDescent="0.2">
      <c r="A52">
        <v>166</v>
      </c>
      <c r="B52">
        <v>750</v>
      </c>
      <c r="C52">
        <v>150</v>
      </c>
      <c r="D52">
        <v>0.43178468455260599</v>
      </c>
      <c r="E52">
        <v>1.9081766313725101E-2</v>
      </c>
      <c r="F52">
        <v>4.6376215268215004</v>
      </c>
      <c r="G52">
        <v>-0.18427346208784726</v>
      </c>
      <c r="H52">
        <v>-0.14956420450821481</v>
      </c>
      <c r="I52">
        <v>3.39239188580681E-2</v>
      </c>
      <c r="J52">
        <v>1.7605110402041099E-2</v>
      </c>
      <c r="K52">
        <v>4.1145587675420498E-3</v>
      </c>
      <c r="L52">
        <v>3.1393759368381282E-5</v>
      </c>
      <c r="M52">
        <v>5.5267883407918488E-7</v>
      </c>
      <c r="N52" s="1">
        <v>1.9473583887100499E-11</v>
      </c>
      <c r="O52" s="1">
        <v>8.8935243191443701E-15</v>
      </c>
      <c r="P52" s="1">
        <v>3.9640369411884497E-14</v>
      </c>
      <c r="R52">
        <v>47.077996226764803</v>
      </c>
      <c r="S52">
        <v>2.8348326243531501</v>
      </c>
      <c r="T52">
        <v>10.0766732369782</v>
      </c>
      <c r="V52">
        <v>35.783820090243601</v>
      </c>
      <c r="W52">
        <v>1.2794740792980901</v>
      </c>
      <c r="X52">
        <v>2.9472037423620798</v>
      </c>
      <c r="AJ52">
        <v>0.107515142390382</v>
      </c>
      <c r="AK52">
        <v>9.2778085479269107E-2</v>
      </c>
      <c r="AL52">
        <v>0.73230774034428703</v>
      </c>
      <c r="AM52">
        <v>2.6519672718618399E-2</v>
      </c>
      <c r="AN52">
        <v>4.0879359067442299E-2</v>
      </c>
    </row>
    <row r="53" spans="1:40" x14ac:dyDescent="0.2">
      <c r="A53">
        <v>167</v>
      </c>
      <c r="B53">
        <v>748</v>
      </c>
      <c r="C53">
        <v>150</v>
      </c>
      <c r="D53">
        <v>0.43053469127944</v>
      </c>
      <c r="E53">
        <v>2.5572267632444801E-2</v>
      </c>
      <c r="F53">
        <v>4.6378965073907503</v>
      </c>
      <c r="G53">
        <v>-0.2470649275561454</v>
      </c>
      <c r="H53">
        <v>-0.20066839500499287</v>
      </c>
      <c r="I53">
        <v>4.5435570240564598E-2</v>
      </c>
      <c r="J53">
        <v>2.3588297085582001E-2</v>
      </c>
      <c r="K53">
        <v>5.5137641798806702E-3</v>
      </c>
      <c r="L53">
        <v>3.1367535433833596E-5</v>
      </c>
      <c r="M53">
        <v>5.5255304347133671E-7</v>
      </c>
      <c r="N53" s="1">
        <v>2.66305201670523E-11</v>
      </c>
      <c r="O53" s="1">
        <v>1.19153240284791E-14</v>
      </c>
      <c r="P53" s="1">
        <v>5.2228402487193798E-14</v>
      </c>
      <c r="R53">
        <v>47.051503371266698</v>
      </c>
      <c r="S53">
        <v>2.92093370434988</v>
      </c>
      <c r="T53">
        <v>10.030690307578199</v>
      </c>
      <c r="V53">
        <v>35.714052011019497</v>
      </c>
      <c r="W53">
        <v>1.3497987851556701</v>
      </c>
      <c r="X53">
        <v>2.93302182062979</v>
      </c>
      <c r="AJ53">
        <v>0.106962407189844</v>
      </c>
      <c r="AK53">
        <v>9.23241786090815E-2</v>
      </c>
      <c r="AL53">
        <v>0.73063832563087405</v>
      </c>
      <c r="AM53">
        <v>2.7968044423782999E-2</v>
      </c>
      <c r="AN53">
        <v>4.2107044146415903E-2</v>
      </c>
    </row>
    <row r="54" spans="1:40" x14ac:dyDescent="0.2">
      <c r="A54">
        <v>183</v>
      </c>
      <c r="B54">
        <v>754</v>
      </c>
      <c r="C54">
        <v>135</v>
      </c>
      <c r="D54">
        <v>0.45033393370004399</v>
      </c>
      <c r="E54">
        <v>1.25622733610264E-2</v>
      </c>
      <c r="F54">
        <v>4.6349463553547299</v>
      </c>
      <c r="G54">
        <v>-0.1215832651687369</v>
      </c>
      <c r="H54">
        <v>-9.8582519684706521E-2</v>
      </c>
      <c r="I54">
        <v>2.2392781467195901E-2</v>
      </c>
      <c r="J54">
        <v>1.16025129860431E-2</v>
      </c>
      <c r="K54">
        <v>2.7103384587209502E-3</v>
      </c>
      <c r="L54">
        <v>3.1376298623665671E-5</v>
      </c>
      <c r="M54">
        <v>5.5270212508843807E-7</v>
      </c>
      <c r="N54" s="1">
        <v>1.24426879100088E-11</v>
      </c>
      <c r="O54" s="1">
        <v>5.8500677030807097E-15</v>
      </c>
      <c r="P54" s="1">
        <v>2.72790725359372E-14</v>
      </c>
      <c r="R54">
        <v>47.060894301361898</v>
      </c>
      <c r="S54">
        <v>2.83646027700031</v>
      </c>
      <c r="T54">
        <v>10.174044770950999</v>
      </c>
      <c r="V54">
        <v>35.568727386661202</v>
      </c>
      <c r="W54">
        <v>1.3284739073371199</v>
      </c>
      <c r="X54">
        <v>3.0313993566883002</v>
      </c>
      <c r="AJ54">
        <v>0.11051973614605699</v>
      </c>
      <c r="AK54">
        <v>9.3617941187362302E-2</v>
      </c>
      <c r="AL54">
        <v>0.72746559855653503</v>
      </c>
      <c r="AM54">
        <v>2.75186362604538E-2</v>
      </c>
      <c r="AN54">
        <v>4.0878087849590801E-2</v>
      </c>
    </row>
    <row r="55" spans="1:40" x14ac:dyDescent="0.2">
      <c r="A55">
        <v>184</v>
      </c>
      <c r="B55">
        <v>752</v>
      </c>
      <c r="C55">
        <v>135</v>
      </c>
      <c r="D55">
        <v>0.449125006096672</v>
      </c>
      <c r="E55">
        <v>1.92278817376604E-2</v>
      </c>
      <c r="F55">
        <v>4.6352328444203597</v>
      </c>
      <c r="G55">
        <v>-0.18617712553346116</v>
      </c>
      <c r="H55">
        <v>-0.15106178451488009</v>
      </c>
      <c r="I55">
        <v>3.4253856526928701E-2</v>
      </c>
      <c r="J55">
        <v>1.7755041767580401E-2</v>
      </c>
      <c r="K55">
        <v>4.1482019098147199E-3</v>
      </c>
      <c r="L55">
        <v>3.1350833193955043E-5</v>
      </c>
      <c r="M55">
        <v>5.5258175928163392E-7</v>
      </c>
      <c r="N55" s="1">
        <v>1.9430459970364498E-11</v>
      </c>
      <c r="O55" s="1">
        <v>8.9517576229303893E-15</v>
      </c>
      <c r="P55" s="1">
        <v>4.11003166553702E-14</v>
      </c>
      <c r="R55">
        <v>47.035188095806099</v>
      </c>
      <c r="S55">
        <v>2.9204346280476901</v>
      </c>
      <c r="T55">
        <v>10.1289187151364</v>
      </c>
      <c r="V55">
        <v>35.499539091538999</v>
      </c>
      <c r="W55">
        <v>1.3984092216966</v>
      </c>
      <c r="X55">
        <v>3.0175102477740401</v>
      </c>
      <c r="AJ55">
        <v>0.10997792667430201</v>
      </c>
      <c r="AK55">
        <v>9.3172686212839695E-2</v>
      </c>
      <c r="AL55">
        <v>0.725816667818862</v>
      </c>
      <c r="AM55">
        <v>2.89579788929013E-2</v>
      </c>
      <c r="AN55">
        <v>4.2074740401093901E-2</v>
      </c>
    </row>
    <row r="56" spans="1:40" x14ac:dyDescent="0.2">
      <c r="A56">
        <v>203</v>
      </c>
      <c r="B56">
        <v>756</v>
      </c>
      <c r="C56">
        <v>120</v>
      </c>
      <c r="D56">
        <v>0.46757081086333502</v>
      </c>
      <c r="E56">
        <v>1.4399647424809999E-2</v>
      </c>
      <c r="F56">
        <v>4.6324813048689499</v>
      </c>
      <c r="G56">
        <v>-0.13978539881855565</v>
      </c>
      <c r="H56">
        <v>-0.11331004370769096</v>
      </c>
      <c r="I56">
        <v>2.57254580098767E-2</v>
      </c>
      <c r="J56">
        <v>1.33121025526331E-2</v>
      </c>
      <c r="K56">
        <v>3.1084091822832201E-3</v>
      </c>
      <c r="L56">
        <v>3.1326378775648526E-5</v>
      </c>
      <c r="M56">
        <v>5.5251918450901167E-7</v>
      </c>
      <c r="N56" s="1">
        <v>1.4146545104217999E-11</v>
      </c>
      <c r="O56" s="1">
        <v>6.6964645086904798E-15</v>
      </c>
      <c r="P56" s="1">
        <v>3.21447044723053E-14</v>
      </c>
      <c r="R56">
        <v>47.001819742572103</v>
      </c>
      <c r="S56">
        <v>2.9560787769205601</v>
      </c>
      <c r="T56">
        <v>10.223141575772599</v>
      </c>
      <c r="V56">
        <v>35.241378361548399</v>
      </c>
      <c r="W56">
        <v>1.4763828859881101</v>
      </c>
      <c r="X56">
        <v>3.1011986571980699</v>
      </c>
      <c r="AJ56">
        <v>0.112941483128213</v>
      </c>
      <c r="AK56">
        <v>9.3967361125431706E-2</v>
      </c>
      <c r="AL56">
        <v>0.71998630204693803</v>
      </c>
      <c r="AM56">
        <v>3.0549217829620601E-2</v>
      </c>
      <c r="AN56">
        <v>4.2555635869796202E-2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752EE-5492-4C66-B92A-546EDEF23721}">
  <sheetPr codeName="Sheet7"/>
  <dimension ref="A1:AN105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14</v>
      </c>
      <c r="B2">
        <v>734</v>
      </c>
      <c r="C2">
        <v>300</v>
      </c>
      <c r="D2">
        <v>0.25781710768008598</v>
      </c>
      <c r="E2">
        <v>0.45117212832264803</v>
      </c>
      <c r="F2">
        <v>4.9379774355655099</v>
      </c>
      <c r="G2">
        <v>-3.0167681884325126</v>
      </c>
      <c r="H2">
        <v>-2.2186197744093268</v>
      </c>
      <c r="I2">
        <v>0.79248216653247705</v>
      </c>
      <c r="J2">
        <v>0.39975064372417601</v>
      </c>
      <c r="K2">
        <v>9.1367798700963093E-2</v>
      </c>
      <c r="L2">
        <v>3.5091505350817867E-5</v>
      </c>
      <c r="M2">
        <v>4.0841964155701439E-7</v>
      </c>
      <c r="N2" s="1">
        <v>1.75562985555159E-9</v>
      </c>
      <c r="O2" s="1">
        <v>2.17052679364077E-13</v>
      </c>
      <c r="P2">
        <v>0</v>
      </c>
      <c r="R2">
        <v>9.2960214709436109</v>
      </c>
      <c r="S2">
        <v>1.88981806928604</v>
      </c>
      <c r="T2">
        <v>49.275982815056601</v>
      </c>
      <c r="V2">
        <v>38.667614651499001</v>
      </c>
      <c r="X2">
        <v>0.87056299321463104</v>
      </c>
      <c r="AJ2">
        <v>0</v>
      </c>
      <c r="AK2">
        <v>-6.9117890012816803E-3</v>
      </c>
      <c r="AL2">
        <v>0.69583509881306504</v>
      </c>
      <c r="AM2">
        <v>4.8708244982535003E-2</v>
      </c>
      <c r="AN2">
        <v>0.26236844520568098</v>
      </c>
    </row>
    <row r="3" spans="1:40" x14ac:dyDescent="0.2">
      <c r="A3">
        <v>15</v>
      </c>
      <c r="B3">
        <v>732</v>
      </c>
      <c r="C3">
        <v>300</v>
      </c>
      <c r="D3">
        <v>0.256201064517732</v>
      </c>
      <c r="E3">
        <v>0.52461480846715902</v>
      </c>
      <c r="F3">
        <v>4.9405862187485896</v>
      </c>
      <c r="G3">
        <v>-3.4998321152707028</v>
      </c>
      <c r="H3">
        <v>-2.5750265708254827</v>
      </c>
      <c r="I3">
        <v>0.92006719837359496</v>
      </c>
      <c r="J3">
        <v>0.46487578474964503</v>
      </c>
      <c r="K3">
        <v>0.106184728944987</v>
      </c>
      <c r="L3">
        <v>3.5573866229016576E-5</v>
      </c>
      <c r="M3">
        <v>4.1421776099305416E-7</v>
      </c>
      <c r="N3" s="1">
        <v>2.0717180791063501E-9</v>
      </c>
      <c r="O3" s="1">
        <v>2.5636537117878701E-13</v>
      </c>
      <c r="P3">
        <v>0</v>
      </c>
      <c r="R3">
        <v>8.7739889292621207</v>
      </c>
      <c r="S3">
        <v>2.07550053726743</v>
      </c>
      <c r="T3">
        <v>50.0531279915485</v>
      </c>
      <c r="V3">
        <v>38.249263585682897</v>
      </c>
      <c r="X3">
        <v>0.84811895623892997</v>
      </c>
      <c r="AJ3">
        <v>0</v>
      </c>
      <c r="AK3">
        <v>-1.54882583492484E-3</v>
      </c>
      <c r="AL3">
        <v>0.70656400533990105</v>
      </c>
      <c r="AM3">
        <v>4.7436026166118299E-2</v>
      </c>
      <c r="AN3">
        <v>0.247548794328904</v>
      </c>
    </row>
    <row r="4" spans="1:40" x14ac:dyDescent="0.2">
      <c r="A4">
        <v>16</v>
      </c>
      <c r="B4">
        <v>730</v>
      </c>
      <c r="C4">
        <v>300</v>
      </c>
      <c r="D4">
        <v>0.25457857748093798</v>
      </c>
      <c r="E4">
        <v>0.550757507026719</v>
      </c>
      <c r="F4">
        <v>4.9404238167680097</v>
      </c>
      <c r="G4">
        <v>-3.674804616329221</v>
      </c>
      <c r="H4">
        <v>-2.706703611064238</v>
      </c>
      <c r="I4">
        <v>0.96506106291679405</v>
      </c>
      <c r="J4">
        <v>0.48811106957985601</v>
      </c>
      <c r="K4">
        <v>0.111479809719446</v>
      </c>
      <c r="L4">
        <v>3.561371516422834E-5</v>
      </c>
      <c r="M4">
        <v>4.1506835279777796E-7</v>
      </c>
      <c r="N4" s="1">
        <v>2.1801414833090999E-9</v>
      </c>
      <c r="O4" s="1">
        <v>2.6984487292642201E-13</v>
      </c>
      <c r="P4">
        <v>0</v>
      </c>
      <c r="R4">
        <v>8.6293935002789794</v>
      </c>
      <c r="S4">
        <v>2.19826411125899</v>
      </c>
      <c r="T4">
        <v>50.184101391767797</v>
      </c>
      <c r="V4">
        <v>38.147116305917997</v>
      </c>
      <c r="X4">
        <v>0.84112469077611995</v>
      </c>
      <c r="AJ4">
        <v>0</v>
      </c>
      <c r="AK4">
        <v>1.55579479155895E-3</v>
      </c>
      <c r="AL4">
        <v>0.70807056148598801</v>
      </c>
      <c r="AM4">
        <v>4.7022099054905703E-2</v>
      </c>
      <c r="AN4">
        <v>0.24335154466754699</v>
      </c>
    </row>
    <row r="5" spans="1:40" x14ac:dyDescent="0.2">
      <c r="A5">
        <v>17</v>
      </c>
      <c r="B5">
        <v>728</v>
      </c>
      <c r="C5">
        <v>300</v>
      </c>
      <c r="D5">
        <v>0.25294960795086002</v>
      </c>
      <c r="E5">
        <v>0.56195576516526402</v>
      </c>
      <c r="F5">
        <v>4.9403645451031899</v>
      </c>
      <c r="G5">
        <v>-3.7496872526311282</v>
      </c>
      <c r="H5">
        <v>-2.7647766519042678</v>
      </c>
      <c r="I5">
        <v>0.98377925458408899</v>
      </c>
      <c r="J5">
        <v>0.49808927219162702</v>
      </c>
      <c r="K5">
        <v>0.113747833795436</v>
      </c>
      <c r="L5">
        <v>3.5645832861924441E-5</v>
      </c>
      <c r="M5">
        <v>4.1583172318754706E-7</v>
      </c>
      <c r="N5" s="1">
        <v>2.2292379959049099E-9</v>
      </c>
      <c r="O5" s="1">
        <v>2.7598470174393199E-13</v>
      </c>
      <c r="P5">
        <v>0</v>
      </c>
      <c r="R5">
        <v>8.4994874046625206</v>
      </c>
      <c r="S5">
        <v>2.3070054904784199</v>
      </c>
      <c r="T5">
        <v>50.303161939919697</v>
      </c>
      <c r="V5">
        <v>38.056301904174802</v>
      </c>
      <c r="X5">
        <v>0.83404326076449098</v>
      </c>
      <c r="AJ5">
        <v>0</v>
      </c>
      <c r="AK5">
        <v>4.3528472728446696E-3</v>
      </c>
      <c r="AL5">
        <v>0.70945283484788602</v>
      </c>
      <c r="AM5">
        <v>4.6606669014588598E-2</v>
      </c>
      <c r="AN5">
        <v>0.23958764886467901</v>
      </c>
    </row>
    <row r="6" spans="1:40" x14ac:dyDescent="0.2">
      <c r="A6">
        <v>18</v>
      </c>
      <c r="B6">
        <v>726</v>
      </c>
      <c r="C6">
        <v>300</v>
      </c>
      <c r="D6">
        <v>0.251314116999449</v>
      </c>
      <c r="E6">
        <v>0.56705281050969503</v>
      </c>
      <c r="F6">
        <v>4.9403652830003901</v>
      </c>
      <c r="G6">
        <v>-3.7836178295995011</v>
      </c>
      <c r="H6">
        <v>-2.7926909672127778</v>
      </c>
      <c r="I6">
        <v>0.99176986677348</v>
      </c>
      <c r="J6">
        <v>0.50265066088253696</v>
      </c>
      <c r="K6">
        <v>0.11477953107251</v>
      </c>
      <c r="L6">
        <v>3.5672806481759718E-5</v>
      </c>
      <c r="M6">
        <v>4.165375615984347E-7</v>
      </c>
      <c r="N6" s="1">
        <v>2.2539254505553799E-9</v>
      </c>
      <c r="O6" s="1">
        <v>2.7910389728861501E-13</v>
      </c>
      <c r="P6">
        <v>0</v>
      </c>
      <c r="R6">
        <v>8.3788187043463402</v>
      </c>
      <c r="S6">
        <v>2.4071935517179699</v>
      </c>
      <c r="T6">
        <v>50.414422898720197</v>
      </c>
      <c r="V6">
        <v>37.9726525661317</v>
      </c>
      <c r="X6">
        <v>0.82691227908359899</v>
      </c>
      <c r="AJ6">
        <v>0</v>
      </c>
      <c r="AK6">
        <v>6.9617358014287603E-3</v>
      </c>
      <c r="AL6">
        <v>0.71075138045184605</v>
      </c>
      <c r="AM6">
        <v>4.6190599229506697E-2</v>
      </c>
      <c r="AN6">
        <v>0.23609628451721801</v>
      </c>
    </row>
    <row r="7" spans="1:40" x14ac:dyDescent="0.2">
      <c r="A7">
        <v>19</v>
      </c>
      <c r="B7">
        <v>724</v>
      </c>
      <c r="C7">
        <v>300</v>
      </c>
      <c r="D7">
        <v>0.249672065386352</v>
      </c>
      <c r="E7">
        <v>0.56900595811080001</v>
      </c>
      <c r="F7">
        <v>4.9404042201377196</v>
      </c>
      <c r="G7">
        <v>-3.7964110184434601</v>
      </c>
      <c r="H7">
        <v>-2.8050090276493882</v>
      </c>
      <c r="I7">
        <v>0.99423556214618802</v>
      </c>
      <c r="J7">
        <v>0.50441862979385099</v>
      </c>
      <c r="K7">
        <v>0.11517396811205401</v>
      </c>
      <c r="L7">
        <v>3.5695941078386493E-5</v>
      </c>
      <c r="M7">
        <v>4.1720078692113806E-7</v>
      </c>
      <c r="N7" s="1">
        <v>2.2659188477844298E-9</v>
      </c>
      <c r="O7" s="1">
        <v>2.8065154755227498E-13</v>
      </c>
      <c r="P7">
        <v>0</v>
      </c>
      <c r="R7">
        <v>8.2646206372474804</v>
      </c>
      <c r="S7">
        <v>2.5016082624944098</v>
      </c>
      <c r="T7">
        <v>50.519964179394599</v>
      </c>
      <c r="V7">
        <v>37.894059936503702</v>
      </c>
      <c r="X7">
        <v>0.81974698435971904</v>
      </c>
      <c r="AJ7">
        <v>0</v>
      </c>
      <c r="AK7">
        <v>9.4433678293205803E-3</v>
      </c>
      <c r="AL7">
        <v>0.71198668552557398</v>
      </c>
      <c r="AM7">
        <v>4.5774110071617601E-2</v>
      </c>
      <c r="AN7">
        <v>0.23279583657348599</v>
      </c>
    </row>
    <row r="8" spans="1:40" x14ac:dyDescent="0.2">
      <c r="A8">
        <v>32</v>
      </c>
      <c r="B8">
        <v>736</v>
      </c>
      <c r="C8">
        <v>285</v>
      </c>
      <c r="D8">
        <v>0.27577713917653601</v>
      </c>
      <c r="E8">
        <v>0.486790648085071</v>
      </c>
      <c r="F8">
        <v>4.9368701938485096</v>
      </c>
      <c r="G8">
        <v>-3.2583587546741075</v>
      </c>
      <c r="H8">
        <v>-2.3945523679626941</v>
      </c>
      <c r="I8">
        <v>0.85597422257485301</v>
      </c>
      <c r="J8">
        <v>0.431437098557166</v>
      </c>
      <c r="K8">
        <v>9.8603088388191207E-2</v>
      </c>
      <c r="L8">
        <v>3.5249558284448091E-5</v>
      </c>
      <c r="M8">
        <v>4.1032679644907921E-7</v>
      </c>
      <c r="N8" s="1">
        <v>1.9005248972846E-9</v>
      </c>
      <c r="O8" s="1">
        <v>2.34838473850917E-13</v>
      </c>
      <c r="P8">
        <v>0</v>
      </c>
      <c r="R8">
        <v>9.2226014781929297</v>
      </c>
      <c r="S8">
        <v>1.90487591153369</v>
      </c>
      <c r="T8">
        <v>49.412796086254602</v>
      </c>
      <c r="V8">
        <v>38.565430298429298</v>
      </c>
      <c r="X8">
        <v>0.89429622558935296</v>
      </c>
      <c r="AJ8">
        <v>0</v>
      </c>
      <c r="AK8">
        <v>-7.9051167622128399E-3</v>
      </c>
      <c r="AL8">
        <v>0.69763255489151599</v>
      </c>
      <c r="AM8">
        <v>5.0026480534046298E-2</v>
      </c>
      <c r="AN8">
        <v>0.26024608133665</v>
      </c>
    </row>
    <row r="9" spans="1:40" x14ac:dyDescent="0.2">
      <c r="A9">
        <v>33</v>
      </c>
      <c r="B9">
        <v>734</v>
      </c>
      <c r="C9">
        <v>285</v>
      </c>
      <c r="D9">
        <v>0.27419997021297599</v>
      </c>
      <c r="E9">
        <v>0.546550424688658</v>
      </c>
      <c r="F9">
        <v>4.9386468844473104</v>
      </c>
      <c r="G9">
        <v>-3.6526867274004093</v>
      </c>
      <c r="H9">
        <v>-2.6860513269881201</v>
      </c>
      <c r="I9">
        <v>0.959773023295724</v>
      </c>
      <c r="J9">
        <v>0.48446353979103002</v>
      </c>
      <c r="K9">
        <v>0.110668050880463</v>
      </c>
      <c r="L9">
        <v>3.5603628061752655E-5</v>
      </c>
      <c r="M9">
        <v>4.1468841819228929E-7</v>
      </c>
      <c r="N9" s="1">
        <v>2.1577368061210301E-9</v>
      </c>
      <c r="O9" s="1">
        <v>2.6681424143528998E-13</v>
      </c>
      <c r="P9">
        <v>0</v>
      </c>
      <c r="R9">
        <v>8.8087312205281005</v>
      </c>
      <c r="S9">
        <v>2.0744979703484701</v>
      </c>
      <c r="T9">
        <v>50.002437673126003</v>
      </c>
      <c r="V9">
        <v>38.238078466579204</v>
      </c>
      <c r="X9">
        <v>0.87625466941813501</v>
      </c>
      <c r="AJ9">
        <v>0</v>
      </c>
      <c r="AK9">
        <v>-3.1438839520735798E-3</v>
      </c>
      <c r="AL9">
        <v>0.705677325177966</v>
      </c>
      <c r="AM9">
        <v>4.8997799324485197E-2</v>
      </c>
      <c r="AN9">
        <v>0.24846875944962099</v>
      </c>
    </row>
    <row r="10" spans="1:40" x14ac:dyDescent="0.2">
      <c r="A10">
        <v>34</v>
      </c>
      <c r="B10">
        <v>732</v>
      </c>
      <c r="C10">
        <v>285</v>
      </c>
      <c r="D10">
        <v>0.27261652489678301</v>
      </c>
      <c r="E10">
        <v>0.56872359394751304</v>
      </c>
      <c r="F10">
        <v>4.9385242188293299</v>
      </c>
      <c r="G10">
        <v>-3.8013059923380883</v>
      </c>
      <c r="H10">
        <v>-2.7983462233778797</v>
      </c>
      <c r="I10">
        <v>0.99782099085729403</v>
      </c>
      <c r="J10">
        <v>0.50418535341790405</v>
      </c>
      <c r="K10">
        <v>0.115160636811117</v>
      </c>
      <c r="L10">
        <v>3.5644327776217185E-5</v>
      </c>
      <c r="M10">
        <v>4.1554826262924646E-7</v>
      </c>
      <c r="N10" s="1">
        <v>2.25066021943292E-9</v>
      </c>
      <c r="O10" s="1">
        <v>2.7837003138055602E-13</v>
      </c>
      <c r="P10">
        <v>0</v>
      </c>
      <c r="R10">
        <v>8.6657009404068894</v>
      </c>
      <c r="S10">
        <v>2.1940559649116702</v>
      </c>
      <c r="T10">
        <v>50.134148062734198</v>
      </c>
      <c r="V10">
        <v>38.136854867398597</v>
      </c>
      <c r="X10">
        <v>0.86924016454852704</v>
      </c>
      <c r="AJ10">
        <v>0</v>
      </c>
      <c r="AK10">
        <v>-1.0893636107135299E-4</v>
      </c>
      <c r="AL10">
        <v>0.70720586642484096</v>
      </c>
      <c r="AM10">
        <v>4.8582878660101698E-2</v>
      </c>
      <c r="AN10">
        <v>0.244320191276127</v>
      </c>
    </row>
    <row r="11" spans="1:40" x14ac:dyDescent="0.2">
      <c r="A11">
        <v>35</v>
      </c>
      <c r="B11">
        <v>730</v>
      </c>
      <c r="C11">
        <v>285</v>
      </c>
      <c r="D11">
        <v>0.27102676568808798</v>
      </c>
      <c r="E11">
        <v>0.57834973913812304</v>
      </c>
      <c r="F11">
        <v>4.9384946571007502</v>
      </c>
      <c r="G11">
        <v>-3.8656988319882419</v>
      </c>
      <c r="H11">
        <v>-2.8487296758803389</v>
      </c>
      <c r="I11">
        <v>1.0137757624561601</v>
      </c>
      <c r="J11">
        <v>0.51277129039364</v>
      </c>
      <c r="K11">
        <v>0.11711053251957</v>
      </c>
      <c r="L11">
        <v>3.567737215911176E-5</v>
      </c>
      <c r="M11">
        <v>4.16321829682355E-7</v>
      </c>
      <c r="N11" s="1">
        <v>2.2937041551884599E-9</v>
      </c>
      <c r="O11" s="1">
        <v>2.83759320846907E-13</v>
      </c>
      <c r="P11">
        <v>0</v>
      </c>
      <c r="R11">
        <v>8.5366591994618606</v>
      </c>
      <c r="S11">
        <v>2.3005645195380602</v>
      </c>
      <c r="T11">
        <v>50.254157735771997</v>
      </c>
      <c r="V11">
        <v>38.0464741082289</v>
      </c>
      <c r="X11">
        <v>0.86214443699911403</v>
      </c>
      <c r="AJ11">
        <v>0</v>
      </c>
      <c r="AK11">
        <v>2.6397015890181098E-3</v>
      </c>
      <c r="AL11">
        <v>0.708609769794044</v>
      </c>
      <c r="AM11">
        <v>4.8166646565260401E-2</v>
      </c>
      <c r="AN11">
        <v>0.24058388205167699</v>
      </c>
    </row>
    <row r="12" spans="1:40" x14ac:dyDescent="0.2">
      <c r="A12">
        <v>36</v>
      </c>
      <c r="B12">
        <v>728</v>
      </c>
      <c r="C12">
        <v>285</v>
      </c>
      <c r="D12">
        <v>0.26943065474704297</v>
      </c>
      <c r="E12">
        <v>0.58266769179047395</v>
      </c>
      <c r="F12">
        <v>4.9385200081487701</v>
      </c>
      <c r="G12">
        <v>-3.8943806433385619</v>
      </c>
      <c r="H12">
        <v>-2.8728234435788469</v>
      </c>
      <c r="I12">
        <v>1.0203837584375099</v>
      </c>
      <c r="J12">
        <v>0.516641964767798</v>
      </c>
      <c r="K12">
        <v>0.11798427278396099</v>
      </c>
      <c r="L12">
        <v>3.5705267788414034E-5</v>
      </c>
      <c r="M12">
        <v>4.1703783549515181E-7</v>
      </c>
      <c r="N12" s="1">
        <v>2.31546408148224E-9</v>
      </c>
      <c r="O12" s="1">
        <v>2.8651649633356598E-13</v>
      </c>
      <c r="P12">
        <v>0</v>
      </c>
      <c r="R12">
        <v>8.4165311508725509</v>
      </c>
      <c r="S12">
        <v>2.3990048107027402</v>
      </c>
      <c r="T12">
        <v>50.3664220851133</v>
      </c>
      <c r="V12">
        <v>37.963043225294101</v>
      </c>
      <c r="X12">
        <v>0.854998728017204</v>
      </c>
      <c r="AJ12">
        <v>0</v>
      </c>
      <c r="AK12">
        <v>5.2109698819104702E-3</v>
      </c>
      <c r="AL12">
        <v>0.70992903903515603</v>
      </c>
      <c r="AM12">
        <v>4.77496895822987E-2</v>
      </c>
      <c r="AN12">
        <v>0.237110301500634</v>
      </c>
    </row>
    <row r="13" spans="1:40" x14ac:dyDescent="0.2">
      <c r="A13">
        <v>37</v>
      </c>
      <c r="B13">
        <v>726</v>
      </c>
      <c r="C13">
        <v>285</v>
      </c>
      <c r="D13">
        <v>0.26782815393083897</v>
      </c>
      <c r="E13">
        <v>0.58419461543405704</v>
      </c>
      <c r="F13">
        <v>4.93858055176816</v>
      </c>
      <c r="G13">
        <v>-3.9042553042318073</v>
      </c>
      <c r="H13">
        <v>-2.8830439782317421</v>
      </c>
      <c r="I13">
        <v>1.0220800940800301</v>
      </c>
      <c r="J13">
        <v>0.51803135217130802</v>
      </c>
      <c r="K13">
        <v>0.118292009072302</v>
      </c>
      <c r="L13">
        <v>3.5729299801242869E-5</v>
      </c>
      <c r="M13">
        <v>4.1771095949598833E-7</v>
      </c>
      <c r="N13" s="1">
        <v>2.3259193658885898E-9</v>
      </c>
      <c r="O13" s="1">
        <v>2.8787504329956502E-13</v>
      </c>
      <c r="P13">
        <v>0</v>
      </c>
      <c r="R13">
        <v>8.3027000400994506</v>
      </c>
      <c r="S13">
        <v>2.49195217204801</v>
      </c>
      <c r="T13">
        <v>50.472971430308903</v>
      </c>
      <c r="V13">
        <v>37.884559288551102</v>
      </c>
      <c r="X13">
        <v>0.84781706899251297</v>
      </c>
      <c r="AJ13">
        <v>0</v>
      </c>
      <c r="AK13">
        <v>7.66130586890782E-3</v>
      </c>
      <c r="AL13">
        <v>0.71118416474758195</v>
      </c>
      <c r="AM13">
        <v>4.73321905787705E-2</v>
      </c>
      <c r="AN13">
        <v>0.23382233880473799</v>
      </c>
    </row>
    <row r="14" spans="1:40" x14ac:dyDescent="0.2">
      <c r="A14">
        <v>49</v>
      </c>
      <c r="B14">
        <v>738</v>
      </c>
      <c r="C14">
        <v>270</v>
      </c>
      <c r="D14">
        <v>0.29366612273154402</v>
      </c>
      <c r="E14">
        <v>0.51684409380738505</v>
      </c>
      <c r="F14">
        <v>4.9357526866130801</v>
      </c>
      <c r="G14">
        <v>-3.4631596435400676</v>
      </c>
      <c r="H14">
        <v>-2.5432119641042048</v>
      </c>
      <c r="I14">
        <v>0.90980337183984805</v>
      </c>
      <c r="J14">
        <v>0.458209372057089</v>
      </c>
      <c r="K14">
        <v>0.104714341788069</v>
      </c>
      <c r="L14">
        <v>3.5409629133837026E-5</v>
      </c>
      <c r="M14">
        <v>4.1225823429608303E-7</v>
      </c>
      <c r="N14" s="1">
        <v>2.0246441111812901E-9</v>
      </c>
      <c r="O14" s="1">
        <v>2.5003834103802699E-13</v>
      </c>
      <c r="P14">
        <v>0</v>
      </c>
      <c r="R14">
        <v>9.1479815552895101</v>
      </c>
      <c r="S14">
        <v>1.92016886746235</v>
      </c>
      <c r="T14">
        <v>49.551802561845903</v>
      </c>
      <c r="V14">
        <v>38.461732866334302</v>
      </c>
      <c r="X14">
        <v>0.91831414906781295</v>
      </c>
      <c r="AJ14">
        <v>0</v>
      </c>
      <c r="AK14">
        <v>-8.9087655934733806E-3</v>
      </c>
      <c r="AL14">
        <v>0.69945866583923699</v>
      </c>
      <c r="AM14">
        <v>5.1360012066371301E-2</v>
      </c>
      <c r="AN14">
        <v>0.25809008768786501</v>
      </c>
    </row>
    <row r="15" spans="1:40" x14ac:dyDescent="0.2">
      <c r="A15">
        <v>50</v>
      </c>
      <c r="B15">
        <v>736</v>
      </c>
      <c r="C15">
        <v>270</v>
      </c>
      <c r="D15">
        <v>0.29212753307238798</v>
      </c>
      <c r="E15">
        <v>0.56692712451708405</v>
      </c>
      <c r="F15">
        <v>4.9366876785035601</v>
      </c>
      <c r="G15">
        <v>-3.795671180380578</v>
      </c>
      <c r="H15">
        <v>-2.7897128406412919</v>
      </c>
      <c r="I15">
        <v>0.99683727863973204</v>
      </c>
      <c r="J15">
        <v>0.50268236179547598</v>
      </c>
      <c r="K15">
        <v>0.11483957694664899</v>
      </c>
      <c r="L15">
        <v>3.5634170960148901E-5</v>
      </c>
      <c r="M15">
        <v>4.1517161017009575E-7</v>
      </c>
      <c r="N15" s="1">
        <v>2.2375986006114302E-9</v>
      </c>
      <c r="O15" s="1">
        <v>2.7648286265733101E-13</v>
      </c>
      <c r="P15">
        <v>0</v>
      </c>
      <c r="R15">
        <v>8.8434315617731691</v>
      </c>
      <c r="S15">
        <v>2.0735501280401398</v>
      </c>
      <c r="T15">
        <v>49.952058246942798</v>
      </c>
      <c r="V15">
        <v>38.226024499249498</v>
      </c>
      <c r="X15">
        <v>0.904935563994265</v>
      </c>
      <c r="AJ15">
        <v>0</v>
      </c>
      <c r="AK15">
        <v>-4.7674161940514702E-3</v>
      </c>
      <c r="AL15">
        <v>0.70479235121853101</v>
      </c>
      <c r="AM15">
        <v>5.0589069858131698E-2</v>
      </c>
      <c r="AN15">
        <v>0.24938599511738799</v>
      </c>
    </row>
    <row r="16" spans="1:40" x14ac:dyDescent="0.2">
      <c r="A16">
        <v>51</v>
      </c>
      <c r="B16">
        <v>734</v>
      </c>
      <c r="C16">
        <v>270</v>
      </c>
      <c r="D16">
        <v>0.29058283274586499</v>
      </c>
      <c r="E16">
        <v>0.58575866374740004</v>
      </c>
      <c r="F16">
        <v>4.9366038438675499</v>
      </c>
      <c r="G16">
        <v>-3.9220408672400042</v>
      </c>
      <c r="H16">
        <v>-2.8856566371484718</v>
      </c>
      <c r="I16">
        <v>1.02902668926329</v>
      </c>
      <c r="J16">
        <v>0.51944500550308403</v>
      </c>
      <c r="K16">
        <v>0.11865620217329199</v>
      </c>
      <c r="L16">
        <v>3.5675647659495424E-5</v>
      </c>
      <c r="M16">
        <v>4.1603985634864783E-7</v>
      </c>
      <c r="N16" s="1">
        <v>2.3174991985433102E-9</v>
      </c>
      <c r="O16" s="1">
        <v>2.86423652047893E-13</v>
      </c>
      <c r="P16">
        <v>0</v>
      </c>
      <c r="R16">
        <v>8.7019909497096393</v>
      </c>
      <c r="S16">
        <v>2.18994280132581</v>
      </c>
      <c r="T16">
        <v>50.084410182767698</v>
      </c>
      <c r="V16">
        <v>38.125756706227797</v>
      </c>
      <c r="X16">
        <v>0.89789935996899795</v>
      </c>
      <c r="AJ16">
        <v>0</v>
      </c>
      <c r="AK16">
        <v>-1.80119116484012E-3</v>
      </c>
      <c r="AL16">
        <v>0.70634131957539203</v>
      </c>
      <c r="AM16">
        <v>5.0173102209422803E-2</v>
      </c>
      <c r="AN16">
        <v>0.245286769380024</v>
      </c>
    </row>
    <row r="17" spans="1:40" x14ac:dyDescent="0.2">
      <c r="A17">
        <v>52</v>
      </c>
      <c r="B17">
        <v>732</v>
      </c>
      <c r="C17">
        <v>270</v>
      </c>
      <c r="D17">
        <v>0.28903198527583002</v>
      </c>
      <c r="E17">
        <v>0.59401867604284697</v>
      </c>
      <c r="F17">
        <v>4.9366036379790703</v>
      </c>
      <c r="G17">
        <v>-3.9772817499487867</v>
      </c>
      <c r="H17">
        <v>-2.9293386749791819</v>
      </c>
      <c r="I17">
        <v>1.04257381979764</v>
      </c>
      <c r="J17">
        <v>0.52682030045780404</v>
      </c>
      <c r="K17">
        <v>0.120329424763383</v>
      </c>
      <c r="L17">
        <v>3.5709573534537787E-5</v>
      </c>
      <c r="M17">
        <v>4.168230897094158E-7</v>
      </c>
      <c r="N17" s="1">
        <v>2.3553026680480002E-9</v>
      </c>
      <c r="O17" s="1">
        <v>2.91163780779051E-13</v>
      </c>
      <c r="P17">
        <v>0</v>
      </c>
      <c r="R17">
        <v>8.5738375287207695</v>
      </c>
      <c r="S17">
        <v>2.2942279542128801</v>
      </c>
      <c r="T17">
        <v>50.205310479317497</v>
      </c>
      <c r="V17">
        <v>38.035836866901299</v>
      </c>
      <c r="X17">
        <v>0.890787170847395</v>
      </c>
      <c r="AJ17">
        <v>0</v>
      </c>
      <c r="AK17">
        <v>8.9934173559467903E-4</v>
      </c>
      <c r="AL17">
        <v>0.70776595081881899</v>
      </c>
      <c r="AM17">
        <v>4.9755970991803698E-2</v>
      </c>
      <c r="AN17">
        <v>0.241578736453781</v>
      </c>
    </row>
    <row r="18" spans="1:40" x14ac:dyDescent="0.2">
      <c r="A18">
        <v>53</v>
      </c>
      <c r="B18">
        <v>730</v>
      </c>
      <c r="C18">
        <v>270</v>
      </c>
      <c r="D18">
        <v>0.28747495389523398</v>
      </c>
      <c r="E18">
        <v>0.59765007006816295</v>
      </c>
      <c r="F18">
        <v>4.9366534956247303</v>
      </c>
      <c r="G18">
        <v>-4.0013121227511661</v>
      </c>
      <c r="H18">
        <v>-2.9500520503484617</v>
      </c>
      <c r="I18">
        <v>1.04795900154782</v>
      </c>
      <c r="J18">
        <v>0.53008174609248004</v>
      </c>
      <c r="K18">
        <v>0.12106380781998299</v>
      </c>
      <c r="L18">
        <v>3.5738360511399822E-5</v>
      </c>
      <c r="M18">
        <v>4.175489021882028E-7</v>
      </c>
      <c r="N18" s="1">
        <v>2.3744990280298498E-9</v>
      </c>
      <c r="O18" s="1">
        <v>2.9360441028499501E-13</v>
      </c>
      <c r="P18">
        <v>0</v>
      </c>
      <c r="R18">
        <v>8.4542749932730192</v>
      </c>
      <c r="S18">
        <v>2.3909138444102198</v>
      </c>
      <c r="T18">
        <v>50.3185371305944</v>
      </c>
      <c r="V18">
        <v>37.952648964499197</v>
      </c>
      <c r="X18">
        <v>0.88362506722309198</v>
      </c>
      <c r="AJ18">
        <v>0</v>
      </c>
      <c r="AK18">
        <v>3.43291844562469E-3</v>
      </c>
      <c r="AL18">
        <v>0.70910535244082396</v>
      </c>
      <c r="AM18">
        <v>4.9338055384168099E-2</v>
      </c>
      <c r="AN18">
        <v>0.23812367372938201</v>
      </c>
    </row>
    <row r="19" spans="1:40" x14ac:dyDescent="0.2">
      <c r="A19">
        <v>54</v>
      </c>
      <c r="B19">
        <v>728</v>
      </c>
      <c r="C19">
        <v>270</v>
      </c>
      <c r="D19">
        <v>0.28591170154322698</v>
      </c>
      <c r="E19">
        <v>0.59879972120816505</v>
      </c>
      <c r="F19">
        <v>4.9367356700431397</v>
      </c>
      <c r="G19">
        <v>-4.0085821289289942</v>
      </c>
      <c r="H19">
        <v>-2.9584050740081764</v>
      </c>
      <c r="I19">
        <v>1.04897073857145</v>
      </c>
      <c r="J19">
        <v>0.53113558973989805</v>
      </c>
      <c r="K19">
        <v>0.121294669439519</v>
      </c>
      <c r="L19">
        <v>3.5763268234544998E-5</v>
      </c>
      <c r="M19">
        <v>4.1823167097186287E-7</v>
      </c>
      <c r="N19" s="1">
        <v>2.3836079323664598E-9</v>
      </c>
      <c r="O19" s="1">
        <v>2.9479780964340301E-13</v>
      </c>
      <c r="P19">
        <v>0</v>
      </c>
      <c r="R19">
        <v>8.3408359376594596</v>
      </c>
      <c r="S19">
        <v>2.4823782516211002</v>
      </c>
      <c r="T19">
        <v>50.426063861662598</v>
      </c>
      <c r="V19">
        <v>37.874295983813902</v>
      </c>
      <c r="X19">
        <v>0.876425965242833</v>
      </c>
      <c r="AJ19">
        <v>0</v>
      </c>
      <c r="AK19">
        <v>5.8516575250115201E-3</v>
      </c>
      <c r="AL19">
        <v>0.71037988996998802</v>
      </c>
      <c r="AM19">
        <v>4.8919506628523901E-2</v>
      </c>
      <c r="AN19">
        <v>0.23484894587647601</v>
      </c>
    </row>
    <row r="20" spans="1:40" x14ac:dyDescent="0.2">
      <c r="A20">
        <v>65</v>
      </c>
      <c r="B20">
        <v>740</v>
      </c>
      <c r="C20">
        <v>255</v>
      </c>
      <c r="D20">
        <v>0.31148447909983901</v>
      </c>
      <c r="E20">
        <v>0.54405695221262695</v>
      </c>
      <c r="F20">
        <v>4.9344993499472798</v>
      </c>
      <c r="G20">
        <v>-3.6497458257006201</v>
      </c>
      <c r="H20">
        <v>-2.6783707672839627</v>
      </c>
      <c r="I20">
        <v>0.95876726883152197</v>
      </c>
      <c r="J20">
        <v>0.482483289012681</v>
      </c>
      <c r="K20">
        <v>0.11025575516965801</v>
      </c>
      <c r="L20">
        <v>3.5556639253785319E-5</v>
      </c>
      <c r="M20">
        <v>4.1404605182498733E-7</v>
      </c>
      <c r="N20" s="1">
        <v>2.1376112816139402E-9</v>
      </c>
      <c r="O20" s="1">
        <v>2.6383730850159499E-13</v>
      </c>
      <c r="P20">
        <v>0</v>
      </c>
      <c r="R20">
        <v>9.0833437030034503</v>
      </c>
      <c r="S20">
        <v>1.9362097947077801</v>
      </c>
      <c r="T20">
        <v>49.671154026887699</v>
      </c>
      <c r="V20">
        <v>38.366051512226498</v>
      </c>
      <c r="X20">
        <v>0.94324096317445605</v>
      </c>
      <c r="AJ20">
        <v>0</v>
      </c>
      <c r="AK20">
        <v>-9.9461070932094602E-3</v>
      </c>
      <c r="AL20">
        <v>0.70099215689379801</v>
      </c>
      <c r="AM20">
        <v>5.27427542852201E-2</v>
      </c>
      <c r="AN20">
        <v>0.25621119591419</v>
      </c>
    </row>
    <row r="21" spans="1:40" x14ac:dyDescent="0.2">
      <c r="A21">
        <v>66</v>
      </c>
      <c r="B21">
        <v>738</v>
      </c>
      <c r="C21">
        <v>255</v>
      </c>
      <c r="D21">
        <v>0.30998417643277698</v>
      </c>
      <c r="E21">
        <v>0.586308730026457</v>
      </c>
      <c r="F21">
        <v>4.9346929221126397</v>
      </c>
      <c r="G21">
        <v>-3.9325789941963119</v>
      </c>
      <c r="H21">
        <v>-2.8888236609200493</v>
      </c>
      <c r="I21">
        <v>1.0322457926877899</v>
      </c>
      <c r="J21">
        <v>0.52003335995106104</v>
      </c>
      <c r="K21">
        <v>0.118813620073332</v>
      </c>
      <c r="L21">
        <v>3.5665788270857088E-5</v>
      </c>
      <c r="M21">
        <v>4.1567074626518179E-7</v>
      </c>
      <c r="N21" s="1">
        <v>2.3135641405351299E-9</v>
      </c>
      <c r="O21" s="1">
        <v>2.8565164042121801E-13</v>
      </c>
      <c r="P21">
        <v>0</v>
      </c>
      <c r="R21">
        <v>8.8768241946531408</v>
      </c>
      <c r="S21">
        <v>2.0742613480364098</v>
      </c>
      <c r="T21">
        <v>49.902553420266798</v>
      </c>
      <c r="V21">
        <v>38.212186613505402</v>
      </c>
      <c r="X21">
        <v>0.93417442353820801</v>
      </c>
      <c r="AJ21">
        <v>0</v>
      </c>
      <c r="AK21">
        <v>-6.3846012230419401E-3</v>
      </c>
      <c r="AL21">
        <v>0.70391161832716997</v>
      </c>
      <c r="AM21">
        <v>5.2210106801299297E-2</v>
      </c>
      <c r="AN21">
        <v>0.25026287609457099</v>
      </c>
    </row>
    <row r="22" spans="1:40" x14ac:dyDescent="0.2">
      <c r="A22">
        <v>67</v>
      </c>
      <c r="B22">
        <v>736</v>
      </c>
      <c r="C22">
        <v>255</v>
      </c>
      <c r="D22">
        <v>0.308477926968244</v>
      </c>
      <c r="E22">
        <v>0.60212989253715798</v>
      </c>
      <c r="F22">
        <v>4.9346482942542398</v>
      </c>
      <c r="G22">
        <v>-4.038832308120254</v>
      </c>
      <c r="H22">
        <v>-2.9699958263789701</v>
      </c>
      <c r="I22">
        <v>1.0591453022259101</v>
      </c>
      <c r="J22">
        <v>0.53412841177626003</v>
      </c>
      <c r="K22">
        <v>0.122020832414391</v>
      </c>
      <c r="L22">
        <v>3.5707870500309804E-5</v>
      </c>
      <c r="M22">
        <v>4.1654540870225111E-7</v>
      </c>
      <c r="N22" s="1">
        <v>2.38174148821965E-9</v>
      </c>
      <c r="O22" s="1">
        <v>2.9414015179921601E-13</v>
      </c>
      <c r="P22">
        <v>0</v>
      </c>
      <c r="R22">
        <v>8.7371765056069393</v>
      </c>
      <c r="S22">
        <v>2.18736089221956</v>
      </c>
      <c r="T22">
        <v>50.0353026029209</v>
      </c>
      <c r="V22">
        <v>38.113047672723198</v>
      </c>
      <c r="X22">
        <v>0.92711232652932296</v>
      </c>
      <c r="AJ22">
        <v>0</v>
      </c>
      <c r="AK22">
        <v>-3.48974702040782E-3</v>
      </c>
      <c r="AL22">
        <v>0.70547789085575097</v>
      </c>
      <c r="AM22">
        <v>5.1792929501611101E-2</v>
      </c>
      <c r="AN22">
        <v>0.24621892666304501</v>
      </c>
    </row>
    <row r="23" spans="1:40" x14ac:dyDescent="0.2">
      <c r="A23">
        <v>68</v>
      </c>
      <c r="B23">
        <v>734</v>
      </c>
      <c r="C23">
        <v>255</v>
      </c>
      <c r="D23">
        <v>0.306965695278758</v>
      </c>
      <c r="E23">
        <v>0.60912289126374497</v>
      </c>
      <c r="F23">
        <v>4.9346779097445799</v>
      </c>
      <c r="G23">
        <v>-4.085546880303351</v>
      </c>
      <c r="H23">
        <v>-3.0074396110690684</v>
      </c>
      <c r="I23">
        <v>1.07045352651966</v>
      </c>
      <c r="J23">
        <v>0.54037995754481305</v>
      </c>
      <c r="K23">
        <v>0.12343721361446899</v>
      </c>
      <c r="L23">
        <v>3.5742568404227553E-5</v>
      </c>
      <c r="M23">
        <v>4.1733703070608537E-7</v>
      </c>
      <c r="N23" s="1">
        <v>2.41468956479225E-9</v>
      </c>
      <c r="O23" s="1">
        <v>2.98279580226533E-13</v>
      </c>
      <c r="P23">
        <v>0</v>
      </c>
      <c r="R23">
        <v>8.6100517321943499</v>
      </c>
      <c r="S23">
        <v>2.2893234030610499</v>
      </c>
      <c r="T23">
        <v>50.1569372214121</v>
      </c>
      <c r="V23">
        <v>38.023707921230297</v>
      </c>
      <c r="X23">
        <v>0.91997972210204804</v>
      </c>
      <c r="AJ23">
        <v>0</v>
      </c>
      <c r="AK23">
        <v>-8.3933940318868603E-4</v>
      </c>
      <c r="AL23">
        <v>0.70692131238390299</v>
      </c>
      <c r="AM23">
        <v>5.1374731445301698E-2</v>
      </c>
      <c r="AN23">
        <v>0.24254329557398299</v>
      </c>
    </row>
    <row r="24" spans="1:40" x14ac:dyDescent="0.2">
      <c r="A24">
        <v>69</v>
      </c>
      <c r="B24">
        <v>732</v>
      </c>
      <c r="C24">
        <v>255</v>
      </c>
      <c r="D24">
        <v>0.30544744565487703</v>
      </c>
      <c r="E24">
        <v>0.61210863080976996</v>
      </c>
      <c r="F24">
        <v>4.9347527224787298</v>
      </c>
      <c r="G24">
        <v>-4.1051780275679448</v>
      </c>
      <c r="H24">
        <v>-3.024958156235416</v>
      </c>
      <c r="I24">
        <v>1.0746852423344999</v>
      </c>
      <c r="J24">
        <v>0.543067850417566</v>
      </c>
      <c r="K24">
        <v>0.124040385655293</v>
      </c>
      <c r="L24">
        <v>3.5772169848639048E-5</v>
      </c>
      <c r="M24">
        <v>4.1807174966729311E-7</v>
      </c>
      <c r="N24" s="1">
        <v>2.4314785458849298E-9</v>
      </c>
      <c r="O24" s="1">
        <v>3.0042339811992398E-13</v>
      </c>
      <c r="P24">
        <v>0</v>
      </c>
      <c r="R24">
        <v>8.4911605436919899</v>
      </c>
      <c r="S24">
        <v>2.38417391696033</v>
      </c>
      <c r="T24">
        <v>50.271015419787197</v>
      </c>
      <c r="V24">
        <v>37.940852025230697</v>
      </c>
      <c r="X24">
        <v>0.91279809432971104</v>
      </c>
      <c r="AJ24">
        <v>0</v>
      </c>
      <c r="AK24">
        <v>1.65488948994827E-3</v>
      </c>
      <c r="AL24">
        <v>0.70827950704064502</v>
      </c>
      <c r="AM24">
        <v>5.0955725237599399E-2</v>
      </c>
      <c r="AN24">
        <v>0.23910987823180599</v>
      </c>
    </row>
    <row r="25" spans="1:40" x14ac:dyDescent="0.2">
      <c r="A25">
        <v>70</v>
      </c>
      <c r="B25">
        <v>730</v>
      </c>
      <c r="C25">
        <v>255</v>
      </c>
      <c r="D25">
        <v>0.30392314210237997</v>
      </c>
      <c r="E25">
        <v>0.61290072580926702</v>
      </c>
      <c r="F25">
        <v>4.9348569434994003</v>
      </c>
      <c r="G25">
        <v>-4.1099613054741386</v>
      </c>
      <c r="H25">
        <v>-3.0315290347963142</v>
      </c>
      <c r="I25">
        <v>1.07504587616789</v>
      </c>
      <c r="J25">
        <v>0.54380322719230301</v>
      </c>
      <c r="K25">
        <v>0.124198276226959</v>
      </c>
      <c r="L25">
        <v>3.5797896026759201E-5</v>
      </c>
      <c r="M25">
        <v>4.1876349245807419E-7</v>
      </c>
      <c r="N25" s="1">
        <v>2.4393142810864901E-9</v>
      </c>
      <c r="O25" s="1">
        <v>3.01460926621524E-13</v>
      </c>
      <c r="P25">
        <v>0</v>
      </c>
      <c r="R25">
        <v>8.3781981605444606</v>
      </c>
      <c r="S25">
        <v>2.4740864795251598</v>
      </c>
      <c r="T25">
        <v>50.379435932932502</v>
      </c>
      <c r="V25">
        <v>37.862700248390098</v>
      </c>
      <c r="X25">
        <v>0.90557917860763804</v>
      </c>
      <c r="AJ25">
        <v>0</v>
      </c>
      <c r="AK25">
        <v>4.04060448825276E-3</v>
      </c>
      <c r="AL25">
        <v>0.70957246843721999</v>
      </c>
      <c r="AM25">
        <v>5.0536030727167502E-2</v>
      </c>
      <c r="AN25">
        <v>0.23585089634735901</v>
      </c>
    </row>
    <row r="26" spans="1:40" x14ac:dyDescent="0.2">
      <c r="A26">
        <v>79</v>
      </c>
      <c r="B26">
        <v>744</v>
      </c>
      <c r="C26">
        <v>240</v>
      </c>
      <c r="D26">
        <v>0.33068918055350899</v>
      </c>
      <c r="E26">
        <v>0.31809978401091099</v>
      </c>
      <c r="F26">
        <v>4.9481790423270704</v>
      </c>
      <c r="G26">
        <v>-2.1067866312656141</v>
      </c>
      <c r="H26">
        <v>-1.5376343377019863</v>
      </c>
      <c r="I26">
        <v>0.55955590971206604</v>
      </c>
      <c r="J26">
        <v>0.28191704657218603</v>
      </c>
      <c r="K26">
        <v>6.4286231619725798E-2</v>
      </c>
      <c r="L26">
        <v>3.780189190956118E-5</v>
      </c>
      <c r="M26">
        <v>4.3881678256128589E-7</v>
      </c>
      <c r="N26" s="1">
        <v>1.32408645607455E-9</v>
      </c>
      <c r="O26" s="1">
        <v>1.63846930442029E-13</v>
      </c>
      <c r="P26">
        <v>0</v>
      </c>
      <c r="R26">
        <v>7.4525349426527603</v>
      </c>
      <c r="S26">
        <v>1.96564811082324</v>
      </c>
      <c r="T26">
        <v>52.757880756643203</v>
      </c>
      <c r="V26">
        <v>36.929339091014498</v>
      </c>
      <c r="X26">
        <v>0.89459709886620797</v>
      </c>
      <c r="AJ26">
        <v>0</v>
      </c>
      <c r="AK26">
        <v>-6.5871992956465404E-3</v>
      </c>
      <c r="AL26">
        <v>0.74588708151391503</v>
      </c>
      <c r="AM26">
        <v>5.0112315760503699E-2</v>
      </c>
      <c r="AN26">
        <v>0.21058780202122701</v>
      </c>
    </row>
    <row r="27" spans="1:40" x14ac:dyDescent="0.2">
      <c r="A27">
        <v>80</v>
      </c>
      <c r="B27">
        <v>742</v>
      </c>
      <c r="C27">
        <v>240</v>
      </c>
      <c r="D27">
        <v>0.32923262572033701</v>
      </c>
      <c r="E27">
        <v>0.56987997998609696</v>
      </c>
      <c r="F27">
        <v>4.9330193005078904</v>
      </c>
      <c r="G27">
        <v>-3.8281817618709373</v>
      </c>
      <c r="H27">
        <v>-2.8075145258385725</v>
      </c>
      <c r="I27">
        <v>1.0054348973376901</v>
      </c>
      <c r="J27">
        <v>0.50554797511625804</v>
      </c>
      <c r="K27">
        <v>0.115523565846868</v>
      </c>
      <c r="L27">
        <v>3.5680405281807189E-5</v>
      </c>
      <c r="M27">
        <v>4.1557733327552418E-7</v>
      </c>
      <c r="N27" s="1">
        <v>2.24430466744025E-9</v>
      </c>
      <c r="O27" s="1">
        <v>2.7683284698070001E-13</v>
      </c>
      <c r="P27">
        <v>0</v>
      </c>
      <c r="R27">
        <v>9.0359002718648505</v>
      </c>
      <c r="S27">
        <v>1.9538944349313301</v>
      </c>
      <c r="T27">
        <v>49.756133601555497</v>
      </c>
      <c r="V27">
        <v>38.284519515861199</v>
      </c>
      <c r="X27">
        <v>0.96955217578706798</v>
      </c>
      <c r="AJ27">
        <v>0</v>
      </c>
      <c r="AK27">
        <v>-1.1023672035851801E-2</v>
      </c>
      <c r="AL27">
        <v>0.70201456932638595</v>
      </c>
      <c r="AM27">
        <v>5.4200329791352801E-2</v>
      </c>
      <c r="AN27">
        <v>0.25480877291811199</v>
      </c>
    </row>
    <row r="28" spans="1:40" x14ac:dyDescent="0.2">
      <c r="A28">
        <v>81</v>
      </c>
      <c r="B28">
        <v>740</v>
      </c>
      <c r="C28">
        <v>240</v>
      </c>
      <c r="D28">
        <v>0.32777032028821201</v>
      </c>
      <c r="E28">
        <v>0.60503669140915295</v>
      </c>
      <c r="F28">
        <v>4.9326466196175804</v>
      </c>
      <c r="G28">
        <v>-4.0657454665172228</v>
      </c>
      <c r="H28">
        <v>-2.9851216555314224</v>
      </c>
      <c r="I28">
        <v>1.0665980466720599</v>
      </c>
      <c r="J28">
        <v>0.53682129740411</v>
      </c>
      <c r="K28">
        <v>0.12265964664950101</v>
      </c>
      <c r="L28">
        <v>3.5698830876297156E-5</v>
      </c>
      <c r="M28">
        <v>4.1618993750197296E-7</v>
      </c>
      <c r="N28" s="1">
        <v>2.3870212859251098E-9</v>
      </c>
      <c r="O28" s="1">
        <v>2.9449246899474802E-13</v>
      </c>
      <c r="P28">
        <v>0</v>
      </c>
      <c r="R28">
        <v>8.9075822590610407</v>
      </c>
      <c r="S28">
        <v>2.07827709129237</v>
      </c>
      <c r="T28">
        <v>49.854559948208099</v>
      </c>
      <c r="V28">
        <v>38.195590250560898</v>
      </c>
      <c r="X28">
        <v>0.96399045087755597</v>
      </c>
      <c r="AJ28">
        <v>0</v>
      </c>
      <c r="AK28">
        <v>-7.9600526260771593E-3</v>
      </c>
      <c r="AL28">
        <v>0.70303856377804497</v>
      </c>
      <c r="AM28">
        <v>5.3861474248887702E-2</v>
      </c>
      <c r="AN28">
        <v>0.25106001459914301</v>
      </c>
    </row>
    <row r="29" spans="1:40" x14ac:dyDescent="0.2">
      <c r="A29">
        <v>82</v>
      </c>
      <c r="B29">
        <v>738</v>
      </c>
      <c r="C29">
        <v>240</v>
      </c>
      <c r="D29">
        <v>0.326302230134007</v>
      </c>
      <c r="E29">
        <v>0.61801801504334497</v>
      </c>
      <c r="F29">
        <v>4.9326424537718703</v>
      </c>
      <c r="G29">
        <v>-4.1529440007352392</v>
      </c>
      <c r="H29">
        <v>-3.0523125993439848</v>
      </c>
      <c r="I29">
        <v>1.08849468564629</v>
      </c>
      <c r="J29">
        <v>0.54839785876660097</v>
      </c>
      <c r="K29">
        <v>0.125291468180662</v>
      </c>
      <c r="L29">
        <v>3.5741247583335353E-5</v>
      </c>
      <c r="M29">
        <v>4.1706787896215192E-7</v>
      </c>
      <c r="N29" s="1">
        <v>2.4441330669574301E-9</v>
      </c>
      <c r="O29" s="1">
        <v>3.0161193993566302E-13</v>
      </c>
      <c r="P29">
        <v>0</v>
      </c>
      <c r="R29">
        <v>8.7700879282587092</v>
      </c>
      <c r="S29">
        <v>2.1878225256803199</v>
      </c>
      <c r="T29">
        <v>49.987314066951399</v>
      </c>
      <c r="V29">
        <v>38.097879455916903</v>
      </c>
      <c r="X29">
        <v>0.956896023192495</v>
      </c>
      <c r="AJ29">
        <v>0</v>
      </c>
      <c r="AK29">
        <v>-5.1420703233910001E-3</v>
      </c>
      <c r="AL29">
        <v>0.70461733915345803</v>
      </c>
      <c r="AM29">
        <v>5.3442838620579698E-2</v>
      </c>
      <c r="AN29">
        <v>0.24708189254935201</v>
      </c>
    </row>
    <row r="30" spans="1:40" x14ac:dyDescent="0.2">
      <c r="A30">
        <v>83</v>
      </c>
      <c r="B30">
        <v>736</v>
      </c>
      <c r="C30">
        <v>240</v>
      </c>
      <c r="D30">
        <v>0.32482832086409602</v>
      </c>
      <c r="E30">
        <v>0.62377718979949304</v>
      </c>
      <c r="F30">
        <v>4.9327029800378099</v>
      </c>
      <c r="G30">
        <v>-4.191315678426176</v>
      </c>
      <c r="H30">
        <v>-3.0836555949271838</v>
      </c>
      <c r="I30">
        <v>1.09761688896496</v>
      </c>
      <c r="J30">
        <v>0.55355400848566605</v>
      </c>
      <c r="K30">
        <v>0.12645748027478201</v>
      </c>
      <c r="L30">
        <v>3.5776537803266633E-5</v>
      </c>
      <c r="M30">
        <v>4.178657970720317E-7</v>
      </c>
      <c r="N30" s="1">
        <v>2.47234487873608E-9</v>
      </c>
      <c r="O30" s="1">
        <v>3.05166236459657E-13</v>
      </c>
      <c r="P30">
        <v>0</v>
      </c>
      <c r="R30">
        <v>8.6442425542551202</v>
      </c>
      <c r="S30">
        <v>2.2872695689787998</v>
      </c>
      <c r="T30">
        <v>50.109422631900699</v>
      </c>
      <c r="V30">
        <v>38.009327999120998</v>
      </c>
      <c r="X30">
        <v>0.949737245744258</v>
      </c>
      <c r="AJ30">
        <v>0</v>
      </c>
      <c r="AK30">
        <v>-2.5458040410640801E-3</v>
      </c>
      <c r="AL30">
        <v>0.70607643309314405</v>
      </c>
      <c r="AM30">
        <v>5.3023333912140001E-2</v>
      </c>
      <c r="AN30">
        <v>0.24344603703577899</v>
      </c>
    </row>
    <row r="31" spans="1:40" x14ac:dyDescent="0.2">
      <c r="A31">
        <v>84</v>
      </c>
      <c r="B31">
        <v>734</v>
      </c>
      <c r="C31">
        <v>240</v>
      </c>
      <c r="D31">
        <v>0.32334855781164801</v>
      </c>
      <c r="E31">
        <v>0.62612352705704799</v>
      </c>
      <c r="F31">
        <v>4.9328036445692298</v>
      </c>
      <c r="G31">
        <v>-4.2065663614493207</v>
      </c>
      <c r="H31">
        <v>-3.0979928460328825</v>
      </c>
      <c r="I31">
        <v>1.1007034854951401</v>
      </c>
      <c r="J31">
        <v>0.55567321752778798</v>
      </c>
      <c r="K31">
        <v>0.12693055961114</v>
      </c>
      <c r="L31">
        <v>3.5806824305954958E-5</v>
      </c>
      <c r="M31">
        <v>4.1860791042062629E-7</v>
      </c>
      <c r="N31" s="1">
        <v>2.4867414580985301E-9</v>
      </c>
      <c r="O31" s="1">
        <v>3.0701552452346902E-13</v>
      </c>
      <c r="P31">
        <v>0</v>
      </c>
      <c r="R31">
        <v>8.5262091763818493</v>
      </c>
      <c r="S31">
        <v>2.3801363042672001</v>
      </c>
      <c r="T31">
        <v>50.224164416364303</v>
      </c>
      <c r="V31">
        <v>37.926958727195803</v>
      </c>
      <c r="X31">
        <v>0.94253137579079305</v>
      </c>
      <c r="AJ31">
        <v>0</v>
      </c>
      <c r="AK31" s="1">
        <v>-9.4004971370336899E-5</v>
      </c>
      <c r="AL31">
        <v>0.70745119937957202</v>
      </c>
      <c r="AM31">
        <v>5.2603038030336897E-2</v>
      </c>
      <c r="AN31">
        <v>0.24003976756146</v>
      </c>
    </row>
    <row r="32" spans="1:40" x14ac:dyDescent="0.2">
      <c r="A32">
        <v>85</v>
      </c>
      <c r="B32">
        <v>732</v>
      </c>
      <c r="C32">
        <v>240</v>
      </c>
      <c r="D32">
        <v>0.32186290603392398</v>
      </c>
      <c r="E32">
        <v>0.626557012420485</v>
      </c>
      <c r="F32">
        <v>4.9329306563374899</v>
      </c>
      <c r="G32">
        <v>-4.208840404014512</v>
      </c>
      <c r="H32">
        <v>-3.102763400462913</v>
      </c>
      <c r="I32">
        <v>1.1004098926046799</v>
      </c>
      <c r="J32">
        <v>0.55608871833976103</v>
      </c>
      <c r="K32">
        <v>0.12701516726482301</v>
      </c>
      <c r="L32">
        <v>3.5833270343449423E-5</v>
      </c>
      <c r="M32">
        <v>4.1930747266640487E-7</v>
      </c>
      <c r="N32" s="1">
        <v>2.4932916950703302E-9</v>
      </c>
      <c r="O32" s="1">
        <v>3.0789589221754299E-13</v>
      </c>
      <c r="P32">
        <v>0</v>
      </c>
      <c r="R32">
        <v>8.4138693654339196</v>
      </c>
      <c r="S32">
        <v>2.468378040927</v>
      </c>
      <c r="T32">
        <v>50.3333349394347</v>
      </c>
      <c r="V32">
        <v>37.849128823129597</v>
      </c>
      <c r="X32">
        <v>0.93528883107466598</v>
      </c>
      <c r="AJ32">
        <v>0</v>
      </c>
      <c r="AK32">
        <v>2.2562105613355699E-3</v>
      </c>
      <c r="AL32">
        <v>0.708760901174179</v>
      </c>
      <c r="AM32">
        <v>5.21820380426277E-2</v>
      </c>
      <c r="AN32">
        <v>0.23680085022185701</v>
      </c>
    </row>
    <row r="33" spans="1:40" x14ac:dyDescent="0.2">
      <c r="A33">
        <v>93</v>
      </c>
      <c r="B33">
        <v>746</v>
      </c>
      <c r="C33">
        <v>225</v>
      </c>
      <c r="D33">
        <v>0.34832998086640898</v>
      </c>
      <c r="E33">
        <v>0.439814118520577</v>
      </c>
      <c r="F33">
        <v>4.9427753964782797</v>
      </c>
      <c r="G33">
        <v>-2.9278598601987706</v>
      </c>
      <c r="H33">
        <v>-2.1376574467141141</v>
      </c>
      <c r="I33">
        <v>0.77535437716200395</v>
      </c>
      <c r="J33">
        <v>0.39002114391333198</v>
      </c>
      <c r="K33">
        <v>8.8981206557341E-2</v>
      </c>
      <c r="L33">
        <v>3.7358662919248044E-5</v>
      </c>
      <c r="M33">
        <v>4.3401010490062405E-7</v>
      </c>
      <c r="N33" s="1">
        <v>1.80783197094353E-9</v>
      </c>
      <c r="O33" s="1">
        <v>2.23391615540835E-13</v>
      </c>
      <c r="P33">
        <v>0</v>
      </c>
      <c r="R33">
        <v>7.8501403560413596</v>
      </c>
      <c r="S33">
        <v>1.9574728225218601</v>
      </c>
      <c r="T33">
        <v>52.024762814568298</v>
      </c>
      <c r="V33">
        <v>37.227300521321403</v>
      </c>
      <c r="X33">
        <v>0.94032348554703404</v>
      </c>
      <c r="AJ33">
        <v>0</v>
      </c>
      <c r="AK33">
        <v>-9.3232342195982906E-3</v>
      </c>
      <c r="AL33">
        <v>0.73501557541830398</v>
      </c>
      <c r="AM33">
        <v>5.2637464327623201E-2</v>
      </c>
      <c r="AN33">
        <v>0.22167019447367001</v>
      </c>
    </row>
    <row r="34" spans="1:40" x14ac:dyDescent="0.2">
      <c r="A34">
        <v>94</v>
      </c>
      <c r="B34">
        <v>744</v>
      </c>
      <c r="C34">
        <v>225</v>
      </c>
      <c r="D34">
        <v>0.34691097674876298</v>
      </c>
      <c r="E34">
        <v>0.59493645957667596</v>
      </c>
      <c r="F34">
        <v>4.9312517376802898</v>
      </c>
      <c r="G34">
        <v>-4.0029581397393192</v>
      </c>
      <c r="H34">
        <v>-2.9340137293820838</v>
      </c>
      <c r="I34">
        <v>1.05092111326474</v>
      </c>
      <c r="J34">
        <v>0.52795992762076605</v>
      </c>
      <c r="K34">
        <v>0.120646134333539</v>
      </c>
      <c r="L34">
        <v>3.5775100878963795E-5</v>
      </c>
      <c r="M34">
        <v>4.167880556698741E-7</v>
      </c>
      <c r="N34" s="1">
        <v>2.3465845993671801E-9</v>
      </c>
      <c r="O34" s="1">
        <v>2.8924983573064498E-13</v>
      </c>
      <c r="P34">
        <v>0</v>
      </c>
      <c r="R34">
        <v>9.0093429998034207</v>
      </c>
      <c r="S34">
        <v>1.9744571712823999</v>
      </c>
      <c r="T34">
        <v>49.798348812748699</v>
      </c>
      <c r="V34">
        <v>38.220262082539399</v>
      </c>
      <c r="X34">
        <v>0.997588933625976</v>
      </c>
      <c r="AJ34">
        <v>0</v>
      </c>
      <c r="AK34">
        <v>-1.2132951778174901E-2</v>
      </c>
      <c r="AL34">
        <v>0.70239869280192602</v>
      </c>
      <c r="AM34">
        <v>5.57508660531119E-2</v>
      </c>
      <c r="AN34">
        <v>0.25398339292313599</v>
      </c>
    </row>
    <row r="35" spans="1:40" x14ac:dyDescent="0.2">
      <c r="A35">
        <v>95</v>
      </c>
      <c r="B35">
        <v>742</v>
      </c>
      <c r="C35">
        <v>225</v>
      </c>
      <c r="D35">
        <v>0.345486381322956</v>
      </c>
      <c r="E35">
        <v>0.62327575688194303</v>
      </c>
      <c r="F35">
        <v>4.9305319828027603</v>
      </c>
      <c r="G35">
        <v>-4.1963435381790717</v>
      </c>
      <c r="H35">
        <v>-3.0794903738480857</v>
      </c>
      <c r="I35">
        <v>1.1001853561847801</v>
      </c>
      <c r="J35">
        <v>0.55319486681350505</v>
      </c>
      <c r="K35">
        <v>0.12641146210102</v>
      </c>
      <c r="L35">
        <v>3.5733694769988182E-5</v>
      </c>
      <c r="M35">
        <v>4.1673386075033553E-7</v>
      </c>
      <c r="N35" s="1">
        <v>2.4586662211225199E-9</v>
      </c>
      <c r="O35" s="1">
        <v>3.03091435980359E-13</v>
      </c>
      <c r="P35">
        <v>0</v>
      </c>
      <c r="R35">
        <v>8.9343058292097393</v>
      </c>
      <c r="S35">
        <v>2.0873171369511501</v>
      </c>
      <c r="T35">
        <v>49.808772283544101</v>
      </c>
      <c r="V35">
        <v>38.175194397366901</v>
      </c>
      <c r="X35">
        <v>0.99441035292799096</v>
      </c>
      <c r="AJ35">
        <v>0</v>
      </c>
      <c r="AK35">
        <v>-9.4571515217934405E-3</v>
      </c>
      <c r="AL35">
        <v>0.70217718358433101</v>
      </c>
      <c r="AM35">
        <v>5.5544077368017301E-2</v>
      </c>
      <c r="AN35">
        <v>0.25173589056944401</v>
      </c>
    </row>
    <row r="36" spans="1:40" x14ac:dyDescent="0.2">
      <c r="A36">
        <v>96</v>
      </c>
      <c r="B36">
        <v>740</v>
      </c>
      <c r="C36">
        <v>225</v>
      </c>
      <c r="D36">
        <v>0.34405616147658602</v>
      </c>
      <c r="E36">
        <v>0.63352859168855102</v>
      </c>
      <c r="F36">
        <v>4.9305699796681202</v>
      </c>
      <c r="G36">
        <v>-4.2651532760061803</v>
      </c>
      <c r="H36">
        <v>-3.1331988550643164</v>
      </c>
      <c r="I36">
        <v>1.11726242011732</v>
      </c>
      <c r="J36">
        <v>0.56234948860329803</v>
      </c>
      <c r="K36">
        <v>0.12848993002857501</v>
      </c>
      <c r="L36">
        <v>3.5776082222006036E-5</v>
      </c>
      <c r="M36">
        <v>4.1761087542459664E-7</v>
      </c>
      <c r="N36" s="1">
        <v>2.5051282325337301E-9</v>
      </c>
      <c r="O36" s="1">
        <v>3.0889515269024101E-13</v>
      </c>
      <c r="P36">
        <v>0</v>
      </c>
      <c r="R36">
        <v>8.7994485177478197</v>
      </c>
      <c r="S36">
        <v>2.1929581013292898</v>
      </c>
      <c r="T36">
        <v>49.941005268109699</v>
      </c>
      <c r="V36">
        <v>38.079312820694099</v>
      </c>
      <c r="X36">
        <v>0.98727529211903398</v>
      </c>
      <c r="AJ36">
        <v>0</v>
      </c>
      <c r="AK36">
        <v>-6.7234451246637201E-3</v>
      </c>
      <c r="AL36">
        <v>0.70376203356389999</v>
      </c>
      <c r="AM36">
        <v>5.5123662601441102E-2</v>
      </c>
      <c r="AN36">
        <v>0.24783774895932201</v>
      </c>
    </row>
    <row r="37" spans="1:40" x14ac:dyDescent="0.2">
      <c r="A37">
        <v>97</v>
      </c>
      <c r="B37">
        <v>738</v>
      </c>
      <c r="C37">
        <v>225</v>
      </c>
      <c r="D37">
        <v>0.34262028383523802</v>
      </c>
      <c r="E37">
        <v>0.63805542852068597</v>
      </c>
      <c r="F37">
        <v>4.9306629090632503</v>
      </c>
      <c r="G37">
        <v>-4.2951507058243381</v>
      </c>
      <c r="H37">
        <v>-3.1584204500776032</v>
      </c>
      <c r="I37">
        <v>1.1241954761872399</v>
      </c>
      <c r="J37">
        <v>0.56641035963916397</v>
      </c>
      <c r="K37">
        <v>0.12940560737742801</v>
      </c>
      <c r="L37">
        <v>3.5811712375162149E-5</v>
      </c>
      <c r="M37">
        <v>4.1841215581200981E-7</v>
      </c>
      <c r="N37" s="1">
        <v>2.52859155407077E-9</v>
      </c>
      <c r="O37" s="1">
        <v>3.1186368178707801E-13</v>
      </c>
      <c r="P37">
        <v>0</v>
      </c>
      <c r="R37">
        <v>8.6752323581896604</v>
      </c>
      <c r="S37">
        <v>2.28962270950205</v>
      </c>
      <c r="T37">
        <v>50.0632224167354</v>
      </c>
      <c r="V37">
        <v>37.991839702135103</v>
      </c>
      <c r="X37">
        <v>0.98008281343765202</v>
      </c>
      <c r="AJ37">
        <v>0</v>
      </c>
      <c r="AK37">
        <v>-4.1869040450966902E-3</v>
      </c>
      <c r="AL37">
        <v>0.70523241957049898</v>
      </c>
      <c r="AM37">
        <v>5.47025391300077E-2</v>
      </c>
      <c r="AN37">
        <v>0.24425194534458899</v>
      </c>
    </row>
    <row r="38" spans="1:40" x14ac:dyDescent="0.2">
      <c r="A38">
        <v>98</v>
      </c>
      <c r="B38">
        <v>736</v>
      </c>
      <c r="C38">
        <v>225</v>
      </c>
      <c r="D38">
        <v>0.34117871475994799</v>
      </c>
      <c r="E38">
        <v>0.63974888868826996</v>
      </c>
      <c r="F38">
        <v>4.9307906454142199</v>
      </c>
      <c r="G38">
        <v>-4.3059051760263189</v>
      </c>
      <c r="H38">
        <v>-3.1694909399164826</v>
      </c>
      <c r="I38">
        <v>1.12611032662125</v>
      </c>
      <c r="J38">
        <v>0.56794815346494698</v>
      </c>
      <c r="K38">
        <v>0.12974570098271199</v>
      </c>
      <c r="L38">
        <v>3.5842497097714845E-5</v>
      </c>
      <c r="M38">
        <v>4.1915948369966899E-7</v>
      </c>
      <c r="N38" s="1">
        <v>2.54052791008326E-9</v>
      </c>
      <c r="O38" s="1">
        <v>3.13410522001755E-13</v>
      </c>
      <c r="P38">
        <v>0</v>
      </c>
      <c r="R38">
        <v>8.5583209783603902</v>
      </c>
      <c r="S38">
        <v>2.3802991383365502</v>
      </c>
      <c r="T38">
        <v>50.178357252384899</v>
      </c>
      <c r="V38">
        <v>37.910176312449501</v>
      </c>
      <c r="X38">
        <v>0.97284631846858904</v>
      </c>
      <c r="AJ38">
        <v>0</v>
      </c>
      <c r="AK38">
        <v>-1.78183365723548E-3</v>
      </c>
      <c r="AL38">
        <v>0.70662054310960098</v>
      </c>
      <c r="AM38">
        <v>5.4280682976019699E-2</v>
      </c>
      <c r="AN38">
        <v>0.240880607571614</v>
      </c>
    </row>
    <row r="39" spans="1:40" x14ac:dyDescent="0.2">
      <c r="A39">
        <v>99</v>
      </c>
      <c r="B39">
        <v>734</v>
      </c>
      <c r="C39">
        <v>225</v>
      </c>
      <c r="D39">
        <v>0.33973142034453802</v>
      </c>
      <c r="E39">
        <v>0.63980954792648603</v>
      </c>
      <c r="F39">
        <v>4.9309414439530599</v>
      </c>
      <c r="G39">
        <v>-4.3055573307613022</v>
      </c>
      <c r="H39">
        <v>-3.1723766123762398</v>
      </c>
      <c r="I39">
        <v>1.1251359960135601</v>
      </c>
      <c r="J39">
        <v>0.56803060925721605</v>
      </c>
      <c r="K39">
        <v>0.12975403484279799</v>
      </c>
      <c r="L39">
        <v>3.5869517692763127E-5</v>
      </c>
      <c r="M39">
        <v>4.1986516540338192E-7</v>
      </c>
      <c r="N39" s="1">
        <v>2.5457243151916098E-9</v>
      </c>
      <c r="O39" s="1">
        <v>3.1412554512217702E-13</v>
      </c>
      <c r="P39">
        <v>0</v>
      </c>
      <c r="R39">
        <v>8.4468114820655096</v>
      </c>
      <c r="S39">
        <v>2.4667055563148499</v>
      </c>
      <c r="T39">
        <v>50.288067317504101</v>
      </c>
      <c r="V39">
        <v>37.832840874290497</v>
      </c>
      <c r="X39">
        <v>0.96557476982486401</v>
      </c>
      <c r="AJ39">
        <v>0</v>
      </c>
      <c r="AK39">
        <v>5.2946513407750204E-4</v>
      </c>
      <c r="AL39">
        <v>0.70794449528808201</v>
      </c>
      <c r="AM39">
        <v>5.3858148207622802E-2</v>
      </c>
      <c r="AN39">
        <v>0.23766789137021599</v>
      </c>
    </row>
    <row r="40" spans="1:40" x14ac:dyDescent="0.2">
      <c r="A40">
        <v>106</v>
      </c>
      <c r="B40">
        <v>748</v>
      </c>
      <c r="C40">
        <v>210</v>
      </c>
      <c r="D40">
        <v>0.36590167947901903</v>
      </c>
      <c r="E40">
        <v>0.52132510952540301</v>
      </c>
      <c r="F40">
        <v>4.9379510836248004</v>
      </c>
      <c r="G40">
        <v>-3.4861486480687209</v>
      </c>
      <c r="H40">
        <v>-2.5457805838652683</v>
      </c>
      <c r="I40">
        <v>0.92089121500607296</v>
      </c>
      <c r="J40">
        <v>0.46256309228411702</v>
      </c>
      <c r="K40">
        <v>0.10557518709616499</v>
      </c>
      <c r="L40">
        <v>3.7030322863707682E-5</v>
      </c>
      <c r="M40">
        <v>4.3050021055978313E-7</v>
      </c>
      <c r="N40" s="1">
        <v>2.12224683130682E-9</v>
      </c>
      <c r="O40" s="1">
        <v>2.6189778431481E-13</v>
      </c>
      <c r="P40">
        <v>0</v>
      </c>
      <c r="R40">
        <v>8.1523509810317893</v>
      </c>
      <c r="S40">
        <v>1.9651462877966299</v>
      </c>
      <c r="T40">
        <v>51.455948456593198</v>
      </c>
      <c r="V40">
        <v>37.442695784308199</v>
      </c>
      <c r="X40">
        <v>0.98385849027012096</v>
      </c>
      <c r="AJ40">
        <v>0</v>
      </c>
      <c r="AK40">
        <v>-1.1582714543872901E-2</v>
      </c>
      <c r="AL40">
        <v>0.72649452526263303</v>
      </c>
      <c r="AM40">
        <v>5.50377459970018E-2</v>
      </c>
      <c r="AN40">
        <v>0.23005044328423699</v>
      </c>
    </row>
    <row r="41" spans="1:40" x14ac:dyDescent="0.2">
      <c r="A41">
        <v>107</v>
      </c>
      <c r="B41">
        <v>746</v>
      </c>
      <c r="C41">
        <v>210</v>
      </c>
      <c r="D41">
        <v>0.36451994308983099</v>
      </c>
      <c r="E41">
        <v>0.619316339749445</v>
      </c>
      <c r="F41">
        <v>4.9291620208994997</v>
      </c>
      <c r="G41">
        <v>-4.1749290861003248</v>
      </c>
      <c r="H41">
        <v>-3.0585544672508349</v>
      </c>
      <c r="I41">
        <v>1.09539775190059</v>
      </c>
      <c r="J41">
        <v>0.549802821389063</v>
      </c>
      <c r="K41">
        <v>0.12564333189364801</v>
      </c>
      <c r="L41">
        <v>3.5838806933251485E-5</v>
      </c>
      <c r="M41">
        <v>4.1765797638419457E-7</v>
      </c>
      <c r="N41" s="1">
        <v>2.4444394701350999E-9</v>
      </c>
      <c r="O41" s="1">
        <v>3.0108312926987401E-13</v>
      </c>
      <c r="P41">
        <v>0</v>
      </c>
      <c r="R41">
        <v>9.0042006463554003</v>
      </c>
      <c r="S41">
        <v>1.99945669942082</v>
      </c>
      <c r="T41">
        <v>49.795063367156999</v>
      </c>
      <c r="V41">
        <v>38.173711650161103</v>
      </c>
      <c r="X41">
        <v>1.02756763690551</v>
      </c>
      <c r="AJ41">
        <v>0</v>
      </c>
      <c r="AK41">
        <v>-1.32512798820567E-2</v>
      </c>
      <c r="AL41">
        <v>0.70209892421035602</v>
      </c>
      <c r="AM41">
        <v>5.7405523220081203E-2</v>
      </c>
      <c r="AN41">
        <v>0.253746832451619</v>
      </c>
    </row>
    <row r="42" spans="1:40" x14ac:dyDescent="0.2">
      <c r="A42">
        <v>108</v>
      </c>
      <c r="B42">
        <v>744</v>
      </c>
      <c r="C42">
        <v>210</v>
      </c>
      <c r="D42">
        <v>0.36313277294401303</v>
      </c>
      <c r="E42">
        <v>0.64104038622623905</v>
      </c>
      <c r="F42">
        <v>4.9283308831209096</v>
      </c>
      <c r="G42">
        <v>-4.3245535521983873</v>
      </c>
      <c r="H42">
        <v>-3.1720863312592158</v>
      </c>
      <c r="I42">
        <v>1.13303565938079</v>
      </c>
      <c r="J42">
        <v>0.56916995058947295</v>
      </c>
      <c r="K42">
        <v>0.13007251368242001</v>
      </c>
      <c r="L42">
        <v>3.5770795449212823E-5</v>
      </c>
      <c r="M42">
        <v>4.173074732876839E-7</v>
      </c>
      <c r="N42" s="1">
        <v>2.5286071470397798E-9</v>
      </c>
      <c r="O42" s="1">
        <v>3.1146189586558798E-13</v>
      </c>
      <c r="P42">
        <v>0</v>
      </c>
      <c r="R42">
        <v>8.9555204158116393</v>
      </c>
      <c r="S42">
        <v>2.1032074877065399</v>
      </c>
      <c r="T42">
        <v>49.765908646346602</v>
      </c>
      <c r="V42">
        <v>38.149893831774101</v>
      </c>
      <c r="X42">
        <v>1.0254696183609799</v>
      </c>
      <c r="AJ42">
        <v>0</v>
      </c>
      <c r="AK42">
        <v>-1.0837424271492299E-2</v>
      </c>
      <c r="AL42">
        <v>0.70133142453227304</v>
      </c>
      <c r="AM42">
        <v>5.7259216677258098E-2</v>
      </c>
      <c r="AN42">
        <v>0.25224678306196002</v>
      </c>
    </row>
    <row r="43" spans="1:40" x14ac:dyDescent="0.2">
      <c r="A43">
        <v>109</v>
      </c>
      <c r="B43">
        <v>742</v>
      </c>
      <c r="C43">
        <v>210</v>
      </c>
      <c r="D43">
        <v>0.361740136925575</v>
      </c>
      <c r="E43">
        <v>0.64869411842399105</v>
      </c>
      <c r="F43">
        <v>4.9284127285226296</v>
      </c>
      <c r="G43">
        <v>-4.3757637127336206</v>
      </c>
      <c r="H43">
        <v>-3.2129004259931691</v>
      </c>
      <c r="I43">
        <v>1.1455088279962999</v>
      </c>
      <c r="J43">
        <v>0.57601515132065395</v>
      </c>
      <c r="K43">
        <v>0.13162333476450699</v>
      </c>
      <c r="L43">
        <v>3.5812715990993858E-5</v>
      </c>
      <c r="M43">
        <v>4.1817850479454182E-7</v>
      </c>
      <c r="N43" s="1">
        <v>2.5648979436026801E-9</v>
      </c>
      <c r="O43" s="1">
        <v>3.1601079773832199E-13</v>
      </c>
      <c r="P43">
        <v>0</v>
      </c>
      <c r="R43">
        <v>8.8238580633777506</v>
      </c>
      <c r="S43">
        <v>2.20455778922787</v>
      </c>
      <c r="T43">
        <v>49.896992368387203</v>
      </c>
      <c r="V43">
        <v>38.056307680985299</v>
      </c>
      <c r="X43">
        <v>1.0182840980217001</v>
      </c>
      <c r="AJ43">
        <v>0</v>
      </c>
      <c r="AK43">
        <v>-8.1961315423625392E-3</v>
      </c>
      <c r="AL43">
        <v>0.70291456562574195</v>
      </c>
      <c r="AM43">
        <v>5.6836637862887097E-2</v>
      </c>
      <c r="AN43">
        <v>0.248444928053733</v>
      </c>
    </row>
    <row r="44" spans="1:40" x14ac:dyDescent="0.2">
      <c r="A44">
        <v>110</v>
      </c>
      <c r="B44">
        <v>740</v>
      </c>
      <c r="C44">
        <v>210</v>
      </c>
      <c r="D44">
        <v>0.36034200266496003</v>
      </c>
      <c r="E44">
        <v>0.65198937560952996</v>
      </c>
      <c r="F44">
        <v>4.9285396922648799</v>
      </c>
      <c r="G44">
        <v>-4.3973486540905764</v>
      </c>
      <c r="H44">
        <v>-3.231974787252716</v>
      </c>
      <c r="I44">
        <v>1.1502481042667501</v>
      </c>
      <c r="J44">
        <v>0.57898010299311398</v>
      </c>
      <c r="K44">
        <v>0.13228855123816799</v>
      </c>
      <c r="L44">
        <v>3.5848364921744237E-5</v>
      </c>
      <c r="M44">
        <v>4.1897941879300486E-7</v>
      </c>
      <c r="N44" s="1">
        <v>2.5835912053408101E-9</v>
      </c>
      <c r="O44" s="1">
        <v>3.1839179632830399E-13</v>
      </c>
      <c r="P44">
        <v>0</v>
      </c>
      <c r="R44">
        <v>8.7016991864170201</v>
      </c>
      <c r="S44">
        <v>2.298125822312</v>
      </c>
      <c r="T44">
        <v>50.018856272715396</v>
      </c>
      <c r="V44">
        <v>37.970269978643501</v>
      </c>
      <c r="X44">
        <v>1.0110487399119601</v>
      </c>
      <c r="AJ44">
        <v>0</v>
      </c>
      <c r="AK44">
        <v>-5.7258770382383898E-3</v>
      </c>
      <c r="AL44">
        <v>0.70439062928774998</v>
      </c>
      <c r="AM44">
        <v>5.6413513475360402E-2</v>
      </c>
      <c r="AN44">
        <v>0.24492173427512701</v>
      </c>
    </row>
    <row r="45" spans="1:40" x14ac:dyDescent="0.2">
      <c r="A45">
        <v>111</v>
      </c>
      <c r="B45">
        <v>738</v>
      </c>
      <c r="C45">
        <v>210</v>
      </c>
      <c r="D45">
        <v>0.35893833753646798</v>
      </c>
      <c r="E45">
        <v>0.653011431768586</v>
      </c>
      <c r="F45">
        <v>4.9286958819659903</v>
      </c>
      <c r="G45">
        <v>-4.4034549734958643</v>
      </c>
      <c r="H45">
        <v>-3.2396664441760765</v>
      </c>
      <c r="I45">
        <v>1.1509553768677101</v>
      </c>
      <c r="J45">
        <v>0.57991916202043803</v>
      </c>
      <c r="K45">
        <v>0.132491727509084</v>
      </c>
      <c r="L45">
        <v>3.5879401973035526E-5</v>
      </c>
      <c r="M45">
        <v>4.1972909591610664E-7</v>
      </c>
      <c r="N45" s="1">
        <v>2.5929742661268399E-9</v>
      </c>
      <c r="O45" s="1">
        <v>3.1962519061735299E-13</v>
      </c>
      <c r="P45">
        <v>0</v>
      </c>
      <c r="R45">
        <v>8.5862431238350698</v>
      </c>
      <c r="S45">
        <v>2.3863617187369202</v>
      </c>
      <c r="T45">
        <v>50.134030675244603</v>
      </c>
      <c r="V45">
        <v>37.889590903296799</v>
      </c>
      <c r="X45">
        <v>1.0037735788865501</v>
      </c>
      <c r="AJ45">
        <v>0</v>
      </c>
      <c r="AK45">
        <v>-3.3727332016607399E-3</v>
      </c>
      <c r="AL45">
        <v>0.70578784609509304</v>
      </c>
      <c r="AM45">
        <v>5.59897536618768E-2</v>
      </c>
      <c r="AN45">
        <v>0.24159513344469</v>
      </c>
    </row>
    <row r="46" spans="1:40" x14ac:dyDescent="0.2">
      <c r="A46">
        <v>112</v>
      </c>
      <c r="B46">
        <v>736</v>
      </c>
      <c r="C46">
        <v>210</v>
      </c>
      <c r="D46">
        <v>0.35752910865580001</v>
      </c>
      <c r="E46">
        <v>0.65267970084055105</v>
      </c>
      <c r="F46">
        <v>4.9288716092228704</v>
      </c>
      <c r="G46">
        <v>-4.4003347074740722</v>
      </c>
      <c r="H46">
        <v>-3.240554837014511</v>
      </c>
      <c r="I46">
        <v>1.1492641039087901</v>
      </c>
      <c r="J46">
        <v>0.57965056966680095</v>
      </c>
      <c r="K46">
        <v>0.13241970020465901</v>
      </c>
      <c r="L46">
        <v>3.5906801388775799E-5</v>
      </c>
      <c r="M46">
        <v>4.2043860923223786E-7</v>
      </c>
      <c r="N46" s="1">
        <v>2.5967229137435399E-9</v>
      </c>
      <c r="O46" s="1">
        <v>3.20163558995474E-13</v>
      </c>
      <c r="P46">
        <v>0</v>
      </c>
      <c r="R46">
        <v>8.4758306262605796</v>
      </c>
      <c r="S46">
        <v>2.4707309086664901</v>
      </c>
      <c r="T46">
        <v>50.243999173551501</v>
      </c>
      <c r="V46">
        <v>37.812973250733997</v>
      </c>
      <c r="X46">
        <v>0.99646604078736101</v>
      </c>
      <c r="AJ46">
        <v>0</v>
      </c>
      <c r="AK46">
        <v>-1.10452998599381E-3</v>
      </c>
      <c r="AL46">
        <v>0.70712266596325302</v>
      </c>
      <c r="AM46">
        <v>5.55653820563176E-2</v>
      </c>
      <c r="AN46">
        <v>0.23841648196642201</v>
      </c>
    </row>
    <row r="47" spans="1:40" x14ac:dyDescent="0.2">
      <c r="A47">
        <v>118</v>
      </c>
      <c r="B47">
        <v>752</v>
      </c>
      <c r="C47">
        <v>195</v>
      </c>
      <c r="D47">
        <v>0.38474418377798603</v>
      </c>
      <c r="E47">
        <v>0.33467836202067602</v>
      </c>
      <c r="F47">
        <v>4.9481657198478199</v>
      </c>
      <c r="G47">
        <v>-2.2156683455236594</v>
      </c>
      <c r="H47">
        <v>-1.6103212447699102</v>
      </c>
      <c r="I47">
        <v>0.59049612325391299</v>
      </c>
      <c r="J47">
        <v>0.29679238974984701</v>
      </c>
      <c r="K47">
        <v>6.7636853931191496E-2</v>
      </c>
      <c r="L47">
        <v>3.8918138972222303E-5</v>
      </c>
      <c r="M47">
        <v>4.5124147266285125E-7</v>
      </c>
      <c r="N47" s="1">
        <v>1.4273793988532201E-9</v>
      </c>
      <c r="O47" s="1">
        <v>1.7648901630142399E-13</v>
      </c>
      <c r="P47">
        <v>0</v>
      </c>
      <c r="R47">
        <v>6.7902862062630804</v>
      </c>
      <c r="S47">
        <v>2.0101436387912202</v>
      </c>
      <c r="T47">
        <v>54.013516714372997</v>
      </c>
      <c r="V47">
        <v>36.236328855387498</v>
      </c>
      <c r="X47">
        <v>0.94972458518514302</v>
      </c>
      <c r="AJ47">
        <v>0</v>
      </c>
      <c r="AK47">
        <v>-8.6897870876230295E-3</v>
      </c>
      <c r="AL47">
        <v>0.76362080527632503</v>
      </c>
      <c r="AM47">
        <v>5.3199092321701502E-2</v>
      </c>
      <c r="AN47">
        <v>0.19186988948959599</v>
      </c>
    </row>
    <row r="48" spans="1:40" x14ac:dyDescent="0.2">
      <c r="A48">
        <v>119</v>
      </c>
      <c r="B48">
        <v>750</v>
      </c>
      <c r="C48">
        <v>195</v>
      </c>
      <c r="D48">
        <v>0.38340468162048602</v>
      </c>
      <c r="E48">
        <v>0.58010987939647296</v>
      </c>
      <c r="F48">
        <v>4.9334436264480601</v>
      </c>
      <c r="G48">
        <v>-3.8954423851187086</v>
      </c>
      <c r="H48">
        <v>-2.8450018480344714</v>
      </c>
      <c r="I48">
        <v>1.0266730558415</v>
      </c>
      <c r="J48">
        <v>0.515003858435372</v>
      </c>
      <c r="K48">
        <v>0.117587211554728</v>
      </c>
      <c r="L48">
        <v>3.6774134755435147E-5</v>
      </c>
      <c r="M48">
        <v>4.2780735943956528E-7</v>
      </c>
      <c r="N48" s="1">
        <v>2.3431530487690199E-9</v>
      </c>
      <c r="O48" s="1">
        <v>2.8879163312139598E-13</v>
      </c>
      <c r="P48">
        <v>0</v>
      </c>
      <c r="R48">
        <v>8.39258852592517</v>
      </c>
      <c r="S48">
        <v>1.9864360865267101</v>
      </c>
      <c r="T48">
        <v>50.990204250031702</v>
      </c>
      <c r="V48">
        <v>37.604367500138302</v>
      </c>
      <c r="X48">
        <v>1.0264036373779999</v>
      </c>
      <c r="AJ48">
        <v>0</v>
      </c>
      <c r="AK48">
        <v>-1.3482850505226299E-2</v>
      </c>
      <c r="AL48">
        <v>0.71943368739240598</v>
      </c>
      <c r="AM48">
        <v>5.73790619813761E-2</v>
      </c>
      <c r="AN48">
        <v>0.23667010113144399</v>
      </c>
    </row>
    <row r="49" spans="1:40" x14ac:dyDescent="0.2">
      <c r="A49">
        <v>120</v>
      </c>
      <c r="B49">
        <v>748</v>
      </c>
      <c r="C49">
        <v>195</v>
      </c>
      <c r="D49">
        <v>0.382059932429125</v>
      </c>
      <c r="E49">
        <v>0.64281436848251805</v>
      </c>
      <c r="F49">
        <v>4.9267357676470001</v>
      </c>
      <c r="G49">
        <v>-4.342893172971408</v>
      </c>
      <c r="H49">
        <v>-3.1803040633670663</v>
      </c>
      <c r="I49">
        <v>1.13850963091058</v>
      </c>
      <c r="J49">
        <v>0.57089815391889398</v>
      </c>
      <c r="K49">
        <v>0.130474699435631</v>
      </c>
      <c r="L49">
        <v>3.5872756659583376E-5</v>
      </c>
      <c r="M49">
        <v>4.182021116798125E-7</v>
      </c>
      <c r="N49" s="1">
        <v>2.5369084460689999E-9</v>
      </c>
      <c r="O49" s="1">
        <v>3.1221204384182498E-13</v>
      </c>
      <c r="P49">
        <v>0</v>
      </c>
      <c r="R49">
        <v>9.0184211031850303</v>
      </c>
      <c r="S49">
        <v>2.0307640906700901</v>
      </c>
      <c r="T49">
        <v>49.748098225921701</v>
      </c>
      <c r="V49">
        <v>38.143117074565403</v>
      </c>
      <c r="X49">
        <v>1.0595995056576399</v>
      </c>
      <c r="AJ49">
        <v>0</v>
      </c>
      <c r="AK49">
        <v>-1.43432232473629E-2</v>
      </c>
      <c r="AL49">
        <v>0.70113529931934604</v>
      </c>
      <c r="AM49">
        <v>5.9169560053302997E-2</v>
      </c>
      <c r="AN49">
        <v>0.25403836387471301</v>
      </c>
    </row>
    <row r="50" spans="1:40" x14ac:dyDescent="0.2">
      <c r="A50">
        <v>121</v>
      </c>
      <c r="B50">
        <v>746</v>
      </c>
      <c r="C50">
        <v>195</v>
      </c>
      <c r="D50">
        <v>0.38070990531325299</v>
      </c>
      <c r="E50">
        <v>0.65822447438768805</v>
      </c>
      <c r="F50">
        <v>4.9260230800415199</v>
      </c>
      <c r="G50">
        <v>-4.4497580174495619</v>
      </c>
      <c r="H50">
        <v>-3.2624843960066765</v>
      </c>
      <c r="I50">
        <v>1.16496455030455</v>
      </c>
      <c r="J50">
        <v>0.58465587500685401</v>
      </c>
      <c r="K50">
        <v>0.13362188193039001</v>
      </c>
      <c r="L50">
        <v>3.5810530128949017E-5</v>
      </c>
      <c r="M50">
        <v>4.1791559086670308E-7</v>
      </c>
      <c r="N50" s="1">
        <v>2.5964794446777201E-9</v>
      </c>
      <c r="O50" s="1">
        <v>3.1955890201178799E-13</v>
      </c>
      <c r="P50">
        <v>0</v>
      </c>
      <c r="R50">
        <v>8.9696758861852306</v>
      </c>
      <c r="S50">
        <v>2.12792528775018</v>
      </c>
      <c r="T50">
        <v>49.726661213878202</v>
      </c>
      <c r="V50">
        <v>38.118523398744202</v>
      </c>
      <c r="X50">
        <v>1.0572142134420299</v>
      </c>
      <c r="AJ50">
        <v>0</v>
      </c>
      <c r="AK50">
        <v>-1.20596629640817E-2</v>
      </c>
      <c r="AL50">
        <v>0.70050430115747797</v>
      </c>
      <c r="AM50">
        <v>5.9008658659231203E-2</v>
      </c>
      <c r="AN50">
        <v>0.25254670314737199</v>
      </c>
    </row>
    <row r="51" spans="1:40" x14ac:dyDescent="0.2">
      <c r="A51">
        <v>122</v>
      </c>
      <c r="B51">
        <v>744</v>
      </c>
      <c r="C51">
        <v>195</v>
      </c>
      <c r="D51">
        <v>0.37935456913926302</v>
      </c>
      <c r="E51">
        <v>0.66347563178993696</v>
      </c>
      <c r="F51">
        <v>4.9261499960488599</v>
      </c>
      <c r="G51">
        <v>-4.484615312304828</v>
      </c>
      <c r="H51">
        <v>-3.2913263018339127</v>
      </c>
      <c r="I51">
        <v>1.1731691593874201</v>
      </c>
      <c r="J51">
        <v>0.58936382791700104</v>
      </c>
      <c r="K51">
        <v>0.13468441527807501</v>
      </c>
      <c r="L51">
        <v>3.5851502588985701E-5</v>
      </c>
      <c r="M51">
        <v>4.1877508273700887E-7</v>
      </c>
      <c r="N51" s="1">
        <v>2.6233350486090601E-9</v>
      </c>
      <c r="O51" s="1">
        <v>3.22945510380255E-13</v>
      </c>
      <c r="P51">
        <v>0</v>
      </c>
      <c r="R51">
        <v>8.8417795167585904</v>
      </c>
      <c r="S51">
        <v>2.22462236806515</v>
      </c>
      <c r="T51">
        <v>49.855913852232597</v>
      </c>
      <c r="V51">
        <v>38.027717064020301</v>
      </c>
      <c r="X51">
        <v>1.0499671989232999</v>
      </c>
      <c r="AJ51">
        <v>0</v>
      </c>
      <c r="AK51">
        <v>-9.5183527706646006E-3</v>
      </c>
      <c r="AL51">
        <v>0.70207708821646497</v>
      </c>
      <c r="AM51">
        <v>5.8583470348786901E-2</v>
      </c>
      <c r="AN51">
        <v>0.24885779420541099</v>
      </c>
    </row>
    <row r="52" spans="1:40" x14ac:dyDescent="0.2">
      <c r="A52">
        <v>123</v>
      </c>
      <c r="B52">
        <v>742</v>
      </c>
      <c r="C52">
        <v>195</v>
      </c>
      <c r="D52">
        <v>0.37799389252819798</v>
      </c>
      <c r="E52">
        <v>0.66556564230305804</v>
      </c>
      <c r="F52">
        <v>4.9263124585013101</v>
      </c>
      <c r="G52">
        <v>-4.4979212241235356</v>
      </c>
      <c r="H52">
        <v>-3.3043533940711542</v>
      </c>
      <c r="I52">
        <v>1.1757551396861301</v>
      </c>
      <c r="J52">
        <v>0.59125484987464205</v>
      </c>
      <c r="K52">
        <v>0.13510422814421599</v>
      </c>
      <c r="L52">
        <v>3.5886792475451555E-5</v>
      </c>
      <c r="M52">
        <v>4.1957124772600185E-7</v>
      </c>
      <c r="N52" s="1">
        <v>2.63733142022264E-9</v>
      </c>
      <c r="O52" s="1">
        <v>3.2474889919097801E-13</v>
      </c>
      <c r="P52">
        <v>0</v>
      </c>
      <c r="R52">
        <v>8.7221520851894692</v>
      </c>
      <c r="S52">
        <v>2.3147678859908201</v>
      </c>
      <c r="T52">
        <v>49.976886820500802</v>
      </c>
      <c r="V52">
        <v>37.943514853000401</v>
      </c>
      <c r="X52">
        <v>1.0426783553184</v>
      </c>
      <c r="AJ52">
        <v>0</v>
      </c>
      <c r="AK52">
        <v>-7.1211524128037404E-3</v>
      </c>
      <c r="AL52">
        <v>0.70355215529817405</v>
      </c>
      <c r="AM52">
        <v>5.8157897851534697E-2</v>
      </c>
      <c r="AN52">
        <v>0.24541109926309401</v>
      </c>
    </row>
    <row r="53" spans="1:40" x14ac:dyDescent="0.2">
      <c r="A53">
        <v>124</v>
      </c>
      <c r="B53">
        <v>740</v>
      </c>
      <c r="C53">
        <v>195</v>
      </c>
      <c r="D53">
        <v>0.37662784385333098</v>
      </c>
      <c r="E53">
        <v>0.66590698330403797</v>
      </c>
      <c r="F53">
        <v>4.9264984360088002</v>
      </c>
      <c r="G53">
        <v>-4.4992879949392579</v>
      </c>
      <c r="H53">
        <v>-3.308598618557911</v>
      </c>
      <c r="I53">
        <v>1.17523503566238</v>
      </c>
      <c r="J53">
        <v>0.59158594884125504</v>
      </c>
      <c r="K53">
        <v>0.135168414636404</v>
      </c>
      <c r="L53">
        <v>3.5917780380849441E-5</v>
      </c>
      <c r="M53">
        <v>4.2031976461839852E-7</v>
      </c>
      <c r="N53" s="1">
        <v>2.6440991123955998E-9</v>
      </c>
      <c r="O53" s="1">
        <v>3.2566170151818199E-13</v>
      </c>
      <c r="P53">
        <v>0</v>
      </c>
      <c r="R53">
        <v>8.6085370003816504</v>
      </c>
      <c r="S53">
        <v>2.4002907609230699</v>
      </c>
      <c r="T53">
        <v>50.0916716249899</v>
      </c>
      <c r="V53">
        <v>37.864145668369801</v>
      </c>
      <c r="X53">
        <v>1.03535494533546</v>
      </c>
      <c r="AJ53">
        <v>0</v>
      </c>
      <c r="AK53">
        <v>-4.8255649865553097E-3</v>
      </c>
      <c r="AL53">
        <v>0.70495318124413897</v>
      </c>
      <c r="AM53">
        <v>5.7731820908219801E-2</v>
      </c>
      <c r="AN53">
        <v>0.24214056283419499</v>
      </c>
    </row>
    <row r="54" spans="1:40" x14ac:dyDescent="0.2">
      <c r="A54">
        <v>125</v>
      </c>
      <c r="B54">
        <v>738</v>
      </c>
      <c r="C54">
        <v>195</v>
      </c>
      <c r="D54">
        <v>0.37525639123770199</v>
      </c>
      <c r="E54">
        <v>0.66516615832665105</v>
      </c>
      <c r="F54">
        <v>4.9267002316914903</v>
      </c>
      <c r="G54">
        <v>-4.4932624803187808</v>
      </c>
      <c r="H54">
        <v>-3.3073903980719748</v>
      </c>
      <c r="I54">
        <v>1.17279541338753</v>
      </c>
      <c r="J54">
        <v>0.59095076414546599</v>
      </c>
      <c r="K54">
        <v>0.13501250878791099</v>
      </c>
      <c r="L54">
        <v>3.5945311752808121E-5</v>
      </c>
      <c r="M54">
        <v>4.2103022685557467E-7</v>
      </c>
      <c r="N54" s="1">
        <v>2.6463126274777502E-9</v>
      </c>
      <c r="O54" s="1">
        <v>3.2601294426872598E-13</v>
      </c>
      <c r="P54">
        <v>0</v>
      </c>
      <c r="R54">
        <v>8.4995385333103393</v>
      </c>
      <c r="S54">
        <v>2.4823969098625902</v>
      </c>
      <c r="T54">
        <v>50.201547529360397</v>
      </c>
      <c r="V54">
        <v>37.7885141632634</v>
      </c>
      <c r="X54">
        <v>1.0280028642030801</v>
      </c>
      <c r="AJ54">
        <v>0</v>
      </c>
      <c r="AK54">
        <v>-2.6051028657738599E-3</v>
      </c>
      <c r="AL54">
        <v>0.70629455569284405</v>
      </c>
      <c r="AM54">
        <v>5.7305238175139599E-2</v>
      </c>
      <c r="AN54">
        <v>0.23900530899778899</v>
      </c>
    </row>
    <row r="55" spans="1:40" x14ac:dyDescent="0.2">
      <c r="A55">
        <v>131</v>
      </c>
      <c r="B55">
        <v>754</v>
      </c>
      <c r="C55">
        <v>180</v>
      </c>
      <c r="D55">
        <v>0.402142335588766</v>
      </c>
      <c r="E55">
        <v>0.52416561751903001</v>
      </c>
      <c r="F55">
        <v>4.9380014378410202</v>
      </c>
      <c r="G55">
        <v>-3.5045518784474852</v>
      </c>
      <c r="H55">
        <v>-2.5512838628313319</v>
      </c>
      <c r="I55">
        <v>0.92807089092747197</v>
      </c>
      <c r="J55">
        <v>0.46531544795174401</v>
      </c>
      <c r="K55">
        <v>0.10614934485482901</v>
      </c>
      <c r="L55">
        <v>3.7805152074201012E-5</v>
      </c>
      <c r="M55">
        <v>4.390020833280235E-7</v>
      </c>
      <c r="N55" s="1">
        <v>2.1707209913648602E-9</v>
      </c>
      <c r="O55" s="1">
        <v>2.67737049251113E-13</v>
      </c>
      <c r="P55">
        <v>0</v>
      </c>
      <c r="R55">
        <v>7.6992149009303796</v>
      </c>
      <c r="S55">
        <v>1.9934134689563101</v>
      </c>
      <c r="T55">
        <v>52.318146440678198</v>
      </c>
      <c r="V55">
        <v>36.966752563852801</v>
      </c>
      <c r="X55">
        <v>1.0224726255821901</v>
      </c>
      <c r="AJ55">
        <v>0</v>
      </c>
      <c r="AK55">
        <v>-1.3117600843440399E-2</v>
      </c>
      <c r="AL55">
        <v>0.73865939830189398</v>
      </c>
      <c r="AM55">
        <v>5.7197205653903002E-2</v>
      </c>
      <c r="AN55">
        <v>0.217260996887643</v>
      </c>
    </row>
    <row r="56" spans="1:40" x14ac:dyDescent="0.2">
      <c r="A56">
        <v>132</v>
      </c>
      <c r="B56">
        <v>752</v>
      </c>
      <c r="C56">
        <v>180</v>
      </c>
      <c r="D56">
        <v>0.40083938935765601</v>
      </c>
      <c r="E56">
        <v>0.62473197585589701</v>
      </c>
      <c r="F56">
        <v>4.9290872511084496</v>
      </c>
      <c r="G56">
        <v>-4.2118849233212323</v>
      </c>
      <c r="H56">
        <v>-3.0763510923631681</v>
      </c>
      <c r="I56">
        <v>1.10767578496616</v>
      </c>
      <c r="J56">
        <v>0.55492476653284795</v>
      </c>
      <c r="K56">
        <v>0.12674394751592299</v>
      </c>
      <c r="L56">
        <v>3.6565813741212319E-5</v>
      </c>
      <c r="M56">
        <v>4.25659466948598E-7</v>
      </c>
      <c r="N56" s="1">
        <v>2.50685204535971E-9</v>
      </c>
      <c r="O56" s="1">
        <v>3.0858108198931302E-13</v>
      </c>
      <c r="P56">
        <v>0</v>
      </c>
      <c r="R56">
        <v>8.5892562007333204</v>
      </c>
      <c r="S56">
        <v>2.0210928988935302</v>
      </c>
      <c r="T56">
        <v>50.592713016805703</v>
      </c>
      <c r="V56">
        <v>37.7282204953164</v>
      </c>
      <c r="X56">
        <v>1.06871738825094</v>
      </c>
      <c r="AJ56">
        <v>0</v>
      </c>
      <c r="AK56">
        <v>-1.5071867820725501E-2</v>
      </c>
      <c r="AL56">
        <v>0.71332352541285304</v>
      </c>
      <c r="AM56">
        <v>5.9702524780609598E-2</v>
      </c>
      <c r="AN56">
        <v>0.24204581762726199</v>
      </c>
    </row>
    <row r="57" spans="1:40" x14ac:dyDescent="0.2">
      <c r="A57">
        <v>133</v>
      </c>
      <c r="B57">
        <v>750</v>
      </c>
      <c r="C57">
        <v>180</v>
      </c>
      <c r="D57">
        <v>0.39953134926452799</v>
      </c>
      <c r="E57">
        <v>0.66512475647648495</v>
      </c>
      <c r="F57">
        <v>4.9239704182361201</v>
      </c>
      <c r="G57">
        <v>-4.5049070680330194</v>
      </c>
      <c r="H57">
        <v>-3.2978792232775485</v>
      </c>
      <c r="I57">
        <v>1.17971738724084</v>
      </c>
      <c r="J57">
        <v>0.59097784144103005</v>
      </c>
      <c r="K57">
        <v>0.13507895051789201</v>
      </c>
      <c r="L57">
        <v>3.5880225816600975E-5</v>
      </c>
      <c r="M57">
        <v>4.1845827517518403E-7</v>
      </c>
      <c r="N57" s="1">
        <v>2.62281152872885E-9</v>
      </c>
      <c r="O57" s="1">
        <v>3.2249048780832299E-13</v>
      </c>
      <c r="P57">
        <v>0</v>
      </c>
      <c r="R57">
        <v>9.0482127420721596</v>
      </c>
      <c r="S57">
        <v>2.0705609205291799</v>
      </c>
      <c r="T57">
        <v>49.662228390316002</v>
      </c>
      <c r="V57">
        <v>38.1252731757166</v>
      </c>
      <c r="X57">
        <v>1.0937247713659799</v>
      </c>
      <c r="AJ57">
        <v>0</v>
      </c>
      <c r="AK57">
        <v>-1.5362571172685399E-2</v>
      </c>
      <c r="AL57">
        <v>0.69957009080266497</v>
      </c>
      <c r="AM57">
        <v>6.1044188216758603E-2</v>
      </c>
      <c r="AN57">
        <v>0.254748292153261</v>
      </c>
    </row>
    <row r="58" spans="1:40" x14ac:dyDescent="0.2">
      <c r="A58">
        <v>134</v>
      </c>
      <c r="B58">
        <v>748</v>
      </c>
      <c r="C58">
        <v>180</v>
      </c>
      <c r="D58">
        <v>0.39821818537923098</v>
      </c>
      <c r="E58">
        <v>0.674642811175033</v>
      </c>
      <c r="F58">
        <v>4.9235850476879603</v>
      </c>
      <c r="G58">
        <v>-4.5708194488806964</v>
      </c>
      <c r="H58">
        <v>-3.3498839291588403</v>
      </c>
      <c r="I58">
        <v>1.19564757354145</v>
      </c>
      <c r="J58">
        <v>0.59949217353508</v>
      </c>
      <c r="K58">
        <v>0.137022678524022</v>
      </c>
      <c r="L58">
        <v>3.5853230991338725E-5</v>
      </c>
      <c r="M58">
        <v>4.1856236771501552E-7</v>
      </c>
      <c r="N58" s="1">
        <v>2.6616056625124602E-9</v>
      </c>
      <c r="O58" s="1">
        <v>3.2729908451244401E-13</v>
      </c>
      <c r="P58">
        <v>0</v>
      </c>
      <c r="R58">
        <v>8.9751316539027304</v>
      </c>
      <c r="S58">
        <v>2.1636748843539699</v>
      </c>
      <c r="T58">
        <v>49.691636556288898</v>
      </c>
      <c r="V58">
        <v>38.079853960136397</v>
      </c>
      <c r="X58">
        <v>1.0897029453178899</v>
      </c>
      <c r="AJ58">
        <v>0</v>
      </c>
      <c r="AK58">
        <v>-1.3078404256677501E-2</v>
      </c>
      <c r="AL58">
        <v>0.69969676407842896</v>
      </c>
      <c r="AM58">
        <v>6.0794729952393697E-2</v>
      </c>
      <c r="AN58">
        <v>0.252586910225853</v>
      </c>
    </row>
    <row r="59" spans="1:40" x14ac:dyDescent="0.2">
      <c r="A59">
        <v>135</v>
      </c>
      <c r="B59">
        <v>746</v>
      </c>
      <c r="C59">
        <v>180</v>
      </c>
      <c r="D59">
        <v>0.396899867536674</v>
      </c>
      <c r="E59">
        <v>0.67777023510311496</v>
      </c>
      <c r="F59">
        <v>4.9237574055753504</v>
      </c>
      <c r="G59">
        <v>-4.5911363008229564</v>
      </c>
      <c r="H59">
        <v>-3.3680886899133706</v>
      </c>
      <c r="I59">
        <v>1.20006634048921</v>
      </c>
      <c r="J59">
        <v>0.60230834834939895</v>
      </c>
      <c r="K59">
        <v>0.13765305218645599</v>
      </c>
      <c r="L59">
        <v>3.5892768317248495E-5</v>
      </c>
      <c r="M59">
        <v>4.1940469576853676E-7</v>
      </c>
      <c r="N59" s="1">
        <v>2.6800815938969698E-9</v>
      </c>
      <c r="O59" s="1">
        <v>3.29655018680966E-13</v>
      </c>
      <c r="P59">
        <v>0</v>
      </c>
      <c r="R59">
        <v>8.8515202300973606</v>
      </c>
      <c r="S59">
        <v>2.25543760386382</v>
      </c>
      <c r="T59">
        <v>49.8183805684764</v>
      </c>
      <c r="V59">
        <v>37.992279085814197</v>
      </c>
      <c r="X59">
        <v>1.0823825117481101</v>
      </c>
      <c r="AJ59">
        <v>0</v>
      </c>
      <c r="AK59">
        <v>-1.0642811366741301E-2</v>
      </c>
      <c r="AL59">
        <v>0.70125032939042697</v>
      </c>
      <c r="AM59">
        <v>6.0366428570010101E-2</v>
      </c>
      <c r="AN59">
        <v>0.24902605340630299</v>
      </c>
    </row>
    <row r="60" spans="1:40" x14ac:dyDescent="0.2">
      <c r="A60">
        <v>136</v>
      </c>
      <c r="B60">
        <v>744</v>
      </c>
      <c r="C60">
        <v>180</v>
      </c>
      <c r="D60">
        <v>0.39557636533451601</v>
      </c>
      <c r="E60">
        <v>0.67872430106825998</v>
      </c>
      <c r="F60">
        <v>4.9239563361813898</v>
      </c>
      <c r="G60">
        <v>-4.5965887232659863</v>
      </c>
      <c r="H60">
        <v>-3.3753823556807498</v>
      </c>
      <c r="I60">
        <v>1.20061580650369</v>
      </c>
      <c r="J60">
        <v>0.60318559376198599</v>
      </c>
      <c r="K60">
        <v>0.13784125096337099</v>
      </c>
      <c r="L60">
        <v>3.5927284871425694E-5</v>
      </c>
      <c r="M60">
        <v>4.2019130892322985E-7</v>
      </c>
      <c r="N60" s="1">
        <v>2.68961861738261E-9</v>
      </c>
      <c r="O60" s="1">
        <v>3.3091092452628701E-13</v>
      </c>
      <c r="P60">
        <v>0</v>
      </c>
      <c r="R60">
        <v>8.7349024191532099</v>
      </c>
      <c r="S60">
        <v>2.34186467873907</v>
      </c>
      <c r="T60">
        <v>49.937881285431601</v>
      </c>
      <c r="V60">
        <v>37.910323140679303</v>
      </c>
      <c r="X60">
        <v>1.0750284759967099</v>
      </c>
      <c r="AJ60">
        <v>0</v>
      </c>
      <c r="AK60">
        <v>-8.3247306779620205E-3</v>
      </c>
      <c r="AL60">
        <v>0.70271698626795198</v>
      </c>
      <c r="AM60">
        <v>5.9937903873133198E-2</v>
      </c>
      <c r="AN60">
        <v>0.24566984053687599</v>
      </c>
    </row>
    <row r="61" spans="1:40" x14ac:dyDescent="0.2">
      <c r="A61">
        <v>137</v>
      </c>
      <c r="B61">
        <v>742</v>
      </c>
      <c r="C61">
        <v>180</v>
      </c>
      <c r="D61">
        <v>0.39424764813081797</v>
      </c>
      <c r="E61">
        <v>0.67839687815201399</v>
      </c>
      <c r="F61">
        <v>4.9241731341289698</v>
      </c>
      <c r="G61">
        <v>-4.5932680237981112</v>
      </c>
      <c r="H61">
        <v>-3.3762188413455898</v>
      </c>
      <c r="I61">
        <v>1.19888605866376</v>
      </c>
      <c r="J61">
        <v>0.60291834664597199</v>
      </c>
      <c r="K61">
        <v>0.137768689214055</v>
      </c>
      <c r="L61">
        <v>3.5957876186352444E-5</v>
      </c>
      <c r="M61">
        <v>4.2093462420930437E-7</v>
      </c>
      <c r="N61" s="1">
        <v>2.69378780973286E-9</v>
      </c>
      <c r="O61" s="1">
        <v>3.3150572311270102E-13</v>
      </c>
      <c r="P61">
        <v>0</v>
      </c>
      <c r="R61">
        <v>8.6235403115546703</v>
      </c>
      <c r="S61">
        <v>2.4244086763068302</v>
      </c>
      <c r="T61">
        <v>50.051787992519003</v>
      </c>
      <c r="V61">
        <v>37.832617081597498</v>
      </c>
      <c r="X61">
        <v>1.0676459380218699</v>
      </c>
      <c r="AJ61">
        <v>0</v>
      </c>
      <c r="AK61">
        <v>-6.09213655833276E-3</v>
      </c>
      <c r="AL61">
        <v>0.70411565175950397</v>
      </c>
      <c r="AM61">
        <v>5.95090336255839E-2</v>
      </c>
      <c r="AN61">
        <v>0.242467451173244</v>
      </c>
    </row>
    <row r="62" spans="1:40" x14ac:dyDescent="0.2">
      <c r="A62">
        <v>138</v>
      </c>
      <c r="B62">
        <v>740</v>
      </c>
      <c r="C62">
        <v>180</v>
      </c>
      <c r="D62">
        <v>0.39291368504170499</v>
      </c>
      <c r="E62">
        <v>0.67724099658532599</v>
      </c>
      <c r="F62">
        <v>4.9244019373063903</v>
      </c>
      <c r="G62">
        <v>-4.5842763074613968</v>
      </c>
      <c r="H62">
        <v>-3.37286753436232</v>
      </c>
      <c r="I62">
        <v>1.1956855086601901</v>
      </c>
      <c r="J62">
        <v>0.60191051062885403</v>
      </c>
      <c r="K62">
        <v>0.137527562779688</v>
      </c>
      <c r="L62">
        <v>3.5985245056527407E-5</v>
      </c>
      <c r="M62">
        <v>4.2164259991455075E-7</v>
      </c>
      <c r="N62" s="1">
        <v>2.69441652858286E-9</v>
      </c>
      <c r="O62" s="1">
        <v>3.3166403713392399E-13</v>
      </c>
      <c r="P62">
        <v>0</v>
      </c>
      <c r="R62">
        <v>8.5163072769093695</v>
      </c>
      <c r="S62">
        <v>2.5040223248740898</v>
      </c>
      <c r="T62">
        <v>50.161157468591398</v>
      </c>
      <c r="V62">
        <v>37.758273572167099</v>
      </c>
      <c r="X62">
        <v>1.0602393574579101</v>
      </c>
      <c r="AJ62">
        <v>0</v>
      </c>
      <c r="AK62">
        <v>-3.92409076479063E-3</v>
      </c>
      <c r="AL62">
        <v>0.70545836814863905</v>
      </c>
      <c r="AM62">
        <v>5.90797985228525E-2</v>
      </c>
      <c r="AN62">
        <v>0.23938592409329801</v>
      </c>
    </row>
    <row r="63" spans="1:40" x14ac:dyDescent="0.2">
      <c r="A63">
        <v>145</v>
      </c>
      <c r="B63">
        <v>758</v>
      </c>
      <c r="C63">
        <v>165</v>
      </c>
      <c r="D63">
        <v>0.42073461669010398</v>
      </c>
      <c r="E63">
        <v>0.47011720449341199</v>
      </c>
      <c r="F63">
        <v>4.94121283909766</v>
      </c>
      <c r="G63">
        <v>-3.1330144296529197</v>
      </c>
      <c r="H63">
        <v>-2.2741211212269157</v>
      </c>
      <c r="I63">
        <v>0.83294700909276298</v>
      </c>
      <c r="J63">
        <v>0.41734192023011601</v>
      </c>
      <c r="K63">
        <v>9.5142067302500993E-2</v>
      </c>
      <c r="L63">
        <v>3.871321151097017E-5</v>
      </c>
      <c r="M63">
        <v>4.4881377087504806E-7</v>
      </c>
      <c r="N63" s="1">
        <v>1.9885805411944899E-9</v>
      </c>
      <c r="O63" s="1">
        <v>2.4538835256320102E-13</v>
      </c>
      <c r="P63">
        <v>0</v>
      </c>
      <c r="R63">
        <v>7.0920041696856604</v>
      </c>
      <c r="S63">
        <v>2.0167802558247501</v>
      </c>
      <c r="T63">
        <v>53.463847155325901</v>
      </c>
      <c r="V63">
        <v>36.402659576450802</v>
      </c>
      <c r="X63">
        <v>1.02470884271276</v>
      </c>
      <c r="AJ63">
        <v>0</v>
      </c>
      <c r="AK63">
        <v>-1.2731624341222599E-2</v>
      </c>
      <c r="AL63">
        <v>0.75516905676603696</v>
      </c>
      <c r="AM63">
        <v>5.7347660749706E-2</v>
      </c>
      <c r="AN63">
        <v>0.20021490682547799</v>
      </c>
    </row>
    <row r="64" spans="1:40" x14ac:dyDescent="0.2">
      <c r="A64">
        <v>146</v>
      </c>
      <c r="B64">
        <v>756</v>
      </c>
      <c r="C64">
        <v>165</v>
      </c>
      <c r="D64">
        <v>0.41947286595734501</v>
      </c>
      <c r="E64">
        <v>0.61016804823022996</v>
      </c>
      <c r="F64">
        <v>4.9305803960409804</v>
      </c>
      <c r="G64">
        <v>-4.1080499373456156</v>
      </c>
      <c r="H64">
        <v>-2.9932753621359343</v>
      </c>
      <c r="I64">
        <v>1.0831993151724</v>
      </c>
      <c r="J64">
        <v>0.54209990435002697</v>
      </c>
      <c r="K64">
        <v>0.123751769410385</v>
      </c>
      <c r="L64">
        <v>3.7182208327380206E-5</v>
      </c>
      <c r="M64">
        <v>4.3225258600964403E-7</v>
      </c>
      <c r="N64" s="1">
        <v>2.4836413958492602E-9</v>
      </c>
      <c r="O64" s="1">
        <v>3.05742684216749E-13</v>
      </c>
      <c r="P64">
        <v>0</v>
      </c>
      <c r="R64">
        <v>8.2115858278905502</v>
      </c>
      <c r="S64">
        <v>2.0251832526131599</v>
      </c>
      <c r="T64">
        <v>51.323825393449603</v>
      </c>
      <c r="V64">
        <v>37.357743426293602</v>
      </c>
      <c r="X64">
        <v>1.08166209975299</v>
      </c>
      <c r="AJ64">
        <v>0</v>
      </c>
      <c r="AK64">
        <v>-1.57085194056477E-2</v>
      </c>
      <c r="AL64">
        <v>0.72380851595690798</v>
      </c>
      <c r="AM64">
        <v>6.0440427311231101E-2</v>
      </c>
      <c r="AN64">
        <v>0.23145957613750701</v>
      </c>
    </row>
    <row r="65" spans="1:40" x14ac:dyDescent="0.2">
      <c r="A65">
        <v>147</v>
      </c>
      <c r="B65">
        <v>754</v>
      </c>
      <c r="C65">
        <v>165</v>
      </c>
      <c r="D65">
        <v>0.41820620162585598</v>
      </c>
      <c r="E65">
        <v>0.65984946930866195</v>
      </c>
      <c r="F65">
        <v>4.9247668764562196</v>
      </c>
      <c r="G65">
        <v>-4.4662277607603889</v>
      </c>
      <c r="H65">
        <v>-3.2623474322512718</v>
      </c>
      <c r="I65">
        <v>1.1720589285976899</v>
      </c>
      <c r="J65">
        <v>0.58645325913661195</v>
      </c>
      <c r="K65">
        <v>0.13398592986465899</v>
      </c>
      <c r="L65">
        <v>3.6390684500003041E-5</v>
      </c>
      <c r="M65">
        <v>4.238925256551024E-7</v>
      </c>
      <c r="N65" s="1">
        <v>2.6327261662033799E-9</v>
      </c>
      <c r="O65" s="1">
        <v>3.23670582339037E-13</v>
      </c>
      <c r="P65">
        <v>0</v>
      </c>
      <c r="R65">
        <v>8.7528253656652701</v>
      </c>
      <c r="S65">
        <v>2.07005249036439</v>
      </c>
      <c r="T65">
        <v>50.242444798688901</v>
      </c>
      <c r="V65">
        <v>37.823357389337403</v>
      </c>
      <c r="X65">
        <v>1.11131995594387</v>
      </c>
      <c r="AJ65">
        <v>0</v>
      </c>
      <c r="AK65">
        <v>-1.6358357163755301E-2</v>
      </c>
      <c r="AL65">
        <v>0.70785267975300104</v>
      </c>
      <c r="AM65">
        <v>6.2035812291179403E-2</v>
      </c>
      <c r="AN65">
        <v>0.246469865119573</v>
      </c>
    </row>
    <row r="66" spans="1:40" x14ac:dyDescent="0.2">
      <c r="A66">
        <v>148</v>
      </c>
      <c r="B66">
        <v>752</v>
      </c>
      <c r="C66">
        <v>165</v>
      </c>
      <c r="D66">
        <v>0.41693459493732699</v>
      </c>
      <c r="E66">
        <v>0.68597591215085996</v>
      </c>
      <c r="F66">
        <v>4.9208653374659503</v>
      </c>
      <c r="G66">
        <v>-4.6592206838778685</v>
      </c>
      <c r="H66">
        <v>-3.4100370115382903</v>
      </c>
      <c r="I66">
        <v>1.2185374553378301</v>
      </c>
      <c r="J66">
        <v>0.60980410193034396</v>
      </c>
      <c r="K66">
        <v>0.139401480249429</v>
      </c>
      <c r="L66">
        <v>3.5865275659173388E-5</v>
      </c>
      <c r="M66">
        <v>4.1847302151343322E-7</v>
      </c>
      <c r="N66" s="1">
        <v>2.70121820811508E-9</v>
      </c>
      <c r="O66" s="1">
        <v>3.3180431079388902E-13</v>
      </c>
      <c r="P66">
        <v>0</v>
      </c>
      <c r="R66">
        <v>9.08897225314238</v>
      </c>
      <c r="S66">
        <v>2.1213765961750402</v>
      </c>
      <c r="T66">
        <v>49.543372317281801</v>
      </c>
      <c r="V66">
        <v>38.116321498929899</v>
      </c>
      <c r="X66">
        <v>1.1299573344707601</v>
      </c>
      <c r="AJ66">
        <v>0</v>
      </c>
      <c r="AK66">
        <v>-1.62540443118592E-2</v>
      </c>
      <c r="AL66">
        <v>0.69748122785123101</v>
      </c>
      <c r="AM66">
        <v>6.3028975468104195E-2</v>
      </c>
      <c r="AN66">
        <v>0.25574384099252301</v>
      </c>
    </row>
    <row r="67" spans="1:40" x14ac:dyDescent="0.2">
      <c r="A67">
        <v>149</v>
      </c>
      <c r="B67">
        <v>750</v>
      </c>
      <c r="C67">
        <v>165</v>
      </c>
      <c r="D67">
        <v>0.41565801690856902</v>
      </c>
      <c r="E67">
        <v>0.69007938648058498</v>
      </c>
      <c r="F67">
        <v>4.9209881881659898</v>
      </c>
      <c r="G67">
        <v>-4.6864104390194266</v>
      </c>
      <c r="H67">
        <v>-3.433353160603783</v>
      </c>
      <c r="I67">
        <v>1.22470534957302</v>
      </c>
      <c r="J67">
        <v>0.61349157906295604</v>
      </c>
      <c r="K67">
        <v>0.14023187215528901</v>
      </c>
      <c r="L67">
        <v>3.5899112573353081E-5</v>
      </c>
      <c r="M67">
        <v>4.1925071637501934E-7</v>
      </c>
      <c r="N67" s="1">
        <v>2.7231814272250002E-9</v>
      </c>
      <c r="O67" s="1">
        <v>3.3458361207881698E-13</v>
      </c>
      <c r="P67">
        <v>0</v>
      </c>
      <c r="R67">
        <v>8.9701123535981502</v>
      </c>
      <c r="S67">
        <v>2.2130159751691498</v>
      </c>
      <c r="T67">
        <v>49.6612923660931</v>
      </c>
      <c r="V67">
        <v>38.032568433858899</v>
      </c>
      <c r="X67">
        <v>1.12301087128058</v>
      </c>
      <c r="AJ67">
        <v>0</v>
      </c>
      <c r="AK67">
        <v>-1.38413301530254E-2</v>
      </c>
      <c r="AL67">
        <v>0.69890633589352902</v>
      </c>
      <c r="AM67">
        <v>6.2620447148060698E-2</v>
      </c>
      <c r="AN67">
        <v>0.25231454711143497</v>
      </c>
    </row>
    <row r="68" spans="1:40" x14ac:dyDescent="0.2">
      <c r="A68">
        <v>150</v>
      </c>
      <c r="B68">
        <v>748</v>
      </c>
      <c r="C68">
        <v>165</v>
      </c>
      <c r="D68">
        <v>0.41437643832933801</v>
      </c>
      <c r="E68">
        <v>0.69142711823751002</v>
      </c>
      <c r="F68">
        <v>4.9212052170365403</v>
      </c>
      <c r="G68">
        <v>-4.6944555782037654</v>
      </c>
      <c r="H68">
        <v>-3.4425879839343616</v>
      </c>
      <c r="I68">
        <v>1.2259389847421001</v>
      </c>
      <c r="J68">
        <v>0.61471973365624799</v>
      </c>
      <c r="K68">
        <v>0.14049954995656</v>
      </c>
      <c r="L68">
        <v>3.5936758909452523E-5</v>
      </c>
      <c r="M68">
        <v>4.2007061428058181E-7</v>
      </c>
      <c r="N68" s="1">
        <v>2.7345882936291898E-9</v>
      </c>
      <c r="O68" s="1">
        <v>3.3607153597461299E-13</v>
      </c>
      <c r="P68">
        <v>0</v>
      </c>
      <c r="R68">
        <v>8.8511948128426194</v>
      </c>
      <c r="S68">
        <v>2.2996925157104799</v>
      </c>
      <c r="T68">
        <v>49.784910256904503</v>
      </c>
      <c r="V68">
        <v>37.948597817127499</v>
      </c>
      <c r="X68">
        <v>1.1156045974148101</v>
      </c>
      <c r="AJ68">
        <v>0</v>
      </c>
      <c r="AK68">
        <v>-1.15143148876944E-2</v>
      </c>
      <c r="AL68">
        <v>0.700432230168336</v>
      </c>
      <c r="AM68">
        <v>6.21884785973012E-2</v>
      </c>
      <c r="AN68">
        <v>0.24889360612205699</v>
      </c>
    </row>
    <row r="69" spans="1:40" x14ac:dyDescent="0.2">
      <c r="A69">
        <v>151</v>
      </c>
      <c r="B69">
        <v>746</v>
      </c>
      <c r="C69">
        <v>165</v>
      </c>
      <c r="D69">
        <v>0.41308982976009601</v>
      </c>
      <c r="E69">
        <v>0.69136201358082605</v>
      </c>
      <c r="F69">
        <v>4.9214407666477804</v>
      </c>
      <c r="G69">
        <v>-4.6928066346515847</v>
      </c>
      <c r="H69">
        <v>-3.4447009545509566</v>
      </c>
      <c r="I69">
        <v>1.22465356434345</v>
      </c>
      <c r="J69">
        <v>0.61468564110609503</v>
      </c>
      <c r="K69">
        <v>0.140479596598242</v>
      </c>
      <c r="L69">
        <v>3.5970076779161909E-5</v>
      </c>
      <c r="M69">
        <v>4.2084274585960451E-7</v>
      </c>
      <c r="N69" s="1">
        <v>2.7400873420524199E-9</v>
      </c>
      <c r="O69" s="1">
        <v>3.3683261138625001E-13</v>
      </c>
      <c r="P69">
        <v>0</v>
      </c>
      <c r="R69">
        <v>8.7380218045496498</v>
      </c>
      <c r="S69">
        <v>2.3821791447833101</v>
      </c>
      <c r="T69">
        <v>49.902353118670199</v>
      </c>
      <c r="V69">
        <v>37.869272928159504</v>
      </c>
      <c r="X69">
        <v>1.1081730038372</v>
      </c>
      <c r="AJ69">
        <v>0</v>
      </c>
      <c r="AK69">
        <v>-9.2797698403458192E-3</v>
      </c>
      <c r="AL69">
        <v>0.70188273943038504</v>
      </c>
      <c r="AM69">
        <v>6.1756453427341103E-2</v>
      </c>
      <c r="AN69">
        <v>0.24564057698261799</v>
      </c>
    </row>
    <row r="70" spans="1:40" x14ac:dyDescent="0.2">
      <c r="A70">
        <v>152</v>
      </c>
      <c r="B70">
        <v>744</v>
      </c>
      <c r="C70">
        <v>165</v>
      </c>
      <c r="D70">
        <v>0.411798161529766</v>
      </c>
      <c r="E70">
        <v>0.69040620908516004</v>
      </c>
      <c r="F70">
        <v>4.9216888240909196</v>
      </c>
      <c r="G70">
        <v>-4.6850450552809653</v>
      </c>
      <c r="H70">
        <v>-3.4423090246018266</v>
      </c>
      <c r="I70">
        <v>1.2217824614650099</v>
      </c>
      <c r="J70">
        <v>0.61385494632747095</v>
      </c>
      <c r="K70">
        <v>0.140278313758018</v>
      </c>
      <c r="L70">
        <v>3.5999893319862079E-5</v>
      </c>
      <c r="M70">
        <v>4.2157646324935673E-7</v>
      </c>
      <c r="N70" s="1">
        <v>2.7417830633397401E-9</v>
      </c>
      <c r="O70" s="1">
        <v>3.3712528395355698E-13</v>
      </c>
      <c r="P70">
        <v>0</v>
      </c>
      <c r="R70">
        <v>8.6293170758724607</v>
      </c>
      <c r="S70">
        <v>2.4615201149808499</v>
      </c>
      <c r="T70">
        <v>50.014858371728202</v>
      </c>
      <c r="V70">
        <v>37.793584883040502</v>
      </c>
      <c r="X70">
        <v>1.1007195543779</v>
      </c>
      <c r="AJ70">
        <v>0</v>
      </c>
      <c r="AK70">
        <v>-7.1146601864237298E-3</v>
      </c>
      <c r="AL70">
        <v>0.70327221994669598</v>
      </c>
      <c r="AM70">
        <v>6.1324264024767497E-2</v>
      </c>
      <c r="AN70">
        <v>0.242518176214959</v>
      </c>
    </row>
    <row r="71" spans="1:40" x14ac:dyDescent="0.2">
      <c r="A71">
        <v>160</v>
      </c>
      <c r="B71">
        <v>762</v>
      </c>
      <c r="C71">
        <v>150</v>
      </c>
      <c r="D71">
        <v>0.439183210162781</v>
      </c>
      <c r="E71">
        <v>0.46952132219783999</v>
      </c>
      <c r="F71">
        <v>4.9406861365998402</v>
      </c>
      <c r="G71">
        <v>-3.130187466523787</v>
      </c>
      <c r="H71">
        <v>-2.2676221878961762</v>
      </c>
      <c r="I71">
        <v>0.83327563988563103</v>
      </c>
      <c r="J71">
        <v>0.41694852095477197</v>
      </c>
      <c r="K71">
        <v>9.5031602740295207E-2</v>
      </c>
      <c r="L71">
        <v>3.9118181024563226E-5</v>
      </c>
      <c r="M71">
        <v>4.5302649396623998E-7</v>
      </c>
      <c r="N71" s="1">
        <v>2.0023565280610301E-9</v>
      </c>
      <c r="O71" s="1">
        <v>2.4700623142081499E-13</v>
      </c>
      <c r="P71">
        <v>0</v>
      </c>
      <c r="R71">
        <v>6.8672677710924699</v>
      </c>
      <c r="S71">
        <v>2.0380315333205599</v>
      </c>
      <c r="T71">
        <v>53.884641371923998</v>
      </c>
      <c r="V71">
        <v>36.163081597078502</v>
      </c>
      <c r="X71">
        <v>1.0469777265842899</v>
      </c>
      <c r="AJ71">
        <v>0</v>
      </c>
      <c r="AK71">
        <v>-1.3506834139775501E-2</v>
      </c>
      <c r="AL71">
        <v>0.76106002091026703</v>
      </c>
      <c r="AM71">
        <v>5.85898786090399E-2</v>
      </c>
      <c r="AN71">
        <v>0.19385693462046799</v>
      </c>
    </row>
    <row r="72" spans="1:40" x14ac:dyDescent="0.2">
      <c r="A72">
        <v>161</v>
      </c>
      <c r="B72">
        <v>760</v>
      </c>
      <c r="C72">
        <v>150</v>
      </c>
      <c r="D72">
        <v>0.43796205778444602</v>
      </c>
      <c r="E72">
        <v>0.61009109354699298</v>
      </c>
      <c r="F72">
        <v>4.9302447087951702</v>
      </c>
      <c r="G72">
        <v>-4.1087659101807423</v>
      </c>
      <c r="H72">
        <v>-2.987929793923962</v>
      </c>
      <c r="I72">
        <v>1.0848725899015399</v>
      </c>
      <c r="J72">
        <v>0.54221925138224503</v>
      </c>
      <c r="K72">
        <v>0.12374458664468201</v>
      </c>
      <c r="L72">
        <v>3.759025859484161E-5</v>
      </c>
      <c r="M72">
        <v>4.365275027830288E-7</v>
      </c>
      <c r="N72" s="1">
        <v>2.5048908291711499E-9</v>
      </c>
      <c r="O72" s="1">
        <v>3.0825773067798001E-13</v>
      </c>
      <c r="P72">
        <v>0</v>
      </c>
      <c r="R72">
        <v>7.9850509224710198</v>
      </c>
      <c r="S72">
        <v>2.0427519932095999</v>
      </c>
      <c r="T72">
        <v>51.752543435134598</v>
      </c>
      <c r="V72">
        <v>37.115494732877899</v>
      </c>
      <c r="X72">
        <v>1.10415891630679</v>
      </c>
      <c r="AJ72">
        <v>0</v>
      </c>
      <c r="AK72">
        <v>-1.6576717183461698E-2</v>
      </c>
      <c r="AL72">
        <v>0.72981898532990297</v>
      </c>
      <c r="AM72">
        <v>6.1694476831140502E-2</v>
      </c>
      <c r="AN72">
        <v>0.225063255022418</v>
      </c>
    </row>
    <row r="73" spans="1:40" x14ac:dyDescent="0.2">
      <c r="A73">
        <v>162</v>
      </c>
      <c r="B73">
        <v>758</v>
      </c>
      <c r="C73">
        <v>150</v>
      </c>
      <c r="D73">
        <v>0.43673616835572199</v>
      </c>
      <c r="E73">
        <v>0.66122935031184105</v>
      </c>
      <c r="F73">
        <v>4.9243625302601304</v>
      </c>
      <c r="G73">
        <v>-4.4774293710404391</v>
      </c>
      <c r="H73">
        <v>-3.2642559606587342</v>
      </c>
      <c r="I73">
        <v>1.17652466700451</v>
      </c>
      <c r="J73">
        <v>0.58789737920947804</v>
      </c>
      <c r="K73">
        <v>0.13427714678775099</v>
      </c>
      <c r="L73">
        <v>3.6779131326036574E-5</v>
      </c>
      <c r="M73">
        <v>4.2796749538542938E-7</v>
      </c>
      <c r="N73" s="1">
        <v>2.6603278130242898E-9</v>
      </c>
      <c r="O73" s="1">
        <v>3.26944167768975E-13</v>
      </c>
      <c r="P73">
        <v>0</v>
      </c>
      <c r="R73">
        <v>8.5417996271554504</v>
      </c>
      <c r="S73">
        <v>2.0852222884031102</v>
      </c>
      <c r="T73">
        <v>50.6446855034877</v>
      </c>
      <c r="V73">
        <v>37.5932971438979</v>
      </c>
      <c r="X73">
        <v>1.13499543705574</v>
      </c>
      <c r="AJ73">
        <v>0</v>
      </c>
      <c r="AK73">
        <v>-1.73441964851422E-2</v>
      </c>
      <c r="AL73">
        <v>0.71347725810302098</v>
      </c>
      <c r="AM73">
        <v>6.3353646255671595E-2</v>
      </c>
      <c r="AN73">
        <v>0.24051329212644901</v>
      </c>
    </row>
    <row r="74" spans="1:40" x14ac:dyDescent="0.2">
      <c r="A74">
        <v>163</v>
      </c>
      <c r="B74">
        <v>756</v>
      </c>
      <c r="C74">
        <v>150</v>
      </c>
      <c r="D74">
        <v>0.43550551425934297</v>
      </c>
      <c r="E74">
        <v>0.68824331339226397</v>
      </c>
      <c r="F74">
        <v>4.9203877228791502</v>
      </c>
      <c r="G74">
        <v>-4.6770121482936471</v>
      </c>
      <c r="H74">
        <v>-3.4166071316663325</v>
      </c>
      <c r="I74">
        <v>1.2247048696762499</v>
      </c>
      <c r="J74">
        <v>0.61205699370889699</v>
      </c>
      <c r="K74">
        <v>0.13987582933597301</v>
      </c>
      <c r="L74">
        <v>3.6238696485841996E-5</v>
      </c>
      <c r="M74">
        <v>4.2239467039284336E-7</v>
      </c>
      <c r="N74" s="1">
        <v>2.7321199146372701E-9</v>
      </c>
      <c r="O74" s="1">
        <v>3.35465472779217E-13</v>
      </c>
      <c r="P74">
        <v>0</v>
      </c>
      <c r="R74">
        <v>8.8897300673589701</v>
      </c>
      <c r="S74">
        <v>2.1351787401434099</v>
      </c>
      <c r="T74">
        <v>49.925018404974601</v>
      </c>
      <c r="V74">
        <v>37.8954383105714</v>
      </c>
      <c r="X74">
        <v>1.15463447695147</v>
      </c>
      <c r="AJ74">
        <v>0</v>
      </c>
      <c r="AK74">
        <v>-1.7324976675999498E-2</v>
      </c>
      <c r="AL74">
        <v>0.70280423371360101</v>
      </c>
      <c r="AM74">
        <v>6.4400894607657896E-2</v>
      </c>
      <c r="AN74">
        <v>0.25011984835473999</v>
      </c>
    </row>
    <row r="75" spans="1:40" x14ac:dyDescent="0.2">
      <c r="A75">
        <v>164</v>
      </c>
      <c r="B75">
        <v>754</v>
      </c>
      <c r="C75">
        <v>150</v>
      </c>
      <c r="D75">
        <v>0.43427006766295001</v>
      </c>
      <c r="E75">
        <v>0.70519786949741703</v>
      </c>
      <c r="F75">
        <v>4.9174118916897198</v>
      </c>
      <c r="G75">
        <v>-4.8047769616282512</v>
      </c>
      <c r="H75">
        <v>-3.5160478916800524</v>
      </c>
      <c r="I75">
        <v>1.2546649174397</v>
      </c>
      <c r="J75">
        <v>0.627229944703384</v>
      </c>
      <c r="K75">
        <v>0.14340833857932</v>
      </c>
      <c r="L75">
        <v>3.5831613302025257E-5</v>
      </c>
      <c r="M75">
        <v>4.1828896540476404E-7</v>
      </c>
      <c r="N75" s="1">
        <v>2.7716364881056398E-9</v>
      </c>
      <c r="O75" s="1">
        <v>3.4009382578534398E-13</v>
      </c>
      <c r="P75">
        <v>0</v>
      </c>
      <c r="R75">
        <v>9.1360787903538192</v>
      </c>
      <c r="S75">
        <v>2.1862003915272301</v>
      </c>
      <c r="T75">
        <v>49.3969532165478</v>
      </c>
      <c r="V75">
        <v>38.112435072862702</v>
      </c>
      <c r="X75">
        <v>1.1683325287083</v>
      </c>
      <c r="AJ75">
        <v>0</v>
      </c>
      <c r="AK75">
        <v>-1.6953532986975599E-2</v>
      </c>
      <c r="AL75">
        <v>0.694937985840548</v>
      </c>
      <c r="AM75">
        <v>6.5124379845557495E-2</v>
      </c>
      <c r="AN75">
        <v>0.25689116730086903</v>
      </c>
    </row>
    <row r="76" spans="1:40" x14ac:dyDescent="0.2">
      <c r="A76">
        <v>165</v>
      </c>
      <c r="B76">
        <v>752</v>
      </c>
      <c r="C76">
        <v>150</v>
      </c>
      <c r="D76">
        <v>0.43302980051699702</v>
      </c>
      <c r="E76">
        <v>0.70432993753239503</v>
      </c>
      <c r="F76">
        <v>4.91819614126244</v>
      </c>
      <c r="G76">
        <v>-4.7953128634374869</v>
      </c>
      <c r="H76">
        <v>-3.5120512772414529</v>
      </c>
      <c r="I76">
        <v>1.2517793358981899</v>
      </c>
      <c r="J76">
        <v>0.62647811550341304</v>
      </c>
      <c r="K76">
        <v>0.143208997222221</v>
      </c>
      <c r="L76">
        <v>3.5948212521294849E-5</v>
      </c>
      <c r="M76">
        <v>4.1998166305315934E-7</v>
      </c>
      <c r="N76" s="1">
        <v>2.7804379852848802E-9</v>
      </c>
      <c r="O76" s="1">
        <v>3.4131815556277099E-13</v>
      </c>
      <c r="P76">
        <v>0</v>
      </c>
      <c r="R76">
        <v>8.9526185347858096</v>
      </c>
      <c r="S76">
        <v>2.2790690104964</v>
      </c>
      <c r="T76">
        <v>49.635871117048502</v>
      </c>
      <c r="V76">
        <v>37.975206887017997</v>
      </c>
      <c r="X76">
        <v>1.15723445065125</v>
      </c>
      <c r="AJ76">
        <v>0</v>
      </c>
      <c r="AK76">
        <v>-1.4285084651796899E-2</v>
      </c>
      <c r="AL76">
        <v>0.69812543834452401</v>
      </c>
      <c r="AM76">
        <v>6.4489708314485902E-2</v>
      </c>
      <c r="AN76">
        <v>0.25166993799278597</v>
      </c>
    </row>
    <row r="77" spans="1:40" x14ac:dyDescent="0.2">
      <c r="A77">
        <v>166</v>
      </c>
      <c r="B77">
        <v>750</v>
      </c>
      <c r="C77">
        <v>150</v>
      </c>
      <c r="D77">
        <v>0.43178468455260599</v>
      </c>
      <c r="E77">
        <v>0.70426952930102804</v>
      </c>
      <c r="F77">
        <v>4.9184557283050498</v>
      </c>
      <c r="G77">
        <v>-4.7935610468817842</v>
      </c>
      <c r="H77">
        <v>-3.5141320597131593</v>
      </c>
      <c r="I77">
        <v>1.25048036667998</v>
      </c>
      <c r="J77">
        <v>0.62644697209894995</v>
      </c>
      <c r="K77">
        <v>0.14318915696405399</v>
      </c>
      <c r="L77">
        <v>3.5983571139871451E-5</v>
      </c>
      <c r="M77">
        <v>4.2077454339995169E-7</v>
      </c>
      <c r="N77" s="1">
        <v>2.7861961093525599E-9</v>
      </c>
      <c r="O77" s="1">
        <v>3.42113814298459E-13</v>
      </c>
      <c r="P77">
        <v>0</v>
      </c>
      <c r="R77">
        <v>8.8386526578992406</v>
      </c>
      <c r="S77">
        <v>2.36066977874385</v>
      </c>
      <c r="T77">
        <v>49.755846446116102</v>
      </c>
      <c r="V77">
        <v>37.895101133490797</v>
      </c>
      <c r="X77">
        <v>1.14972998374991</v>
      </c>
      <c r="AJ77">
        <v>0</v>
      </c>
      <c r="AK77">
        <v>-1.20659383004506E-2</v>
      </c>
      <c r="AL77">
        <v>0.69961610838923205</v>
      </c>
      <c r="AM77">
        <v>6.4053487800408801E-2</v>
      </c>
      <c r="AN77">
        <v>0.24839634211080899</v>
      </c>
    </row>
    <row r="78" spans="1:40" x14ac:dyDescent="0.2">
      <c r="A78">
        <v>167</v>
      </c>
      <c r="B78">
        <v>748</v>
      </c>
      <c r="C78">
        <v>150</v>
      </c>
      <c r="D78">
        <v>0.43053469127944</v>
      </c>
      <c r="E78">
        <v>0.70334047125473897</v>
      </c>
      <c r="F78">
        <v>4.9187269274298098</v>
      </c>
      <c r="G78">
        <v>-4.7858326380105591</v>
      </c>
      <c r="H78">
        <v>-3.5118141195452472</v>
      </c>
      <c r="I78">
        <v>1.24763112027156</v>
      </c>
      <c r="J78">
        <v>0.62563837898132302</v>
      </c>
      <c r="K78">
        <v>0.142992380270692</v>
      </c>
      <c r="L78">
        <v>3.6015279099998992E-5</v>
      </c>
      <c r="M78">
        <v>4.2152742752031749E-7</v>
      </c>
      <c r="N78" s="1">
        <v>2.7882288783899901E-9</v>
      </c>
      <c r="O78" s="1">
        <v>3.4245104072796901E-13</v>
      </c>
      <c r="P78">
        <v>0</v>
      </c>
      <c r="R78">
        <v>8.7292719838308805</v>
      </c>
      <c r="S78">
        <v>2.4391088754251902</v>
      </c>
      <c r="T78">
        <v>49.870679875365703</v>
      </c>
      <c r="V78">
        <v>37.818730872404899</v>
      </c>
      <c r="X78">
        <v>1.1422083929732301</v>
      </c>
      <c r="AJ78">
        <v>0</v>
      </c>
      <c r="AK78">
        <v>-9.9168233291025698E-3</v>
      </c>
      <c r="AL78">
        <v>0.70104281904319798</v>
      </c>
      <c r="AM78">
        <v>6.36173899059327E-2</v>
      </c>
      <c r="AN78">
        <v>0.24525661437997101</v>
      </c>
    </row>
    <row r="79" spans="1:40" x14ac:dyDescent="0.2">
      <c r="A79">
        <v>177</v>
      </c>
      <c r="B79">
        <v>766</v>
      </c>
      <c r="C79">
        <v>135</v>
      </c>
      <c r="D79">
        <v>0.45748977529712298</v>
      </c>
      <c r="E79">
        <v>0.53360643183091006</v>
      </c>
      <c r="F79">
        <v>4.9358420027588501</v>
      </c>
      <c r="G79">
        <v>-3.5741077795228464</v>
      </c>
      <c r="H79">
        <v>-2.5872103092013812</v>
      </c>
      <c r="I79">
        <v>0.94971608557134601</v>
      </c>
      <c r="J79">
        <v>0.47420257979441699</v>
      </c>
      <c r="K79">
        <v>0.108108491222501</v>
      </c>
      <c r="L79">
        <v>3.8918797772159628E-5</v>
      </c>
      <c r="M79">
        <v>4.5054488815494965E-7</v>
      </c>
      <c r="N79" s="1">
        <v>2.2597803019197798E-9</v>
      </c>
      <c r="O79" s="1">
        <v>2.7839730739708798E-13</v>
      </c>
      <c r="P79">
        <v>0</v>
      </c>
      <c r="R79">
        <v>7.10103781304396</v>
      </c>
      <c r="S79">
        <v>2.0550033775869099</v>
      </c>
      <c r="T79">
        <v>53.438761139508202</v>
      </c>
      <c r="V79">
        <v>36.311405121454598</v>
      </c>
      <c r="X79">
        <v>1.0937925484062201</v>
      </c>
      <c r="AJ79">
        <v>0</v>
      </c>
      <c r="AK79">
        <v>-1.5740548118742901E-2</v>
      </c>
      <c r="AL79">
        <v>0.75425183688827202</v>
      </c>
      <c r="AM79">
        <v>6.1168270205646497E-2</v>
      </c>
      <c r="AN79">
        <v>0.20032044102482299</v>
      </c>
    </row>
    <row r="80" spans="1:40" x14ac:dyDescent="0.2">
      <c r="A80">
        <v>178</v>
      </c>
      <c r="B80">
        <v>764</v>
      </c>
      <c r="C80">
        <v>135</v>
      </c>
      <c r="D80">
        <v>0.45630863423805901</v>
      </c>
      <c r="E80">
        <v>0.63028639672620401</v>
      </c>
      <c r="F80">
        <v>4.9274890021961903</v>
      </c>
      <c r="G80">
        <v>-4.2557516145841738</v>
      </c>
      <c r="H80">
        <v>-3.0906939630136283</v>
      </c>
      <c r="I80">
        <v>1.12332608742278</v>
      </c>
      <c r="J80">
        <v>0.56047910896829101</v>
      </c>
      <c r="K80">
        <v>0.12791228888492301</v>
      </c>
      <c r="L80">
        <v>3.7709364610275444E-5</v>
      </c>
      <c r="M80">
        <v>4.3760540157965133E-7</v>
      </c>
      <c r="N80" s="1">
        <v>2.5906406493103198E-9</v>
      </c>
      <c r="O80" s="1">
        <v>3.18534028841062E-13</v>
      </c>
      <c r="P80">
        <v>0</v>
      </c>
      <c r="R80">
        <v>7.96891530672284</v>
      </c>
      <c r="S80">
        <v>2.0757593781112602</v>
      </c>
      <c r="T80">
        <v>51.764295438328702</v>
      </c>
      <c r="V80">
        <v>37.050900016701497</v>
      </c>
      <c r="X80">
        <v>1.14012986013561</v>
      </c>
      <c r="AJ80">
        <v>0</v>
      </c>
      <c r="AK80">
        <v>-1.7849701387869999E-2</v>
      </c>
      <c r="AL80">
        <v>0.72966368871821596</v>
      </c>
      <c r="AM80">
        <v>6.36763250280096E-2</v>
      </c>
      <c r="AN80">
        <v>0.224509687641644</v>
      </c>
    </row>
    <row r="81" spans="1:40" x14ac:dyDescent="0.2">
      <c r="A81">
        <v>179</v>
      </c>
      <c r="B81">
        <v>762</v>
      </c>
      <c r="C81">
        <v>135</v>
      </c>
      <c r="D81">
        <v>0.45512292904410101</v>
      </c>
      <c r="E81">
        <v>0.67226642122255598</v>
      </c>
      <c r="F81">
        <v>4.9223210616578204</v>
      </c>
      <c r="G81">
        <v>-4.5609195130094919</v>
      </c>
      <c r="H81">
        <v>-3.3201168229502787</v>
      </c>
      <c r="I81">
        <v>1.1986694585897799</v>
      </c>
      <c r="J81">
        <v>0.59801646729379998</v>
      </c>
      <c r="K81">
        <v>0.13657508577795599</v>
      </c>
      <c r="L81">
        <v>3.6992866354828156E-5</v>
      </c>
      <c r="M81">
        <v>4.3010906167991145E-7</v>
      </c>
      <c r="N81" s="1">
        <v>2.7146505867712401E-9</v>
      </c>
      <c r="O81" s="1">
        <v>3.3337944503941698E-13</v>
      </c>
      <c r="P81">
        <v>0</v>
      </c>
      <c r="R81">
        <v>8.45261032161274</v>
      </c>
      <c r="S81">
        <v>2.11984955698061</v>
      </c>
      <c r="T81">
        <v>50.7936949602543</v>
      </c>
      <c r="V81">
        <v>37.466283278350303</v>
      </c>
      <c r="X81">
        <v>1.1675618828019001</v>
      </c>
      <c r="AJ81">
        <v>0</v>
      </c>
      <c r="AK81">
        <v>-1.8391496715656101E-2</v>
      </c>
      <c r="AL81">
        <v>0.71532473543069797</v>
      </c>
      <c r="AM81">
        <v>6.5148525120487202E-2</v>
      </c>
      <c r="AN81">
        <v>0.23791823616447</v>
      </c>
    </row>
    <row r="82" spans="1:40" x14ac:dyDescent="0.2">
      <c r="A82">
        <v>180</v>
      </c>
      <c r="B82">
        <v>760</v>
      </c>
      <c r="C82">
        <v>135</v>
      </c>
      <c r="D82">
        <v>0.45393263320911997</v>
      </c>
      <c r="E82">
        <v>0.69612377704709905</v>
      </c>
      <c r="F82">
        <v>4.9186644820197696</v>
      </c>
      <c r="G82">
        <v>-4.738332176107515</v>
      </c>
      <c r="H82">
        <v>-3.4559453419534583</v>
      </c>
      <c r="I82">
        <v>1.2412397368765899</v>
      </c>
      <c r="J82">
        <v>0.619373272022398</v>
      </c>
      <c r="K82">
        <v>0.141526989611059</v>
      </c>
      <c r="L82">
        <v>3.6490547539336717E-5</v>
      </c>
      <c r="M82">
        <v>4.2496984970419318E-7</v>
      </c>
      <c r="N82" s="1">
        <v>2.7765821132771999E-9</v>
      </c>
      <c r="O82" s="1">
        <v>3.4069868022596398E-13</v>
      </c>
      <c r="P82">
        <v>0</v>
      </c>
      <c r="R82">
        <v>8.7716048953679202</v>
      </c>
      <c r="S82">
        <v>2.1692334527524499</v>
      </c>
      <c r="T82">
        <v>50.129848243216799</v>
      </c>
      <c r="V82">
        <v>37.743411840495298</v>
      </c>
      <c r="X82">
        <v>1.1859015681674101</v>
      </c>
      <c r="AJ82">
        <v>0</v>
      </c>
      <c r="AK82">
        <v>-1.83124098556403E-2</v>
      </c>
      <c r="AL82">
        <v>0.70546846632639504</v>
      </c>
      <c r="AM82">
        <v>6.6124302374461902E-2</v>
      </c>
      <c r="AN82">
        <v>0.24671964115478301</v>
      </c>
    </row>
    <row r="83" spans="1:40" x14ac:dyDescent="0.2">
      <c r="A83">
        <v>181</v>
      </c>
      <c r="B83">
        <v>758</v>
      </c>
      <c r="C83">
        <v>135</v>
      </c>
      <c r="D83">
        <v>0.452737720021335</v>
      </c>
      <c r="E83">
        <v>0.71169856265516096</v>
      </c>
      <c r="F83">
        <v>4.9158566909089103</v>
      </c>
      <c r="G83">
        <v>-4.8563404115518516</v>
      </c>
      <c r="H83">
        <v>-3.5480591575047891</v>
      </c>
      <c r="I83">
        <v>1.2687593987752099</v>
      </c>
      <c r="J83">
        <v>0.63332395921518103</v>
      </c>
      <c r="K83">
        <v>0.14477610056683099</v>
      </c>
      <c r="L83">
        <v>3.6101839729369372E-5</v>
      </c>
      <c r="M83">
        <v>4.2107728608205077E-7</v>
      </c>
      <c r="N83" s="1">
        <v>2.81211827220282E-9</v>
      </c>
      <c r="O83" s="1">
        <v>3.4484123392608501E-13</v>
      </c>
      <c r="P83">
        <v>0</v>
      </c>
      <c r="R83">
        <v>9.0042732403957402</v>
      </c>
      <c r="S83">
        <v>2.2193243391900999</v>
      </c>
      <c r="T83">
        <v>49.628998151664099</v>
      </c>
      <c r="V83">
        <v>37.948329764786997</v>
      </c>
      <c r="X83">
        <v>1.19907450396295</v>
      </c>
      <c r="AJ83">
        <v>0</v>
      </c>
      <c r="AK83">
        <v>-1.7932107828167301E-2</v>
      </c>
      <c r="AL83">
        <v>0.69800132179991803</v>
      </c>
      <c r="AM83">
        <v>6.6818719562444701E-2</v>
      </c>
      <c r="AN83">
        <v>0.25311206646580398</v>
      </c>
    </row>
    <row r="84" spans="1:40" x14ac:dyDescent="0.2">
      <c r="A84">
        <v>182</v>
      </c>
      <c r="B84">
        <v>756</v>
      </c>
      <c r="C84">
        <v>135</v>
      </c>
      <c r="D84">
        <v>0.451538162561337</v>
      </c>
      <c r="E84">
        <v>0.72273455265530495</v>
      </c>
      <c r="F84">
        <v>4.9135841952712402</v>
      </c>
      <c r="G84">
        <v>-4.9413493443145384</v>
      </c>
      <c r="H84">
        <v>-3.6158047382663923</v>
      </c>
      <c r="I84">
        <v>1.28799942287144</v>
      </c>
      <c r="J84">
        <v>0.64321091826117505</v>
      </c>
      <c r="K84">
        <v>0.14708907468215399</v>
      </c>
      <c r="L84">
        <v>3.578172547943346E-5</v>
      </c>
      <c r="M84">
        <v>4.1793521969067862E-7</v>
      </c>
      <c r="N84" s="1">
        <v>2.83398567683242E-9</v>
      </c>
      <c r="O84" s="1">
        <v>3.4734955326236401E-13</v>
      </c>
      <c r="P84">
        <v>0</v>
      </c>
      <c r="R84">
        <v>9.1854156280753596</v>
      </c>
      <c r="S84">
        <v>2.26870369352803</v>
      </c>
      <c r="T84">
        <v>49.226655808846303</v>
      </c>
      <c r="V84">
        <v>38.110271632972399</v>
      </c>
      <c r="X84">
        <v>1.2089532365778499</v>
      </c>
      <c r="AJ84">
        <v>0</v>
      </c>
      <c r="AK84">
        <v>-1.73858315317349E-2</v>
      </c>
      <c r="AL84">
        <v>0.69198212390958802</v>
      </c>
      <c r="AM84">
        <v>6.7334135433616604E-2</v>
      </c>
      <c r="AN84">
        <v>0.258069572188529</v>
      </c>
    </row>
    <row r="85" spans="1:40" x14ac:dyDescent="0.2">
      <c r="A85">
        <v>183</v>
      </c>
      <c r="B85">
        <v>754</v>
      </c>
      <c r="C85">
        <v>135</v>
      </c>
      <c r="D85">
        <v>0.45033393370004399</v>
      </c>
      <c r="E85">
        <v>0.71722732518907395</v>
      </c>
      <c r="F85">
        <v>4.91516071138253</v>
      </c>
      <c r="G85">
        <v>-4.8966108522806246</v>
      </c>
      <c r="H85">
        <v>-3.5853738120347916</v>
      </c>
      <c r="I85">
        <v>1.2765779489323199</v>
      </c>
      <c r="J85">
        <v>0.63831021012525302</v>
      </c>
      <c r="K85">
        <v>0.14592143925795101</v>
      </c>
      <c r="L85">
        <v>3.6000316836428703E-5</v>
      </c>
      <c r="M85">
        <v>4.2075354565556348E-7</v>
      </c>
      <c r="N85" s="1">
        <v>2.8327363169205898E-9</v>
      </c>
      <c r="O85" s="1">
        <v>3.4742432331230201E-13</v>
      </c>
      <c r="P85">
        <v>0</v>
      </c>
      <c r="R85">
        <v>8.9202758891319895</v>
      </c>
      <c r="S85">
        <v>2.3658342879709999</v>
      </c>
      <c r="T85">
        <v>49.615320346535803</v>
      </c>
      <c r="V85">
        <v>37.906069712600797</v>
      </c>
      <c r="X85">
        <v>1.1924997637603001</v>
      </c>
      <c r="AJ85">
        <v>0</v>
      </c>
      <c r="AK85">
        <v>-1.4328797910641899E-2</v>
      </c>
      <c r="AL85">
        <v>0.69733913801303604</v>
      </c>
      <c r="AM85">
        <v>6.6407600187804103E-2</v>
      </c>
      <c r="AN85">
        <v>0.25058205970980102</v>
      </c>
    </row>
    <row r="86" spans="1:40" x14ac:dyDescent="0.2">
      <c r="A86">
        <v>184</v>
      </c>
      <c r="B86">
        <v>752</v>
      </c>
      <c r="C86">
        <v>135</v>
      </c>
      <c r="D86">
        <v>0.449125006096672</v>
      </c>
      <c r="E86">
        <v>0.71611613682653297</v>
      </c>
      <c r="F86">
        <v>4.9154592475682302</v>
      </c>
      <c r="G86">
        <v>-4.8874625429269711</v>
      </c>
      <c r="H86">
        <v>-3.58206020174975</v>
      </c>
      <c r="I86">
        <v>1.2733769118443301</v>
      </c>
      <c r="J86">
        <v>0.63733648919832897</v>
      </c>
      <c r="K86">
        <v>0.14568651691717399</v>
      </c>
      <c r="L86">
        <v>3.6033062303048847E-5</v>
      </c>
      <c r="M86">
        <v>4.2151564114604457E-7</v>
      </c>
      <c r="N86" s="1">
        <v>2.8342138207515502E-9</v>
      </c>
      <c r="O86" s="1">
        <v>3.4769662163662299E-13</v>
      </c>
      <c r="P86">
        <v>0</v>
      </c>
      <c r="R86">
        <v>8.8113486325916401</v>
      </c>
      <c r="S86">
        <v>2.4425500494710999</v>
      </c>
      <c r="T86">
        <v>49.731254803756201</v>
      </c>
      <c r="V86">
        <v>37.829960888364297</v>
      </c>
      <c r="X86">
        <v>1.18488562581662</v>
      </c>
      <c r="AJ86">
        <v>0</v>
      </c>
      <c r="AK86">
        <v>-1.2212895512391801E-2</v>
      </c>
      <c r="AL86">
        <v>0.69878810689715598</v>
      </c>
      <c r="AM86">
        <v>6.5966548590420504E-2</v>
      </c>
      <c r="AN86">
        <v>0.24745824002481501</v>
      </c>
    </row>
    <row r="87" spans="1:40" x14ac:dyDescent="0.2">
      <c r="A87">
        <v>195</v>
      </c>
      <c r="B87">
        <v>772</v>
      </c>
      <c r="C87">
        <v>120</v>
      </c>
      <c r="D87">
        <v>0.47679328326077502</v>
      </c>
      <c r="E87">
        <v>0.48332026904389802</v>
      </c>
      <c r="F87">
        <v>4.93767571630507</v>
      </c>
      <c r="G87">
        <v>-3.2307670727360485</v>
      </c>
      <c r="H87">
        <v>-2.3301219326193237</v>
      </c>
      <c r="I87">
        <v>0.86173768369777004</v>
      </c>
      <c r="J87">
        <v>0.42960214478688502</v>
      </c>
      <c r="K87">
        <v>9.7884165913911594E-2</v>
      </c>
      <c r="L87">
        <v>3.9812725711407069E-5</v>
      </c>
      <c r="M87">
        <v>4.5971655623162449E-7</v>
      </c>
      <c r="N87" s="1">
        <v>2.0866593501217098E-9</v>
      </c>
      <c r="O87" s="1">
        <v>2.5714213953091099E-13</v>
      </c>
      <c r="P87">
        <v>0</v>
      </c>
      <c r="R87">
        <v>6.5348508855416698</v>
      </c>
      <c r="S87">
        <v>2.09102358999669</v>
      </c>
      <c r="T87">
        <v>54.494246400452496</v>
      </c>
      <c r="V87">
        <v>35.776735368839098</v>
      </c>
      <c r="X87">
        <v>1.1031437551699399</v>
      </c>
      <c r="AJ87">
        <v>0</v>
      </c>
      <c r="AK87">
        <v>-1.54715446986838E-2</v>
      </c>
      <c r="AL87">
        <v>0.76936350776620299</v>
      </c>
      <c r="AM87">
        <v>6.1708400071329099E-2</v>
      </c>
      <c r="AN87">
        <v>0.18439963686114999</v>
      </c>
    </row>
    <row r="88" spans="1:40" x14ac:dyDescent="0.2">
      <c r="A88">
        <v>196</v>
      </c>
      <c r="B88">
        <v>770</v>
      </c>
      <c r="C88">
        <v>120</v>
      </c>
      <c r="D88">
        <v>0.47565594593299199</v>
      </c>
      <c r="E88">
        <v>0.61124907152725505</v>
      </c>
      <c r="F88">
        <v>4.92835363849166</v>
      </c>
      <c r="G88">
        <v>-4.1238120652950991</v>
      </c>
      <c r="H88">
        <v>-2.9849635216510895</v>
      </c>
      <c r="I88">
        <v>1.09173996418924</v>
      </c>
      <c r="J88">
        <v>0.54373626201312997</v>
      </c>
      <c r="K88">
        <v>0.124027031411311</v>
      </c>
      <c r="L88">
        <v>3.8407883160261096E-5</v>
      </c>
      <c r="M88">
        <v>4.4465407070467227E-7</v>
      </c>
      <c r="N88" s="1">
        <v>2.5502865276305998E-9</v>
      </c>
      <c r="O88" s="1">
        <v>3.1357732205694998E-13</v>
      </c>
      <c r="P88">
        <v>0</v>
      </c>
      <c r="R88">
        <v>7.5570104267787297</v>
      </c>
      <c r="S88">
        <v>2.0947540060602701</v>
      </c>
      <c r="T88">
        <v>52.545900735559002</v>
      </c>
      <c r="V88">
        <v>36.645665293262802</v>
      </c>
      <c r="X88">
        <v>1.15666953833904</v>
      </c>
      <c r="AJ88">
        <v>0</v>
      </c>
      <c r="AK88">
        <v>-1.8357180556650698E-2</v>
      </c>
      <c r="AL88">
        <v>0.74080549397150497</v>
      </c>
      <c r="AM88">
        <v>6.4610915593173293E-2</v>
      </c>
      <c r="AN88">
        <v>0.21294077099197201</v>
      </c>
    </row>
    <row r="89" spans="1:40" x14ac:dyDescent="0.2">
      <c r="A89">
        <v>197</v>
      </c>
      <c r="B89">
        <v>768</v>
      </c>
      <c r="C89">
        <v>120</v>
      </c>
      <c r="D89">
        <v>0.474514239062578</v>
      </c>
      <c r="E89">
        <v>0.66315307434953596</v>
      </c>
      <c r="F89">
        <v>4.9225959884580002</v>
      </c>
      <c r="G89">
        <v>-4.4983156029459028</v>
      </c>
      <c r="H89">
        <v>-3.2643459064808935</v>
      </c>
      <c r="I89">
        <v>1.18519876719493</v>
      </c>
      <c r="J89">
        <v>0.59015459584642205</v>
      </c>
      <c r="K89">
        <v>0.13471612862490201</v>
      </c>
      <c r="L89">
        <v>3.7591504935187906E-5</v>
      </c>
      <c r="M89">
        <v>4.3608140619084371E-7</v>
      </c>
      <c r="N89" s="1">
        <v>2.7120620036088799E-9</v>
      </c>
      <c r="O89" s="1">
        <v>3.3301068281499199E-13</v>
      </c>
      <c r="P89">
        <v>0</v>
      </c>
      <c r="R89">
        <v>8.1182374628325302</v>
      </c>
      <c r="S89">
        <v>2.1331423290390399</v>
      </c>
      <c r="T89">
        <v>51.434767960107102</v>
      </c>
      <c r="V89">
        <v>37.125290985960198</v>
      </c>
      <c r="X89">
        <v>1.18856126206097</v>
      </c>
      <c r="AJ89">
        <v>0</v>
      </c>
      <c r="AK89">
        <v>-1.9271781169976701E-2</v>
      </c>
      <c r="AL89">
        <v>0.72441834945968697</v>
      </c>
      <c r="AM89">
        <v>6.6326254448436206E-2</v>
      </c>
      <c r="AN89">
        <v>0.22852717726185301</v>
      </c>
    </row>
    <row r="90" spans="1:40" x14ac:dyDescent="0.2">
      <c r="A90">
        <v>198</v>
      </c>
      <c r="B90">
        <v>766</v>
      </c>
      <c r="C90">
        <v>120</v>
      </c>
      <c r="D90">
        <v>0.47336813742000999</v>
      </c>
      <c r="E90">
        <v>0.691451718651513</v>
      </c>
      <c r="F90">
        <v>4.9185828322753897</v>
      </c>
      <c r="G90">
        <v>-4.7075047524960789</v>
      </c>
      <c r="H90">
        <v>-3.4231674409524628</v>
      </c>
      <c r="I90">
        <v>1.2359498739774</v>
      </c>
      <c r="J90">
        <v>0.61549848799868301</v>
      </c>
      <c r="K90">
        <v>0.140579460025407</v>
      </c>
      <c r="L90">
        <v>3.7033216934109581E-5</v>
      </c>
      <c r="M90">
        <v>4.3034504736419226E-7</v>
      </c>
      <c r="N90" s="1">
        <v>2.7896101434292601E-9</v>
      </c>
      <c r="O90" s="1">
        <v>3.4220805574107602E-13</v>
      </c>
      <c r="P90">
        <v>0</v>
      </c>
      <c r="R90">
        <v>8.4801894837986893</v>
      </c>
      <c r="S90">
        <v>2.1803062987324102</v>
      </c>
      <c r="T90">
        <v>50.692157433206098</v>
      </c>
      <c r="V90">
        <v>37.4375971589687</v>
      </c>
      <c r="X90">
        <v>1.2097496252939499</v>
      </c>
      <c r="AJ90">
        <v>0</v>
      </c>
      <c r="AK90">
        <v>-1.93988532878877E-2</v>
      </c>
      <c r="AL90">
        <v>0.71340980346266503</v>
      </c>
      <c r="AM90">
        <v>6.7456691671161098E-2</v>
      </c>
      <c r="AN90">
        <v>0.23853235815406101</v>
      </c>
    </row>
    <row r="91" spans="1:40" x14ac:dyDescent="0.2">
      <c r="A91">
        <v>199</v>
      </c>
      <c r="B91">
        <v>764</v>
      </c>
      <c r="C91">
        <v>120</v>
      </c>
      <c r="D91">
        <v>0.47221761558116099</v>
      </c>
      <c r="E91">
        <v>0.70948737778368598</v>
      </c>
      <c r="F91">
        <v>4.9155395188191697</v>
      </c>
      <c r="G91">
        <v>-4.8434453931926553</v>
      </c>
      <c r="H91">
        <v>-3.5283033166718689</v>
      </c>
      <c r="I91">
        <v>1.2680345914484701</v>
      </c>
      <c r="J91">
        <v>0.63166437877082104</v>
      </c>
      <c r="K91">
        <v>0.144335606512247</v>
      </c>
      <c r="L91">
        <v>3.6609284819925567E-5</v>
      </c>
      <c r="M91">
        <v>4.2608078998173847E-7</v>
      </c>
      <c r="N91" s="1">
        <v>2.8332995331475599E-9</v>
      </c>
      <c r="O91" s="1">
        <v>3.4732187900592398E-13</v>
      </c>
      <c r="P91">
        <v>0</v>
      </c>
      <c r="R91">
        <v>8.7396349185239206</v>
      </c>
      <c r="S91">
        <v>2.2294694965089299</v>
      </c>
      <c r="T91">
        <v>50.141794767574403</v>
      </c>
      <c r="V91">
        <v>37.664179758987899</v>
      </c>
      <c r="X91">
        <v>1.2249210584047401</v>
      </c>
      <c r="AJ91">
        <v>0</v>
      </c>
      <c r="AK91">
        <v>-1.9149003950254401E-2</v>
      </c>
      <c r="AL91">
        <v>0.70521588632862098</v>
      </c>
      <c r="AM91">
        <v>6.8259257000976195E-2</v>
      </c>
      <c r="AN91">
        <v>0.24567386062065599</v>
      </c>
    </row>
    <row r="92" spans="1:40" x14ac:dyDescent="0.2">
      <c r="A92">
        <v>200</v>
      </c>
      <c r="B92">
        <v>762</v>
      </c>
      <c r="C92">
        <v>120</v>
      </c>
      <c r="D92">
        <v>0.47106264792542502</v>
      </c>
      <c r="E92">
        <v>0.72208706936829903</v>
      </c>
      <c r="F92">
        <v>4.9131001465271096</v>
      </c>
      <c r="G92">
        <v>-4.9400116123281244</v>
      </c>
      <c r="H92">
        <v>-3.6044705300104747</v>
      </c>
      <c r="I92">
        <v>1.29019087312722</v>
      </c>
      <c r="J92">
        <v>0.64296222928295599</v>
      </c>
      <c r="K92">
        <v>0.146971779087124</v>
      </c>
      <c r="L92">
        <v>3.6265092486621449E-5</v>
      </c>
      <c r="M92">
        <v>4.2268772805316545E-7</v>
      </c>
      <c r="N92" s="1">
        <v>2.8601217624920799E-9</v>
      </c>
      <c r="O92" s="1">
        <v>3.5041536743417E-13</v>
      </c>
      <c r="P92">
        <v>0</v>
      </c>
      <c r="R92">
        <v>8.9389171614633103</v>
      </c>
      <c r="S92">
        <v>2.27849027991074</v>
      </c>
      <c r="T92">
        <v>49.705675750111197</v>
      </c>
      <c r="V92">
        <v>37.840610510645199</v>
      </c>
      <c r="X92">
        <v>1.2363062978694499</v>
      </c>
      <c r="AJ92">
        <v>0</v>
      </c>
      <c r="AK92">
        <v>-1.86933897308658E-2</v>
      </c>
      <c r="AL92">
        <v>0.69869927578566005</v>
      </c>
      <c r="AM92">
        <v>6.8855975581534501E-2</v>
      </c>
      <c r="AN92">
        <v>0.25113813836366999</v>
      </c>
    </row>
    <row r="93" spans="1:40" x14ac:dyDescent="0.2">
      <c r="A93">
        <v>201</v>
      </c>
      <c r="B93">
        <v>760</v>
      </c>
      <c r="C93">
        <v>120</v>
      </c>
      <c r="D93">
        <v>0.46990320863379098</v>
      </c>
      <c r="E93">
        <v>0.731423122272436</v>
      </c>
      <c r="F93">
        <v>4.9110687962347503</v>
      </c>
      <c r="G93">
        <v>-5.0126492462545986</v>
      </c>
      <c r="H93">
        <v>-3.6629778895734835</v>
      </c>
      <c r="I93">
        <v>1.3063653454785</v>
      </c>
      <c r="J93">
        <v>0.65133377719153696</v>
      </c>
      <c r="K93">
        <v>0.14893359319934699</v>
      </c>
      <c r="L93">
        <v>3.5972719742497251E-5</v>
      </c>
      <c r="M93">
        <v>4.1985918035052563E-7</v>
      </c>
      <c r="N93" s="1">
        <v>2.8773104569449001E-9</v>
      </c>
      <c r="O93" s="1">
        <v>3.52362226538744E-13</v>
      </c>
      <c r="P93">
        <v>0</v>
      </c>
      <c r="R93">
        <v>9.0995230743700706</v>
      </c>
      <c r="S93">
        <v>2.32662330277256</v>
      </c>
      <c r="T93">
        <v>49.343853964047902</v>
      </c>
      <c r="V93">
        <v>37.984892534358899</v>
      </c>
      <c r="X93">
        <v>1.2451071244504901</v>
      </c>
      <c r="AJ93">
        <v>0</v>
      </c>
      <c r="AK93">
        <v>-1.8115066847979099E-2</v>
      </c>
      <c r="AL93">
        <v>0.69327640831848802</v>
      </c>
      <c r="AM93">
        <v>6.9312460633104506E-2</v>
      </c>
      <c r="AN93">
        <v>0.25552619789638598</v>
      </c>
    </row>
    <row r="94" spans="1:40" x14ac:dyDescent="0.2">
      <c r="A94">
        <v>202</v>
      </c>
      <c r="B94">
        <v>758</v>
      </c>
      <c r="C94">
        <v>120</v>
      </c>
      <c r="D94">
        <v>0.46873927168695301</v>
      </c>
      <c r="E94">
        <v>0.738623566378389</v>
      </c>
      <c r="F94">
        <v>4.9093299297316504</v>
      </c>
      <c r="G94">
        <v>-5.0694662317238546</v>
      </c>
      <c r="H94">
        <v>-3.7097778259815639</v>
      </c>
      <c r="I94">
        <v>1.3186135923408699</v>
      </c>
      <c r="J94">
        <v>0.65778822858889396</v>
      </c>
      <c r="K94">
        <v>0.150453030647863</v>
      </c>
      <c r="L94">
        <v>3.5716276610044055E-5</v>
      </c>
      <c r="M94">
        <v>4.1742085231800461E-7</v>
      </c>
      <c r="N94" s="1">
        <v>2.8884514206261699E-9</v>
      </c>
      <c r="O94" s="1">
        <v>3.5359346166521698E-13</v>
      </c>
      <c r="P94">
        <v>0</v>
      </c>
      <c r="R94">
        <v>9.2335991392039407</v>
      </c>
      <c r="S94">
        <v>2.3736174846707399</v>
      </c>
      <c r="T94">
        <v>49.033565277421999</v>
      </c>
      <c r="V94">
        <v>38.107182445241399</v>
      </c>
      <c r="X94">
        <v>1.25203565346182</v>
      </c>
      <c r="AJ94">
        <v>0</v>
      </c>
      <c r="AK94">
        <v>-1.74589802389838E-2</v>
      </c>
      <c r="AL94">
        <v>0.68861416152608301</v>
      </c>
      <c r="AM94">
        <v>6.9667530650564399E-2</v>
      </c>
      <c r="AN94">
        <v>0.25917728806233498</v>
      </c>
    </row>
    <row r="95" spans="1:40" x14ac:dyDescent="0.2">
      <c r="A95">
        <v>203</v>
      </c>
      <c r="B95">
        <v>756</v>
      </c>
      <c r="C95">
        <v>120</v>
      </c>
      <c r="D95">
        <v>0.46757081086333502</v>
      </c>
      <c r="E95">
        <v>0.72864549080833796</v>
      </c>
      <c r="F95">
        <v>4.9118155205392098</v>
      </c>
      <c r="G95">
        <v>-4.9897516082371718</v>
      </c>
      <c r="H95">
        <v>-3.6530037136056626</v>
      </c>
      <c r="I95">
        <v>1.2988853856400999</v>
      </c>
      <c r="J95">
        <v>0.64888513615281596</v>
      </c>
      <c r="K95">
        <v>0.14834545144487599</v>
      </c>
      <c r="L95">
        <v>3.605484750492347E-5</v>
      </c>
      <c r="M95">
        <v>4.2156081838585604E-7</v>
      </c>
      <c r="N95" s="1">
        <v>2.8795749725048801E-9</v>
      </c>
      <c r="O95" s="1">
        <v>3.5284039806637501E-13</v>
      </c>
      <c r="P95">
        <v>0</v>
      </c>
      <c r="R95">
        <v>8.8700986839263702</v>
      </c>
      <c r="S95">
        <v>2.4786891006017999</v>
      </c>
      <c r="T95">
        <v>49.5991722058777</v>
      </c>
      <c r="V95">
        <v>37.823063692684698</v>
      </c>
      <c r="X95">
        <v>1.2289763169093499</v>
      </c>
      <c r="AJ95">
        <v>0</v>
      </c>
      <c r="AK95">
        <v>-1.3864082560854901E-2</v>
      </c>
      <c r="AL95">
        <v>0.69652169743091397</v>
      </c>
      <c r="AM95">
        <v>6.8380926208032503E-2</v>
      </c>
      <c r="AN95">
        <v>0.24896145892190699</v>
      </c>
    </row>
    <row r="96" spans="1:40" x14ac:dyDescent="0.2">
      <c r="A96">
        <v>215</v>
      </c>
      <c r="B96">
        <v>780</v>
      </c>
      <c r="C96">
        <v>105</v>
      </c>
      <c r="D96">
        <v>0.49696671889094501</v>
      </c>
      <c r="E96">
        <v>0.25832863050535299</v>
      </c>
      <c r="F96">
        <v>4.9459223397300001</v>
      </c>
      <c r="G96">
        <v>-1.7143022218594322</v>
      </c>
      <c r="H96">
        <v>-1.2287410880019836</v>
      </c>
      <c r="I96">
        <v>0.46105600708108802</v>
      </c>
      <c r="J96">
        <v>0.22949730802423901</v>
      </c>
      <c r="K96">
        <v>5.2230628133852902E-2</v>
      </c>
      <c r="L96">
        <v>4.1221399681515115E-5</v>
      </c>
      <c r="M96">
        <v>4.733303591958499E-7</v>
      </c>
      <c r="N96" s="1">
        <v>1.1498706169952701E-9</v>
      </c>
      <c r="O96" s="1">
        <v>1.4214143336857899E-13</v>
      </c>
      <c r="P96">
        <v>0</v>
      </c>
      <c r="R96">
        <v>5.5079408006244401</v>
      </c>
      <c r="S96">
        <v>2.1445897189153502</v>
      </c>
      <c r="T96">
        <v>56.358646624593803</v>
      </c>
      <c r="V96">
        <v>34.986913930304503</v>
      </c>
      <c r="X96">
        <v>1.0019089255618501</v>
      </c>
      <c r="AJ96">
        <v>0</v>
      </c>
      <c r="AK96">
        <v>-8.6368467544449806E-3</v>
      </c>
      <c r="AL96">
        <v>0.796857514579844</v>
      </c>
      <c r="AM96">
        <v>5.6128005016118497E-2</v>
      </c>
      <c r="AN96">
        <v>0.15565132715848101</v>
      </c>
    </row>
    <row r="97" spans="1:40" x14ac:dyDescent="0.2">
      <c r="A97">
        <v>216</v>
      </c>
      <c r="B97">
        <v>778</v>
      </c>
      <c r="C97">
        <v>105</v>
      </c>
      <c r="D97">
        <v>0.49587642106264601</v>
      </c>
      <c r="E97">
        <v>0.53432683198737996</v>
      </c>
      <c r="F97">
        <v>4.9327461046284098</v>
      </c>
      <c r="G97">
        <v>-3.5889726869618128</v>
      </c>
      <c r="H97">
        <v>-2.5838939636889422</v>
      </c>
      <c r="I97">
        <v>0.95617059722482101</v>
      </c>
      <c r="J97">
        <v>0.475347773196718</v>
      </c>
      <c r="K97">
        <v>0.10832238689236801</v>
      </c>
      <c r="L97">
        <v>3.9752267190208979E-5</v>
      </c>
      <c r="M97">
        <v>4.583463897283253E-7</v>
      </c>
      <c r="N97" s="1">
        <v>2.2966817865004601E-9</v>
      </c>
      <c r="O97" s="1">
        <v>2.8266217501250401E-13</v>
      </c>
      <c r="P97">
        <v>0</v>
      </c>
      <c r="R97">
        <v>6.6896693647344403</v>
      </c>
      <c r="S97">
        <v>2.1229153747564702</v>
      </c>
      <c r="T97">
        <v>54.184256632772801</v>
      </c>
      <c r="V97">
        <v>35.851256897068801</v>
      </c>
      <c r="X97">
        <v>1.15190173066743</v>
      </c>
      <c r="AJ97">
        <v>0</v>
      </c>
      <c r="AK97">
        <v>-1.7481617503921201E-2</v>
      </c>
      <c r="AL97">
        <v>0.76445391830245302</v>
      </c>
      <c r="AM97">
        <v>6.4390954948252796E-2</v>
      </c>
      <c r="AN97">
        <v>0.188636744253214</v>
      </c>
    </row>
    <row r="98" spans="1:40" x14ac:dyDescent="0.2">
      <c r="A98">
        <v>217</v>
      </c>
      <c r="B98">
        <v>776</v>
      </c>
      <c r="C98">
        <v>105</v>
      </c>
      <c r="D98">
        <v>0.49478196635371602</v>
      </c>
      <c r="E98">
        <v>0.62765958720181203</v>
      </c>
      <c r="F98">
        <v>4.9251028976521498</v>
      </c>
      <c r="G98">
        <v>-4.2477267896732709</v>
      </c>
      <c r="H98">
        <v>-3.0678331188567349</v>
      </c>
      <c r="I98">
        <v>1.12461866350525</v>
      </c>
      <c r="J98">
        <v>0.55873451816366404</v>
      </c>
      <c r="K98">
        <v>0.12744090839219199</v>
      </c>
      <c r="L98">
        <v>3.8606643967902118E-5</v>
      </c>
      <c r="M98">
        <v>4.4618704028037289E-7</v>
      </c>
      <c r="N98" s="1">
        <v>2.6242907410045598E-9</v>
      </c>
      <c r="O98" s="1">
        <v>3.2237954871625899E-13</v>
      </c>
      <c r="P98">
        <v>0</v>
      </c>
      <c r="R98">
        <v>7.5082182434815898</v>
      </c>
      <c r="S98">
        <v>2.1399894613175201</v>
      </c>
      <c r="T98">
        <v>52.608476206907298</v>
      </c>
      <c r="V98">
        <v>36.546655068718103</v>
      </c>
      <c r="X98">
        <v>1.19666101957532</v>
      </c>
      <c r="AJ98">
        <v>0</v>
      </c>
      <c r="AK98">
        <v>-1.9582337616947599E-2</v>
      </c>
      <c r="AL98">
        <v>0.74131246448118204</v>
      </c>
      <c r="AM98">
        <v>6.6810999329970602E-2</v>
      </c>
      <c r="AN98">
        <v>0.21145887380579401</v>
      </c>
    </row>
    <row r="99" spans="1:40" x14ac:dyDescent="0.2">
      <c r="A99">
        <v>218</v>
      </c>
      <c r="B99">
        <v>774</v>
      </c>
      <c r="C99">
        <v>105</v>
      </c>
      <c r="D99">
        <v>0.493683330945906</v>
      </c>
      <c r="E99">
        <v>0.67152383812914096</v>
      </c>
      <c r="F99">
        <v>4.9200097670517398</v>
      </c>
      <c r="G99">
        <v>-4.5664696011541475</v>
      </c>
      <c r="H99">
        <v>-3.305923456199042</v>
      </c>
      <c r="I99">
        <v>1.2037875614335101</v>
      </c>
      <c r="J99">
        <v>0.59800752012382297</v>
      </c>
      <c r="K99">
        <v>0.13648831403266501</v>
      </c>
      <c r="L99">
        <v>3.7878779744692146E-5</v>
      </c>
      <c r="M99">
        <v>4.3861592636978969E-7</v>
      </c>
      <c r="N99" s="1">
        <v>2.7586831891207701E-9</v>
      </c>
      <c r="O99" s="1">
        <v>3.3846833823572199E-13</v>
      </c>
      <c r="P99">
        <v>0</v>
      </c>
      <c r="R99">
        <v>8.0008151040907602</v>
      </c>
      <c r="S99">
        <v>2.1801316537859301</v>
      </c>
      <c r="T99">
        <v>51.626064736222098</v>
      </c>
      <c r="V99">
        <v>36.967545463777903</v>
      </c>
      <c r="X99">
        <v>1.2254430421232501</v>
      </c>
      <c r="AJ99">
        <v>0</v>
      </c>
      <c r="AK99">
        <v>-2.0284770528926001E-2</v>
      </c>
      <c r="AL99">
        <v>0.72680345460301499</v>
      </c>
      <c r="AM99">
        <v>6.8355322278367298E-2</v>
      </c>
      <c r="AN99">
        <v>0.22512599364754299</v>
      </c>
    </row>
    <row r="100" spans="1:40" x14ac:dyDescent="0.2">
      <c r="A100">
        <v>219</v>
      </c>
      <c r="B100">
        <v>772</v>
      </c>
      <c r="C100">
        <v>105</v>
      </c>
      <c r="D100">
        <v>0.49258049083863298</v>
      </c>
      <c r="E100">
        <v>0.69713100147477702</v>
      </c>
      <c r="F100">
        <v>4.9163021173853103</v>
      </c>
      <c r="G100">
        <v>-4.7567476063053693</v>
      </c>
      <c r="H100">
        <v>-3.4505279637763873</v>
      </c>
      <c r="I100">
        <v>1.24979155387167</v>
      </c>
      <c r="J100">
        <v>0.62096500728025905</v>
      </c>
      <c r="K100">
        <v>0.14179987007094999</v>
      </c>
      <c r="L100">
        <v>3.7356822583543781E-5</v>
      </c>
      <c r="M100">
        <v>4.3329891262819041E-7</v>
      </c>
      <c r="N100" s="1">
        <v>2.82818641846441E-9</v>
      </c>
      <c r="O100" s="1">
        <v>3.4668552440633999E-13</v>
      </c>
      <c r="P100">
        <v>0</v>
      </c>
      <c r="R100">
        <v>8.3349020295347103</v>
      </c>
      <c r="S100">
        <v>2.2269278250129898</v>
      </c>
      <c r="T100">
        <v>50.937041712992198</v>
      </c>
      <c r="V100">
        <v>37.255658302869897</v>
      </c>
      <c r="X100">
        <v>1.2454701295901001</v>
      </c>
      <c r="AJ100">
        <v>0</v>
      </c>
      <c r="AK100">
        <v>-2.03551546204131E-2</v>
      </c>
      <c r="AL100">
        <v>0.71657862299644204</v>
      </c>
      <c r="AM100">
        <v>6.9421611257458604E-2</v>
      </c>
      <c r="AN100">
        <v>0.23435492036651201</v>
      </c>
    </row>
    <row r="101" spans="1:40" x14ac:dyDescent="0.2">
      <c r="A101">
        <v>220</v>
      </c>
      <c r="B101">
        <v>770</v>
      </c>
      <c r="C101">
        <v>105</v>
      </c>
      <c r="D101">
        <v>0.49147342184729198</v>
      </c>
      <c r="E101">
        <v>0.71408246679696696</v>
      </c>
      <c r="F101">
        <v>4.9134185021496002</v>
      </c>
      <c r="G101">
        <v>-4.8850334686579675</v>
      </c>
      <c r="H101">
        <v>-3.549807764281268</v>
      </c>
      <c r="I101">
        <v>1.2799939647957601</v>
      </c>
      <c r="J101">
        <v>0.63617462972235095</v>
      </c>
      <c r="K101">
        <v>0.145333125294448</v>
      </c>
      <c r="L101">
        <v>3.6949935826771525E-5</v>
      </c>
      <c r="M101">
        <v>4.2923794294189095E-7</v>
      </c>
      <c r="N101" s="1">
        <v>2.8690779038128799E-9</v>
      </c>
      <c r="O101" s="1">
        <v>3.5145718260207799E-13</v>
      </c>
      <c r="P101">
        <v>0</v>
      </c>
      <c r="R101">
        <v>8.5814124807669891</v>
      </c>
      <c r="S101">
        <v>2.2753543845794701</v>
      </c>
      <c r="T101">
        <v>50.412293966935103</v>
      </c>
      <c r="V101">
        <v>37.4706990948902</v>
      </c>
      <c r="X101">
        <v>1.26024007282809</v>
      </c>
      <c r="AJ101">
        <v>0</v>
      </c>
      <c r="AK101">
        <v>-2.0099043387129201E-2</v>
      </c>
      <c r="AL101">
        <v>0.70875985060999103</v>
      </c>
      <c r="AM101">
        <v>7.0201626858567401E-2</v>
      </c>
      <c r="AN101">
        <v>0.24113756591857</v>
      </c>
    </row>
    <row r="102" spans="1:40" x14ac:dyDescent="0.2">
      <c r="A102">
        <v>221</v>
      </c>
      <c r="B102">
        <v>768</v>
      </c>
      <c r="C102">
        <v>105</v>
      </c>
      <c r="D102">
        <v>0.49036209960140498</v>
      </c>
      <c r="E102">
        <v>0.726216978651126</v>
      </c>
      <c r="F102">
        <v>4.9110702535956996</v>
      </c>
      <c r="G102">
        <v>-4.9783279013519799</v>
      </c>
      <c r="H102">
        <v>-3.6234095878606314</v>
      </c>
      <c r="I102">
        <v>1.30136705901296</v>
      </c>
      <c r="J102">
        <v>0.64706651917660396</v>
      </c>
      <c r="K102">
        <v>0.147873465690989</v>
      </c>
      <c r="L102">
        <v>3.6614399301415499E-5</v>
      </c>
      <c r="M102">
        <v>4.2595360292544434E-7</v>
      </c>
      <c r="N102" s="1">
        <v>2.8949484550730699E-9</v>
      </c>
      <c r="O102" s="1">
        <v>3.5443209706555798E-13</v>
      </c>
      <c r="P102">
        <v>0</v>
      </c>
      <c r="R102">
        <v>8.7741964834249906</v>
      </c>
      <c r="S102">
        <v>2.3236546926088701</v>
      </c>
      <c r="T102">
        <v>49.989529889979501</v>
      </c>
      <c r="V102">
        <v>37.641057071407801</v>
      </c>
      <c r="X102">
        <v>1.2715618625787399</v>
      </c>
      <c r="AJ102">
        <v>0</v>
      </c>
      <c r="AK102">
        <v>-1.9655610068559402E-2</v>
      </c>
      <c r="AL102">
        <v>0.702438865457779</v>
      </c>
      <c r="AM102">
        <v>7.0794287902490205E-2</v>
      </c>
      <c r="AN102">
        <v>0.24642245670828899</v>
      </c>
    </row>
    <row r="103" spans="1:40" x14ac:dyDescent="0.2">
      <c r="A103">
        <v>222</v>
      </c>
      <c r="B103">
        <v>766</v>
      </c>
      <c r="C103">
        <v>105</v>
      </c>
      <c r="D103">
        <v>0.4892464995429</v>
      </c>
      <c r="E103">
        <v>0.73536722679781397</v>
      </c>
      <c r="F103">
        <v>4.90909413604329</v>
      </c>
      <c r="G103">
        <v>-5.0496856458049946</v>
      </c>
      <c r="H103">
        <v>-3.6808640883993058</v>
      </c>
      <c r="I103">
        <v>1.31725117394571</v>
      </c>
      <c r="J103">
        <v>0.65528006887322299</v>
      </c>
      <c r="K103">
        <v>0.14979692921320001</v>
      </c>
      <c r="L103">
        <v>3.6326603498326248E-5</v>
      </c>
      <c r="M103">
        <v>4.2318742021522724E-7</v>
      </c>
      <c r="N103" s="1">
        <v>2.9119516350059801E-9</v>
      </c>
      <c r="O103" s="1">
        <v>3.5635295225551098E-13</v>
      </c>
      <c r="P103">
        <v>0</v>
      </c>
      <c r="R103">
        <v>8.9314016924737203</v>
      </c>
      <c r="S103">
        <v>2.3711688637327901</v>
      </c>
      <c r="T103">
        <v>49.635053804870097</v>
      </c>
      <c r="V103">
        <v>37.781912001425198</v>
      </c>
      <c r="X103">
        <v>1.28046363749813</v>
      </c>
      <c r="AJ103">
        <v>0</v>
      </c>
      <c r="AK103">
        <v>-1.90963694577015E-2</v>
      </c>
      <c r="AL103">
        <v>0.69712340106942405</v>
      </c>
      <c r="AM103">
        <v>7.1255707735367504E-2</v>
      </c>
      <c r="AN103">
        <v>0.250717260652909</v>
      </c>
    </row>
    <row r="104" spans="1:40" x14ac:dyDescent="0.2">
      <c r="A104">
        <v>223</v>
      </c>
      <c r="B104">
        <v>764</v>
      </c>
      <c r="C104">
        <v>105</v>
      </c>
      <c r="D104">
        <v>0.48812659692426702</v>
      </c>
      <c r="E104">
        <v>0.74252227387823</v>
      </c>
      <c r="F104">
        <v>4.9073902335977904</v>
      </c>
      <c r="G104">
        <v>-5.1062271348504513</v>
      </c>
      <c r="H104">
        <v>-3.7273835313172929</v>
      </c>
      <c r="I104">
        <v>1.32945437355556</v>
      </c>
      <c r="J104">
        <v>0.66170084246028804</v>
      </c>
      <c r="K104">
        <v>0.15130695512956099</v>
      </c>
      <c r="L104">
        <v>3.6072603526373771E-5</v>
      </c>
      <c r="M104">
        <v>4.2078694070876277E-7</v>
      </c>
      <c r="N104" s="1">
        <v>2.9232623128312501E-9</v>
      </c>
      <c r="O104" s="1">
        <v>3.5760109690245502E-13</v>
      </c>
      <c r="P104">
        <v>0</v>
      </c>
      <c r="R104">
        <v>9.0636769081485493</v>
      </c>
      <c r="S104">
        <v>2.4176553962143799</v>
      </c>
      <c r="T104">
        <v>49.328937684993001</v>
      </c>
      <c r="V104">
        <v>37.902152682283798</v>
      </c>
      <c r="X104">
        <v>1.2875773283602101</v>
      </c>
      <c r="AJ104">
        <v>0</v>
      </c>
      <c r="AK104">
        <v>-1.8461600513589801E-2</v>
      </c>
      <c r="AL104">
        <v>0.692521831873675</v>
      </c>
      <c r="AM104">
        <v>7.1620322287117899E-2</v>
      </c>
      <c r="AN104">
        <v>0.25431944635279602</v>
      </c>
    </row>
    <row r="105" spans="1:40" x14ac:dyDescent="0.2">
      <c r="A105">
        <v>224</v>
      </c>
      <c r="B105">
        <v>762</v>
      </c>
      <c r="C105">
        <v>105</v>
      </c>
      <c r="D105">
        <v>0.48700236680674502</v>
      </c>
      <c r="E105">
        <v>0.74826541111199996</v>
      </c>
      <c r="F105">
        <v>4.90589344522619</v>
      </c>
      <c r="G105">
        <v>-5.1521903209894555</v>
      </c>
      <c r="H105">
        <v>-3.7660771166424936</v>
      </c>
      <c r="I105">
        <v>1.33904574636232</v>
      </c>
      <c r="J105">
        <v>0.66685152274444304</v>
      </c>
      <c r="K105">
        <v>0.15252377970828501</v>
      </c>
      <c r="L105">
        <v>3.5843575663775352E-5</v>
      </c>
      <c r="M105">
        <v>4.1865581651665064E-7</v>
      </c>
      <c r="N105" s="1">
        <v>2.9306807123147402E-9</v>
      </c>
      <c r="O105" s="1">
        <v>3.5839178914188301E-13</v>
      </c>
      <c r="P105">
        <v>0</v>
      </c>
      <c r="R105">
        <v>9.1777191297526901</v>
      </c>
      <c r="S105">
        <v>2.4630460298879702</v>
      </c>
      <c r="T105">
        <v>49.0585590154881</v>
      </c>
      <c r="V105">
        <v>38.007359771126197</v>
      </c>
      <c r="X105">
        <v>1.29331605374485</v>
      </c>
      <c r="AJ105">
        <v>0</v>
      </c>
      <c r="AK105">
        <v>-1.7775626843699599E-2</v>
      </c>
      <c r="AL105">
        <v>0.68844915680349905</v>
      </c>
      <c r="AM105">
        <v>7.1910613982413496E-2</v>
      </c>
      <c r="AN105">
        <v>0.257415856057786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959D7-C3FB-4496-9F3F-66E1C7E82A46}">
  <sheetPr codeName="Sheet8"/>
  <dimension ref="A1:AP104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14</v>
      </c>
      <c r="B2">
        <v>734</v>
      </c>
      <c r="C2">
        <v>300</v>
      </c>
      <c r="D2">
        <v>0.25781710768008598</v>
      </c>
      <c r="E2">
        <v>0.436406832549946</v>
      </c>
      <c r="F2">
        <v>3.5902480146437701</v>
      </c>
      <c r="G2">
        <v>-5.5429591209697042</v>
      </c>
      <c r="H2">
        <v>-4.7135121494043863</v>
      </c>
      <c r="I2">
        <v>0.82355852808948005</v>
      </c>
      <c r="J2">
        <v>0.48667631856276899</v>
      </c>
      <c r="K2">
        <v>0.121553394297537</v>
      </c>
      <c r="L2">
        <v>4.4322035415071205E-5</v>
      </c>
      <c r="M2">
        <v>9.1477213222032718E-7</v>
      </c>
      <c r="N2" s="1">
        <v>6.8249323386203401E-10</v>
      </c>
      <c r="O2" s="1">
        <v>1.18783741568469E-13</v>
      </c>
      <c r="P2" s="1">
        <v>-8.4840171958189003E-13</v>
      </c>
      <c r="Q2">
        <v>49.620479117250603</v>
      </c>
      <c r="R2">
        <v>1.7469414641595099E-2</v>
      </c>
      <c r="S2">
        <v>2.24137033588545</v>
      </c>
      <c r="T2">
        <v>0.558699710077046</v>
      </c>
      <c r="V2">
        <v>32.422460660261699</v>
      </c>
      <c r="X2">
        <v>14.9088479097405</v>
      </c>
      <c r="AA2">
        <v>0.21414178416769999</v>
      </c>
      <c r="AB2">
        <v>1.65310679752604E-2</v>
      </c>
      <c r="AJ2">
        <v>-1.11100647316551</v>
      </c>
      <c r="AK2">
        <v>0.98977543499832299</v>
      </c>
      <c r="AL2">
        <v>1.06022523709922</v>
      </c>
      <c r="AM2">
        <v>4.3313286305096101E-2</v>
      </c>
      <c r="AN2">
        <v>-4.2285920114113203E-2</v>
      </c>
      <c r="AO2">
        <v>5.8725166906615001E-2</v>
      </c>
      <c r="AP2">
        <v>1.2532679703708301E-3</v>
      </c>
    </row>
    <row r="3" spans="1:42" x14ac:dyDescent="0.2">
      <c r="A3">
        <v>15</v>
      </c>
      <c r="B3">
        <v>732</v>
      </c>
      <c r="C3">
        <v>300</v>
      </c>
      <c r="D3">
        <v>0.256201064517732</v>
      </c>
      <c r="E3">
        <v>0.58717267370614601</v>
      </c>
      <c r="F3">
        <v>3.5977274536712001</v>
      </c>
      <c r="G3">
        <v>-7.4340525567504203</v>
      </c>
      <c r="H3">
        <v>-6.3223914740526341</v>
      </c>
      <c r="I3">
        <v>1.1059653610881801</v>
      </c>
      <c r="J3">
        <v>0.65379992606542803</v>
      </c>
      <c r="K3">
        <v>0.16320654670686099</v>
      </c>
      <c r="L3">
        <v>4.423011958404647E-5</v>
      </c>
      <c r="M3">
        <v>9.1501354685818777E-7</v>
      </c>
      <c r="N3" s="1">
        <v>1.0113545645670301E-9</v>
      </c>
      <c r="O3" s="1">
        <v>1.5930376676720101E-13</v>
      </c>
      <c r="P3" s="1">
        <v>-1.7969672172506901E-12</v>
      </c>
      <c r="Q3">
        <v>49.3399214887543</v>
      </c>
      <c r="R3">
        <v>1.77241405947695E-2</v>
      </c>
      <c r="S3">
        <v>2.5420883922924702</v>
      </c>
      <c r="T3">
        <v>0.60046736695027203</v>
      </c>
      <c r="V3">
        <v>32.732537455801499</v>
      </c>
      <c r="X3">
        <v>14.577700515945301</v>
      </c>
      <c r="AA3">
        <v>0.17373127833207799</v>
      </c>
      <c r="AB3">
        <v>1.5829361329175302E-2</v>
      </c>
      <c r="AJ3">
        <v>-1.13233755547078</v>
      </c>
      <c r="AK3">
        <v>0.99150719278931898</v>
      </c>
      <c r="AL3">
        <v>1.07218356580956</v>
      </c>
      <c r="AM3">
        <v>4.9746443875125002E-2</v>
      </c>
      <c r="AN3">
        <v>-4.8702326290938E-2</v>
      </c>
      <c r="AO3">
        <v>6.6400570620527399E-2</v>
      </c>
      <c r="AP3">
        <v>1.2021086671824999E-3</v>
      </c>
    </row>
    <row r="4" spans="1:42" x14ac:dyDescent="0.2">
      <c r="A4">
        <v>16</v>
      </c>
      <c r="B4">
        <v>730</v>
      </c>
      <c r="C4">
        <v>300</v>
      </c>
      <c r="D4">
        <v>0.25457857748093798</v>
      </c>
      <c r="E4">
        <v>0.64170120948638099</v>
      </c>
      <c r="F4">
        <v>3.6018014724545302</v>
      </c>
      <c r="G4">
        <v>-8.1129100976776218</v>
      </c>
      <c r="H4">
        <v>-6.9022372643269074</v>
      </c>
      <c r="I4">
        <v>1.2068711891050301</v>
      </c>
      <c r="J4">
        <v>0.71402790856162601</v>
      </c>
      <c r="K4">
        <v>0.17816118250656299</v>
      </c>
      <c r="L4">
        <v>4.4150657075386677E-5</v>
      </c>
      <c r="M4">
        <v>9.1481206969222482E-7</v>
      </c>
      <c r="N4" s="1">
        <v>1.1776059054754399E-9</v>
      </c>
      <c r="O4" s="1">
        <v>1.7405895861646301E-13</v>
      </c>
      <c r="P4" s="1">
        <v>-2.46945755206024E-12</v>
      </c>
      <c r="Q4">
        <v>49.154972621469298</v>
      </c>
      <c r="R4">
        <v>1.8518064919689201E-2</v>
      </c>
      <c r="S4">
        <v>2.7774386666214501</v>
      </c>
      <c r="T4">
        <v>0.62475227519603405</v>
      </c>
      <c r="V4">
        <v>32.855507725147199</v>
      </c>
      <c r="X4">
        <v>14.403202993293</v>
      </c>
      <c r="AA4">
        <v>0.15027446846456199</v>
      </c>
      <c r="AB4">
        <v>1.53331848885075E-2</v>
      </c>
      <c r="AJ4">
        <v>-1.14398977559691</v>
      </c>
      <c r="AK4">
        <v>0.99252396972494905</v>
      </c>
      <c r="AL4">
        <v>1.0769718132192401</v>
      </c>
      <c r="AM4">
        <v>5.4901713553978403E-2</v>
      </c>
      <c r="AN4">
        <v>-5.3810055791518902E-2</v>
      </c>
      <c r="AO4">
        <v>7.2237084144073593E-2</v>
      </c>
      <c r="AP4">
        <v>1.16525074618163E-3</v>
      </c>
    </row>
    <row r="5" spans="1:42" x14ac:dyDescent="0.2">
      <c r="A5">
        <v>17</v>
      </c>
      <c r="B5">
        <v>728</v>
      </c>
      <c r="C5">
        <v>300</v>
      </c>
      <c r="D5">
        <v>0.25294960795086002</v>
      </c>
      <c r="E5">
        <v>0.67489040633136299</v>
      </c>
      <c r="F5">
        <v>3.6054720925125698</v>
      </c>
      <c r="G5">
        <v>-8.5215440593477272</v>
      </c>
      <c r="H5">
        <v>-7.2526511785078265</v>
      </c>
      <c r="I5">
        <v>1.26743533021015</v>
      </c>
      <c r="J5">
        <v>0.75044837872617298</v>
      </c>
      <c r="K5">
        <v>0.187185031256488</v>
      </c>
      <c r="L5">
        <v>4.4068660282855815E-5</v>
      </c>
      <c r="M5">
        <v>9.1461371890456533E-7</v>
      </c>
      <c r="N5" s="1">
        <v>1.31086918618648E-9</v>
      </c>
      <c r="O5" s="1">
        <v>1.82762056827391E-13</v>
      </c>
      <c r="P5" s="1">
        <v>-3.0498105994128801E-12</v>
      </c>
      <c r="Q5">
        <v>48.9875656279278</v>
      </c>
      <c r="R5">
        <v>1.9169215549725001E-2</v>
      </c>
      <c r="S5">
        <v>2.9919290625535999</v>
      </c>
      <c r="T5">
        <v>0.64545822023950306</v>
      </c>
      <c r="V5">
        <v>32.964199813980002</v>
      </c>
      <c r="X5">
        <v>14.2438723808626</v>
      </c>
      <c r="AA5">
        <v>0.13290644240392699</v>
      </c>
      <c r="AB5">
        <v>1.4899236482733599E-2</v>
      </c>
      <c r="AJ5">
        <v>-1.1543081296135</v>
      </c>
      <c r="AK5">
        <v>0.99328206456277002</v>
      </c>
      <c r="AL5">
        <v>1.0812192715750899</v>
      </c>
      <c r="AM5">
        <v>5.9623992003893102E-2</v>
      </c>
      <c r="AN5">
        <v>-5.8493232278582899E-2</v>
      </c>
      <c r="AO5">
        <v>7.7543043646598697E-2</v>
      </c>
      <c r="AP5">
        <v>1.1329901037295299E-3</v>
      </c>
    </row>
    <row r="6" spans="1:42" x14ac:dyDescent="0.2">
      <c r="A6">
        <v>18</v>
      </c>
      <c r="B6">
        <v>726</v>
      </c>
      <c r="C6">
        <v>300</v>
      </c>
      <c r="D6">
        <v>0.251314116999449</v>
      </c>
      <c r="E6">
        <v>0.69919709320648904</v>
      </c>
      <c r="F6">
        <v>3.60889673981556</v>
      </c>
      <c r="G6">
        <v>-8.8178409288752082</v>
      </c>
      <c r="H6">
        <v>-7.5077731994786809</v>
      </c>
      <c r="I6">
        <v>1.31118223429567</v>
      </c>
      <c r="J6">
        <v>0.77694953328835803</v>
      </c>
      <c r="K6">
        <v>0.19374261543493801</v>
      </c>
      <c r="L6">
        <v>4.39837433581652E-5</v>
      </c>
      <c r="M6">
        <v>9.1441184328706016E-7</v>
      </c>
      <c r="N6" s="1">
        <v>1.4312616705414799E-9</v>
      </c>
      <c r="O6" s="1">
        <v>1.8883540614141301E-13</v>
      </c>
      <c r="P6" s="1">
        <v>-3.5746301180445902E-12</v>
      </c>
      <c r="Q6">
        <v>48.8306041026974</v>
      </c>
      <c r="R6">
        <v>1.9726621351481202E-2</v>
      </c>
      <c r="S6">
        <v>3.1943640444660302</v>
      </c>
      <c r="T6">
        <v>0.66390784529871205</v>
      </c>
      <c r="V6">
        <v>33.063938549839698</v>
      </c>
      <c r="X6">
        <v>14.0938737159374</v>
      </c>
      <c r="AA6">
        <v>0.119079333116852</v>
      </c>
      <c r="AB6">
        <v>1.45057872921955E-2</v>
      </c>
      <c r="AJ6">
        <v>-1.1638259807484399</v>
      </c>
      <c r="AK6">
        <v>0.99388943529406304</v>
      </c>
      <c r="AL6">
        <v>1.0851275262930999</v>
      </c>
      <c r="AM6">
        <v>6.4099467541344504E-2</v>
      </c>
      <c r="AN6">
        <v>-6.2935144064395099E-2</v>
      </c>
      <c r="AO6">
        <v>8.2540977079891401E-2</v>
      </c>
      <c r="AP6">
        <v>1.1037186044306701E-3</v>
      </c>
    </row>
    <row r="7" spans="1:42" x14ac:dyDescent="0.2">
      <c r="A7">
        <v>19</v>
      </c>
      <c r="B7">
        <v>724</v>
      </c>
      <c r="C7">
        <v>300</v>
      </c>
      <c r="D7">
        <v>0.249672065386352</v>
      </c>
      <c r="E7">
        <v>0.718870869751428</v>
      </c>
      <c r="F7">
        <v>3.6121531026685498</v>
      </c>
      <c r="G7">
        <v>-9.0556005099006391</v>
      </c>
      <c r="H7">
        <v>-7.7133011179653668</v>
      </c>
      <c r="I7">
        <v>1.3461358791909599</v>
      </c>
      <c r="J7">
        <v>0.79826831842719104</v>
      </c>
      <c r="K7">
        <v>0.19901450722571701</v>
      </c>
      <c r="L7">
        <v>4.3895671859148488E-5</v>
      </c>
      <c r="M7">
        <v>9.1420392000934298E-7</v>
      </c>
      <c r="N7" s="1">
        <v>1.5458747084411201E-9</v>
      </c>
      <c r="O7" s="1">
        <v>1.9345861653042299E-13</v>
      </c>
      <c r="P7" s="1">
        <v>-4.0599279105861497E-12</v>
      </c>
      <c r="Q7">
        <v>48.680532048239797</v>
      </c>
      <c r="R7">
        <v>2.0215436852401101E-2</v>
      </c>
      <c r="S7">
        <v>3.3891514742574702</v>
      </c>
      <c r="T7">
        <v>0.680768689514195</v>
      </c>
      <c r="V7">
        <v>33.157320205249</v>
      </c>
      <c r="X7">
        <v>13.9502519075496</v>
      </c>
      <c r="AA7">
        <v>0.107619001589646</v>
      </c>
      <c r="AB7">
        <v>1.41412367477008E-2</v>
      </c>
      <c r="AJ7">
        <v>-1.17280385918088</v>
      </c>
      <c r="AK7">
        <v>0.99439593455542796</v>
      </c>
      <c r="AL7">
        <v>1.0887951596458401</v>
      </c>
      <c r="AM7">
        <v>6.8421299442823699E-2</v>
      </c>
      <c r="AN7">
        <v>-6.7227463528231807E-2</v>
      </c>
      <c r="AO7">
        <v>8.7342352270530596E-2</v>
      </c>
      <c r="AP7">
        <v>1.07657679449494E-3</v>
      </c>
    </row>
    <row r="8" spans="1:42" x14ac:dyDescent="0.2">
      <c r="A8">
        <v>32</v>
      </c>
      <c r="B8">
        <v>736</v>
      </c>
      <c r="C8">
        <v>285</v>
      </c>
      <c r="D8">
        <v>0.27577713917653601</v>
      </c>
      <c r="E8">
        <v>0.44448777194456501</v>
      </c>
      <c r="F8">
        <v>3.5854368323851502</v>
      </c>
      <c r="G8">
        <v>-5.662582887882194</v>
      </c>
      <c r="H8">
        <v>-4.8145533953478106</v>
      </c>
      <c r="I8">
        <v>0.84034037807499695</v>
      </c>
      <c r="J8">
        <v>0.49650183058952801</v>
      </c>
      <c r="K8">
        <v>0.123970325715898</v>
      </c>
      <c r="L8">
        <v>4.4346108449959888E-5</v>
      </c>
      <c r="M8">
        <v>9.1390737823808617E-7</v>
      </c>
      <c r="N8" s="1">
        <v>6.6977928652443199E-10</v>
      </c>
      <c r="O8" s="1">
        <v>1.2205355936516999E-13</v>
      </c>
      <c r="P8" s="1">
        <v>-7.6523554905584597E-13</v>
      </c>
      <c r="Q8">
        <v>49.708613861875698</v>
      </c>
      <c r="R8">
        <v>1.7420623359171598E-2</v>
      </c>
      <c r="S8">
        <v>2.2108115913772299</v>
      </c>
      <c r="T8">
        <v>0.55491847776052405</v>
      </c>
      <c r="V8">
        <v>32.1656678753058</v>
      </c>
      <c r="X8">
        <v>15.113983402983701</v>
      </c>
      <c r="AA8">
        <v>0.212309547194206</v>
      </c>
      <c r="AB8">
        <v>1.62746201434988E-2</v>
      </c>
      <c r="AJ8">
        <v>-1.10045182631807</v>
      </c>
      <c r="AK8">
        <v>0.98988526543516697</v>
      </c>
      <c r="AL8">
        <v>1.0504127321569301</v>
      </c>
      <c r="AM8">
        <v>4.2615645880368702E-2</v>
      </c>
      <c r="AN8">
        <v>-4.1592527596341397E-2</v>
      </c>
      <c r="AO8">
        <v>5.7898544706029703E-2</v>
      </c>
      <c r="AP8">
        <v>1.23216573590621E-3</v>
      </c>
    </row>
    <row r="9" spans="1:42" x14ac:dyDescent="0.2">
      <c r="A9">
        <v>33</v>
      </c>
      <c r="B9">
        <v>734</v>
      </c>
      <c r="C9">
        <v>285</v>
      </c>
      <c r="D9">
        <v>0.27419997021297599</v>
      </c>
      <c r="E9">
        <v>0.57387417827103504</v>
      </c>
      <c r="F9">
        <v>3.5919495793157101</v>
      </c>
      <c r="G9">
        <v>-7.2911379220032186</v>
      </c>
      <c r="H9">
        <v>-6.2003695110085113</v>
      </c>
      <c r="I9">
        <v>1.0830247837906</v>
      </c>
      <c r="J9">
        <v>0.64022515858414397</v>
      </c>
      <c r="K9">
        <v>0.15976676888108199</v>
      </c>
      <c r="L9">
        <v>4.4271861824457363E-5</v>
      </c>
      <c r="M9">
        <v>9.1409091306991921E-7</v>
      </c>
      <c r="N9" s="1">
        <v>9.4186634201885609E-10</v>
      </c>
      <c r="O9" s="1">
        <v>1.57466440963141E-13</v>
      </c>
      <c r="P9" s="1">
        <v>-1.58703941321427E-12</v>
      </c>
      <c r="Q9">
        <v>49.456919681379297</v>
      </c>
      <c r="R9">
        <v>1.7874751438430401E-2</v>
      </c>
      <c r="S9">
        <v>2.4893264078802502</v>
      </c>
      <c r="T9">
        <v>0.59160491669581805</v>
      </c>
      <c r="V9">
        <v>32.4251052846978</v>
      </c>
      <c r="X9">
        <v>14.827873930057001</v>
      </c>
      <c r="AA9">
        <v>0.17567736906826401</v>
      </c>
      <c r="AB9">
        <v>1.56176587829617E-2</v>
      </c>
      <c r="AJ9">
        <v>-1.1190331652069601</v>
      </c>
      <c r="AK9">
        <v>0.99145547201294904</v>
      </c>
      <c r="AL9">
        <v>1.0603919820021199</v>
      </c>
      <c r="AM9">
        <v>4.85928305377595E-2</v>
      </c>
      <c r="AN9">
        <v>-4.7541547148388701E-2</v>
      </c>
      <c r="AO9">
        <v>6.4950318389624007E-2</v>
      </c>
      <c r="AP9">
        <v>1.18410941289968E-3</v>
      </c>
    </row>
    <row r="10" spans="1:42" x14ac:dyDescent="0.2">
      <c r="A10">
        <v>34</v>
      </c>
      <c r="B10">
        <v>732</v>
      </c>
      <c r="C10">
        <v>285</v>
      </c>
      <c r="D10">
        <v>0.27261652489678301</v>
      </c>
      <c r="E10">
        <v>0.62516111994220103</v>
      </c>
      <c r="F10">
        <v>3.5959303443762698</v>
      </c>
      <c r="G10">
        <v>-7.9315233602164552</v>
      </c>
      <c r="H10">
        <v>-6.7473902922215085</v>
      </c>
      <c r="I10">
        <v>1.17806602795099</v>
      </c>
      <c r="J10">
        <v>0.69698009357600199</v>
      </c>
      <c r="K10">
        <v>0.17385239981633599</v>
      </c>
      <c r="L10">
        <v>4.4202162081106642E-5</v>
      </c>
      <c r="M10">
        <v>9.1394510479650307E-7</v>
      </c>
      <c r="N10" s="1">
        <v>1.0909582769769999E-9</v>
      </c>
      <c r="O10" s="1">
        <v>1.7163800287571301E-13</v>
      </c>
      <c r="P10" s="1">
        <v>-2.21470575920878E-12</v>
      </c>
      <c r="Q10">
        <v>49.278795435692899</v>
      </c>
      <c r="R10">
        <v>1.8650773858776701E-2</v>
      </c>
      <c r="S10">
        <v>2.7142222413122501</v>
      </c>
      <c r="T10">
        <v>0.614798563263111</v>
      </c>
      <c r="V10">
        <v>32.548056840980003</v>
      </c>
      <c r="X10">
        <v>14.657397400287399</v>
      </c>
      <c r="AA10">
        <v>0.15294188703890799</v>
      </c>
      <c r="AB10">
        <v>1.5136857566440599E-2</v>
      </c>
      <c r="AJ10">
        <v>-1.13036301439343</v>
      </c>
      <c r="AK10">
        <v>0.99243918710710399</v>
      </c>
      <c r="AL10">
        <v>1.06515884547197</v>
      </c>
      <c r="AM10">
        <v>5.3512566806980001E-2</v>
      </c>
      <c r="AN10">
        <v>-5.2414873744030699E-2</v>
      </c>
      <c r="AO10">
        <v>7.0518828681765497E-2</v>
      </c>
      <c r="AP10">
        <v>1.14846006963896E-3</v>
      </c>
    </row>
    <row r="11" spans="1:42" x14ac:dyDescent="0.2">
      <c r="A11">
        <v>35</v>
      </c>
      <c r="B11">
        <v>730</v>
      </c>
      <c r="C11">
        <v>285</v>
      </c>
      <c r="D11">
        <v>0.27102676568808798</v>
      </c>
      <c r="E11">
        <v>0.65710550015402402</v>
      </c>
      <c r="F11">
        <v>3.5995398960439302</v>
      </c>
      <c r="G11">
        <v>-8.3260615620844565</v>
      </c>
      <c r="H11">
        <v>-7.0857080010749405</v>
      </c>
      <c r="I11">
        <v>1.23645871605394</v>
      </c>
      <c r="J11">
        <v>0.73211323106568305</v>
      </c>
      <c r="K11">
        <v>0.18255263704014299</v>
      </c>
      <c r="L11">
        <v>4.4129231319844204E-5</v>
      </c>
      <c r="M11">
        <v>9.1379341927445222E-7</v>
      </c>
      <c r="N11" s="1">
        <v>1.2124514299383999E-9</v>
      </c>
      <c r="O11" s="1">
        <v>1.8025334014158399E-13</v>
      </c>
      <c r="P11" s="1">
        <v>-2.7690183333648899E-12</v>
      </c>
      <c r="Q11">
        <v>49.1166059559188</v>
      </c>
      <c r="R11">
        <v>1.9291814223104199E-2</v>
      </c>
      <c r="S11">
        <v>2.9204163599673798</v>
      </c>
      <c r="T11">
        <v>0.63471102930424395</v>
      </c>
      <c r="V11">
        <v>32.657543650960001</v>
      </c>
      <c r="X11">
        <v>14.5009338895384</v>
      </c>
      <c r="AA11">
        <v>0.13578197345213</v>
      </c>
      <c r="AB11">
        <v>1.4715326635702901E-2</v>
      </c>
      <c r="AJ11">
        <v>-1.14046912533545</v>
      </c>
      <c r="AK11">
        <v>0.99318632235770599</v>
      </c>
      <c r="AL11">
        <v>1.0694177249263299</v>
      </c>
      <c r="AM11">
        <v>5.80457582561354E-2</v>
      </c>
      <c r="AN11">
        <v>-5.6909618691419001E-2</v>
      </c>
      <c r="AO11">
        <v>7.5611754681091298E-2</v>
      </c>
      <c r="AP11">
        <v>1.11718380560326E-3</v>
      </c>
    </row>
    <row r="12" spans="1:42" x14ac:dyDescent="0.2">
      <c r="A12">
        <v>36</v>
      </c>
      <c r="B12">
        <v>728</v>
      </c>
      <c r="C12">
        <v>285</v>
      </c>
      <c r="D12">
        <v>0.26943065474704297</v>
      </c>
      <c r="E12">
        <v>0.68070958687418304</v>
      </c>
      <c r="F12">
        <v>3.6029198958882298</v>
      </c>
      <c r="G12">
        <v>-8.6147153337399125</v>
      </c>
      <c r="H12">
        <v>-7.3342193856135554</v>
      </c>
      <c r="I12">
        <v>1.27902506929666</v>
      </c>
      <c r="J12">
        <v>0.757914596349756</v>
      </c>
      <c r="K12">
        <v>0.18893275635992601</v>
      </c>
      <c r="L12">
        <v>4.405291749018336E-5</v>
      </c>
      <c r="M12">
        <v>9.1363260614497915E-7</v>
      </c>
      <c r="N12" s="1">
        <v>1.3231234049202199E-9</v>
      </c>
      <c r="O12" s="1">
        <v>1.8636619529194899E-13</v>
      </c>
      <c r="P12" s="1">
        <v>-3.2772493866211699E-12</v>
      </c>
      <c r="Q12">
        <v>48.964008446822803</v>
      </c>
      <c r="R12">
        <v>1.9842856035466101E-2</v>
      </c>
      <c r="S12">
        <v>3.1156981243875199</v>
      </c>
      <c r="T12">
        <v>0.65252564821953996</v>
      </c>
      <c r="V12">
        <v>32.758458502650498</v>
      </c>
      <c r="X12">
        <v>14.3531552525795</v>
      </c>
      <c r="AA12">
        <v>0.12197887351318</v>
      </c>
      <c r="AB12">
        <v>1.43322957912825E-2</v>
      </c>
      <c r="AJ12">
        <v>-1.1498281608236101</v>
      </c>
      <c r="AK12">
        <v>0.99379083583574201</v>
      </c>
      <c r="AL12">
        <v>1.07335344205135</v>
      </c>
      <c r="AM12">
        <v>6.2356772402853498E-2</v>
      </c>
      <c r="AN12">
        <v>-6.1187493191405803E-2</v>
      </c>
      <c r="AO12">
        <v>8.0425859356064999E-2</v>
      </c>
      <c r="AP12">
        <v>1.08874436900884E-3</v>
      </c>
    </row>
    <row r="13" spans="1:42" x14ac:dyDescent="0.2">
      <c r="A13">
        <v>37</v>
      </c>
      <c r="B13">
        <v>726</v>
      </c>
      <c r="C13">
        <v>285</v>
      </c>
      <c r="D13">
        <v>0.26782815393083897</v>
      </c>
      <c r="E13">
        <v>0.69987867739499898</v>
      </c>
      <c r="F13">
        <v>3.6061417570821699</v>
      </c>
      <c r="G13">
        <v>-8.847110012357458</v>
      </c>
      <c r="H13">
        <v>-7.5350712431330997</v>
      </c>
      <c r="I13">
        <v>1.3131549509326499</v>
      </c>
      <c r="J13">
        <v>0.77874575169355897</v>
      </c>
      <c r="K13">
        <v>0.19407963539439099</v>
      </c>
      <c r="L13">
        <v>4.3973114406969237E-5</v>
      </c>
      <c r="M13">
        <v>9.134616309530646E-7</v>
      </c>
      <c r="N13" s="1">
        <v>1.42910177587744E-9</v>
      </c>
      <c r="O13" s="1">
        <v>1.9107164525447001E-13</v>
      </c>
      <c r="P13" s="1">
        <v>-3.7520105403530697E-12</v>
      </c>
      <c r="Q13">
        <v>48.817767160674698</v>
      </c>
      <c r="R13">
        <v>2.0327411926997399E-2</v>
      </c>
      <c r="S13">
        <v>3.3040408407855</v>
      </c>
      <c r="T13">
        <v>0.66885114801686996</v>
      </c>
      <c r="V13">
        <v>32.853243643150797</v>
      </c>
      <c r="X13">
        <v>14.211330373603699</v>
      </c>
      <c r="AA13">
        <v>0.11046267411567499</v>
      </c>
      <c r="AB13">
        <v>1.39767477255439E-2</v>
      </c>
      <c r="AJ13">
        <v>-1.158678898367</v>
      </c>
      <c r="AK13">
        <v>0.99429809845412997</v>
      </c>
      <c r="AL13">
        <v>1.07705841336484</v>
      </c>
      <c r="AM13">
        <v>6.6529392353441005E-2</v>
      </c>
      <c r="AN13">
        <v>-6.5330892895436907E-2</v>
      </c>
      <c r="AO13">
        <v>8.5061560645316101E-2</v>
      </c>
      <c r="AP13">
        <v>1.06232644471379E-3</v>
      </c>
    </row>
    <row r="14" spans="1:42" x14ac:dyDescent="0.2">
      <c r="A14">
        <v>49</v>
      </c>
      <c r="B14">
        <v>738</v>
      </c>
      <c r="C14">
        <v>270</v>
      </c>
      <c r="D14">
        <v>0.29366612273154402</v>
      </c>
      <c r="E14">
        <v>0.44908728017730098</v>
      </c>
      <c r="F14">
        <v>3.5806452104436</v>
      </c>
      <c r="G14">
        <v>-5.7382827053388583</v>
      </c>
      <c r="H14">
        <v>-4.8782140870535331</v>
      </c>
      <c r="I14">
        <v>0.85058459999537595</v>
      </c>
      <c r="J14">
        <v>0.50243939914060998</v>
      </c>
      <c r="K14">
        <v>0.125420770219695</v>
      </c>
      <c r="L14">
        <v>4.4363784905492261E-5</v>
      </c>
      <c r="M14">
        <v>9.1303178566798266E-7</v>
      </c>
      <c r="N14" s="1">
        <v>6.5307516816348996E-10</v>
      </c>
      <c r="O14" s="1">
        <v>1.24376675587546E-13</v>
      </c>
      <c r="P14" s="1">
        <v>-6.71504362436048E-13</v>
      </c>
      <c r="Q14">
        <v>49.7962250817273</v>
      </c>
      <c r="R14">
        <v>1.7374403912944699E-2</v>
      </c>
      <c r="S14">
        <v>2.1803681732551299</v>
      </c>
      <c r="T14">
        <v>0.55127059900646502</v>
      </c>
      <c r="V14">
        <v>31.909762118480302</v>
      </c>
      <c r="X14">
        <v>15.3176666224111</v>
      </c>
      <c r="AA14">
        <v>0.21131330949110699</v>
      </c>
      <c r="AB14">
        <v>1.6019691715477399E-2</v>
      </c>
      <c r="AJ14">
        <v>-1.08993277418785</v>
      </c>
      <c r="AK14">
        <v>0.98995967716084199</v>
      </c>
      <c r="AL14">
        <v>1.04066374298035</v>
      </c>
      <c r="AM14">
        <v>4.1920922915333801E-2</v>
      </c>
      <c r="AN14">
        <v>-4.0901882234513298E-2</v>
      </c>
      <c r="AO14">
        <v>5.7079068708028403E-2</v>
      </c>
      <c r="AP14">
        <v>1.2112446578112E-3</v>
      </c>
    </row>
    <row r="15" spans="1:42" x14ac:dyDescent="0.2">
      <c r="A15">
        <v>50</v>
      </c>
      <c r="B15">
        <v>736</v>
      </c>
      <c r="C15">
        <v>270</v>
      </c>
      <c r="D15">
        <v>0.29212753307238798</v>
      </c>
      <c r="E15">
        <v>0.56068883497454103</v>
      </c>
      <c r="F15">
        <v>3.5861966044595301</v>
      </c>
      <c r="G15">
        <v>-7.1484285183532226</v>
      </c>
      <c r="H15">
        <v>-6.0785271692779208</v>
      </c>
      <c r="I15">
        <v>1.06020051436882</v>
      </c>
      <c r="J15">
        <v>0.62668657236760195</v>
      </c>
      <c r="K15">
        <v>0.15634637383720301</v>
      </c>
      <c r="L15">
        <v>4.4304545756638715E-5</v>
      </c>
      <c r="M15">
        <v>9.1314461392276769E-7</v>
      </c>
      <c r="N15" s="1">
        <v>8.7832916554738595E-10</v>
      </c>
      <c r="O15" s="1">
        <v>1.55532137299456E-13</v>
      </c>
      <c r="P15" s="1">
        <v>-1.38376067908294E-12</v>
      </c>
      <c r="Q15">
        <v>49.573182808842503</v>
      </c>
      <c r="R15">
        <v>1.8033607176907999E-2</v>
      </c>
      <c r="S15">
        <v>2.4371401325761601</v>
      </c>
      <c r="T15">
        <v>0.58299500307914598</v>
      </c>
      <c r="V15">
        <v>32.118411116881703</v>
      </c>
      <c r="X15">
        <v>15.0769319165901</v>
      </c>
      <c r="AA15">
        <v>0.17789194686909901</v>
      </c>
      <c r="AB15">
        <v>1.54134679841421E-2</v>
      </c>
      <c r="AJ15">
        <v>-1.1058081237859101</v>
      </c>
      <c r="AK15">
        <v>0.99139206858115603</v>
      </c>
      <c r="AL15">
        <v>1.0486688329049401</v>
      </c>
      <c r="AM15">
        <v>4.7452723339183503E-2</v>
      </c>
      <c r="AN15">
        <v>-4.6393806964757499E-2</v>
      </c>
      <c r="AO15">
        <v>6.3521562034190099E-2</v>
      </c>
      <c r="AP15">
        <v>1.16674389119611E-3</v>
      </c>
    </row>
    <row r="16" spans="1:42" x14ac:dyDescent="0.2">
      <c r="A16">
        <v>51</v>
      </c>
      <c r="B16">
        <v>734</v>
      </c>
      <c r="C16">
        <v>270</v>
      </c>
      <c r="D16">
        <v>0.29058283274586499</v>
      </c>
      <c r="E16">
        <v>0.60905824830691002</v>
      </c>
      <c r="F16">
        <v>3.5900825157491001</v>
      </c>
      <c r="G16">
        <v>-7.754194643738189</v>
      </c>
      <c r="H16">
        <v>-6.5960073851728289</v>
      </c>
      <c r="I16">
        <v>1.14996500875277</v>
      </c>
      <c r="J16">
        <v>0.68031252252390995</v>
      </c>
      <c r="K16">
        <v>0.16965020877237999</v>
      </c>
      <c r="L16">
        <v>4.4244194332647893E-5</v>
      </c>
      <c r="M16">
        <v>9.1305302060477394E-7</v>
      </c>
      <c r="N16" s="1">
        <v>1.0118930370846301E-9</v>
      </c>
      <c r="O16" s="1">
        <v>1.69172933863351E-13</v>
      </c>
      <c r="P16" s="1">
        <v>-1.9682274165648501E-12</v>
      </c>
      <c r="Q16">
        <v>49.401778373219997</v>
      </c>
      <c r="R16">
        <v>1.8791934867965002E-2</v>
      </c>
      <c r="S16">
        <v>2.6518799146391299</v>
      </c>
      <c r="T16">
        <v>0.60512373161214905</v>
      </c>
      <c r="V16">
        <v>32.241061348766898</v>
      </c>
      <c r="X16">
        <v>14.9106267445427</v>
      </c>
      <c r="AA16">
        <v>0.15578930853342199</v>
      </c>
      <c r="AB16">
        <v>1.4948643817486401E-2</v>
      </c>
      <c r="AJ16">
        <v>-1.11681683987889</v>
      </c>
      <c r="AK16">
        <v>0.99234649742822401</v>
      </c>
      <c r="AL16">
        <v>1.05340367071431</v>
      </c>
      <c r="AM16">
        <v>5.2144121952170101E-2</v>
      </c>
      <c r="AN16">
        <v>-5.1039911772006299E-2</v>
      </c>
      <c r="AO16">
        <v>6.8830118152358497E-2</v>
      </c>
      <c r="AP16">
        <v>1.1323434038273299E-3</v>
      </c>
    </row>
    <row r="17" spans="1:42" x14ac:dyDescent="0.2">
      <c r="A17">
        <v>52</v>
      </c>
      <c r="B17">
        <v>732</v>
      </c>
      <c r="C17">
        <v>270</v>
      </c>
      <c r="D17">
        <v>0.28903198527583002</v>
      </c>
      <c r="E17">
        <v>0.63984140093083197</v>
      </c>
      <c r="F17">
        <v>3.5936282503386101</v>
      </c>
      <c r="G17">
        <v>-8.1356036176577291</v>
      </c>
      <c r="H17">
        <v>-6.9230570550100214</v>
      </c>
      <c r="I17">
        <v>1.2063339428420701</v>
      </c>
      <c r="J17">
        <v>0.71424264032845897</v>
      </c>
      <c r="K17">
        <v>0.17804885657567401</v>
      </c>
      <c r="L17">
        <v>4.4180060398164992E-5</v>
      </c>
      <c r="M17">
        <v>9.1294797399794916E-7</v>
      </c>
      <c r="N17" s="1">
        <v>1.1222887606564899E-9</v>
      </c>
      <c r="O17" s="1">
        <v>1.77702328270186E-13</v>
      </c>
      <c r="P17" s="1">
        <v>-2.4956176269858099E-12</v>
      </c>
      <c r="Q17">
        <v>49.244787380469802</v>
      </c>
      <c r="R17">
        <v>1.94228266995593E-2</v>
      </c>
      <c r="S17">
        <v>2.84992212928824</v>
      </c>
      <c r="T17">
        <v>0.62425120748336105</v>
      </c>
      <c r="V17">
        <v>32.351083294747802</v>
      </c>
      <c r="X17">
        <v>14.7571794447586</v>
      </c>
      <c r="AA17">
        <v>0.13881392512690899</v>
      </c>
      <c r="AB17">
        <v>1.45397914256015E-2</v>
      </c>
      <c r="AJ17">
        <v>-1.1267059187555299</v>
      </c>
      <c r="AK17">
        <v>0.99308368422188298</v>
      </c>
      <c r="AL17">
        <v>1.0576640815037199</v>
      </c>
      <c r="AM17">
        <v>5.6491987222488799E-2</v>
      </c>
      <c r="AN17">
        <v>-5.5349987195843199E-2</v>
      </c>
      <c r="AO17">
        <v>7.37140860805824E-2</v>
      </c>
      <c r="AP17">
        <v>1.10206692269693E-3</v>
      </c>
    </row>
    <row r="18" spans="1:42" x14ac:dyDescent="0.2">
      <c r="A18">
        <v>53</v>
      </c>
      <c r="B18">
        <v>730</v>
      </c>
      <c r="C18">
        <v>270</v>
      </c>
      <c r="D18">
        <v>0.28747495389523398</v>
      </c>
      <c r="E18">
        <v>0.66277980217533905</v>
      </c>
      <c r="F18">
        <v>3.5969604868195999</v>
      </c>
      <c r="G18">
        <v>-8.4170357707302497</v>
      </c>
      <c r="H18">
        <v>-7.165321994837214</v>
      </c>
      <c r="I18">
        <v>1.2477832586283499</v>
      </c>
      <c r="J18">
        <v>0.73937902902732699</v>
      </c>
      <c r="K18">
        <v>0.18426107392727001</v>
      </c>
      <c r="L18">
        <v>4.4112185759216224E-5</v>
      </c>
      <c r="M18">
        <v>9.1282894807369996E-7</v>
      </c>
      <c r="N18" s="1">
        <v>1.2235767401657701E-9</v>
      </c>
      <c r="O18" s="1">
        <v>1.8384968885773101E-13</v>
      </c>
      <c r="P18" s="1">
        <v>-2.9855222486398098E-12</v>
      </c>
      <c r="Q18">
        <v>49.0965792861099</v>
      </c>
      <c r="R18">
        <v>1.9967354233468699E-2</v>
      </c>
      <c r="S18">
        <v>3.0381138598596</v>
      </c>
      <c r="T18">
        <v>0.64143054905928298</v>
      </c>
      <c r="V18">
        <v>32.452940588702198</v>
      </c>
      <c r="X18">
        <v>14.611773953106599</v>
      </c>
      <c r="AA18">
        <v>0.12502701975453101</v>
      </c>
      <c r="AB18">
        <v>1.41673891742295E-2</v>
      </c>
      <c r="AJ18">
        <v>-1.1358994109276299</v>
      </c>
      <c r="AK18">
        <v>0.99368566631496802</v>
      </c>
      <c r="AL18">
        <v>1.06161822757938</v>
      </c>
      <c r="AM18">
        <v>6.0640468594627697E-2</v>
      </c>
      <c r="AN18">
        <v>-5.9465761517043497E-2</v>
      </c>
      <c r="AO18">
        <v>7.8346338211877906E-2</v>
      </c>
      <c r="AP18">
        <v>1.0744717438249101E-3</v>
      </c>
    </row>
    <row r="19" spans="1:42" x14ac:dyDescent="0.2">
      <c r="A19">
        <v>54</v>
      </c>
      <c r="B19">
        <v>728</v>
      </c>
      <c r="C19">
        <v>270</v>
      </c>
      <c r="D19">
        <v>0.28591170154322698</v>
      </c>
      <c r="E19">
        <v>0.68146765482115002</v>
      </c>
      <c r="F19">
        <v>3.60014460726003</v>
      </c>
      <c r="G19">
        <v>-8.6443337388972203</v>
      </c>
      <c r="H19">
        <v>-7.3617315320588306</v>
      </c>
      <c r="I19">
        <v>1.2811289085935</v>
      </c>
      <c r="J19">
        <v>0.75974337838114603</v>
      </c>
      <c r="K19">
        <v>0.189288967295065</v>
      </c>
      <c r="L19">
        <v>4.4040569983219503E-5</v>
      </c>
      <c r="M19">
        <v>9.1269614500944183E-7</v>
      </c>
      <c r="N19" s="1">
        <v>1.3210755172345599E-9</v>
      </c>
      <c r="O19" s="1">
        <v>1.8863217150349901E-13</v>
      </c>
      <c r="P19" s="1">
        <v>-3.4476081311473799E-12</v>
      </c>
      <c r="Q19">
        <v>48.954220957941502</v>
      </c>
      <c r="R19">
        <v>2.0447443562827801E-2</v>
      </c>
      <c r="S19">
        <v>3.2200242806837598</v>
      </c>
      <c r="T19">
        <v>0.65721533555394196</v>
      </c>
      <c r="V19">
        <v>32.5489179758859</v>
      </c>
      <c r="X19">
        <v>14.471901061037499</v>
      </c>
      <c r="AA19">
        <v>0.113451891285978</v>
      </c>
      <c r="AB19">
        <v>1.38210540484039E-2</v>
      </c>
      <c r="AJ19">
        <v>-1.14461550302953</v>
      </c>
      <c r="AK19">
        <v>0.99419380522773504</v>
      </c>
      <c r="AL19">
        <v>1.06535225602082</v>
      </c>
      <c r="AM19">
        <v>6.4664649026847806E-2</v>
      </c>
      <c r="AN19">
        <v>-6.3461026124029901E-2</v>
      </c>
      <c r="AO19">
        <v>8.2817028480533794E-2</v>
      </c>
      <c r="AP19">
        <v>1.0487903976265801E-3</v>
      </c>
    </row>
    <row r="20" spans="1:42" x14ac:dyDescent="0.2">
      <c r="A20">
        <v>65</v>
      </c>
      <c r="B20">
        <v>740</v>
      </c>
      <c r="C20">
        <v>255</v>
      </c>
      <c r="D20">
        <v>0.31148447909983901</v>
      </c>
      <c r="E20">
        <v>0.452548600421466</v>
      </c>
      <c r="F20">
        <v>3.57582829458332</v>
      </c>
      <c r="G20">
        <v>-5.7999285705736092</v>
      </c>
      <c r="H20">
        <v>-4.9299277750078065</v>
      </c>
      <c r="I20">
        <v>0.85870877517228705</v>
      </c>
      <c r="J20">
        <v>0.50710993513987801</v>
      </c>
      <c r="K20">
        <v>0.12655769884336601</v>
      </c>
      <c r="L20">
        <v>4.4374908570012255E-5</v>
      </c>
      <c r="M20">
        <v>9.1212291647899653E-7</v>
      </c>
      <c r="N20" s="1">
        <v>6.3650308372417597E-10</v>
      </c>
      <c r="O20" s="1">
        <v>1.2641325589661301E-13</v>
      </c>
      <c r="P20" s="1">
        <v>-5.7688802334429001E-13</v>
      </c>
      <c r="Q20">
        <v>49.883111087871399</v>
      </c>
      <c r="R20">
        <v>1.7376183297250401E-2</v>
      </c>
      <c r="S20">
        <v>2.1522991749429901</v>
      </c>
      <c r="T20">
        <v>0.54778370826338296</v>
      </c>
      <c r="V20">
        <v>31.650489364095701</v>
      </c>
      <c r="X20">
        <v>15.522560753064999</v>
      </c>
      <c r="AA20">
        <v>0.210614140837382</v>
      </c>
      <c r="AB20">
        <v>1.5765587626789101E-2</v>
      </c>
      <c r="AJ20">
        <v>-1.07936177751934</v>
      </c>
      <c r="AK20">
        <v>0.990021582127255</v>
      </c>
      <c r="AL20">
        <v>1.03081565215898</v>
      </c>
      <c r="AM20">
        <v>4.1280942576053699E-2</v>
      </c>
      <c r="AN20">
        <v>-4.0263172412520497E-2</v>
      </c>
      <c r="AO20">
        <v>5.6316349269892201E-2</v>
      </c>
      <c r="AP20">
        <v>1.1904237996833401E-3</v>
      </c>
    </row>
    <row r="21" spans="1:42" x14ac:dyDescent="0.2">
      <c r="A21">
        <v>66</v>
      </c>
      <c r="B21">
        <v>738</v>
      </c>
      <c r="C21">
        <v>255</v>
      </c>
      <c r="D21">
        <v>0.30998417643277698</v>
      </c>
      <c r="E21">
        <v>0.54837968971802198</v>
      </c>
      <c r="F21">
        <v>3.5805071343263499</v>
      </c>
      <c r="G21">
        <v>-7.0156395881261204</v>
      </c>
      <c r="H21">
        <v>-5.9651188424059978</v>
      </c>
      <c r="I21">
        <v>1.03893660260112</v>
      </c>
      <c r="J21">
        <v>0.61404109552736497</v>
      </c>
      <c r="K21">
        <v>0.15315698842230999</v>
      </c>
      <c r="L21">
        <v>4.4327628380561063E-5</v>
      </c>
      <c r="M21">
        <v>9.1216960889694701E-7</v>
      </c>
      <c r="N21" s="1">
        <v>8.2240629722839096E-10</v>
      </c>
      <c r="O21" s="1">
        <v>1.5372608027595699E-13</v>
      </c>
      <c r="P21" s="1">
        <v>-1.1948865657518699E-12</v>
      </c>
      <c r="Q21">
        <v>49.686617212250297</v>
      </c>
      <c r="R21">
        <v>1.82143457090405E-2</v>
      </c>
      <c r="S21">
        <v>2.38830661853163</v>
      </c>
      <c r="T21">
        <v>0.57497556314190601</v>
      </c>
      <c r="V21">
        <v>31.813470917339</v>
      </c>
      <c r="X21">
        <v>15.3231565957221</v>
      </c>
      <c r="AA21">
        <v>0.18004739365233899</v>
      </c>
      <c r="AB21">
        <v>1.5211353653506499E-2</v>
      </c>
      <c r="AJ21">
        <v>-1.09278466294492</v>
      </c>
      <c r="AK21">
        <v>0.99133107764892003</v>
      </c>
      <c r="AL21">
        <v>1.0370530560313</v>
      </c>
      <c r="AM21">
        <v>4.63857585613189E-2</v>
      </c>
      <c r="AN21">
        <v>-4.53179380775766E-2</v>
      </c>
      <c r="AO21">
        <v>6.2183103770125703E-2</v>
      </c>
      <c r="AP21">
        <v>1.14960501083162E-3</v>
      </c>
    </row>
    <row r="22" spans="1:42" x14ac:dyDescent="0.2">
      <c r="A22">
        <v>67</v>
      </c>
      <c r="B22">
        <v>736</v>
      </c>
      <c r="C22">
        <v>255</v>
      </c>
      <c r="D22">
        <v>0.308477926968244</v>
      </c>
      <c r="E22">
        <v>0.59379496228158302</v>
      </c>
      <c r="F22">
        <v>3.5842918004585198</v>
      </c>
      <c r="G22">
        <v>-7.5860664105117817</v>
      </c>
      <c r="H22">
        <v>-6.4524564264791504</v>
      </c>
      <c r="I22">
        <v>1.1233315008003</v>
      </c>
      <c r="J22">
        <v>0.66448044620721203</v>
      </c>
      <c r="K22">
        <v>0.165665909847413</v>
      </c>
      <c r="L22">
        <v>4.4276113871777466E-5</v>
      </c>
      <c r="M22">
        <v>9.1213036648193089E-7</v>
      </c>
      <c r="N22" s="1">
        <v>9.41533742248497E-10</v>
      </c>
      <c r="O22" s="1">
        <v>1.66789766184755E-13</v>
      </c>
      <c r="P22" s="1">
        <v>-1.73701556348484E-12</v>
      </c>
      <c r="Q22">
        <v>49.5220282266027</v>
      </c>
      <c r="R22">
        <v>1.8953443131054699E-2</v>
      </c>
      <c r="S22">
        <v>2.5929489144156199</v>
      </c>
      <c r="T22">
        <v>0.59602465188417297</v>
      </c>
      <c r="V22">
        <v>31.935361262899601</v>
      </c>
      <c r="X22">
        <v>15.1613358061964</v>
      </c>
      <c r="AA22">
        <v>0.15858404872624701</v>
      </c>
      <c r="AB22">
        <v>1.47636461440784E-2</v>
      </c>
      <c r="AJ22">
        <v>-1.1034568896612</v>
      </c>
      <c r="AK22">
        <v>0.99225599122501396</v>
      </c>
      <c r="AL22">
        <v>1.0417387974210801</v>
      </c>
      <c r="AM22">
        <v>5.0851028023509097E-2</v>
      </c>
      <c r="AN22">
        <v>-4.9739117417399899E-2</v>
      </c>
      <c r="AO22">
        <v>6.7233657582433895E-2</v>
      </c>
      <c r="AP22">
        <v>1.1165328265608299E-3</v>
      </c>
    </row>
    <row r="23" spans="1:42" x14ac:dyDescent="0.2">
      <c r="A23">
        <v>68</v>
      </c>
      <c r="B23">
        <v>734</v>
      </c>
      <c r="C23">
        <v>255</v>
      </c>
      <c r="D23">
        <v>0.306965695278758</v>
      </c>
      <c r="E23">
        <v>0.62335935197154502</v>
      </c>
      <c r="F23">
        <v>3.5877678733045602</v>
      </c>
      <c r="G23">
        <v>-7.953520832804795</v>
      </c>
      <c r="H23">
        <v>-6.767543575410321</v>
      </c>
      <c r="I23">
        <v>1.17755771969862</v>
      </c>
      <c r="J23">
        <v>0.69713449483155898</v>
      </c>
      <c r="K23">
        <v>0.17374573104624799</v>
      </c>
      <c r="L23">
        <v>4.4220411748330256E-5</v>
      </c>
      <c r="M23">
        <v>9.1207143782321265E-7</v>
      </c>
      <c r="N23" s="1">
        <v>1.04136531817431E-9</v>
      </c>
      <c r="O23" s="1">
        <v>1.75194465531591E-13</v>
      </c>
      <c r="P23" s="1">
        <v>-2.2363561316414499E-12</v>
      </c>
      <c r="Q23">
        <v>49.370342877786797</v>
      </c>
      <c r="R23">
        <v>1.95729704294458E-2</v>
      </c>
      <c r="S23">
        <v>2.78283950355832</v>
      </c>
      <c r="T23">
        <v>0.61434932828285005</v>
      </c>
      <c r="V23">
        <v>32.0455389000144</v>
      </c>
      <c r="X23">
        <v>15.011166629948301</v>
      </c>
      <c r="AA23">
        <v>0.141821634836514</v>
      </c>
      <c r="AB23">
        <v>1.43681551431622E-2</v>
      </c>
      <c r="AJ23">
        <v>-1.11311384860542</v>
      </c>
      <c r="AK23">
        <v>0.99298204306811799</v>
      </c>
      <c r="AL23">
        <v>1.0459864616618</v>
      </c>
      <c r="AM23">
        <v>5.5014359002452301E-2</v>
      </c>
      <c r="AN23">
        <v>-5.38653856012241E-2</v>
      </c>
      <c r="AO23">
        <v>7.19090680510798E-2</v>
      </c>
      <c r="AP23">
        <v>1.0873024231973999E-3</v>
      </c>
    </row>
    <row r="24" spans="1:42" x14ac:dyDescent="0.2">
      <c r="A24">
        <v>69</v>
      </c>
      <c r="B24">
        <v>732</v>
      </c>
      <c r="C24">
        <v>255</v>
      </c>
      <c r="D24">
        <v>0.30544744565487703</v>
      </c>
      <c r="E24">
        <v>0.64559681197146601</v>
      </c>
      <c r="F24">
        <v>3.5910470395949101</v>
      </c>
      <c r="G24">
        <v>-8.2272373567025561</v>
      </c>
      <c r="H24">
        <v>-7.003148461574515</v>
      </c>
      <c r="I24">
        <v>1.2178171368731401</v>
      </c>
      <c r="J24">
        <v>0.72156023323921903</v>
      </c>
      <c r="K24">
        <v>0.17977954753950801</v>
      </c>
      <c r="L24">
        <v>4.4160713556553191E-5</v>
      </c>
      <c r="M24">
        <v>9.1199442078601798E-7</v>
      </c>
      <c r="N24" s="1">
        <v>1.13359206213976E-9</v>
      </c>
      <c r="O24" s="1">
        <v>1.81349412041782E-13</v>
      </c>
      <c r="P24" s="1">
        <v>-2.70611017470185E-12</v>
      </c>
      <c r="Q24">
        <v>49.2266337912327</v>
      </c>
      <c r="R24">
        <v>2.0109973040369201E-2</v>
      </c>
      <c r="S24">
        <v>2.9639138925511799</v>
      </c>
      <c r="T24">
        <v>0.63087493809052497</v>
      </c>
      <c r="V24">
        <v>32.148014313380102</v>
      </c>
      <c r="X24">
        <v>14.8683689786922</v>
      </c>
      <c r="AA24">
        <v>0.12807720991966101</v>
      </c>
      <c r="AB24">
        <v>1.40069030930643E-2</v>
      </c>
      <c r="AJ24">
        <v>-1.12212797074897</v>
      </c>
      <c r="AK24">
        <v>0.99358037834674495</v>
      </c>
      <c r="AL24">
        <v>1.0499466916995801</v>
      </c>
      <c r="AM24">
        <v>5.9000401944926603E-2</v>
      </c>
      <c r="AN24">
        <v>-5.7819213103275598E-2</v>
      </c>
      <c r="AO24">
        <v>7.6359125388368004E-2</v>
      </c>
      <c r="AP24">
        <v>1.06058647261806E-3</v>
      </c>
    </row>
    <row r="25" spans="1:42" x14ac:dyDescent="0.2">
      <c r="A25">
        <v>70</v>
      </c>
      <c r="B25">
        <v>730</v>
      </c>
      <c r="C25">
        <v>255</v>
      </c>
      <c r="D25">
        <v>0.30392314210237997</v>
      </c>
      <c r="E25">
        <v>0.66378419859413296</v>
      </c>
      <c r="F25">
        <v>3.5941885171189498</v>
      </c>
      <c r="G25">
        <v>-8.4491667240231862</v>
      </c>
      <c r="H25">
        <v>-7.1948906736171381</v>
      </c>
      <c r="I25">
        <v>1.25033748732098</v>
      </c>
      <c r="J25">
        <v>0.74143101792717503</v>
      </c>
      <c r="K25">
        <v>0.18468263293162199</v>
      </c>
      <c r="L25">
        <v>4.4097102379472773E-5</v>
      </c>
      <c r="M25">
        <v>9.1190052285732005E-7</v>
      </c>
      <c r="N25" s="1">
        <v>1.2228071778948E-9</v>
      </c>
      <c r="O25" s="1">
        <v>1.8618981206052701E-13</v>
      </c>
      <c r="P25" s="1">
        <v>-3.1533546966819398E-12</v>
      </c>
      <c r="Q25">
        <v>49.088269623791199</v>
      </c>
      <c r="R25">
        <v>2.0584721355906801E-2</v>
      </c>
      <c r="S25">
        <v>3.1393461405204599</v>
      </c>
      <c r="T25">
        <v>0.64610028954044596</v>
      </c>
      <c r="V25">
        <v>32.244898802299403</v>
      </c>
      <c r="X25">
        <v>14.730665646169101</v>
      </c>
      <c r="AA25">
        <v>0.11646454771926899</v>
      </c>
      <c r="AB25">
        <v>1.36702286040527E-2</v>
      </c>
      <c r="AJ25">
        <v>-1.1306966583503599</v>
      </c>
      <c r="AK25">
        <v>0.99408847235938103</v>
      </c>
      <c r="AL25">
        <v>1.05369880191724</v>
      </c>
      <c r="AM25">
        <v>6.2875763826761605E-2</v>
      </c>
      <c r="AN25">
        <v>-6.1666014995052199E-2</v>
      </c>
      <c r="AO25">
        <v>8.0663963544124501E-2</v>
      </c>
      <c r="AP25">
        <v>1.0356716979104E-3</v>
      </c>
    </row>
    <row r="26" spans="1:42" x14ac:dyDescent="0.2">
      <c r="A26">
        <v>79</v>
      </c>
      <c r="B26">
        <v>744</v>
      </c>
      <c r="C26">
        <v>240</v>
      </c>
      <c r="D26">
        <v>0.33068918055350899</v>
      </c>
      <c r="E26">
        <v>0.187956309158305</v>
      </c>
      <c r="F26">
        <v>3.57850227404843</v>
      </c>
      <c r="G26">
        <v>-2.4026554900670734</v>
      </c>
      <c r="H26">
        <v>-2.0392852176879956</v>
      </c>
      <c r="I26">
        <v>0.35724354557250898</v>
      </c>
      <c r="J26">
        <v>0.210248428494789</v>
      </c>
      <c r="K26">
        <v>5.2523736123175999E-2</v>
      </c>
      <c r="L26">
        <v>4.4403523852896291E-5</v>
      </c>
      <c r="M26">
        <v>9.1372219209318163E-7</v>
      </c>
      <c r="N26" s="1">
        <v>2.5920707342236699E-10</v>
      </c>
      <c r="O26" s="1">
        <v>5.1298960102385699E-14</v>
      </c>
      <c r="P26" s="1">
        <v>-7.3953750711776305E-14</v>
      </c>
      <c r="Q26">
        <v>49.902110785718598</v>
      </c>
      <c r="R26">
        <v>1.24493819198241E-2</v>
      </c>
      <c r="S26">
        <v>1.95265456947442</v>
      </c>
      <c r="T26">
        <v>0.560844785997338</v>
      </c>
      <c r="V26">
        <v>32.000900344230899</v>
      </c>
      <c r="X26">
        <v>15.3151387924267</v>
      </c>
      <c r="AA26">
        <v>0.24019377072555601</v>
      </c>
      <c r="AB26">
        <v>1.5707569506521E-2</v>
      </c>
      <c r="AJ26">
        <v>-1.0870689091821799</v>
      </c>
      <c r="AK26">
        <v>0.98877044213125198</v>
      </c>
      <c r="AL26">
        <v>1.0442081647622901</v>
      </c>
      <c r="AM26">
        <v>3.6434839466071102E-2</v>
      </c>
      <c r="AN26">
        <v>-3.5704260055679199E-2</v>
      </c>
      <c r="AO26">
        <v>5.2171426589891101E-2</v>
      </c>
      <c r="AP26">
        <v>1.1882962883578499E-3</v>
      </c>
    </row>
    <row r="27" spans="1:42" x14ac:dyDescent="0.2">
      <c r="A27">
        <v>80</v>
      </c>
      <c r="B27">
        <v>742</v>
      </c>
      <c r="C27">
        <v>240</v>
      </c>
      <c r="D27">
        <v>0.32923262572033701</v>
      </c>
      <c r="E27">
        <v>0.45624181377034301</v>
      </c>
      <c r="F27">
        <v>3.57096886320707</v>
      </c>
      <c r="G27">
        <v>-5.8651427858806127</v>
      </c>
      <c r="H27">
        <v>-4.9846929620709624</v>
      </c>
      <c r="I27">
        <v>0.86731007615588795</v>
      </c>
      <c r="J27">
        <v>0.51205318593916005</v>
      </c>
      <c r="K27">
        <v>0.127764153440585</v>
      </c>
      <c r="L27">
        <v>4.4379072240204686E-5</v>
      </c>
      <c r="M27">
        <v>9.1116544865410423E-7</v>
      </c>
      <c r="N27" s="1">
        <v>6.2245985165790496E-10</v>
      </c>
      <c r="O27" s="1">
        <v>1.28567085307187E-13</v>
      </c>
      <c r="P27" s="1">
        <v>-4.8792561462691098E-13</v>
      </c>
      <c r="Q27">
        <v>49.968521435653102</v>
      </c>
      <c r="R27">
        <v>1.74624581749512E-2</v>
      </c>
      <c r="S27">
        <v>2.1288488357741802</v>
      </c>
      <c r="T27">
        <v>0.54458882519451801</v>
      </c>
      <c r="V27">
        <v>31.385429350210099</v>
      </c>
      <c r="X27">
        <v>15.729843832147701</v>
      </c>
      <c r="AA27">
        <v>0.20979513618182</v>
      </c>
      <c r="AB27">
        <v>1.55101266634474E-2</v>
      </c>
      <c r="AJ27">
        <v>-1.0687191488129799</v>
      </c>
      <c r="AK27">
        <v>0.99008868993013499</v>
      </c>
      <c r="AL27">
        <v>1.02077766473141</v>
      </c>
      <c r="AM27">
        <v>4.0745662728589503E-2</v>
      </c>
      <c r="AN27">
        <v>-3.9724245416533299E-2</v>
      </c>
      <c r="AO27">
        <v>5.5661852425076201E-2</v>
      </c>
      <c r="AP27">
        <v>1.1695244142996E-3</v>
      </c>
    </row>
    <row r="28" spans="1:42" x14ac:dyDescent="0.2">
      <c r="A28">
        <v>81</v>
      </c>
      <c r="B28">
        <v>740</v>
      </c>
      <c r="C28">
        <v>240</v>
      </c>
      <c r="D28">
        <v>0.32777032028821201</v>
      </c>
      <c r="E28">
        <v>0.53756832325281401</v>
      </c>
      <c r="F28">
        <v>3.57492020436352</v>
      </c>
      <c r="G28">
        <v>-6.9008008569647128</v>
      </c>
      <c r="H28">
        <v>-5.866962422026134</v>
      </c>
      <c r="I28">
        <v>1.0204199130815499</v>
      </c>
      <c r="J28">
        <v>0.60299302252888398</v>
      </c>
      <c r="K28">
        <v>0.150372118123549</v>
      </c>
      <c r="L28">
        <v>4.4340920241529252E-5</v>
      </c>
      <c r="M28">
        <v>9.1116352498228673E-7</v>
      </c>
      <c r="N28" s="1">
        <v>7.7508878891711299E-10</v>
      </c>
      <c r="O28" s="1">
        <v>1.5224610018712399E-13</v>
      </c>
      <c r="P28" s="1">
        <v>-1.0262487156660599E-12</v>
      </c>
      <c r="Q28">
        <v>49.795197029651199</v>
      </c>
      <c r="R28">
        <v>1.8431472277655299E-2</v>
      </c>
      <c r="S28">
        <v>2.3454372915534898</v>
      </c>
      <c r="T28">
        <v>0.56787079855868305</v>
      </c>
      <c r="V28">
        <v>31.511439709996001</v>
      </c>
      <c r="X28">
        <v>15.5647874634454</v>
      </c>
      <c r="AA28">
        <v>0.18183020536009301</v>
      </c>
      <c r="AB28">
        <v>1.50060291573605E-2</v>
      </c>
      <c r="AJ28">
        <v>-1.08008460826474</v>
      </c>
      <c r="AK28">
        <v>0.99128589735015904</v>
      </c>
      <c r="AL28">
        <v>1.0255882757383601</v>
      </c>
      <c r="AM28">
        <v>4.5447622488084802E-2</v>
      </c>
      <c r="AN28">
        <v>-4.4368776179798002E-2</v>
      </c>
      <c r="AO28">
        <v>6.0999289015626901E-2</v>
      </c>
      <c r="AP28">
        <v>1.1322998523037599E-3</v>
      </c>
    </row>
    <row r="29" spans="1:42" x14ac:dyDescent="0.2">
      <c r="A29">
        <v>82</v>
      </c>
      <c r="B29">
        <v>738</v>
      </c>
      <c r="C29">
        <v>240</v>
      </c>
      <c r="D29">
        <v>0.326302230134007</v>
      </c>
      <c r="E29">
        <v>0.57974942849758204</v>
      </c>
      <c r="F29">
        <v>3.57859373618192</v>
      </c>
      <c r="G29">
        <v>-7.4320354259442407</v>
      </c>
      <c r="H29">
        <v>-6.3208938666137211</v>
      </c>
      <c r="I29">
        <v>1.09888894756516</v>
      </c>
      <c r="J29">
        <v>0.64991521238963701</v>
      </c>
      <c r="K29">
        <v>0.162004818439135</v>
      </c>
      <c r="L29">
        <v>4.4297619422505163E-5</v>
      </c>
      <c r="M29">
        <v>9.1117400496178547E-7</v>
      </c>
      <c r="N29" s="1">
        <v>8.8057882000982297E-10</v>
      </c>
      <c r="O29" s="1">
        <v>1.6461670809693199E-13</v>
      </c>
      <c r="P29" s="1">
        <v>-1.5269248991879701E-12</v>
      </c>
      <c r="Q29">
        <v>49.637658627447202</v>
      </c>
      <c r="R29">
        <v>1.9148309319794402E-2</v>
      </c>
      <c r="S29">
        <v>2.5398828779163898</v>
      </c>
      <c r="T29">
        <v>0.58779529137820197</v>
      </c>
      <c r="V29">
        <v>31.631970767690898</v>
      </c>
      <c r="X29">
        <v>15.407884000121999</v>
      </c>
      <c r="AA29">
        <v>0.16108305988910099</v>
      </c>
      <c r="AB29">
        <v>1.4577066236260899E-2</v>
      </c>
      <c r="AJ29">
        <v>-1.0903929284815701</v>
      </c>
      <c r="AK29">
        <v>0.99217811078248697</v>
      </c>
      <c r="AL29">
        <v>1.0302028120672</v>
      </c>
      <c r="AM29">
        <v>4.9685753466060301E-2</v>
      </c>
      <c r="AN29">
        <v>-4.85641956516649E-2</v>
      </c>
      <c r="AO29">
        <v>6.5789776952704104E-2</v>
      </c>
      <c r="AP29">
        <v>1.10067086478332E-3</v>
      </c>
    </row>
    <row r="30" spans="1:42" x14ac:dyDescent="0.2">
      <c r="A30">
        <v>83</v>
      </c>
      <c r="B30">
        <v>736</v>
      </c>
      <c r="C30">
        <v>240</v>
      </c>
      <c r="D30">
        <v>0.32482832086409602</v>
      </c>
      <c r="E30">
        <v>0.60792228100550505</v>
      </c>
      <c r="F30">
        <v>3.5819918114901199</v>
      </c>
      <c r="G30">
        <v>-7.7832232241212758</v>
      </c>
      <c r="H30">
        <v>-6.6220611826110174</v>
      </c>
      <c r="I30">
        <v>1.1506337427639699</v>
      </c>
      <c r="J30">
        <v>0.68109071666905896</v>
      </c>
      <c r="K30">
        <v>0.16971626765182499</v>
      </c>
      <c r="L30">
        <v>4.4249875154317154E-5</v>
      </c>
      <c r="M30">
        <v>9.1115994316882957E-7</v>
      </c>
      <c r="N30" s="1">
        <v>9.7031179444626003E-10</v>
      </c>
      <c r="O30" s="1">
        <v>1.7282338317566899E-13</v>
      </c>
      <c r="P30" s="1">
        <v>-1.99722138335825E-12</v>
      </c>
      <c r="Q30">
        <v>49.491481360579598</v>
      </c>
      <c r="R30">
        <v>1.9754156706311001E-2</v>
      </c>
      <c r="S30">
        <v>2.7215201089857</v>
      </c>
      <c r="T30">
        <v>0.60527825547079905</v>
      </c>
      <c r="V30">
        <v>31.7418185898674</v>
      </c>
      <c r="X30">
        <v>15.2613441753612</v>
      </c>
      <c r="AA30">
        <v>0.14460735468045499</v>
      </c>
      <c r="AB30">
        <v>1.41959983484538E-2</v>
      </c>
      <c r="AJ30">
        <v>-1.0997943442571301</v>
      </c>
      <c r="AK30">
        <v>0.99288994167031797</v>
      </c>
      <c r="AL30">
        <v>1.0344196558361101</v>
      </c>
      <c r="AM30">
        <v>5.3663290741569197E-2</v>
      </c>
      <c r="AN30">
        <v>-5.2505531638077502E-2</v>
      </c>
      <c r="AO30">
        <v>7.0254427237295497E-2</v>
      </c>
      <c r="AP30">
        <v>1.07256040992208E-3</v>
      </c>
    </row>
    <row r="31" spans="1:42" x14ac:dyDescent="0.2">
      <c r="A31">
        <v>84</v>
      </c>
      <c r="B31">
        <v>734</v>
      </c>
      <c r="C31">
        <v>240</v>
      </c>
      <c r="D31">
        <v>0.32334855781164801</v>
      </c>
      <c r="E31">
        <v>0.62935832818523396</v>
      </c>
      <c r="F31">
        <v>3.5852107468383201</v>
      </c>
      <c r="G31">
        <v>-8.0478894278146225</v>
      </c>
      <c r="H31">
        <v>-6.849878407434753</v>
      </c>
      <c r="I31">
        <v>1.1895060521073</v>
      </c>
      <c r="J31">
        <v>0.70468689527116901</v>
      </c>
      <c r="K31">
        <v>0.175542910201372</v>
      </c>
      <c r="L31">
        <v>4.4197981535181255E-5</v>
      </c>
      <c r="M31">
        <v>9.1112447193734814E-7</v>
      </c>
      <c r="N31" s="1">
        <v>1.05381517041979E-9</v>
      </c>
      <c r="O31" s="1">
        <v>1.78938373261684E-13</v>
      </c>
      <c r="P31" s="1">
        <v>-2.44514968120121E-12</v>
      </c>
      <c r="Q31">
        <v>49.352447126414397</v>
      </c>
      <c r="R31">
        <v>2.02817779609769E-2</v>
      </c>
      <c r="S31">
        <v>2.8953839690663701</v>
      </c>
      <c r="T31">
        <v>0.62111634968682905</v>
      </c>
      <c r="V31">
        <v>31.844503765163601</v>
      </c>
      <c r="X31">
        <v>15.121456144405</v>
      </c>
      <c r="AA31">
        <v>0.13096416663184199</v>
      </c>
      <c r="AB31">
        <v>1.3846700670822601E-2</v>
      </c>
      <c r="AJ31">
        <v>-1.1086091903035</v>
      </c>
      <c r="AK31">
        <v>0.99348215367230597</v>
      </c>
      <c r="AL31">
        <v>1.03837062501222</v>
      </c>
      <c r="AM31">
        <v>5.7485696803808203E-2</v>
      </c>
      <c r="AN31">
        <v>-5.6296322140385401E-2</v>
      </c>
      <c r="AO31">
        <v>7.45202577778976E-2</v>
      </c>
      <c r="AP31">
        <v>1.04677917765198E-3</v>
      </c>
    </row>
    <row r="32" spans="1:42" x14ac:dyDescent="0.2">
      <c r="A32">
        <v>85</v>
      </c>
      <c r="B32">
        <v>732</v>
      </c>
      <c r="C32">
        <v>240</v>
      </c>
      <c r="D32">
        <v>0.32186290603392398</v>
      </c>
      <c r="E32">
        <v>0.64698506722500304</v>
      </c>
      <c r="F32">
        <v>3.5883032324280202</v>
      </c>
      <c r="G32">
        <v>-8.2636514677101989</v>
      </c>
      <c r="H32">
        <v>-7.0362808992735282</v>
      </c>
      <c r="I32">
        <v>1.2210819961564601</v>
      </c>
      <c r="J32">
        <v>0.72399139568847404</v>
      </c>
      <c r="K32">
        <v>0.18030390000992699</v>
      </c>
      <c r="L32">
        <v>4.4142081984962214E-5</v>
      </c>
      <c r="M32">
        <v>9.1106956655269162E-7</v>
      </c>
      <c r="N32" s="1">
        <v>1.1349983009441799E-9</v>
      </c>
      <c r="O32" s="1">
        <v>1.8380375194326799E-13</v>
      </c>
      <c r="P32" s="1">
        <v>-2.8755329738396599E-12</v>
      </c>
      <c r="Q32">
        <v>49.218235640715498</v>
      </c>
      <c r="R32">
        <v>2.0749631559387499E-2</v>
      </c>
      <c r="S32">
        <v>3.0642499285203102</v>
      </c>
      <c r="T32">
        <v>0.63575194767913501</v>
      </c>
      <c r="V32">
        <v>31.9419401007586</v>
      </c>
      <c r="X32">
        <v>14.9861924178833</v>
      </c>
      <c r="AA32">
        <v>0.119359981716138</v>
      </c>
      <c r="AB32">
        <v>1.3520351167480999E-2</v>
      </c>
      <c r="AJ32">
        <v>-1.11701306927382</v>
      </c>
      <c r="AK32">
        <v>0.99398824991181001</v>
      </c>
      <c r="AL32">
        <v>1.0421273444883301</v>
      </c>
      <c r="AM32">
        <v>6.1211065638316201E-2</v>
      </c>
      <c r="AN32">
        <v>-5.9993577773792703E-2</v>
      </c>
      <c r="AO32">
        <v>7.8657310370040201E-2</v>
      </c>
      <c r="AP32">
        <v>1.0226766391193401E-3</v>
      </c>
    </row>
    <row r="33" spans="1:42" x14ac:dyDescent="0.2">
      <c r="A33">
        <v>93</v>
      </c>
      <c r="B33">
        <v>746</v>
      </c>
      <c r="C33">
        <v>225</v>
      </c>
      <c r="D33">
        <v>0.34832998086640898</v>
      </c>
      <c r="E33">
        <v>0.28899415946885498</v>
      </c>
      <c r="F33">
        <v>3.57092747308914</v>
      </c>
      <c r="G33">
        <v>-3.7122154781666001</v>
      </c>
      <c r="H33">
        <v>-3.1511596056675715</v>
      </c>
      <c r="I33">
        <v>0.55051353824169902</v>
      </c>
      <c r="J33">
        <v>0.32412014163151798</v>
      </c>
      <c r="K33">
        <v>8.0929719700762098E-2</v>
      </c>
      <c r="L33">
        <v>4.4411100439492896E-5</v>
      </c>
      <c r="M33">
        <v>9.1205917786946223E-7</v>
      </c>
      <c r="N33" s="1">
        <v>3.8128909616766401E-10</v>
      </c>
      <c r="O33" s="1">
        <v>8.0131135366246004E-14</v>
      </c>
      <c r="P33" s="1">
        <v>-6.1529846447756497E-14</v>
      </c>
      <c r="Q33">
        <v>50.033417641681702</v>
      </c>
      <c r="R33">
        <v>1.36056409088242E-2</v>
      </c>
      <c r="S33">
        <v>1.94259519953212</v>
      </c>
      <c r="T33">
        <v>0.54951707892935397</v>
      </c>
      <c r="V33">
        <v>31.5482114039437</v>
      </c>
      <c r="X33">
        <v>15.6617292991979</v>
      </c>
      <c r="AA33">
        <v>0.23542866753378799</v>
      </c>
      <c r="AB33">
        <v>1.5495068272516101E-2</v>
      </c>
      <c r="AJ33">
        <v>-1.0695912085445101</v>
      </c>
      <c r="AK33">
        <v>0.98901191667717403</v>
      </c>
      <c r="AL33">
        <v>1.0269884474597699</v>
      </c>
      <c r="AM33">
        <v>3.6325213553101601E-2</v>
      </c>
      <c r="AN33">
        <v>-3.5528679089258698E-2</v>
      </c>
      <c r="AO33">
        <v>5.1624877406329303E-2</v>
      </c>
      <c r="AP33">
        <v>1.1694325373895801E-3</v>
      </c>
    </row>
    <row r="34" spans="1:42" x14ac:dyDescent="0.2">
      <c r="A34">
        <v>94</v>
      </c>
      <c r="B34">
        <v>744</v>
      </c>
      <c r="C34">
        <v>225</v>
      </c>
      <c r="D34">
        <v>0.34691097674876298</v>
      </c>
      <c r="E34">
        <v>0.46083154076128002</v>
      </c>
      <c r="F34">
        <v>3.5660733898500898</v>
      </c>
      <c r="G34">
        <v>-5.9425789364660941</v>
      </c>
      <c r="H34">
        <v>-5.0498684824951594</v>
      </c>
      <c r="I34">
        <v>0.87765860882950697</v>
      </c>
      <c r="J34">
        <v>0.51802086304899597</v>
      </c>
      <c r="K34">
        <v>0.12922660034785499</v>
      </c>
      <c r="L34">
        <v>4.4375807259277871E-5</v>
      </c>
      <c r="M34">
        <v>9.1015059697524359E-7</v>
      </c>
      <c r="N34" s="1">
        <v>6.12219130903462E-10</v>
      </c>
      <c r="O34" s="1">
        <v>1.3105123607208201E-13</v>
      </c>
      <c r="P34" s="1">
        <v>-4.09439413192764E-13</v>
      </c>
      <c r="Q34">
        <v>50.051247560236298</v>
      </c>
      <c r="R34">
        <v>1.7662417380608801E-2</v>
      </c>
      <c r="S34">
        <v>2.1122400262510799</v>
      </c>
      <c r="T34">
        <v>0.54189917914479102</v>
      </c>
      <c r="V34">
        <v>31.1137493672421</v>
      </c>
      <c r="X34">
        <v>15.9394496611253</v>
      </c>
      <c r="AA34">
        <v>0.20850139253937999</v>
      </c>
      <c r="AB34">
        <v>1.52503960803417E-2</v>
      </c>
      <c r="AJ34">
        <v>-1.0580444968123801</v>
      </c>
      <c r="AK34">
        <v>0.99017599973154702</v>
      </c>
      <c r="AL34">
        <v>1.0105202996348599</v>
      </c>
      <c r="AM34">
        <v>4.0363253037916103E-2</v>
      </c>
      <c r="AN34">
        <v>-3.9331590673853403E-2</v>
      </c>
      <c r="AO34">
        <v>5.5168210452954003E-2</v>
      </c>
      <c r="AP34">
        <v>1.1483246289527101E-3</v>
      </c>
    </row>
    <row r="35" spans="1:42" x14ac:dyDescent="0.2">
      <c r="A35">
        <v>95</v>
      </c>
      <c r="B35">
        <v>742</v>
      </c>
      <c r="C35">
        <v>225</v>
      </c>
      <c r="D35">
        <v>0.345486381322956</v>
      </c>
      <c r="E35">
        <v>0.52872415152902796</v>
      </c>
      <c r="F35">
        <v>3.5694755611016</v>
      </c>
      <c r="G35">
        <v>-6.8100860209346328</v>
      </c>
      <c r="H35">
        <v>-5.7892947446148071</v>
      </c>
      <c r="I35">
        <v>1.0055570864599499</v>
      </c>
      <c r="J35">
        <v>0.594080104093614</v>
      </c>
      <c r="K35">
        <v>0.14812376285491399</v>
      </c>
      <c r="L35">
        <v>4.4344543643460247E-5</v>
      </c>
      <c r="M35">
        <v>9.1012654318802958E-7</v>
      </c>
      <c r="N35" s="1">
        <v>7.3682457746179802E-10</v>
      </c>
      <c r="O35" s="1">
        <v>1.5125649645805301E-13</v>
      </c>
      <c r="P35" s="1">
        <v>-8.8210318584034204E-13</v>
      </c>
      <c r="Q35">
        <v>49.896929472684498</v>
      </c>
      <c r="R35">
        <v>1.8700667618803901E-2</v>
      </c>
      <c r="S35">
        <v>2.3110376878803001</v>
      </c>
      <c r="T35">
        <v>0.56199633305013796</v>
      </c>
      <c r="V35">
        <v>31.2135996000973</v>
      </c>
      <c r="X35">
        <v>15.800009587165899</v>
      </c>
      <c r="AA35">
        <v>0.182934188837659</v>
      </c>
      <c r="AB35">
        <v>1.4792462665250399E-2</v>
      </c>
      <c r="AJ35">
        <v>-1.0678306651298</v>
      </c>
      <c r="AK35">
        <v>0.99126951250779705</v>
      </c>
      <c r="AL35">
        <v>1.01432230334329</v>
      </c>
      <c r="AM35">
        <v>4.4691390000472599E-2</v>
      </c>
      <c r="AN35">
        <v>-4.3598481051531197E-2</v>
      </c>
      <c r="AO35">
        <v>6.0031482948609299E-2</v>
      </c>
      <c r="AP35">
        <v>1.11445738115811E-3</v>
      </c>
    </row>
    <row r="36" spans="1:42" x14ac:dyDescent="0.2">
      <c r="A36">
        <v>96</v>
      </c>
      <c r="B36">
        <v>740</v>
      </c>
      <c r="C36">
        <v>225</v>
      </c>
      <c r="D36">
        <v>0.34405616147658602</v>
      </c>
      <c r="E36">
        <v>0.56726678263624697</v>
      </c>
      <c r="F36">
        <v>3.57302605698702</v>
      </c>
      <c r="G36">
        <v>-7.2966332378618199</v>
      </c>
      <c r="H36">
        <v>-6.2051630877413801</v>
      </c>
      <c r="I36">
        <v>1.07730360767945</v>
      </c>
      <c r="J36">
        <v>0.63701373251177296</v>
      </c>
      <c r="K36">
        <v>0.15876368478392699</v>
      </c>
      <c r="L36">
        <v>4.4308718780234737E-5</v>
      </c>
      <c r="M36">
        <v>9.1018314899548992E-7</v>
      </c>
      <c r="N36" s="1">
        <v>8.2936647278136296E-10</v>
      </c>
      <c r="O36" s="1">
        <v>1.62780427498116E-13</v>
      </c>
      <c r="P36" s="1">
        <v>-1.3427382656651E-12</v>
      </c>
      <c r="Q36">
        <v>49.746749063566298</v>
      </c>
      <c r="R36">
        <v>1.9391033061933401E-2</v>
      </c>
      <c r="S36">
        <v>2.4951144769217199</v>
      </c>
      <c r="T36">
        <v>0.58073263374603701</v>
      </c>
      <c r="V36">
        <v>31.3320787507365</v>
      </c>
      <c r="X36">
        <v>15.648519943702301</v>
      </c>
      <c r="AA36">
        <v>0.16302988624077699</v>
      </c>
      <c r="AB36">
        <v>1.4384212024306601E-2</v>
      </c>
      <c r="AJ36">
        <v>-1.07774049833011</v>
      </c>
      <c r="AK36">
        <v>0.99212377483404202</v>
      </c>
      <c r="AL36">
        <v>1.01884034248658</v>
      </c>
      <c r="AM36">
        <v>4.8699971727791599E-2</v>
      </c>
      <c r="AN36">
        <v>-4.7565972858819798E-2</v>
      </c>
      <c r="AO36">
        <v>6.4557971269090603E-2</v>
      </c>
      <c r="AP36">
        <v>1.0844108714272299E-3</v>
      </c>
    </row>
    <row r="37" spans="1:42" x14ac:dyDescent="0.2">
      <c r="A37">
        <v>97</v>
      </c>
      <c r="B37">
        <v>738</v>
      </c>
      <c r="C37">
        <v>225</v>
      </c>
      <c r="D37">
        <v>0.34262028383523802</v>
      </c>
      <c r="E37">
        <v>0.59379213785407003</v>
      </c>
      <c r="F37">
        <v>3.5763360404487701</v>
      </c>
      <c r="G37">
        <v>-7.6281461131682846</v>
      </c>
      <c r="H37">
        <v>-6.4895228083976928</v>
      </c>
      <c r="I37">
        <v>1.1260676504678699</v>
      </c>
      <c r="J37">
        <v>0.66641396733262204</v>
      </c>
      <c r="K37">
        <v>0.166033653196515</v>
      </c>
      <c r="L37">
        <v>4.4268345281311359E-5</v>
      </c>
      <c r="M37">
        <v>9.1021180986674059E-7</v>
      </c>
      <c r="N37" s="1">
        <v>9.0945174828341601E-10</v>
      </c>
      <c r="O37" s="1">
        <v>1.7068950798966301E-13</v>
      </c>
      <c r="P37" s="1">
        <v>-1.78342343247695E-12</v>
      </c>
      <c r="Q37">
        <v>49.606343263694498</v>
      </c>
      <c r="R37">
        <v>1.9979889893510901E-2</v>
      </c>
      <c r="S37">
        <v>2.66833845420848</v>
      </c>
      <c r="T37">
        <v>0.59731945692332</v>
      </c>
      <c r="V37">
        <v>31.441026993365</v>
      </c>
      <c r="X37">
        <v>15.506019910499599</v>
      </c>
      <c r="AA37">
        <v>0.14695309983413599</v>
      </c>
      <c r="AB37">
        <v>1.4018931581356E-2</v>
      </c>
      <c r="AJ37">
        <v>-1.0868569089021201</v>
      </c>
      <c r="AK37">
        <v>0.99281670106392295</v>
      </c>
      <c r="AL37">
        <v>1.0230053798504799</v>
      </c>
      <c r="AM37">
        <v>5.2489351599621398E-2</v>
      </c>
      <c r="AN37">
        <v>-5.1320204825870901E-2</v>
      </c>
      <c r="AO37">
        <v>6.8808165149173206E-2</v>
      </c>
      <c r="AP37">
        <v>1.0575160647923901E-3</v>
      </c>
    </row>
    <row r="38" spans="1:42" x14ac:dyDescent="0.2">
      <c r="A38">
        <v>98</v>
      </c>
      <c r="B38">
        <v>736</v>
      </c>
      <c r="C38">
        <v>225</v>
      </c>
      <c r="D38">
        <v>0.34117871475994799</v>
      </c>
      <c r="E38">
        <v>0.61427129678998504</v>
      </c>
      <c r="F38">
        <v>3.57948614892587</v>
      </c>
      <c r="G38">
        <v>-7.8817049190248767</v>
      </c>
      <c r="H38">
        <v>-6.7078115528853344</v>
      </c>
      <c r="I38">
        <v>1.1632496320066701</v>
      </c>
      <c r="J38">
        <v>0.68899944657564005</v>
      </c>
      <c r="K38">
        <v>0.171608792780023</v>
      </c>
      <c r="L38">
        <v>4.4223771626571273E-5</v>
      </c>
      <c r="M38">
        <v>9.1021659860681488E-7</v>
      </c>
      <c r="N38" s="1">
        <v>9.8460285801330409E-10</v>
      </c>
      <c r="O38" s="1">
        <v>1.7669886672533699E-13</v>
      </c>
      <c r="P38" s="1">
        <v>-2.20819839646528E-12</v>
      </c>
      <c r="Q38">
        <v>49.472206047905701</v>
      </c>
      <c r="R38">
        <v>2.0495449730504399E-2</v>
      </c>
      <c r="S38">
        <v>2.8348582904947199</v>
      </c>
      <c r="T38">
        <v>0.61242394704631498</v>
      </c>
      <c r="V38">
        <v>31.543441288834501</v>
      </c>
      <c r="X38">
        <v>15.3693919545826</v>
      </c>
      <c r="AA38">
        <v>0.13350038954846999</v>
      </c>
      <c r="AB38">
        <v>1.36826318569784E-2</v>
      </c>
      <c r="AJ38">
        <v>-1.09544773439643</v>
      </c>
      <c r="AK38">
        <v>0.99339904734786699</v>
      </c>
      <c r="AL38">
        <v>1.0269292423979499</v>
      </c>
      <c r="AM38">
        <v>5.6146186920078001E-2</v>
      </c>
      <c r="AN38">
        <v>-5.4946180271087497E-2</v>
      </c>
      <c r="AO38">
        <v>7.2886695728593798E-2</v>
      </c>
      <c r="AP38">
        <v>1.0327422730224401E-3</v>
      </c>
    </row>
    <row r="39" spans="1:42" x14ac:dyDescent="0.2">
      <c r="A39">
        <v>99</v>
      </c>
      <c r="B39">
        <v>734</v>
      </c>
      <c r="C39">
        <v>225</v>
      </c>
      <c r="D39">
        <v>0.33973142034453802</v>
      </c>
      <c r="E39">
        <v>0.631239559058966</v>
      </c>
      <c r="F39">
        <v>3.5825221177814899</v>
      </c>
      <c r="G39">
        <v>-8.0900080050174257</v>
      </c>
      <c r="H39">
        <v>-6.8877835138707333</v>
      </c>
      <c r="I39">
        <v>1.1936896104321</v>
      </c>
      <c r="J39">
        <v>0.70762241371250501</v>
      </c>
      <c r="K39">
        <v>0.17619976606030399</v>
      </c>
      <c r="L39">
        <v>4.4175177290201484E-5</v>
      </c>
      <c r="M39">
        <v>9.1020000378697322E-7</v>
      </c>
      <c r="N39" s="1">
        <v>1.05806775148495E-9</v>
      </c>
      <c r="O39" s="1">
        <v>1.8154315074664501E-13</v>
      </c>
      <c r="P39" s="1">
        <v>-2.6199984421249801E-12</v>
      </c>
      <c r="Q39">
        <v>49.342340194752701</v>
      </c>
      <c r="R39">
        <v>2.0954162424022101E-2</v>
      </c>
      <c r="S39">
        <v>2.99704411358179</v>
      </c>
      <c r="T39">
        <v>0.62642967750162104</v>
      </c>
      <c r="V39">
        <v>31.6410114351416</v>
      </c>
      <c r="X39">
        <v>15.236877699768399</v>
      </c>
      <c r="AA39">
        <v>0.121975255914909</v>
      </c>
      <c r="AB39">
        <v>1.3367460914744301E-2</v>
      </c>
      <c r="AJ39">
        <v>-1.10366551056971</v>
      </c>
      <c r="AK39">
        <v>0.99390017278388798</v>
      </c>
      <c r="AL39">
        <v>1.03067492786971</v>
      </c>
      <c r="AM39">
        <v>5.97199557391484E-2</v>
      </c>
      <c r="AN39">
        <v>-5.8492413596768898E-2</v>
      </c>
      <c r="AO39">
        <v>7.6853356577564799E-2</v>
      </c>
      <c r="AP39">
        <v>1.0095111961688399E-3</v>
      </c>
    </row>
    <row r="40" spans="1:42" x14ac:dyDescent="0.2">
      <c r="A40">
        <v>106</v>
      </c>
      <c r="B40">
        <v>748</v>
      </c>
      <c r="C40">
        <v>210</v>
      </c>
      <c r="D40">
        <v>0.36590167947901903</v>
      </c>
      <c r="E40">
        <v>0.353453219938765</v>
      </c>
      <c r="F40">
        <v>3.5641401761447198</v>
      </c>
      <c r="G40">
        <v>-4.5602529556187479</v>
      </c>
      <c r="H40">
        <v>-3.8712359611021556</v>
      </c>
      <c r="I40">
        <v>0.67474611420123498</v>
      </c>
      <c r="J40">
        <v>0.39733206346604499</v>
      </c>
      <c r="K40">
        <v>9.9169281361175296E-2</v>
      </c>
      <c r="L40">
        <v>4.4402645502260787E-5</v>
      </c>
      <c r="M40">
        <v>9.1049278775783285E-7</v>
      </c>
      <c r="N40" s="1">
        <v>4.5170951130035602E-10</v>
      </c>
      <c r="O40" s="1">
        <v>9.9431447817821804E-14</v>
      </c>
      <c r="P40" s="1">
        <v>-2.8901612445302302E-14</v>
      </c>
      <c r="Q40">
        <v>50.143647093602397</v>
      </c>
      <c r="R40">
        <v>1.46765527725485E-2</v>
      </c>
      <c r="S40">
        <v>1.9441740940329399</v>
      </c>
      <c r="T40">
        <v>0.542147182576588</v>
      </c>
      <c r="V40">
        <v>31.1403047944567</v>
      </c>
      <c r="X40">
        <v>15.9690343632944</v>
      </c>
      <c r="AA40">
        <v>0.23076970529246399</v>
      </c>
      <c r="AB40">
        <v>1.5246213971759201E-2</v>
      </c>
      <c r="AJ40">
        <v>-1.0542305678526001</v>
      </c>
      <c r="AK40">
        <v>0.98924790267232499</v>
      </c>
      <c r="AL40">
        <v>1.0115553779009001</v>
      </c>
      <c r="AM40">
        <v>3.6432510188251402E-2</v>
      </c>
      <c r="AN40">
        <v>-3.5575105970330999E-2</v>
      </c>
      <c r="AO40">
        <v>5.1421677415693701E-2</v>
      </c>
      <c r="AP40">
        <v>1.1482056457643101E-3</v>
      </c>
    </row>
    <row r="41" spans="1:42" x14ac:dyDescent="0.2">
      <c r="A41">
        <v>107</v>
      </c>
      <c r="B41">
        <v>746</v>
      </c>
      <c r="C41">
        <v>210</v>
      </c>
      <c r="D41">
        <v>0.36451994308983099</v>
      </c>
      <c r="E41">
        <v>0.466459219096996</v>
      </c>
      <c r="F41">
        <v>3.5611693719255402</v>
      </c>
      <c r="G41">
        <v>-6.0341538206852787</v>
      </c>
      <c r="H41">
        <v>-5.1270764740535331</v>
      </c>
      <c r="I41">
        <v>0.89003321064784102</v>
      </c>
      <c r="J41">
        <v>0.52517648088737601</v>
      </c>
      <c r="K41">
        <v>0.13098484525176499</v>
      </c>
      <c r="L41">
        <v>4.436472584079394E-5</v>
      </c>
      <c r="M41">
        <v>9.0907579920103606E-7</v>
      </c>
      <c r="N41" s="1">
        <v>6.0630681508376499E-10</v>
      </c>
      <c r="O41" s="1">
        <v>1.3393324276043599E-13</v>
      </c>
      <c r="P41" s="1">
        <v>-3.4553413400286198E-13</v>
      </c>
      <c r="Q41">
        <v>50.129660509295597</v>
      </c>
      <c r="R41">
        <v>1.7999652305154601E-2</v>
      </c>
      <c r="S41">
        <v>2.10471320606867</v>
      </c>
      <c r="T41">
        <v>0.53999601824172205</v>
      </c>
      <c r="V41">
        <v>30.836019503897202</v>
      </c>
      <c r="X41">
        <v>16.150218486223402</v>
      </c>
      <c r="AA41">
        <v>0.206409449562969</v>
      </c>
      <c r="AB41">
        <v>1.4983174405138E-2</v>
      </c>
      <c r="AJ41">
        <v>-1.0474307053132199</v>
      </c>
      <c r="AK41">
        <v>0.99029706603002299</v>
      </c>
      <c r="AL41">
        <v>1.00006746891886</v>
      </c>
      <c r="AM41">
        <v>4.01811544228469E-2</v>
      </c>
      <c r="AN41">
        <v>-3.9131298130436899E-2</v>
      </c>
      <c r="AO41">
        <v>5.4889724604711997E-2</v>
      </c>
      <c r="AP41">
        <v>1.1265894672197599E-3</v>
      </c>
    </row>
    <row r="42" spans="1:42" x14ac:dyDescent="0.2">
      <c r="A42">
        <v>108</v>
      </c>
      <c r="B42">
        <v>744</v>
      </c>
      <c r="C42">
        <v>210</v>
      </c>
      <c r="D42">
        <v>0.36313277294401303</v>
      </c>
      <c r="E42">
        <v>0.52212944044947696</v>
      </c>
      <c r="F42">
        <v>3.5642137968696201</v>
      </c>
      <c r="G42">
        <v>-6.7473248216327741</v>
      </c>
      <c r="H42">
        <v>-5.7353572356892482</v>
      </c>
      <c r="I42">
        <v>0.994904965780393</v>
      </c>
      <c r="J42">
        <v>0.58763228821521596</v>
      </c>
      <c r="K42">
        <v>0.146492177575894</v>
      </c>
      <c r="L42">
        <v>4.433887823952684E-5</v>
      </c>
      <c r="M42">
        <v>9.0906122003479023E-7</v>
      </c>
      <c r="N42" s="1">
        <v>7.0760781239641695E-10</v>
      </c>
      <c r="O42" s="1">
        <v>1.5087512443229399E-13</v>
      </c>
      <c r="P42" s="1">
        <v>-7.6553010741512805E-13</v>
      </c>
      <c r="Q42">
        <v>49.989822976365602</v>
      </c>
      <c r="R42">
        <v>1.9039057679329001E-2</v>
      </c>
      <c r="S42">
        <v>2.2875648211237398</v>
      </c>
      <c r="T42">
        <v>0.55766276362517098</v>
      </c>
      <c r="V42">
        <v>30.921340550711999</v>
      </c>
      <c r="X42">
        <v>16.0269413989583</v>
      </c>
      <c r="AA42">
        <v>0.183062417421158</v>
      </c>
      <c r="AB42">
        <v>1.45660141145536E-2</v>
      </c>
      <c r="AJ42">
        <v>-1.0561470211177499</v>
      </c>
      <c r="AK42">
        <v>0.99129441129704499</v>
      </c>
      <c r="AL42">
        <v>1.0033064035061201</v>
      </c>
      <c r="AM42">
        <v>4.4168825251692301E-2</v>
      </c>
      <c r="AN42">
        <v>-4.3057821640329598E-2</v>
      </c>
      <c r="AO42">
        <v>5.9339464358494701E-2</v>
      </c>
      <c r="AP42">
        <v>1.0957383447292E-3</v>
      </c>
    </row>
    <row r="43" spans="1:42" x14ac:dyDescent="0.2">
      <c r="A43">
        <v>109</v>
      </c>
      <c r="B43">
        <v>742</v>
      </c>
      <c r="C43">
        <v>210</v>
      </c>
      <c r="D43">
        <v>0.361740136925575</v>
      </c>
      <c r="E43">
        <v>0.55663352178795</v>
      </c>
      <c r="F43">
        <v>3.5676290233134198</v>
      </c>
      <c r="G43">
        <v>-7.1836870600061813</v>
      </c>
      <c r="H43">
        <v>-6.1085060115157823</v>
      </c>
      <c r="I43">
        <v>1.0591351509534499</v>
      </c>
      <c r="J43">
        <v>0.62610899487776495</v>
      </c>
      <c r="K43">
        <v>0.15602337523058299</v>
      </c>
      <c r="L43">
        <v>4.4309688396451481E-5</v>
      </c>
      <c r="M43">
        <v>9.0915934355348269E-7</v>
      </c>
      <c r="N43" s="1">
        <v>7.8792571722554901E-10</v>
      </c>
      <c r="O43" s="1">
        <v>1.61397463717391E-13</v>
      </c>
      <c r="P43" s="1">
        <v>-1.1882909676638801E-12</v>
      </c>
      <c r="Q43">
        <v>49.847307311314097</v>
      </c>
      <c r="R43">
        <v>1.96979543889137E-2</v>
      </c>
      <c r="S43">
        <v>2.4611152233721798</v>
      </c>
      <c r="T43">
        <v>0.57514115113201103</v>
      </c>
      <c r="V43">
        <v>31.037042523532801</v>
      </c>
      <c r="X43">
        <v>15.8813577687008</v>
      </c>
      <c r="AA43">
        <v>0.164157517170608</v>
      </c>
      <c r="AB43">
        <v>1.41805503884453E-2</v>
      </c>
      <c r="AJ43">
        <v>-1.0656219922263099</v>
      </c>
      <c r="AK43">
        <v>0.99210425516026302</v>
      </c>
      <c r="AL43">
        <v>1.0077017844290099</v>
      </c>
      <c r="AM43">
        <v>4.7945894983939599E-2</v>
      </c>
      <c r="AN43">
        <v>-4.6795710314468102E-2</v>
      </c>
      <c r="AO43">
        <v>6.3598347203000602E-2</v>
      </c>
      <c r="AP43">
        <v>1.0674207645695499E-3</v>
      </c>
    </row>
    <row r="44" spans="1:42" x14ac:dyDescent="0.2">
      <c r="A44">
        <v>110</v>
      </c>
      <c r="B44">
        <v>740</v>
      </c>
      <c r="C44">
        <v>210</v>
      </c>
      <c r="D44">
        <v>0.36034200266496003</v>
      </c>
      <c r="E44">
        <v>0.58121656723331605</v>
      </c>
      <c r="F44">
        <v>3.57083999154354</v>
      </c>
      <c r="G44">
        <v>-7.4915772225029045</v>
      </c>
      <c r="H44">
        <v>-6.3727134973226995</v>
      </c>
      <c r="I44">
        <v>1.1043416327100599</v>
      </c>
      <c r="J44">
        <v>0.65339232984098505</v>
      </c>
      <c r="K44">
        <v>0.16276746328868</v>
      </c>
      <c r="L44">
        <v>4.4275990998983184E-5</v>
      </c>
      <c r="M44">
        <v>9.0922761248618825E-7</v>
      </c>
      <c r="N44" s="1">
        <v>8.5884531772992298E-10</v>
      </c>
      <c r="O44" s="1">
        <v>1.6889558320022601E-13</v>
      </c>
      <c r="P44" s="1">
        <v>-1.5994264214051001E-12</v>
      </c>
      <c r="Q44">
        <v>49.712956643939201</v>
      </c>
      <c r="R44">
        <v>2.02656744180751E-2</v>
      </c>
      <c r="S44">
        <v>2.6257569599275001</v>
      </c>
      <c r="T44">
        <v>0.59076847790573095</v>
      </c>
      <c r="V44">
        <v>31.1444696980206</v>
      </c>
      <c r="X44">
        <v>15.743328247558599</v>
      </c>
      <c r="AA44">
        <v>0.14862169318763099</v>
      </c>
      <c r="AB44">
        <v>1.38326050425653E-2</v>
      </c>
      <c r="AJ44">
        <v>-1.0744207790950699</v>
      </c>
      <c r="AK44">
        <v>0.99277237179924405</v>
      </c>
      <c r="AL44">
        <v>1.01179238705425</v>
      </c>
      <c r="AM44">
        <v>5.1544696976653898E-2</v>
      </c>
      <c r="AN44">
        <v>-5.0360657236722103E-2</v>
      </c>
      <c r="AO44">
        <v>6.7630130235812699E-2</v>
      </c>
      <c r="AP44">
        <v>1.04185026582362E-3</v>
      </c>
    </row>
    <row r="45" spans="1:42" x14ac:dyDescent="0.2">
      <c r="A45">
        <v>111</v>
      </c>
      <c r="B45">
        <v>738</v>
      </c>
      <c r="C45">
        <v>210</v>
      </c>
      <c r="D45">
        <v>0.35893833753646798</v>
      </c>
      <c r="E45">
        <v>0.60054570905900595</v>
      </c>
      <c r="F45">
        <v>3.5739118066096598</v>
      </c>
      <c r="G45">
        <v>-7.7314619978256731</v>
      </c>
      <c r="H45">
        <v>-6.5793008912547641</v>
      </c>
      <c r="I45">
        <v>1.13945617027237</v>
      </c>
      <c r="J45">
        <v>0.67474289713014302</v>
      </c>
      <c r="K45">
        <v>0.16803596214891001</v>
      </c>
      <c r="L45">
        <v>4.4238143448874448E-5</v>
      </c>
      <c r="M45">
        <v>9.0927046815343022E-7</v>
      </c>
      <c r="N45" s="1">
        <v>9.2606235331541499E-10</v>
      </c>
      <c r="O45" s="1">
        <v>1.7472032293806299E-13</v>
      </c>
      <c r="P45" s="1">
        <v>-2.0002263832687298E-12</v>
      </c>
      <c r="Q45">
        <v>49.5839602533879</v>
      </c>
      <c r="R45">
        <v>2.0765722332520699E-2</v>
      </c>
      <c r="S45">
        <v>2.7847887896805901</v>
      </c>
      <c r="T45">
        <v>0.60508469252838104</v>
      </c>
      <c r="V45">
        <v>31.246079562354598</v>
      </c>
      <c r="X45">
        <v>15.610334826269099</v>
      </c>
      <c r="AA45">
        <v>0.135475634531974</v>
      </c>
      <c r="AB45">
        <v>1.3510518914688E-2</v>
      </c>
      <c r="AJ45">
        <v>-1.08275968536242</v>
      </c>
      <c r="AK45">
        <v>0.99334000430384795</v>
      </c>
      <c r="AL45">
        <v>1.01566957054956</v>
      </c>
      <c r="AM45">
        <v>5.5033934096172299E-2</v>
      </c>
      <c r="AN45">
        <v>-5.3819989963684298E-2</v>
      </c>
      <c r="AO45">
        <v>7.1517997541052106E-2</v>
      </c>
      <c r="AP45">
        <v>1.0181688354716999E-3</v>
      </c>
    </row>
    <row r="46" spans="1:42" x14ac:dyDescent="0.2">
      <c r="A46">
        <v>112</v>
      </c>
      <c r="B46">
        <v>736</v>
      </c>
      <c r="C46">
        <v>210</v>
      </c>
      <c r="D46">
        <v>0.35752910865580001</v>
      </c>
      <c r="E46">
        <v>0.61672730263730802</v>
      </c>
      <c r="F46">
        <v>3.57688293473469</v>
      </c>
      <c r="G46">
        <v>-7.9306075929013398</v>
      </c>
      <c r="H46">
        <v>-6.7514063533974173</v>
      </c>
      <c r="I46">
        <v>1.16850937868891</v>
      </c>
      <c r="J46">
        <v>0.692534502906752</v>
      </c>
      <c r="K46">
        <v>0.17242032067875099</v>
      </c>
      <c r="L46">
        <v>4.4196336933151411E-5</v>
      </c>
      <c r="M46">
        <v>9.0929064655609669E-7</v>
      </c>
      <c r="N46" s="1">
        <v>9.9218680943300897E-10</v>
      </c>
      <c r="O46" s="1">
        <v>1.7948629643138399E-13</v>
      </c>
      <c r="P46" s="1">
        <v>-2.3921477153671901E-12</v>
      </c>
      <c r="Q46">
        <v>49.458651116091602</v>
      </c>
      <c r="R46">
        <v>2.12123574374978E-2</v>
      </c>
      <c r="S46">
        <v>2.9401745054103201</v>
      </c>
      <c r="T46">
        <v>0.618412893367976</v>
      </c>
      <c r="V46">
        <v>31.3433155055634</v>
      </c>
      <c r="X46">
        <v>15.4809025363695</v>
      </c>
      <c r="AA46">
        <v>0.124123558302298</v>
      </c>
      <c r="AB46">
        <v>1.32075274572547E-2</v>
      </c>
      <c r="AJ46">
        <v>-1.0907672477436701</v>
      </c>
      <c r="AK46">
        <v>0.99383222257649495</v>
      </c>
      <c r="AL46">
        <v>1.01938693289479</v>
      </c>
      <c r="AM46">
        <v>5.8454489147226903E-2</v>
      </c>
      <c r="AN46">
        <v>-5.7213757627425602E-2</v>
      </c>
      <c r="AO46">
        <v>7.5311481893205398E-2</v>
      </c>
      <c r="AP46">
        <v>9.9587885937771109E-4</v>
      </c>
    </row>
    <row r="47" spans="1:42" x14ac:dyDescent="0.2">
      <c r="A47">
        <v>118</v>
      </c>
      <c r="B47">
        <v>752</v>
      </c>
      <c r="C47">
        <v>195</v>
      </c>
      <c r="D47">
        <v>0.38474418377798603</v>
      </c>
      <c r="E47">
        <v>0.105767406056998</v>
      </c>
      <c r="F47">
        <v>3.5658012252623998</v>
      </c>
      <c r="G47">
        <v>-1.3624990068528693</v>
      </c>
      <c r="H47">
        <v>-1.1551259119251056</v>
      </c>
      <c r="I47">
        <v>0.20228561179121399</v>
      </c>
      <c r="J47">
        <v>0.118778561304244</v>
      </c>
      <c r="K47">
        <v>2.9661610217550798E-2</v>
      </c>
      <c r="L47">
        <v>4.4430544483807697E-5</v>
      </c>
      <c r="M47">
        <v>9.1153446245944152E-7</v>
      </c>
      <c r="N47" s="1">
        <v>1.3328726132732899E-10</v>
      </c>
      <c r="O47" s="1">
        <v>2.9238154597986702E-14</v>
      </c>
      <c r="P47" s="1">
        <v>5.8917177836260805E-14</v>
      </c>
      <c r="Q47">
        <v>50.150341733356598</v>
      </c>
      <c r="R47">
        <v>1.1044042092467701E-2</v>
      </c>
      <c r="S47">
        <v>1.8121866782543301</v>
      </c>
      <c r="T47">
        <v>0.55576301181566201</v>
      </c>
      <c r="V47">
        <v>31.386763844877802</v>
      </c>
      <c r="X47">
        <v>15.822600552238701</v>
      </c>
      <c r="AA47">
        <v>0.24613427604646099</v>
      </c>
      <c r="AB47">
        <v>1.51658613178394E-2</v>
      </c>
      <c r="AJ47">
        <v>-1.06008451006587</v>
      </c>
      <c r="AK47">
        <v>0.98859933776572395</v>
      </c>
      <c r="AL47">
        <v>1.02092177325912</v>
      </c>
      <c r="AM47">
        <v>3.3153492248756397E-2</v>
      </c>
      <c r="AN47">
        <v>-3.2507438381608897E-2</v>
      </c>
      <c r="AO47">
        <v>4.8773666903158E-2</v>
      </c>
      <c r="AP47">
        <v>1.1436782707216001E-3</v>
      </c>
    </row>
    <row r="48" spans="1:42" x14ac:dyDescent="0.2">
      <c r="A48">
        <v>119</v>
      </c>
      <c r="B48">
        <v>750</v>
      </c>
      <c r="C48">
        <v>195</v>
      </c>
      <c r="D48">
        <v>0.38340468162048602</v>
      </c>
      <c r="E48">
        <v>0.39748559922513599</v>
      </c>
      <c r="F48">
        <v>3.5579397101893702</v>
      </c>
      <c r="G48">
        <v>-5.1493707145770911</v>
      </c>
      <c r="H48">
        <v>-4.3713894273626366</v>
      </c>
      <c r="I48">
        <v>0.76037852437516995</v>
      </c>
      <c r="J48">
        <v>0.44776927570941</v>
      </c>
      <c r="K48">
        <v>0.111717913062664</v>
      </c>
      <c r="L48">
        <v>4.4381992785381825E-5</v>
      </c>
      <c r="M48">
        <v>9.0898351620622746E-7</v>
      </c>
      <c r="N48" s="1">
        <v>4.9734774042206602E-10</v>
      </c>
      <c r="O48" s="1">
        <v>1.1337712101714801E-13</v>
      </c>
      <c r="P48" s="1">
        <v>-1.6921872888151701E-15</v>
      </c>
      <c r="Q48">
        <v>50.236307513436898</v>
      </c>
      <c r="R48">
        <v>1.5742856461893301E-2</v>
      </c>
      <c r="S48">
        <v>1.9583831435649901</v>
      </c>
      <c r="T48">
        <v>0.53799077688618901</v>
      </c>
      <c r="V48">
        <v>30.763600894792098</v>
      </c>
      <c r="X48">
        <v>16.247697153442299</v>
      </c>
      <c r="AA48">
        <v>0.225308229356905</v>
      </c>
      <c r="AB48">
        <v>1.4969432058564301E-2</v>
      </c>
      <c r="AJ48">
        <v>-1.0404954460984499</v>
      </c>
      <c r="AK48">
        <v>0.989516506752111</v>
      </c>
      <c r="AL48">
        <v>0.99737110997115896</v>
      </c>
      <c r="AM48">
        <v>3.6788228133198202E-2</v>
      </c>
      <c r="AN48">
        <v>-3.5870322780805999E-2</v>
      </c>
      <c r="AO48">
        <v>5.1564760090110802E-2</v>
      </c>
      <c r="AP48">
        <v>1.12516393268328E-3</v>
      </c>
    </row>
    <row r="49" spans="1:42" x14ac:dyDescent="0.2">
      <c r="A49">
        <v>120</v>
      </c>
      <c r="B49">
        <v>748</v>
      </c>
      <c r="C49">
        <v>195</v>
      </c>
      <c r="D49">
        <v>0.382059932429125</v>
      </c>
      <c r="E49">
        <v>0.47292104818560599</v>
      </c>
      <c r="F49">
        <v>3.5563016624769301</v>
      </c>
      <c r="G49">
        <v>-6.1372643778527456</v>
      </c>
      <c r="H49">
        <v>-5.2140909105282578</v>
      </c>
      <c r="I49">
        <v>0.90405275162756404</v>
      </c>
      <c r="J49">
        <v>0.53329225723786899</v>
      </c>
      <c r="K49">
        <v>0.13298113969786801</v>
      </c>
      <c r="L49">
        <v>4.4345620092247477E-5</v>
      </c>
      <c r="M49">
        <v>9.0794410002998297E-7</v>
      </c>
      <c r="N49" s="1">
        <v>6.0478446467708502E-10</v>
      </c>
      <c r="O49" s="1">
        <v>1.3718147647230699E-13</v>
      </c>
      <c r="P49" s="1">
        <v>-3.0022459276110702E-13</v>
      </c>
      <c r="Q49">
        <v>50.201749763309998</v>
      </c>
      <c r="R49">
        <v>1.8494475313344898E-2</v>
      </c>
      <c r="S49">
        <v>2.1085930376736499</v>
      </c>
      <c r="T49">
        <v>0.53921327759479498</v>
      </c>
      <c r="V49">
        <v>30.553947382937501</v>
      </c>
      <c r="X49">
        <v>16.360079151772698</v>
      </c>
      <c r="AA49">
        <v>0.20321768487066699</v>
      </c>
      <c r="AB49">
        <v>1.4705226527197499E-2</v>
      </c>
      <c r="AJ49">
        <v>-1.0370148161102</v>
      </c>
      <c r="AK49">
        <v>0.99046439942445696</v>
      </c>
      <c r="AL49">
        <v>0.98948570188225404</v>
      </c>
      <c r="AM49">
        <v>4.02478061164111E-2</v>
      </c>
      <c r="AN49">
        <v>-3.9170649229775902E-2</v>
      </c>
      <c r="AO49">
        <v>5.4883467148201498E-2</v>
      </c>
      <c r="AP49">
        <v>1.1040907686529901E-3</v>
      </c>
    </row>
    <row r="50" spans="1:42" x14ac:dyDescent="0.2">
      <c r="A50">
        <v>121</v>
      </c>
      <c r="B50">
        <v>746</v>
      </c>
      <c r="C50">
        <v>195</v>
      </c>
      <c r="D50">
        <v>0.38070990531325299</v>
      </c>
      <c r="E50">
        <v>0.51785406583169402</v>
      </c>
      <c r="F50">
        <v>3.5591767009329098</v>
      </c>
      <c r="G50">
        <v>-6.7136318526862411</v>
      </c>
      <c r="H50">
        <v>-5.7060809575638372</v>
      </c>
      <c r="I50">
        <v>0.98861884425492297</v>
      </c>
      <c r="J50">
        <v>0.58374118108100304</v>
      </c>
      <c r="K50">
        <v>0.145498273714805</v>
      </c>
      <c r="L50">
        <v>4.4324493617756686E-5</v>
      </c>
      <c r="M50">
        <v>9.0797222493633623E-7</v>
      </c>
      <c r="N50" s="1">
        <v>6.8706886777886498E-10</v>
      </c>
      <c r="O50" s="1">
        <v>1.5116315494356101E-13</v>
      </c>
      <c r="P50" s="1">
        <v>-6.78925016034779E-13</v>
      </c>
      <c r="Q50">
        <v>50.071840662511804</v>
      </c>
      <c r="R50">
        <v>1.94655446475639E-2</v>
      </c>
      <c r="S50">
        <v>2.2775044841032801</v>
      </c>
      <c r="T50">
        <v>0.55518029919057599</v>
      </c>
      <c r="V50">
        <v>30.6361454776643</v>
      </c>
      <c r="X50">
        <v>16.2436063485803</v>
      </c>
      <c r="AA50">
        <v>0.18193461199122399</v>
      </c>
      <c r="AB50">
        <v>1.43225713107887E-2</v>
      </c>
      <c r="AJ50">
        <v>-1.0451604085681401</v>
      </c>
      <c r="AK50">
        <v>0.99137227912322201</v>
      </c>
      <c r="AL50">
        <v>0.992594770100518</v>
      </c>
      <c r="AM50">
        <v>4.3932122789007398E-2</v>
      </c>
      <c r="AN50">
        <v>-4.2797897907623603E-2</v>
      </c>
      <c r="AO50">
        <v>5.8983289438191901E-2</v>
      </c>
      <c r="AP50">
        <v>1.0758450248241E-3</v>
      </c>
    </row>
    <row r="51" spans="1:42" x14ac:dyDescent="0.2">
      <c r="A51">
        <v>122</v>
      </c>
      <c r="B51">
        <v>744</v>
      </c>
      <c r="C51">
        <v>195</v>
      </c>
      <c r="D51">
        <v>0.37935456913926302</v>
      </c>
      <c r="E51">
        <v>0.54804516271127202</v>
      </c>
      <c r="F51">
        <v>3.5624458358699602</v>
      </c>
      <c r="G51">
        <v>-7.0958857214749509</v>
      </c>
      <c r="H51">
        <v>-6.0331940359017917</v>
      </c>
      <c r="I51">
        <v>1.0447738146518699</v>
      </c>
      <c r="J51">
        <v>0.61743273107032104</v>
      </c>
      <c r="K51">
        <v>0.15383957762755299</v>
      </c>
      <c r="L51">
        <v>4.4301019460761888E-5</v>
      </c>
      <c r="M51">
        <v>9.0810636210437091E-7</v>
      </c>
      <c r="N51" s="1">
        <v>7.5602608831006296E-10</v>
      </c>
      <c r="O51" s="1">
        <v>1.60563448979679E-13</v>
      </c>
      <c r="P51" s="1">
        <v>-1.0667015453618101E-12</v>
      </c>
      <c r="Q51">
        <v>49.937223201556399</v>
      </c>
      <c r="R51">
        <v>2.0087638557949001E-2</v>
      </c>
      <c r="S51">
        <v>2.4404684074770802</v>
      </c>
      <c r="T51">
        <v>0.57133746961341303</v>
      </c>
      <c r="V51">
        <v>30.748380930879499</v>
      </c>
      <c r="X51">
        <v>16.104344269864399</v>
      </c>
      <c r="AA51">
        <v>0.16419629171071001</v>
      </c>
      <c r="AB51">
        <v>1.3961790340494299E-2</v>
      </c>
      <c r="AJ51">
        <v>-1.0541678333039199</v>
      </c>
      <c r="AK51">
        <v>0.99213084419415698</v>
      </c>
      <c r="AL51">
        <v>0.99684303823047005</v>
      </c>
      <c r="AM51">
        <v>4.7477903346105799E-2</v>
      </c>
      <c r="AN51">
        <v>-4.6306711166888698E-2</v>
      </c>
      <c r="AO51">
        <v>6.2973369711850205E-2</v>
      </c>
      <c r="AP51">
        <v>1.0493889882338401E-3</v>
      </c>
    </row>
    <row r="52" spans="1:42" x14ac:dyDescent="0.2">
      <c r="A52">
        <v>123</v>
      </c>
      <c r="B52">
        <v>742</v>
      </c>
      <c r="C52">
        <v>195</v>
      </c>
      <c r="D52">
        <v>0.37799389252819798</v>
      </c>
      <c r="E52">
        <v>0.57040758215397103</v>
      </c>
      <c r="F52">
        <v>3.5655471595495398</v>
      </c>
      <c r="G52">
        <v>-7.3763757852312146</v>
      </c>
      <c r="H52">
        <v>-6.2740513244893119</v>
      </c>
      <c r="I52">
        <v>1.0858734775569101</v>
      </c>
      <c r="J52">
        <v>0.64227482825705995</v>
      </c>
      <c r="K52">
        <v>0.15997757332314499</v>
      </c>
      <c r="L52">
        <v>4.4273211522007904E-5</v>
      </c>
      <c r="M52">
        <v>9.0821017651553571E-7</v>
      </c>
      <c r="N52" s="1">
        <v>8.1833443492223801E-10</v>
      </c>
      <c r="O52" s="1">
        <v>1.6753970570170799E-13</v>
      </c>
      <c r="P52" s="1">
        <v>-1.4490679272749101E-12</v>
      </c>
      <c r="Q52">
        <v>49.809184861579702</v>
      </c>
      <c r="R52">
        <v>2.0629464834616099E-2</v>
      </c>
      <c r="S52">
        <v>2.59640375215533</v>
      </c>
      <c r="T52">
        <v>0.58594065266045203</v>
      </c>
      <c r="V52">
        <v>30.853657269911601</v>
      </c>
      <c r="X52">
        <v>15.9711890486572</v>
      </c>
      <c r="AA52">
        <v>0.14936220247021501</v>
      </c>
      <c r="AB52">
        <v>1.36327477307074E-2</v>
      </c>
      <c r="AJ52">
        <v>-1.06261670447575</v>
      </c>
      <c r="AK52">
        <v>0.99276750265758595</v>
      </c>
      <c r="AL52">
        <v>1.00083658771789</v>
      </c>
      <c r="AM52">
        <v>5.0884788577058498E-2</v>
      </c>
      <c r="AN52">
        <v>-4.96813075855745E-2</v>
      </c>
      <c r="AO52">
        <v>6.67838807337688E-2</v>
      </c>
      <c r="AP52">
        <v>1.0252523750189501E-3</v>
      </c>
    </row>
    <row r="53" spans="1:42" x14ac:dyDescent="0.2">
      <c r="A53">
        <v>124</v>
      </c>
      <c r="B53">
        <v>740</v>
      </c>
      <c r="C53">
        <v>195</v>
      </c>
      <c r="D53">
        <v>0.37662784385333098</v>
      </c>
      <c r="E53">
        <v>0.58838200012342601</v>
      </c>
      <c r="F53">
        <v>3.5685310870931901</v>
      </c>
      <c r="G53">
        <v>-7.5998402577397952</v>
      </c>
      <c r="H53">
        <v>-6.4666130906772015</v>
      </c>
      <c r="I53">
        <v>1.1185186468564301</v>
      </c>
      <c r="J53">
        <v>0.66215236367203001</v>
      </c>
      <c r="K53">
        <v>0.16488072704522799</v>
      </c>
      <c r="L53">
        <v>4.4241397892883876E-5</v>
      </c>
      <c r="M53">
        <v>9.0828798057744986E-7</v>
      </c>
      <c r="N53" s="1">
        <v>8.7809598841064599E-10</v>
      </c>
      <c r="O53" s="1">
        <v>1.7309519368910099E-13</v>
      </c>
      <c r="P53" s="1">
        <v>-1.8256830283225499E-12</v>
      </c>
      <c r="Q53">
        <v>49.685563995585497</v>
      </c>
      <c r="R53">
        <v>2.1109880075629299E-2</v>
      </c>
      <c r="S53">
        <v>2.74782863725027</v>
      </c>
      <c r="T53">
        <v>0.59941003238601898</v>
      </c>
      <c r="V53">
        <v>30.953904743742999</v>
      </c>
      <c r="X53">
        <v>15.8421965935188</v>
      </c>
      <c r="AA53">
        <v>0.13665995267379499</v>
      </c>
      <c r="AB53">
        <v>1.3326164766754999E-2</v>
      </c>
      <c r="AJ53">
        <v>-1.0706748865712901</v>
      </c>
      <c r="AK53">
        <v>0.99331472748234795</v>
      </c>
      <c r="AL53">
        <v>1.0046468922353</v>
      </c>
      <c r="AM53">
        <v>5.4205062266906003E-2</v>
      </c>
      <c r="AN53">
        <v>-5.2972869882488699E-2</v>
      </c>
      <c r="AO53">
        <v>7.0478321295666294E-2</v>
      </c>
      <c r="AP53">
        <v>1.0027531735608099E-3</v>
      </c>
    </row>
    <row r="54" spans="1:42" x14ac:dyDescent="0.2">
      <c r="A54">
        <v>125</v>
      </c>
      <c r="B54">
        <v>738</v>
      </c>
      <c r="C54">
        <v>195</v>
      </c>
      <c r="D54">
        <v>0.37525639123770199</v>
      </c>
      <c r="E54">
        <v>0.60363135040864502</v>
      </c>
      <c r="F54">
        <v>3.5714287720032201</v>
      </c>
      <c r="G54">
        <v>-7.7878842822497827</v>
      </c>
      <c r="H54">
        <v>-6.6292082787336897</v>
      </c>
      <c r="I54">
        <v>1.14589922713355</v>
      </c>
      <c r="J54">
        <v>0.67894264247383895</v>
      </c>
      <c r="K54">
        <v>0.16901676862228601</v>
      </c>
      <c r="L54">
        <v>4.4205759116123424E-5</v>
      </c>
      <c r="M54">
        <v>9.0834250099774833E-7</v>
      </c>
      <c r="N54" s="1">
        <v>9.3732284975904302E-10</v>
      </c>
      <c r="O54" s="1">
        <v>1.77718327218522E-13</v>
      </c>
      <c r="P54" s="1">
        <v>-2.1969564027729201E-12</v>
      </c>
      <c r="Q54">
        <v>49.5650194782067</v>
      </c>
      <c r="R54">
        <v>2.1540842150279502E-2</v>
      </c>
      <c r="S54">
        <v>2.8963127040561099</v>
      </c>
      <c r="T54">
        <v>0.61200848722259105</v>
      </c>
      <c r="V54">
        <v>31.050308426566801</v>
      </c>
      <c r="X54">
        <v>15.716178233729901</v>
      </c>
      <c r="AA54">
        <v>0.12559539001589901</v>
      </c>
      <c r="AB54">
        <v>1.30364380516043E-2</v>
      </c>
      <c r="AJ54">
        <v>-1.07844683397795</v>
      </c>
      <c r="AK54">
        <v>0.99379327291599096</v>
      </c>
      <c r="AL54">
        <v>1.00831777696226</v>
      </c>
      <c r="AM54">
        <v>5.7471309462395599E-2</v>
      </c>
      <c r="AN54">
        <v>-5.6213285438613099E-2</v>
      </c>
      <c r="AO54">
        <v>7.4096280392984298E-2</v>
      </c>
      <c r="AP54">
        <v>9.8147968292341091E-4</v>
      </c>
    </row>
    <row r="55" spans="1:42" x14ac:dyDescent="0.2">
      <c r="A55">
        <v>131</v>
      </c>
      <c r="B55">
        <v>754</v>
      </c>
      <c r="C55">
        <v>180</v>
      </c>
      <c r="D55">
        <v>0.402142335588766</v>
      </c>
      <c r="E55">
        <v>0.30535408827133698</v>
      </c>
      <c r="F55">
        <v>3.5556007833344898</v>
      </c>
      <c r="G55">
        <v>-3.9599948638558491</v>
      </c>
      <c r="H55">
        <v>-3.3585262534439613</v>
      </c>
      <c r="I55">
        <v>0.58557037473775797</v>
      </c>
      <c r="J55">
        <v>0.34411501223567398</v>
      </c>
      <c r="K55">
        <v>8.5879744909092906E-2</v>
      </c>
      <c r="L55">
        <v>4.4395317121480501E-5</v>
      </c>
      <c r="M55">
        <v>9.0896608804843294E-7</v>
      </c>
      <c r="N55" s="1">
        <v>3.7190550032889402E-10</v>
      </c>
      <c r="O55" s="1">
        <v>8.6449807944522199E-14</v>
      </c>
      <c r="P55" s="1">
        <v>1.90337189814322E-13</v>
      </c>
      <c r="Q55">
        <v>50.311267671597001</v>
      </c>
      <c r="R55">
        <v>1.3611017270648699E-2</v>
      </c>
      <c r="S55">
        <v>1.8424680416305601</v>
      </c>
      <c r="T55">
        <v>0.54041438190115998</v>
      </c>
      <c r="V55">
        <v>30.7341853034076</v>
      </c>
      <c r="X55">
        <v>16.302610093540601</v>
      </c>
      <c r="AA55">
        <v>0.24052898642617301</v>
      </c>
      <c r="AB55">
        <v>1.4914504226150999E-2</v>
      </c>
      <c r="AJ55">
        <v>-1.0361159659694099</v>
      </c>
      <c r="AK55">
        <v>0.98888972632117</v>
      </c>
      <c r="AL55">
        <v>0.99630128010100205</v>
      </c>
      <c r="AM55">
        <v>3.4040753316116001E-2</v>
      </c>
      <c r="AN55">
        <v>-3.3247239817897498E-2</v>
      </c>
      <c r="AO55">
        <v>4.9010541407377997E-2</v>
      </c>
      <c r="AP55">
        <v>1.12090464164155E-3</v>
      </c>
    </row>
    <row r="56" spans="1:42" x14ac:dyDescent="0.2">
      <c r="A56">
        <v>132</v>
      </c>
      <c r="B56">
        <v>752</v>
      </c>
      <c r="C56">
        <v>180</v>
      </c>
      <c r="D56">
        <v>0.40083938935765601</v>
      </c>
      <c r="E56">
        <v>0.42899131562345499</v>
      </c>
      <c r="F56">
        <v>3.5522278776190102</v>
      </c>
      <c r="G56">
        <v>-5.5789406840946487</v>
      </c>
      <c r="H56">
        <v>-4.7359523284310896</v>
      </c>
      <c r="I56">
        <v>0.822307326404487</v>
      </c>
      <c r="J56">
        <v>0.48419750662052102</v>
      </c>
      <c r="K56">
        <v>0.120766834336934</v>
      </c>
      <c r="L56">
        <v>4.4351436903903819E-5</v>
      </c>
      <c r="M56">
        <v>9.0751211843873618E-7</v>
      </c>
      <c r="N56" s="1">
        <v>5.3055333776530197E-10</v>
      </c>
      <c r="O56" s="1">
        <v>1.2405051830973901E-13</v>
      </c>
      <c r="P56" s="1">
        <v>6.7622784137178803E-15</v>
      </c>
      <c r="Q56">
        <v>50.3125041161883</v>
      </c>
      <c r="R56">
        <v>1.6864425962562001E-2</v>
      </c>
      <c r="S56">
        <v>1.9869017684621399</v>
      </c>
      <c r="T56">
        <v>0.53675345535046204</v>
      </c>
      <c r="V56">
        <v>30.4108759410496</v>
      </c>
      <c r="X56">
        <v>16.502900875089502</v>
      </c>
      <c r="AA56">
        <v>0.218530991945388</v>
      </c>
      <c r="AB56">
        <v>1.46684259519788E-2</v>
      </c>
      <c r="AJ56">
        <v>-1.02815208255927</v>
      </c>
      <c r="AK56">
        <v>0.98983907787259795</v>
      </c>
      <c r="AL56">
        <v>0.98414867895129399</v>
      </c>
      <c r="AM56">
        <v>3.7433822378787202E-2</v>
      </c>
      <c r="AN56">
        <v>-3.6452304763591598E-2</v>
      </c>
      <c r="AO56">
        <v>5.2082267288269098E-2</v>
      </c>
      <c r="AP56">
        <v>1.1005408319141399E-3</v>
      </c>
    </row>
    <row r="57" spans="1:42" x14ac:dyDescent="0.2">
      <c r="A57">
        <v>133</v>
      </c>
      <c r="B57">
        <v>750</v>
      </c>
      <c r="C57">
        <v>180</v>
      </c>
      <c r="D57">
        <v>0.39953134926452799</v>
      </c>
      <c r="E57">
        <v>0.47984774134281699</v>
      </c>
      <c r="F57">
        <v>3.5515276914672902</v>
      </c>
      <c r="G57">
        <v>-6.2470721402183145</v>
      </c>
      <c r="H57">
        <v>-5.3067822252217285</v>
      </c>
      <c r="I57">
        <v>0.91901472413290997</v>
      </c>
      <c r="J57">
        <v>0.541949975563919</v>
      </c>
      <c r="K57">
        <v>0.13511023509563799</v>
      </c>
      <c r="L57">
        <v>4.4318500549719903E-5</v>
      </c>
      <c r="M57">
        <v>9.0676304464458935E-7</v>
      </c>
      <c r="N57" s="1">
        <v>6.0747449278155096E-10</v>
      </c>
      <c r="O57" s="1">
        <v>1.40714463165359E-13</v>
      </c>
      <c r="P57" s="1">
        <v>-2.7772343668490001E-13</v>
      </c>
      <c r="Q57">
        <v>50.265162465811301</v>
      </c>
      <c r="R57">
        <v>1.9166992913970601E-2</v>
      </c>
      <c r="S57">
        <v>2.1263900998852101</v>
      </c>
      <c r="T57">
        <v>0.53992208052851998</v>
      </c>
      <c r="V57">
        <v>30.270018659130098</v>
      </c>
      <c r="X57">
        <v>16.5662735086078</v>
      </c>
      <c r="AA57">
        <v>0.19865267420459301</v>
      </c>
      <c r="AB57">
        <v>1.44135189184141E-2</v>
      </c>
      <c r="AJ57">
        <v>-1.02696576773685</v>
      </c>
      <c r="AK57">
        <v>0.99068921656132602</v>
      </c>
      <c r="AL57">
        <v>0.97887006452014902</v>
      </c>
      <c r="AM57">
        <v>4.0615194446603102E-2</v>
      </c>
      <c r="AN57">
        <v>-3.9500486513965101E-2</v>
      </c>
      <c r="AO57">
        <v>5.5211158118014997E-2</v>
      </c>
      <c r="AP57">
        <v>1.08062060472486E-3</v>
      </c>
    </row>
    <row r="58" spans="1:42" x14ac:dyDescent="0.2">
      <c r="A58">
        <v>134</v>
      </c>
      <c r="B58">
        <v>748</v>
      </c>
      <c r="C58">
        <v>180</v>
      </c>
      <c r="D58">
        <v>0.39821818537923098</v>
      </c>
      <c r="E58">
        <v>0.51576610029792502</v>
      </c>
      <c r="F58">
        <v>3.5544082282085401</v>
      </c>
      <c r="G58">
        <v>-6.7074947929937156</v>
      </c>
      <c r="H58">
        <v>-5.7001622946985959</v>
      </c>
      <c r="I58">
        <v>0.98646868559478795</v>
      </c>
      <c r="J58">
        <v>0.58226981812393297</v>
      </c>
      <c r="K58">
        <v>0.14510603936956201</v>
      </c>
      <c r="L58">
        <v>4.4302071066888137E-5</v>
      </c>
      <c r="M58">
        <v>9.0686601730516768E-7</v>
      </c>
      <c r="N58" s="1">
        <v>6.7458641780612699E-10</v>
      </c>
      <c r="O58" s="1">
        <v>1.52125270615888E-13</v>
      </c>
      <c r="P58" s="1">
        <v>-6.2453759118528805E-13</v>
      </c>
      <c r="Q58">
        <v>50.140819989128602</v>
      </c>
      <c r="R58">
        <v>2.0001316679374E-2</v>
      </c>
      <c r="S58">
        <v>2.2834917128288201</v>
      </c>
      <c r="T58">
        <v>0.55486724711492597</v>
      </c>
      <c r="V58">
        <v>30.359593901144301</v>
      </c>
      <c r="X58">
        <v>16.447869174295299</v>
      </c>
      <c r="AA58">
        <v>0.17929802592122801</v>
      </c>
      <c r="AB58">
        <v>1.4058632887272399E-2</v>
      </c>
      <c r="AJ58">
        <v>-1.0350028225460299</v>
      </c>
      <c r="AK58">
        <v>0.991513554813933</v>
      </c>
      <c r="AL58">
        <v>0.98224474867324196</v>
      </c>
      <c r="AM58">
        <v>4.40365844682961E-2</v>
      </c>
      <c r="AN58">
        <v>-4.2872787840317603E-2</v>
      </c>
      <c r="AO58">
        <v>5.9026195413245303E-2</v>
      </c>
      <c r="AP58">
        <v>1.05452701763535E-3</v>
      </c>
    </row>
    <row r="59" spans="1:42" x14ac:dyDescent="0.2">
      <c r="A59">
        <v>135</v>
      </c>
      <c r="B59">
        <v>746</v>
      </c>
      <c r="C59">
        <v>180</v>
      </c>
      <c r="D59">
        <v>0.396899867536674</v>
      </c>
      <c r="E59">
        <v>0.54158101813160497</v>
      </c>
      <c r="F59">
        <v>3.5575234478206101</v>
      </c>
      <c r="G59">
        <v>-7.0344285225827639</v>
      </c>
      <c r="H59">
        <v>-5.9802295451926151</v>
      </c>
      <c r="I59">
        <v>1.03439040120703</v>
      </c>
      <c r="J59">
        <v>0.61108579846710798</v>
      </c>
      <c r="K59">
        <v>0.15223540366638599</v>
      </c>
      <c r="L59">
        <v>4.4283349919622855E-5</v>
      </c>
      <c r="M59">
        <v>9.0703001396379843E-7</v>
      </c>
      <c r="N59" s="1">
        <v>7.3323706170324499E-10</v>
      </c>
      <c r="O59" s="1">
        <v>1.6034413193981399E-13</v>
      </c>
      <c r="P59" s="1">
        <v>-9.8072274301551093E-13</v>
      </c>
      <c r="Q59">
        <v>50.014197968336497</v>
      </c>
      <c r="R59">
        <v>2.0581372714650301E-2</v>
      </c>
      <c r="S59">
        <v>2.4359749973298199</v>
      </c>
      <c r="T59">
        <v>0.56965728503840996</v>
      </c>
      <c r="V59">
        <v>30.467777126742501</v>
      </c>
      <c r="X59">
        <v>16.3152013110167</v>
      </c>
      <c r="AA59">
        <v>0.162885972370587</v>
      </c>
      <c r="AB59">
        <v>1.37239664505965E-2</v>
      </c>
      <c r="AJ59">
        <v>-1.0435186830671399</v>
      </c>
      <c r="AK59">
        <v>0.99221435446492601</v>
      </c>
      <c r="AL59">
        <v>0.98632565110235004</v>
      </c>
      <c r="AM59">
        <v>4.7354898020428998E-2</v>
      </c>
      <c r="AN59">
        <v>-4.6156644686137803E-2</v>
      </c>
      <c r="AO59">
        <v>6.2750393703651E-2</v>
      </c>
      <c r="AP59">
        <v>1.0300304619281699E-3</v>
      </c>
    </row>
    <row r="60" spans="1:42" x14ac:dyDescent="0.2">
      <c r="A60">
        <v>136</v>
      </c>
      <c r="B60">
        <v>744</v>
      </c>
      <c r="C60">
        <v>180</v>
      </c>
      <c r="D60">
        <v>0.39557636533451601</v>
      </c>
      <c r="E60">
        <v>0.56151800272463803</v>
      </c>
      <c r="F60">
        <v>3.56050602576589</v>
      </c>
      <c r="G60">
        <v>-7.2846556856924689</v>
      </c>
      <c r="H60">
        <v>-6.1953177052113668</v>
      </c>
      <c r="I60">
        <v>1.07097083073401</v>
      </c>
      <c r="J60">
        <v>0.63324418879599298</v>
      </c>
      <c r="K60">
        <v>0.15770735919590201</v>
      </c>
      <c r="L60">
        <v>4.4260577461735425E-5</v>
      </c>
      <c r="M60">
        <v>9.0716448808440959E-7</v>
      </c>
      <c r="N60" s="1">
        <v>7.8759387428595398E-10</v>
      </c>
      <c r="O60" s="1">
        <v>1.6670747006329201E-13</v>
      </c>
      <c r="P60" s="1">
        <v>-1.33579353102314E-12</v>
      </c>
      <c r="Q60">
        <v>49.892653387989199</v>
      </c>
      <c r="R60">
        <v>2.1092210455244901E-2</v>
      </c>
      <c r="S60">
        <v>2.5831793672839898</v>
      </c>
      <c r="T60">
        <v>0.583178503542506</v>
      </c>
      <c r="V60">
        <v>30.5703158875105</v>
      </c>
      <c r="X60">
        <v>16.1872455892453</v>
      </c>
      <c r="AA60">
        <v>0.148919833251619</v>
      </c>
      <c r="AB60">
        <v>1.3415220721527199E-2</v>
      </c>
      <c r="AJ60">
        <v>-1.05158951904499</v>
      </c>
      <c r="AK60">
        <v>0.99281272746225602</v>
      </c>
      <c r="AL60">
        <v>0.99020145160030903</v>
      </c>
      <c r="AM60">
        <v>5.05707527790401E-2</v>
      </c>
      <c r="AN60">
        <v>-4.9342067997547999E-2</v>
      </c>
      <c r="AO60">
        <v>6.6339231142846497E-2</v>
      </c>
      <c r="AP60">
        <v>1.0074240580909501E-3</v>
      </c>
    </row>
    <row r="61" spans="1:42" x14ac:dyDescent="0.2">
      <c r="A61">
        <v>137</v>
      </c>
      <c r="B61">
        <v>742</v>
      </c>
      <c r="C61">
        <v>180</v>
      </c>
      <c r="D61">
        <v>0.39424764813081797</v>
      </c>
      <c r="E61">
        <v>0.57795415415405105</v>
      </c>
      <c r="F61">
        <v>3.5633932530014198</v>
      </c>
      <c r="G61">
        <v>-7.4891965282925801</v>
      </c>
      <c r="H61">
        <v>-6.3717374430741476</v>
      </c>
      <c r="I61">
        <v>1.10078223436776</v>
      </c>
      <c r="J61">
        <v>0.65143359594142103</v>
      </c>
      <c r="K61">
        <v>0.16219207735975899</v>
      </c>
      <c r="L61">
        <v>4.4234025352775825E-5</v>
      </c>
      <c r="M61">
        <v>9.0727325352062281E-7</v>
      </c>
      <c r="N61" s="1">
        <v>8.4045244873461599E-10</v>
      </c>
      <c r="O61" s="1">
        <v>1.7191339650869999E-13</v>
      </c>
      <c r="P61" s="1">
        <v>-1.68866723459318E-12</v>
      </c>
      <c r="Q61">
        <v>49.774597415336601</v>
      </c>
      <c r="R61">
        <v>2.1548351674010001E-2</v>
      </c>
      <c r="S61">
        <v>2.7269439218873699</v>
      </c>
      <c r="T61">
        <v>0.595744204503596</v>
      </c>
      <c r="V61">
        <v>30.668655996787098</v>
      </c>
      <c r="X61">
        <v>16.062573863256599</v>
      </c>
      <c r="AA61">
        <v>0.136810870345521</v>
      </c>
      <c r="AB61">
        <v>1.3125376209053E-2</v>
      </c>
      <c r="AJ61">
        <v>-1.0593400549140399</v>
      </c>
      <c r="AK61">
        <v>0.99333337597166005</v>
      </c>
      <c r="AL61">
        <v>0.99392545778406305</v>
      </c>
      <c r="AM61">
        <v>5.3722213459305203E-2</v>
      </c>
      <c r="AN61">
        <v>-5.2466276398840703E-2</v>
      </c>
      <c r="AO61">
        <v>6.9839091601545195E-2</v>
      </c>
      <c r="AP61">
        <v>9.861924963140659E-4</v>
      </c>
    </row>
    <row r="62" spans="1:42" x14ac:dyDescent="0.2">
      <c r="A62">
        <v>138</v>
      </c>
      <c r="B62">
        <v>740</v>
      </c>
      <c r="C62">
        <v>180</v>
      </c>
      <c r="D62">
        <v>0.39291368504170499</v>
      </c>
      <c r="E62">
        <v>0.59212715098726798</v>
      </c>
      <c r="F62">
        <v>3.56620929480466</v>
      </c>
      <c r="G62">
        <v>-7.6641898943334654</v>
      </c>
      <c r="H62">
        <v>-6.523175386244545</v>
      </c>
      <c r="I62">
        <v>1.1262049134767</v>
      </c>
      <c r="J62">
        <v>0.66705362583221695</v>
      </c>
      <c r="K62">
        <v>0.166038250152589</v>
      </c>
      <c r="L62">
        <v>4.4203845546427576E-5</v>
      </c>
      <c r="M62">
        <v>9.0735880881330003E-7</v>
      </c>
      <c r="N62" s="1">
        <v>8.93291797605166E-10</v>
      </c>
      <c r="O62" s="1">
        <v>1.76327604197109E-13</v>
      </c>
      <c r="P62" s="1">
        <v>-2.0391119341985599E-12</v>
      </c>
      <c r="Q62">
        <v>49.658995272552197</v>
      </c>
      <c r="R62">
        <v>2.1959456519435198E-2</v>
      </c>
      <c r="S62">
        <v>2.8684734324917498</v>
      </c>
      <c r="T62">
        <v>0.60756001344969901</v>
      </c>
      <c r="V62">
        <v>30.763727234074501</v>
      </c>
      <c r="X62">
        <v>15.9402712531805</v>
      </c>
      <c r="AA62">
        <v>0.12616334146996799</v>
      </c>
      <c r="AB62">
        <v>1.28499962617586E-2</v>
      </c>
      <c r="AJ62">
        <v>-1.06685174189405</v>
      </c>
      <c r="AK62">
        <v>0.993792886982795</v>
      </c>
      <c r="AL62">
        <v>0.99753190710634199</v>
      </c>
      <c r="AM62">
        <v>5.6834219834439099E-2</v>
      </c>
      <c r="AN62">
        <v>-5.5553647302090503E-2</v>
      </c>
      <c r="AO62">
        <v>7.3280365080917606E-2</v>
      </c>
      <c r="AP62">
        <v>9.6601019165239296E-4</v>
      </c>
    </row>
    <row r="63" spans="1:42" x14ac:dyDescent="0.2">
      <c r="A63">
        <v>145</v>
      </c>
      <c r="B63">
        <v>758</v>
      </c>
      <c r="C63">
        <v>165</v>
      </c>
      <c r="D63">
        <v>0.42073461669010398</v>
      </c>
      <c r="E63">
        <v>0.21110587533226399</v>
      </c>
      <c r="F63">
        <v>3.5531754519387202</v>
      </c>
      <c r="G63">
        <v>-2.7413242605285091</v>
      </c>
      <c r="H63">
        <v>-2.3228369528845727</v>
      </c>
      <c r="I63">
        <v>0.40584522876781798</v>
      </c>
      <c r="J63">
        <v>0.23803890045942599</v>
      </c>
      <c r="K63">
        <v>5.9413298945617497E-2</v>
      </c>
      <c r="L63">
        <v>4.4401924280723515E-5</v>
      </c>
      <c r="M63">
        <v>9.0875357907785201E-7</v>
      </c>
      <c r="N63" s="1">
        <v>2.52413067816066E-10</v>
      </c>
      <c r="O63" s="1">
        <v>5.9474454181173094E-14</v>
      </c>
      <c r="P63" s="1">
        <v>2.3436191075846802E-13</v>
      </c>
      <c r="Q63">
        <v>50.370094016570803</v>
      </c>
      <c r="R63">
        <v>1.20360102080412E-2</v>
      </c>
      <c r="S63">
        <v>1.76343214291544</v>
      </c>
      <c r="T63">
        <v>0.54533996275871599</v>
      </c>
      <c r="V63">
        <v>30.6784303067747</v>
      </c>
      <c r="X63">
        <v>16.3663577219979</v>
      </c>
      <c r="AA63">
        <v>0.24948903390171601</v>
      </c>
      <c r="AB63">
        <v>1.48208048724465E-2</v>
      </c>
      <c r="AJ63">
        <v>-1.0319003231636701</v>
      </c>
      <c r="AK63">
        <v>0.98852754317834601</v>
      </c>
      <c r="AL63">
        <v>0.99424316185657902</v>
      </c>
      <c r="AM63">
        <v>3.2113071219908099E-2</v>
      </c>
      <c r="AN63">
        <v>-3.1411556519472097E-2</v>
      </c>
      <c r="AO63">
        <v>4.7314521612360202E-2</v>
      </c>
      <c r="AP63">
        <v>1.11358181595762E-3</v>
      </c>
    </row>
    <row r="64" spans="1:42" x14ac:dyDescent="0.2">
      <c r="A64">
        <v>146</v>
      </c>
      <c r="B64">
        <v>756</v>
      </c>
      <c r="C64">
        <v>165</v>
      </c>
      <c r="D64">
        <v>0.41947286595734501</v>
      </c>
      <c r="E64">
        <v>0.38865515447955401</v>
      </c>
      <c r="F64">
        <v>3.5482458742207599</v>
      </c>
      <c r="G64">
        <v>-5.0656351651997102</v>
      </c>
      <c r="H64">
        <v>-4.2968340923268835</v>
      </c>
      <c r="I64">
        <v>0.74702528579198901</v>
      </c>
      <c r="J64">
        <v>0.43910870005581298</v>
      </c>
      <c r="K64">
        <v>0.10953444836032</v>
      </c>
      <c r="L64">
        <v>4.4348226297381133E-5</v>
      </c>
      <c r="M64">
        <v>9.0694401998889685E-7</v>
      </c>
      <c r="N64" s="1">
        <v>4.69397052375877E-10</v>
      </c>
      <c r="O64" s="1">
        <v>1.1218086774971701E-13</v>
      </c>
      <c r="P64" s="1">
        <v>2.15856927733659E-13</v>
      </c>
      <c r="Q64">
        <v>50.405698293089401</v>
      </c>
      <c r="R64">
        <v>1.5647793753979199E-2</v>
      </c>
      <c r="S64">
        <v>1.89759521555473</v>
      </c>
      <c r="T64">
        <v>0.53672877173021305</v>
      </c>
      <c r="V64">
        <v>30.255996412869901</v>
      </c>
      <c r="X64">
        <v>16.643387497893599</v>
      </c>
      <c r="AA64">
        <v>0.23035402981904199</v>
      </c>
      <c r="AB64">
        <v>1.4591985288981899E-2</v>
      </c>
      <c r="AJ64">
        <v>-1.0197966513366299</v>
      </c>
      <c r="AK64">
        <v>0.98936279951684902</v>
      </c>
      <c r="AL64">
        <v>0.97838465720191203</v>
      </c>
      <c r="AM64">
        <v>3.5337987146808497E-2</v>
      </c>
      <c r="AN64">
        <v>-3.4427977413137099E-2</v>
      </c>
      <c r="AO64">
        <v>5.0045219903580802E-2</v>
      </c>
      <c r="AP64">
        <v>1.09396498062586E-3</v>
      </c>
    </row>
    <row r="65" spans="1:42" x14ac:dyDescent="0.2">
      <c r="A65">
        <v>147</v>
      </c>
      <c r="B65">
        <v>754</v>
      </c>
      <c r="C65">
        <v>165</v>
      </c>
      <c r="D65">
        <v>0.41820620162585598</v>
      </c>
      <c r="E65">
        <v>0.452257732222417</v>
      </c>
      <c r="F65">
        <v>3.5469632428169899</v>
      </c>
      <c r="G65">
        <v>-5.9029818902085811</v>
      </c>
      <c r="H65">
        <v>-5.0107789865610499</v>
      </c>
      <c r="I65">
        <v>0.868619874066624</v>
      </c>
      <c r="J65">
        <v>0.51138066029226703</v>
      </c>
      <c r="K65">
        <v>0.127505615723052</v>
      </c>
      <c r="L65">
        <v>4.4312508136788172E-5</v>
      </c>
      <c r="M65">
        <v>9.0607062238168982E-7</v>
      </c>
      <c r="N65" s="1">
        <v>5.5757205367405401E-10</v>
      </c>
      <c r="O65" s="1">
        <v>1.3260483174654601E-13</v>
      </c>
      <c r="P65" s="1">
        <v>-1.15872365059174E-14</v>
      </c>
      <c r="Q65">
        <v>50.371901745972302</v>
      </c>
      <c r="R65">
        <v>1.8092456434829301E-2</v>
      </c>
      <c r="S65">
        <v>2.0320117096880099</v>
      </c>
      <c r="T65">
        <v>0.53838830953593897</v>
      </c>
      <c r="V65">
        <v>30.078336859145701</v>
      </c>
      <c r="X65">
        <v>16.7367849262683</v>
      </c>
      <c r="AA65">
        <v>0.210139182598165</v>
      </c>
      <c r="AB65">
        <v>1.4344810356554501E-2</v>
      </c>
      <c r="AJ65">
        <v>-1.0171103120892599</v>
      </c>
      <c r="AK65">
        <v>0.99022789273799605</v>
      </c>
      <c r="AL65">
        <v>0.97173574766269499</v>
      </c>
      <c r="AM65">
        <v>3.8421266013659902E-2</v>
      </c>
      <c r="AN65">
        <v>-3.7370062879334899E-2</v>
      </c>
      <c r="AO65">
        <v>5.3021033831799902E-2</v>
      </c>
      <c r="AP65">
        <v>1.0744347224515901E-3</v>
      </c>
    </row>
    <row r="66" spans="1:42" x14ac:dyDescent="0.2">
      <c r="A66">
        <v>148</v>
      </c>
      <c r="B66">
        <v>752</v>
      </c>
      <c r="C66">
        <v>165</v>
      </c>
      <c r="D66">
        <v>0.41693459493732699</v>
      </c>
      <c r="E66">
        <v>0.48685696723279798</v>
      </c>
      <c r="F66">
        <v>3.54691294108859</v>
      </c>
      <c r="G66">
        <v>-6.3584762523558407</v>
      </c>
      <c r="H66">
        <v>-5.4007961730640757</v>
      </c>
      <c r="I66">
        <v>0.93418531853071796</v>
      </c>
      <c r="J66">
        <v>0.55071281231107705</v>
      </c>
      <c r="K66">
        <v>0.137262170038877</v>
      </c>
      <c r="L66">
        <v>4.428356549101542E-5</v>
      </c>
      <c r="M66">
        <v>9.0554324682695362E-7</v>
      </c>
      <c r="N66" s="1">
        <v>6.1412693192024096E-10</v>
      </c>
      <c r="O66" s="1">
        <v>1.4444478668717499E-13</v>
      </c>
      <c r="P66" s="1">
        <v>-2.8251264481255902E-13</v>
      </c>
      <c r="Q66">
        <v>50.317208222741598</v>
      </c>
      <c r="R66">
        <v>2.0040783312418299E-2</v>
      </c>
      <c r="S66">
        <v>2.16095740975071</v>
      </c>
      <c r="T66">
        <v>0.54252086431066604</v>
      </c>
      <c r="V66">
        <v>29.9871222302768</v>
      </c>
      <c r="X66">
        <v>16.7655598531015</v>
      </c>
      <c r="AA66">
        <v>0.192485298216864</v>
      </c>
      <c r="AB66">
        <v>1.41053382892916E-2</v>
      </c>
      <c r="AJ66">
        <v>-1.01747283687325</v>
      </c>
      <c r="AK66">
        <v>0.990980800526715</v>
      </c>
      <c r="AL66">
        <v>0.968329815025882</v>
      </c>
      <c r="AM66">
        <v>4.13425927466083E-2</v>
      </c>
      <c r="AN66">
        <v>-4.0178740210361601E-2</v>
      </c>
      <c r="AO66">
        <v>5.5942371300009203E-2</v>
      </c>
      <c r="AP66">
        <v>1.0559974844008199E-3</v>
      </c>
    </row>
    <row r="67" spans="1:42" x14ac:dyDescent="0.2">
      <c r="A67">
        <v>149</v>
      </c>
      <c r="B67">
        <v>750</v>
      </c>
      <c r="C67">
        <v>165</v>
      </c>
      <c r="D67">
        <v>0.41565801690856902</v>
      </c>
      <c r="E67">
        <v>0.51558540848452405</v>
      </c>
      <c r="F67">
        <v>3.5499564819156402</v>
      </c>
      <c r="G67">
        <v>-6.7254265432482168</v>
      </c>
      <c r="H67">
        <v>-5.7146177931742939</v>
      </c>
      <c r="I67">
        <v>0.98793798570485403</v>
      </c>
      <c r="J67">
        <v>0.58291128917678903</v>
      </c>
      <c r="K67">
        <v>0.145237106739489</v>
      </c>
      <c r="L67">
        <v>4.4272318151944384E-5</v>
      </c>
      <c r="M67">
        <v>9.0575051398392366E-7</v>
      </c>
      <c r="N67" s="1">
        <v>6.6942359806043803E-10</v>
      </c>
      <c r="O67" s="1">
        <v>1.5372294000981101E-13</v>
      </c>
      <c r="P67" s="1">
        <v>-6.04988645154186E-13</v>
      </c>
      <c r="Q67">
        <v>50.194339805158101</v>
      </c>
      <c r="R67">
        <v>2.06706473854089E-2</v>
      </c>
      <c r="S67">
        <v>2.30849689591453</v>
      </c>
      <c r="T67">
        <v>0.55706474018470398</v>
      </c>
      <c r="V67">
        <v>30.0933991491471</v>
      </c>
      <c r="X67">
        <v>16.637316795414101</v>
      </c>
      <c r="AA67">
        <v>0.17494067734528701</v>
      </c>
      <c r="AB67">
        <v>1.37712894505937E-2</v>
      </c>
      <c r="AJ67">
        <v>-1.02581704731489</v>
      </c>
      <c r="AK67">
        <v>0.99172690109060502</v>
      </c>
      <c r="AL67">
        <v>0.97231835966667601</v>
      </c>
      <c r="AM67">
        <v>4.4544712474030003E-2</v>
      </c>
      <c r="AN67">
        <v>-4.3343593382067502E-2</v>
      </c>
      <c r="AO67">
        <v>5.9539087947953602E-2</v>
      </c>
      <c r="AP67">
        <v>1.03157951769373E-3</v>
      </c>
    </row>
    <row r="68" spans="1:42" x14ac:dyDescent="0.2">
      <c r="A68">
        <v>150</v>
      </c>
      <c r="B68">
        <v>748</v>
      </c>
      <c r="C68">
        <v>165</v>
      </c>
      <c r="D68">
        <v>0.41437643832933801</v>
      </c>
      <c r="E68">
        <v>0.53719968925996198</v>
      </c>
      <c r="F68">
        <v>3.55291417775185</v>
      </c>
      <c r="G68">
        <v>-6.9989363308495482</v>
      </c>
      <c r="H68">
        <v>-5.9492703952792541</v>
      </c>
      <c r="I68">
        <v>1.02792531515477</v>
      </c>
      <c r="J68">
        <v>0.60703174349973099</v>
      </c>
      <c r="K68">
        <v>0.15119973700008699</v>
      </c>
      <c r="L68">
        <v>4.4257383477369535E-5</v>
      </c>
      <c r="M68">
        <v>9.0593788397371273E-7</v>
      </c>
      <c r="N68" s="1">
        <v>7.1900622600434504E-10</v>
      </c>
      <c r="O68" s="1">
        <v>1.6077235339042701E-13</v>
      </c>
      <c r="P68" s="1">
        <v>-9.3319559477989195E-13</v>
      </c>
      <c r="Q68">
        <v>50.075629562072898</v>
      </c>
      <c r="R68">
        <v>2.1203870859178301E-2</v>
      </c>
      <c r="S68">
        <v>2.4508166686976098</v>
      </c>
      <c r="T68">
        <v>0.57046693321898201</v>
      </c>
      <c r="V68">
        <v>30.197105305652901</v>
      </c>
      <c r="X68">
        <v>16.511323182023801</v>
      </c>
      <c r="AA68">
        <v>0.15999099624899801</v>
      </c>
      <c r="AB68">
        <v>1.34634812254155E-2</v>
      </c>
      <c r="AJ68">
        <v>-1.0338298515364299</v>
      </c>
      <c r="AK68">
        <v>0.992364495207123</v>
      </c>
      <c r="AL68">
        <v>0.97621790310051504</v>
      </c>
      <c r="AM68">
        <v>4.7643899552222702E-2</v>
      </c>
      <c r="AN68">
        <v>-4.6411103156741303E-2</v>
      </c>
      <c r="AO68">
        <v>6.3005567334367102E-2</v>
      </c>
      <c r="AP68">
        <v>1.0090894989472101E-3</v>
      </c>
    </row>
    <row r="69" spans="1:42" x14ac:dyDescent="0.2">
      <c r="A69">
        <v>151</v>
      </c>
      <c r="B69">
        <v>746</v>
      </c>
      <c r="C69">
        <v>165</v>
      </c>
      <c r="D69">
        <v>0.41308982976009601</v>
      </c>
      <c r="E69">
        <v>0.55462424826041801</v>
      </c>
      <c r="F69">
        <v>3.5557716406124702</v>
      </c>
      <c r="G69">
        <v>-7.2175434198543318</v>
      </c>
      <c r="H69">
        <v>-6.137451301925438</v>
      </c>
      <c r="I69">
        <v>1.0597970052778201</v>
      </c>
      <c r="J69">
        <v>0.62639651761767901</v>
      </c>
      <c r="K69">
        <v>0.15597859039251599</v>
      </c>
      <c r="L69">
        <v>4.4238755854094347E-5</v>
      </c>
      <c r="M69">
        <v>9.0609751821400964E-7</v>
      </c>
      <c r="N69" s="1">
        <v>7.6619404441616604E-10</v>
      </c>
      <c r="O69" s="1">
        <v>1.66465745548587E-13</v>
      </c>
      <c r="P69" s="1">
        <v>-1.26301982381296E-12</v>
      </c>
      <c r="Q69">
        <v>49.960638322649203</v>
      </c>
      <c r="R69">
        <v>2.16785647004668E-2</v>
      </c>
      <c r="S69">
        <v>2.5894143848272502</v>
      </c>
      <c r="T69">
        <v>0.582862780616064</v>
      </c>
      <c r="V69">
        <v>30.2964161052689</v>
      </c>
      <c r="X69">
        <v>16.3887637629084</v>
      </c>
      <c r="AA69">
        <v>0.14705002077689999</v>
      </c>
      <c r="AB69">
        <v>1.3176058252751401E-2</v>
      </c>
      <c r="AJ69">
        <v>-1.0415024927477301</v>
      </c>
      <c r="AK69">
        <v>0.99291818437687895</v>
      </c>
      <c r="AL69">
        <v>0.97995913279362801</v>
      </c>
      <c r="AM69">
        <v>5.0672856220374103E-2</v>
      </c>
      <c r="AN69">
        <v>-4.9411778121047398E-2</v>
      </c>
      <c r="AO69">
        <v>6.6376015274698399E-2</v>
      </c>
      <c r="AP69">
        <v>9.8808220320686598E-4</v>
      </c>
    </row>
    <row r="70" spans="1:42" x14ac:dyDescent="0.2">
      <c r="A70">
        <v>152</v>
      </c>
      <c r="B70">
        <v>744</v>
      </c>
      <c r="C70">
        <v>165</v>
      </c>
      <c r="D70">
        <v>0.411798161529766</v>
      </c>
      <c r="E70">
        <v>0.56939307805982797</v>
      </c>
      <c r="F70">
        <v>3.5585551475016102</v>
      </c>
      <c r="G70">
        <v>-7.4013378053186951</v>
      </c>
      <c r="H70">
        <v>-6.2961922646925998</v>
      </c>
      <c r="I70">
        <v>1.08651186218954</v>
      </c>
      <c r="J70">
        <v>0.64274359191060404</v>
      </c>
      <c r="K70">
        <v>0.16000681581668999</v>
      </c>
      <c r="L70">
        <v>4.4216636397458601E-5</v>
      </c>
      <c r="M70">
        <v>9.0623251983365376E-7</v>
      </c>
      <c r="N70" s="1">
        <v>8.1278774156453996E-10</v>
      </c>
      <c r="O70" s="1">
        <v>1.71256601447533E-13</v>
      </c>
      <c r="P70" s="1">
        <v>-1.5932248597448299E-12</v>
      </c>
      <c r="Q70">
        <v>49.848252159750999</v>
      </c>
      <c r="R70">
        <v>2.21054526941762E-2</v>
      </c>
      <c r="S70">
        <v>2.72557342389119</v>
      </c>
      <c r="T70">
        <v>0.59447574521763202</v>
      </c>
      <c r="V70">
        <v>30.3923606960672</v>
      </c>
      <c r="X70">
        <v>16.268643447692099</v>
      </c>
      <c r="AA70">
        <v>0.13568508877980801</v>
      </c>
      <c r="AB70">
        <v>1.2903985906697901E-2</v>
      </c>
      <c r="AJ70">
        <v>-1.0489234904193601</v>
      </c>
      <c r="AK70">
        <v>0.99340608062649904</v>
      </c>
      <c r="AL70">
        <v>0.983579821955338</v>
      </c>
      <c r="AM70">
        <v>5.3658061999994698E-2</v>
      </c>
      <c r="AN70">
        <v>-5.2371474463708802E-2</v>
      </c>
      <c r="AO70">
        <v>6.9682811803021605E-2</v>
      </c>
      <c r="AP70">
        <v>9.6818849822395605E-4</v>
      </c>
    </row>
    <row r="71" spans="1:42" x14ac:dyDescent="0.2">
      <c r="A71">
        <v>160</v>
      </c>
      <c r="B71">
        <v>762</v>
      </c>
      <c r="C71">
        <v>150</v>
      </c>
      <c r="D71">
        <v>0.439183210162781</v>
      </c>
      <c r="E71">
        <v>0.18286190572267599</v>
      </c>
      <c r="F71">
        <v>3.5488287168328698</v>
      </c>
      <c r="G71">
        <v>-2.3810078891755286</v>
      </c>
      <c r="H71">
        <v>-2.0160777522608559</v>
      </c>
      <c r="I71">
        <v>0.352538411741944</v>
      </c>
      <c r="J71">
        <v>0.20646429762024601</v>
      </c>
      <c r="K71">
        <v>5.1527396871909298E-2</v>
      </c>
      <c r="L71">
        <v>4.4390831530711102E-5</v>
      </c>
      <c r="M71">
        <v>9.0788187166252462E-7</v>
      </c>
      <c r="N71" s="1">
        <v>2.15469879145388E-10</v>
      </c>
      <c r="O71" s="1">
        <v>5.1619106439030201E-14</v>
      </c>
      <c r="P71" s="1">
        <v>2.6988926282872402E-13</v>
      </c>
      <c r="Q71">
        <v>50.447454965901599</v>
      </c>
      <c r="R71">
        <v>1.1603136791885E-2</v>
      </c>
      <c r="S71">
        <v>1.72116685861222</v>
      </c>
      <c r="T71">
        <v>0.54761427485826497</v>
      </c>
      <c r="V71">
        <v>30.473239034158301</v>
      </c>
      <c r="X71">
        <v>16.530216884620099</v>
      </c>
      <c r="AA71">
        <v>0.25400859591650898</v>
      </c>
      <c r="AB71">
        <v>1.46962491408994E-2</v>
      </c>
      <c r="AJ71">
        <v>-1.0230700201595799</v>
      </c>
      <c r="AK71">
        <v>0.98836122424565198</v>
      </c>
      <c r="AL71">
        <v>0.98657802759073199</v>
      </c>
      <c r="AM71">
        <v>3.10748080989217E-2</v>
      </c>
      <c r="AN71">
        <v>-3.03992184549517E-2</v>
      </c>
      <c r="AO71">
        <v>4.63520906044931E-2</v>
      </c>
      <c r="AP71">
        <v>1.10308807473157E-3</v>
      </c>
    </row>
    <row r="72" spans="1:42" x14ac:dyDescent="0.2">
      <c r="A72">
        <v>161</v>
      </c>
      <c r="B72">
        <v>760</v>
      </c>
      <c r="C72">
        <v>150</v>
      </c>
      <c r="D72">
        <v>0.43796205778444602</v>
      </c>
      <c r="E72">
        <v>0.36647267343534401</v>
      </c>
      <c r="F72">
        <v>3.5438063116091398</v>
      </c>
      <c r="G72">
        <v>-4.7894748453573266</v>
      </c>
      <c r="H72">
        <v>-4.0596722101183031</v>
      </c>
      <c r="I72">
        <v>0.70638594128540999</v>
      </c>
      <c r="J72">
        <v>0.414574173673049</v>
      </c>
      <c r="K72">
        <v>0.103412162294202</v>
      </c>
      <c r="L72">
        <v>4.4332215413453251E-5</v>
      </c>
      <c r="M72">
        <v>9.0607924208466611E-7</v>
      </c>
      <c r="N72" s="1">
        <v>4.3634861229329798E-10</v>
      </c>
      <c r="O72" s="1">
        <v>1.05948801707992E-13</v>
      </c>
      <c r="P72" s="1">
        <v>3.5204518399160602E-13</v>
      </c>
      <c r="Q72">
        <v>50.489145293066301</v>
      </c>
      <c r="R72">
        <v>1.51158536402566E-2</v>
      </c>
      <c r="S72">
        <v>1.84597985149155</v>
      </c>
      <c r="T72">
        <v>0.53838058036276004</v>
      </c>
      <c r="V72">
        <v>30.049149829376699</v>
      </c>
      <c r="X72">
        <v>16.810453563112901</v>
      </c>
      <c r="AA72">
        <v>0.23730499590581999</v>
      </c>
      <c r="AB72">
        <v>1.44700330435809E-2</v>
      </c>
      <c r="AJ72">
        <v>-1.0106141417207199</v>
      </c>
      <c r="AK72">
        <v>0.98909522581390297</v>
      </c>
      <c r="AL72">
        <v>0.97069427919352003</v>
      </c>
      <c r="AM72">
        <v>3.40917749025582E-2</v>
      </c>
      <c r="AN72">
        <v>-3.3213606695513598E-2</v>
      </c>
      <c r="AO72">
        <v>4.8862764529799603E-2</v>
      </c>
      <c r="AP72">
        <v>1.08370397645956E-3</v>
      </c>
    </row>
    <row r="73" spans="1:42" x14ac:dyDescent="0.2">
      <c r="A73">
        <v>162</v>
      </c>
      <c r="B73">
        <v>758</v>
      </c>
      <c r="C73">
        <v>150</v>
      </c>
      <c r="D73">
        <v>0.43673616835572199</v>
      </c>
      <c r="E73">
        <v>0.433520985657394</v>
      </c>
      <c r="F73">
        <v>3.5423401502566398</v>
      </c>
      <c r="G73">
        <v>-5.6742059991097404</v>
      </c>
      <c r="H73">
        <v>-4.8131766257527442</v>
      </c>
      <c r="I73">
        <v>0.83501854565969602</v>
      </c>
      <c r="J73">
        <v>0.49082775444944299</v>
      </c>
      <c r="K73">
        <v>0.122382653067912</v>
      </c>
      <c r="L73">
        <v>4.4295054691359096E-5</v>
      </c>
      <c r="M73">
        <v>9.0519066184271015E-7</v>
      </c>
      <c r="N73" s="1">
        <v>5.2595155918027595E-10</v>
      </c>
      <c r="O73" s="1">
        <v>1.27365918641733E-13</v>
      </c>
      <c r="P73" s="1">
        <v>1.7499996896340901E-13</v>
      </c>
      <c r="Q73">
        <v>50.462106183740197</v>
      </c>
      <c r="R73">
        <v>1.7540678376787501E-2</v>
      </c>
      <c r="S73">
        <v>1.9735936525073201</v>
      </c>
      <c r="T73">
        <v>0.539374506357018</v>
      </c>
      <c r="V73">
        <v>29.8625397713231</v>
      </c>
      <c r="X73">
        <v>16.912992934640499</v>
      </c>
      <c r="AA73">
        <v>0.21762176270081099</v>
      </c>
      <c r="AB73">
        <v>1.4230510354146301E-2</v>
      </c>
      <c r="AJ73">
        <v>-1.0074148901855</v>
      </c>
      <c r="AK73">
        <v>0.98993760385385499</v>
      </c>
      <c r="AL73">
        <v>0.96372445023861497</v>
      </c>
      <c r="AM73">
        <v>3.7025366828557997E-2</v>
      </c>
      <c r="AN73">
        <v>-3.6007321131635697E-2</v>
      </c>
      <c r="AO73">
        <v>5.1670065338519797E-2</v>
      </c>
      <c r="AP73">
        <v>1.0647250575909E-3</v>
      </c>
    </row>
    <row r="74" spans="1:42" x14ac:dyDescent="0.2">
      <c r="A74">
        <v>163</v>
      </c>
      <c r="B74">
        <v>756</v>
      </c>
      <c r="C74">
        <v>150</v>
      </c>
      <c r="D74">
        <v>0.43550551425934297</v>
      </c>
      <c r="E74">
        <v>0.46985685457915899</v>
      </c>
      <c r="F74">
        <v>3.5421378973403002</v>
      </c>
      <c r="G74">
        <v>-6.1539508364353885</v>
      </c>
      <c r="H74">
        <v>-5.2234237649793362</v>
      </c>
      <c r="I74">
        <v>0.904170501341934</v>
      </c>
      <c r="J74">
        <v>0.532180226473838</v>
      </c>
      <c r="K74">
        <v>0.13264781558390501</v>
      </c>
      <c r="L74">
        <v>4.4266250477426505E-5</v>
      </c>
      <c r="M74">
        <v>9.0465698614564004E-7</v>
      </c>
      <c r="N74" s="1">
        <v>5.8184828887481997E-10</v>
      </c>
      <c r="O74" s="1">
        <v>1.3975101179107399E-13</v>
      </c>
      <c r="P74" s="1">
        <v>-6.2452825277003702E-14</v>
      </c>
      <c r="Q74">
        <v>50.413115919094601</v>
      </c>
      <c r="R74">
        <v>1.9478610987988299E-2</v>
      </c>
      <c r="S74">
        <v>2.0967370664867802</v>
      </c>
      <c r="T74">
        <v>0.54300648096968196</v>
      </c>
      <c r="V74">
        <v>29.76403440655</v>
      </c>
      <c r="X74">
        <v>16.949648734655199</v>
      </c>
      <c r="AA74">
        <v>0.19997961735174999</v>
      </c>
      <c r="AB74">
        <v>1.39991639039175E-2</v>
      </c>
      <c r="AJ74">
        <v>-1.0073657902233299</v>
      </c>
      <c r="AK74">
        <v>0.99068911884998601</v>
      </c>
      <c r="AL74">
        <v>0.960052290675386</v>
      </c>
      <c r="AM74">
        <v>3.9817386852698998E-2</v>
      </c>
      <c r="AN74">
        <v>-3.86874457016496E-2</v>
      </c>
      <c r="AO74">
        <v>5.4447561598795602E-2</v>
      </c>
      <c r="AP74">
        <v>1.04687794812142E-3</v>
      </c>
    </row>
    <row r="75" spans="1:42" x14ac:dyDescent="0.2">
      <c r="A75">
        <v>164</v>
      </c>
      <c r="B75">
        <v>754</v>
      </c>
      <c r="C75">
        <v>150</v>
      </c>
      <c r="D75">
        <v>0.43427006766295001</v>
      </c>
      <c r="E75">
        <v>0.49365361308236899</v>
      </c>
      <c r="F75">
        <v>3.5425283996694898</v>
      </c>
      <c r="G75">
        <v>-6.4674388224419266</v>
      </c>
      <c r="H75">
        <v>-5.4926812799674281</v>
      </c>
      <c r="I75">
        <v>0.94899239884583397</v>
      </c>
      <c r="J75">
        <v>0.55923945259395502</v>
      </c>
      <c r="K75">
        <v>0.13935064377421</v>
      </c>
      <c r="L75">
        <v>4.4241111684653088E-5</v>
      </c>
      <c r="M75">
        <v>9.042969627403904E-7</v>
      </c>
      <c r="N75" s="1">
        <v>6.2453391883336297E-10</v>
      </c>
      <c r="O75" s="1">
        <v>1.48309909009301E-13</v>
      </c>
      <c r="P75" s="1">
        <v>-3.1939922007118302E-13</v>
      </c>
      <c r="Q75">
        <v>50.354785135614598</v>
      </c>
      <c r="R75">
        <v>2.1147015371534999E-2</v>
      </c>
      <c r="S75">
        <v>2.2157273480022002</v>
      </c>
      <c r="T75">
        <v>0.54743698772942295</v>
      </c>
      <c r="V75">
        <v>29.708262305439401</v>
      </c>
      <c r="X75">
        <v>16.9543134954754</v>
      </c>
      <c r="AA75">
        <v>0.184549424738189</v>
      </c>
      <c r="AB75">
        <v>1.3778287629188601E-2</v>
      </c>
      <c r="AJ75">
        <v>-1.00873957842298</v>
      </c>
      <c r="AK75">
        <v>0.99134576788055795</v>
      </c>
      <c r="AL75">
        <v>0.95797761928098801</v>
      </c>
      <c r="AM75">
        <v>4.2501992794493598E-2</v>
      </c>
      <c r="AN75">
        <v>-4.12756215889152E-2</v>
      </c>
      <c r="AO75">
        <v>5.71597560231146E-2</v>
      </c>
      <c r="AP75">
        <v>1.0300640327475499E-3</v>
      </c>
    </row>
    <row r="76" spans="1:42" x14ac:dyDescent="0.2">
      <c r="A76">
        <v>165</v>
      </c>
      <c r="B76">
        <v>752</v>
      </c>
      <c r="C76">
        <v>150</v>
      </c>
      <c r="D76">
        <v>0.43302980051699702</v>
      </c>
      <c r="E76">
        <v>0.51696607104214898</v>
      </c>
      <c r="F76">
        <v>3.5458771093669599</v>
      </c>
      <c r="G76">
        <v>-6.763007329518878</v>
      </c>
      <c r="H76">
        <v>-5.7456699032233072</v>
      </c>
      <c r="I76">
        <v>0.99237909212853903</v>
      </c>
      <c r="J76">
        <v>0.58528060182613395</v>
      </c>
      <c r="K76">
        <v>0.14579356675292099</v>
      </c>
      <c r="L76">
        <v>4.4235878687815365E-5</v>
      </c>
      <c r="M76">
        <v>9.0463479830542622E-7</v>
      </c>
      <c r="N76" s="1">
        <v>6.70876747841781E-10</v>
      </c>
      <c r="O76" s="1">
        <v>1.55897167899463E-13</v>
      </c>
      <c r="P76" s="1">
        <v>-6.2374448493518504E-13</v>
      </c>
      <c r="Q76">
        <v>50.229515587125903</v>
      </c>
      <c r="R76">
        <v>2.1502067145554599E-2</v>
      </c>
      <c r="S76">
        <v>2.3561011826198301</v>
      </c>
      <c r="T76">
        <v>0.56215960817991795</v>
      </c>
      <c r="V76">
        <v>29.839494393112901</v>
      </c>
      <c r="X76">
        <v>16.809063271505298</v>
      </c>
      <c r="AA76">
        <v>0.16870581411869301</v>
      </c>
      <c r="AB76">
        <v>1.34580761917278E-2</v>
      </c>
      <c r="AJ76">
        <v>-1.01776615991705</v>
      </c>
      <c r="AK76">
        <v>0.99201863739610097</v>
      </c>
      <c r="AL76">
        <v>0.96288567625261401</v>
      </c>
      <c r="AM76">
        <v>4.5532231012996298E-2</v>
      </c>
      <c r="AN76">
        <v>-4.4284392944607301E-2</v>
      </c>
      <c r="AO76">
        <v>6.0607175964012203E-2</v>
      </c>
      <c r="AP76">
        <v>1.00683223593452E-3</v>
      </c>
    </row>
    <row r="77" spans="1:42" x14ac:dyDescent="0.2">
      <c r="A77">
        <v>166</v>
      </c>
      <c r="B77">
        <v>750</v>
      </c>
      <c r="C77">
        <v>150</v>
      </c>
      <c r="D77">
        <v>0.43178468455260599</v>
      </c>
      <c r="E77">
        <v>0.53476227434485701</v>
      </c>
      <c r="F77">
        <v>3.5486786146243299</v>
      </c>
      <c r="G77">
        <v>-6.9877221858761356</v>
      </c>
      <c r="H77">
        <v>-5.9388598538031871</v>
      </c>
      <c r="I77">
        <v>1.02513055961779</v>
      </c>
      <c r="J77">
        <v>0.605121697775447</v>
      </c>
      <c r="K77">
        <v>0.150693351643924</v>
      </c>
      <c r="L77">
        <v>4.4223796534694058E-5</v>
      </c>
      <c r="M77">
        <v>9.0483904084223552E-7</v>
      </c>
      <c r="N77" s="1">
        <v>7.1276166020176205E-10</v>
      </c>
      <c r="O77" s="1">
        <v>1.61853345049222E-13</v>
      </c>
      <c r="P77" s="1">
        <v>-9.2758366947729196E-13</v>
      </c>
      <c r="Q77">
        <v>50.118429998147498</v>
      </c>
      <c r="R77">
        <v>2.19842839454427E-2</v>
      </c>
      <c r="S77">
        <v>2.4888055542506198</v>
      </c>
      <c r="T77">
        <v>0.57418221977406203</v>
      </c>
      <c r="V77">
        <v>29.938499344723802</v>
      </c>
      <c r="X77">
        <v>16.689603739364301</v>
      </c>
      <c r="AA77">
        <v>0.15531779658926301</v>
      </c>
      <c r="AB77">
        <v>1.31770632048403E-2</v>
      </c>
      <c r="AJ77">
        <v>-1.0252793399259801</v>
      </c>
      <c r="AK77">
        <v>0.99258917553848103</v>
      </c>
      <c r="AL77">
        <v>0.96659750264352196</v>
      </c>
      <c r="AM77">
        <v>4.8425532507164797E-2</v>
      </c>
      <c r="AN77">
        <v>-4.7149026930190602E-2</v>
      </c>
      <c r="AO77">
        <v>6.3829819602387899E-2</v>
      </c>
      <c r="AP77">
        <v>9.8633656462058291E-4</v>
      </c>
    </row>
    <row r="78" spans="1:42" x14ac:dyDescent="0.2">
      <c r="A78">
        <v>167</v>
      </c>
      <c r="B78">
        <v>748</v>
      </c>
      <c r="C78">
        <v>150</v>
      </c>
      <c r="D78">
        <v>0.43053469127944</v>
      </c>
      <c r="E78">
        <v>0.549724344172551</v>
      </c>
      <c r="F78">
        <v>3.55140834623796</v>
      </c>
      <c r="G78">
        <v>-7.1751279893013153</v>
      </c>
      <c r="H78">
        <v>-6.1005050205762794</v>
      </c>
      <c r="I78">
        <v>1.0523654396758899</v>
      </c>
      <c r="J78">
        <v>0.621737984137816</v>
      </c>
      <c r="K78">
        <v>0.15479051986654199</v>
      </c>
      <c r="L78">
        <v>4.4208418053308673E-5</v>
      </c>
      <c r="M78">
        <v>9.0501797557266193E-7</v>
      </c>
      <c r="N78" s="1">
        <v>7.5368331803283405E-10</v>
      </c>
      <c r="O78" s="1">
        <v>1.6686079766058299E-13</v>
      </c>
      <c r="P78" s="1">
        <v>-1.23463064454557E-12</v>
      </c>
      <c r="Q78">
        <v>50.009892666265898</v>
      </c>
      <c r="R78">
        <v>2.2417840162832801E-2</v>
      </c>
      <c r="S78">
        <v>2.6191081221768999</v>
      </c>
      <c r="T78">
        <v>0.58542965397992197</v>
      </c>
      <c r="V78">
        <v>30.034236554401399</v>
      </c>
      <c r="X78">
        <v>16.572467637670801</v>
      </c>
      <c r="AA78">
        <v>0.143536065054814</v>
      </c>
      <c r="AB78">
        <v>1.29114602872331E-2</v>
      </c>
      <c r="AJ78">
        <v>-1.0325448541459299</v>
      </c>
      <c r="AK78">
        <v>0.99309279877657097</v>
      </c>
      <c r="AL78">
        <v>0.97019294759571895</v>
      </c>
      <c r="AM78">
        <v>5.1275755309882598E-2</v>
      </c>
      <c r="AN78">
        <v>-4.9973398349137797E-2</v>
      </c>
      <c r="AO78">
        <v>6.6989792518008504E-2</v>
      </c>
      <c r="AP78">
        <v>9.66958294889793E-4</v>
      </c>
    </row>
    <row r="79" spans="1:42" x14ac:dyDescent="0.2">
      <c r="A79">
        <v>177</v>
      </c>
      <c r="B79">
        <v>766</v>
      </c>
      <c r="C79">
        <v>135</v>
      </c>
      <c r="D79">
        <v>0.45748977529712298</v>
      </c>
      <c r="E79">
        <v>0.242418991092025</v>
      </c>
      <c r="F79">
        <v>3.5421317768396499</v>
      </c>
      <c r="G79">
        <v>-3.1703299383046732</v>
      </c>
      <c r="H79">
        <v>-2.6831140172349426</v>
      </c>
      <c r="I79">
        <v>0.46886005010800202</v>
      </c>
      <c r="J79">
        <v>0.27430060399417</v>
      </c>
      <c r="K79">
        <v>6.8438727400569901E-2</v>
      </c>
      <c r="L79">
        <v>4.4351745611878706E-5</v>
      </c>
      <c r="M79">
        <v>9.0622027117134053E-7</v>
      </c>
      <c r="N79" s="1">
        <v>2.8346357602386402E-10</v>
      </c>
      <c r="O79" s="1">
        <v>6.9108811142426805E-14</v>
      </c>
      <c r="P79" s="1">
        <v>4.18349304871701E-13</v>
      </c>
      <c r="Q79">
        <v>50.550383751213303</v>
      </c>
      <c r="R79">
        <v>1.24692151776089E-2</v>
      </c>
      <c r="S79">
        <v>1.71710483717163</v>
      </c>
      <c r="T79">
        <v>0.546544417248221</v>
      </c>
      <c r="V79">
        <v>30.088313622458699</v>
      </c>
      <c r="X79">
        <v>16.814619572112601</v>
      </c>
      <c r="AA79">
        <v>0.25603967049981402</v>
      </c>
      <c r="AB79">
        <v>1.4524914117947501E-2</v>
      </c>
      <c r="AJ79">
        <v>-1.0084765206250601</v>
      </c>
      <c r="AK79">
        <v>0.98831267771221698</v>
      </c>
      <c r="AL79">
        <v>0.97221623281865599</v>
      </c>
      <c r="AM79">
        <v>3.0968853911736299E-2</v>
      </c>
      <c r="AN79">
        <v>-3.0244252974960101E-2</v>
      </c>
      <c r="AO79">
        <v>4.6134907536770298E-2</v>
      </c>
      <c r="AP79">
        <v>1.08810162064789E-3</v>
      </c>
    </row>
    <row r="80" spans="1:42" x14ac:dyDescent="0.2">
      <c r="A80">
        <v>178</v>
      </c>
      <c r="B80">
        <v>764</v>
      </c>
      <c r="C80">
        <v>135</v>
      </c>
      <c r="D80">
        <v>0.45630863423805901</v>
      </c>
      <c r="E80">
        <v>0.371857191913951</v>
      </c>
      <c r="F80">
        <v>3.5386085777849599</v>
      </c>
      <c r="G80">
        <v>-4.8764140550367596</v>
      </c>
      <c r="H80">
        <v>-4.130796737752604</v>
      </c>
      <c r="I80">
        <v>0.718909817561738</v>
      </c>
      <c r="J80">
        <v>0.42135775347418802</v>
      </c>
      <c r="K80">
        <v>0.105085709181974</v>
      </c>
      <c r="L80">
        <v>4.4299035352852235E-5</v>
      </c>
      <c r="M80">
        <v>9.048219189346243E-7</v>
      </c>
      <c r="N80" s="1">
        <v>4.41008762372282E-10</v>
      </c>
      <c r="O80" s="1">
        <v>1.08203136315189E-13</v>
      </c>
      <c r="P80" s="1">
        <v>4.5176373242866302E-13</v>
      </c>
      <c r="Q80">
        <v>50.5661744156507</v>
      </c>
      <c r="R80">
        <v>1.5447033224913099E-2</v>
      </c>
      <c r="S80">
        <v>1.83668608817338</v>
      </c>
      <c r="T80">
        <v>0.54163255633945295</v>
      </c>
      <c r="V80">
        <v>29.767135710912299</v>
      </c>
      <c r="X80">
        <v>17.0200115792451</v>
      </c>
      <c r="AA80">
        <v>0.238619633619293</v>
      </c>
      <c r="AB80">
        <v>1.42929828347264E-2</v>
      </c>
      <c r="AJ80">
        <v>-0.99988810313310394</v>
      </c>
      <c r="AK80">
        <v>0.98906953057646696</v>
      </c>
      <c r="AL80">
        <v>0.96022675364796795</v>
      </c>
      <c r="AM80">
        <v>3.38014279236485E-2</v>
      </c>
      <c r="AN80">
        <v>-3.2905286431350503E-2</v>
      </c>
      <c r="AO80">
        <v>4.8626744403905298E-2</v>
      </c>
      <c r="AP80">
        <v>1.0689330124651201E-3</v>
      </c>
    </row>
    <row r="81" spans="1:42" x14ac:dyDescent="0.2">
      <c r="A81">
        <v>179</v>
      </c>
      <c r="B81">
        <v>762</v>
      </c>
      <c r="C81">
        <v>135</v>
      </c>
      <c r="D81">
        <v>0.45512292904410101</v>
      </c>
      <c r="E81">
        <v>0.42833958746135398</v>
      </c>
      <c r="F81">
        <v>3.5374989466548099</v>
      </c>
      <c r="G81">
        <v>-5.6239913737526495</v>
      </c>
      <c r="H81">
        <v>-4.7674430016898368</v>
      </c>
      <c r="I81">
        <v>0.82746304599605103</v>
      </c>
      <c r="J81">
        <v>0.48568361658878101</v>
      </c>
      <c r="K81">
        <v>0.121085431803847</v>
      </c>
      <c r="L81">
        <v>4.4264198791693503E-5</v>
      </c>
      <c r="M81">
        <v>9.0406686990224715E-7</v>
      </c>
      <c r="N81" s="1">
        <v>5.1689374273047696E-10</v>
      </c>
      <c r="O81" s="1">
        <v>1.265209684445E-13</v>
      </c>
      <c r="P81" s="1">
        <v>2.9469480435643598E-13</v>
      </c>
      <c r="Q81">
        <v>50.5361102603718</v>
      </c>
      <c r="R81">
        <v>1.76592794557036E-2</v>
      </c>
      <c r="S81">
        <v>1.9564842434723899</v>
      </c>
      <c r="T81">
        <v>0.54320892142189403</v>
      </c>
      <c r="V81">
        <v>29.6086624151433</v>
      </c>
      <c r="X81">
        <v>17.103921562533699</v>
      </c>
      <c r="AA81">
        <v>0.21989116738152301</v>
      </c>
      <c r="AB81">
        <v>1.40621502195041E-2</v>
      </c>
      <c r="AJ81">
        <v>-0.99754131546071301</v>
      </c>
      <c r="AK81">
        <v>0.989869197208044</v>
      </c>
      <c r="AL81">
        <v>0.954323081586402</v>
      </c>
      <c r="AM81">
        <v>3.6544093716685697E-2</v>
      </c>
      <c r="AN81">
        <v>-3.5520460501270799E-2</v>
      </c>
      <c r="AO81">
        <v>5.1274605455281001E-2</v>
      </c>
      <c r="AP81">
        <v>1.05079799556989E-3</v>
      </c>
    </row>
    <row r="82" spans="1:42" x14ac:dyDescent="0.2">
      <c r="A82">
        <v>180</v>
      </c>
      <c r="B82">
        <v>760</v>
      </c>
      <c r="C82">
        <v>135</v>
      </c>
      <c r="D82">
        <v>0.45393263320911997</v>
      </c>
      <c r="E82">
        <v>0.461193091767367</v>
      </c>
      <c r="F82">
        <v>3.5373817824018299</v>
      </c>
      <c r="G82">
        <v>-6.058877856300251</v>
      </c>
      <c r="H82">
        <v>-5.1392762134133347</v>
      </c>
      <c r="I82">
        <v>0.89009499384108204</v>
      </c>
      <c r="J82">
        <v>0.52311270333134297</v>
      </c>
      <c r="K82">
        <v>0.13037696243638799</v>
      </c>
      <c r="L82">
        <v>4.4236953919747949E-5</v>
      </c>
      <c r="M82">
        <v>9.0359525863423219E-7</v>
      </c>
      <c r="N82" s="1">
        <v>5.66777525233863E-10</v>
      </c>
      <c r="O82" s="1">
        <v>1.3786256132913899E-13</v>
      </c>
      <c r="P82" s="1">
        <v>8.2405254342508204E-14</v>
      </c>
      <c r="Q82">
        <v>50.488915340735403</v>
      </c>
      <c r="R82">
        <v>1.9484896113461499E-2</v>
      </c>
      <c r="S82">
        <v>2.0725419713018298</v>
      </c>
      <c r="T82">
        <v>0.54671801578231904</v>
      </c>
      <c r="V82">
        <v>29.519705018873001</v>
      </c>
      <c r="X82">
        <v>17.135821341560099</v>
      </c>
      <c r="AA82">
        <v>0.20297186852770499</v>
      </c>
      <c r="AB82">
        <v>1.38415471060308E-2</v>
      </c>
      <c r="AJ82">
        <v>-0.99765725918008297</v>
      </c>
      <c r="AK82">
        <v>0.99058870477987704</v>
      </c>
      <c r="AL82">
        <v>0.95101415070857898</v>
      </c>
      <c r="AM82">
        <v>3.9172016131730603E-2</v>
      </c>
      <c r="AN82">
        <v>-3.8043084059665798E-2</v>
      </c>
      <c r="AO82">
        <v>5.3891638445442501E-2</v>
      </c>
      <c r="AP82">
        <v>1.0338331741187299E-3</v>
      </c>
    </row>
    <row r="83" spans="1:42" x14ac:dyDescent="0.2">
      <c r="A83">
        <v>181</v>
      </c>
      <c r="B83">
        <v>758</v>
      </c>
      <c r="C83">
        <v>135</v>
      </c>
      <c r="D83">
        <v>0.452737720021335</v>
      </c>
      <c r="E83">
        <v>0.483472423356065</v>
      </c>
      <c r="F83">
        <v>3.5377688933047899</v>
      </c>
      <c r="G83">
        <v>-6.3531368838110138</v>
      </c>
      <c r="H83">
        <v>-5.3919602103706294</v>
      </c>
      <c r="I83">
        <v>0.93214049696007695</v>
      </c>
      <c r="J83">
        <v>0.54847186158251404</v>
      </c>
      <c r="K83">
        <v>0.13666026185911501</v>
      </c>
      <c r="L83">
        <v>4.4213304358510669E-5</v>
      </c>
      <c r="M83">
        <v>9.0327235875352971E-7</v>
      </c>
      <c r="N83" s="1">
        <v>6.0547110568589004E-10</v>
      </c>
      <c r="O83" s="1">
        <v>1.45973478150697E-13</v>
      </c>
      <c r="P83" s="1">
        <v>-1.5089451125459E-13</v>
      </c>
      <c r="Q83">
        <v>50.433730397549098</v>
      </c>
      <c r="R83">
        <v>2.1082094741436099E-2</v>
      </c>
      <c r="S83">
        <v>2.18515105603388</v>
      </c>
      <c r="T83">
        <v>0.55085184576598101</v>
      </c>
      <c r="V83">
        <v>29.467152763826501</v>
      </c>
      <c r="X83">
        <v>17.1403879314561</v>
      </c>
      <c r="AA83">
        <v>0.188012560761741</v>
      </c>
      <c r="AB83">
        <v>1.36313498650941E-2</v>
      </c>
      <c r="AJ83">
        <v>-0.99898005979685101</v>
      </c>
      <c r="AK83">
        <v>0.99122422424647805</v>
      </c>
      <c r="AL83">
        <v>0.94906273675696695</v>
      </c>
      <c r="AM83">
        <v>4.1711200546118501E-2</v>
      </c>
      <c r="AN83">
        <v>-4.0490061104137602E-2</v>
      </c>
      <c r="AO83">
        <v>5.6454103037179203E-2</v>
      </c>
      <c r="AP83">
        <v>1.01785631424548E-3</v>
      </c>
    </row>
    <row r="84" spans="1:42" x14ac:dyDescent="0.2">
      <c r="A84">
        <v>182</v>
      </c>
      <c r="B84">
        <v>756</v>
      </c>
      <c r="C84">
        <v>135</v>
      </c>
      <c r="D84">
        <v>0.451538162561337</v>
      </c>
      <c r="E84">
        <v>0.50007564181668895</v>
      </c>
      <c r="F84">
        <v>3.53845126283974</v>
      </c>
      <c r="G84">
        <v>-6.5716140540792534</v>
      </c>
      <c r="H84">
        <v>-5.5804236175269768</v>
      </c>
      <c r="I84">
        <v>0.96311561633607601</v>
      </c>
      <c r="J84">
        <v>0.56733715659221395</v>
      </c>
      <c r="K84">
        <v>0.14132613526951801</v>
      </c>
      <c r="L84">
        <v>4.4191408254252911E-5</v>
      </c>
      <c r="M84">
        <v>9.0303695623235595E-7</v>
      </c>
      <c r="N84" s="1">
        <v>6.3861336535748402E-10</v>
      </c>
      <c r="O84" s="1">
        <v>1.52288427287974E-13</v>
      </c>
      <c r="P84" s="1">
        <v>-3.93750731850937E-13</v>
      </c>
      <c r="Q84">
        <v>50.3741880721347</v>
      </c>
      <c r="R84">
        <v>2.2529082887333601E-2</v>
      </c>
      <c r="S84">
        <v>2.29506126283747</v>
      </c>
      <c r="T84">
        <v>0.55514307472324598</v>
      </c>
      <c r="V84">
        <v>29.436428095818801</v>
      </c>
      <c r="X84">
        <v>17.128462679200499</v>
      </c>
      <c r="AA84">
        <v>0.17475758389497301</v>
      </c>
      <c r="AB84">
        <v>1.34301485028525E-2</v>
      </c>
      <c r="AJ84">
        <v>-1.00098683325752</v>
      </c>
      <c r="AK84">
        <v>0.99178746982825705</v>
      </c>
      <c r="AL84">
        <v>0.94792488292034005</v>
      </c>
      <c r="AM84">
        <v>4.4185916702526098E-2</v>
      </c>
      <c r="AN84">
        <v>-4.2881167389057902E-2</v>
      </c>
      <c r="AO84">
        <v>5.8967055492116102E-2</v>
      </c>
      <c r="AP84">
        <v>1.0026757033404501E-3</v>
      </c>
    </row>
    <row r="85" spans="1:42" x14ac:dyDescent="0.2">
      <c r="A85">
        <v>183</v>
      </c>
      <c r="B85">
        <v>754</v>
      </c>
      <c r="C85">
        <v>135</v>
      </c>
      <c r="D85">
        <v>0.45033393370004399</v>
      </c>
      <c r="E85">
        <v>0.51958304231730401</v>
      </c>
      <c r="F85">
        <v>3.5422386137477702</v>
      </c>
      <c r="G85">
        <v>-6.8159998107522224</v>
      </c>
      <c r="H85">
        <v>-5.7896938299781082</v>
      </c>
      <c r="I85">
        <v>0.99917829019531001</v>
      </c>
      <c r="J85">
        <v>0.58901209780622099</v>
      </c>
      <c r="K85">
        <v>0.146682112351424</v>
      </c>
      <c r="L85">
        <v>4.4193235914659453E-5</v>
      </c>
      <c r="M85">
        <v>9.0352889470316377E-7</v>
      </c>
      <c r="N85" s="1">
        <v>6.7842584348480695E-10</v>
      </c>
      <c r="O85" s="1">
        <v>1.5859369521148501E-13</v>
      </c>
      <c r="P85" s="1">
        <v>-6.8561918095399505E-13</v>
      </c>
      <c r="Q85">
        <v>50.242697549186801</v>
      </c>
      <c r="R85">
        <v>2.2529947438090701E-2</v>
      </c>
      <c r="S85">
        <v>2.4308939594545498</v>
      </c>
      <c r="T85">
        <v>0.57061731934864401</v>
      </c>
      <c r="V85">
        <v>29.600185613583299</v>
      </c>
      <c r="X85">
        <v>16.959452813964401</v>
      </c>
      <c r="AA85">
        <v>0.16050610433916801</v>
      </c>
      <c r="AB85">
        <v>1.31166926849305E-2</v>
      </c>
      <c r="AJ85">
        <v>-1.01104850818452</v>
      </c>
      <c r="AK85">
        <v>0.99239219740361395</v>
      </c>
      <c r="AL85">
        <v>0.95403071118028904</v>
      </c>
      <c r="AM85">
        <v>4.7096759778238101E-2</v>
      </c>
      <c r="AN85">
        <v>-4.5790820902708702E-2</v>
      </c>
      <c r="AO85">
        <v>6.2339531977408699E-2</v>
      </c>
      <c r="AP85">
        <v>9.8012874768413209E-4</v>
      </c>
    </row>
    <row r="86" spans="1:42" x14ac:dyDescent="0.2">
      <c r="A86">
        <v>184</v>
      </c>
      <c r="B86">
        <v>752</v>
      </c>
      <c r="C86">
        <v>135</v>
      </c>
      <c r="D86">
        <v>0.449125006096672</v>
      </c>
      <c r="E86">
        <v>0.53408018057124496</v>
      </c>
      <c r="F86">
        <v>3.54489044708752</v>
      </c>
      <c r="G86">
        <v>-6.9983873386099029</v>
      </c>
      <c r="H86">
        <v>-5.9469326661893804</v>
      </c>
      <c r="I86">
        <v>1.0256593400190399</v>
      </c>
      <c r="J86">
        <v>0.60514733647725905</v>
      </c>
      <c r="K86">
        <v>0.15066197067106599</v>
      </c>
      <c r="L86">
        <v>4.4183130576750124E-5</v>
      </c>
      <c r="M86">
        <v>9.0374374203707769E-7</v>
      </c>
      <c r="N86" s="1">
        <v>7.1404188376556101E-10</v>
      </c>
      <c r="O86" s="1">
        <v>1.6357770777066201E-13</v>
      </c>
      <c r="P86" s="1">
        <v>-9.6860051042113702E-13</v>
      </c>
      <c r="Q86">
        <v>50.138743238650498</v>
      </c>
      <c r="R86">
        <v>2.29575882603297E-2</v>
      </c>
      <c r="S86">
        <v>2.5547606687965998</v>
      </c>
      <c r="T86">
        <v>0.58129743847854698</v>
      </c>
      <c r="V86">
        <v>29.694486032784301</v>
      </c>
      <c r="X86">
        <v>16.846160575128302</v>
      </c>
      <c r="AA86">
        <v>0.14873285456734101</v>
      </c>
      <c r="AB86">
        <v>1.28616033339183E-2</v>
      </c>
      <c r="AJ86">
        <v>-1.0180813690849599</v>
      </c>
      <c r="AK86">
        <v>0.99289379217101204</v>
      </c>
      <c r="AL86">
        <v>0.95755672667227298</v>
      </c>
      <c r="AM86">
        <v>4.9802272034480198E-2</v>
      </c>
      <c r="AN86">
        <v>-4.8470868479429101E-2</v>
      </c>
      <c r="AO86">
        <v>6.5337890484992597E-2</v>
      </c>
      <c r="AP86">
        <v>9.6155620163624396E-4</v>
      </c>
    </row>
    <row r="87" spans="1:42" x14ac:dyDescent="0.2">
      <c r="A87">
        <v>195</v>
      </c>
      <c r="B87">
        <v>772</v>
      </c>
      <c r="C87">
        <v>120</v>
      </c>
      <c r="D87">
        <v>0.47679328326077502</v>
      </c>
      <c r="E87">
        <v>0.14992829645668601</v>
      </c>
      <c r="F87">
        <v>3.5393352106236402</v>
      </c>
      <c r="G87">
        <v>-1.9641331712149559</v>
      </c>
      <c r="H87">
        <v>-1.6599670597768836</v>
      </c>
      <c r="I87">
        <v>0.29102627511655899</v>
      </c>
      <c r="J87">
        <v>0.16978785530575299</v>
      </c>
      <c r="K87">
        <v>4.2360581164130197E-2</v>
      </c>
      <c r="L87">
        <v>4.4352613881040881E-5</v>
      </c>
      <c r="M87">
        <v>9.0577872307319739E-7</v>
      </c>
      <c r="N87" s="1">
        <v>1.7442756770974E-10</v>
      </c>
      <c r="O87" s="1">
        <v>4.2472680184491901E-14</v>
      </c>
      <c r="P87" s="1">
        <v>3.3584067195811302E-13</v>
      </c>
      <c r="Q87">
        <v>50.600883801861499</v>
      </c>
      <c r="R87">
        <v>1.1144420676079601E-2</v>
      </c>
      <c r="S87">
        <v>1.6539192440146</v>
      </c>
      <c r="T87">
        <v>0.55723706925980199</v>
      </c>
      <c r="V87">
        <v>30.015041048347101</v>
      </c>
      <c r="X87">
        <v>16.883247884208501</v>
      </c>
      <c r="AA87">
        <v>0.26402238899726199</v>
      </c>
      <c r="AB87">
        <v>1.45041426349833E-2</v>
      </c>
      <c r="AJ87">
        <v>-1.0041411120694199</v>
      </c>
      <c r="AK87">
        <v>0.98798756044652503</v>
      </c>
      <c r="AL87">
        <v>0.96954310018210099</v>
      </c>
      <c r="AM87">
        <v>2.9327811352248299E-2</v>
      </c>
      <c r="AN87">
        <v>-2.8680399826850701E-2</v>
      </c>
      <c r="AO87">
        <v>4.4876836651365E-2</v>
      </c>
      <c r="AP87">
        <v>1.0862032640353899E-3</v>
      </c>
    </row>
    <row r="88" spans="1:42" x14ac:dyDescent="0.2">
      <c r="A88">
        <v>196</v>
      </c>
      <c r="B88">
        <v>770</v>
      </c>
      <c r="C88">
        <v>120</v>
      </c>
      <c r="D88">
        <v>0.47565594593299199</v>
      </c>
      <c r="E88">
        <v>0.32558509422497001</v>
      </c>
      <c r="F88">
        <v>3.53469120993765</v>
      </c>
      <c r="G88">
        <v>-4.2796603652670795</v>
      </c>
      <c r="H88">
        <v>-3.6205548794808196</v>
      </c>
      <c r="I88">
        <v>0.63184152402459903</v>
      </c>
      <c r="J88">
        <v>0.36933011985033898</v>
      </c>
      <c r="K88">
        <v>9.2111325965221397E-2</v>
      </c>
      <c r="L88">
        <v>4.4288514130125307E-5</v>
      </c>
      <c r="M88">
        <v>9.0413263626399144E-7</v>
      </c>
      <c r="N88" s="1">
        <v>3.83228059097113E-10</v>
      </c>
      <c r="O88" s="1">
        <v>9.4266549730699499E-14</v>
      </c>
      <c r="P88" s="1">
        <v>5.8640473346105904E-13</v>
      </c>
      <c r="Q88">
        <v>50.643582212968198</v>
      </c>
      <c r="R88">
        <v>1.42957928647066E-2</v>
      </c>
      <c r="S88">
        <v>1.7611797162968399</v>
      </c>
      <c r="T88">
        <v>0.54830132537228904</v>
      </c>
      <c r="V88">
        <v>29.624914311187201</v>
      </c>
      <c r="X88">
        <v>17.141861880312302</v>
      </c>
      <c r="AA88">
        <v>0.25158848015727803</v>
      </c>
      <c r="AB88">
        <v>1.4276280840959801E-2</v>
      </c>
      <c r="AJ88">
        <v>-0.99245034441327196</v>
      </c>
      <c r="AK88">
        <v>0.988542450227203</v>
      </c>
      <c r="AL88">
        <v>0.95500220674272596</v>
      </c>
      <c r="AM88">
        <v>3.1934293661241599E-2</v>
      </c>
      <c r="AN88">
        <v>-3.11054926542738E-2</v>
      </c>
      <c r="AO88">
        <v>4.7009913955975001E-2</v>
      </c>
      <c r="AP88">
        <v>1.0669724803997599E-3</v>
      </c>
    </row>
    <row r="89" spans="1:42" x14ac:dyDescent="0.2">
      <c r="A89">
        <v>197</v>
      </c>
      <c r="B89">
        <v>768</v>
      </c>
      <c r="C89">
        <v>120</v>
      </c>
      <c r="D89">
        <v>0.474514239062578</v>
      </c>
      <c r="E89">
        <v>0.39653992818502398</v>
      </c>
      <c r="F89">
        <v>3.5330041312660998</v>
      </c>
      <c r="G89">
        <v>-5.2204088612166251</v>
      </c>
      <c r="H89">
        <v>-4.4197524527534178</v>
      </c>
      <c r="I89">
        <v>0.76901158186928598</v>
      </c>
      <c r="J89">
        <v>0.45018332343125</v>
      </c>
      <c r="K89">
        <v>0.112238738889591</v>
      </c>
      <c r="L89">
        <v>4.4248693355412331E-5</v>
      </c>
      <c r="M89">
        <v>9.032527781729328E-7</v>
      </c>
      <c r="N89" s="1">
        <v>4.7374440299085598E-10</v>
      </c>
      <c r="O89" s="1">
        <v>1.16691486004107E-13</v>
      </c>
      <c r="P89" s="1">
        <v>5.1675576512251503E-13</v>
      </c>
      <c r="Q89">
        <v>50.627524541962998</v>
      </c>
      <c r="R89">
        <v>1.6619141830902202E-2</v>
      </c>
      <c r="S89">
        <v>1.8746927841904599</v>
      </c>
      <c r="T89">
        <v>0.54821555984485904</v>
      </c>
      <c r="V89">
        <v>29.430500211665201</v>
      </c>
      <c r="X89">
        <v>17.254963389502301</v>
      </c>
      <c r="AA89">
        <v>0.23343571086131301</v>
      </c>
      <c r="AB89">
        <v>1.40486601417443E-2</v>
      </c>
      <c r="AJ89">
        <v>-0.98858047530044102</v>
      </c>
      <c r="AK89">
        <v>0.98932003155002701</v>
      </c>
      <c r="AL89">
        <v>0.947771050675843</v>
      </c>
      <c r="AM89">
        <v>3.4554722336186401E-2</v>
      </c>
      <c r="AN89">
        <v>-3.3592203714161897E-2</v>
      </c>
      <c r="AO89">
        <v>4.9477980539490402E-2</v>
      </c>
      <c r="AP89">
        <v>1.04889391305487E-3</v>
      </c>
    </row>
    <row r="90" spans="1:42" x14ac:dyDescent="0.2">
      <c r="A90">
        <v>198</v>
      </c>
      <c r="B90">
        <v>766</v>
      </c>
      <c r="C90">
        <v>120</v>
      </c>
      <c r="D90">
        <v>0.47336813742000999</v>
      </c>
      <c r="E90">
        <v>0.43567727049993998</v>
      </c>
      <c r="F90">
        <v>3.5325402011900402</v>
      </c>
      <c r="G90">
        <v>-5.7400777925416069</v>
      </c>
      <c r="H90">
        <v>-4.8628591043420641</v>
      </c>
      <c r="I90">
        <v>0.84416945407259902</v>
      </c>
      <c r="J90">
        <v>0.49482465198849102</v>
      </c>
      <c r="K90">
        <v>0.123332572507786</v>
      </c>
      <c r="L90">
        <v>4.4219461204915755E-5</v>
      </c>
      <c r="M90">
        <v>9.0271731683796946E-7</v>
      </c>
      <c r="N90" s="1">
        <v>5.2857562431357296E-10</v>
      </c>
      <c r="O90" s="1">
        <v>1.29885181212955E-13</v>
      </c>
      <c r="P90" s="1">
        <v>3.5420976286188498E-13</v>
      </c>
      <c r="Q90">
        <v>50.589325217786403</v>
      </c>
      <c r="R90">
        <v>1.85098001568271E-2</v>
      </c>
      <c r="S90">
        <v>1.98586027719339</v>
      </c>
      <c r="T90">
        <v>0.55086749968465398</v>
      </c>
      <c r="V90">
        <v>29.3204282273921</v>
      </c>
      <c r="X90">
        <v>17.3050342507374</v>
      </c>
      <c r="AA90">
        <v>0.216143191189798</v>
      </c>
      <c r="AB90">
        <v>1.38315358592379E-2</v>
      </c>
      <c r="AJ90">
        <v>-0.98780367564660498</v>
      </c>
      <c r="AK90">
        <v>0.99005542866674301</v>
      </c>
      <c r="AL90">
        <v>0.94368232483008396</v>
      </c>
      <c r="AM90">
        <v>3.7080407888887099E-2</v>
      </c>
      <c r="AN90">
        <v>-3.6009007024123997E-2</v>
      </c>
      <c r="AO90">
        <v>5.1962433158035802E-2</v>
      </c>
      <c r="AP90">
        <v>1.03208812697774E-3</v>
      </c>
    </row>
    <row r="91" spans="1:42" x14ac:dyDescent="0.2">
      <c r="A91">
        <v>199</v>
      </c>
      <c r="B91">
        <v>764</v>
      </c>
      <c r="C91">
        <v>120</v>
      </c>
      <c r="D91">
        <v>0.47221761558116099</v>
      </c>
      <c r="E91">
        <v>0.46127538321133699</v>
      </c>
      <c r="F91">
        <v>3.5326853299923999</v>
      </c>
      <c r="G91">
        <v>-6.0796045471401818</v>
      </c>
      <c r="H91">
        <v>-5.1535393274338848</v>
      </c>
      <c r="I91">
        <v>0.892894200169982</v>
      </c>
      <c r="J91">
        <v>0.52401241336663995</v>
      </c>
      <c r="K91">
        <v>0.13057358358388699</v>
      </c>
      <c r="L91">
        <v>4.4195360450954531E-5</v>
      </c>
      <c r="M91">
        <v>9.023603556061911E-7</v>
      </c>
      <c r="N91" s="1">
        <v>5.6854453505388898E-10</v>
      </c>
      <c r="O91" s="1">
        <v>1.3902337560623499E-13</v>
      </c>
      <c r="P91" s="1">
        <v>1.5600990620511099E-13</v>
      </c>
      <c r="Q91">
        <v>50.540964272094001</v>
      </c>
      <c r="R91">
        <v>2.01469925086015E-2</v>
      </c>
      <c r="S91">
        <v>2.0939498342177898</v>
      </c>
      <c r="T91">
        <v>0.55446306179094096</v>
      </c>
      <c r="V91">
        <v>29.253683620449099</v>
      </c>
      <c r="X91">
        <v>17.322575064880802</v>
      </c>
      <c r="AA91">
        <v>0.20059170184157599</v>
      </c>
      <c r="AB91">
        <v>1.3625452216980499E-2</v>
      </c>
      <c r="AJ91">
        <v>-0.98851060515131906</v>
      </c>
      <c r="AK91">
        <v>0.99071529605319197</v>
      </c>
      <c r="AL91">
        <v>0.94120598758523999</v>
      </c>
      <c r="AM91">
        <v>3.9521006321884503E-2</v>
      </c>
      <c r="AN91">
        <v>-3.8355246463140501E-2</v>
      </c>
      <c r="AO91">
        <v>5.4407205527824902E-2</v>
      </c>
      <c r="AP91">
        <v>1.0163561263189099E-3</v>
      </c>
    </row>
    <row r="92" spans="1:42" x14ac:dyDescent="0.2">
      <c r="A92">
        <v>200</v>
      </c>
      <c r="B92">
        <v>762</v>
      </c>
      <c r="C92">
        <v>120</v>
      </c>
      <c r="D92">
        <v>0.47106264792542502</v>
      </c>
      <c r="E92">
        <v>0.47984976252453498</v>
      </c>
      <c r="F92">
        <v>3.5331803760178602</v>
      </c>
      <c r="G92">
        <v>-6.3252949105049261</v>
      </c>
      <c r="H92">
        <v>-5.3647963829018508</v>
      </c>
      <c r="I92">
        <v>0.92788342520704603</v>
      </c>
      <c r="J92">
        <v>0.54516469436125903</v>
      </c>
      <c r="K92">
        <v>0.13581241585671799</v>
      </c>
      <c r="L92">
        <v>4.4173931020187274E-5</v>
      </c>
      <c r="M92">
        <v>9.0210731396355076E-7</v>
      </c>
      <c r="N92" s="1">
        <v>6.0118524630588005E-10</v>
      </c>
      <c r="O92" s="1">
        <v>1.4598945061656E-13</v>
      </c>
      <c r="P92" s="1">
        <v>-5.8817365602713205E-14</v>
      </c>
      <c r="Q92">
        <v>50.4871576989311</v>
      </c>
      <c r="R92">
        <v>2.1619429355036301E-2</v>
      </c>
      <c r="S92">
        <v>2.1994227539967901</v>
      </c>
      <c r="T92">
        <v>0.55836407402564803</v>
      </c>
      <c r="V92">
        <v>29.212454345504099</v>
      </c>
      <c r="X92">
        <v>17.320837332231601</v>
      </c>
      <c r="AA92">
        <v>0.18671539755620201</v>
      </c>
      <c r="AB92">
        <v>1.34289683993827E-2</v>
      </c>
      <c r="AJ92">
        <v>-0.99004203048122197</v>
      </c>
      <c r="AK92">
        <v>0.99130378954826803</v>
      </c>
      <c r="AL92">
        <v>0.93967861062424995</v>
      </c>
      <c r="AM92">
        <v>4.1896704053369198E-2</v>
      </c>
      <c r="AN92">
        <v>-4.0646012340797101E-2</v>
      </c>
      <c r="AO92">
        <v>5.6807452764213201E-2</v>
      </c>
      <c r="AP92">
        <v>1.0014858319189999E-3</v>
      </c>
    </row>
    <row r="93" spans="1:42" x14ac:dyDescent="0.2">
      <c r="A93">
        <v>201</v>
      </c>
      <c r="B93">
        <v>760</v>
      </c>
      <c r="C93">
        <v>120</v>
      </c>
      <c r="D93">
        <v>0.46990320863379098</v>
      </c>
      <c r="E93">
        <v>0.49429597117805202</v>
      </c>
      <c r="F93">
        <v>3.5338982795344598</v>
      </c>
      <c r="G93">
        <v>-6.5156412340619507</v>
      </c>
      <c r="H93">
        <v>-5.5292049452271721</v>
      </c>
      <c r="I93">
        <v>0.95478516075572595</v>
      </c>
      <c r="J93">
        <v>0.56158447344346896</v>
      </c>
      <c r="K93">
        <v>0.13987272187222299</v>
      </c>
      <c r="L93">
        <v>4.4153903857874155E-5</v>
      </c>
      <c r="M93">
        <v>9.0191976617964819E-7</v>
      </c>
      <c r="N93" s="1">
        <v>6.2990562369790305E-10</v>
      </c>
      <c r="O93" s="1">
        <v>1.51635387220588E-13</v>
      </c>
      <c r="P93" s="1">
        <v>-2.8265511966798599E-13</v>
      </c>
      <c r="Q93">
        <v>50.4300599086882</v>
      </c>
      <c r="R93">
        <v>2.29764734633741E-2</v>
      </c>
      <c r="S93">
        <v>2.3028575681277399</v>
      </c>
      <c r="T93">
        <v>0.56231067635578602</v>
      </c>
      <c r="V93">
        <v>29.187781395903599</v>
      </c>
      <c r="X93">
        <v>17.306479259862101</v>
      </c>
      <c r="AA93">
        <v>0.17429423318652801</v>
      </c>
      <c r="AB93">
        <v>1.32404844124823E-2</v>
      </c>
      <c r="AJ93">
        <v>-0.99208330749219198</v>
      </c>
      <c r="AK93">
        <v>0.991830762367649</v>
      </c>
      <c r="AL93">
        <v>0.93876682493703001</v>
      </c>
      <c r="AM93">
        <v>4.4224790916925799E-2</v>
      </c>
      <c r="AN93">
        <v>-4.28957609561018E-2</v>
      </c>
      <c r="AO93">
        <v>5.9169385113393501E-2</v>
      </c>
      <c r="AP93">
        <v>9.8730511329477391E-4</v>
      </c>
    </row>
    <row r="94" spans="1:42" x14ac:dyDescent="0.2">
      <c r="A94">
        <v>202</v>
      </c>
      <c r="B94">
        <v>758</v>
      </c>
      <c r="C94">
        <v>120</v>
      </c>
      <c r="D94">
        <v>0.46873927168695301</v>
      </c>
      <c r="E94">
        <v>0.50610196062928503</v>
      </c>
      <c r="F94">
        <v>3.5347695974721498</v>
      </c>
      <c r="G94">
        <v>-6.6704781853099755</v>
      </c>
      <c r="H94">
        <v>-5.6635562804735811</v>
      </c>
      <c r="I94">
        <v>0.97650381112000695</v>
      </c>
      <c r="J94">
        <v>0.57497166287372503</v>
      </c>
      <c r="K94">
        <v>0.14317820346514701</v>
      </c>
      <c r="L94">
        <v>4.4134549255124267E-5</v>
      </c>
      <c r="M94">
        <v>9.0177576709999591E-7</v>
      </c>
      <c r="N94" s="1">
        <v>6.5649250263153496E-10</v>
      </c>
      <c r="O94" s="1">
        <v>1.5640574935097001E-13</v>
      </c>
      <c r="P94" s="1">
        <v>-5.12058513358493E-13</v>
      </c>
      <c r="Q94">
        <v>50.370761518942302</v>
      </c>
      <c r="R94">
        <v>2.4248202520290901E-2</v>
      </c>
      <c r="S94">
        <v>2.4047620847642599</v>
      </c>
      <c r="T94">
        <v>0.56618921446022796</v>
      </c>
      <c r="V94">
        <v>29.174647330673</v>
      </c>
      <c r="X94">
        <v>17.283221957228999</v>
      </c>
      <c r="AA94">
        <v>0.16311108283728801</v>
      </c>
      <c r="AB94">
        <v>1.3058608573463901E-2</v>
      </c>
      <c r="AJ94">
        <v>-0.99446692571278095</v>
      </c>
      <c r="AK94">
        <v>0.99230562977584003</v>
      </c>
      <c r="AL94">
        <v>0.93828405094931899</v>
      </c>
      <c r="AM94">
        <v>4.65187467104307E-2</v>
      </c>
      <c r="AN94">
        <v>-4.5116246223445101E-2</v>
      </c>
      <c r="AO94">
        <v>6.15010639686671E-2</v>
      </c>
      <c r="AP94">
        <v>9.7368053196938899E-4</v>
      </c>
    </row>
    <row r="95" spans="1:42" x14ac:dyDescent="0.2">
      <c r="A95">
        <v>203</v>
      </c>
      <c r="B95">
        <v>756</v>
      </c>
      <c r="C95">
        <v>120</v>
      </c>
      <c r="D95">
        <v>0.46757081086333502</v>
      </c>
      <c r="E95">
        <v>0.52320388838924103</v>
      </c>
      <c r="F95">
        <v>3.5391304092928602</v>
      </c>
      <c r="G95">
        <v>-6.8812822644874201</v>
      </c>
      <c r="H95">
        <v>-5.8440084941222388</v>
      </c>
      <c r="I95">
        <v>1.0078936698879399</v>
      </c>
      <c r="J95">
        <v>0.59384054244380802</v>
      </c>
      <c r="K95">
        <v>0.14783402358258299</v>
      </c>
      <c r="L95">
        <v>4.4144596350526411E-5</v>
      </c>
      <c r="M95">
        <v>9.0244357681033792E-7</v>
      </c>
      <c r="N95" s="1">
        <v>6.9189220375269299E-10</v>
      </c>
      <c r="O95" s="1">
        <v>1.6178464902717901E-13</v>
      </c>
      <c r="P95" s="1">
        <v>-7.97466590030576E-13</v>
      </c>
      <c r="Q95">
        <v>50.229028291182601</v>
      </c>
      <c r="R95">
        <v>2.37964904743393E-2</v>
      </c>
      <c r="S95">
        <v>2.5390500872378601</v>
      </c>
      <c r="T95">
        <v>0.58302817945141705</v>
      </c>
      <c r="V95">
        <v>29.378398909368201</v>
      </c>
      <c r="X95">
        <v>17.083617681564299</v>
      </c>
      <c r="AA95">
        <v>0.150335772323624</v>
      </c>
      <c r="AB95">
        <v>1.27445883975391E-2</v>
      </c>
      <c r="AJ95">
        <v>-1.0059206253050601</v>
      </c>
      <c r="AK95">
        <v>0.99284768419818803</v>
      </c>
      <c r="AL95">
        <v>0.94586082132013904</v>
      </c>
      <c r="AM95">
        <v>4.9370422429586697E-2</v>
      </c>
      <c r="AN95">
        <v>-4.7992557089030399E-2</v>
      </c>
      <c r="AO95">
        <v>6.4882958183856698E-2</v>
      </c>
      <c r="AP95">
        <v>9.5129626232210503E-4</v>
      </c>
    </row>
    <row r="96" spans="1:42" x14ac:dyDescent="0.2">
      <c r="A96">
        <v>216</v>
      </c>
      <c r="B96">
        <v>778</v>
      </c>
      <c r="C96">
        <v>105</v>
      </c>
      <c r="D96">
        <v>0.49587642106264601</v>
      </c>
      <c r="E96">
        <v>0.19865988592438</v>
      </c>
      <c r="F96">
        <v>3.5328638911517598</v>
      </c>
      <c r="G96">
        <v>-2.6138261808565835</v>
      </c>
      <c r="H96">
        <v>-2.2067636434435349</v>
      </c>
      <c r="I96">
        <v>0.38725447121062501</v>
      </c>
      <c r="J96">
        <v>0.225453933034336</v>
      </c>
      <c r="K96">
        <v>5.6231967051415199E-2</v>
      </c>
      <c r="L96">
        <v>4.4307594979380991E-5</v>
      </c>
      <c r="M96">
        <v>9.0409845204509365E-7</v>
      </c>
      <c r="N96" s="1">
        <v>2.32683283152229E-10</v>
      </c>
      <c r="O96" s="1">
        <v>5.6624479576109503E-14</v>
      </c>
      <c r="P96" s="1">
        <v>5.113797464905E-13</v>
      </c>
      <c r="Q96">
        <v>50.6905757357558</v>
      </c>
      <c r="R96">
        <v>1.18693268570297E-2</v>
      </c>
      <c r="S96">
        <v>1.65140830086782</v>
      </c>
      <c r="T96">
        <v>0.56316584291695404</v>
      </c>
      <c r="V96">
        <v>29.659740071055801</v>
      </c>
      <c r="X96">
        <v>17.139720307697701</v>
      </c>
      <c r="AA96">
        <v>0.26912993343274</v>
      </c>
      <c r="AB96">
        <v>1.43904814159551E-2</v>
      </c>
      <c r="AJ96">
        <v>-0.990764062849676</v>
      </c>
      <c r="AK96">
        <v>0.98780615635286195</v>
      </c>
      <c r="AL96">
        <v>0.956383586398726</v>
      </c>
      <c r="AM96">
        <v>2.9158509086781598E-2</v>
      </c>
      <c r="AN96">
        <v>-2.8470196654529999E-2</v>
      </c>
      <c r="AO96">
        <v>4.4810209103699497E-2</v>
      </c>
      <c r="AP96">
        <v>1.0757985621365901E-3</v>
      </c>
    </row>
    <row r="97" spans="1:42" x14ac:dyDescent="0.2">
      <c r="A97">
        <v>217</v>
      </c>
      <c r="B97">
        <v>776</v>
      </c>
      <c r="C97">
        <v>105</v>
      </c>
      <c r="D97">
        <v>0.49478196635371602</v>
      </c>
      <c r="E97">
        <v>0.32876253195557598</v>
      </c>
      <c r="F97">
        <v>3.5294191483697701</v>
      </c>
      <c r="G97">
        <v>-4.3368001739741748</v>
      </c>
      <c r="H97">
        <v>-3.6647125334040669</v>
      </c>
      <c r="I97">
        <v>0.64060204982138602</v>
      </c>
      <c r="J97">
        <v>0.373581057678051</v>
      </c>
      <c r="K97">
        <v>9.31491891824269E-2</v>
      </c>
      <c r="L97">
        <v>4.4250869686561175E-5</v>
      </c>
      <c r="M97">
        <v>9.027873516601414E-7</v>
      </c>
      <c r="N97" s="1">
        <v>3.8978097657548999E-10</v>
      </c>
      <c r="O97" s="1">
        <v>9.5525403731465997E-14</v>
      </c>
      <c r="P97" s="1">
        <v>7.0478258039544299E-13</v>
      </c>
      <c r="Q97">
        <v>50.712827865337097</v>
      </c>
      <c r="R97">
        <v>1.4595070338528001E-2</v>
      </c>
      <c r="S97">
        <v>1.75420577859312</v>
      </c>
      <c r="T97">
        <v>0.55759789307500895</v>
      </c>
      <c r="V97">
        <v>29.352217706458301</v>
      </c>
      <c r="X97">
        <v>17.339017326991701</v>
      </c>
      <c r="AA97">
        <v>0.25537763082992199</v>
      </c>
      <c r="AB97">
        <v>1.4160728376174599E-2</v>
      </c>
      <c r="AJ97">
        <v>-0.98218685733837896</v>
      </c>
      <c r="AK97">
        <v>0.98841000154364</v>
      </c>
      <c r="AL97">
        <v>0.94495529331900097</v>
      </c>
      <c r="AM97">
        <v>3.1612018756543001E-2</v>
      </c>
      <c r="AN97">
        <v>-3.0766990394946798E-2</v>
      </c>
      <c r="AO97">
        <v>4.6919602720524499E-2</v>
      </c>
      <c r="AP97">
        <v>1.0569313936166201E-3</v>
      </c>
    </row>
    <row r="98" spans="1:42" x14ac:dyDescent="0.2">
      <c r="A98">
        <v>218</v>
      </c>
      <c r="B98">
        <v>774</v>
      </c>
      <c r="C98">
        <v>105</v>
      </c>
      <c r="D98">
        <v>0.493683330945906</v>
      </c>
      <c r="E98">
        <v>0.38965543155718302</v>
      </c>
      <c r="F98">
        <v>3.5280557976178</v>
      </c>
      <c r="G98">
        <v>-5.1467722812883379</v>
      </c>
      <c r="H98">
        <v>-4.3523010948499952</v>
      </c>
      <c r="I98">
        <v>0.75869854981458296</v>
      </c>
      <c r="J98">
        <v>0.44307362582908599</v>
      </c>
      <c r="K98">
        <v>0.11044480413838199</v>
      </c>
      <c r="L98">
        <v>4.4213658963980501E-5</v>
      </c>
      <c r="M98">
        <v>9.020321971828974E-7</v>
      </c>
      <c r="N98" s="1">
        <v>4.6784600038786702E-10</v>
      </c>
      <c r="O98" s="1">
        <v>1.14957028758504E-13</v>
      </c>
      <c r="P98" s="1">
        <v>6.5408848847034398E-13</v>
      </c>
      <c r="Q98">
        <v>50.694074277631302</v>
      </c>
      <c r="R98">
        <v>1.67254006002849E-2</v>
      </c>
      <c r="S98">
        <v>1.8605956926182801</v>
      </c>
      <c r="T98">
        <v>0.55801098704541996</v>
      </c>
      <c r="V98">
        <v>29.183374206149701</v>
      </c>
      <c r="X98">
        <v>17.435329239367299</v>
      </c>
      <c r="AA98">
        <v>0.23795020169464801</v>
      </c>
      <c r="AB98">
        <v>1.3939994892923401E-2</v>
      </c>
      <c r="AJ98">
        <v>-0.97909408264687203</v>
      </c>
      <c r="AK98">
        <v>0.98915485610153797</v>
      </c>
      <c r="AL98">
        <v>0.93869007417056405</v>
      </c>
      <c r="AM98">
        <v>3.4059308038156197E-2</v>
      </c>
      <c r="AN98">
        <v>-3.3091792382697202E-2</v>
      </c>
      <c r="AO98">
        <v>4.9242099126307198E-2</v>
      </c>
      <c r="AP98">
        <v>1.0395375930023799E-3</v>
      </c>
    </row>
    <row r="99" spans="1:42" x14ac:dyDescent="0.2">
      <c r="A99">
        <v>219</v>
      </c>
      <c r="B99">
        <v>772</v>
      </c>
      <c r="C99">
        <v>105</v>
      </c>
      <c r="D99">
        <v>0.49258049083863298</v>
      </c>
      <c r="E99">
        <v>0.42553037573272101</v>
      </c>
      <c r="F99">
        <v>3.5276645119384602</v>
      </c>
      <c r="G99">
        <v>-5.6245012065088726</v>
      </c>
      <c r="H99">
        <v>-4.7593079078896139</v>
      </c>
      <c r="I99">
        <v>0.82781734547123198</v>
      </c>
      <c r="J99">
        <v>0.48404524734454801</v>
      </c>
      <c r="K99">
        <v>0.120626656614489</v>
      </c>
      <c r="L99">
        <v>4.4185750625543911E-5</v>
      </c>
      <c r="M99">
        <v>9.015544993541092E-7</v>
      </c>
      <c r="N99" s="1">
        <v>5.1740010606545603E-10</v>
      </c>
      <c r="O99" s="1">
        <v>1.2713706274876699E-13</v>
      </c>
      <c r="P99" s="1">
        <v>5.1895767363975703E-13</v>
      </c>
      <c r="Q99">
        <v>50.657714853946999</v>
      </c>
      <c r="R99">
        <v>1.8511736555730501E-2</v>
      </c>
      <c r="S99">
        <v>1.9651160584824501</v>
      </c>
      <c r="T99">
        <v>0.560521931187144</v>
      </c>
      <c r="V99">
        <v>29.0817457637811</v>
      </c>
      <c r="X99">
        <v>17.481367780234301</v>
      </c>
      <c r="AA99">
        <v>0.221290337337577</v>
      </c>
      <c r="AB99">
        <v>1.37315384746204E-2</v>
      </c>
      <c r="AJ99">
        <v>-0.97845479057513296</v>
      </c>
      <c r="AK99">
        <v>0.98986233648178101</v>
      </c>
      <c r="AL99">
        <v>0.93492272587741398</v>
      </c>
      <c r="AM99">
        <v>3.6431945791023997E-2</v>
      </c>
      <c r="AN99">
        <v>-3.5361666419073699E-2</v>
      </c>
      <c r="AO99">
        <v>5.1576001968686398E-2</v>
      </c>
      <c r="AP99">
        <v>1.0234468753009E-3</v>
      </c>
    </row>
    <row r="100" spans="1:42" x14ac:dyDescent="0.2">
      <c r="A100">
        <v>220</v>
      </c>
      <c r="B100">
        <v>770</v>
      </c>
      <c r="C100">
        <v>105</v>
      </c>
      <c r="D100">
        <v>0.49147342184729198</v>
      </c>
      <c r="E100">
        <v>0.44979079264725802</v>
      </c>
      <c r="F100">
        <v>3.5277952378592601</v>
      </c>
      <c r="G100">
        <v>-5.9472394550741656</v>
      </c>
      <c r="H100">
        <v>-5.0353569786251855</v>
      </c>
      <c r="I100">
        <v>0.87416237017589005</v>
      </c>
      <c r="J100">
        <v>0.51174175337222405</v>
      </c>
      <c r="K100">
        <v>0.12749912121322499</v>
      </c>
      <c r="L100">
        <v>4.4162683505350966E-5</v>
      </c>
      <c r="M100">
        <v>9.0123063167530982E-7</v>
      </c>
      <c r="N100" s="1">
        <v>5.5397074837005604E-10</v>
      </c>
      <c r="O100" s="1">
        <v>1.3585090448179001E-13</v>
      </c>
      <c r="P100" s="1">
        <v>3.4735033938549901E-13</v>
      </c>
      <c r="Q100">
        <v>50.612564302915203</v>
      </c>
      <c r="R100">
        <v>2.0083362294622101E-2</v>
      </c>
      <c r="S100">
        <v>2.0671522955030599</v>
      </c>
      <c r="T100">
        <v>0.56381301334039202</v>
      </c>
      <c r="V100">
        <v>29.017259133996301</v>
      </c>
      <c r="X100">
        <v>17.4994445164835</v>
      </c>
      <c r="AA100">
        <v>0.206149070896397</v>
      </c>
      <c r="AB100">
        <v>1.35343045704678E-2</v>
      </c>
      <c r="AJ100">
        <v>-0.97908608613745496</v>
      </c>
      <c r="AK100">
        <v>0.99050386592179396</v>
      </c>
      <c r="AL100">
        <v>0.93253433417076403</v>
      </c>
      <c r="AM100">
        <v>3.8735455099070101E-2</v>
      </c>
      <c r="AN100">
        <v>-3.7574702629882301E-2</v>
      </c>
      <c r="AO100">
        <v>5.3878727970319402E-2</v>
      </c>
      <c r="AP100">
        <v>1.00840560538857E-3</v>
      </c>
    </row>
    <row r="101" spans="1:42" x14ac:dyDescent="0.2">
      <c r="A101">
        <v>221</v>
      </c>
      <c r="B101">
        <v>768</v>
      </c>
      <c r="C101">
        <v>105</v>
      </c>
      <c r="D101">
        <v>0.49036209960140498</v>
      </c>
      <c r="E101">
        <v>0.46772028163239598</v>
      </c>
      <c r="F101">
        <v>3.52824067356195</v>
      </c>
      <c r="G101">
        <v>-6.1851682061725874</v>
      </c>
      <c r="H101">
        <v>-5.2397268682120322</v>
      </c>
      <c r="I101">
        <v>0.90807408919037103</v>
      </c>
      <c r="J101">
        <v>0.53218651845401899</v>
      </c>
      <c r="K101">
        <v>0.13256473265476101</v>
      </c>
      <c r="L101">
        <v>4.4142303784653179E-5</v>
      </c>
      <c r="M101">
        <v>9.0100028452754663E-7</v>
      </c>
      <c r="N101" s="1">
        <v>5.8378265650869602E-10</v>
      </c>
      <c r="O101" s="1">
        <v>1.4261881852199901E-13</v>
      </c>
      <c r="P101" s="1">
        <v>1.57115465577143E-13</v>
      </c>
      <c r="Q101">
        <v>50.562426405508802</v>
      </c>
      <c r="R101">
        <v>2.1509849716822901E-2</v>
      </c>
      <c r="S101">
        <v>2.1670096585420202</v>
      </c>
      <c r="T101">
        <v>0.56737010956095701</v>
      </c>
      <c r="V101">
        <v>28.975675627364701</v>
      </c>
      <c r="X101">
        <v>17.500145851178701</v>
      </c>
      <c r="AA101">
        <v>0.192515986393268</v>
      </c>
      <c r="AB101">
        <v>1.3346511734499101E-2</v>
      </c>
      <c r="AJ101">
        <v>-0.98045909713330603</v>
      </c>
      <c r="AK101">
        <v>0.99108110616887801</v>
      </c>
      <c r="AL101">
        <v>0.93099582192125596</v>
      </c>
      <c r="AM101">
        <v>4.09846452267306E-2</v>
      </c>
      <c r="AN101">
        <v>-3.9741716322280199E-2</v>
      </c>
      <c r="AO101">
        <v>5.6145042341612897E-2</v>
      </c>
      <c r="AP101">
        <v>9.9419779710788496E-4</v>
      </c>
    </row>
    <row r="102" spans="1:42" x14ac:dyDescent="0.2">
      <c r="A102">
        <v>222</v>
      </c>
      <c r="B102">
        <v>766</v>
      </c>
      <c r="C102">
        <v>105</v>
      </c>
      <c r="D102">
        <v>0.4892464995429</v>
      </c>
      <c r="E102">
        <v>0.48181025038817399</v>
      </c>
      <c r="F102">
        <v>3.5288932731110298</v>
      </c>
      <c r="G102">
        <v>-6.3714905929606767</v>
      </c>
      <c r="H102">
        <v>-5.4004751169931726</v>
      </c>
      <c r="I102">
        <v>0.93443244571765605</v>
      </c>
      <c r="J102">
        <v>0.54822480040966304</v>
      </c>
      <c r="K102">
        <v>0.13653296178136101</v>
      </c>
      <c r="L102">
        <v>4.4123449193662834E-5</v>
      </c>
      <c r="M102">
        <v>9.0083071055852001E-7</v>
      </c>
      <c r="N102" s="1">
        <v>6.0982380087621199E-10</v>
      </c>
      <c r="O102" s="1">
        <v>1.4816952021563299E-13</v>
      </c>
      <c r="P102" s="1">
        <v>-4.3989691659153002E-14</v>
      </c>
      <c r="Q102">
        <v>50.509149291983299</v>
      </c>
      <c r="R102">
        <v>2.2832010925056399E-2</v>
      </c>
      <c r="S102">
        <v>2.26512889050499</v>
      </c>
      <c r="T102">
        <v>0.57097035812321295</v>
      </c>
      <c r="V102">
        <v>28.9494262160589</v>
      </c>
      <c r="X102">
        <v>17.489102062562999</v>
      </c>
      <c r="AA102">
        <v>0.180224656957056</v>
      </c>
      <c r="AB102">
        <v>1.3166512884239199E-2</v>
      </c>
      <c r="AJ102">
        <v>-0.98230671491900601</v>
      </c>
      <c r="AK102">
        <v>0.991601612800734</v>
      </c>
      <c r="AL102">
        <v>0.93002617295391499</v>
      </c>
      <c r="AM102">
        <v>4.3193099987647303E-2</v>
      </c>
      <c r="AN102">
        <v>-4.18739501608009E-2</v>
      </c>
      <c r="AO102">
        <v>5.8379122994034298E-2</v>
      </c>
      <c r="AP102">
        <v>9.80656343476377E-4</v>
      </c>
    </row>
    <row r="103" spans="1:42" x14ac:dyDescent="0.2">
      <c r="A103">
        <v>223</v>
      </c>
      <c r="B103">
        <v>764</v>
      </c>
      <c r="C103">
        <v>105</v>
      </c>
      <c r="D103">
        <v>0.48812659692426702</v>
      </c>
      <c r="E103">
        <v>0.49339107600245102</v>
      </c>
      <c r="F103">
        <v>3.5296919138741298</v>
      </c>
      <c r="G103">
        <v>-6.5239831296741224</v>
      </c>
      <c r="H103">
        <v>-5.5326285051862456</v>
      </c>
      <c r="I103">
        <v>0.95584498335619195</v>
      </c>
      <c r="J103">
        <v>0.56137812739931203</v>
      </c>
      <c r="K103">
        <v>0.13978304283812501</v>
      </c>
      <c r="L103">
        <v>4.4105431159338516E-5</v>
      </c>
      <c r="M103">
        <v>9.0070252655890989E-7</v>
      </c>
      <c r="N103" s="1">
        <v>6.3372116414444997E-10</v>
      </c>
      <c r="O103" s="1">
        <v>1.5289775515897301E-13</v>
      </c>
      <c r="P103" s="1">
        <v>-2.5220709490560502E-13</v>
      </c>
      <c r="Q103">
        <v>50.453712278283703</v>
      </c>
      <c r="R103">
        <v>2.4075607810138101E-2</v>
      </c>
      <c r="S103">
        <v>2.36191869702155</v>
      </c>
      <c r="T103">
        <v>0.57451136633726196</v>
      </c>
      <c r="V103">
        <v>28.9341083033916</v>
      </c>
      <c r="X103">
        <v>17.469585864675501</v>
      </c>
      <c r="AA103">
        <v>0.169094943142065</v>
      </c>
      <c r="AB103">
        <v>1.2992939337986301E-2</v>
      </c>
      <c r="AJ103">
        <v>-0.984481013721899</v>
      </c>
      <c r="AK103">
        <v>0.99207323468166497</v>
      </c>
      <c r="AL103">
        <v>0.92946202587558602</v>
      </c>
      <c r="AM103">
        <v>4.5371853395863602E-2</v>
      </c>
      <c r="AN103">
        <v>-4.3980960915756998E-2</v>
      </c>
      <c r="AO103">
        <v>6.0587207295248698E-2</v>
      </c>
      <c r="AP103">
        <v>9.6765338929241196E-4</v>
      </c>
    </row>
    <row r="104" spans="1:42" x14ac:dyDescent="0.2">
      <c r="A104">
        <v>224</v>
      </c>
      <c r="B104">
        <v>762</v>
      </c>
      <c r="C104">
        <v>105</v>
      </c>
      <c r="D104">
        <v>0.48700236680674502</v>
      </c>
      <c r="E104">
        <v>0.50324034939672102</v>
      </c>
      <c r="F104">
        <v>3.5305993590798099</v>
      </c>
      <c r="G104">
        <v>-6.6530580320620087</v>
      </c>
      <c r="H104">
        <v>-5.6449911008545302</v>
      </c>
      <c r="I104">
        <v>0.97383657557598102</v>
      </c>
      <c r="J104">
        <v>0.57253689545261499</v>
      </c>
      <c r="K104">
        <v>0.14253680415550701</v>
      </c>
      <c r="L104">
        <v>4.4087808557530188E-5</v>
      </c>
      <c r="M104">
        <v>9.0060345588707446E-7</v>
      </c>
      <c r="N104" s="1">
        <v>6.5644749587724598E-10</v>
      </c>
      <c r="O104" s="1">
        <v>1.5703708530368701E-13</v>
      </c>
      <c r="P104" s="1">
        <v>-4.6556565206024005E-13</v>
      </c>
      <c r="Q104">
        <v>50.396667323652203</v>
      </c>
      <c r="R104">
        <v>2.5257872332839701E-2</v>
      </c>
      <c r="S104">
        <v>2.4577265153408501</v>
      </c>
      <c r="T104">
        <v>0.57794566238135003</v>
      </c>
      <c r="V104">
        <v>28.9269775958625</v>
      </c>
      <c r="X104">
        <v>17.4436337597005</v>
      </c>
      <c r="AA104">
        <v>0.158966589395138</v>
      </c>
      <c r="AB104">
        <v>1.2824681334500199E-2</v>
      </c>
      <c r="AJ104">
        <v>-0.98689418559106001</v>
      </c>
      <c r="AK104">
        <v>0.99250285178911501</v>
      </c>
      <c r="AL104">
        <v>0.92920159789963197</v>
      </c>
      <c r="AM104">
        <v>4.7529695022035599E-2</v>
      </c>
      <c r="AN104">
        <v>-4.60705501832019E-2</v>
      </c>
      <c r="AO104">
        <v>6.2775500983055094E-2</v>
      </c>
      <c r="AP104">
        <v>9.5509008042325802E-4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60C26-831F-44A3-A6A4-7A4679CF7867}">
  <sheetPr codeName="Sheet9"/>
  <dimension ref="A1:AL159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13</v>
      </c>
      <c r="B2">
        <v>736</v>
      </c>
      <c r="C2">
        <v>300</v>
      </c>
      <c r="D2">
        <v>0.25942674528068399</v>
      </c>
      <c r="E2">
        <v>0.29565589696335798</v>
      </c>
      <c r="F2">
        <v>2.5267130983640498</v>
      </c>
      <c r="G2">
        <v>-4.6356651698204692</v>
      </c>
      <c r="H2">
        <v>-4.0276066066165184</v>
      </c>
      <c r="I2">
        <v>0.60254527394733304</v>
      </c>
      <c r="J2">
        <v>0.35135598847381699</v>
      </c>
      <c r="K2">
        <v>0.117012056950503</v>
      </c>
      <c r="L2">
        <v>2.842349388416588E-5</v>
      </c>
      <c r="M2">
        <v>1.7851120687225007E-6</v>
      </c>
      <c r="N2" s="1">
        <v>-3.2564685458709402E-9</v>
      </c>
      <c r="O2" s="1">
        <v>1.1140381937777E-12</v>
      </c>
      <c r="P2" s="1">
        <v>1.1722382471397299E-11</v>
      </c>
      <c r="Q2">
        <v>65.790408859668901</v>
      </c>
      <c r="S2">
        <v>18.9087087738748</v>
      </c>
      <c r="AA2">
        <v>0.248585853239674</v>
      </c>
      <c r="AB2">
        <v>3.8469598102403499</v>
      </c>
      <c r="AC2">
        <v>11.2053367029761</v>
      </c>
      <c r="AJ2">
        <v>0.33874163190138101</v>
      </c>
      <c r="AK2">
        <v>1.2095898289490301E-2</v>
      </c>
      <c r="AL2">
        <v>0.64916246980912795</v>
      </c>
    </row>
    <row r="3" spans="1:38" x14ac:dyDescent="0.2">
      <c r="A3">
        <v>14</v>
      </c>
      <c r="B3">
        <v>734</v>
      </c>
      <c r="C3">
        <v>300</v>
      </c>
      <c r="D3">
        <v>0.25781710768008598</v>
      </c>
      <c r="E3">
        <v>24.631902582307301</v>
      </c>
      <c r="F3">
        <v>2.5270678575907799</v>
      </c>
      <c r="G3">
        <v>-386.46519448873477</v>
      </c>
      <c r="H3">
        <v>-335.90202348204372</v>
      </c>
      <c r="I3">
        <v>50.204210898764899</v>
      </c>
      <c r="J3">
        <v>29.336073067594199</v>
      </c>
      <c r="K3">
        <v>9.7472264182848303</v>
      </c>
      <c r="L3">
        <v>2.8671078797918688E-5</v>
      </c>
      <c r="M3">
        <v>1.7876321581097323E-6</v>
      </c>
      <c r="N3" s="1">
        <v>-3.1087030028972599E-7</v>
      </c>
      <c r="O3" s="1">
        <v>9.2354969225162998E-11</v>
      </c>
      <c r="P3" s="1">
        <v>1.0900312795345799E-9</v>
      </c>
      <c r="Q3">
        <v>65.852957447594207</v>
      </c>
      <c r="S3">
        <v>18.9344837304699</v>
      </c>
      <c r="AA3">
        <v>0.25525559844666101</v>
      </c>
      <c r="AB3">
        <v>4.0539183843976998</v>
      </c>
      <c r="AC3">
        <v>10.9033848390913</v>
      </c>
      <c r="AJ3">
        <v>0.35658901204176002</v>
      </c>
      <c r="AK3">
        <v>1.2407349676009601E-2</v>
      </c>
      <c r="AL3">
        <v>0.63100363828223005</v>
      </c>
    </row>
    <row r="4" spans="1:38" x14ac:dyDescent="0.2">
      <c r="A4">
        <v>15</v>
      </c>
      <c r="B4">
        <v>732</v>
      </c>
      <c r="C4">
        <v>300</v>
      </c>
      <c r="D4">
        <v>0.256201064517732</v>
      </c>
      <c r="E4">
        <v>30.753556626416099</v>
      </c>
      <c r="F4">
        <v>2.52713966273997</v>
      </c>
      <c r="G4">
        <v>-482.41734704536287</v>
      </c>
      <c r="H4">
        <v>-419.4802991722197</v>
      </c>
      <c r="I4">
        <v>62.614582771868001</v>
      </c>
      <c r="J4">
        <v>36.656341023586897</v>
      </c>
      <c r="K4">
        <v>12.1693142171147</v>
      </c>
      <c r="L4">
        <v>2.8758272148489764E-5</v>
      </c>
      <c r="M4">
        <v>1.7882956731716506E-6</v>
      </c>
      <c r="N4" s="1">
        <v>-4.1899868143535298E-7</v>
      </c>
      <c r="O4" s="1">
        <v>1.1505852296334E-10</v>
      </c>
      <c r="P4" s="1">
        <v>1.4483670244726301E-9</v>
      </c>
      <c r="Q4">
        <v>65.865568489735097</v>
      </c>
      <c r="S4">
        <v>18.930893187700899</v>
      </c>
      <c r="AA4">
        <v>0.249350749618442</v>
      </c>
      <c r="AB4">
        <v>4.0726083409603397</v>
      </c>
      <c r="AC4">
        <v>10.881579231985</v>
      </c>
      <c r="AJ4">
        <v>0.358198967523986</v>
      </c>
      <c r="AK4">
        <v>1.2119177654033499E-2</v>
      </c>
      <c r="AL4">
        <v>0.62968185482198002</v>
      </c>
    </row>
    <row r="5" spans="1:38" x14ac:dyDescent="0.2">
      <c r="A5">
        <v>16</v>
      </c>
      <c r="B5">
        <v>730</v>
      </c>
      <c r="C5">
        <v>300</v>
      </c>
      <c r="D5">
        <v>0.25457857748093798</v>
      </c>
      <c r="E5">
        <v>32.771864363103198</v>
      </c>
      <c r="F5">
        <v>2.5272070872377999</v>
      </c>
      <c r="G5">
        <v>-513.92146357205445</v>
      </c>
      <c r="H5">
        <v>-447.06882163642615</v>
      </c>
      <c r="I5">
        <v>66.642717375894307</v>
      </c>
      <c r="J5">
        <v>39.087719201262502</v>
      </c>
      <c r="K5">
        <v>12.967621264042201</v>
      </c>
      <c r="L5">
        <v>2.8826166478626018E-5</v>
      </c>
      <c r="M5">
        <v>1.7886608690794002E-6</v>
      </c>
      <c r="N5" s="1">
        <v>-4.7806465499625096E-7</v>
      </c>
      <c r="O5" s="1">
        <v>1.2237399674812799E-10</v>
      </c>
      <c r="P5" s="1">
        <v>1.6324032249492699E-9</v>
      </c>
      <c r="Q5">
        <v>65.868552721249898</v>
      </c>
      <c r="S5">
        <v>18.9257183600498</v>
      </c>
      <c r="AA5">
        <v>0.24438513419330299</v>
      </c>
      <c r="AB5">
        <v>4.0656920574218196</v>
      </c>
      <c r="AC5">
        <v>10.895651727085101</v>
      </c>
      <c r="AJ5">
        <v>0.35760328980103601</v>
      </c>
      <c r="AK5">
        <v>1.1878253757534899E-2</v>
      </c>
      <c r="AL5">
        <v>0.63051845644142801</v>
      </c>
    </row>
    <row r="6" spans="1:38" x14ac:dyDescent="0.2">
      <c r="A6">
        <v>17</v>
      </c>
      <c r="B6">
        <v>728</v>
      </c>
      <c r="C6">
        <v>300</v>
      </c>
      <c r="D6">
        <v>0.25294960795086002</v>
      </c>
      <c r="E6">
        <v>33.8174571803549</v>
      </c>
      <c r="F6">
        <v>2.5272746161144601</v>
      </c>
      <c r="G6">
        <v>-530.1431363074845</v>
      </c>
      <c r="H6">
        <v>-461.38166423571033</v>
      </c>
      <c r="I6">
        <v>68.682487211481003</v>
      </c>
      <c r="J6">
        <v>40.361344051503401</v>
      </c>
      <c r="K6">
        <v>13.380998236094801</v>
      </c>
      <c r="L6">
        <v>2.8892638453873178E-5</v>
      </c>
      <c r="M6">
        <v>1.7889611905659071E-6</v>
      </c>
      <c r="N6" s="1">
        <v>-5.2685282224695505E-7</v>
      </c>
      <c r="O6" s="1">
        <v>1.26033288615018E-10</v>
      </c>
      <c r="P6" s="1">
        <v>1.7787080052183801E-9</v>
      </c>
      <c r="Q6">
        <v>65.869108774782006</v>
      </c>
      <c r="S6">
        <v>18.920202109247001</v>
      </c>
      <c r="AA6">
        <v>0.23970442330911901</v>
      </c>
      <c r="AB6">
        <v>4.0524696242626703</v>
      </c>
      <c r="AC6">
        <v>10.918515068399101</v>
      </c>
      <c r="AJ6">
        <v>0.35646432839088099</v>
      </c>
      <c r="AK6">
        <v>1.16515350664631E-2</v>
      </c>
      <c r="AL6">
        <v>0.63188413654265496</v>
      </c>
    </row>
    <row r="7" spans="1:38" x14ac:dyDescent="0.2">
      <c r="A7">
        <v>18</v>
      </c>
      <c r="B7">
        <v>726</v>
      </c>
      <c r="C7">
        <v>300</v>
      </c>
      <c r="D7">
        <v>0.251314116999449</v>
      </c>
      <c r="E7">
        <v>34.460906494281602</v>
      </c>
      <c r="F7">
        <v>2.5273432929608299</v>
      </c>
      <c r="G7">
        <v>-540.04623255905449</v>
      </c>
      <c r="H7">
        <v>-470.20571346548633</v>
      </c>
      <c r="I7">
        <v>69.899934037500103</v>
      </c>
      <c r="J7">
        <v>41.157621394219198</v>
      </c>
      <c r="K7">
        <v>13.635229764892699</v>
      </c>
      <c r="L7">
        <v>2.8961340234974169E-5</v>
      </c>
      <c r="M7">
        <v>1.7892425771033627E-6</v>
      </c>
      <c r="N7" s="1">
        <v>-5.72461545444673E-7</v>
      </c>
      <c r="O7" s="1">
        <v>1.28173645871611E-10</v>
      </c>
      <c r="P7" s="1">
        <v>1.9122258977828301E-9</v>
      </c>
      <c r="Q7">
        <v>65.868635024857795</v>
      </c>
      <c r="S7">
        <v>18.914584721423999</v>
      </c>
      <c r="AA7">
        <v>0.235180563905933</v>
      </c>
      <c r="AB7">
        <v>4.0366871854697797</v>
      </c>
      <c r="AC7">
        <v>10.944912504342399</v>
      </c>
      <c r="AJ7">
        <v>0.355104642359718</v>
      </c>
      <c r="AK7">
        <v>1.1432559535801299E-2</v>
      </c>
      <c r="AL7">
        <v>0.63346279810448003</v>
      </c>
    </row>
    <row r="8" spans="1:38" x14ac:dyDescent="0.2">
      <c r="A8">
        <v>19</v>
      </c>
      <c r="B8">
        <v>724</v>
      </c>
      <c r="C8">
        <v>300</v>
      </c>
      <c r="D8">
        <v>0.249672065386352</v>
      </c>
      <c r="E8">
        <v>34.894786852620697</v>
      </c>
      <c r="F8">
        <v>2.5274134988767498</v>
      </c>
      <c r="G8">
        <v>-546.65663461121676</v>
      </c>
      <c r="H8">
        <v>-476.1693603894791</v>
      </c>
      <c r="I8">
        <v>70.688737122536807</v>
      </c>
      <c r="J8">
        <v>41.706290124458398</v>
      </c>
      <c r="K8">
        <v>13.8065207248947</v>
      </c>
      <c r="L8">
        <v>2.9033639989396834E-5</v>
      </c>
      <c r="M8">
        <v>1.7895208468617273E-6</v>
      </c>
      <c r="N8" s="1">
        <v>-6.1721059643667597E-7</v>
      </c>
      <c r="O8" s="1">
        <v>1.2951711501882599E-10</v>
      </c>
      <c r="P8" s="1">
        <v>2.04112462099934E-9</v>
      </c>
      <c r="Q8">
        <v>65.867601168710294</v>
      </c>
      <c r="S8">
        <v>18.908946226545801</v>
      </c>
      <c r="AA8">
        <v>0.230769984096131</v>
      </c>
      <c r="AB8">
        <v>4.0196012451007803</v>
      </c>
      <c r="AC8">
        <v>10.9730813755468</v>
      </c>
      <c r="AJ8">
        <v>0.35363240678640701</v>
      </c>
      <c r="AK8">
        <v>1.12191303825379E-2</v>
      </c>
      <c r="AL8">
        <v>0.63514846283105397</v>
      </c>
    </row>
    <row r="9" spans="1:38" x14ac:dyDescent="0.2">
      <c r="A9">
        <v>32</v>
      </c>
      <c r="B9">
        <v>736</v>
      </c>
      <c r="C9">
        <v>285</v>
      </c>
      <c r="D9">
        <v>0.27577713917653601</v>
      </c>
      <c r="E9">
        <v>25.843595982128999</v>
      </c>
      <c r="F9">
        <v>2.5263734276304501</v>
      </c>
      <c r="G9">
        <v>-405.86086468281076</v>
      </c>
      <c r="H9">
        <v>-352.61732341907299</v>
      </c>
      <c r="I9">
        <v>52.760780125588397</v>
      </c>
      <c r="J9">
        <v>30.771594396844801</v>
      </c>
      <c r="K9">
        <v>10.229523355289601</v>
      </c>
      <c r="L9">
        <v>2.864388110966728E-5</v>
      </c>
      <c r="M9">
        <v>1.7889276105853399E-6</v>
      </c>
      <c r="N9" s="1">
        <v>-3.0516189212395199E-7</v>
      </c>
      <c r="O9" s="1">
        <v>9.7017509656998795E-11</v>
      </c>
      <c r="P9" s="1">
        <v>1.0843651156951399E-9</v>
      </c>
      <c r="Q9">
        <v>65.870216911295699</v>
      </c>
      <c r="S9">
        <v>18.9456999912097</v>
      </c>
      <c r="AA9">
        <v>0.26048186849955302</v>
      </c>
      <c r="AB9">
        <v>4.1217850595835603</v>
      </c>
      <c r="AC9">
        <v>10.801816169411399</v>
      </c>
      <c r="AJ9">
        <v>0.362433383066745</v>
      </c>
      <c r="AK9">
        <v>1.2657010519530699E-2</v>
      </c>
      <c r="AL9">
        <v>0.62490960641372295</v>
      </c>
    </row>
    <row r="10" spans="1:38" x14ac:dyDescent="0.2">
      <c r="A10">
        <v>33</v>
      </c>
      <c r="B10">
        <v>734</v>
      </c>
      <c r="C10">
        <v>285</v>
      </c>
      <c r="D10">
        <v>0.27419997021297599</v>
      </c>
      <c r="E10">
        <v>31.0887960372743</v>
      </c>
      <c r="F10">
        <v>2.5264410911932602</v>
      </c>
      <c r="G10">
        <v>-488.10709796014999</v>
      </c>
      <c r="H10">
        <v>-424.25753611341599</v>
      </c>
      <c r="I10">
        <v>63.396278455775203</v>
      </c>
      <c r="J10">
        <v>37.040546407834398</v>
      </c>
      <c r="K10">
        <v>12.3053714355915</v>
      </c>
      <c r="L10">
        <v>2.8712295095920009E-5</v>
      </c>
      <c r="M10">
        <v>1.7893951146376909E-6</v>
      </c>
      <c r="N10" s="1">
        <v>-3.94707503303198E-7</v>
      </c>
      <c r="O10" s="1">
        <v>1.1649456561459599E-10</v>
      </c>
      <c r="P10" s="1">
        <v>1.3827324649888101E-9</v>
      </c>
      <c r="Q10">
        <v>65.877213816624604</v>
      </c>
      <c r="S10">
        <v>18.941092937400398</v>
      </c>
      <c r="AA10">
        <v>0.25504836972975797</v>
      </c>
      <c r="AB10">
        <v>4.1252992974310603</v>
      </c>
      <c r="AC10">
        <v>10.801345578814001</v>
      </c>
      <c r="AJ10">
        <v>0.362735948836726</v>
      </c>
      <c r="AK10">
        <v>1.23927725137722E-2</v>
      </c>
      <c r="AL10">
        <v>0.62487127864950098</v>
      </c>
    </row>
    <row r="11" spans="1:38" x14ac:dyDescent="0.2">
      <c r="A11">
        <v>34</v>
      </c>
      <c r="B11">
        <v>732</v>
      </c>
      <c r="C11">
        <v>285</v>
      </c>
      <c r="D11">
        <v>0.27261652489678301</v>
      </c>
      <c r="E11">
        <v>32.973541233192798</v>
      </c>
      <c r="F11">
        <v>2.5265051531021601</v>
      </c>
      <c r="G11">
        <v>-517.53100395822366</v>
      </c>
      <c r="H11">
        <v>-450.02870571456026</v>
      </c>
      <c r="I11">
        <v>67.156442564456299</v>
      </c>
      <c r="J11">
        <v>39.3084996993448</v>
      </c>
      <c r="K11">
        <v>13.0510484780553</v>
      </c>
      <c r="L11">
        <v>2.8771234064367185E-5</v>
      </c>
      <c r="M11">
        <v>1.7896930254816625E-6</v>
      </c>
      <c r="N11" s="1">
        <v>-4.4792826966167899E-7</v>
      </c>
      <c r="O11" s="1">
        <v>1.2334186556928301E-10</v>
      </c>
      <c r="P11" s="1">
        <v>1.5493062932E-9</v>
      </c>
      <c r="Q11">
        <v>65.878591548158795</v>
      </c>
      <c r="S11">
        <v>18.9355611240819</v>
      </c>
      <c r="AA11">
        <v>0.25016309228199701</v>
      </c>
      <c r="AB11">
        <v>4.1138671304847803</v>
      </c>
      <c r="AC11">
        <v>10.8218171049924</v>
      </c>
      <c r="AJ11">
        <v>0.36175181221607899</v>
      </c>
      <c r="AK11">
        <v>1.2156106088742799E-2</v>
      </c>
      <c r="AL11">
        <v>0.62609208169517705</v>
      </c>
    </row>
    <row r="12" spans="1:38" x14ac:dyDescent="0.2">
      <c r="A12">
        <v>35</v>
      </c>
      <c r="B12">
        <v>730</v>
      </c>
      <c r="C12">
        <v>285</v>
      </c>
      <c r="D12">
        <v>0.27102676568808798</v>
      </c>
      <c r="E12">
        <v>33.979264588745401</v>
      </c>
      <c r="F12">
        <v>2.5265695470374001</v>
      </c>
      <c r="G12">
        <v>-533.13488945012909</v>
      </c>
      <c r="H12">
        <v>-463.79994803668831</v>
      </c>
      <c r="I12">
        <v>69.117222163625399</v>
      </c>
      <c r="J12">
        <v>40.531159419603597</v>
      </c>
      <c r="K12">
        <v>13.448774694759001</v>
      </c>
      <c r="L12">
        <v>2.8830678786122857E-5</v>
      </c>
      <c r="M12">
        <v>1.7899533969078251E-6</v>
      </c>
      <c r="N12" s="1">
        <v>-4.9304636817163602E-7</v>
      </c>
      <c r="O12" s="1">
        <v>1.2687590681585499E-10</v>
      </c>
      <c r="P12" s="1">
        <v>1.68517484501807E-9</v>
      </c>
      <c r="Q12">
        <v>65.878406547687504</v>
      </c>
      <c r="S12">
        <v>18.929829109238401</v>
      </c>
      <c r="AA12">
        <v>0.24547728867587901</v>
      </c>
      <c r="AB12">
        <v>4.0984276447290204</v>
      </c>
      <c r="AC12">
        <v>10.847859409669001</v>
      </c>
      <c r="AJ12">
        <v>0.36042250876320497</v>
      </c>
      <c r="AK12">
        <v>1.19293489133852E-2</v>
      </c>
      <c r="AL12">
        <v>0.62764814232340904</v>
      </c>
    </row>
    <row r="13" spans="1:38" x14ac:dyDescent="0.2">
      <c r="A13">
        <v>36</v>
      </c>
      <c r="B13">
        <v>728</v>
      </c>
      <c r="C13">
        <v>285</v>
      </c>
      <c r="D13">
        <v>0.26943065474704297</v>
      </c>
      <c r="E13">
        <v>34.607845198785398</v>
      </c>
      <c r="F13">
        <v>2.5266351848069699</v>
      </c>
      <c r="G13">
        <v>-542.80913043390808</v>
      </c>
      <c r="H13">
        <v>-472.422527729526</v>
      </c>
      <c r="I13">
        <v>70.305751090627794</v>
      </c>
      <c r="J13">
        <v>41.3065647253325</v>
      </c>
      <c r="K13">
        <v>13.6972070233516</v>
      </c>
      <c r="L13">
        <v>2.8892947270387253E-5</v>
      </c>
      <c r="M13">
        <v>1.7902050309371808E-6</v>
      </c>
      <c r="N13" s="1">
        <v>-5.3578204691502302E-7</v>
      </c>
      <c r="O13" s="1">
        <v>1.2898052885971799E-10</v>
      </c>
      <c r="P13" s="1">
        <v>1.8107897129622099E-9</v>
      </c>
      <c r="Q13">
        <v>65.877527155470005</v>
      </c>
      <c r="S13">
        <v>18.924051083160101</v>
      </c>
      <c r="AA13">
        <v>0.240915552150861</v>
      </c>
      <c r="AB13">
        <v>4.0813201197641096</v>
      </c>
      <c r="AC13">
        <v>10.876186089454899</v>
      </c>
      <c r="AJ13">
        <v>0.35894934168957698</v>
      </c>
      <c r="AK13">
        <v>1.1708685150402499E-2</v>
      </c>
      <c r="AL13">
        <v>0.62934197316001905</v>
      </c>
    </row>
    <row r="14" spans="1:38" x14ac:dyDescent="0.2">
      <c r="A14">
        <v>37</v>
      </c>
      <c r="B14">
        <v>726</v>
      </c>
      <c r="C14">
        <v>285</v>
      </c>
      <c r="D14">
        <v>0.26782815393083897</v>
      </c>
      <c r="E14">
        <v>35.035764990716402</v>
      </c>
      <c r="F14">
        <v>2.5267023978475001</v>
      </c>
      <c r="G14">
        <v>-549.32864739555521</v>
      </c>
      <c r="H14">
        <v>-478.30575553458164</v>
      </c>
      <c r="I14">
        <v>71.083312676748804</v>
      </c>
      <c r="J14">
        <v>41.8450926390801</v>
      </c>
      <c r="K14">
        <v>13.8662016629118</v>
      </c>
      <c r="L14">
        <v>2.8958993737573664E-5</v>
      </c>
      <c r="M14">
        <v>1.7904583331338613E-6</v>
      </c>
      <c r="N14" s="1">
        <v>-5.7811047680111795E-7</v>
      </c>
      <c r="O14" s="1">
        <v>1.30318564626039E-10</v>
      </c>
      <c r="P14" s="1">
        <v>1.9332083487752599E-9</v>
      </c>
      <c r="Q14">
        <v>65.876254855363499</v>
      </c>
      <c r="S14">
        <v>18.918279904417801</v>
      </c>
      <c r="AA14">
        <v>0.23645114443270701</v>
      </c>
      <c r="AB14">
        <v>4.0633549718175201</v>
      </c>
      <c r="AC14">
        <v>10.9056591239684</v>
      </c>
      <c r="AJ14">
        <v>0.357402043645901</v>
      </c>
      <c r="AK14">
        <v>1.14927637310831E-2</v>
      </c>
      <c r="AL14">
        <v>0.63110519262301501</v>
      </c>
    </row>
    <row r="15" spans="1:38" x14ac:dyDescent="0.2">
      <c r="A15">
        <v>49</v>
      </c>
      <c r="B15">
        <v>738</v>
      </c>
      <c r="C15">
        <v>270</v>
      </c>
      <c r="D15">
        <v>0.29366612273154402</v>
      </c>
      <c r="E15">
        <v>15.815421104959301</v>
      </c>
      <c r="F15">
        <v>2.5819611355340601</v>
      </c>
      <c r="G15">
        <v>-255.58141707564297</v>
      </c>
      <c r="H15">
        <v>-222.3188790113052</v>
      </c>
      <c r="I15">
        <v>32.895750446855303</v>
      </c>
      <c r="J15">
        <v>19.467764151981701</v>
      </c>
      <c r="K15">
        <v>6.1253521159945699</v>
      </c>
      <c r="L15">
        <v>3.2058205823585603E-5</v>
      </c>
      <c r="M15">
        <v>1.7974967799682838E-6</v>
      </c>
      <c r="N15" s="1">
        <v>-4.1395497342358001E-7</v>
      </c>
      <c r="O15" s="1">
        <v>5.2087848664956203E-11</v>
      </c>
      <c r="P15" s="1">
        <v>1.32814538322148E-9</v>
      </c>
      <c r="Q15">
        <v>64.528557646511004</v>
      </c>
      <c r="S15">
        <v>21.886819852633799</v>
      </c>
      <c r="AA15">
        <v>2.9999937166133801</v>
      </c>
      <c r="AB15">
        <v>8.8424974132971492</v>
      </c>
      <c r="AC15">
        <v>1.74213137094457</v>
      </c>
      <c r="AJ15">
        <v>0.75924150213947605</v>
      </c>
      <c r="AK15">
        <v>0.14234300623591201</v>
      </c>
      <c r="AL15">
        <v>9.8415491624610399E-2</v>
      </c>
    </row>
    <row r="16" spans="1:38" x14ac:dyDescent="0.2">
      <c r="A16">
        <v>50</v>
      </c>
      <c r="B16">
        <v>736</v>
      </c>
      <c r="C16">
        <v>270</v>
      </c>
      <c r="D16">
        <v>0.29212753307238798</v>
      </c>
      <c r="E16">
        <v>18.3406854398824</v>
      </c>
      <c r="F16">
        <v>2.5819027581813199</v>
      </c>
      <c r="G16">
        <v>-296.31661320768762</v>
      </c>
      <c r="H16">
        <v>-257.86211483748326</v>
      </c>
      <c r="I16">
        <v>38.105830025471199</v>
      </c>
      <c r="J16">
        <v>22.609088178270799</v>
      </c>
      <c r="K16">
        <v>7.1035539126196303</v>
      </c>
      <c r="L16">
        <v>3.2226381694639037E-5</v>
      </c>
      <c r="M16">
        <v>1.7988847447222847E-6</v>
      </c>
      <c r="N16" s="1">
        <v>-5.1315506013296696E-7</v>
      </c>
      <c r="O16" s="1">
        <v>6.0164976374556705E-11</v>
      </c>
      <c r="P16" s="1">
        <v>1.6340785202620599E-9</v>
      </c>
      <c r="Q16">
        <v>64.561876135910595</v>
      </c>
      <c r="S16">
        <v>21.8656299551918</v>
      </c>
      <c r="AA16">
        <v>2.9747374202480801</v>
      </c>
      <c r="AB16">
        <v>8.8611938094393992</v>
      </c>
      <c r="AC16">
        <v>1.73656267920998</v>
      </c>
      <c r="AJ16">
        <v>0.76077654140631001</v>
      </c>
      <c r="AK16">
        <v>0.14113161268757801</v>
      </c>
      <c r="AL16">
        <v>9.8091845906111405E-2</v>
      </c>
    </row>
    <row r="17" spans="1:38" x14ac:dyDescent="0.2">
      <c r="A17">
        <v>51</v>
      </c>
      <c r="B17">
        <v>734</v>
      </c>
      <c r="C17">
        <v>270</v>
      </c>
      <c r="D17">
        <v>0.29058283274586499</v>
      </c>
      <c r="E17">
        <v>19.379435365836301</v>
      </c>
      <c r="F17">
        <v>2.58200243795266</v>
      </c>
      <c r="G17">
        <v>-313.02757792521885</v>
      </c>
      <c r="H17">
        <v>-272.52211041992069</v>
      </c>
      <c r="I17">
        <v>40.217909452711197</v>
      </c>
      <c r="J17">
        <v>23.9260583126349</v>
      </c>
      <c r="K17">
        <v>7.50558368225352</v>
      </c>
      <c r="L17">
        <v>3.2395489842275395E-5</v>
      </c>
      <c r="M17">
        <v>1.7999274225769616E-6</v>
      </c>
      <c r="N17" s="1">
        <v>-5.7930142338442302E-7</v>
      </c>
      <c r="O17" s="1">
        <v>6.3282165746673194E-11</v>
      </c>
      <c r="P17" s="1">
        <v>1.8315704515239099E-9</v>
      </c>
      <c r="Q17">
        <v>64.578561721756003</v>
      </c>
      <c r="S17">
        <v>21.856887970530501</v>
      </c>
      <c r="AA17">
        <v>2.9636318400413</v>
      </c>
      <c r="AB17">
        <v>8.8754584935252403</v>
      </c>
      <c r="AC17">
        <v>1.7254599741468799</v>
      </c>
      <c r="AJ17">
        <v>0.76194739739885997</v>
      </c>
      <c r="AK17">
        <v>0.140594792451606</v>
      </c>
      <c r="AL17">
        <v>9.7457810149533003E-2</v>
      </c>
    </row>
    <row r="18" spans="1:38" x14ac:dyDescent="0.2">
      <c r="A18">
        <v>52</v>
      </c>
      <c r="B18">
        <v>732</v>
      </c>
      <c r="C18">
        <v>270</v>
      </c>
      <c r="D18">
        <v>0.28903198527583002</v>
      </c>
      <c r="E18">
        <v>19.993109479760498</v>
      </c>
      <c r="F18">
        <v>2.58214741708727</v>
      </c>
      <c r="G18">
        <v>-322.86834496820671</v>
      </c>
      <c r="H18">
        <v>-281.21151398719832</v>
      </c>
      <c r="I18">
        <v>41.443397483965903</v>
      </c>
      <c r="J18">
        <v>24.723803616358801</v>
      </c>
      <c r="K18">
        <v>7.7428226395816004</v>
      </c>
      <c r="L18">
        <v>3.2572502807640676E-5</v>
      </c>
      <c r="M18">
        <v>1.8008943949357886E-6</v>
      </c>
      <c r="N18" s="1">
        <v>-6.3838977042634096E-7</v>
      </c>
      <c r="O18" s="1">
        <v>6.4961632735370802E-11</v>
      </c>
      <c r="P18" s="1">
        <v>2.0046370827481401E-9</v>
      </c>
      <c r="Q18">
        <v>64.590539271843099</v>
      </c>
      <c r="S18">
        <v>21.8516596553605</v>
      </c>
      <c r="AA18">
        <v>2.9565236289231298</v>
      </c>
      <c r="AB18">
        <v>8.8884431137382904</v>
      </c>
      <c r="AC18">
        <v>1.7128343301348901</v>
      </c>
      <c r="AJ18">
        <v>0.76301299180122495</v>
      </c>
      <c r="AK18">
        <v>0.14024855006925599</v>
      </c>
      <c r="AL18">
        <v>9.6738458129517604E-2</v>
      </c>
    </row>
    <row r="19" spans="1:38" x14ac:dyDescent="0.2">
      <c r="A19">
        <v>53</v>
      </c>
      <c r="B19">
        <v>730</v>
      </c>
      <c r="C19">
        <v>270</v>
      </c>
      <c r="D19">
        <v>0.28747495389523398</v>
      </c>
      <c r="E19">
        <v>20.419884485796999</v>
      </c>
      <c r="F19">
        <v>2.5823114600188002</v>
      </c>
      <c r="G19">
        <v>-329.68798493415795</v>
      </c>
      <c r="H19">
        <v>-287.27617333115734</v>
      </c>
      <c r="I19">
        <v>42.278633906195999</v>
      </c>
      <c r="J19">
        <v>25.295340005996898</v>
      </c>
      <c r="K19">
        <v>7.9075993744179804</v>
      </c>
      <c r="L19">
        <v>3.2759575841894881E-5</v>
      </c>
      <c r="M19">
        <v>1.8018497833264098E-6</v>
      </c>
      <c r="N19" s="1">
        <v>-6.9632142165621696E-7</v>
      </c>
      <c r="O19" s="1">
        <v>6.5994234447854904E-11</v>
      </c>
      <c r="P19" s="1">
        <v>2.1722808280394501E-9</v>
      </c>
      <c r="Q19">
        <v>64.600581600719593</v>
      </c>
      <c r="S19">
        <v>21.847865934190299</v>
      </c>
      <c r="AA19">
        <v>2.9510505299572301</v>
      </c>
      <c r="AB19">
        <v>8.9008761719262797</v>
      </c>
      <c r="AC19">
        <v>1.6996257632065099</v>
      </c>
      <c r="AJ19">
        <v>0.76403317134772997</v>
      </c>
      <c r="AK19">
        <v>0.139980290778532</v>
      </c>
      <c r="AL19">
        <v>9.5986537873736802E-2</v>
      </c>
    </row>
    <row r="20" spans="1:38" x14ac:dyDescent="0.2">
      <c r="A20">
        <v>54</v>
      </c>
      <c r="B20">
        <v>728</v>
      </c>
      <c r="C20">
        <v>270</v>
      </c>
      <c r="D20">
        <v>0.28591170154322698</v>
      </c>
      <c r="E20">
        <v>20.7462629230901</v>
      </c>
      <c r="F20">
        <v>2.5824853309192002</v>
      </c>
      <c r="G20">
        <v>-334.88443815860887</v>
      </c>
      <c r="H20">
        <v>-291.93119174424788</v>
      </c>
      <c r="I20">
        <v>42.903906921401401</v>
      </c>
      <c r="J20">
        <v>25.7472329719571</v>
      </c>
      <c r="K20">
        <v>8.0334485058646106</v>
      </c>
      <c r="L20">
        <v>3.2957941871369075E-5</v>
      </c>
      <c r="M20">
        <v>1.8028175428569943E-6</v>
      </c>
      <c r="N20" s="1">
        <v>-7.5529342304594599E-7</v>
      </c>
      <c r="O20" s="1">
        <v>6.6667090915757001E-11</v>
      </c>
      <c r="P20" s="1">
        <v>2.3415133322057998E-9</v>
      </c>
      <c r="Q20">
        <v>64.609668407715802</v>
      </c>
      <c r="S20">
        <v>21.844772071786402</v>
      </c>
      <c r="AA20">
        <v>2.9463777796074799</v>
      </c>
      <c r="AB20">
        <v>8.9130146715810206</v>
      </c>
      <c r="AC20">
        <v>1.6861670693091499</v>
      </c>
      <c r="AJ20">
        <v>0.76502904886699197</v>
      </c>
      <c r="AK20">
        <v>0.13975022814006899</v>
      </c>
      <c r="AL20">
        <v>9.5220722992938697E-2</v>
      </c>
    </row>
    <row r="21" spans="1:38" x14ac:dyDescent="0.2">
      <c r="A21">
        <v>63</v>
      </c>
      <c r="B21">
        <v>744</v>
      </c>
      <c r="C21">
        <v>255</v>
      </c>
      <c r="D21">
        <v>0.31446738435825899</v>
      </c>
      <c r="E21">
        <v>0.264984845782893</v>
      </c>
      <c r="F21">
        <v>2.5839233685760599</v>
      </c>
      <c r="G21">
        <v>-4.2895950123228346</v>
      </c>
      <c r="H21">
        <v>-3.7272362186605474</v>
      </c>
      <c r="I21">
        <v>0.55287695390285296</v>
      </c>
      <c r="J21">
        <v>0.32490036696309599</v>
      </c>
      <c r="K21">
        <v>0.10255135620717699</v>
      </c>
      <c r="L21">
        <v>3.1527539606369954E-5</v>
      </c>
      <c r="M21">
        <v>1.790453137065305E-6</v>
      </c>
      <c r="N21" s="1">
        <v>-5.6190176379295402E-9</v>
      </c>
      <c r="O21" s="1">
        <v>8.7793858690160095E-13</v>
      </c>
      <c r="P21" s="1">
        <v>1.85055670068608E-11</v>
      </c>
      <c r="Q21">
        <v>64.2341627858697</v>
      </c>
      <c r="S21">
        <v>22.123718539610799</v>
      </c>
      <c r="AA21">
        <v>3.2641305751130298</v>
      </c>
      <c r="AB21">
        <v>8.8075149580205903</v>
      </c>
      <c r="AC21">
        <v>1.57047314138574</v>
      </c>
      <c r="AJ21">
        <v>0.75636503574413805</v>
      </c>
      <c r="AK21">
        <v>0.154901765994295</v>
      </c>
      <c r="AL21">
        <v>8.8733198261566795E-2</v>
      </c>
    </row>
    <row r="22" spans="1:38" x14ac:dyDescent="0.2">
      <c r="A22">
        <v>64</v>
      </c>
      <c r="B22">
        <v>742</v>
      </c>
      <c r="C22">
        <v>255</v>
      </c>
      <c r="D22">
        <v>0.31297887011771702</v>
      </c>
      <c r="E22">
        <v>3.2390987659407502</v>
      </c>
      <c r="F22">
        <v>2.58150200867785</v>
      </c>
      <c r="G22">
        <v>-52.39035531670163</v>
      </c>
      <c r="H22">
        <v>-45.535443031949676</v>
      </c>
      <c r="I22">
        <v>6.7526102396216796</v>
      </c>
      <c r="J22">
        <v>3.97543419937056</v>
      </c>
      <c r="K22">
        <v>1.2547341644718299</v>
      </c>
      <c r="L22">
        <v>3.1705139044321632E-5</v>
      </c>
      <c r="M22">
        <v>1.7953186147330163E-6</v>
      </c>
      <c r="N22" s="1">
        <v>-7.3175200438463405E-8</v>
      </c>
      <c r="O22" s="1">
        <v>1.07502938782305E-11</v>
      </c>
      <c r="P22" s="1">
        <v>2.3895811416750098E-10</v>
      </c>
      <c r="Q22">
        <v>64.449383604879202</v>
      </c>
      <c r="S22">
        <v>21.938488318960601</v>
      </c>
      <c r="AA22">
        <v>3.06109491061203</v>
      </c>
      <c r="AB22">
        <v>8.8015179084977504</v>
      </c>
      <c r="AC22">
        <v>1.74951525705035</v>
      </c>
      <c r="AJ22">
        <v>0.75587585642155797</v>
      </c>
      <c r="AK22">
        <v>0.145271520563691</v>
      </c>
      <c r="AL22">
        <v>9.8852623014749993E-2</v>
      </c>
    </row>
    <row r="23" spans="1:38" x14ac:dyDescent="0.2">
      <c r="A23">
        <v>65</v>
      </c>
      <c r="B23">
        <v>740</v>
      </c>
      <c r="C23">
        <v>255</v>
      </c>
      <c r="D23">
        <v>0.31148447909983901</v>
      </c>
      <c r="E23">
        <v>16.401646816779799</v>
      </c>
      <c r="F23">
        <v>2.5807695607540202</v>
      </c>
      <c r="G23">
        <v>-265.19631323829907</v>
      </c>
      <c r="H23">
        <v>-230.58794748522149</v>
      </c>
      <c r="I23">
        <v>34.159172632954103</v>
      </c>
      <c r="J23">
        <v>20.1578885975932</v>
      </c>
      <c r="K23">
        <v>6.35533178405427</v>
      </c>
      <c r="L23">
        <v>3.1890771034477795E-5</v>
      </c>
      <c r="M23">
        <v>1.7982378575054989E-6</v>
      </c>
      <c r="N23" s="1">
        <v>-3.96946928408129E-7</v>
      </c>
      <c r="O23" s="1">
        <v>5.4321541801300901E-11</v>
      </c>
      <c r="P23" s="1">
        <v>1.28518607605113E-9</v>
      </c>
      <c r="Q23">
        <v>64.553503311097202</v>
      </c>
      <c r="S23">
        <v>21.864202383531399</v>
      </c>
      <c r="AA23">
        <v>2.9755133432174401</v>
      </c>
      <c r="AB23">
        <v>8.8387928535708493</v>
      </c>
      <c r="AC23">
        <v>1.76798810858302</v>
      </c>
      <c r="AJ23">
        <v>0.75893779170770803</v>
      </c>
      <c r="AK23">
        <v>0.14118414101972401</v>
      </c>
      <c r="AL23">
        <v>9.9878067272566901E-2</v>
      </c>
    </row>
    <row r="24" spans="1:38" x14ac:dyDescent="0.2">
      <c r="A24">
        <v>66</v>
      </c>
      <c r="B24">
        <v>738</v>
      </c>
      <c r="C24">
        <v>255</v>
      </c>
      <c r="D24">
        <v>0.30998417643277698</v>
      </c>
      <c r="E24">
        <v>18.452312024774901</v>
      </c>
      <c r="F24">
        <v>2.5808902480974898</v>
      </c>
      <c r="G24">
        <v>-298.28615609136608</v>
      </c>
      <c r="H24">
        <v>-259.47182657681776</v>
      </c>
      <c r="I24">
        <v>38.386322023980902</v>
      </c>
      <c r="J24">
        <v>22.707877848204401</v>
      </c>
      <c r="K24">
        <v>7.1495919047224401</v>
      </c>
      <c r="L24">
        <v>3.2037770044796914E-5</v>
      </c>
      <c r="M24">
        <v>1.7991650365644887E-6</v>
      </c>
      <c r="N24" s="1">
        <v>-4.7701518982619402E-7</v>
      </c>
      <c r="O24" s="1">
        <v>6.0871322545843606E-11</v>
      </c>
      <c r="P24" s="1">
        <v>1.5323555661814301E-9</v>
      </c>
      <c r="Q24">
        <v>64.567741198236504</v>
      </c>
      <c r="S24">
        <v>21.857306511832899</v>
      </c>
      <c r="AA24">
        <v>2.9665019621385502</v>
      </c>
      <c r="AB24">
        <v>8.8524427974736994</v>
      </c>
      <c r="AC24">
        <v>1.7560075303182601</v>
      </c>
      <c r="AJ24">
        <v>0.76005841545837705</v>
      </c>
      <c r="AK24">
        <v>0.14074704095224599</v>
      </c>
      <c r="AL24">
        <v>9.9194543589375697E-2</v>
      </c>
    </row>
    <row r="25" spans="1:38" x14ac:dyDescent="0.2">
      <c r="A25">
        <v>67</v>
      </c>
      <c r="B25">
        <v>736</v>
      </c>
      <c r="C25">
        <v>255</v>
      </c>
      <c r="D25">
        <v>0.308477926968244</v>
      </c>
      <c r="E25">
        <v>19.3677314443411</v>
      </c>
      <c r="F25">
        <v>2.5810592064131899</v>
      </c>
      <c r="G25">
        <v>-313.01571521763577</v>
      </c>
      <c r="H25">
        <v>-272.40318147617785</v>
      </c>
      <c r="I25">
        <v>40.244298410997402</v>
      </c>
      <c r="J25">
        <v>23.867607006640199</v>
      </c>
      <c r="K25">
        <v>7.50379200764469</v>
      </c>
      <c r="L25">
        <v>3.2191132343968498E-5</v>
      </c>
      <c r="M25">
        <v>1.8000060286237898E-6</v>
      </c>
      <c r="N25" s="1">
        <v>-5.3477297969260801E-7</v>
      </c>
      <c r="O25" s="1">
        <v>6.3614400413784701E-11</v>
      </c>
      <c r="P25" s="1">
        <v>1.7050657166007099E-9</v>
      </c>
      <c r="Q25">
        <v>64.576972277027807</v>
      </c>
      <c r="S25">
        <v>21.854155376331502</v>
      </c>
      <c r="AA25">
        <v>2.9617482970457698</v>
      </c>
      <c r="AB25">
        <v>8.8647526502169107</v>
      </c>
      <c r="AC25">
        <v>1.74237139937793</v>
      </c>
      <c r="AJ25">
        <v>0.76106883619344801</v>
      </c>
      <c r="AK25">
        <v>0.14051291861079401</v>
      </c>
      <c r="AL25">
        <v>9.8418245195756704E-2</v>
      </c>
    </row>
    <row r="26" spans="1:38" x14ac:dyDescent="0.2">
      <c r="A26">
        <v>68</v>
      </c>
      <c r="B26">
        <v>734</v>
      </c>
      <c r="C26">
        <v>255</v>
      </c>
      <c r="D26">
        <v>0.306965695278758</v>
      </c>
      <c r="E26">
        <v>19.926598083413101</v>
      </c>
      <c r="F26">
        <v>2.5812417862745698</v>
      </c>
      <c r="G26">
        <v>-321.97814580061333</v>
      </c>
      <c r="H26">
        <v>-280.32484723423636</v>
      </c>
      <c r="I26">
        <v>41.357591785113399</v>
      </c>
      <c r="J26">
        <v>24.5928666683578</v>
      </c>
      <c r="K26">
        <v>7.7197720063925104</v>
      </c>
      <c r="L26">
        <v>3.2353367554221034E-5</v>
      </c>
      <c r="M26">
        <v>1.8008439532756284E-6</v>
      </c>
      <c r="N26" s="1">
        <v>-5.8767137309366101E-7</v>
      </c>
      <c r="O26" s="1">
        <v>6.5145263214229001E-11</v>
      </c>
      <c r="P26" s="1">
        <v>1.86032201484097E-9</v>
      </c>
      <c r="Q26">
        <v>64.584832900509099</v>
      </c>
      <c r="S26">
        <v>21.8520162920518</v>
      </c>
      <c r="AA26">
        <v>2.95814936158488</v>
      </c>
      <c r="AB26">
        <v>8.8766617406361306</v>
      </c>
      <c r="AC26">
        <v>1.7283397052179701</v>
      </c>
      <c r="AJ26">
        <v>0.76204622762848195</v>
      </c>
      <c r="AK26">
        <v>0.140333880861222</v>
      </c>
      <c r="AL26">
        <v>9.7619891510294196E-2</v>
      </c>
    </row>
    <row r="27" spans="1:38" x14ac:dyDescent="0.2">
      <c r="A27">
        <v>69</v>
      </c>
      <c r="B27">
        <v>732</v>
      </c>
      <c r="C27">
        <v>255</v>
      </c>
      <c r="D27">
        <v>0.30544744565487703</v>
      </c>
      <c r="E27">
        <v>20.322936926371199</v>
      </c>
      <c r="F27">
        <v>2.5814295766249602</v>
      </c>
      <c r="G27">
        <v>-328.31129225175101</v>
      </c>
      <c r="H27">
        <v>-285.96327864933801</v>
      </c>
      <c r="I27">
        <v>42.1310387528357</v>
      </c>
      <c r="J27">
        <v>25.1219468792093</v>
      </c>
      <c r="K27">
        <v>7.8727450519653797</v>
      </c>
      <c r="L27">
        <v>3.2525593090346913E-5</v>
      </c>
      <c r="M27">
        <v>1.8017005113361561E-6</v>
      </c>
      <c r="N27" s="1">
        <v>-6.4014833409877105E-7</v>
      </c>
      <c r="O27" s="1">
        <v>6.6110023127264205E-11</v>
      </c>
      <c r="P27" s="1">
        <v>2.0125477106579398E-9</v>
      </c>
      <c r="Q27">
        <v>64.592210535210896</v>
      </c>
      <c r="S27">
        <v>21.850222520790901</v>
      </c>
      <c r="AA27">
        <v>2.9549480117289</v>
      </c>
      <c r="AB27">
        <v>8.8883997994295694</v>
      </c>
      <c r="AC27">
        <v>1.71421913283956</v>
      </c>
      <c r="AJ27">
        <v>0.763009463598886</v>
      </c>
      <c r="AK27">
        <v>0.14017384246157299</v>
      </c>
      <c r="AL27">
        <v>9.6816693939539303E-2</v>
      </c>
    </row>
    <row r="28" spans="1:38" x14ac:dyDescent="0.2">
      <c r="A28">
        <v>70</v>
      </c>
      <c r="B28">
        <v>730</v>
      </c>
      <c r="C28">
        <v>255</v>
      </c>
      <c r="D28">
        <v>0.30392314210237997</v>
      </c>
      <c r="E28">
        <v>20.630163559737198</v>
      </c>
      <c r="F28">
        <v>2.5816197299004999</v>
      </c>
      <c r="G28">
        <v>-333.20249329613318</v>
      </c>
      <c r="H28">
        <v>-290.35009346628794</v>
      </c>
      <c r="I28">
        <v>42.717838638134999</v>
      </c>
      <c r="J28">
        <v>25.5451479989622</v>
      </c>
      <c r="K28">
        <v>7.9911705511068103</v>
      </c>
      <c r="L28">
        <v>3.2708654874229307E-5</v>
      </c>
      <c r="M28">
        <v>1.8025844535375029E-6</v>
      </c>
      <c r="N28" s="1">
        <v>-6.9396061391100204E-7</v>
      </c>
      <c r="O28" s="1">
        <v>6.6752723296793597E-11</v>
      </c>
      <c r="P28" s="1">
        <v>2.1673854446560399E-9</v>
      </c>
      <c r="Q28">
        <v>64.599410287700906</v>
      </c>
      <c r="S28">
        <v>21.848545051255101</v>
      </c>
      <c r="AA28">
        <v>2.9518841183692999</v>
      </c>
      <c r="AB28">
        <v>8.9000463573439497</v>
      </c>
      <c r="AC28">
        <v>1.7001141853307</v>
      </c>
      <c r="AJ28">
        <v>0.76396507815465597</v>
      </c>
      <c r="AK28">
        <v>0.14002040610111199</v>
      </c>
      <c r="AL28">
        <v>9.6014515744230602E-2</v>
      </c>
    </row>
    <row r="29" spans="1:38" x14ac:dyDescent="0.2">
      <c r="A29">
        <v>78</v>
      </c>
      <c r="B29">
        <v>746</v>
      </c>
      <c r="C29">
        <v>240</v>
      </c>
      <c r="D29">
        <v>0.33214001864298798</v>
      </c>
      <c r="E29">
        <v>1.47508363566072</v>
      </c>
      <c r="F29">
        <v>2.5814030756261999</v>
      </c>
      <c r="G29">
        <v>-23.886457916197948</v>
      </c>
      <c r="H29">
        <v>-20.745117383407202</v>
      </c>
      <c r="I29">
        <v>3.0823142155627199</v>
      </c>
      <c r="J29">
        <v>1.80666017383372</v>
      </c>
      <c r="K29">
        <v>0.57142708536631504</v>
      </c>
      <c r="L29">
        <v>3.1454018035128174E-5</v>
      </c>
      <c r="M29">
        <v>1.7942637577993342E-6</v>
      </c>
      <c r="N29" s="1">
        <v>-2.9045191461171199E-8</v>
      </c>
      <c r="O29" s="1">
        <v>4.9227266295328201E-12</v>
      </c>
      <c r="P29" s="1">
        <v>9.6608202391944501E-11</v>
      </c>
      <c r="Q29">
        <v>64.393967765559296</v>
      </c>
      <c r="S29">
        <v>21.9968792781338</v>
      </c>
      <c r="AA29">
        <v>3.1221985783277999</v>
      </c>
      <c r="AB29">
        <v>8.83110617266715</v>
      </c>
      <c r="AC29">
        <v>1.65584820531184</v>
      </c>
      <c r="AJ29">
        <v>0.75830436318155103</v>
      </c>
      <c r="AK29">
        <v>0.14814935352283501</v>
      </c>
      <c r="AL29">
        <v>9.3546283295613597E-2</v>
      </c>
    </row>
    <row r="30" spans="1:38" x14ac:dyDescent="0.2">
      <c r="A30">
        <v>79</v>
      </c>
      <c r="B30">
        <v>744</v>
      </c>
      <c r="C30">
        <v>240</v>
      </c>
      <c r="D30">
        <v>0.33068918055350899</v>
      </c>
      <c r="E30">
        <v>10.379025682063199</v>
      </c>
      <c r="F30">
        <v>2.5794562350334602</v>
      </c>
      <c r="G30">
        <v>-167.94434898912255</v>
      </c>
      <c r="H30">
        <v>-145.90449007940765</v>
      </c>
      <c r="I30">
        <v>21.6682484488176</v>
      </c>
      <c r="J30">
        <v>12.7233347080666</v>
      </c>
      <c r="K30">
        <v>4.0237262183781697</v>
      </c>
      <c r="L30">
        <v>3.1606053985431606E-5</v>
      </c>
      <c r="M30">
        <v>1.7981370174634563E-6</v>
      </c>
      <c r="N30" s="1">
        <v>-2.17550272545693E-7</v>
      </c>
      <c r="O30" s="1">
        <v>3.4672014594204599E-11</v>
      </c>
      <c r="P30" s="1">
        <v>7.17268433477045E-10</v>
      </c>
      <c r="Q30">
        <v>64.564249250054402</v>
      </c>
      <c r="S30">
        <v>21.848328510957099</v>
      </c>
      <c r="AA30">
        <v>2.9599098178589398</v>
      </c>
      <c r="AB30">
        <v>8.8211241816651391</v>
      </c>
      <c r="AC30">
        <v>1.8063882394642601</v>
      </c>
      <c r="AJ30">
        <v>0.75748745955695196</v>
      </c>
      <c r="AK30">
        <v>0.14045615678142301</v>
      </c>
      <c r="AL30">
        <v>0.10205638366162401</v>
      </c>
    </row>
    <row r="31" spans="1:38" x14ac:dyDescent="0.2">
      <c r="A31">
        <v>80</v>
      </c>
      <c r="B31">
        <v>742</v>
      </c>
      <c r="C31">
        <v>240</v>
      </c>
      <c r="D31">
        <v>0.32923262572033701</v>
      </c>
      <c r="E31">
        <v>16.912383470840201</v>
      </c>
      <c r="F31">
        <v>2.5796565291676798</v>
      </c>
      <c r="G31">
        <v>-273.60287644535339</v>
      </c>
      <c r="H31">
        <v>-237.80090940452217</v>
      </c>
      <c r="I31">
        <v>35.267661962105201</v>
      </c>
      <c r="J31">
        <v>20.755433687159499</v>
      </c>
      <c r="K31">
        <v>6.5560601884844498</v>
      </c>
      <c r="L31">
        <v>3.1730862533740736E-5</v>
      </c>
      <c r="M31">
        <v>1.7988233087212326E-6</v>
      </c>
      <c r="N31" s="1">
        <v>-3.78417641859221E-7</v>
      </c>
      <c r="O31" s="1">
        <v>5.6297079442995901E-11</v>
      </c>
      <c r="P31" s="1">
        <v>1.2369976155257701E-9</v>
      </c>
      <c r="Q31">
        <v>64.570028829825006</v>
      </c>
      <c r="S31">
        <v>21.847824709872299</v>
      </c>
      <c r="AA31">
        <v>2.95814559087792</v>
      </c>
      <c r="AB31">
        <v>8.8326828852528294</v>
      </c>
      <c r="AC31">
        <v>1.7913179841717899</v>
      </c>
      <c r="AJ31">
        <v>0.758436479132095</v>
      </c>
      <c r="AK31">
        <v>0.140364379489129</v>
      </c>
      <c r="AL31">
        <v>0.101199141378774</v>
      </c>
    </row>
    <row r="32" spans="1:38" x14ac:dyDescent="0.2">
      <c r="A32">
        <v>81</v>
      </c>
      <c r="B32">
        <v>740</v>
      </c>
      <c r="C32">
        <v>240</v>
      </c>
      <c r="D32">
        <v>0.32777032028821201</v>
      </c>
      <c r="E32">
        <v>18.554855005976599</v>
      </c>
      <c r="F32">
        <v>2.57990629768311</v>
      </c>
      <c r="G32">
        <v>-300.11196616389026</v>
      </c>
      <c r="H32">
        <v>-260.95564347663753</v>
      </c>
      <c r="I32">
        <v>38.648100170016903</v>
      </c>
      <c r="J32">
        <v>22.798052766141701</v>
      </c>
      <c r="K32">
        <v>7.1920654725483004</v>
      </c>
      <c r="L32">
        <v>3.1860698828655998E-5</v>
      </c>
      <c r="M32">
        <v>1.7994167677968685E-6</v>
      </c>
      <c r="N32" s="1">
        <v>-4.4319214878901399E-7</v>
      </c>
      <c r="O32" s="1">
        <v>6.15247869791132E-11</v>
      </c>
      <c r="P32" s="1">
        <v>1.4369104847761299E-9</v>
      </c>
      <c r="Q32">
        <v>64.570666561450693</v>
      </c>
      <c r="S32">
        <v>21.851167092456599</v>
      </c>
      <c r="AA32">
        <v>2.9607542847767099</v>
      </c>
      <c r="AB32">
        <v>8.8428665264709299</v>
      </c>
      <c r="AC32">
        <v>1.7745455348449399</v>
      </c>
      <c r="AJ32">
        <v>0.75927244196700605</v>
      </c>
      <c r="AK32">
        <v>0.140481043404318</v>
      </c>
      <c r="AL32">
        <v>0.100246514628674</v>
      </c>
    </row>
    <row r="33" spans="1:38" x14ac:dyDescent="0.2">
      <c r="A33">
        <v>82</v>
      </c>
      <c r="B33">
        <v>738</v>
      </c>
      <c r="C33">
        <v>240</v>
      </c>
      <c r="D33">
        <v>0.326302230134007</v>
      </c>
      <c r="E33">
        <v>19.3525116281468</v>
      </c>
      <c r="F33">
        <v>2.58013280500038</v>
      </c>
      <c r="G33">
        <v>-312.94756090971384</v>
      </c>
      <c r="H33">
        <v>-272.23563480647579</v>
      </c>
      <c r="I33">
        <v>40.262993723224099</v>
      </c>
      <c r="J33">
        <v>23.808338220917999</v>
      </c>
      <c r="K33">
        <v>7.5005874079973802</v>
      </c>
      <c r="L33">
        <v>3.2000024058201657E-5</v>
      </c>
      <c r="M33">
        <v>1.8000886775725668E-6</v>
      </c>
      <c r="N33" s="1">
        <v>-4.93562767327182E-7</v>
      </c>
      <c r="O33" s="1">
        <v>6.3906654721257495E-11</v>
      </c>
      <c r="P33" s="1">
        <v>1.58768413944962E-9</v>
      </c>
      <c r="Q33">
        <v>64.573756830057704</v>
      </c>
      <c r="S33">
        <v>21.8526399918618</v>
      </c>
      <c r="AA33">
        <v>2.96124836993449</v>
      </c>
      <c r="AB33">
        <v>8.8536144216487198</v>
      </c>
      <c r="AC33">
        <v>1.7587403864972</v>
      </c>
      <c r="AJ33">
        <v>0.76015466871433102</v>
      </c>
      <c r="AK33">
        <v>0.140496979580024</v>
      </c>
      <c r="AL33">
        <v>9.9348351705643601E-2</v>
      </c>
    </row>
    <row r="34" spans="1:38" x14ac:dyDescent="0.2">
      <c r="A34">
        <v>83</v>
      </c>
      <c r="B34">
        <v>736</v>
      </c>
      <c r="C34">
        <v>240</v>
      </c>
      <c r="D34">
        <v>0.32482832086409602</v>
      </c>
      <c r="E34">
        <v>19.857441430853001</v>
      </c>
      <c r="F34">
        <v>2.5803483982930802</v>
      </c>
      <c r="G34">
        <v>-321.04457057395001</v>
      </c>
      <c r="H34">
        <v>-279.40134711533995</v>
      </c>
      <c r="I34">
        <v>41.265642826745299</v>
      </c>
      <c r="J34">
        <v>24.4628266586429</v>
      </c>
      <c r="K34">
        <v>7.6956435200722604</v>
      </c>
      <c r="L34">
        <v>3.2148778021550679E-5</v>
      </c>
      <c r="M34">
        <v>1.8008123559260332E-6</v>
      </c>
      <c r="N34" s="1">
        <v>-5.4083722073403599E-7</v>
      </c>
      <c r="O34" s="1">
        <v>6.5288297546758405E-11</v>
      </c>
      <c r="P34" s="1">
        <v>1.7266824818101801E-9</v>
      </c>
      <c r="Q34">
        <v>64.578027384288902</v>
      </c>
      <c r="S34">
        <v>21.853204195373699</v>
      </c>
      <c r="AA34">
        <v>2.9607173681611698</v>
      </c>
      <c r="AB34">
        <v>8.86461025563273</v>
      </c>
      <c r="AC34">
        <v>1.74344079654347</v>
      </c>
      <c r="AJ34">
        <v>0.761057166571248</v>
      </c>
      <c r="AK34">
        <v>0.14046411121925001</v>
      </c>
      <c r="AL34">
        <v>9.8478722209501393E-2</v>
      </c>
    </row>
    <row r="35" spans="1:38" x14ac:dyDescent="0.2">
      <c r="A35">
        <v>84</v>
      </c>
      <c r="B35">
        <v>734</v>
      </c>
      <c r="C35">
        <v>240</v>
      </c>
      <c r="D35">
        <v>0.32334855781164801</v>
      </c>
      <c r="E35">
        <v>20.223443015761099</v>
      </c>
      <c r="F35">
        <v>2.58055769980357</v>
      </c>
      <c r="G35">
        <v>-326.89218204363402</v>
      </c>
      <c r="H35">
        <v>-284.61468785321921</v>
      </c>
      <c r="I35">
        <v>41.977356094340202</v>
      </c>
      <c r="J35">
        <v>24.9501083504781</v>
      </c>
      <c r="K35">
        <v>7.8368497698386896</v>
      </c>
      <c r="L35">
        <v>3.2307338918544448E-5</v>
      </c>
      <c r="M35">
        <v>1.801579024609196E-6</v>
      </c>
      <c r="N35" s="1">
        <v>-5.8826704434664404E-7</v>
      </c>
      <c r="O35" s="1">
        <v>6.6182989018291701E-11</v>
      </c>
      <c r="P35" s="1">
        <v>1.86457381954811E-9</v>
      </c>
      <c r="Q35">
        <v>64.583005857873701</v>
      </c>
      <c r="S35">
        <v>21.853216646476099</v>
      </c>
      <c r="AA35">
        <v>2.95956598169722</v>
      </c>
      <c r="AB35">
        <v>8.8757371592653502</v>
      </c>
      <c r="AC35">
        <v>1.7284743546874699</v>
      </c>
      <c r="AJ35">
        <v>0.76197033180753804</v>
      </c>
      <c r="AK35">
        <v>0.140401725816511</v>
      </c>
      <c r="AL35">
        <v>9.7627942375950405E-2</v>
      </c>
    </row>
    <row r="36" spans="1:38" x14ac:dyDescent="0.2">
      <c r="A36">
        <v>85</v>
      </c>
      <c r="B36">
        <v>732</v>
      </c>
      <c r="C36">
        <v>240</v>
      </c>
      <c r="D36">
        <v>0.32186290603392398</v>
      </c>
      <c r="E36">
        <v>20.511468466397702</v>
      </c>
      <c r="F36">
        <v>2.58076290673558</v>
      </c>
      <c r="G36">
        <v>-331.47693543377289</v>
      </c>
      <c r="H36">
        <v>-288.73244748098301</v>
      </c>
      <c r="I36">
        <v>42.525481721921999</v>
      </c>
      <c r="J36">
        <v>25.345048065653501</v>
      </c>
      <c r="K36">
        <v>7.9478314001121504</v>
      </c>
      <c r="L36">
        <v>3.2476245777415047E-5</v>
      </c>
      <c r="M36">
        <v>1.8023855928793169E-6</v>
      </c>
      <c r="N36" s="1">
        <v>-6.3723063629740796E-7</v>
      </c>
      <c r="O36" s="1">
        <v>6.6793516880813604E-11</v>
      </c>
      <c r="P36" s="1">
        <v>2.0058125729963499E-9</v>
      </c>
      <c r="Q36">
        <v>64.588471264440201</v>
      </c>
      <c r="S36">
        <v>21.852844524806301</v>
      </c>
      <c r="AA36">
        <v>2.9579836996040498</v>
      </c>
      <c r="AB36">
        <v>8.8869409594187303</v>
      </c>
      <c r="AC36">
        <v>1.7137595517306501</v>
      </c>
      <c r="AJ36">
        <v>0.76288971274432105</v>
      </c>
      <c r="AK36">
        <v>0.14031885444193101</v>
      </c>
      <c r="AL36">
        <v>9.6791432813747594E-2</v>
      </c>
    </row>
    <row r="37" spans="1:38" x14ac:dyDescent="0.2">
      <c r="A37">
        <v>91</v>
      </c>
      <c r="B37">
        <v>750</v>
      </c>
      <c r="C37">
        <v>225</v>
      </c>
      <c r="D37">
        <v>0.35115134633240402</v>
      </c>
      <c r="E37">
        <v>0.81583277191913595</v>
      </c>
      <c r="F37">
        <v>2.5814312997964701</v>
      </c>
      <c r="G37">
        <v>-13.226739480949986</v>
      </c>
      <c r="H37">
        <v>-11.478531678149585</v>
      </c>
      <c r="I37">
        <v>1.7086524974836499</v>
      </c>
      <c r="J37">
        <v>0.99745042213806001</v>
      </c>
      <c r="K37">
        <v>0.316038924601037</v>
      </c>
      <c r="L37">
        <v>3.1226767814332617E-5</v>
      </c>
      <c r="M37">
        <v>1.7929985431865555E-6</v>
      </c>
      <c r="N37" s="1">
        <v>-1.40123208057231E-8</v>
      </c>
      <c r="O37" s="1">
        <v>2.73438893434603E-12</v>
      </c>
      <c r="P37" s="1">
        <v>4.7555155045406002E-11</v>
      </c>
      <c r="Q37">
        <v>64.325435543487302</v>
      </c>
      <c r="S37">
        <v>22.065396773042</v>
      </c>
      <c r="AA37">
        <v>3.1947172703151101</v>
      </c>
      <c r="AB37">
        <v>8.8580133111144193</v>
      </c>
      <c r="AC37">
        <v>1.5564371020411001</v>
      </c>
      <c r="AJ37">
        <v>0.760511909590461</v>
      </c>
      <c r="AK37">
        <v>0.15156988138687499</v>
      </c>
      <c r="AL37">
        <v>8.7918209022663105E-2</v>
      </c>
    </row>
    <row r="38" spans="1:38" x14ac:dyDescent="0.2">
      <c r="A38">
        <v>92</v>
      </c>
      <c r="B38">
        <v>748</v>
      </c>
      <c r="C38">
        <v>225</v>
      </c>
      <c r="D38">
        <v>0.34974342652891699</v>
      </c>
      <c r="E38">
        <v>2.8153002544663002</v>
      </c>
      <c r="F38">
        <v>2.5787229557500302</v>
      </c>
      <c r="G38">
        <v>-45.600847389402752</v>
      </c>
      <c r="H38">
        <v>-39.58465693025358</v>
      </c>
      <c r="I38">
        <v>5.89158346878438</v>
      </c>
      <c r="J38">
        <v>3.44450794577399</v>
      </c>
      <c r="K38">
        <v>1.0917420377356699</v>
      </c>
      <c r="L38">
        <v>3.1382994126374379E-5</v>
      </c>
      <c r="M38">
        <v>1.7981063709946354E-6</v>
      </c>
      <c r="N38" s="1">
        <v>-5.1428876955348301E-8</v>
      </c>
      <c r="O38" s="1">
        <v>9.4635633030679006E-12</v>
      </c>
      <c r="P38" s="1">
        <v>1.7286742666018199E-10</v>
      </c>
      <c r="Q38">
        <v>64.558325055350906</v>
      </c>
      <c r="S38">
        <v>21.862402441204601</v>
      </c>
      <c r="AA38">
        <v>2.97290328426373</v>
      </c>
      <c r="AB38">
        <v>8.8448190692904802</v>
      </c>
      <c r="AC38">
        <v>1.76155014989019</v>
      </c>
      <c r="AJ38">
        <v>0.75943252422153895</v>
      </c>
      <c r="AK38">
        <v>0.14105608000608699</v>
      </c>
      <c r="AL38">
        <v>9.9511395772373001E-2</v>
      </c>
    </row>
    <row r="39" spans="1:38" x14ac:dyDescent="0.2">
      <c r="A39">
        <v>93</v>
      </c>
      <c r="B39">
        <v>746</v>
      </c>
      <c r="C39">
        <v>225</v>
      </c>
      <c r="D39">
        <v>0.34832998086640898</v>
      </c>
      <c r="E39">
        <v>13.4786341176201</v>
      </c>
      <c r="F39">
        <v>2.5781137027118199</v>
      </c>
      <c r="G39">
        <v>-218.21087932330997</v>
      </c>
      <c r="H39">
        <v>-189.49550703598959</v>
      </c>
      <c r="I39">
        <v>28.175805609890901</v>
      </c>
      <c r="J39">
        <v>16.5030167270011</v>
      </c>
      <c r="K39">
        <v>5.2280991732220601</v>
      </c>
      <c r="L39">
        <v>3.1477669817269545E-5</v>
      </c>
      <c r="M39">
        <v>1.7993027723731824E-6</v>
      </c>
      <c r="N39" s="1">
        <v>-2.6151706753394498E-7</v>
      </c>
      <c r="O39" s="1">
        <v>4.52455359311343E-11</v>
      </c>
      <c r="P39" s="1">
        <v>8.7126953977124697E-10</v>
      </c>
      <c r="Q39">
        <v>64.6043528674371</v>
      </c>
      <c r="S39">
        <v>21.814033906133599</v>
      </c>
      <c r="AA39">
        <v>2.92225878686618</v>
      </c>
      <c r="AB39">
        <v>8.8205851775847393</v>
      </c>
      <c r="AC39">
        <v>1.8387692619782701</v>
      </c>
      <c r="AJ39">
        <v>0.75744381609670897</v>
      </c>
      <c r="AK39">
        <v>0.13866999172064501</v>
      </c>
      <c r="AL39">
        <v>0.103886192182644</v>
      </c>
    </row>
    <row r="40" spans="1:38" x14ac:dyDescent="0.2">
      <c r="A40">
        <v>94</v>
      </c>
      <c r="B40">
        <v>744</v>
      </c>
      <c r="C40">
        <v>225</v>
      </c>
      <c r="D40">
        <v>0.34691097674876298</v>
      </c>
      <c r="E40">
        <v>17.365959180336802</v>
      </c>
      <c r="F40">
        <v>2.5786164094823798</v>
      </c>
      <c r="G40">
        <v>-281.09593174327534</v>
      </c>
      <c r="H40">
        <v>-244.21520880742153</v>
      </c>
      <c r="I40">
        <v>36.2588830908457</v>
      </c>
      <c r="J40">
        <v>21.283336343904001</v>
      </c>
      <c r="K40">
        <v>6.7346035325287996</v>
      </c>
      <c r="L40">
        <v>3.1578153842648061E-5</v>
      </c>
      <c r="M40">
        <v>1.7992688969086528E-6</v>
      </c>
      <c r="N40" s="1">
        <v>-3.5923077346817001E-7</v>
      </c>
      <c r="O40" s="1">
        <v>5.8071173473587498E-11</v>
      </c>
      <c r="P40" s="1">
        <v>1.1862353420519501E-9</v>
      </c>
      <c r="Q40">
        <v>64.578891817765793</v>
      </c>
      <c r="S40">
        <v>21.837164190436901</v>
      </c>
      <c r="AA40">
        <v>2.9472824961175599</v>
      </c>
      <c r="AB40">
        <v>8.8244856410024202</v>
      </c>
      <c r="AC40">
        <v>1.81217585467719</v>
      </c>
      <c r="AJ40">
        <v>0.75776365827967695</v>
      </c>
      <c r="AK40">
        <v>0.139854655380696</v>
      </c>
      <c r="AL40">
        <v>0.10238168633962499</v>
      </c>
    </row>
    <row r="41" spans="1:38" x14ac:dyDescent="0.2">
      <c r="A41">
        <v>95</v>
      </c>
      <c r="B41">
        <v>742</v>
      </c>
      <c r="C41">
        <v>225</v>
      </c>
      <c r="D41">
        <v>0.345486381322956</v>
      </c>
      <c r="E41">
        <v>18.655221965018001</v>
      </c>
      <c r="F41">
        <v>2.57895273458371</v>
      </c>
      <c r="G41">
        <v>-301.90571425144429</v>
      </c>
      <c r="H41">
        <v>-262.410803671667</v>
      </c>
      <c r="I41">
        <v>38.905492370366197</v>
      </c>
      <c r="J41">
        <v>22.887955643532599</v>
      </c>
      <c r="K41">
        <v>7.2336424451878498</v>
      </c>
      <c r="L41">
        <v>3.1694148233914433E-5</v>
      </c>
      <c r="M41">
        <v>1.7996341979213723E-6</v>
      </c>
      <c r="N41" s="1">
        <v>-4.1174152538520701E-7</v>
      </c>
      <c r="O41" s="1">
        <v>6.2148640123537295E-11</v>
      </c>
      <c r="P41" s="1">
        <v>1.3480083412238499E-9</v>
      </c>
      <c r="Q41">
        <v>64.570505363104004</v>
      </c>
      <c r="S41">
        <v>21.847336434587401</v>
      </c>
      <c r="AA41">
        <v>2.95763156624235</v>
      </c>
      <c r="AB41">
        <v>8.8324647369747993</v>
      </c>
      <c r="AC41">
        <v>1.7920618990913399</v>
      </c>
      <c r="AJ41">
        <v>0.75841857813719504</v>
      </c>
      <c r="AK41">
        <v>0.14034014268127801</v>
      </c>
      <c r="AL41">
        <v>0.10124127918152601</v>
      </c>
    </row>
    <row r="42" spans="1:38" x14ac:dyDescent="0.2">
      <c r="A42">
        <v>96</v>
      </c>
      <c r="B42">
        <v>740</v>
      </c>
      <c r="C42">
        <v>225</v>
      </c>
      <c r="D42">
        <v>0.34405616147658602</v>
      </c>
      <c r="E42">
        <v>19.338551760028398</v>
      </c>
      <c r="F42">
        <v>2.5792246864137902</v>
      </c>
      <c r="G42">
        <v>-312.90037191582439</v>
      </c>
      <c r="H42">
        <v>-272.08672075277406</v>
      </c>
      <c r="I42">
        <v>40.283917646005399</v>
      </c>
      <c r="J42">
        <v>23.753863346772</v>
      </c>
      <c r="K42">
        <v>7.4978158598959199</v>
      </c>
      <c r="L42">
        <v>3.1821048727996768E-5</v>
      </c>
      <c r="M42">
        <v>1.8001695002783414E-6</v>
      </c>
      <c r="N42" s="1">
        <v>-4.5558966843742002E-7</v>
      </c>
      <c r="O42" s="1">
        <v>6.4175859157983702E-11</v>
      </c>
      <c r="P42" s="1">
        <v>1.4792951870497699E-9</v>
      </c>
      <c r="Q42">
        <v>64.568780856526004</v>
      </c>
      <c r="S42">
        <v>21.852450355829902</v>
      </c>
      <c r="AA42">
        <v>2.9622529936642099</v>
      </c>
      <c r="AB42">
        <v>8.84202857592242</v>
      </c>
      <c r="AC42">
        <v>1.7744872180573601</v>
      </c>
      <c r="AJ42">
        <v>0.75920363088395504</v>
      </c>
      <c r="AK42">
        <v>0.14055273459839701</v>
      </c>
      <c r="AL42">
        <v>0.10024363451764599</v>
      </c>
    </row>
    <row r="43" spans="1:38" x14ac:dyDescent="0.2">
      <c r="A43">
        <v>97</v>
      </c>
      <c r="B43">
        <v>738</v>
      </c>
      <c r="C43">
        <v>225</v>
      </c>
      <c r="D43">
        <v>0.34262028383523802</v>
      </c>
      <c r="E43">
        <v>19.789183741531101</v>
      </c>
      <c r="F43">
        <v>2.5794682165936398</v>
      </c>
      <c r="G43">
        <v>-320.12493025754276</v>
      </c>
      <c r="H43">
        <v>-278.49091878507329</v>
      </c>
      <c r="I43">
        <v>41.174911212450702</v>
      </c>
      <c r="J43">
        <v>24.337727280707401</v>
      </c>
      <c r="K43">
        <v>7.6718075509625896</v>
      </c>
      <c r="L43">
        <v>3.1957563049108449E-5</v>
      </c>
      <c r="M43">
        <v>1.8007944018080333E-6</v>
      </c>
      <c r="N43" s="1">
        <v>-4.9775630338254095E-7</v>
      </c>
      <c r="O43" s="1">
        <v>6.5403743680215805E-11</v>
      </c>
      <c r="P43" s="1">
        <v>1.6034474916343199E-9</v>
      </c>
      <c r="Q43">
        <v>64.570029067081506</v>
      </c>
      <c r="S43">
        <v>21.8552986405087</v>
      </c>
      <c r="AA43">
        <v>2.9643116048193199</v>
      </c>
      <c r="AB43">
        <v>8.85227729480685</v>
      </c>
      <c r="AC43">
        <v>1.75808339278346</v>
      </c>
      <c r="AJ43">
        <v>0.76004486656966896</v>
      </c>
      <c r="AK43">
        <v>0.140643240752749</v>
      </c>
      <c r="AL43">
        <v>9.9311892677580602E-2</v>
      </c>
    </row>
    <row r="44" spans="1:38" x14ac:dyDescent="0.2">
      <c r="A44">
        <v>98</v>
      </c>
      <c r="B44">
        <v>736</v>
      </c>
      <c r="C44">
        <v>225</v>
      </c>
      <c r="D44">
        <v>0.34117871475994799</v>
      </c>
      <c r="E44">
        <v>20.1241510775432</v>
      </c>
      <c r="F44">
        <v>2.5796964505196001</v>
      </c>
      <c r="G44">
        <v>-325.47506514149239</v>
      </c>
      <c r="H44">
        <v>-283.2690933310484</v>
      </c>
      <c r="I44">
        <v>41.823288718668202</v>
      </c>
      <c r="J44">
        <v>24.782852477800201</v>
      </c>
      <c r="K44">
        <v>7.8009763797945197</v>
      </c>
      <c r="L44">
        <v>3.2103595486224147E-5</v>
      </c>
      <c r="M44">
        <v>1.8014806240820784E-6</v>
      </c>
      <c r="N44" s="1">
        <v>-5.4053528320510102E-7</v>
      </c>
      <c r="O44" s="1">
        <v>6.6223404415195404E-11</v>
      </c>
      <c r="P44" s="1">
        <v>1.72806252801501E-9</v>
      </c>
      <c r="Q44">
        <v>64.5729044977124</v>
      </c>
      <c r="S44">
        <v>21.856899397548698</v>
      </c>
      <c r="AA44">
        <v>2.96496130333965</v>
      </c>
      <c r="AB44">
        <v>8.8628816304859903</v>
      </c>
      <c r="AC44">
        <v>1.74235317091324</v>
      </c>
      <c r="AJ44">
        <v>0.76091522590209504</v>
      </c>
      <c r="AK44">
        <v>0.14066665016782001</v>
      </c>
      <c r="AL44">
        <v>9.8418123930084603E-2</v>
      </c>
    </row>
    <row r="45" spans="1:38" x14ac:dyDescent="0.2">
      <c r="A45">
        <v>99</v>
      </c>
      <c r="B45">
        <v>734</v>
      </c>
      <c r="C45">
        <v>225</v>
      </c>
      <c r="D45">
        <v>0.33973142034453802</v>
      </c>
      <c r="E45">
        <v>20.392382859054202</v>
      </c>
      <c r="F45">
        <v>2.5799152499832498</v>
      </c>
      <c r="G45">
        <v>-329.74337062214556</v>
      </c>
      <c r="H45">
        <v>-287.10929345327634</v>
      </c>
      <c r="I45">
        <v>42.331407604497102</v>
      </c>
      <c r="J45">
        <v>25.149264357379799</v>
      </c>
      <c r="K45">
        <v>7.90428401056454</v>
      </c>
      <c r="L45">
        <v>3.2259457646846787E-5</v>
      </c>
      <c r="M45">
        <v>1.8022165992656391E-6</v>
      </c>
      <c r="N45" s="1">
        <v>-5.8497944325640903E-7</v>
      </c>
      <c r="O45" s="1">
        <v>6.6797634313317206E-11</v>
      </c>
      <c r="P45" s="1">
        <v>1.85655999601598E-9</v>
      </c>
      <c r="Q45">
        <v>64.576809386888002</v>
      </c>
      <c r="S45">
        <v>21.857705051343501</v>
      </c>
      <c r="AA45">
        <v>2.9647148234637899</v>
      </c>
      <c r="AB45">
        <v>8.8736955928075307</v>
      </c>
      <c r="AC45">
        <v>1.7270751454970501</v>
      </c>
      <c r="AJ45">
        <v>0.76180271087750195</v>
      </c>
      <c r="AK45">
        <v>0.140647398150857</v>
      </c>
      <c r="AL45">
        <v>9.7549890971639297E-2</v>
      </c>
    </row>
    <row r="46" spans="1:38" x14ac:dyDescent="0.2">
      <c r="A46">
        <v>103</v>
      </c>
      <c r="B46">
        <v>754</v>
      </c>
      <c r="C46">
        <v>210</v>
      </c>
      <c r="D46">
        <v>0.37001460351457899</v>
      </c>
      <c r="E46">
        <v>0.35861722218528203</v>
      </c>
      <c r="F46">
        <v>2.5810827201390598</v>
      </c>
      <c r="G46">
        <v>-5.8204553755506803</v>
      </c>
      <c r="H46">
        <v>-5.0472078947829067</v>
      </c>
      <c r="I46">
        <v>0.75280872391352205</v>
      </c>
      <c r="J46">
        <v>0.437782489222237</v>
      </c>
      <c r="K46">
        <v>0.13894061565216301</v>
      </c>
      <c r="L46">
        <v>3.1031191812590186E-5</v>
      </c>
      <c r="M46">
        <v>1.7923561427090078E-6</v>
      </c>
      <c r="N46" s="1">
        <v>-5.3755781930263802E-9</v>
      </c>
      <c r="O46" s="1">
        <v>1.2070706297298599E-12</v>
      </c>
      <c r="P46" s="1">
        <v>1.8650965516078901E-11</v>
      </c>
      <c r="Q46">
        <v>64.285339433954704</v>
      </c>
      <c r="S46">
        <v>22.107974738187799</v>
      </c>
      <c r="AA46">
        <v>3.23920040653439</v>
      </c>
      <c r="AB46">
        <v>8.8802849520316407</v>
      </c>
      <c r="AC46">
        <v>1.4872004692912899</v>
      </c>
      <c r="AJ46">
        <v>0.76233894778240296</v>
      </c>
      <c r="AK46">
        <v>0.153663179559902</v>
      </c>
      <c r="AL46">
        <v>8.3997872657693207E-2</v>
      </c>
    </row>
    <row r="47" spans="1:38" x14ac:dyDescent="0.2">
      <c r="A47">
        <v>104</v>
      </c>
      <c r="B47">
        <v>752</v>
      </c>
      <c r="C47">
        <v>210</v>
      </c>
      <c r="D47">
        <v>0.36864897819831499</v>
      </c>
      <c r="E47">
        <v>2.2942417958340999</v>
      </c>
      <c r="F47">
        <v>2.5785838028722701</v>
      </c>
      <c r="G47">
        <v>-37.204394011461247</v>
      </c>
      <c r="H47">
        <v>-32.271074792824997</v>
      </c>
      <c r="I47">
        <v>4.8122901220662797</v>
      </c>
      <c r="J47">
        <v>2.8025385282189799</v>
      </c>
      <c r="K47">
        <v>0.88972939071382895</v>
      </c>
      <c r="L47">
        <v>3.1180671176900234E-5</v>
      </c>
      <c r="M47">
        <v>1.7973260475050837E-6</v>
      </c>
      <c r="N47" s="1">
        <v>-3.6606098512490299E-8</v>
      </c>
      <c r="O47" s="1">
        <v>7.7442180980242492E-12</v>
      </c>
      <c r="P47" s="1">
        <v>1.2565502170459699E-10</v>
      </c>
      <c r="Q47">
        <v>64.508921673111601</v>
      </c>
      <c r="S47">
        <v>21.9166304675127</v>
      </c>
      <c r="AA47">
        <v>3.0291695650765398</v>
      </c>
      <c r="AB47">
        <v>8.8768921019647404</v>
      </c>
      <c r="AC47">
        <v>1.6683861923343499</v>
      </c>
      <c r="AJ47">
        <v>0.76206396941486898</v>
      </c>
      <c r="AK47">
        <v>0.143702678296212</v>
      </c>
      <c r="AL47">
        <v>9.4233352288917493E-2</v>
      </c>
    </row>
    <row r="48" spans="1:38" x14ac:dyDescent="0.2">
      <c r="A48">
        <v>105</v>
      </c>
      <c r="B48">
        <v>750</v>
      </c>
      <c r="C48">
        <v>210</v>
      </c>
      <c r="D48">
        <v>0.36727801397644499</v>
      </c>
      <c r="E48">
        <v>4.3486659133744503</v>
      </c>
      <c r="F48">
        <v>2.5757761661666501</v>
      </c>
      <c r="G48">
        <v>-70.448907455251103</v>
      </c>
      <c r="H48">
        <v>-61.124030583059174</v>
      </c>
      <c r="I48">
        <v>9.1138903114811303</v>
      </c>
      <c r="J48">
        <v>5.3149356702638899</v>
      </c>
      <c r="K48">
        <v>1.6882934047201199</v>
      </c>
      <c r="L48">
        <v>3.1311726086034869E-5</v>
      </c>
      <c r="M48">
        <v>1.8020290813517035E-6</v>
      </c>
      <c r="N48" s="1">
        <v>-7.3582824672811903E-8</v>
      </c>
      <c r="O48" s="1">
        <v>1.4727027759450599E-11</v>
      </c>
      <c r="P48" s="1">
        <v>2.50136795579702E-10</v>
      </c>
      <c r="Q48">
        <v>64.731727785816503</v>
      </c>
      <c r="S48">
        <v>21.714530290181401</v>
      </c>
      <c r="AA48">
        <v>2.8104460889929301</v>
      </c>
      <c r="AB48">
        <v>8.8435716880516093</v>
      </c>
      <c r="AC48">
        <v>1.8997241469574599</v>
      </c>
      <c r="AJ48">
        <v>0.75933277835687296</v>
      </c>
      <c r="AK48">
        <v>0.13334922505887101</v>
      </c>
      <c r="AL48">
        <v>0.10731799658425401</v>
      </c>
    </row>
    <row r="49" spans="1:38" x14ac:dyDescent="0.2">
      <c r="A49">
        <v>106</v>
      </c>
      <c r="B49">
        <v>748</v>
      </c>
      <c r="C49">
        <v>210</v>
      </c>
      <c r="D49">
        <v>0.36590167947901903</v>
      </c>
      <c r="E49">
        <v>15.3960466402535</v>
      </c>
      <c r="F49">
        <v>2.5770550491895801</v>
      </c>
      <c r="G49">
        <v>-249.38950540495784</v>
      </c>
      <c r="H49">
        <v>-216.48395901317556</v>
      </c>
      <c r="I49">
        <v>32.224008609687303</v>
      </c>
      <c r="J49">
        <v>18.8288073800577</v>
      </c>
      <c r="K49">
        <v>5.9742793019090401</v>
      </c>
      <c r="L49">
        <v>3.1343875616656474E-5</v>
      </c>
      <c r="M49">
        <v>1.7998373296349506E-6</v>
      </c>
      <c r="N49" s="1">
        <v>-2.7631569405150799E-7</v>
      </c>
      <c r="O49" s="1">
        <v>5.1889694584750401E-11</v>
      </c>
      <c r="P49" s="1">
        <v>9.3087592354921903E-10</v>
      </c>
      <c r="Q49">
        <v>64.614933612410098</v>
      </c>
      <c r="S49">
        <v>21.8019545028313</v>
      </c>
      <c r="AA49">
        <v>2.9098242832671501</v>
      </c>
      <c r="AB49">
        <v>8.8124960742535396</v>
      </c>
      <c r="AC49">
        <v>1.8607915272378299</v>
      </c>
      <c r="AJ49">
        <v>0.75677981897305302</v>
      </c>
      <c r="AK49">
        <v>0.13808552640628399</v>
      </c>
      <c r="AL49">
        <v>0.105134654620662</v>
      </c>
    </row>
    <row r="50" spans="1:38" x14ac:dyDescent="0.2">
      <c r="A50">
        <v>107</v>
      </c>
      <c r="B50">
        <v>746</v>
      </c>
      <c r="C50">
        <v>210</v>
      </c>
      <c r="D50">
        <v>0.36451994308983099</v>
      </c>
      <c r="E50">
        <v>17.7651812544999</v>
      </c>
      <c r="F50">
        <v>2.5776472613346302</v>
      </c>
      <c r="G50">
        <v>-287.71964203932271</v>
      </c>
      <c r="H50">
        <v>-249.87020599840184</v>
      </c>
      <c r="I50">
        <v>37.138238768503903</v>
      </c>
      <c r="J50">
        <v>21.745340152214901</v>
      </c>
      <c r="K50">
        <v>6.8920140940081698</v>
      </c>
      <c r="L50">
        <v>3.14321235889314E-5</v>
      </c>
      <c r="M50">
        <v>1.7995809292423516E-6</v>
      </c>
      <c r="N50" s="1">
        <v>-3.3975003640048801E-7</v>
      </c>
      <c r="O50" s="1">
        <v>5.9649986923264401E-11</v>
      </c>
      <c r="P50" s="1">
        <v>1.13398497670444E-9</v>
      </c>
      <c r="Q50">
        <v>64.580433943977397</v>
      </c>
      <c r="S50">
        <v>21.832003378035299</v>
      </c>
      <c r="AA50">
        <v>2.9426649389744099</v>
      </c>
      <c r="AB50">
        <v>8.8143924459172798</v>
      </c>
      <c r="AC50">
        <v>1.8305052930954699</v>
      </c>
      <c r="AJ50">
        <v>0.75693500173121397</v>
      </c>
      <c r="AK50">
        <v>0.139642562714483</v>
      </c>
      <c r="AL50">
        <v>0.103422435554302</v>
      </c>
    </row>
    <row r="51" spans="1:38" x14ac:dyDescent="0.2">
      <c r="A51">
        <v>108</v>
      </c>
      <c r="B51">
        <v>744</v>
      </c>
      <c r="C51">
        <v>210</v>
      </c>
      <c r="D51">
        <v>0.36313277294401303</v>
      </c>
      <c r="E51">
        <v>18.754286668539901</v>
      </c>
      <c r="F51">
        <v>2.5780335961738401</v>
      </c>
      <c r="G51">
        <v>-303.68171297950215</v>
      </c>
      <c r="H51">
        <v>-263.84982958691972</v>
      </c>
      <c r="I51">
        <v>39.160284513181303</v>
      </c>
      <c r="J51">
        <v>22.978485800874701</v>
      </c>
      <c r="K51">
        <v>7.2746478930196403</v>
      </c>
      <c r="L51">
        <v>3.1537050323217889E-5</v>
      </c>
      <c r="M51">
        <v>1.7998066784739998E-6</v>
      </c>
      <c r="N51" s="1">
        <v>-3.8253199103252198E-7</v>
      </c>
      <c r="O51" s="1">
        <v>6.2746261455701202E-11</v>
      </c>
      <c r="P51" s="1">
        <v>1.26531857885201E-9</v>
      </c>
      <c r="Q51">
        <v>64.566883047310199</v>
      </c>
      <c r="S51">
        <v>21.846111420237399</v>
      </c>
      <c r="AA51">
        <v>2.9574661347306801</v>
      </c>
      <c r="AB51">
        <v>8.82118106606789</v>
      </c>
      <c r="AC51">
        <v>1.8083583316537299</v>
      </c>
      <c r="AJ51">
        <v>0.75749216988930601</v>
      </c>
      <c r="AK51">
        <v>0.14034016473313399</v>
      </c>
      <c r="AL51">
        <v>0.102167665377559</v>
      </c>
    </row>
    <row r="52" spans="1:38" x14ac:dyDescent="0.2">
      <c r="A52">
        <v>109</v>
      </c>
      <c r="B52">
        <v>742</v>
      </c>
      <c r="C52">
        <v>210</v>
      </c>
      <c r="D52">
        <v>0.361740136925575</v>
      </c>
      <c r="E52">
        <v>19.3277237257862</v>
      </c>
      <c r="F52">
        <v>2.5783380478557398</v>
      </c>
      <c r="G52">
        <v>-312.90464296557769</v>
      </c>
      <c r="H52">
        <v>-271.98295898981729</v>
      </c>
      <c r="I52">
        <v>40.310972738768001</v>
      </c>
      <c r="J52">
        <v>23.706206502481301</v>
      </c>
      <c r="K52">
        <v>7.4961945901004103</v>
      </c>
      <c r="L52">
        <v>3.1653069412013799E-5</v>
      </c>
      <c r="M52">
        <v>1.8002388134583283E-6</v>
      </c>
      <c r="N52" s="1">
        <v>-4.2066140077046901E-7</v>
      </c>
      <c r="O52" s="1">
        <v>6.4429486158596998E-11</v>
      </c>
      <c r="P52" s="1">
        <v>1.37941518477127E-9</v>
      </c>
      <c r="Q52">
        <v>64.561730645936294</v>
      </c>
      <c r="S52">
        <v>21.8538305199584</v>
      </c>
      <c r="AA52">
        <v>2.96503671346048</v>
      </c>
      <c r="AB52">
        <v>8.8299358393369705</v>
      </c>
      <c r="AC52">
        <v>1.7894662813077</v>
      </c>
      <c r="AJ52">
        <v>0.75821083927727395</v>
      </c>
      <c r="AK52">
        <v>0.140693264415682</v>
      </c>
      <c r="AL52">
        <v>0.10109589630704301</v>
      </c>
    </row>
    <row r="53" spans="1:38" x14ac:dyDescent="0.2">
      <c r="A53">
        <v>110</v>
      </c>
      <c r="B53">
        <v>740</v>
      </c>
      <c r="C53">
        <v>210</v>
      </c>
      <c r="D53">
        <v>0.36034200266496003</v>
      </c>
      <c r="E53">
        <v>19.7237394486034</v>
      </c>
      <c r="F53">
        <v>2.5786035659088098</v>
      </c>
      <c r="G53">
        <v>-319.25034608227611</v>
      </c>
      <c r="H53">
        <v>-277.62063188166775</v>
      </c>
      <c r="I53">
        <v>41.089388738694403</v>
      </c>
      <c r="J53">
        <v>24.219597254185601</v>
      </c>
      <c r="K53">
        <v>7.6490002997618003</v>
      </c>
      <c r="L53">
        <v>3.1778547683318341E-5</v>
      </c>
      <c r="M53">
        <v>1.8007819306581923E-6</v>
      </c>
      <c r="N53" s="1">
        <v>-4.5821196236203299E-7</v>
      </c>
      <c r="O53" s="1">
        <v>6.5499473006387701E-11</v>
      </c>
      <c r="P53" s="1">
        <v>1.4900754294133201E-9</v>
      </c>
      <c r="Q53">
        <v>64.560603999459502</v>
      </c>
      <c r="S53">
        <v>21.858480799255901</v>
      </c>
      <c r="AA53">
        <v>2.9691361290490899</v>
      </c>
      <c r="AB53">
        <v>8.8396164798277308</v>
      </c>
      <c r="AC53">
        <v>1.7721625924076501</v>
      </c>
      <c r="AJ53">
        <v>0.75900550858425697</v>
      </c>
      <c r="AK53">
        <v>0.140880993257401</v>
      </c>
      <c r="AL53">
        <v>0.100113498158341</v>
      </c>
    </row>
    <row r="54" spans="1:38" x14ac:dyDescent="0.2">
      <c r="A54">
        <v>111</v>
      </c>
      <c r="B54">
        <v>738</v>
      </c>
      <c r="C54">
        <v>210</v>
      </c>
      <c r="D54">
        <v>0.35893833753646798</v>
      </c>
      <c r="E54">
        <v>20.026789268819702</v>
      </c>
      <c r="F54">
        <v>2.5788475301938201</v>
      </c>
      <c r="G54">
        <v>-324.08799221679249</v>
      </c>
      <c r="H54">
        <v>-281.9509080019422</v>
      </c>
      <c r="I54">
        <v>41.672436547347303</v>
      </c>
      <c r="J54">
        <v>24.621945568143499</v>
      </c>
      <c r="K54">
        <v>7.7657903518299598</v>
      </c>
      <c r="L54">
        <v>3.191314928088784E-5</v>
      </c>
      <c r="M54">
        <v>1.8013982656766097E-6</v>
      </c>
      <c r="N54" s="1">
        <v>-4.9672922128911803E-7</v>
      </c>
      <c r="O54" s="1">
        <v>6.6238556934825298E-11</v>
      </c>
      <c r="P54" s="1">
        <v>1.60246189814601E-9</v>
      </c>
      <c r="Q54">
        <v>64.561731630208996</v>
      </c>
      <c r="S54">
        <v>21.861406043159601</v>
      </c>
      <c r="AA54">
        <v>2.9712863680020498</v>
      </c>
      <c r="AB54">
        <v>8.8497982516930804</v>
      </c>
      <c r="AC54">
        <v>1.75577770693611</v>
      </c>
      <c r="AJ54">
        <v>0.75984126761729298</v>
      </c>
      <c r="AK54">
        <v>0.14097587775718101</v>
      </c>
      <c r="AL54">
        <v>9.9182854625524605E-2</v>
      </c>
    </row>
    <row r="55" spans="1:38" x14ac:dyDescent="0.2">
      <c r="A55">
        <v>112</v>
      </c>
      <c r="B55">
        <v>736</v>
      </c>
      <c r="C55">
        <v>210</v>
      </c>
      <c r="D55">
        <v>0.35752910865580001</v>
      </c>
      <c r="E55">
        <v>20.274419962973599</v>
      </c>
      <c r="F55">
        <v>2.5790780245903902</v>
      </c>
      <c r="G55">
        <v>-328.02632906473622</v>
      </c>
      <c r="H55">
        <v>-285.50199429333003</v>
      </c>
      <c r="I55">
        <v>42.138765071006503</v>
      </c>
      <c r="J55">
        <v>24.959271210691899</v>
      </c>
      <c r="K55">
        <v>7.8611115172421302</v>
      </c>
      <c r="L55">
        <v>3.2057037901464114E-5</v>
      </c>
      <c r="M55">
        <v>1.8020711964366038E-6</v>
      </c>
      <c r="N55" s="1">
        <v>-5.3699234995745099E-7</v>
      </c>
      <c r="O55" s="1">
        <v>6.6771516156595296E-11</v>
      </c>
      <c r="P55" s="1">
        <v>1.7191128252295599E-9</v>
      </c>
      <c r="Q55">
        <v>64.564291768034806</v>
      </c>
      <c r="S55">
        <v>21.863229558033201</v>
      </c>
      <c r="AA55">
        <v>2.97219341328173</v>
      </c>
      <c r="AB55">
        <v>8.8602839628827397</v>
      </c>
      <c r="AC55">
        <v>1.7400012977674799</v>
      </c>
      <c r="AJ55">
        <v>0.76070190802331905</v>
      </c>
      <c r="AK55">
        <v>0.14101156172731399</v>
      </c>
      <c r="AL55">
        <v>9.8286530249365997E-2</v>
      </c>
    </row>
    <row r="56" spans="1:38" x14ac:dyDescent="0.2">
      <c r="A56">
        <v>115</v>
      </c>
      <c r="B56">
        <v>758</v>
      </c>
      <c r="C56">
        <v>195</v>
      </c>
      <c r="D56">
        <v>0.38873151335887302</v>
      </c>
      <c r="E56">
        <v>0.14752538678347599</v>
      </c>
      <c r="F56">
        <v>2.5803393616368102</v>
      </c>
      <c r="G56">
        <v>-2.3967756528622193</v>
      </c>
      <c r="H56">
        <v>-2.0766963487702657</v>
      </c>
      <c r="I56">
        <v>0.31041003160738301</v>
      </c>
      <c r="J56">
        <v>0.17985865780938801</v>
      </c>
      <c r="K56">
        <v>5.7172862212161002E-2</v>
      </c>
      <c r="L56">
        <v>3.0868185460329179E-5</v>
      </c>
      <c r="M56">
        <v>1.7924545221145946E-6</v>
      </c>
      <c r="N56" s="1">
        <v>-1.9316299857674798E-9</v>
      </c>
      <c r="O56" s="1">
        <v>4.98706487834786E-13</v>
      </c>
      <c r="P56" s="1">
        <v>6.8656613479814903E-12</v>
      </c>
      <c r="Q56">
        <v>64.278315080572895</v>
      </c>
      <c r="S56">
        <v>22.122041238930301</v>
      </c>
      <c r="AA56">
        <v>3.2524444505089498</v>
      </c>
      <c r="AB56">
        <v>8.9015087176171903</v>
      </c>
      <c r="AC56">
        <v>1.4456905123705599</v>
      </c>
      <c r="AJ56">
        <v>0.76408012277762005</v>
      </c>
      <c r="AK56">
        <v>0.154275143312497</v>
      </c>
      <c r="AL56">
        <v>8.1644733909882194E-2</v>
      </c>
    </row>
    <row r="57" spans="1:38" x14ac:dyDescent="0.2">
      <c r="A57">
        <v>116</v>
      </c>
      <c r="B57">
        <v>756</v>
      </c>
      <c r="C57">
        <v>195</v>
      </c>
      <c r="D57">
        <v>0.38740756935335302</v>
      </c>
      <c r="E57">
        <v>2.0392407087768398</v>
      </c>
      <c r="F57">
        <v>2.5779867921541202</v>
      </c>
      <c r="G57">
        <v>-33.103868128475575</v>
      </c>
      <c r="H57">
        <v>-28.691452776550157</v>
      </c>
      <c r="I57">
        <v>4.2874365757425101</v>
      </c>
      <c r="J57">
        <v>2.4876170963662099</v>
      </c>
      <c r="K57">
        <v>0.79102061926115896</v>
      </c>
      <c r="L57">
        <v>3.1008471723947561E-5</v>
      </c>
      <c r="M57">
        <v>1.7972621966576292E-6</v>
      </c>
      <c r="N57" s="1">
        <v>-2.8428564861384299E-8</v>
      </c>
      <c r="O57" s="1">
        <v>6.91328389327286E-12</v>
      </c>
      <c r="P57" s="1">
        <v>9.9857482358855001E-11</v>
      </c>
      <c r="Q57">
        <v>64.493426360985595</v>
      </c>
      <c r="S57">
        <v>21.939712795656099</v>
      </c>
      <c r="AA57">
        <v>3.0518283413891401</v>
      </c>
      <c r="AB57">
        <v>8.9028749538528498</v>
      </c>
      <c r="AC57">
        <v>1.6121575481161801</v>
      </c>
      <c r="AJ57">
        <v>0.76419549962927802</v>
      </c>
      <c r="AK57">
        <v>0.14475884005877801</v>
      </c>
      <c r="AL57">
        <v>9.1045660311943402E-2</v>
      </c>
    </row>
    <row r="58" spans="1:38" x14ac:dyDescent="0.2">
      <c r="A58">
        <v>117</v>
      </c>
      <c r="B58">
        <v>754</v>
      </c>
      <c r="C58">
        <v>195</v>
      </c>
      <c r="D58">
        <v>0.38607846955167302</v>
      </c>
      <c r="E58">
        <v>4.0233459973095202</v>
      </c>
      <c r="F58">
        <v>2.5754048546267301</v>
      </c>
      <c r="G58">
        <v>-65.252126932635093</v>
      </c>
      <c r="H58">
        <v>-56.570742633386196</v>
      </c>
      <c r="I58">
        <v>8.4519148121003695</v>
      </c>
      <c r="J58">
        <v>4.9103198975523297</v>
      </c>
      <c r="K58">
        <v>1.56221884496394</v>
      </c>
      <c r="L58">
        <v>3.1133285230397076E-5</v>
      </c>
      <c r="M58">
        <v>1.8017940835645418E-6</v>
      </c>
      <c r="N58" s="1">
        <v>-5.9526338750778798E-8</v>
      </c>
      <c r="O58" s="1">
        <v>1.36823071653604E-11</v>
      </c>
      <c r="P58" s="1">
        <v>2.06844457761481E-10</v>
      </c>
      <c r="Q58">
        <v>64.705291406963894</v>
      </c>
      <c r="S58">
        <v>21.750543950414102</v>
      </c>
      <c r="AA58">
        <v>2.8463262950321102</v>
      </c>
      <c r="AB58">
        <v>8.8790741276360095</v>
      </c>
      <c r="AC58">
        <v>1.8187642199537299</v>
      </c>
      <c r="AJ58">
        <v>0.76224601863953401</v>
      </c>
      <c r="AK58">
        <v>0.13502772736145599</v>
      </c>
      <c r="AL58">
        <v>0.102726253999008</v>
      </c>
    </row>
    <row r="59" spans="1:38" x14ac:dyDescent="0.2">
      <c r="A59">
        <v>118</v>
      </c>
      <c r="B59">
        <v>752</v>
      </c>
      <c r="C59">
        <v>195</v>
      </c>
      <c r="D59">
        <v>0.38474418377798603</v>
      </c>
      <c r="E59">
        <v>11.041719705430999</v>
      </c>
      <c r="F59">
        <v>2.57461413268366</v>
      </c>
      <c r="G59">
        <v>-178.96267796495204</v>
      </c>
      <c r="H59">
        <v>-155.2107572296037</v>
      </c>
      <c r="I59">
        <v>23.169214978635601</v>
      </c>
      <c r="J59">
        <v>13.480353169627399</v>
      </c>
      <c r="K59">
        <v>4.2886891535554597</v>
      </c>
      <c r="L59">
        <v>3.1180142622847238E-5</v>
      </c>
      <c r="M59">
        <v>1.8024087555982473E-6</v>
      </c>
      <c r="N59" s="1">
        <v>-1.7255379546426701E-7</v>
      </c>
      <c r="O59" s="1">
        <v>3.7533795084555997E-11</v>
      </c>
      <c r="P59" s="1">
        <v>5.9394860039696705E-10</v>
      </c>
      <c r="Q59">
        <v>64.738421713749503</v>
      </c>
      <c r="S59">
        <v>21.699612829323801</v>
      </c>
      <c r="AA59">
        <v>2.7965770944715702</v>
      </c>
      <c r="AB59">
        <v>8.8193806844959806</v>
      </c>
      <c r="AC59">
        <v>1.9460076779589901</v>
      </c>
      <c r="AJ59">
        <v>0.75734696219584696</v>
      </c>
      <c r="AK59">
        <v>0.13270716917158901</v>
      </c>
      <c r="AL59">
        <v>0.109945868632562</v>
      </c>
    </row>
    <row r="60" spans="1:38" x14ac:dyDescent="0.2">
      <c r="A60">
        <v>119</v>
      </c>
      <c r="B60">
        <v>750</v>
      </c>
      <c r="C60">
        <v>195</v>
      </c>
      <c r="D60">
        <v>0.38340468162048602</v>
      </c>
      <c r="E60">
        <v>16.639657196703499</v>
      </c>
      <c r="F60">
        <v>2.5761614698364901</v>
      </c>
      <c r="G60">
        <v>-269.68808946685829</v>
      </c>
      <c r="H60">
        <v>-234.01179352160418</v>
      </c>
      <c r="I60">
        <v>34.869076816941799</v>
      </c>
      <c r="J60">
        <v>20.3275122947277</v>
      </c>
      <c r="K60">
        <v>6.4590893822193802</v>
      </c>
      <c r="L60">
        <v>3.121078939033122E-5</v>
      </c>
      <c r="M60">
        <v>1.8000245379017241E-6</v>
      </c>
      <c r="N60" s="1">
        <v>-2.7615995422202602E-7</v>
      </c>
      <c r="O60" s="1">
        <v>5.6273091773147298E-11</v>
      </c>
      <c r="P60" s="1">
        <v>9.4141293999650705E-10</v>
      </c>
      <c r="Q60">
        <v>64.608687730250594</v>
      </c>
      <c r="S60">
        <v>21.802618308332899</v>
      </c>
      <c r="AA60">
        <v>2.9118293208180601</v>
      </c>
      <c r="AB60">
        <v>8.8003177131749801</v>
      </c>
      <c r="AC60">
        <v>1.8765469274233699</v>
      </c>
      <c r="AJ60">
        <v>0.75577971576456004</v>
      </c>
      <c r="AK60">
        <v>0.13818903543621999</v>
      </c>
      <c r="AL60">
        <v>0.10603124879921901</v>
      </c>
    </row>
    <row r="61" spans="1:38" x14ac:dyDescent="0.2">
      <c r="A61">
        <v>120</v>
      </c>
      <c r="B61">
        <v>748</v>
      </c>
      <c r="C61">
        <v>195</v>
      </c>
      <c r="D61">
        <v>0.382059932429125</v>
      </c>
      <c r="E61">
        <v>18.105429074798302</v>
      </c>
      <c r="F61">
        <v>2.5767470425307302</v>
      </c>
      <c r="G61">
        <v>-293.39783177861091</v>
      </c>
      <c r="H61">
        <v>-254.70071404481723</v>
      </c>
      <c r="I61">
        <v>37.895625259554201</v>
      </c>
      <c r="J61">
        <v>22.136043209297998</v>
      </c>
      <c r="K61">
        <v>7.0264673931734603</v>
      </c>
      <c r="L61">
        <v>3.1292274350765485E-5</v>
      </c>
      <c r="M61">
        <v>1.7997653166788809E-6</v>
      </c>
      <c r="N61" s="1">
        <v>-3.2013353921507E-7</v>
      </c>
      <c r="O61" s="1">
        <v>6.1015458106522498E-11</v>
      </c>
      <c r="P61" s="1">
        <v>1.0806769954983099E-9</v>
      </c>
      <c r="Q61">
        <v>64.574983090803002</v>
      </c>
      <c r="S61">
        <v>21.832128898636199</v>
      </c>
      <c r="AA61">
        <v>2.9440403768257402</v>
      </c>
      <c r="AB61">
        <v>8.8025745804553406</v>
      </c>
      <c r="AC61">
        <v>1.8462730532795599</v>
      </c>
      <c r="AJ61">
        <v>0.755964532843307</v>
      </c>
      <c r="AK61">
        <v>0.13971603727252399</v>
      </c>
      <c r="AL61">
        <v>0.10431942988416799</v>
      </c>
    </row>
    <row r="62" spans="1:38" x14ac:dyDescent="0.2">
      <c r="A62">
        <v>121</v>
      </c>
      <c r="B62">
        <v>746</v>
      </c>
      <c r="C62">
        <v>195</v>
      </c>
      <c r="D62">
        <v>0.38070990531325299</v>
      </c>
      <c r="E62">
        <v>18.848000790142301</v>
      </c>
      <c r="F62">
        <v>2.5771535009043101</v>
      </c>
      <c r="G62">
        <v>-305.37458970596606</v>
      </c>
      <c r="H62">
        <v>-265.21602663299097</v>
      </c>
      <c r="I62">
        <v>39.4039769150518</v>
      </c>
      <c r="J62">
        <v>23.0645232787273</v>
      </c>
      <c r="K62">
        <v>7.3134956002925904</v>
      </c>
      <c r="L62">
        <v>3.1388381851463852E-5</v>
      </c>
      <c r="M62">
        <v>1.799922519180685E-6</v>
      </c>
      <c r="N62" s="1">
        <v>-3.55331922728982E-7</v>
      </c>
      <c r="O62" s="1">
        <v>6.33045124359377E-11</v>
      </c>
      <c r="P62" s="1">
        <v>1.18817339698937E-9</v>
      </c>
      <c r="Q62">
        <v>64.559369533793998</v>
      </c>
      <c r="S62">
        <v>21.847832116231402</v>
      </c>
      <c r="AA62">
        <v>2.9606389022069002</v>
      </c>
      <c r="AB62">
        <v>8.8089486323094608</v>
      </c>
      <c r="AC62">
        <v>1.8232108154581499</v>
      </c>
      <c r="AJ62">
        <v>0.756487694750686</v>
      </c>
      <c r="AK62">
        <v>0.14049925528707999</v>
      </c>
      <c r="AL62">
        <v>0.103013049962232</v>
      </c>
    </row>
    <row r="63" spans="1:38" x14ac:dyDescent="0.2">
      <c r="A63">
        <v>122</v>
      </c>
      <c r="B63">
        <v>744</v>
      </c>
      <c r="C63">
        <v>195</v>
      </c>
      <c r="D63">
        <v>0.37935456913926302</v>
      </c>
      <c r="E63">
        <v>19.319004839093001</v>
      </c>
      <c r="F63">
        <v>2.5774771350272001</v>
      </c>
      <c r="G63">
        <v>-312.94409744370444</v>
      </c>
      <c r="H63">
        <v>-271.91020302687537</v>
      </c>
      <c r="I63">
        <v>40.342028625894898</v>
      </c>
      <c r="J63">
        <v>23.663851361958201</v>
      </c>
      <c r="K63">
        <v>7.4953157009825997</v>
      </c>
      <c r="L63">
        <v>3.1494973518431037E-5</v>
      </c>
      <c r="M63">
        <v>1.8002848343032513E-6</v>
      </c>
      <c r="N63" s="1">
        <v>-3.8851639415846799E-7</v>
      </c>
      <c r="O63" s="1">
        <v>6.4665320026827698E-11</v>
      </c>
      <c r="P63" s="1">
        <v>1.28732800711304E-9</v>
      </c>
      <c r="Q63">
        <v>64.552188769027396</v>
      </c>
      <c r="S63">
        <v>21.857104042384801</v>
      </c>
      <c r="AA63">
        <v>2.9699638695113602</v>
      </c>
      <c r="AB63">
        <v>8.8172542428882004</v>
      </c>
      <c r="AC63">
        <v>1.8034890761881299</v>
      </c>
      <c r="AJ63">
        <v>0.75716954260888703</v>
      </c>
      <c r="AK63">
        <v>0.14093593097805601</v>
      </c>
      <c r="AL63">
        <v>0.10189452641305601</v>
      </c>
    </row>
    <row r="64" spans="1:38" x14ac:dyDescent="0.2">
      <c r="A64">
        <v>123</v>
      </c>
      <c r="B64">
        <v>742</v>
      </c>
      <c r="C64">
        <v>195</v>
      </c>
      <c r="D64">
        <v>0.37799389252819798</v>
      </c>
      <c r="E64">
        <v>19.6612399385026</v>
      </c>
      <c r="F64">
        <v>2.5777578264333298</v>
      </c>
      <c r="G64">
        <v>-318.42317973565127</v>
      </c>
      <c r="H64">
        <v>-276.79252806879003</v>
      </c>
      <c r="I64">
        <v>41.0093598649078</v>
      </c>
      <c r="J64">
        <v>24.1082857075709</v>
      </c>
      <c r="K64">
        <v>7.6272641816421398</v>
      </c>
      <c r="L64">
        <v>3.1610579172742552E-5</v>
      </c>
      <c r="M64">
        <v>1.8007646252298448E-6</v>
      </c>
      <c r="N64" s="1">
        <v>-4.2193231978659298E-7</v>
      </c>
      <c r="O64" s="1">
        <v>6.5577467884536295E-11</v>
      </c>
      <c r="P64" s="1">
        <v>1.38584078550739E-9</v>
      </c>
      <c r="Q64">
        <v>64.549412339126306</v>
      </c>
      <c r="S64">
        <v>21.863012540699099</v>
      </c>
      <c r="AA64">
        <v>2.9754862830800399</v>
      </c>
      <c r="AB64">
        <v>8.8265570142079692</v>
      </c>
      <c r="AC64">
        <v>1.7855318228864501</v>
      </c>
      <c r="AJ64">
        <v>0.75793326517056903</v>
      </c>
      <c r="AK64">
        <v>0.141191444161304</v>
      </c>
      <c r="AL64">
        <v>0.10087529066812601</v>
      </c>
    </row>
    <row r="65" spans="1:38" x14ac:dyDescent="0.2">
      <c r="A65">
        <v>124</v>
      </c>
      <c r="B65">
        <v>740</v>
      </c>
      <c r="C65">
        <v>195</v>
      </c>
      <c r="D65">
        <v>0.37662784385333098</v>
      </c>
      <c r="E65">
        <v>19.9319143332912</v>
      </c>
      <c r="F65">
        <v>2.5780135916418598</v>
      </c>
      <c r="G65">
        <v>-322.74015211980463</v>
      </c>
      <c r="H65">
        <v>-280.66811626956149</v>
      </c>
      <c r="I65">
        <v>41.525969353247902</v>
      </c>
      <c r="J65">
        <v>24.467724239893698</v>
      </c>
      <c r="K65">
        <v>7.7315008725757597</v>
      </c>
      <c r="L65">
        <v>3.173481039788748E-5</v>
      </c>
      <c r="M65">
        <v>1.8013229472520369E-6</v>
      </c>
      <c r="N65" s="1">
        <v>-4.5657253992348902E-7</v>
      </c>
      <c r="O65" s="1">
        <v>6.6231992968487502E-11</v>
      </c>
      <c r="P65" s="1">
        <v>1.4870477427764001E-9</v>
      </c>
      <c r="Q65">
        <v>64.549216165157503</v>
      </c>
      <c r="S65">
        <v>21.8669449381288</v>
      </c>
      <c r="AA65">
        <v>2.9787763257378002</v>
      </c>
      <c r="AB65">
        <v>8.8364291421455299</v>
      </c>
      <c r="AC65">
        <v>1.7686334288301899</v>
      </c>
      <c r="AJ65">
        <v>0.75874369420480703</v>
      </c>
      <c r="AK65">
        <v>0.141340615875689</v>
      </c>
      <c r="AL65">
        <v>9.9915689919503503E-2</v>
      </c>
    </row>
    <row r="66" spans="1:38" x14ac:dyDescent="0.2">
      <c r="A66">
        <v>125</v>
      </c>
      <c r="B66">
        <v>738</v>
      </c>
      <c r="C66">
        <v>195</v>
      </c>
      <c r="D66">
        <v>0.37525639123770199</v>
      </c>
      <c r="E66">
        <v>20.1582784321579</v>
      </c>
      <c r="F66">
        <v>2.5782533284000801</v>
      </c>
      <c r="G66">
        <v>-326.33724662599855</v>
      </c>
      <c r="H66">
        <v>-283.92049846507564</v>
      </c>
      <c r="I66">
        <v>41.949016625548097</v>
      </c>
      <c r="J66">
        <v>24.775550782268901</v>
      </c>
      <c r="K66">
        <v>7.8185794274401204</v>
      </c>
      <c r="L66">
        <v>3.1867757154010406E-5</v>
      </c>
      <c r="M66">
        <v>1.8019413834681925E-6</v>
      </c>
      <c r="N66" s="1">
        <v>-4.9299630879892204E-7</v>
      </c>
      <c r="O66" s="1">
        <v>6.6719187095775695E-11</v>
      </c>
      <c r="P66" s="1">
        <v>1.59276861455197E-9</v>
      </c>
      <c r="Q66">
        <v>64.550700743237698</v>
      </c>
      <c r="S66">
        <v>21.869585151865</v>
      </c>
      <c r="AA66">
        <v>2.9806081231042501</v>
      </c>
      <c r="AB66">
        <v>8.8466591083578194</v>
      </c>
      <c r="AC66">
        <v>1.7524468734351299</v>
      </c>
      <c r="AJ66">
        <v>0.75958344082714202</v>
      </c>
      <c r="AK66">
        <v>0.14142033662901299</v>
      </c>
      <c r="AL66">
        <v>9.8996222543843895E-2</v>
      </c>
    </row>
    <row r="67" spans="1:38" x14ac:dyDescent="0.2">
      <c r="A67">
        <v>127</v>
      </c>
      <c r="B67">
        <v>762</v>
      </c>
      <c r="C67">
        <v>180</v>
      </c>
      <c r="D67">
        <v>0.40730377240013699</v>
      </c>
      <c r="E67">
        <v>0.31666005584687101</v>
      </c>
      <c r="F67">
        <v>2.5790674973074901</v>
      </c>
      <c r="G67">
        <v>-5.1491897542170397</v>
      </c>
      <c r="H67">
        <v>-4.4578264607034876</v>
      </c>
      <c r="I67">
        <v>0.66788706324064395</v>
      </c>
      <c r="J67">
        <v>0.38564223061901198</v>
      </c>
      <c r="K67">
        <v>0.122780833063678</v>
      </c>
      <c r="L67">
        <v>3.0740042614401266E-5</v>
      </c>
      <c r="M67">
        <v>1.7935667160504728E-6</v>
      </c>
      <c r="N67" s="1">
        <v>-3.6249368244317802E-9</v>
      </c>
      <c r="O67" s="1">
        <v>1.0755719660218101E-12</v>
      </c>
      <c r="P67" s="1">
        <v>1.3228035099991499E-11</v>
      </c>
      <c r="Q67">
        <v>64.317230470907305</v>
      </c>
      <c r="S67">
        <v>22.097293967475402</v>
      </c>
      <c r="AA67">
        <v>3.2229473238398598</v>
      </c>
      <c r="AB67">
        <v>8.9233513889337406</v>
      </c>
      <c r="AC67">
        <v>1.4391768488436101</v>
      </c>
      <c r="AJ67">
        <v>0.76587239662303896</v>
      </c>
      <c r="AK67">
        <v>0.15285949469082699</v>
      </c>
      <c r="AL67">
        <v>8.1268108686133697E-2</v>
      </c>
    </row>
    <row r="68" spans="1:38" x14ac:dyDescent="0.2">
      <c r="A68">
        <v>128</v>
      </c>
      <c r="B68">
        <v>760</v>
      </c>
      <c r="C68">
        <v>180</v>
      </c>
      <c r="D68">
        <v>0.40602090693510101</v>
      </c>
      <c r="E68">
        <v>2.1064276459080999</v>
      </c>
      <c r="F68">
        <v>2.5769047052394001</v>
      </c>
      <c r="G68">
        <v>-34.226447608426135</v>
      </c>
      <c r="H68">
        <v>-29.640037666718946</v>
      </c>
      <c r="I68">
        <v>4.4392488425758003</v>
      </c>
      <c r="J68">
        <v>2.5665539255660201</v>
      </c>
      <c r="K68">
        <v>0.81742551116666695</v>
      </c>
      <c r="L68">
        <v>3.0867283091154754E-5</v>
      </c>
      <c r="M68">
        <v>1.7980330317826858E-6</v>
      </c>
      <c r="N68" s="1">
        <v>-2.56703048652456E-8</v>
      </c>
      <c r="O68" s="1">
        <v>7.1741824645225001E-12</v>
      </c>
      <c r="P68" s="1">
        <v>9.2469481719548203E-11</v>
      </c>
      <c r="Q68">
        <v>64.5166995941496</v>
      </c>
      <c r="S68">
        <v>21.9286604668847</v>
      </c>
      <c r="AA68">
        <v>3.0372795661925398</v>
      </c>
      <c r="AB68">
        <v>8.9257629893227506</v>
      </c>
      <c r="AC68">
        <v>1.5915973834503301</v>
      </c>
      <c r="AJ68">
        <v>0.76607325315564201</v>
      </c>
      <c r="AK68">
        <v>0.14405240310606299</v>
      </c>
      <c r="AL68">
        <v>8.98743437382932E-2</v>
      </c>
    </row>
    <row r="69" spans="1:38" x14ac:dyDescent="0.2">
      <c r="A69">
        <v>129</v>
      </c>
      <c r="B69">
        <v>758</v>
      </c>
      <c r="C69">
        <v>180</v>
      </c>
      <c r="D69">
        <v>0.40473306502448703</v>
      </c>
      <c r="E69">
        <v>4.0462027951194903</v>
      </c>
      <c r="F69">
        <v>2.5744684078364601</v>
      </c>
      <c r="G69">
        <v>-65.686786599214358</v>
      </c>
      <c r="H69">
        <v>-56.90121991310621</v>
      </c>
      <c r="I69">
        <v>8.5201635902711992</v>
      </c>
      <c r="J69">
        <v>4.9320185865292698</v>
      </c>
      <c r="K69">
        <v>1.5716653514967101</v>
      </c>
      <c r="L69">
        <v>3.098218729671512E-5</v>
      </c>
      <c r="M69">
        <v>1.802356752976728E-6</v>
      </c>
      <c r="N69" s="1">
        <v>-5.2332473536919101E-8</v>
      </c>
      <c r="O69" s="1">
        <v>1.3823371415472699E-11</v>
      </c>
      <c r="P69" s="1">
        <v>1.8628831500256801E-10</v>
      </c>
      <c r="Q69">
        <v>64.718497838663694</v>
      </c>
      <c r="S69">
        <v>21.7491569802622</v>
      </c>
      <c r="AA69">
        <v>2.84210049016168</v>
      </c>
      <c r="AB69">
        <v>8.9048678300067703</v>
      </c>
      <c r="AC69">
        <v>1.7853768609055001</v>
      </c>
      <c r="AJ69">
        <v>0.76436243412177496</v>
      </c>
      <c r="AK69">
        <v>0.13480999008912001</v>
      </c>
      <c r="AL69">
        <v>0.10082757578910299</v>
      </c>
    </row>
    <row r="70" spans="1:38" x14ac:dyDescent="0.2">
      <c r="A70">
        <v>130</v>
      </c>
      <c r="B70">
        <v>756</v>
      </c>
      <c r="C70">
        <v>180</v>
      </c>
      <c r="D70">
        <v>0.40344021765534699</v>
      </c>
      <c r="E70">
        <v>6.1217560587884501</v>
      </c>
      <c r="F70">
        <v>2.5716799307402098</v>
      </c>
      <c r="G70">
        <v>-99.276685763233246</v>
      </c>
      <c r="H70">
        <v>-86.022122340608107</v>
      </c>
      <c r="I70">
        <v>12.879136590997501</v>
      </c>
      <c r="J70">
        <v>7.4638084049862403</v>
      </c>
      <c r="K70">
        <v>2.3804502207342702</v>
      </c>
      <c r="L70">
        <v>3.1076344641351026E-5</v>
      </c>
      <c r="M70">
        <v>1.8064038063710826E-6</v>
      </c>
      <c r="N70" s="1">
        <v>-8.3668689761783306E-8</v>
      </c>
      <c r="O70" s="1">
        <v>2.09896198244567E-11</v>
      </c>
      <c r="P70" s="1">
        <v>2.9467438328162401E-10</v>
      </c>
      <c r="Q70">
        <v>64.920297416610097</v>
      </c>
      <c r="S70">
        <v>21.556958156257501</v>
      </c>
      <c r="AA70">
        <v>2.6364473196624298</v>
      </c>
      <c r="AB70">
        <v>8.8506931647191394</v>
      </c>
      <c r="AC70">
        <v>2.0356039427506598</v>
      </c>
      <c r="AJ70">
        <v>0.75992018800876404</v>
      </c>
      <c r="AK70">
        <v>0.12508942188932001</v>
      </c>
      <c r="AL70">
        <v>0.114990390101915</v>
      </c>
    </row>
    <row r="71" spans="1:38" x14ac:dyDescent="0.2">
      <c r="A71">
        <v>131</v>
      </c>
      <c r="B71">
        <v>754</v>
      </c>
      <c r="C71">
        <v>180</v>
      </c>
      <c r="D71">
        <v>0.402142335588766</v>
      </c>
      <c r="E71">
        <v>15.2634873937627</v>
      </c>
      <c r="F71">
        <v>2.57437093633501</v>
      </c>
      <c r="G71">
        <v>-247.55331564448332</v>
      </c>
      <c r="H71">
        <v>-214.61971112298801</v>
      </c>
      <c r="I71">
        <v>32.063091584963502</v>
      </c>
      <c r="J71">
        <v>18.6154670259873</v>
      </c>
      <c r="K71">
        <v>5.9290163582613102</v>
      </c>
      <c r="L71">
        <v>3.1030547400111614E-5</v>
      </c>
      <c r="M71">
        <v>1.8012037600750718E-6</v>
      </c>
      <c r="N71" s="1">
        <v>-2.2022877890616299E-7</v>
      </c>
      <c r="O71" s="1">
        <v>5.1975477451689797E-11</v>
      </c>
      <c r="P71" s="1">
        <v>7.6824893258907304E-10</v>
      </c>
      <c r="Q71">
        <v>64.666972652716794</v>
      </c>
      <c r="S71">
        <v>21.750024671694302</v>
      </c>
      <c r="AA71">
        <v>2.85483904222394</v>
      </c>
      <c r="AB71">
        <v>8.7923214816909301</v>
      </c>
      <c r="AC71">
        <v>1.9358421516739499</v>
      </c>
      <c r="AJ71">
        <v>0.75512393442504999</v>
      </c>
      <c r="AK71">
        <v>0.13548995373017</v>
      </c>
      <c r="AL71">
        <v>0.109386111844779</v>
      </c>
    </row>
    <row r="72" spans="1:38" x14ac:dyDescent="0.2">
      <c r="A72">
        <v>132</v>
      </c>
      <c r="B72">
        <v>752</v>
      </c>
      <c r="C72">
        <v>180</v>
      </c>
      <c r="D72">
        <v>0.40083938935765601</v>
      </c>
      <c r="E72">
        <v>17.461049673918801</v>
      </c>
      <c r="F72">
        <v>2.57537346559389</v>
      </c>
      <c r="G72">
        <v>-283.16704533801129</v>
      </c>
      <c r="H72">
        <v>-245.61186121138812</v>
      </c>
      <c r="I72">
        <v>36.633842975782201</v>
      </c>
      <c r="J72">
        <v>21.309260582624301</v>
      </c>
      <c r="K72">
        <v>6.7800068251041701</v>
      </c>
      <c r="L72">
        <v>3.1081035706419683E-5</v>
      </c>
      <c r="M72">
        <v>1.8000028509464948E-6</v>
      </c>
      <c r="N72" s="1">
        <v>-2.67957339956736E-7</v>
      </c>
      <c r="O72" s="1">
        <v>5.9226017040436304E-11</v>
      </c>
      <c r="P72" s="1">
        <v>9.2496531979052995E-10</v>
      </c>
      <c r="Q72">
        <v>64.591887378326703</v>
      </c>
      <c r="S72">
        <v>21.811324690701099</v>
      </c>
      <c r="AA72">
        <v>2.9229323078640101</v>
      </c>
      <c r="AB72">
        <v>8.7857039429968893</v>
      </c>
      <c r="AC72">
        <v>1.88815168011112</v>
      </c>
      <c r="AJ72">
        <v>0.75457931282098001</v>
      </c>
      <c r="AK72">
        <v>0.13872600447731201</v>
      </c>
      <c r="AL72">
        <v>0.106694682701707</v>
      </c>
    </row>
    <row r="73" spans="1:38" x14ac:dyDescent="0.2">
      <c r="A73">
        <v>133</v>
      </c>
      <c r="B73">
        <v>750</v>
      </c>
      <c r="C73">
        <v>180</v>
      </c>
      <c r="D73">
        <v>0.39953134926452799</v>
      </c>
      <c r="E73">
        <v>18.380588788639798</v>
      </c>
      <c r="F73">
        <v>2.5759119211059698</v>
      </c>
      <c r="G73">
        <v>-298.02979669053121</v>
      </c>
      <c r="H73">
        <v>-258.6203257727297</v>
      </c>
      <c r="I73">
        <v>38.517784213264399</v>
      </c>
      <c r="J73">
        <v>22.4482092944158</v>
      </c>
      <c r="K73">
        <v>7.1355657148199496</v>
      </c>
      <c r="L73">
        <v>3.1158219096532023E-5</v>
      </c>
      <c r="M73">
        <v>1.7998314315793088E-6</v>
      </c>
      <c r="N73" s="1">
        <v>-3.0049420563227401E-7</v>
      </c>
      <c r="O73" s="1">
        <v>6.21450371411517E-11</v>
      </c>
      <c r="P73" s="1">
        <v>1.02659936260228E-9</v>
      </c>
      <c r="Q73">
        <v>64.563026477452198</v>
      </c>
      <c r="S73">
        <v>21.837200178668301</v>
      </c>
      <c r="AA73">
        <v>2.95101414704604</v>
      </c>
      <c r="AB73">
        <v>8.7892249286066892</v>
      </c>
      <c r="AC73">
        <v>1.8595342682265801</v>
      </c>
      <c r="AJ73">
        <v>0.75486805052336703</v>
      </c>
      <c r="AK73">
        <v>0.140056267246673</v>
      </c>
      <c r="AL73">
        <v>0.105075682229958</v>
      </c>
    </row>
    <row r="74" spans="1:38" x14ac:dyDescent="0.2">
      <c r="A74">
        <v>134</v>
      </c>
      <c r="B74">
        <v>748</v>
      </c>
      <c r="C74">
        <v>180</v>
      </c>
      <c r="D74">
        <v>0.39821818537923098</v>
      </c>
      <c r="E74">
        <v>18.929069467554601</v>
      </c>
      <c r="F74">
        <v>2.5763162053033302</v>
      </c>
      <c r="G74">
        <v>-306.86615698996098</v>
      </c>
      <c r="H74">
        <v>-266.40692939099807</v>
      </c>
      <c r="I74">
        <v>39.621238406662002</v>
      </c>
      <c r="J74">
        <v>23.137017690806701</v>
      </c>
      <c r="K74">
        <v>7.3473393633084498</v>
      </c>
      <c r="L74">
        <v>3.1247234799656424E-5</v>
      </c>
      <c r="M74">
        <v>1.7999722442969175E-6</v>
      </c>
      <c r="N74" s="1">
        <v>-3.2988068262658201E-7</v>
      </c>
      <c r="O74" s="1">
        <v>6.3799215005313002E-11</v>
      </c>
      <c r="P74" s="1">
        <v>1.1157880028444801E-9</v>
      </c>
      <c r="Q74">
        <v>64.547626371102993</v>
      </c>
      <c r="S74">
        <v>21.852770103587702</v>
      </c>
      <c r="AA74">
        <v>2.9674528988114202</v>
      </c>
      <c r="AB74">
        <v>8.7957251997323702</v>
      </c>
      <c r="AC74">
        <v>1.83642542676549</v>
      </c>
      <c r="AJ74">
        <v>0.75540165085583699</v>
      </c>
      <c r="AK74">
        <v>0.14083185565806</v>
      </c>
      <c r="AL74">
        <v>0.10376649348610099</v>
      </c>
    </row>
    <row r="75" spans="1:38" x14ac:dyDescent="0.2">
      <c r="A75">
        <v>135</v>
      </c>
      <c r="B75">
        <v>746</v>
      </c>
      <c r="C75">
        <v>180</v>
      </c>
      <c r="D75">
        <v>0.396899867536674</v>
      </c>
      <c r="E75">
        <v>19.308766973132801</v>
      </c>
      <c r="F75">
        <v>2.5766464074700601</v>
      </c>
      <c r="G75">
        <v>-312.96020316513324</v>
      </c>
      <c r="H75">
        <v>-271.81763212960806</v>
      </c>
      <c r="I75">
        <v>40.3694952023992</v>
      </c>
      <c r="J75">
        <v>23.622122215705801</v>
      </c>
      <c r="K75">
        <v>7.49375890970291</v>
      </c>
      <c r="L75">
        <v>3.1345717089741291E-5</v>
      </c>
      <c r="M75">
        <v>1.8002956223649274E-6</v>
      </c>
      <c r="N75" s="1">
        <v>-3.5886058771650198E-7</v>
      </c>
      <c r="O75" s="1">
        <v>6.4872271512786494E-11</v>
      </c>
      <c r="P75" s="1">
        <v>1.20219417100174E-9</v>
      </c>
      <c r="Q75">
        <v>64.539721122856207</v>
      </c>
      <c r="S75">
        <v>21.862608488503401</v>
      </c>
      <c r="AA75">
        <v>2.9774142487106001</v>
      </c>
      <c r="AB75">
        <v>8.8039013830109099</v>
      </c>
      <c r="AC75">
        <v>1.8163547569187599</v>
      </c>
      <c r="AJ75">
        <v>0.75607294952547799</v>
      </c>
      <c r="AK75">
        <v>0.14129883589966699</v>
      </c>
      <c r="AL75">
        <v>0.10262821457485299</v>
      </c>
    </row>
    <row r="76" spans="1:38" x14ac:dyDescent="0.2">
      <c r="A76">
        <v>136</v>
      </c>
      <c r="B76">
        <v>744</v>
      </c>
      <c r="C76">
        <v>180</v>
      </c>
      <c r="D76">
        <v>0.39557636533451601</v>
      </c>
      <c r="E76">
        <v>19.599968005840001</v>
      </c>
      <c r="F76">
        <v>2.5769349837709101</v>
      </c>
      <c r="G76">
        <v>-317.61586865349432</v>
      </c>
      <c r="H76">
        <v>-275.9826525703557</v>
      </c>
      <c r="I76">
        <v>40.931245227487203</v>
      </c>
      <c r="J76">
        <v>24.001401185603299</v>
      </c>
      <c r="K76">
        <v>7.6059225899284302</v>
      </c>
      <c r="L76">
        <v>3.1452554254616944E-5</v>
      </c>
      <c r="M76">
        <v>1.800731095008291E-6</v>
      </c>
      <c r="N76" s="1">
        <v>-3.8861539347710101E-7</v>
      </c>
      <c r="O76" s="1">
        <v>6.5633439311563806E-11</v>
      </c>
      <c r="P76" s="1">
        <v>1.2899067226944501E-9</v>
      </c>
      <c r="Q76">
        <v>64.536056360835602</v>
      </c>
      <c r="S76">
        <v>21.869200606484998</v>
      </c>
      <c r="AA76">
        <v>2.98370793566035</v>
      </c>
      <c r="AB76">
        <v>8.8130167516672202</v>
      </c>
      <c r="AC76">
        <v>1.79801834535171</v>
      </c>
      <c r="AJ76">
        <v>0.75682137276039796</v>
      </c>
      <c r="AK76">
        <v>0.141591079281638</v>
      </c>
      <c r="AL76">
        <v>0.101587547957963</v>
      </c>
    </row>
    <row r="77" spans="1:38" x14ac:dyDescent="0.2">
      <c r="A77">
        <v>137</v>
      </c>
      <c r="B77">
        <v>742</v>
      </c>
      <c r="C77">
        <v>180</v>
      </c>
      <c r="D77">
        <v>0.39424764813081797</v>
      </c>
      <c r="E77">
        <v>19.838766737630799</v>
      </c>
      <c r="F77">
        <v>2.57719800454917</v>
      </c>
      <c r="G77">
        <v>-321.4194598043772</v>
      </c>
      <c r="H77">
        <v>-279.4102064321757</v>
      </c>
      <c r="I77">
        <v>41.382311355170501</v>
      </c>
      <c r="J77">
        <v>24.3189326333972</v>
      </c>
      <c r="K77">
        <v>7.6978046322448499</v>
      </c>
      <c r="L77">
        <v>3.1567431244313267E-5</v>
      </c>
      <c r="M77">
        <v>1.8012443049351951E-6</v>
      </c>
      <c r="N77" s="1">
        <v>-4.1975871190599902E-7</v>
      </c>
      <c r="O77" s="1">
        <v>6.62028526185575E-11</v>
      </c>
      <c r="P77" s="1">
        <v>1.3809875067806601E-9</v>
      </c>
      <c r="Q77">
        <v>64.535016510459997</v>
      </c>
      <c r="S77">
        <v>21.873778502535899</v>
      </c>
      <c r="AA77">
        <v>2.9877273816457102</v>
      </c>
      <c r="AB77">
        <v>8.8227010505241399</v>
      </c>
      <c r="AC77">
        <v>1.7807765548342001</v>
      </c>
      <c r="AJ77">
        <v>0.75761647724055403</v>
      </c>
      <c r="AK77">
        <v>0.141774983465008</v>
      </c>
      <c r="AL77">
        <v>0.100608539294436</v>
      </c>
    </row>
    <row r="78" spans="1:38" x14ac:dyDescent="0.2">
      <c r="A78">
        <v>138</v>
      </c>
      <c r="B78">
        <v>740</v>
      </c>
      <c r="C78">
        <v>180</v>
      </c>
      <c r="D78">
        <v>0.39291368504170499</v>
      </c>
      <c r="E78">
        <v>20.0436944924644</v>
      </c>
      <c r="F78">
        <v>2.5774439787887902</v>
      </c>
      <c r="G78">
        <v>-324.67202649266159</v>
      </c>
      <c r="H78">
        <v>-282.36124025586014</v>
      </c>
      <c r="I78">
        <v>41.7616209216812</v>
      </c>
      <c r="J78">
        <v>24.597424102561501</v>
      </c>
      <c r="K78">
        <v>7.7765781360972399</v>
      </c>
      <c r="L78">
        <v>3.1690424822699042E-5</v>
      </c>
      <c r="M78">
        <v>1.8018177577573315E-6</v>
      </c>
      <c r="N78" s="1">
        <v>-4.5268364234009599E-7</v>
      </c>
      <c r="O78" s="1">
        <v>6.6641552163894005E-11</v>
      </c>
      <c r="P78" s="1">
        <v>1.4767054997363101E-9</v>
      </c>
      <c r="Q78">
        <v>64.535746946585505</v>
      </c>
      <c r="S78">
        <v>21.8769936314483</v>
      </c>
      <c r="AA78">
        <v>2.99020945863455</v>
      </c>
      <c r="AB78">
        <v>8.8327576667047296</v>
      </c>
      <c r="AC78">
        <v>1.76429229662678</v>
      </c>
      <c r="AJ78">
        <v>0.75844209626837999</v>
      </c>
      <c r="AK78">
        <v>0.14188566360555899</v>
      </c>
      <c r="AL78">
        <v>9.9672240126059797E-2</v>
      </c>
    </row>
    <row r="79" spans="1:38" x14ac:dyDescent="0.2">
      <c r="A79">
        <v>140</v>
      </c>
      <c r="B79">
        <v>768</v>
      </c>
      <c r="C79">
        <v>165</v>
      </c>
      <c r="D79">
        <v>0.42697065744609403</v>
      </c>
      <c r="E79">
        <v>0.30922533034831801</v>
      </c>
      <c r="F79">
        <v>2.5779620448852598</v>
      </c>
      <c r="G79">
        <v>-5.034144814897509</v>
      </c>
      <c r="H79">
        <v>-4.352780227902139</v>
      </c>
      <c r="I79">
        <v>0.65443460307868195</v>
      </c>
      <c r="J79">
        <v>0.37606520422199502</v>
      </c>
      <c r="K79">
        <v>0.11994952794663</v>
      </c>
      <c r="L79">
        <v>3.0552538926571814E-5</v>
      </c>
      <c r="M79">
        <v>1.7934538241617277E-6</v>
      </c>
      <c r="N79" s="1">
        <v>-2.90291070802034E-9</v>
      </c>
      <c r="O79" s="1">
        <v>1.0557174672149E-12</v>
      </c>
      <c r="P79" s="1">
        <v>1.1068304355436E-11</v>
      </c>
      <c r="Q79">
        <v>64.314954382457898</v>
      </c>
      <c r="S79">
        <v>22.1007685578458</v>
      </c>
      <c r="AA79">
        <v>3.2263449905958801</v>
      </c>
      <c r="AB79">
        <v>8.9273883382467591</v>
      </c>
      <c r="AC79">
        <v>1.43054373085358</v>
      </c>
      <c r="AJ79">
        <v>0.76620345572099202</v>
      </c>
      <c r="AK79">
        <v>0.153017560607876</v>
      </c>
      <c r="AL79">
        <v>8.0778983671131094E-2</v>
      </c>
    </row>
    <row r="80" spans="1:38" x14ac:dyDescent="0.2">
      <c r="A80">
        <v>141</v>
      </c>
      <c r="B80">
        <v>766</v>
      </c>
      <c r="C80">
        <v>165</v>
      </c>
      <c r="D80">
        <v>0.42573305105134501</v>
      </c>
      <c r="E80">
        <v>0.999843546636352</v>
      </c>
      <c r="F80">
        <v>2.5771325851840001</v>
      </c>
      <c r="G80">
        <v>-16.270461499890544</v>
      </c>
      <c r="H80">
        <v>-14.073645944594292</v>
      </c>
      <c r="I80">
        <v>2.1140504790417598</v>
      </c>
      <c r="J80">
        <v>1.21653499352899</v>
      </c>
      <c r="K80">
        <v>0.387967445828932</v>
      </c>
      <c r="L80">
        <v>3.0647185662913761E-5</v>
      </c>
      <c r="M80">
        <v>1.795904978914661E-6</v>
      </c>
      <c r="N80" s="1">
        <v>-1.0012241337545499E-8</v>
      </c>
      <c r="O80" s="1">
        <v>3.4149439485625999E-12</v>
      </c>
      <c r="P80" s="1">
        <v>3.76013219505647E-11</v>
      </c>
      <c r="Q80">
        <v>64.412930576531195</v>
      </c>
      <c r="S80">
        <v>22.0243182182714</v>
      </c>
      <c r="AA80">
        <v>3.1404112721915398</v>
      </c>
      <c r="AB80">
        <v>8.9452985290489995</v>
      </c>
      <c r="AC80">
        <v>1.4770414039567601</v>
      </c>
      <c r="AJ80">
        <v>0.76767372456351102</v>
      </c>
      <c r="AK80">
        <v>0.14892895948427501</v>
      </c>
      <c r="AL80">
        <v>8.3397315952212794E-2</v>
      </c>
    </row>
    <row r="81" spans="1:38" x14ac:dyDescent="0.2">
      <c r="A81">
        <v>142</v>
      </c>
      <c r="B81">
        <v>764</v>
      </c>
      <c r="C81">
        <v>165</v>
      </c>
      <c r="D81">
        <v>0.424490671551851</v>
      </c>
      <c r="E81">
        <v>2.5774205210423</v>
      </c>
      <c r="F81">
        <v>2.5752669154507601</v>
      </c>
      <c r="G81">
        <v>-41.913081285971643</v>
      </c>
      <c r="H81">
        <v>-36.26572278179809</v>
      </c>
      <c r="I81">
        <v>5.44507400489183</v>
      </c>
      <c r="J81">
        <v>3.13726990915259</v>
      </c>
      <c r="K81">
        <v>1.0008362650017399</v>
      </c>
      <c r="L81">
        <v>3.0756693830927697E-5</v>
      </c>
      <c r="M81">
        <v>1.7997608327728925E-6</v>
      </c>
      <c r="N81" s="1">
        <v>-2.7466086961021999E-8</v>
      </c>
      <c r="O81" s="1">
        <v>8.8236212413714301E-12</v>
      </c>
      <c r="P81" s="1">
        <v>1.01704140335951E-10</v>
      </c>
      <c r="Q81">
        <v>64.584889549666599</v>
      </c>
      <c r="S81">
        <v>21.878382886682999</v>
      </c>
      <c r="AA81">
        <v>2.9798888538214698</v>
      </c>
      <c r="AB81">
        <v>8.9459114359632501</v>
      </c>
      <c r="AC81">
        <v>1.6109272738654801</v>
      </c>
      <c r="AJ81">
        <v>0.76772663066539404</v>
      </c>
      <c r="AK81">
        <v>0.14131649822765299</v>
      </c>
      <c r="AL81">
        <v>9.0956871106951304E-2</v>
      </c>
    </row>
    <row r="82" spans="1:38" x14ac:dyDescent="0.2">
      <c r="A82">
        <v>143</v>
      </c>
      <c r="B82">
        <v>762</v>
      </c>
      <c r="C82">
        <v>165</v>
      </c>
      <c r="D82">
        <v>0.42324349128146099</v>
      </c>
      <c r="E82">
        <v>4.4931807310200398</v>
      </c>
      <c r="F82">
        <v>2.5729175992497</v>
      </c>
      <c r="G82">
        <v>-73.00259826269243</v>
      </c>
      <c r="H82">
        <v>-63.184960451666932</v>
      </c>
      <c r="I82">
        <v>9.48426586584117</v>
      </c>
      <c r="J82">
        <v>5.4707892505512801</v>
      </c>
      <c r="K82">
        <v>1.74633681713332</v>
      </c>
      <c r="L82">
        <v>3.0858291237403959E-5</v>
      </c>
      <c r="M82">
        <v>1.8038182814595447E-6</v>
      </c>
      <c r="N82" s="1">
        <v>-5.0782334772353498E-8</v>
      </c>
      <c r="O82" s="1">
        <v>1.5430087222070902E-11</v>
      </c>
      <c r="P82" s="1">
        <v>1.8563263416723601E-10</v>
      </c>
      <c r="Q82">
        <v>64.776186693034006</v>
      </c>
      <c r="S82">
        <v>21.706610216736699</v>
      </c>
      <c r="AA82">
        <v>2.7935380690990299</v>
      </c>
      <c r="AB82">
        <v>8.9218824767795493</v>
      </c>
      <c r="AC82">
        <v>1.80178254435054</v>
      </c>
      <c r="AJ82">
        <v>0.76575896937070098</v>
      </c>
      <c r="AK82">
        <v>0.132495454312996</v>
      </c>
      <c r="AL82">
        <v>0.101745576316302</v>
      </c>
    </row>
    <row r="83" spans="1:38" x14ac:dyDescent="0.2">
      <c r="A83">
        <v>144</v>
      </c>
      <c r="B83">
        <v>760</v>
      </c>
      <c r="C83">
        <v>165</v>
      </c>
      <c r="D83">
        <v>0.42199148235977502</v>
      </c>
      <c r="E83">
        <v>6.5360126283444098</v>
      </c>
      <c r="F83">
        <v>2.5702437663102402</v>
      </c>
      <c r="G83">
        <v>-106.0835070352263</v>
      </c>
      <c r="H83">
        <v>-91.842817313870995</v>
      </c>
      <c r="I83">
        <v>13.783758139045901</v>
      </c>
      <c r="J83">
        <v>7.9593334590773601</v>
      </c>
      <c r="K83">
        <v>2.5429543742176999</v>
      </c>
      <c r="L83">
        <v>3.0940178935941712E-5</v>
      </c>
      <c r="M83">
        <v>1.8075960906396747E-6</v>
      </c>
      <c r="N83" s="1">
        <v>-7.8013652054736799E-8</v>
      </c>
      <c r="O83" s="1">
        <v>2.2525771573530299E-11</v>
      </c>
      <c r="P83" s="1">
        <v>2.8188717162398902E-10</v>
      </c>
      <c r="Q83">
        <v>64.966601631896495</v>
      </c>
      <c r="S83">
        <v>21.523503744307899</v>
      </c>
      <c r="AA83">
        <v>2.59804263164036</v>
      </c>
      <c r="AB83">
        <v>8.8661745354557802</v>
      </c>
      <c r="AC83">
        <v>2.0456774566993401</v>
      </c>
      <c r="AJ83">
        <v>0.76119147477263605</v>
      </c>
      <c r="AK83">
        <v>0.123257882566844</v>
      </c>
      <c r="AL83">
        <v>0.115550642660519</v>
      </c>
    </row>
    <row r="84" spans="1:38" x14ac:dyDescent="0.2">
      <c r="A84">
        <v>145</v>
      </c>
      <c r="B84">
        <v>758</v>
      </c>
      <c r="C84">
        <v>165</v>
      </c>
      <c r="D84">
        <v>0.42073461669010398</v>
      </c>
      <c r="E84">
        <v>14.0963365956478</v>
      </c>
      <c r="F84">
        <v>2.5723458819795599</v>
      </c>
      <c r="G84">
        <v>-228.77144359401268</v>
      </c>
      <c r="H84">
        <v>-198.16310226876735</v>
      </c>
      <c r="I84">
        <v>29.683694249377201</v>
      </c>
      <c r="J84">
        <v>17.167924111769199</v>
      </c>
      <c r="K84">
        <v>5.4799538018580698</v>
      </c>
      <c r="L84">
        <v>3.0882441077961617E-5</v>
      </c>
      <c r="M84">
        <v>1.8029079155978347E-6</v>
      </c>
      <c r="N84" s="1">
        <v>-1.7703798620596501E-7</v>
      </c>
      <c r="O84" s="1">
        <v>4.8317996895310601E-11</v>
      </c>
      <c r="P84" s="1">
        <v>6.3334982011309504E-10</v>
      </c>
      <c r="Q84">
        <v>64.746765089070905</v>
      </c>
      <c r="S84">
        <v>21.680304310593598</v>
      </c>
      <c r="AA84">
        <v>2.7787005562456999</v>
      </c>
      <c r="AB84">
        <v>8.7873536569158492</v>
      </c>
      <c r="AC84">
        <v>2.0068763871737998</v>
      </c>
      <c r="AJ84">
        <v>0.75471714985887195</v>
      </c>
      <c r="AK84">
        <v>0.13187991292832299</v>
      </c>
      <c r="AL84">
        <v>0.11340293721280401</v>
      </c>
    </row>
    <row r="85" spans="1:38" x14ac:dyDescent="0.2">
      <c r="A85">
        <v>146</v>
      </c>
      <c r="B85">
        <v>756</v>
      </c>
      <c r="C85">
        <v>165</v>
      </c>
      <c r="D85">
        <v>0.41947286595734501</v>
      </c>
      <c r="E85">
        <v>16.946027046871901</v>
      </c>
      <c r="F85">
        <v>2.5739372147042299</v>
      </c>
      <c r="G85">
        <v>-275.01734504787908</v>
      </c>
      <c r="H85">
        <v>-238.34102143895373</v>
      </c>
      <c r="I85">
        <v>35.637490753461897</v>
      </c>
      <c r="J85">
        <v>20.648504979203999</v>
      </c>
      <c r="K85">
        <v>6.5836986815621401</v>
      </c>
      <c r="L85">
        <v>3.0897683635915956E-5</v>
      </c>
      <c r="M85">
        <v>1.8004440373139184E-6</v>
      </c>
      <c r="N85" s="1">
        <v>-2.2591472427992501E-7</v>
      </c>
      <c r="O85" s="1">
        <v>5.7813539248393801E-11</v>
      </c>
      <c r="P85" s="1">
        <v>7.9920781255111697E-10</v>
      </c>
      <c r="Q85">
        <v>64.614820538502997</v>
      </c>
      <c r="S85">
        <v>21.785729939629299</v>
      </c>
      <c r="AA85">
        <v>2.8964652367496702</v>
      </c>
      <c r="AB85">
        <v>8.7697092933431797</v>
      </c>
      <c r="AC85">
        <v>1.93327499177479</v>
      </c>
      <c r="AJ85">
        <v>0.753265907376508</v>
      </c>
      <c r="AK85">
        <v>0.137480855335809</v>
      </c>
      <c r="AL85">
        <v>0.10925323728768201</v>
      </c>
    </row>
    <row r="86" spans="1:38" x14ac:dyDescent="0.2">
      <c r="A86">
        <v>147</v>
      </c>
      <c r="B86">
        <v>754</v>
      </c>
      <c r="C86">
        <v>165</v>
      </c>
      <c r="D86">
        <v>0.41820620162585598</v>
      </c>
      <c r="E86">
        <v>17.998390796537102</v>
      </c>
      <c r="F86">
        <v>2.57465756383082</v>
      </c>
      <c r="G86">
        <v>-292.05561295787578</v>
      </c>
      <c r="H86">
        <v>-253.22372029976194</v>
      </c>
      <c r="I86">
        <v>37.805474037982599</v>
      </c>
      <c r="J86">
        <v>21.944288790102501</v>
      </c>
      <c r="K86">
        <v>6.9905959725989302</v>
      </c>
      <c r="L86">
        <v>3.0955782409146685E-5</v>
      </c>
      <c r="M86">
        <v>1.7998481659739981E-6</v>
      </c>
      <c r="N86" s="1">
        <v>-2.5538837377535002E-7</v>
      </c>
      <c r="O86" s="1">
        <v>6.1206819236454302E-11</v>
      </c>
      <c r="P86" s="1">
        <v>8.9335009489292802E-10</v>
      </c>
      <c r="Q86">
        <v>64.5680216403765</v>
      </c>
      <c r="S86">
        <v>21.825449129031099</v>
      </c>
      <c r="AA86">
        <v>2.9401538577940598</v>
      </c>
      <c r="AB86">
        <v>8.7695494769886402</v>
      </c>
      <c r="AC86">
        <v>1.89682589580965</v>
      </c>
      <c r="AJ86">
        <v>0.75325207178542197</v>
      </c>
      <c r="AK86">
        <v>0.13955451767022201</v>
      </c>
      <c r="AL86">
        <v>0.107193410544354</v>
      </c>
    </row>
    <row r="87" spans="1:38" x14ac:dyDescent="0.2">
      <c r="A87">
        <v>148</v>
      </c>
      <c r="B87">
        <v>752</v>
      </c>
      <c r="C87">
        <v>165</v>
      </c>
      <c r="D87">
        <v>0.41693459493732699</v>
      </c>
      <c r="E87">
        <v>18.586593661254501</v>
      </c>
      <c r="F87">
        <v>2.5751361579135601</v>
      </c>
      <c r="G87">
        <v>-301.54765257524519</v>
      </c>
      <c r="H87">
        <v>-261.57119665724662</v>
      </c>
      <c r="I87">
        <v>38.995713717991102</v>
      </c>
      <c r="J87">
        <v>22.677096632479699</v>
      </c>
      <c r="K87">
        <v>7.2177129757339902</v>
      </c>
      <c r="L87">
        <v>3.1029682706222559E-5</v>
      </c>
      <c r="M87">
        <v>1.7997923362071134E-6</v>
      </c>
      <c r="N87" s="1">
        <v>-2.8096513038803699E-7</v>
      </c>
      <c r="O87" s="1">
        <v>6.3023634168238103E-11</v>
      </c>
      <c r="P87" s="1">
        <v>9.7211647555333406E-10</v>
      </c>
      <c r="Q87">
        <v>64.545221017246902</v>
      </c>
      <c r="S87">
        <v>21.846740979236699</v>
      </c>
      <c r="AA87">
        <v>2.96304006592757</v>
      </c>
      <c r="AB87">
        <v>8.7745588643084709</v>
      </c>
      <c r="AC87">
        <v>1.8704390732802101</v>
      </c>
      <c r="AJ87">
        <v>0.75366320573937295</v>
      </c>
      <c r="AK87">
        <v>0.140637240333403</v>
      </c>
      <c r="AL87">
        <v>0.10569955392722299</v>
      </c>
    </row>
    <row r="88" spans="1:38" x14ac:dyDescent="0.2">
      <c r="A88">
        <v>149</v>
      </c>
      <c r="B88">
        <v>750</v>
      </c>
      <c r="C88">
        <v>165</v>
      </c>
      <c r="D88">
        <v>0.41565801690856902</v>
      </c>
      <c r="E88">
        <v>18.988986369088401</v>
      </c>
      <c r="F88">
        <v>2.5755236469368201</v>
      </c>
      <c r="G88">
        <v>-308.01821909330812</v>
      </c>
      <c r="H88">
        <v>-267.30284731254716</v>
      </c>
      <c r="I88">
        <v>39.794137497689299</v>
      </c>
      <c r="J88">
        <v>23.185491734115001</v>
      </c>
      <c r="K88">
        <v>7.3728643072925601</v>
      </c>
      <c r="L88">
        <v>3.1112854548717565E-5</v>
      </c>
      <c r="M88">
        <v>1.7999506302803694E-6</v>
      </c>
      <c r="N88" s="1">
        <v>-3.0594150607302198E-7</v>
      </c>
      <c r="O88" s="1">
        <v>6.4202002842144104E-11</v>
      </c>
      <c r="P88" s="1">
        <v>1.04743160551143E-9</v>
      </c>
      <c r="Q88">
        <v>64.531500357347497</v>
      </c>
      <c r="S88">
        <v>21.861056299733299</v>
      </c>
      <c r="AA88">
        <v>2.9780518803285299</v>
      </c>
      <c r="AB88">
        <v>8.7815125831955001</v>
      </c>
      <c r="AC88">
        <v>1.84787887939503</v>
      </c>
      <c r="AJ88">
        <v>0.75423415309519903</v>
      </c>
      <c r="AK88">
        <v>0.141344826081612</v>
      </c>
      <c r="AL88">
        <v>0.10442102082318799</v>
      </c>
    </row>
    <row r="89" spans="1:38" x14ac:dyDescent="0.2">
      <c r="A89">
        <v>150</v>
      </c>
      <c r="B89">
        <v>748</v>
      </c>
      <c r="C89">
        <v>165</v>
      </c>
      <c r="D89">
        <v>0.41437643832933801</v>
      </c>
      <c r="E89">
        <v>19.2914682161428</v>
      </c>
      <c r="F89">
        <v>2.57584969989141</v>
      </c>
      <c r="G89">
        <v>-312.86322767635147</v>
      </c>
      <c r="H89">
        <v>-271.62741039679548</v>
      </c>
      <c r="I89">
        <v>40.381743406508399</v>
      </c>
      <c r="J89">
        <v>23.574047677584801</v>
      </c>
      <c r="K89">
        <v>7.4893609735677096</v>
      </c>
      <c r="L89">
        <v>3.1204362779479283E-5</v>
      </c>
      <c r="M89">
        <v>1.8002609466713892E-6</v>
      </c>
      <c r="N89" s="1">
        <v>-3.3140045610876499E-7</v>
      </c>
      <c r="O89" s="1">
        <v>6.5032643388784001E-11</v>
      </c>
      <c r="P89" s="1">
        <v>1.12315293790014E-9</v>
      </c>
      <c r="Q89">
        <v>64.523961733983896</v>
      </c>
      <c r="S89">
        <v>21.870630885751801</v>
      </c>
      <c r="AA89">
        <v>2.9877100465320301</v>
      </c>
      <c r="AB89">
        <v>8.7898141872632198</v>
      </c>
      <c r="AC89">
        <v>1.8278831464688901</v>
      </c>
      <c r="AJ89">
        <v>0.75491585274689699</v>
      </c>
      <c r="AK89">
        <v>0.14179734158679699</v>
      </c>
      <c r="AL89">
        <v>0.10328680566630501</v>
      </c>
    </row>
    <row r="90" spans="1:38" x14ac:dyDescent="0.2">
      <c r="A90">
        <v>151</v>
      </c>
      <c r="B90">
        <v>746</v>
      </c>
      <c r="C90">
        <v>165</v>
      </c>
      <c r="D90">
        <v>0.41308982976009601</v>
      </c>
      <c r="E90">
        <v>19.536513559026101</v>
      </c>
      <c r="F90">
        <v>2.5761390605144299</v>
      </c>
      <c r="G90">
        <v>-316.77333783603825</v>
      </c>
      <c r="H90">
        <v>-275.14319257953554</v>
      </c>
      <c r="I90">
        <v>40.847907821716902</v>
      </c>
      <c r="J90">
        <v>23.894517212074799</v>
      </c>
      <c r="K90">
        <v>7.5836409060638497</v>
      </c>
      <c r="L90">
        <v>3.1303447174090551E-5</v>
      </c>
      <c r="M90">
        <v>1.8006701769199621E-6</v>
      </c>
      <c r="N90" s="1">
        <v>-3.5795177164622798E-7</v>
      </c>
      <c r="O90" s="1">
        <v>6.5657258485052304E-11</v>
      </c>
      <c r="P90" s="1">
        <v>1.2013927675467E-9</v>
      </c>
      <c r="Q90">
        <v>64.520139081273499</v>
      </c>
      <c r="S90">
        <v>21.877352324687099</v>
      </c>
      <c r="AA90">
        <v>2.9941472662266699</v>
      </c>
      <c r="AB90">
        <v>8.7989167366760892</v>
      </c>
      <c r="AC90">
        <v>1.80944459113649</v>
      </c>
      <c r="AJ90">
        <v>0.75566332571914496</v>
      </c>
      <c r="AK90">
        <v>0.14209640311531599</v>
      </c>
      <c r="AL90">
        <v>0.10224027116553699</v>
      </c>
    </row>
    <row r="91" spans="1:38" x14ac:dyDescent="0.2">
      <c r="A91">
        <v>152</v>
      </c>
      <c r="B91">
        <v>744</v>
      </c>
      <c r="C91">
        <v>165</v>
      </c>
      <c r="D91">
        <v>0.411798161529766</v>
      </c>
      <c r="E91">
        <v>19.745228178427901</v>
      </c>
      <c r="F91">
        <v>2.5764044979438401</v>
      </c>
      <c r="G91">
        <v>-320.09178915155377</v>
      </c>
      <c r="H91">
        <v>-278.14753554036702</v>
      </c>
      <c r="I91">
        <v>41.237038402582399</v>
      </c>
      <c r="J91">
        <v>24.172682702297301</v>
      </c>
      <c r="K91">
        <v>7.6638696269106701</v>
      </c>
      <c r="L91">
        <v>3.1409926595807038E-5</v>
      </c>
      <c r="M91">
        <v>1.8011514552141164E-6</v>
      </c>
      <c r="N91" s="1">
        <v>-3.85969723348E-7</v>
      </c>
      <c r="O91" s="1">
        <v>6.6145610006564206E-11</v>
      </c>
      <c r="P91" s="1">
        <v>1.2833949537475E-9</v>
      </c>
      <c r="Q91">
        <v>64.518758124796705</v>
      </c>
      <c r="S91">
        <v>21.882195047922298</v>
      </c>
      <c r="AA91">
        <v>2.99846478979619</v>
      </c>
      <c r="AB91">
        <v>8.8085351777695209</v>
      </c>
      <c r="AC91">
        <v>1.79204685971513</v>
      </c>
      <c r="AJ91">
        <v>0.75645312873799897</v>
      </c>
      <c r="AK91">
        <v>0.14229448695223801</v>
      </c>
      <c r="AL91">
        <v>0.101252384309761</v>
      </c>
    </row>
    <row r="92" spans="1:38" x14ac:dyDescent="0.2">
      <c r="A92">
        <v>154</v>
      </c>
      <c r="B92">
        <v>774</v>
      </c>
      <c r="C92">
        <v>150</v>
      </c>
      <c r="D92">
        <v>0.44641216635630598</v>
      </c>
      <c r="E92">
        <v>0.51125107014136595</v>
      </c>
      <c r="F92">
        <v>2.5765023456778802</v>
      </c>
      <c r="G92">
        <v>-8.3323052325113451</v>
      </c>
      <c r="H92">
        <v>-7.1953932856880281</v>
      </c>
      <c r="I92">
        <v>1.0857202376195501</v>
      </c>
      <c r="J92">
        <v>0.62111356518897198</v>
      </c>
      <c r="K92">
        <v>0.19842833483113101</v>
      </c>
      <c r="L92">
        <v>3.0411432486432538E-5</v>
      </c>
      <c r="M92">
        <v>1.794210679304934E-6</v>
      </c>
      <c r="N92" s="1">
        <v>-3.93715020943945E-9</v>
      </c>
      <c r="O92" s="1">
        <v>1.7540685984544601E-12</v>
      </c>
      <c r="P92" s="1">
        <v>1.57842011424741E-11</v>
      </c>
      <c r="Q92">
        <v>64.348113114321094</v>
      </c>
      <c r="S92">
        <v>22.076566846530099</v>
      </c>
      <c r="AA92">
        <v>3.1986411941833901</v>
      </c>
      <c r="AB92">
        <v>8.9378328616526392</v>
      </c>
      <c r="AC92">
        <v>1.4388459833126199</v>
      </c>
      <c r="AJ92">
        <v>0.767060521278215</v>
      </c>
      <c r="AK92">
        <v>0.15169585656906101</v>
      </c>
      <c r="AL92">
        <v>8.1243622152723294E-2</v>
      </c>
    </row>
    <row r="93" spans="1:38" x14ac:dyDescent="0.2">
      <c r="A93">
        <v>155</v>
      </c>
      <c r="B93">
        <v>772</v>
      </c>
      <c r="C93">
        <v>150</v>
      </c>
      <c r="D93">
        <v>0.44521886810505501</v>
      </c>
      <c r="E93">
        <v>1.18519036868591</v>
      </c>
      <c r="F93">
        <v>2.57571095339281</v>
      </c>
      <c r="G93">
        <v>-19.308056877469841</v>
      </c>
      <c r="H93">
        <v>-16.67994486920858</v>
      </c>
      <c r="I93">
        <v>2.5145787765021801</v>
      </c>
      <c r="J93">
        <v>1.44040417591048</v>
      </c>
      <c r="K93">
        <v>0.46014106013127598</v>
      </c>
      <c r="L93">
        <v>3.0494582436001917E-5</v>
      </c>
      <c r="M93">
        <v>1.7965357615438412E-6</v>
      </c>
      <c r="N93" s="1">
        <v>-9.7393405829006495E-9</v>
      </c>
      <c r="O93" s="1">
        <v>4.0687071190947603E-12</v>
      </c>
      <c r="P93" s="1">
        <v>3.8370759988596997E-11</v>
      </c>
      <c r="Q93">
        <v>64.441757766802994</v>
      </c>
      <c r="S93">
        <v>22.003382328638999</v>
      </c>
      <c r="AA93">
        <v>3.1164125181214901</v>
      </c>
      <c r="AB93">
        <v>8.9546522203949408</v>
      </c>
      <c r="AC93">
        <v>1.4837951660414399</v>
      </c>
      <c r="AJ93">
        <v>0.76844113401659697</v>
      </c>
      <c r="AK93">
        <v>0.14778406603840299</v>
      </c>
      <c r="AL93">
        <v>8.3774799944998896E-2</v>
      </c>
    </row>
    <row r="94" spans="1:38" x14ac:dyDescent="0.2">
      <c r="A94">
        <v>156</v>
      </c>
      <c r="B94">
        <v>770</v>
      </c>
      <c r="C94">
        <v>150</v>
      </c>
      <c r="D94">
        <v>0.44402099410439499</v>
      </c>
      <c r="E94">
        <v>1.8605013639610699</v>
      </c>
      <c r="F94">
        <v>2.5749370304729098</v>
      </c>
      <c r="G94">
        <v>-30.296935974903764</v>
      </c>
      <c r="H94">
        <v>-26.18314960223509</v>
      </c>
      <c r="I94">
        <v>3.9436192040154001</v>
      </c>
      <c r="J94">
        <v>2.2620055683749301</v>
      </c>
      <c r="K94">
        <v>0.72254247072573097</v>
      </c>
      <c r="L94">
        <v>3.0577799007202214E-5</v>
      </c>
      <c r="M94">
        <v>1.7987734889154029E-6</v>
      </c>
      <c r="N94" s="1">
        <v>-1.63038360242388E-8</v>
      </c>
      <c r="O94" s="1">
        <v>6.3900277529110302E-12</v>
      </c>
      <c r="P94" s="1">
        <v>6.31815579170627E-11</v>
      </c>
      <c r="Q94">
        <v>64.531780153852296</v>
      </c>
      <c r="S94">
        <v>21.932367244501801</v>
      </c>
      <c r="AA94">
        <v>3.0368188532388598</v>
      </c>
      <c r="AB94">
        <v>8.9690870074699909</v>
      </c>
      <c r="AC94">
        <v>1.52994674093703</v>
      </c>
      <c r="AJ94">
        <v>0.76962597875541705</v>
      </c>
      <c r="AK94">
        <v>0.14399955802901099</v>
      </c>
      <c r="AL94">
        <v>8.6374463215570907E-2</v>
      </c>
    </row>
    <row r="95" spans="1:38" x14ac:dyDescent="0.2">
      <c r="A95">
        <v>157</v>
      </c>
      <c r="B95">
        <v>768</v>
      </c>
      <c r="C95">
        <v>150</v>
      </c>
      <c r="D95">
        <v>0.442818517984921</v>
      </c>
      <c r="E95">
        <v>3.5660379761451901</v>
      </c>
      <c r="F95">
        <v>2.5729553761954</v>
      </c>
      <c r="G95">
        <v>-58.026739055802658</v>
      </c>
      <c r="H95">
        <v>-50.163577604891074</v>
      </c>
      <c r="I95">
        <v>7.5523809738381402</v>
      </c>
      <c r="J95">
        <v>4.3367956151504199</v>
      </c>
      <c r="K95">
        <v>1.3859696165497599</v>
      </c>
      <c r="L95">
        <v>3.0673978628098957E-5</v>
      </c>
      <c r="M95">
        <v>1.8025416762444686E-6</v>
      </c>
      <c r="N95" s="1">
        <v>-3.3210903264475097E-8</v>
      </c>
      <c r="O95" s="1">
        <v>1.2280886012199901E-11</v>
      </c>
      <c r="P95" s="1">
        <v>1.2676051910003499E-10</v>
      </c>
      <c r="Q95">
        <v>64.704505630023704</v>
      </c>
      <c r="S95">
        <v>21.781945272892202</v>
      </c>
      <c r="AA95">
        <v>2.8724160579070901</v>
      </c>
      <c r="AB95">
        <v>8.95964571518296</v>
      </c>
      <c r="AC95">
        <v>1.681487323994</v>
      </c>
      <c r="AJ95">
        <v>0.768854603296662</v>
      </c>
      <c r="AK95">
        <v>0.13621079200797701</v>
      </c>
      <c r="AL95">
        <v>9.4934604695360303E-2</v>
      </c>
    </row>
    <row r="96" spans="1:38" x14ac:dyDescent="0.2">
      <c r="A96">
        <v>158</v>
      </c>
      <c r="B96">
        <v>766</v>
      </c>
      <c r="C96">
        <v>150</v>
      </c>
      <c r="D96">
        <v>0.44161141317423203</v>
      </c>
      <c r="E96">
        <v>5.4811397304279899</v>
      </c>
      <c r="F96">
        <v>2.5706290909494598</v>
      </c>
      <c r="G96">
        <v>-89.109360070020841</v>
      </c>
      <c r="H96">
        <v>-77.05716514234031</v>
      </c>
      <c r="I96">
        <v>11.598128208324599</v>
      </c>
      <c r="J96">
        <v>6.6669596111474299</v>
      </c>
      <c r="K96">
        <v>2.1322172653089799</v>
      </c>
      <c r="L96">
        <v>3.075806171196718E-5</v>
      </c>
      <c r="M96">
        <v>1.8062543085963866E-6</v>
      </c>
      <c r="N96" s="1">
        <v>-5.4055993400012499E-8</v>
      </c>
      <c r="O96" s="1">
        <v>1.8936930527027199E-11</v>
      </c>
      <c r="P96" s="1">
        <v>2.0349202146965499E-10</v>
      </c>
      <c r="Q96">
        <v>64.884296880419498</v>
      </c>
      <c r="S96">
        <v>21.616013689462701</v>
      </c>
      <c r="AA96">
        <v>2.6935689721982001</v>
      </c>
      <c r="AB96">
        <v>8.9252896581302199</v>
      </c>
      <c r="AC96">
        <v>1.8808307997893501</v>
      </c>
      <c r="AJ96">
        <v>0.76604008119369005</v>
      </c>
      <c r="AK96">
        <v>0.12775210510542501</v>
      </c>
      <c r="AL96">
        <v>0.106207813700884</v>
      </c>
    </row>
    <row r="97" spans="1:38" x14ac:dyDescent="0.2">
      <c r="A97">
        <v>159</v>
      </c>
      <c r="B97">
        <v>764</v>
      </c>
      <c r="C97">
        <v>150</v>
      </c>
      <c r="D97">
        <v>0.44039965289495597</v>
      </c>
      <c r="E97">
        <v>7.5371274637168604</v>
      </c>
      <c r="F97">
        <v>2.5679455765401098</v>
      </c>
      <c r="G97">
        <v>-122.403281152898</v>
      </c>
      <c r="H97">
        <v>-105.87776482312879</v>
      </c>
      <c r="I97">
        <v>15.933583695482</v>
      </c>
      <c r="J97">
        <v>9.1678809247477702</v>
      </c>
      <c r="K97">
        <v>2.9350806857331802</v>
      </c>
      <c r="L97">
        <v>3.0821133831849447E-5</v>
      </c>
      <c r="M97">
        <v>1.8096856832880192E-6</v>
      </c>
      <c r="N97" s="1">
        <v>-7.8341711553826495E-8</v>
      </c>
      <c r="O97" s="1">
        <v>2.6137529729761699E-11</v>
      </c>
      <c r="P97" s="1">
        <v>2.9130456613387601E-10</v>
      </c>
      <c r="Q97">
        <v>65.063976515676202</v>
      </c>
      <c r="S97">
        <v>21.4372070566614</v>
      </c>
      <c r="AA97">
        <v>2.5041258827944799</v>
      </c>
      <c r="AB97">
        <v>8.8569312569260799</v>
      </c>
      <c r="AC97">
        <v>2.13775928794171</v>
      </c>
      <c r="AJ97">
        <v>0.76043437372262002</v>
      </c>
      <c r="AK97">
        <v>0.11880792570312899</v>
      </c>
      <c r="AL97">
        <v>0.12075770057425</v>
      </c>
    </row>
    <row r="98" spans="1:38" x14ac:dyDescent="0.2">
      <c r="A98">
        <v>160</v>
      </c>
      <c r="B98">
        <v>762</v>
      </c>
      <c r="C98">
        <v>150</v>
      </c>
      <c r="D98">
        <v>0.439183210162781</v>
      </c>
      <c r="E98">
        <v>14.110224905978299</v>
      </c>
      <c r="F98">
        <v>2.5706763000040298</v>
      </c>
      <c r="G98">
        <v>-229.15596533658018</v>
      </c>
      <c r="H98">
        <v>-198.32585308233803</v>
      </c>
      <c r="I98">
        <v>29.783231661345798</v>
      </c>
      <c r="J98">
        <v>17.163522909467599</v>
      </c>
      <c r="K98">
        <v>5.4889154678697398</v>
      </c>
      <c r="L98">
        <v>3.0736798815503963E-5</v>
      </c>
      <c r="M98">
        <v>1.8038583857142295E-6</v>
      </c>
      <c r="N98" s="1">
        <v>-1.54120601580936E-7</v>
      </c>
      <c r="O98" s="1">
        <v>4.8622142360722303E-11</v>
      </c>
      <c r="P98" s="1">
        <v>5.6703581203068496E-10</v>
      </c>
      <c r="Q98">
        <v>64.789953458826503</v>
      </c>
      <c r="S98">
        <v>21.638152681727998</v>
      </c>
      <c r="AA98">
        <v>2.7338476151737501</v>
      </c>
      <c r="AB98">
        <v>8.7730906480914808</v>
      </c>
      <c r="AC98">
        <v>2.06495559618015</v>
      </c>
      <c r="AJ98">
        <v>0.75354630857483595</v>
      </c>
      <c r="AK98">
        <v>0.12976047408553401</v>
      </c>
      <c r="AL98">
        <v>0.11669321733962799</v>
      </c>
    </row>
    <row r="99" spans="1:38" x14ac:dyDescent="0.2">
      <c r="A99">
        <v>161</v>
      </c>
      <c r="B99">
        <v>760</v>
      </c>
      <c r="C99">
        <v>150</v>
      </c>
      <c r="D99">
        <v>0.43796205778444602</v>
      </c>
      <c r="E99">
        <v>16.754633145090001</v>
      </c>
      <c r="F99">
        <v>2.5725907599097302</v>
      </c>
      <c r="G99">
        <v>-272.11470419446664</v>
      </c>
      <c r="H99">
        <v>-235.62673886201287</v>
      </c>
      <c r="I99">
        <v>35.317200147561998</v>
      </c>
      <c r="J99">
        <v>20.387818305264801</v>
      </c>
      <c r="K99">
        <v>6.5127471520880098</v>
      </c>
      <c r="L99">
        <v>3.0731554218322969E-5</v>
      </c>
      <c r="M99">
        <v>1.8007407005232254E-6</v>
      </c>
      <c r="N99" s="1">
        <v>-1.9407382885752801E-7</v>
      </c>
      <c r="O99" s="1">
        <v>5.7445008512027597E-11</v>
      </c>
      <c r="P99" s="1">
        <v>7.0542903223905305E-10</v>
      </c>
      <c r="Q99">
        <v>64.628432872217303</v>
      </c>
      <c r="S99">
        <v>21.767058925849</v>
      </c>
      <c r="AA99">
        <v>2.87788520722538</v>
      </c>
      <c r="AB99">
        <v>8.7510951591389592</v>
      </c>
      <c r="AC99">
        <v>1.97552783556926</v>
      </c>
      <c r="AJ99">
        <v>0.751736939873351</v>
      </c>
      <c r="AK99">
        <v>0.136611651807167</v>
      </c>
      <c r="AL99">
        <v>0.11165140831948001</v>
      </c>
    </row>
    <row r="100" spans="1:38" x14ac:dyDescent="0.2">
      <c r="A100">
        <v>162</v>
      </c>
      <c r="B100">
        <v>758</v>
      </c>
      <c r="C100">
        <v>150</v>
      </c>
      <c r="D100">
        <v>0.43673616835572199</v>
      </c>
      <c r="E100">
        <v>17.765206232942599</v>
      </c>
      <c r="F100">
        <v>2.5734435933914099</v>
      </c>
      <c r="G100">
        <v>-288.49347840503924</v>
      </c>
      <c r="H100">
        <v>-249.92602921948762</v>
      </c>
      <c r="I100">
        <v>37.402365500219702</v>
      </c>
      <c r="J100">
        <v>21.628511881094099</v>
      </c>
      <c r="K100">
        <v>6.9032817655547403</v>
      </c>
      <c r="L100">
        <v>3.0774802376028013E-5</v>
      </c>
      <c r="M100">
        <v>1.7998428790045629E-6</v>
      </c>
      <c r="N100" s="1">
        <v>-2.1889531456417501E-7</v>
      </c>
      <c r="O100" s="1">
        <v>6.0716929344627705E-11</v>
      </c>
      <c r="P100" s="1">
        <v>7.8590669227323601E-10</v>
      </c>
      <c r="Q100">
        <v>64.568959236641106</v>
      </c>
      <c r="S100">
        <v>21.816690340161198</v>
      </c>
      <c r="AA100">
        <v>2.9327089920229601</v>
      </c>
      <c r="AB100">
        <v>8.7486765562497801</v>
      </c>
      <c r="AC100">
        <v>1.93296487492489</v>
      </c>
      <c r="AJ100">
        <v>0.75153733053732896</v>
      </c>
      <c r="AK100">
        <v>0.139215617553024</v>
      </c>
      <c r="AL100">
        <v>0.109247051909646</v>
      </c>
    </row>
    <row r="101" spans="1:38" x14ac:dyDescent="0.2">
      <c r="A101">
        <v>163</v>
      </c>
      <c r="B101">
        <v>756</v>
      </c>
      <c r="C101">
        <v>150</v>
      </c>
      <c r="D101">
        <v>0.43550551425934297</v>
      </c>
      <c r="E101">
        <v>18.334641327871399</v>
      </c>
      <c r="F101">
        <v>2.5739934295656601</v>
      </c>
      <c r="G101">
        <v>-297.69198450229283</v>
      </c>
      <c r="H101">
        <v>-258.0116509626738</v>
      </c>
      <c r="I101">
        <v>38.5564140694933</v>
      </c>
      <c r="J101">
        <v>22.334719469538602</v>
      </c>
      <c r="K101">
        <v>7.12303346126461</v>
      </c>
      <c r="L101">
        <v>3.083550648141685E-5</v>
      </c>
      <c r="M101">
        <v>1.7996053495564644E-6</v>
      </c>
      <c r="N101" s="1">
        <v>-2.40554956248033E-7</v>
      </c>
      <c r="O101" s="1">
        <v>6.2492248708660702E-11</v>
      </c>
      <c r="P101" s="1">
        <v>8.5336155081246498E-10</v>
      </c>
      <c r="Q101">
        <v>64.539189597852797</v>
      </c>
      <c r="S101">
        <v>21.8434077549691</v>
      </c>
      <c r="AA101">
        <v>2.9616974710381401</v>
      </c>
      <c r="AB101">
        <v>8.7523796888141998</v>
      </c>
      <c r="AC101">
        <v>1.90332548732565</v>
      </c>
      <c r="AJ101">
        <v>0.75184112749486298</v>
      </c>
      <c r="AK101">
        <v>0.14058902342082699</v>
      </c>
      <c r="AL101">
        <v>0.107569849084309</v>
      </c>
    </row>
    <row r="102" spans="1:38" x14ac:dyDescent="0.2">
      <c r="A102">
        <v>164</v>
      </c>
      <c r="B102">
        <v>754</v>
      </c>
      <c r="C102">
        <v>150</v>
      </c>
      <c r="D102">
        <v>0.43427006766295001</v>
      </c>
      <c r="E102">
        <v>18.722729417597598</v>
      </c>
      <c r="F102">
        <v>2.5744128618279101</v>
      </c>
      <c r="G102">
        <v>-303.93764884957375</v>
      </c>
      <c r="H102">
        <v>-263.54247740245739</v>
      </c>
      <c r="I102">
        <v>39.327431677083503</v>
      </c>
      <c r="J102">
        <v>22.822033732322399</v>
      </c>
      <c r="K102">
        <v>7.2726211460518897</v>
      </c>
      <c r="L102">
        <v>3.0906462798210804E-5</v>
      </c>
      <c r="M102">
        <v>1.799663114435007E-6</v>
      </c>
      <c r="N102" s="1">
        <v>-2.6170638537790099E-7</v>
      </c>
      <c r="O102" s="1">
        <v>6.3648063921555504E-11</v>
      </c>
      <c r="P102" s="1">
        <v>9.1769997827130497E-10</v>
      </c>
      <c r="Q102">
        <v>64.522317241573305</v>
      </c>
      <c r="S102">
        <v>21.8601972666515</v>
      </c>
      <c r="AA102">
        <v>2.9794859237648899</v>
      </c>
      <c r="AB102">
        <v>8.7587964351657099</v>
      </c>
      <c r="AC102">
        <v>1.87920313284451</v>
      </c>
      <c r="AJ102">
        <v>0.75236804038201399</v>
      </c>
      <c r="AK102">
        <v>0.141428857937311</v>
      </c>
      <c r="AL102">
        <v>0.106203101680673</v>
      </c>
    </row>
    <row r="103" spans="1:38" x14ac:dyDescent="0.2">
      <c r="A103">
        <v>165</v>
      </c>
      <c r="B103">
        <v>752</v>
      </c>
      <c r="C103">
        <v>150</v>
      </c>
      <c r="D103">
        <v>0.43302980051699702</v>
      </c>
      <c r="E103">
        <v>19.019906089881101</v>
      </c>
      <c r="F103">
        <v>2.5747756556813601</v>
      </c>
      <c r="G103">
        <v>-308.70287763382248</v>
      </c>
      <c r="H103">
        <v>-267.79318089447258</v>
      </c>
      <c r="I103">
        <v>39.906059346778399</v>
      </c>
      <c r="J103">
        <v>23.200324642663599</v>
      </c>
      <c r="K103">
        <v>7.3870148833793801</v>
      </c>
      <c r="L103">
        <v>3.098464222296761E-5</v>
      </c>
      <c r="M103">
        <v>1.7998572032038565E-6</v>
      </c>
      <c r="N103" s="1">
        <v>-2.8333100300090799E-7</v>
      </c>
      <c r="O103" s="1">
        <v>6.4486717484914497E-11</v>
      </c>
      <c r="P103" s="1">
        <v>9.8252974438325901E-10</v>
      </c>
      <c r="Q103">
        <v>64.511047947937598</v>
      </c>
      <c r="S103">
        <v>21.8726609849951</v>
      </c>
      <c r="AA103">
        <v>2.9923981546254499</v>
      </c>
      <c r="AB103">
        <v>8.76635867656565</v>
      </c>
      <c r="AC103">
        <v>1.85753423587611</v>
      </c>
      <c r="AJ103">
        <v>0.75298910246371797</v>
      </c>
      <c r="AK103">
        <v>0.14203638932321999</v>
      </c>
      <c r="AL103">
        <v>0.10497450821305999</v>
      </c>
    </row>
    <row r="104" spans="1:38" x14ac:dyDescent="0.2">
      <c r="A104">
        <v>166</v>
      </c>
      <c r="B104">
        <v>750</v>
      </c>
      <c r="C104">
        <v>150</v>
      </c>
      <c r="D104">
        <v>0.43178468455260599</v>
      </c>
      <c r="E104">
        <v>19.260658772823799</v>
      </c>
      <c r="F104">
        <v>2.5750895825312399</v>
      </c>
      <c r="G104">
        <v>-312.5484365452532</v>
      </c>
      <c r="H104">
        <v>-271.24878804643055</v>
      </c>
      <c r="I104">
        <v>40.365194251891303</v>
      </c>
      <c r="J104">
        <v>23.511597079764201</v>
      </c>
      <c r="K104">
        <v>7.4796072740471704</v>
      </c>
      <c r="L104">
        <v>3.1070103375217802E-5</v>
      </c>
      <c r="M104">
        <v>1.8001736413134705E-6</v>
      </c>
      <c r="N104" s="1">
        <v>-3.0586950575280501E-7</v>
      </c>
      <c r="O104" s="1">
        <v>6.5125534037975402E-11</v>
      </c>
      <c r="P104" s="1">
        <v>1.04940850378581E-9</v>
      </c>
      <c r="Q104">
        <v>64.504675234266401</v>
      </c>
      <c r="S104">
        <v>21.881359538355301</v>
      </c>
      <c r="AA104">
        <v>3.0010615358282502</v>
      </c>
      <c r="AB104">
        <v>8.7749618143633104</v>
      </c>
      <c r="AC104">
        <v>1.83794187718672</v>
      </c>
      <c r="AJ104">
        <v>0.75369569030194905</v>
      </c>
      <c r="AK104">
        <v>0.14244148333742199</v>
      </c>
      <c r="AL104">
        <v>0.103862826360628</v>
      </c>
    </row>
    <row r="105" spans="1:38" x14ac:dyDescent="0.2">
      <c r="A105">
        <v>167</v>
      </c>
      <c r="B105">
        <v>748</v>
      </c>
      <c r="C105">
        <v>150</v>
      </c>
      <c r="D105">
        <v>0.43053469127944</v>
      </c>
      <c r="E105">
        <v>19.466205775612298</v>
      </c>
      <c r="F105">
        <v>2.5753735330773901</v>
      </c>
      <c r="G105">
        <v>-315.81990247967582</v>
      </c>
      <c r="H105">
        <v>-274.20850904289625</v>
      </c>
      <c r="I105">
        <v>40.749540651990003</v>
      </c>
      <c r="J105">
        <v>23.781710156316699</v>
      </c>
      <c r="K105">
        <v>7.5585951030379404</v>
      </c>
      <c r="L105">
        <v>3.1162334069836746E-5</v>
      </c>
      <c r="M105">
        <v>1.8005722186857043E-6</v>
      </c>
      <c r="N105" s="1">
        <v>-3.2964495143820799E-7</v>
      </c>
      <c r="O105" s="1">
        <v>6.5634383046175497E-11</v>
      </c>
      <c r="P105" s="1">
        <v>1.11943829505915E-9</v>
      </c>
      <c r="Q105">
        <v>64.501322805935203</v>
      </c>
      <c r="S105">
        <v>21.887730932978201</v>
      </c>
      <c r="AA105">
        <v>3.0071002449505202</v>
      </c>
      <c r="AB105">
        <v>8.7841945469192204</v>
      </c>
      <c r="AC105">
        <v>1.81965146921675</v>
      </c>
      <c r="AJ105">
        <v>0.75445397291472505</v>
      </c>
      <c r="AK105">
        <v>0.1427215325407</v>
      </c>
      <c r="AL105">
        <v>0.102824494544574</v>
      </c>
    </row>
    <row r="106" spans="1:38" x14ac:dyDescent="0.2">
      <c r="A106">
        <v>169</v>
      </c>
      <c r="B106">
        <v>782</v>
      </c>
      <c r="C106">
        <v>135</v>
      </c>
      <c r="D106">
        <v>0.466777709330429</v>
      </c>
      <c r="E106">
        <v>0.309187526262724</v>
      </c>
      <c r="F106">
        <v>2.5753930119552901</v>
      </c>
      <c r="G106">
        <v>-5.0463995082642565</v>
      </c>
      <c r="H106">
        <v>-4.3505277632517565</v>
      </c>
      <c r="I106">
        <v>0.65950030328626097</v>
      </c>
      <c r="J106">
        <v>0.37524792133712898</v>
      </c>
      <c r="K106">
        <v>0.120054502294382</v>
      </c>
      <c r="L106">
        <v>3.0240264564682599E-5</v>
      </c>
      <c r="M106">
        <v>1.793679245286726E-6</v>
      </c>
      <c r="N106" s="1">
        <v>-1.82541925407327E-9</v>
      </c>
      <c r="O106" s="1">
        <v>1.06528981037631E-12</v>
      </c>
      <c r="P106" s="1">
        <v>7.9183496417511004E-12</v>
      </c>
      <c r="Q106">
        <v>64.330530074298295</v>
      </c>
      <c r="S106">
        <v>22.091647170443601</v>
      </c>
      <c r="AA106">
        <v>3.21518537783595</v>
      </c>
      <c r="AB106">
        <v>8.9381850294418204</v>
      </c>
      <c r="AC106">
        <v>1.42445234798021</v>
      </c>
      <c r="AJ106">
        <v>0.76708913047792304</v>
      </c>
      <c r="AK106">
        <v>0.15248014510152</v>
      </c>
      <c r="AL106">
        <v>8.0430724420555502E-2</v>
      </c>
    </row>
    <row r="107" spans="1:38" x14ac:dyDescent="0.2">
      <c r="A107">
        <v>170</v>
      </c>
      <c r="B107">
        <v>780</v>
      </c>
      <c r="C107">
        <v>135</v>
      </c>
      <c r="D107">
        <v>0.46563215116555001</v>
      </c>
      <c r="E107">
        <v>0.96596255668044195</v>
      </c>
      <c r="F107">
        <v>2.5746298415131199</v>
      </c>
      <c r="G107">
        <v>-15.759497636369241</v>
      </c>
      <c r="H107">
        <v>-13.591585247044364</v>
      </c>
      <c r="I107">
        <v>2.0585029571522302</v>
      </c>
      <c r="J107">
        <v>1.1726574055544301</v>
      </c>
      <c r="K107">
        <v>0.37518502314598401</v>
      </c>
      <c r="L107">
        <v>3.031280521130137E-5</v>
      </c>
      <c r="M107">
        <v>1.7959280751288819E-6</v>
      </c>
      <c r="N107" s="1">
        <v>-6.0957419477078297E-9</v>
      </c>
      <c r="O107" s="1">
        <v>3.3308233017197501E-12</v>
      </c>
      <c r="P107" s="1">
        <v>2.5885509476235101E-11</v>
      </c>
      <c r="Q107">
        <v>64.421814767123806</v>
      </c>
      <c r="S107">
        <v>22.020533284916599</v>
      </c>
      <c r="AA107">
        <v>3.1352156589990998</v>
      </c>
      <c r="AB107">
        <v>8.95517377656879</v>
      </c>
      <c r="AC107">
        <v>1.4672625123916301</v>
      </c>
      <c r="AJ107">
        <v>0.76848359005962996</v>
      </c>
      <c r="AK107">
        <v>0.148675288616095</v>
      </c>
      <c r="AL107">
        <v>8.2841121324274097E-2</v>
      </c>
    </row>
    <row r="108" spans="1:38" x14ac:dyDescent="0.2">
      <c r="A108">
        <v>171</v>
      </c>
      <c r="B108">
        <v>778</v>
      </c>
      <c r="C108">
        <v>135</v>
      </c>
      <c r="D108">
        <v>0.464482233743996</v>
      </c>
      <c r="E108">
        <v>1.62382390005681</v>
      </c>
      <c r="F108">
        <v>2.5738838559375798</v>
      </c>
      <c r="G108">
        <v>-26.48148464962448</v>
      </c>
      <c r="H108">
        <v>-22.84746122805646</v>
      </c>
      <c r="I108">
        <v>3.4571882429415499</v>
      </c>
      <c r="J108">
        <v>1.9718327962550299</v>
      </c>
      <c r="K108">
        <v>0.63088468281537902</v>
      </c>
      <c r="L108">
        <v>3.0385038303074083E-5</v>
      </c>
      <c r="M108">
        <v>1.7980930716291934E-6</v>
      </c>
      <c r="N108" s="1">
        <v>-1.0942720532182E-8</v>
      </c>
      <c r="O108" s="1">
        <v>5.6031517801279E-12</v>
      </c>
      <c r="P108" s="1">
        <v>4.5543623647285201E-11</v>
      </c>
      <c r="Q108">
        <v>64.509653188560705</v>
      </c>
      <c r="S108">
        <v>21.951501778253999</v>
      </c>
      <c r="AA108">
        <v>3.0577680643621798</v>
      </c>
      <c r="AB108">
        <v>8.9699419196087806</v>
      </c>
      <c r="AC108">
        <v>1.5111350492142499</v>
      </c>
      <c r="AJ108">
        <v>0.76969572308490397</v>
      </c>
      <c r="AK108">
        <v>0.144992244622456</v>
      </c>
      <c r="AL108">
        <v>8.5312032292638895E-2</v>
      </c>
    </row>
    <row r="109" spans="1:38" x14ac:dyDescent="0.2">
      <c r="A109">
        <v>172</v>
      </c>
      <c r="B109">
        <v>776</v>
      </c>
      <c r="C109">
        <v>135</v>
      </c>
      <c r="D109">
        <v>0.46332793213554102</v>
      </c>
      <c r="E109">
        <v>2.2822198536895701</v>
      </c>
      <c r="F109">
        <v>2.5731547289079901</v>
      </c>
      <c r="G109">
        <v>-37.203269079448731</v>
      </c>
      <c r="H109">
        <v>-32.110349482028298</v>
      </c>
      <c r="I109">
        <v>4.8543293117480202</v>
      </c>
      <c r="J109">
        <v>2.7721401064248798</v>
      </c>
      <c r="K109">
        <v>0.88693455859846704</v>
      </c>
      <c r="L109">
        <v>3.0457082733070174E-5</v>
      </c>
      <c r="M109">
        <v>1.8001756370483905E-6</v>
      </c>
      <c r="N109" s="1">
        <v>-1.6409889678763401E-8</v>
      </c>
      <c r="O109" s="1">
        <v>7.8796834097726197E-12</v>
      </c>
      <c r="P109" s="1">
        <v>6.7012167115676298E-11</v>
      </c>
      <c r="Q109">
        <v>64.594087525273096</v>
      </c>
      <c r="S109">
        <v>21.8845217564505</v>
      </c>
      <c r="AA109">
        <v>2.9828072623732398</v>
      </c>
      <c r="AB109">
        <v>8.9825024766292696</v>
      </c>
      <c r="AC109">
        <v>1.5560809792738199</v>
      </c>
      <c r="AJ109">
        <v>0.77072667641838499</v>
      </c>
      <c r="AK109">
        <v>0.14142918137611499</v>
      </c>
      <c r="AL109">
        <v>8.7844142205499104E-2</v>
      </c>
    </row>
    <row r="110" spans="1:38" x14ac:dyDescent="0.2">
      <c r="A110">
        <v>173</v>
      </c>
      <c r="B110">
        <v>774</v>
      </c>
      <c r="C110">
        <v>135</v>
      </c>
      <c r="D110">
        <v>0.46216922121950399</v>
      </c>
      <c r="E110">
        <v>3.3830538271647601</v>
      </c>
      <c r="F110">
        <v>2.57192794983319</v>
      </c>
      <c r="G110">
        <v>-55.117742910105143</v>
      </c>
      <c r="H110">
        <v>-47.589510666430314</v>
      </c>
      <c r="I110">
        <v>7.1892586961512901</v>
      </c>
      <c r="J110">
        <v>4.1103245102944799</v>
      </c>
      <c r="K110">
        <v>1.3153765941943201</v>
      </c>
      <c r="L110">
        <v>3.0534472637411999E-5</v>
      </c>
      <c r="M110">
        <v>1.8028521935030012E-6</v>
      </c>
      <c r="N110" s="1">
        <v>-2.5903434916121001E-8</v>
      </c>
      <c r="O110" s="1">
        <v>1.16975834185957E-11</v>
      </c>
      <c r="P110" s="1">
        <v>1.03918471465724E-10</v>
      </c>
      <c r="Q110">
        <v>64.711230099758396</v>
      </c>
      <c r="S110">
        <v>21.785413388499499</v>
      </c>
      <c r="AA110">
        <v>2.8737082257105802</v>
      </c>
      <c r="AB110">
        <v>8.9837229513855199</v>
      </c>
      <c r="AC110">
        <v>1.64592533464588</v>
      </c>
      <c r="AJ110">
        <v>0.77082852865360296</v>
      </c>
      <c r="AK110">
        <v>0.13625576639586801</v>
      </c>
      <c r="AL110">
        <v>9.2915704950528102E-2</v>
      </c>
    </row>
    <row r="111" spans="1:38" x14ac:dyDescent="0.2">
      <c r="A111">
        <v>174</v>
      </c>
      <c r="B111">
        <v>772</v>
      </c>
      <c r="C111">
        <v>135</v>
      </c>
      <c r="D111">
        <v>0.46100607568291702</v>
      </c>
      <c r="E111">
        <v>5.2364973034481004</v>
      </c>
      <c r="F111">
        <v>2.5697717768948301</v>
      </c>
      <c r="G111">
        <v>-85.242725682624183</v>
      </c>
      <c r="H111">
        <v>-73.622455432126188</v>
      </c>
      <c r="I111">
        <v>11.1182799124508</v>
      </c>
      <c r="J111">
        <v>6.3629275420586797</v>
      </c>
      <c r="K111">
        <v>2.0377285448187101</v>
      </c>
      <c r="L111">
        <v>3.0611331792551403E-5</v>
      </c>
      <c r="M111">
        <v>1.8063934153658116E-6</v>
      </c>
      <c r="N111" s="1">
        <v>-4.2503995607472802E-8</v>
      </c>
      <c r="O111" s="1">
        <v>1.8162647396688801E-11</v>
      </c>
      <c r="P111" s="1">
        <v>1.6780454137463401E-10</v>
      </c>
      <c r="Q111">
        <v>64.881510097107395</v>
      </c>
      <c r="S111">
        <v>21.629767457118302</v>
      </c>
      <c r="AA111">
        <v>2.7055662291295102</v>
      </c>
      <c r="AB111">
        <v>8.9551367509615503</v>
      </c>
      <c r="AC111">
        <v>1.8280194656831801</v>
      </c>
      <c r="AJ111">
        <v>0.76848763984193402</v>
      </c>
      <c r="AK111">
        <v>0.12830205851026699</v>
      </c>
      <c r="AL111">
        <v>0.103210301647797</v>
      </c>
    </row>
    <row r="112" spans="1:38" x14ac:dyDescent="0.2">
      <c r="A112">
        <v>175</v>
      </c>
      <c r="B112">
        <v>770</v>
      </c>
      <c r="C112">
        <v>135</v>
      </c>
      <c r="D112">
        <v>0.45983847001869499</v>
      </c>
      <c r="E112">
        <v>7.1949694378530404</v>
      </c>
      <c r="F112">
        <v>2.56735432130899</v>
      </c>
      <c r="G112">
        <v>-117.00942821636397</v>
      </c>
      <c r="H112">
        <v>-101.08846258420719</v>
      </c>
      <c r="I112">
        <v>15.2623933587276</v>
      </c>
      <c r="J112">
        <v>8.7426279142865404</v>
      </c>
      <c r="K112">
        <v>2.8024840117060998</v>
      </c>
      <c r="L112">
        <v>3.0671119008879789E-5</v>
      </c>
      <c r="M112">
        <v>1.8096585722684335E-6</v>
      </c>
      <c r="N112" s="1">
        <v>-6.1652945812779003E-8</v>
      </c>
      <c r="O112" s="1">
        <v>2.5042003389168601E-11</v>
      </c>
      <c r="P112" s="1">
        <v>2.3991765722232197E-10</v>
      </c>
      <c r="Q112">
        <v>65.049269253129296</v>
      </c>
      <c r="S112">
        <v>21.4657421143698</v>
      </c>
      <c r="AA112">
        <v>2.53109933623371</v>
      </c>
      <c r="AB112">
        <v>8.8989652745052403</v>
      </c>
      <c r="AC112">
        <v>2.0549240217618898</v>
      </c>
      <c r="AJ112">
        <v>0.76388328322747601</v>
      </c>
      <c r="AK112">
        <v>0.120062525446382</v>
      </c>
      <c r="AL112">
        <v>0.11605419132614</v>
      </c>
    </row>
    <row r="113" spans="1:38" x14ac:dyDescent="0.2">
      <c r="A113">
        <v>176</v>
      </c>
      <c r="B113">
        <v>768</v>
      </c>
      <c r="C113">
        <v>135</v>
      </c>
      <c r="D113">
        <v>0.45866637852374798</v>
      </c>
      <c r="E113">
        <v>9.3573433322217507</v>
      </c>
      <c r="F113">
        <v>2.56455403909992</v>
      </c>
      <c r="G113">
        <v>-151.99580842218452</v>
      </c>
      <c r="H113">
        <v>-131.35072108531821</v>
      </c>
      <c r="I113">
        <v>19.829119086458501</v>
      </c>
      <c r="J113">
        <v>11.3677716924603</v>
      </c>
      <c r="K113">
        <v>3.6487214500287402</v>
      </c>
      <c r="L113">
        <v>3.0703029546428124E-5</v>
      </c>
      <c r="M113">
        <v>1.812486619548168E-6</v>
      </c>
      <c r="N113" s="1">
        <v>-8.4127159439529503E-8</v>
      </c>
      <c r="O113" s="1">
        <v>3.2699088267979698E-11</v>
      </c>
      <c r="P113" s="1">
        <v>3.2330308310376501E-10</v>
      </c>
      <c r="Q113">
        <v>65.212310414248407</v>
      </c>
      <c r="S113">
        <v>21.2896527303554</v>
      </c>
      <c r="AA113">
        <v>2.3477803653791098</v>
      </c>
      <c r="AB113">
        <v>8.8006525467660595</v>
      </c>
      <c r="AC113">
        <v>2.3496039432509002</v>
      </c>
      <c r="AJ113">
        <v>0.75581636944025399</v>
      </c>
      <c r="AK113">
        <v>0.111421672969943</v>
      </c>
      <c r="AL113">
        <v>0.132761957589801</v>
      </c>
    </row>
    <row r="114" spans="1:38" x14ac:dyDescent="0.2">
      <c r="A114">
        <v>177</v>
      </c>
      <c r="B114">
        <v>766</v>
      </c>
      <c r="C114">
        <v>135</v>
      </c>
      <c r="D114">
        <v>0.45748977529712298</v>
      </c>
      <c r="E114">
        <v>15.2352830298715</v>
      </c>
      <c r="F114">
        <v>2.5698805375728999</v>
      </c>
      <c r="G114">
        <v>-247.63233459671878</v>
      </c>
      <c r="H114">
        <v>-214.14118624366367</v>
      </c>
      <c r="I114">
        <v>32.229368573406198</v>
      </c>
      <c r="J114">
        <v>18.5109941321927</v>
      </c>
      <c r="K114">
        <v>5.9284012650099003</v>
      </c>
      <c r="L114">
        <v>3.0571756560244387E-5</v>
      </c>
      <c r="M114">
        <v>1.8030297281791339E-6</v>
      </c>
      <c r="N114" s="1">
        <v>-1.4435050909386701E-7</v>
      </c>
      <c r="O114" s="1">
        <v>5.2664134107451903E-11</v>
      </c>
      <c r="P114" s="1">
        <v>5.4815381954933698E-10</v>
      </c>
      <c r="Q114">
        <v>64.748723623226596</v>
      </c>
      <c r="S114">
        <v>21.661333407089099</v>
      </c>
      <c r="AA114">
        <v>2.76259236943757</v>
      </c>
      <c r="AB114">
        <v>8.74198345534659</v>
      </c>
      <c r="AC114">
        <v>2.0853671449000202</v>
      </c>
      <c r="AJ114">
        <v>0.75099011301138197</v>
      </c>
      <c r="AK114">
        <v>0.13114503019837401</v>
      </c>
      <c r="AL114">
        <v>0.117864856790243</v>
      </c>
    </row>
    <row r="115" spans="1:38" x14ac:dyDescent="0.2">
      <c r="A115">
        <v>178</v>
      </c>
      <c r="B115">
        <v>764</v>
      </c>
      <c r="C115">
        <v>135</v>
      </c>
      <c r="D115">
        <v>0.45630863423805901</v>
      </c>
      <c r="E115">
        <v>16.922461006214899</v>
      </c>
      <c r="F115">
        <v>2.5715198553123702</v>
      </c>
      <c r="G115">
        <v>-275.05711584958482</v>
      </c>
      <c r="H115">
        <v>-237.97691530599309</v>
      </c>
      <c r="I115">
        <v>35.752013251305698</v>
      </c>
      <c r="J115">
        <v>20.567774525849799</v>
      </c>
      <c r="K115">
        <v>6.5807234469746199</v>
      </c>
      <c r="L115">
        <v>3.0571957897862656E-5</v>
      </c>
      <c r="M115">
        <v>1.8004946156892684E-6</v>
      </c>
      <c r="N115" s="1">
        <v>-1.7018222559399999E-7</v>
      </c>
      <c r="O115" s="1">
        <v>5.8246055137801695E-11</v>
      </c>
      <c r="P115" s="1">
        <v>6.3751954723157595E-10</v>
      </c>
      <c r="Q115">
        <v>64.614770214713005</v>
      </c>
      <c r="S115">
        <v>21.7692325075387</v>
      </c>
      <c r="AA115">
        <v>2.8828664287232102</v>
      </c>
      <c r="AB115">
        <v>8.7263469864376102</v>
      </c>
      <c r="AC115">
        <v>2.00678386258733</v>
      </c>
      <c r="AJ115">
        <v>0.74970320321365003</v>
      </c>
      <c r="AK115">
        <v>0.13686493631264099</v>
      </c>
      <c r="AL115">
        <v>0.113431860473707</v>
      </c>
    </row>
    <row r="116" spans="1:38" x14ac:dyDescent="0.2">
      <c r="A116">
        <v>179</v>
      </c>
      <c r="B116">
        <v>762</v>
      </c>
      <c r="C116">
        <v>135</v>
      </c>
      <c r="D116">
        <v>0.45512292904410101</v>
      </c>
      <c r="E116">
        <v>17.7027111789033</v>
      </c>
      <c r="F116">
        <v>2.5723622214575999</v>
      </c>
      <c r="G116">
        <v>-287.70512812296164</v>
      </c>
      <c r="H116">
        <v>-249.03616140883577</v>
      </c>
      <c r="I116">
        <v>37.355906597233101</v>
      </c>
      <c r="J116">
        <v>21.5253317940317</v>
      </c>
      <c r="K116">
        <v>6.8818889623065198</v>
      </c>
      <c r="L116">
        <v>3.0608078399258821E-5</v>
      </c>
      <c r="M116">
        <v>1.7996078914655306E-6</v>
      </c>
      <c r="N116" s="1">
        <v>-1.8938147665357001E-7</v>
      </c>
      <c r="O116" s="1">
        <v>6.0754683183504699E-11</v>
      </c>
      <c r="P116" s="1">
        <v>6.9984939605373898E-10</v>
      </c>
      <c r="Q116">
        <v>64.556759156785205</v>
      </c>
      <c r="S116">
        <v>21.8179172207406</v>
      </c>
      <c r="AA116">
        <v>2.9365679029118401</v>
      </c>
      <c r="AB116">
        <v>8.7247057593772794</v>
      </c>
      <c r="AC116">
        <v>1.9640499601850201</v>
      </c>
      <c r="AJ116">
        <v>0.74956745449550799</v>
      </c>
      <c r="AK116">
        <v>0.13941540678058401</v>
      </c>
      <c r="AL116">
        <v>0.11101713872390701</v>
      </c>
    </row>
    <row r="117" spans="1:38" x14ac:dyDescent="0.2">
      <c r="A117">
        <v>180</v>
      </c>
      <c r="B117">
        <v>760</v>
      </c>
      <c r="C117">
        <v>135</v>
      </c>
      <c r="D117">
        <v>0.45393263320911997</v>
      </c>
      <c r="E117">
        <v>18.181086832032602</v>
      </c>
      <c r="F117">
        <v>2.5729296118723899</v>
      </c>
      <c r="G117">
        <v>-295.43230948329909</v>
      </c>
      <c r="H117">
        <v>-255.84089454732913</v>
      </c>
      <c r="I117">
        <v>38.321071418448298</v>
      </c>
      <c r="J117">
        <v>22.117826344453</v>
      </c>
      <c r="K117">
        <v>7.0662977907124702</v>
      </c>
      <c r="L117">
        <v>3.0659493580666856E-5</v>
      </c>
      <c r="M117">
        <v>1.7993117241740702E-6</v>
      </c>
      <c r="N117" s="1">
        <v>-2.0707584277360801E-7</v>
      </c>
      <c r="O117" s="1">
        <v>6.2240614558008805E-11</v>
      </c>
      <c r="P117" s="1">
        <v>7.5517445881033396E-10</v>
      </c>
      <c r="Q117">
        <v>64.5254277882472</v>
      </c>
      <c r="S117">
        <v>21.8459339039144</v>
      </c>
      <c r="AA117">
        <v>2.96699269991919</v>
      </c>
      <c r="AB117">
        <v>8.7283348618686905</v>
      </c>
      <c r="AC117">
        <v>1.93331074605043</v>
      </c>
      <c r="AJ117">
        <v>0.74986521804681505</v>
      </c>
      <c r="AK117">
        <v>0.140857208771419</v>
      </c>
      <c r="AL117">
        <v>0.10927757318176499</v>
      </c>
    </row>
    <row r="118" spans="1:38" x14ac:dyDescent="0.2">
      <c r="A118">
        <v>181</v>
      </c>
      <c r="B118">
        <v>758</v>
      </c>
      <c r="C118">
        <v>135</v>
      </c>
      <c r="D118">
        <v>0.452737720021335</v>
      </c>
      <c r="E118">
        <v>18.523032946464902</v>
      </c>
      <c r="F118">
        <v>2.5733682081174201</v>
      </c>
      <c r="G118">
        <v>-300.93465633911768</v>
      </c>
      <c r="H118">
        <v>-260.72256578679327</v>
      </c>
      <c r="I118">
        <v>38.997323912451499</v>
      </c>
      <c r="J118">
        <v>22.5459905599796</v>
      </c>
      <c r="K118">
        <v>7.1979722482138104</v>
      </c>
      <c r="L118">
        <v>3.0720322159140277E-5</v>
      </c>
      <c r="M118">
        <v>1.7993018998167599E-6</v>
      </c>
      <c r="N118" s="1">
        <v>-2.2471103990101501E-7</v>
      </c>
      <c r="O118" s="1">
        <v>6.3260952248534897E-11</v>
      </c>
      <c r="P118" s="1">
        <v>8.0909354638886801E-10</v>
      </c>
      <c r="Q118">
        <v>64.5067066237727</v>
      </c>
      <c r="S118">
        <v>21.8642054113005</v>
      </c>
      <c r="AA118">
        <v>2.98643520839342</v>
      </c>
      <c r="AB118">
        <v>8.7345168826967594</v>
      </c>
      <c r="AC118">
        <v>1.9081358738365</v>
      </c>
      <c r="AJ118">
        <v>0.75037294194631798</v>
      </c>
      <c r="AK118">
        <v>0.141775818746223</v>
      </c>
      <c r="AL118">
        <v>0.10785123930745701</v>
      </c>
    </row>
    <row r="119" spans="1:38" x14ac:dyDescent="0.2">
      <c r="A119">
        <v>182</v>
      </c>
      <c r="B119">
        <v>756</v>
      </c>
      <c r="C119">
        <v>135</v>
      </c>
      <c r="D119">
        <v>0.451538162561337</v>
      </c>
      <c r="E119">
        <v>18.791386526520999</v>
      </c>
      <c r="F119">
        <v>2.57373496370217</v>
      </c>
      <c r="G119">
        <v>-305.2363543483097</v>
      </c>
      <c r="H119">
        <v>-264.56693001879552</v>
      </c>
      <c r="I119">
        <v>39.517489510289103</v>
      </c>
      <c r="J119">
        <v>22.8860982375936</v>
      </c>
      <c r="K119">
        <v>7.3012127478311299</v>
      </c>
      <c r="L119">
        <v>3.0788383923230952E-5</v>
      </c>
      <c r="M119">
        <v>1.7994587930477394E-6</v>
      </c>
      <c r="N119" s="1">
        <v>-2.4288619881730002E-7</v>
      </c>
      <c r="O119" s="1">
        <v>6.4026181306356495E-11</v>
      </c>
      <c r="P119" s="1">
        <v>8.6387200723304197E-10</v>
      </c>
      <c r="Q119">
        <v>64.495063867577301</v>
      </c>
      <c r="S119">
        <v>21.8770106435407</v>
      </c>
      <c r="AA119">
        <v>2.9997163340981898</v>
      </c>
      <c r="AB119">
        <v>8.7421422058862905</v>
      </c>
      <c r="AC119">
        <v>1.88606694889746</v>
      </c>
      <c r="AJ119">
        <v>0.750999332047523</v>
      </c>
      <c r="AK119">
        <v>0.142400876428734</v>
      </c>
      <c r="AL119">
        <v>0.10659979152374099</v>
      </c>
    </row>
    <row r="120" spans="1:38" x14ac:dyDescent="0.2">
      <c r="A120">
        <v>183</v>
      </c>
      <c r="B120">
        <v>754</v>
      </c>
      <c r="C120">
        <v>135</v>
      </c>
      <c r="D120">
        <v>0.45033393370004399</v>
      </c>
      <c r="E120">
        <v>19.0158885569939</v>
      </c>
      <c r="F120">
        <v>2.5740702657170602</v>
      </c>
      <c r="G120">
        <v>-308.82277360291113</v>
      </c>
      <c r="H120">
        <v>-267.79395744508133</v>
      </c>
      <c r="I120">
        <v>39.944327661811698</v>
      </c>
      <c r="J120">
        <v>23.1742553989741</v>
      </c>
      <c r="K120">
        <v>7.3874784267773803</v>
      </c>
      <c r="L120">
        <v>3.0862129084365799E-5</v>
      </c>
      <c r="M120">
        <v>1.7996954221177336E-6</v>
      </c>
      <c r="N120" s="1">
        <v>-2.6192571015171003E-7</v>
      </c>
      <c r="O120" s="1">
        <v>6.4633705007939603E-11</v>
      </c>
      <c r="P120" s="1">
        <v>9.2069484064864898E-10</v>
      </c>
      <c r="Q120">
        <v>64.486499800942198</v>
      </c>
      <c r="S120">
        <v>21.887419638836398</v>
      </c>
      <c r="AA120">
        <v>3.0103021696677899</v>
      </c>
      <c r="AB120">
        <v>8.7503461770064792</v>
      </c>
      <c r="AC120">
        <v>1.8654322135469901</v>
      </c>
      <c r="AJ120">
        <v>0.75167326213478503</v>
      </c>
      <c r="AK120">
        <v>0.14289753901032101</v>
      </c>
      <c r="AL120">
        <v>0.10542919885489301</v>
      </c>
    </row>
    <row r="121" spans="1:38" x14ac:dyDescent="0.2">
      <c r="A121">
        <v>184</v>
      </c>
      <c r="B121">
        <v>752</v>
      </c>
      <c r="C121">
        <v>135</v>
      </c>
      <c r="D121">
        <v>0.449125006096672</v>
      </c>
      <c r="E121">
        <v>19.210047538029801</v>
      </c>
      <c r="F121">
        <v>2.5743670780581902</v>
      </c>
      <c r="G121">
        <v>-311.91334752535352</v>
      </c>
      <c r="H121">
        <v>-270.593089558244</v>
      </c>
      <c r="I121">
        <v>40.306548277919802</v>
      </c>
      <c r="J121">
        <v>23.426979904968501</v>
      </c>
      <c r="K121">
        <v>7.4620467693828898</v>
      </c>
      <c r="L121">
        <v>3.0942265776649173E-5</v>
      </c>
      <c r="M121">
        <v>1.8000301335429099E-6</v>
      </c>
      <c r="N121" s="1">
        <v>-2.8204469144161802E-7</v>
      </c>
      <c r="O121" s="1">
        <v>6.5130494032026094E-11</v>
      </c>
      <c r="P121" s="1">
        <v>9.8028764866152396E-10</v>
      </c>
      <c r="Q121">
        <v>64.481782224912394</v>
      </c>
      <c r="S121">
        <v>21.894863777361099</v>
      </c>
      <c r="AA121">
        <v>3.0175444420456801</v>
      </c>
      <c r="AB121">
        <v>8.7593490887170091</v>
      </c>
      <c r="AC121">
        <v>1.84646046696361</v>
      </c>
      <c r="AJ121">
        <v>0.75241282971929202</v>
      </c>
      <c r="AK121">
        <v>0.14323489133747</v>
      </c>
      <c r="AL121">
        <v>0.104352278943236</v>
      </c>
    </row>
    <row r="122" spans="1:38" x14ac:dyDescent="0.2">
      <c r="A122">
        <v>186</v>
      </c>
      <c r="B122">
        <v>790</v>
      </c>
      <c r="C122">
        <v>120</v>
      </c>
      <c r="D122">
        <v>0.486836758688802</v>
      </c>
      <c r="E122">
        <v>0.44420071861787302</v>
      </c>
      <c r="F122">
        <v>2.57371930824279</v>
      </c>
      <c r="G122">
        <v>-7.2598736774830055</v>
      </c>
      <c r="H122">
        <v>-6.2480761988854034</v>
      </c>
      <c r="I122">
        <v>0.95169776475342205</v>
      </c>
      <c r="J122">
        <v>0.53877469174464798</v>
      </c>
      <c r="K122">
        <v>0.172590972603439</v>
      </c>
      <c r="L122">
        <v>3.0127975391224408E-5</v>
      </c>
      <c r="M122">
        <v>1.7944890133724969E-6</v>
      </c>
      <c r="N122" s="1">
        <v>-1.9957896758463502E-9</v>
      </c>
      <c r="O122" s="1">
        <v>1.5372264457263199E-12</v>
      </c>
      <c r="P122" s="1">
        <v>9.5286779420781003E-12</v>
      </c>
      <c r="Q122">
        <v>64.369302174619307</v>
      </c>
      <c r="S122">
        <v>22.062775588665001</v>
      </c>
      <c r="AA122">
        <v>3.1823190876859302</v>
      </c>
      <c r="AB122">
        <v>8.9488959709358191</v>
      </c>
      <c r="AC122">
        <v>1.4367071780938601</v>
      </c>
      <c r="AJ122">
        <v>0.76796803676708902</v>
      </c>
      <c r="AK122">
        <v>0.15091353751323799</v>
      </c>
      <c r="AL122">
        <v>8.1118425719672593E-2</v>
      </c>
    </row>
    <row r="123" spans="1:38" x14ac:dyDescent="0.2">
      <c r="A123">
        <v>187</v>
      </c>
      <c r="B123">
        <v>788</v>
      </c>
      <c r="C123">
        <v>120</v>
      </c>
      <c r="D123">
        <v>0.48573764312303003</v>
      </c>
      <c r="E123">
        <v>1.08542443498324</v>
      </c>
      <c r="F123">
        <v>2.5729939289737298</v>
      </c>
      <c r="G123">
        <v>-17.732661444888588</v>
      </c>
      <c r="H123">
        <v>-15.267209764556821</v>
      </c>
      <c r="I123">
        <v>2.32337716659451</v>
      </c>
      <c r="J123">
        <v>1.3167532272707301</v>
      </c>
      <c r="K123">
        <v>0.42185269959660399</v>
      </c>
      <c r="L123">
        <v>3.0190535870708898E-5</v>
      </c>
      <c r="M123">
        <v>1.7966143926939472E-6</v>
      </c>
      <c r="N123" s="1">
        <v>-5.2274952078978296E-9</v>
      </c>
      <c r="O123" s="1">
        <v>3.75970864049284E-12</v>
      </c>
      <c r="P123" s="1">
        <v>2.4312458818725601E-11</v>
      </c>
      <c r="Q123">
        <v>64.456213657228304</v>
      </c>
      <c r="S123">
        <v>21.994931072282402</v>
      </c>
      <c r="AA123">
        <v>3.10606706068722</v>
      </c>
      <c r="AB123">
        <v>8.9647103298364907</v>
      </c>
      <c r="AC123">
        <v>1.4780778799655401</v>
      </c>
      <c r="AJ123">
        <v>0.76926600247492205</v>
      </c>
      <c r="AK123">
        <v>0.14728614543497601</v>
      </c>
      <c r="AL123">
        <v>8.3447852090099806E-2</v>
      </c>
    </row>
    <row r="124" spans="1:38" x14ac:dyDescent="0.2">
      <c r="A124">
        <v>188</v>
      </c>
      <c r="B124">
        <v>786</v>
      </c>
      <c r="C124">
        <v>120</v>
      </c>
      <c r="D124">
        <v>0.48463437662276798</v>
      </c>
      <c r="E124">
        <v>1.7271408179693599</v>
      </c>
      <c r="F124">
        <v>2.5722852594469101</v>
      </c>
      <c r="G124">
        <v>-28.204970868461846</v>
      </c>
      <c r="H124">
        <v>-24.292954045591298</v>
      </c>
      <c r="I124">
        <v>3.6935437122886698</v>
      </c>
      <c r="J124">
        <v>2.0956249554127599</v>
      </c>
      <c r="K124">
        <v>0.67144217836116904</v>
      </c>
      <c r="L124">
        <v>3.0252540345740846E-5</v>
      </c>
      <c r="M124">
        <v>1.798660184093475E-6</v>
      </c>
      <c r="N124" s="1">
        <v>-8.9042811268882504E-9</v>
      </c>
      <c r="O124" s="1">
        <v>5.9874434125914896E-12</v>
      </c>
      <c r="P124" s="1">
        <v>4.0404192677536402E-11</v>
      </c>
      <c r="Q124">
        <v>64.539870139827897</v>
      </c>
      <c r="S124">
        <v>21.9290679166464</v>
      </c>
      <c r="AA124">
        <v>3.0322091863455198</v>
      </c>
      <c r="AB124">
        <v>8.9784654905341093</v>
      </c>
      <c r="AC124">
        <v>1.5203872666460301</v>
      </c>
      <c r="AJ124">
        <v>0.77039492139980903</v>
      </c>
      <c r="AK124">
        <v>0.14377429374006501</v>
      </c>
      <c r="AL124">
        <v>8.5830784860124701E-2</v>
      </c>
    </row>
    <row r="125" spans="1:38" x14ac:dyDescent="0.2">
      <c r="A125">
        <v>189</v>
      </c>
      <c r="B125">
        <v>784</v>
      </c>
      <c r="C125">
        <v>120</v>
      </c>
      <c r="D125">
        <v>0.48352693562881199</v>
      </c>
      <c r="E125">
        <v>2.3688469117214099</v>
      </c>
      <c r="F125">
        <v>2.5715929791450098</v>
      </c>
      <c r="G125">
        <v>-38.668518649135848</v>
      </c>
      <c r="H125">
        <v>-33.318201096000095</v>
      </c>
      <c r="I125">
        <v>5.0610770024459599</v>
      </c>
      <c r="J125">
        <v>2.8748046715457698</v>
      </c>
      <c r="K125">
        <v>0.92115934789532605</v>
      </c>
      <c r="L125">
        <v>3.0314086949639869E-5</v>
      </c>
      <c r="M125">
        <v>1.8006278111231808E-6</v>
      </c>
      <c r="N125" s="1">
        <v>-1.3057755191836799E-8</v>
      </c>
      <c r="O125" s="1">
        <v>8.21811517053459E-12</v>
      </c>
      <c r="P125" s="1">
        <v>5.7890230356461798E-11</v>
      </c>
      <c r="Q125">
        <v>64.620317112654106</v>
      </c>
      <c r="S125">
        <v>21.865154173596299</v>
      </c>
      <c r="AA125">
        <v>2.9607084925763898</v>
      </c>
      <c r="AB125">
        <v>8.9901790693236805</v>
      </c>
      <c r="AC125">
        <v>1.56364115184946</v>
      </c>
      <c r="AJ125">
        <v>0.77135630644695896</v>
      </c>
      <c r="AK125">
        <v>0.140376086956426</v>
      </c>
      <c r="AL125">
        <v>8.8267606596614395E-2</v>
      </c>
    </row>
    <row r="126" spans="1:38" x14ac:dyDescent="0.2">
      <c r="A126">
        <v>190</v>
      </c>
      <c r="B126">
        <v>782</v>
      </c>
      <c r="C126">
        <v>120</v>
      </c>
      <c r="D126">
        <v>0.48241529640335601</v>
      </c>
      <c r="E126">
        <v>3.01005610243759</v>
      </c>
      <c r="F126">
        <v>2.5709166872430802</v>
      </c>
      <c r="G126">
        <v>-49.115300709681392</v>
      </c>
      <c r="H126">
        <v>-42.336071372030382</v>
      </c>
      <c r="I126">
        <v>6.4248963063554996</v>
      </c>
      <c r="J126">
        <v>3.6537294294996001</v>
      </c>
      <c r="K126">
        <v>1.1708104418060299</v>
      </c>
      <c r="L126">
        <v>3.0375283382355684E-5</v>
      </c>
      <c r="M126">
        <v>1.8025189312174053E-6</v>
      </c>
      <c r="N126" s="1">
        <v>-1.7721810974387399E-8</v>
      </c>
      <c r="O126" s="1">
        <v>1.0449445536579099E-11</v>
      </c>
      <c r="P126" s="1">
        <v>7.6863388258675803E-11</v>
      </c>
      <c r="Q126">
        <v>64.697609828866106</v>
      </c>
      <c r="S126">
        <v>21.803150766938401</v>
      </c>
      <c r="AA126">
        <v>2.8915198485505802</v>
      </c>
      <c r="AB126">
        <v>8.9998717515859603</v>
      </c>
      <c r="AC126">
        <v>1.60784780405882</v>
      </c>
      <c r="AJ126">
        <v>0.77215191132442196</v>
      </c>
      <c r="AK126">
        <v>0.137089249279404</v>
      </c>
      <c r="AL126">
        <v>9.0758839396173102E-2</v>
      </c>
    </row>
    <row r="127" spans="1:38" x14ac:dyDescent="0.2">
      <c r="A127">
        <v>191</v>
      </c>
      <c r="B127">
        <v>780</v>
      </c>
      <c r="C127">
        <v>120</v>
      </c>
      <c r="D127">
        <v>0.48129943502824801</v>
      </c>
      <c r="E127">
        <v>4.0939431355390301</v>
      </c>
      <c r="F127">
        <v>2.56974468701083</v>
      </c>
      <c r="G127">
        <v>-66.764122329821447</v>
      </c>
      <c r="H127">
        <v>-57.569732811692703</v>
      </c>
      <c r="I127">
        <v>8.7303703348323793</v>
      </c>
      <c r="J127">
        <v>4.9701855749905004</v>
      </c>
      <c r="K127">
        <v>1.5931322501540599</v>
      </c>
      <c r="L127">
        <v>3.0440317094483852E-5</v>
      </c>
      <c r="M127">
        <v>1.8049636286319553E-6</v>
      </c>
      <c r="N127" s="1">
        <v>-2.56802968110315E-8</v>
      </c>
      <c r="O127" s="1">
        <v>1.42337472911004E-11</v>
      </c>
      <c r="P127" s="1">
        <v>1.09134887932695E-10</v>
      </c>
      <c r="Q127">
        <v>64.806211429427805</v>
      </c>
      <c r="S127">
        <v>21.7097095208964</v>
      </c>
      <c r="AA127">
        <v>2.7890891649920699</v>
      </c>
      <c r="AB127">
        <v>8.9969162207626301</v>
      </c>
      <c r="AC127">
        <v>1.6980736639209699</v>
      </c>
      <c r="AJ127">
        <v>0.77191136610297395</v>
      </c>
      <c r="AK127">
        <v>0.132235160997975</v>
      </c>
      <c r="AL127">
        <v>9.5853472899050302E-2</v>
      </c>
    </row>
    <row r="128" spans="1:38" x14ac:dyDescent="0.2">
      <c r="A128">
        <v>192</v>
      </c>
      <c r="B128">
        <v>778</v>
      </c>
      <c r="C128">
        <v>120</v>
      </c>
      <c r="D128">
        <v>0.48017932740332298</v>
      </c>
      <c r="E128">
        <v>5.9270165383872797</v>
      </c>
      <c r="F128">
        <v>2.5676529876869001</v>
      </c>
      <c r="G128">
        <v>-96.576232939187449</v>
      </c>
      <c r="H128">
        <v>-83.302133212537839</v>
      </c>
      <c r="I128">
        <v>12.628168888027</v>
      </c>
      <c r="J128">
        <v>7.19565104884642</v>
      </c>
      <c r="K128">
        <v>2.3083401716704302</v>
      </c>
      <c r="L128">
        <v>3.0502671466719917E-5</v>
      </c>
      <c r="M128">
        <v>1.8081978489607434E-6</v>
      </c>
      <c r="N128" s="1">
        <v>-3.9404720289360998E-8</v>
      </c>
      <c r="O128" s="1">
        <v>2.0671492144186599E-11</v>
      </c>
      <c r="P128" s="1">
        <v>1.6443953507732301E-10</v>
      </c>
      <c r="Q128">
        <v>64.965132447753803</v>
      </c>
      <c r="S128">
        <v>21.561313101811098</v>
      </c>
      <c r="AA128">
        <v>2.6295785527520201</v>
      </c>
      <c r="AB128">
        <v>8.9620226836147392</v>
      </c>
      <c r="AC128">
        <v>1.88195321406822</v>
      </c>
      <c r="AJ128">
        <v>0.76905350525015204</v>
      </c>
      <c r="AK128">
        <v>0.124694545440799</v>
      </c>
      <c r="AL128">
        <v>0.10625194930904799</v>
      </c>
    </row>
    <row r="129" spans="1:38" x14ac:dyDescent="0.2">
      <c r="A129">
        <v>193</v>
      </c>
      <c r="B129">
        <v>776</v>
      </c>
      <c r="C129">
        <v>120</v>
      </c>
      <c r="D129">
        <v>0.47905494924462999</v>
      </c>
      <c r="E129">
        <v>7.8650836904185599</v>
      </c>
      <c r="F129">
        <v>2.5653028152838901</v>
      </c>
      <c r="G129">
        <v>-128.03017127029042</v>
      </c>
      <c r="H129">
        <v>-110.46575683240786</v>
      </c>
      <c r="I129">
        <v>16.741566447011898</v>
      </c>
      <c r="J129">
        <v>9.5474808733568892</v>
      </c>
      <c r="K129">
        <v>3.0659474755022802</v>
      </c>
      <c r="L129">
        <v>3.0548223900114703E-5</v>
      </c>
      <c r="M129">
        <v>1.8111596155189515E-6</v>
      </c>
      <c r="N129" s="1">
        <v>-5.5172946783110702E-8</v>
      </c>
      <c r="O129" s="1">
        <v>2.7526213118238501E-11</v>
      </c>
      <c r="P129" s="1">
        <v>2.2651838334739E-10</v>
      </c>
      <c r="Q129">
        <v>65.121539832191402</v>
      </c>
      <c r="S129">
        <v>21.404611664265801</v>
      </c>
      <c r="AA129">
        <v>2.4638027373501501</v>
      </c>
      <c r="AB129">
        <v>8.8997549625032608</v>
      </c>
      <c r="AC129">
        <v>2.11029080368928</v>
      </c>
      <c r="AJ129">
        <v>0.76394917557458897</v>
      </c>
      <c r="AK129">
        <v>0.116870026074058</v>
      </c>
      <c r="AL129">
        <v>0.11918079835135199</v>
      </c>
    </row>
    <row r="130" spans="1:38" x14ac:dyDescent="0.2">
      <c r="A130">
        <v>194</v>
      </c>
      <c r="B130">
        <v>774</v>
      </c>
      <c r="C130">
        <v>120</v>
      </c>
      <c r="D130">
        <v>0.47792627608270499</v>
      </c>
      <c r="E130">
        <v>10.006596210123</v>
      </c>
      <c r="F130">
        <v>2.5624595947956901</v>
      </c>
      <c r="G130">
        <v>-162.69329665356909</v>
      </c>
      <c r="H130">
        <v>-140.41209944046895</v>
      </c>
      <c r="I130">
        <v>21.277942236642399</v>
      </c>
      <c r="J130">
        <v>12.1431846206768</v>
      </c>
      <c r="K130">
        <v>3.9050747299377102</v>
      </c>
      <c r="L130">
        <v>3.0567561391321349E-5</v>
      </c>
      <c r="M130">
        <v>1.8138255105420012E-6</v>
      </c>
      <c r="N130" s="1">
        <v>-7.3561110427560998E-8</v>
      </c>
      <c r="O130" s="1">
        <v>3.5169005010368102E-11</v>
      </c>
      <c r="P130" s="1">
        <v>2.9782466954291398E-10</v>
      </c>
      <c r="Q130">
        <v>65.280793994900606</v>
      </c>
      <c r="S130">
        <v>21.228748697870401</v>
      </c>
      <c r="AA130">
        <v>2.2815542076569</v>
      </c>
      <c r="AB130">
        <v>8.7935966950828508</v>
      </c>
      <c r="AC130">
        <v>2.41530640448907</v>
      </c>
      <c r="AJ130">
        <v>0.75523796646894703</v>
      </c>
      <c r="AK130">
        <v>0.108282644266571</v>
      </c>
      <c r="AL130">
        <v>0.136479389264481</v>
      </c>
    </row>
    <row r="131" spans="1:38" x14ac:dyDescent="0.2">
      <c r="A131">
        <v>195</v>
      </c>
      <c r="B131">
        <v>772</v>
      </c>
      <c r="C131">
        <v>120</v>
      </c>
      <c r="D131">
        <v>0.47679328326077502</v>
      </c>
      <c r="E131">
        <v>14.4298894842271</v>
      </c>
      <c r="F131">
        <v>2.5672119886865099</v>
      </c>
      <c r="G131">
        <v>-234.72318815150336</v>
      </c>
      <c r="H131">
        <v>-202.70736495026762</v>
      </c>
      <c r="I131">
        <v>30.632754342664398</v>
      </c>
      <c r="J131">
        <v>17.511051410960999</v>
      </c>
      <c r="K131">
        <v>5.6208406426186901</v>
      </c>
      <c r="L131">
        <v>3.0436398064924377E-5</v>
      </c>
      <c r="M131">
        <v>1.8051583861970566E-6</v>
      </c>
      <c r="N131" s="1">
        <v>-1.11631868904658E-7</v>
      </c>
      <c r="O131" s="1">
        <v>5.0236206561048899E-11</v>
      </c>
      <c r="P131" s="1">
        <v>4.45962126356292E-10</v>
      </c>
      <c r="Q131">
        <v>64.8594015612438</v>
      </c>
      <c r="S131">
        <v>21.5611040555941</v>
      </c>
      <c r="AA131">
        <v>2.6540769444158201</v>
      </c>
      <c r="AB131">
        <v>8.7258590302551404</v>
      </c>
      <c r="AC131">
        <v>2.19955840849103</v>
      </c>
      <c r="AJ131">
        <v>0.74966678587251001</v>
      </c>
      <c r="AK131">
        <v>0.12600401303431999</v>
      </c>
      <c r="AL131">
        <v>0.124329201093169</v>
      </c>
    </row>
    <row r="132" spans="1:38" x14ac:dyDescent="0.2">
      <c r="A132">
        <v>196</v>
      </c>
      <c r="B132">
        <v>770</v>
      </c>
      <c r="C132">
        <v>120</v>
      </c>
      <c r="D132">
        <v>0.47565594593299199</v>
      </c>
      <c r="E132">
        <v>16.372011242753398</v>
      </c>
      <c r="F132">
        <v>2.5696265173724799</v>
      </c>
      <c r="G132">
        <v>-266.35144407040968</v>
      </c>
      <c r="H132">
        <v>-230.14610187898069</v>
      </c>
      <c r="I132">
        <v>34.707704732233097</v>
      </c>
      <c r="J132">
        <v>19.872028051714899</v>
      </c>
      <c r="K132">
        <v>6.3713583013201198</v>
      </c>
      <c r="L132">
        <v>3.0400671919380026E-5</v>
      </c>
      <c r="M132">
        <v>1.8011365218958534E-6</v>
      </c>
      <c r="N132" s="1">
        <v>-1.3425720076776E-7</v>
      </c>
      <c r="O132" s="1">
        <v>5.6689157371818401E-11</v>
      </c>
      <c r="P132" s="1">
        <v>5.2828897860879196E-10</v>
      </c>
      <c r="Q132">
        <v>64.656060946981498</v>
      </c>
      <c r="S132">
        <v>21.724585269812099</v>
      </c>
      <c r="AA132">
        <v>2.8363973725532401</v>
      </c>
      <c r="AB132">
        <v>8.70131263114021</v>
      </c>
      <c r="AC132">
        <v>2.08164377951279</v>
      </c>
      <c r="AJ132">
        <v>0.74764626737149198</v>
      </c>
      <c r="AK132">
        <v>0.134675706151065</v>
      </c>
      <c r="AL132">
        <v>0.11767802647744199</v>
      </c>
    </row>
    <row r="133" spans="1:38" x14ac:dyDescent="0.2">
      <c r="A133">
        <v>197</v>
      </c>
      <c r="B133">
        <v>768</v>
      </c>
      <c r="C133">
        <v>120</v>
      </c>
      <c r="D133">
        <v>0.474514239062578</v>
      </c>
      <c r="E133">
        <v>17.231142606591298</v>
      </c>
      <c r="F133">
        <v>2.5707540630469898</v>
      </c>
      <c r="G133">
        <v>-280.30805587096978</v>
      </c>
      <c r="H133">
        <v>-242.32214059904334</v>
      </c>
      <c r="I133">
        <v>36.484575010254503</v>
      </c>
      <c r="J133">
        <v>20.921329699149901</v>
      </c>
      <c r="K133">
        <v>6.7027580950968302</v>
      </c>
      <c r="L133">
        <v>3.0416008664516575E-5</v>
      </c>
      <c r="M133">
        <v>1.7996528482852491E-6</v>
      </c>
      <c r="N133" s="1">
        <v>-1.5024409847746799E-7</v>
      </c>
      <c r="O133" s="1">
        <v>5.9476636924026099E-11</v>
      </c>
      <c r="P133" s="1">
        <v>5.8209680195955303E-10</v>
      </c>
      <c r="Q133">
        <v>64.571530227081695</v>
      </c>
      <c r="S133">
        <v>21.7942167156178</v>
      </c>
      <c r="AA133">
        <v>2.9135681161915001</v>
      </c>
      <c r="AB133">
        <v>8.6954883420846407</v>
      </c>
      <c r="AC133">
        <v>2.02519659902427</v>
      </c>
      <c r="AJ133">
        <v>0.74716623083188205</v>
      </c>
      <c r="AK133">
        <v>0.138343648237919</v>
      </c>
      <c r="AL133">
        <v>0.114490120930198</v>
      </c>
    </row>
    <row r="134" spans="1:38" x14ac:dyDescent="0.2">
      <c r="A134">
        <v>198</v>
      </c>
      <c r="B134">
        <v>766</v>
      </c>
      <c r="C134">
        <v>120</v>
      </c>
      <c r="D134">
        <v>0.47336813742000999</v>
      </c>
      <c r="E134">
        <v>17.739574538551501</v>
      </c>
      <c r="F134">
        <v>2.5714638862858701</v>
      </c>
      <c r="G134">
        <v>-288.53917707813872</v>
      </c>
      <c r="H134">
        <v>-249.55290191714838</v>
      </c>
      <c r="I134">
        <v>37.517466353260197</v>
      </c>
      <c r="J134">
        <v>21.5466280343813</v>
      </c>
      <c r="K134">
        <v>6.8986286889581603</v>
      </c>
      <c r="L134">
        <v>3.0451103186149113E-5</v>
      </c>
      <c r="M134">
        <v>1.7990342372041695E-6</v>
      </c>
      <c r="N134" s="1">
        <v>-1.64643219212306E-7</v>
      </c>
      <c r="O134" s="1">
        <v>6.1081547976654494E-11</v>
      </c>
      <c r="P134" s="1">
        <v>6.2826839865440498E-10</v>
      </c>
      <c r="Q134">
        <v>64.526706984366697</v>
      </c>
      <c r="S134">
        <v>21.832841564589899</v>
      </c>
      <c r="AA134">
        <v>2.9558929029949499</v>
      </c>
      <c r="AB134">
        <v>8.6968622121740307</v>
      </c>
      <c r="AC134">
        <v>1.9876963358742601</v>
      </c>
      <c r="AJ134">
        <v>0.74727849531203805</v>
      </c>
      <c r="AK134">
        <v>0.140352250334845</v>
      </c>
      <c r="AL134">
        <v>0.112369254353116</v>
      </c>
    </row>
    <row r="135" spans="1:38" x14ac:dyDescent="0.2">
      <c r="A135">
        <v>199</v>
      </c>
      <c r="B135">
        <v>764</v>
      </c>
      <c r="C135">
        <v>120</v>
      </c>
      <c r="D135">
        <v>0.47221761558116099</v>
      </c>
      <c r="E135">
        <v>18.0953501078172</v>
      </c>
      <c r="F135">
        <v>2.5719876099517198</v>
      </c>
      <c r="G135">
        <v>-294.2769703045052</v>
      </c>
      <c r="H135">
        <v>-254.63055300707666</v>
      </c>
      <c r="I135">
        <v>38.226309885193501</v>
      </c>
      <c r="J135">
        <v>21.987916635625101</v>
      </c>
      <c r="K135">
        <v>7.03555104145968</v>
      </c>
      <c r="L135">
        <v>3.0497037808779287E-5</v>
      </c>
      <c r="M135">
        <v>1.7988134504252619E-6</v>
      </c>
      <c r="N135" s="1">
        <v>-1.7885009877298999E-7</v>
      </c>
      <c r="O135" s="1">
        <v>6.2169902021788298E-11</v>
      </c>
      <c r="P135" s="1">
        <v>6.7253553505666197E-10</v>
      </c>
      <c r="Q135">
        <v>64.499805047230893</v>
      </c>
      <c r="S135">
        <v>21.857534081724399</v>
      </c>
      <c r="AA135">
        <v>2.98254168171959</v>
      </c>
      <c r="AB135">
        <v>8.70164733160534</v>
      </c>
      <c r="AC135">
        <v>1.95847185771965</v>
      </c>
      <c r="AJ135">
        <v>0.74767143336740705</v>
      </c>
      <c r="AK135">
        <v>0.14161414085766899</v>
      </c>
      <c r="AL135">
        <v>0.11071442577492201</v>
      </c>
    </row>
    <row r="136" spans="1:38" x14ac:dyDescent="0.2">
      <c r="A136">
        <v>200</v>
      </c>
      <c r="B136">
        <v>762</v>
      </c>
      <c r="C136">
        <v>120</v>
      </c>
      <c r="D136">
        <v>0.47106264792542502</v>
      </c>
      <c r="E136">
        <v>18.371054438757</v>
      </c>
      <c r="F136">
        <v>2.5724111069431199</v>
      </c>
      <c r="G136">
        <v>-298.70636363930714</v>
      </c>
      <c r="H136">
        <v>-258.57882495400708</v>
      </c>
      <c r="I136">
        <v>38.764950669275002</v>
      </c>
      <c r="J136">
        <v>22.3331725983609</v>
      </c>
      <c r="K136">
        <v>7.1415701748341203</v>
      </c>
      <c r="L136">
        <v>3.0550521146724256E-5</v>
      </c>
      <c r="M136">
        <v>1.7988140546459285E-6</v>
      </c>
      <c r="N136" s="1">
        <v>-1.9341415126047301E-7</v>
      </c>
      <c r="O136" s="1">
        <v>6.2984446908124494E-11</v>
      </c>
      <c r="P136" s="1">
        <v>7.1710502241772295E-10</v>
      </c>
      <c r="Q136">
        <v>64.482631475299797</v>
      </c>
      <c r="S136">
        <v>21.874678265953001</v>
      </c>
      <c r="AA136">
        <v>3.0006930274829302</v>
      </c>
      <c r="AB136">
        <v>8.7083226552182804</v>
      </c>
      <c r="AC136">
        <v>1.93367457604587</v>
      </c>
      <c r="AJ136">
        <v>0.74821986253869299</v>
      </c>
      <c r="AK136">
        <v>0.142471199439273</v>
      </c>
      <c r="AL136">
        <v>0.10930893802203299</v>
      </c>
    </row>
    <row r="137" spans="1:38" x14ac:dyDescent="0.2">
      <c r="A137">
        <v>201</v>
      </c>
      <c r="B137">
        <v>760</v>
      </c>
      <c r="C137">
        <v>120</v>
      </c>
      <c r="D137">
        <v>0.46990320863379098</v>
      </c>
      <c r="E137">
        <v>18.599346576911401</v>
      </c>
      <c r="F137">
        <v>2.57277367597773</v>
      </c>
      <c r="G137">
        <v>-302.36060684663829</v>
      </c>
      <c r="H137">
        <v>-261.85844876793294</v>
      </c>
      <c r="I137">
        <v>39.202592148967099</v>
      </c>
      <c r="J137">
        <v>22.622011500724899</v>
      </c>
      <c r="K137">
        <v>7.2292976061499399</v>
      </c>
      <c r="L137">
        <v>3.0610141052088148E-5</v>
      </c>
      <c r="M137">
        <v>1.7989547335994724E-6</v>
      </c>
      <c r="N137" s="1">
        <v>-2.0862158649627899E-7</v>
      </c>
      <c r="O137" s="1">
        <v>6.3633771021842896E-11</v>
      </c>
      <c r="P137" s="1">
        <v>7.6307855825074504E-10</v>
      </c>
      <c r="Q137">
        <v>64.4714070365536</v>
      </c>
      <c r="S137">
        <v>21.887209368715698</v>
      </c>
      <c r="AA137">
        <v>3.0136503849039702</v>
      </c>
      <c r="AB137">
        <v>8.7161615103497603</v>
      </c>
      <c r="AC137">
        <v>1.9115716994768299</v>
      </c>
      <c r="AJ137">
        <v>0.748863972213752</v>
      </c>
      <c r="AK137">
        <v>0.14308078908640201</v>
      </c>
      <c r="AL137">
        <v>0.108055238699844</v>
      </c>
    </row>
    <row r="138" spans="1:38" x14ac:dyDescent="0.2">
      <c r="A138">
        <v>202</v>
      </c>
      <c r="B138">
        <v>758</v>
      </c>
      <c r="C138">
        <v>120</v>
      </c>
      <c r="D138">
        <v>0.46873927168695301</v>
      </c>
      <c r="E138">
        <v>18.797091685177701</v>
      </c>
      <c r="F138">
        <v>2.5730959995406102</v>
      </c>
      <c r="G138">
        <v>-305.51511539768632</v>
      </c>
      <c r="H138">
        <v>-264.70739077836561</v>
      </c>
      <c r="I138">
        <v>39.5749644758965</v>
      </c>
      <c r="J138">
        <v>22.874925047141598</v>
      </c>
      <c r="K138">
        <v>7.3052430568208999</v>
      </c>
      <c r="L138">
        <v>3.0675263403757167E-5</v>
      </c>
      <c r="M138">
        <v>1.7991927267347832E-6</v>
      </c>
      <c r="N138" s="1">
        <v>-2.2465901765499899E-7</v>
      </c>
      <c r="O138" s="1">
        <v>6.4173513801607705E-11</v>
      </c>
      <c r="P138" s="1">
        <v>8.1113307264391201E-10</v>
      </c>
      <c r="Q138">
        <v>64.464133119425796</v>
      </c>
      <c r="S138">
        <v>21.896676438065999</v>
      </c>
      <c r="AA138">
        <v>3.0231580831739699</v>
      </c>
      <c r="AB138">
        <v>8.7247711291472001</v>
      </c>
      <c r="AC138">
        <v>1.8912612301868501</v>
      </c>
      <c r="AJ138">
        <v>0.74957143243765101</v>
      </c>
      <c r="AK138">
        <v>0.143526016333828</v>
      </c>
      <c r="AL138">
        <v>0.10690255122852001</v>
      </c>
    </row>
    <row r="139" spans="1:38" x14ac:dyDescent="0.2">
      <c r="A139">
        <v>203</v>
      </c>
      <c r="B139">
        <v>756</v>
      </c>
      <c r="C139">
        <v>120</v>
      </c>
      <c r="D139">
        <v>0.46757081086333502</v>
      </c>
      <c r="E139">
        <v>18.973363850435</v>
      </c>
      <c r="F139">
        <v>2.5734043712638299</v>
      </c>
      <c r="G139">
        <v>-308.31875419356663</v>
      </c>
      <c r="H139">
        <v>-267.25443142565024</v>
      </c>
      <c r="I139">
        <v>39.9012027089504</v>
      </c>
      <c r="J139">
        <v>23.102930317292099</v>
      </c>
      <c r="K139">
        <v>7.3728653228007497</v>
      </c>
      <c r="L139">
        <v>3.0744937742752403E-5</v>
      </c>
      <c r="M139">
        <v>1.7994711571724724E-6</v>
      </c>
      <c r="N139" s="1">
        <v>-2.4165248423412002E-7</v>
      </c>
      <c r="O139" s="1">
        <v>6.4631448968233605E-11</v>
      </c>
      <c r="P139" s="1">
        <v>8.6170309188575905E-10</v>
      </c>
      <c r="Q139">
        <v>64.458192668656295</v>
      </c>
      <c r="S139">
        <v>21.905084236011302</v>
      </c>
      <c r="AA139">
        <v>3.0314807255436498</v>
      </c>
      <c r="AB139">
        <v>8.7335752885234097</v>
      </c>
      <c r="AC139">
        <v>1.8716670812651901</v>
      </c>
      <c r="AJ139">
        <v>0.75029483785385898</v>
      </c>
      <c r="AK139">
        <v>0.143914810973506</v>
      </c>
      <c r="AL139">
        <v>0.105790351172633</v>
      </c>
    </row>
    <row r="140" spans="1:38" x14ac:dyDescent="0.2">
      <c r="A140">
        <v>205</v>
      </c>
      <c r="B140">
        <v>800</v>
      </c>
      <c r="C140">
        <v>105</v>
      </c>
      <c r="D140">
        <v>0.50764618180124099</v>
      </c>
      <c r="E140">
        <v>0.35479976497125398</v>
      </c>
      <c r="F140">
        <v>2.5720895204477698</v>
      </c>
      <c r="G140">
        <v>-5.8083312512235583</v>
      </c>
      <c r="H140">
        <v>-4.9881529071495736</v>
      </c>
      <c r="I140">
        <v>0.764271857684372</v>
      </c>
      <c r="J140">
        <v>0.43016606977798799</v>
      </c>
      <c r="K140">
        <v>0.13794223029589001</v>
      </c>
      <c r="L140">
        <v>3.0015690057375976E-5</v>
      </c>
      <c r="M140">
        <v>1.794735373804365E-6</v>
      </c>
      <c r="N140" s="1">
        <v>-1.10908600483573E-9</v>
      </c>
      <c r="O140" s="1">
        <v>1.2326825051048599E-12</v>
      </c>
      <c r="P140" s="1">
        <v>6.17286173763219E-12</v>
      </c>
      <c r="Q140">
        <v>64.387974149772504</v>
      </c>
      <c r="S140">
        <v>22.049298742016799</v>
      </c>
      <c r="AA140">
        <v>3.1668437010695198</v>
      </c>
      <c r="AB140">
        <v>8.9551741608155808</v>
      </c>
      <c r="AC140">
        <v>1.44070924632551</v>
      </c>
      <c r="AJ140">
        <v>0.76848309996084296</v>
      </c>
      <c r="AK140">
        <v>0.150175022070037</v>
      </c>
      <c r="AL140">
        <v>8.1341877969119097E-2</v>
      </c>
    </row>
    <row r="141" spans="1:38" x14ac:dyDescent="0.2">
      <c r="A141">
        <v>206</v>
      </c>
      <c r="B141">
        <v>798</v>
      </c>
      <c r="C141">
        <v>105</v>
      </c>
      <c r="D141">
        <v>0.50659618167390597</v>
      </c>
      <c r="E141">
        <v>0.98154965731283705</v>
      </c>
      <c r="F141">
        <v>2.57139655842593</v>
      </c>
      <c r="G141">
        <v>-16.062273979070493</v>
      </c>
      <c r="H141">
        <v>-13.799549750236503</v>
      </c>
      <c r="I141">
        <v>2.11242517745786</v>
      </c>
      <c r="J141">
        <v>1.1901638986373699</v>
      </c>
      <c r="K141">
        <v>0.38171850782661199</v>
      </c>
      <c r="L141">
        <v>3.0069162402817478E-5</v>
      </c>
      <c r="M141">
        <v>1.7967613756208828E-6</v>
      </c>
      <c r="N141" s="1">
        <v>-3.3108262570068202E-9</v>
      </c>
      <c r="O141" s="1">
        <v>3.4136990609398099E-12</v>
      </c>
      <c r="P141" s="1">
        <v>1.77924279645099E-11</v>
      </c>
      <c r="Q141">
        <v>64.471435688131706</v>
      </c>
      <c r="S141">
        <v>21.984137448283001</v>
      </c>
      <c r="AA141">
        <v>3.0936103575570502</v>
      </c>
      <c r="AB141">
        <v>8.9703349209507195</v>
      </c>
      <c r="AC141">
        <v>1.4804815850774999</v>
      </c>
      <c r="AJ141">
        <v>0.76972735123632197</v>
      </c>
      <c r="AK141">
        <v>0.146691403555329</v>
      </c>
      <c r="AL141">
        <v>8.3581245208347602E-2</v>
      </c>
    </row>
    <row r="142" spans="1:38" x14ac:dyDescent="0.2">
      <c r="A142">
        <v>207</v>
      </c>
      <c r="B142">
        <v>796</v>
      </c>
      <c r="C142">
        <v>105</v>
      </c>
      <c r="D142">
        <v>0.50554225319178703</v>
      </c>
      <c r="E142">
        <v>1.6083565457537199</v>
      </c>
      <c r="F142">
        <v>2.5707199113108001</v>
      </c>
      <c r="G142">
        <v>-26.308917517075994</v>
      </c>
      <c r="H142">
        <v>-22.611573356559074</v>
      </c>
      <c r="I142">
        <v>3.4582090076387</v>
      </c>
      <c r="J142">
        <v>1.9503887065143799</v>
      </c>
      <c r="K142">
        <v>0.62564441138732496</v>
      </c>
      <c r="L142">
        <v>3.0121853696261332E-5</v>
      </c>
      <c r="M142">
        <v>1.7987115756731851E-6</v>
      </c>
      <c r="N142" s="1">
        <v>-5.8413017764837402E-9</v>
      </c>
      <c r="O142" s="1">
        <v>5.5989802622958603E-12</v>
      </c>
      <c r="P142" s="1">
        <v>3.0380801454815398E-11</v>
      </c>
      <c r="Q142">
        <v>64.551813517572299</v>
      </c>
      <c r="S142">
        <v>21.920868224986599</v>
      </c>
      <c r="AA142">
        <v>3.02265753284785</v>
      </c>
      <c r="AB142">
        <v>8.9835841097405904</v>
      </c>
      <c r="AC142">
        <v>1.5210766148525099</v>
      </c>
      <c r="AJ142">
        <v>0.77081468364896499</v>
      </c>
      <c r="AK142">
        <v>0.14331778108789001</v>
      </c>
      <c r="AL142">
        <v>8.5867535263144501E-2</v>
      </c>
    </row>
    <row r="143" spans="1:38" x14ac:dyDescent="0.2">
      <c r="A143">
        <v>208</v>
      </c>
      <c r="B143">
        <v>794</v>
      </c>
      <c r="C143">
        <v>105</v>
      </c>
      <c r="D143">
        <v>0.50448437426791004</v>
      </c>
      <c r="E143">
        <v>2.2347588627592998</v>
      </c>
      <c r="F143">
        <v>2.5700592832058602</v>
      </c>
      <c r="G143">
        <v>-36.540661640890846</v>
      </c>
      <c r="H143">
        <v>-31.417709865490838</v>
      </c>
      <c r="I143">
        <v>4.8005920211779003</v>
      </c>
      <c r="J143">
        <v>2.7102965289404399</v>
      </c>
      <c r="K143">
        <v>0.86953591979858702</v>
      </c>
      <c r="L143">
        <v>3.0173842525529938E-5</v>
      </c>
      <c r="M143">
        <v>1.8005873533122976E-6</v>
      </c>
      <c r="N143" s="1">
        <v>-8.7222702361531798E-9</v>
      </c>
      <c r="O143" s="1">
        <v>7.7864453026407801E-12</v>
      </c>
      <c r="P143" s="1">
        <v>4.3996896979564201E-11</v>
      </c>
      <c r="Q143">
        <v>64.6291533609635</v>
      </c>
      <c r="S143">
        <v>21.859460068060901</v>
      </c>
      <c r="AA143">
        <v>2.95394897946302</v>
      </c>
      <c r="AB143">
        <v>8.9949423369554395</v>
      </c>
      <c r="AC143">
        <v>1.5624952545569799</v>
      </c>
      <c r="AJ143">
        <v>0.771746848147424</v>
      </c>
      <c r="AK143">
        <v>0.14005230507331301</v>
      </c>
      <c r="AL143">
        <v>8.8200846779261904E-2</v>
      </c>
    </row>
    <row r="144" spans="1:38" x14ac:dyDescent="0.2">
      <c r="A144">
        <v>209</v>
      </c>
      <c r="B144">
        <v>792</v>
      </c>
      <c r="C144">
        <v>105</v>
      </c>
      <c r="D144">
        <v>0.50342252264939402</v>
      </c>
      <c r="E144">
        <v>2.8603104402656498</v>
      </c>
      <c r="F144">
        <v>2.5694143101528799</v>
      </c>
      <c r="G144">
        <v>-46.75016987825623</v>
      </c>
      <c r="H144">
        <v>-40.211660936241145</v>
      </c>
      <c r="I144">
        <v>6.1385804271840403</v>
      </c>
      <c r="J144">
        <v>3.4693639145466801</v>
      </c>
      <c r="K144">
        <v>1.1132149567951299</v>
      </c>
      <c r="L144">
        <v>3.0225214899494632E-5</v>
      </c>
      <c r="M144">
        <v>1.8023902873947982E-6</v>
      </c>
      <c r="N144" s="1">
        <v>-1.1976937735121599E-8</v>
      </c>
      <c r="O144" s="1">
        <v>9.9740545732222008E-12</v>
      </c>
      <c r="P144" s="1">
        <v>5.8703774446886894E-11</v>
      </c>
      <c r="Q144">
        <v>64.703509351302202</v>
      </c>
      <c r="S144">
        <v>21.799875885097901</v>
      </c>
      <c r="AA144">
        <v>2.8874414645912601</v>
      </c>
      <c r="AB144">
        <v>9.0044329925063504</v>
      </c>
      <c r="AC144">
        <v>1.6047403065022099</v>
      </c>
      <c r="AJ144">
        <v>0.77252581412216104</v>
      </c>
      <c r="AK144">
        <v>0.136892800727651</v>
      </c>
      <c r="AL144">
        <v>9.05813851501866E-2</v>
      </c>
    </row>
    <row r="145" spans="1:38" x14ac:dyDescent="0.2">
      <c r="A145">
        <v>210</v>
      </c>
      <c r="B145">
        <v>790</v>
      </c>
      <c r="C145">
        <v>105</v>
      </c>
      <c r="D145">
        <v>0.50235667591591204</v>
      </c>
      <c r="E145">
        <v>3.48458499436616</v>
      </c>
      <c r="F145">
        <v>2.5687845638120099</v>
      </c>
      <c r="G145">
        <v>-56.930441930771323</v>
      </c>
      <c r="H145">
        <v>-48.987406339533855</v>
      </c>
      <c r="I145">
        <v>7.4712275701805604</v>
      </c>
      <c r="J145">
        <v>4.2270935088247299</v>
      </c>
      <c r="K145">
        <v>1.35651118566172</v>
      </c>
      <c r="L145">
        <v>3.0276063877988368E-5</v>
      </c>
      <c r="M145">
        <v>1.8041221333404354E-6</v>
      </c>
      <c r="N145" s="1">
        <v>-1.5630116497609498E-8</v>
      </c>
      <c r="O145" s="1">
        <v>1.21598267950739E-11</v>
      </c>
      <c r="P145" s="1">
        <v>7.4569115639474701E-11</v>
      </c>
      <c r="Q145">
        <v>64.774943142548906</v>
      </c>
      <c r="S145">
        <v>21.7420730216839</v>
      </c>
      <c r="AA145">
        <v>2.82308541179576</v>
      </c>
      <c r="AB145">
        <v>9.0120816448479903</v>
      </c>
      <c r="AC145">
        <v>1.64781677912337</v>
      </c>
      <c r="AJ145">
        <v>0.77315372032984397</v>
      </c>
      <c r="AK145">
        <v>0.13383679888479699</v>
      </c>
      <c r="AL145">
        <v>9.3009480785358298E-2</v>
      </c>
    </row>
    <row r="146" spans="1:38" x14ac:dyDescent="0.2">
      <c r="A146">
        <v>211</v>
      </c>
      <c r="B146">
        <v>788</v>
      </c>
      <c r="C146">
        <v>105</v>
      </c>
      <c r="D146">
        <v>0.50128681147811704</v>
      </c>
      <c r="E146">
        <v>4.1641425877904696</v>
      </c>
      <c r="F146">
        <v>2.5681052818304</v>
      </c>
      <c r="G146">
        <v>-68.003913315287022</v>
      </c>
      <c r="H146">
        <v>-58.538771747293175</v>
      </c>
      <c r="I146">
        <v>8.9197018027553501</v>
      </c>
      <c r="J146">
        <v>5.0520874855623896</v>
      </c>
      <c r="K146">
        <v>1.62148437497955</v>
      </c>
      <c r="L146">
        <v>3.0326943125380484E-5</v>
      </c>
      <c r="M146">
        <v>1.8058613248936456E-6</v>
      </c>
      <c r="N146" s="1">
        <v>-1.9977280484E-8</v>
      </c>
      <c r="O146" s="1">
        <v>1.45424805320027E-11</v>
      </c>
      <c r="P146" s="1">
        <v>9.2922334698372103E-11</v>
      </c>
      <c r="Q146">
        <v>64.8477612142064</v>
      </c>
      <c r="S146">
        <v>21.681856243173598</v>
      </c>
      <c r="AA146">
        <v>2.7564148514198399</v>
      </c>
      <c r="AB146">
        <v>9.0164866996078192</v>
      </c>
      <c r="AC146">
        <v>1.69748099159221</v>
      </c>
      <c r="AJ146">
        <v>0.77351581804926794</v>
      </c>
      <c r="AK146">
        <v>0.130673409993219</v>
      </c>
      <c r="AL146">
        <v>9.5810771957512406E-2</v>
      </c>
    </row>
    <row r="147" spans="1:38" x14ac:dyDescent="0.2">
      <c r="A147">
        <v>212</v>
      </c>
      <c r="B147">
        <v>786</v>
      </c>
      <c r="C147">
        <v>105</v>
      </c>
      <c r="D147">
        <v>0.50021290657603101</v>
      </c>
      <c r="E147">
        <v>5.9508880936812103</v>
      </c>
      <c r="F147">
        <v>2.5661413673407001</v>
      </c>
      <c r="G147">
        <v>-97.103967248507672</v>
      </c>
      <c r="H147">
        <v>-83.615050243855066</v>
      </c>
      <c r="I147">
        <v>12.7356059147926</v>
      </c>
      <c r="J147">
        <v>7.2193709498243397</v>
      </c>
      <c r="K147">
        <v>2.3190024405585001</v>
      </c>
      <c r="L147">
        <v>3.0379878653205483E-5</v>
      </c>
      <c r="M147">
        <v>1.808881373346949E-6</v>
      </c>
      <c r="N147" s="1">
        <v>-3.0325632249637297E-8</v>
      </c>
      <c r="O147" s="1">
        <v>2.0845959683503199E-11</v>
      </c>
      <c r="P147" s="1">
        <v>1.37950737027543E-10</v>
      </c>
      <c r="Q147">
        <v>64.996806084876695</v>
      </c>
      <c r="S147">
        <v>21.542359732126101</v>
      </c>
      <c r="AA147">
        <v>2.6065512184785899</v>
      </c>
      <c r="AB147">
        <v>8.9829169629349401</v>
      </c>
      <c r="AC147">
        <v>1.87136600158363</v>
      </c>
      <c r="AJ147">
        <v>0.77076687661348098</v>
      </c>
      <c r="AK147">
        <v>0.123589823252906</v>
      </c>
      <c r="AL147">
        <v>0.10564330013361101</v>
      </c>
    </row>
    <row r="148" spans="1:38" x14ac:dyDescent="0.2">
      <c r="A148">
        <v>213</v>
      </c>
      <c r="B148">
        <v>784</v>
      </c>
      <c r="C148">
        <v>105</v>
      </c>
      <c r="D148">
        <v>0.49913493827744299</v>
      </c>
      <c r="E148">
        <v>7.8227942521240701</v>
      </c>
      <c r="F148">
        <v>2.56396908921301</v>
      </c>
      <c r="G148">
        <v>-127.53083738462732</v>
      </c>
      <c r="H148">
        <v>-109.84902393576813</v>
      </c>
      <c r="I148">
        <v>16.725926735902299</v>
      </c>
      <c r="J148">
        <v>9.4887328066901304</v>
      </c>
      <c r="K148">
        <v>3.0510485812936099</v>
      </c>
      <c r="L148">
        <v>3.0418188876223915E-5</v>
      </c>
      <c r="M148">
        <v>1.8116384118001965E-6</v>
      </c>
      <c r="N148" s="1">
        <v>-4.2155062772109497E-8</v>
      </c>
      <c r="O148" s="1">
        <v>2.74942716002168E-11</v>
      </c>
      <c r="P148" s="1">
        <v>1.8797000728373999E-10</v>
      </c>
      <c r="Q148">
        <v>65.142310350796706</v>
      </c>
      <c r="S148">
        <v>21.3967988969967</v>
      </c>
      <c r="AA148">
        <v>2.4525106077914498</v>
      </c>
      <c r="AB148">
        <v>8.9255587644194403</v>
      </c>
      <c r="AC148">
        <v>2.0828213799956101</v>
      </c>
      <c r="AJ148">
        <v>0.76606611743408204</v>
      </c>
      <c r="AK148">
        <v>0.11631949964999599</v>
      </c>
      <c r="AL148">
        <v>0.117614382915921</v>
      </c>
    </row>
    <row r="149" spans="1:38" x14ac:dyDescent="0.2">
      <c r="A149">
        <v>214</v>
      </c>
      <c r="B149">
        <v>782</v>
      </c>
      <c r="C149">
        <v>105</v>
      </c>
      <c r="D149">
        <v>0.49805288347628701</v>
      </c>
      <c r="E149">
        <v>9.8515912930227199</v>
      </c>
      <c r="F149">
        <v>2.5614239897527198</v>
      </c>
      <c r="G149">
        <v>-160.42752773520519</v>
      </c>
      <c r="H149">
        <v>-138.22476605901468</v>
      </c>
      <c r="I149">
        <v>21.042279937630099</v>
      </c>
      <c r="J149">
        <v>11.9456797356574</v>
      </c>
      <c r="K149">
        <v>3.8461384497198301</v>
      </c>
      <c r="L149">
        <v>3.0435336533498025E-5</v>
      </c>
      <c r="M149">
        <v>1.8141114650412307E-6</v>
      </c>
      <c r="N149" s="1">
        <v>-5.5789363061303398E-8</v>
      </c>
      <c r="O149" s="1">
        <v>3.4758305633838197E-11</v>
      </c>
      <c r="P149" s="1">
        <v>2.4448748080775298E-10</v>
      </c>
      <c r="Q149">
        <v>65.2878419205135</v>
      </c>
      <c r="S149">
        <v>21.2376345420466</v>
      </c>
      <c r="AA149">
        <v>2.2872405829955298</v>
      </c>
      <c r="AB149">
        <v>8.8325980151628407</v>
      </c>
      <c r="AC149">
        <v>2.3546849392814</v>
      </c>
      <c r="AJ149">
        <v>0.75844043812538797</v>
      </c>
      <c r="AK149">
        <v>0.10853146203617101</v>
      </c>
      <c r="AL149">
        <v>0.13302809983843999</v>
      </c>
    </row>
    <row r="150" spans="1:38" x14ac:dyDescent="0.2">
      <c r="A150">
        <v>215</v>
      </c>
      <c r="B150">
        <v>780</v>
      </c>
      <c r="C150">
        <v>105</v>
      </c>
      <c r="D150">
        <v>0.49696671889094501</v>
      </c>
      <c r="E150">
        <v>12.6135531686775</v>
      </c>
      <c r="F150">
        <v>2.56150901897671</v>
      </c>
      <c r="G150">
        <v>-205.27242982400668</v>
      </c>
      <c r="H150">
        <v>-176.9364871995848</v>
      </c>
      <c r="I150">
        <v>26.905894340238099</v>
      </c>
      <c r="J150">
        <v>15.2887793673485</v>
      </c>
      <c r="K150">
        <v>4.9242665457084698</v>
      </c>
      <c r="L150">
        <v>3.0368083026176027E-5</v>
      </c>
      <c r="M150">
        <v>1.8118102903988534E-6</v>
      </c>
      <c r="N150" s="1">
        <v>-7.4672863796887898E-8</v>
      </c>
      <c r="O150" s="1">
        <v>4.4463492249907897E-11</v>
      </c>
      <c r="P150" s="1">
        <v>3.2248916187556299E-10</v>
      </c>
      <c r="Q150">
        <v>65.2033528963847</v>
      </c>
      <c r="S150">
        <v>21.2643526399163</v>
      </c>
      <c r="AA150">
        <v>2.3289976460510098</v>
      </c>
      <c r="AB150">
        <v>8.7143637221674997</v>
      </c>
      <c r="AC150">
        <v>2.4889330954803501</v>
      </c>
      <c r="AJ150">
        <v>0.74872722084390997</v>
      </c>
      <c r="AK150">
        <v>0.110577757927651</v>
      </c>
      <c r="AL150">
        <v>0.14069502122843699</v>
      </c>
    </row>
    <row r="151" spans="1:38" x14ac:dyDescent="0.2">
      <c r="A151">
        <v>216</v>
      </c>
      <c r="B151">
        <v>778</v>
      </c>
      <c r="C151">
        <v>105</v>
      </c>
      <c r="D151">
        <v>0.49587642106264601</v>
      </c>
      <c r="E151">
        <v>15.0986481581668</v>
      </c>
      <c r="F151">
        <v>2.5662243919166698</v>
      </c>
      <c r="G151">
        <v>-245.85726413111448</v>
      </c>
      <c r="H151">
        <v>-212.0560670310943</v>
      </c>
      <c r="I151">
        <v>32.156397374323397</v>
      </c>
      <c r="J151">
        <v>18.303170560382</v>
      </c>
      <c r="K151">
        <v>5.8836040237657796</v>
      </c>
      <c r="L151">
        <v>3.0261441837249852E-5</v>
      </c>
      <c r="M151">
        <v>1.8039671298586772E-6</v>
      </c>
      <c r="N151" s="1">
        <v>-9.4642761100048795E-8</v>
      </c>
      <c r="O151" s="1">
        <v>5.2736376576798701E-11</v>
      </c>
      <c r="P151" s="1">
        <v>4.0176390389054498E-10</v>
      </c>
      <c r="Q151">
        <v>64.811775415800497</v>
      </c>
      <c r="S151">
        <v>21.5846714167272</v>
      </c>
      <c r="AA151">
        <v>2.6846331686091101</v>
      </c>
      <c r="AB151">
        <v>8.68151161992302</v>
      </c>
      <c r="AC151">
        <v>2.2374083789400601</v>
      </c>
      <c r="AJ151">
        <v>0.74602080477954202</v>
      </c>
      <c r="AK151">
        <v>0.127482722653772</v>
      </c>
      <c r="AL151">
        <v>0.126496472566685</v>
      </c>
    </row>
    <row r="152" spans="1:38" x14ac:dyDescent="0.2">
      <c r="A152">
        <v>217</v>
      </c>
      <c r="B152">
        <v>776</v>
      </c>
      <c r="C152">
        <v>105</v>
      </c>
      <c r="D152">
        <v>0.49478196635371602</v>
      </c>
      <c r="E152">
        <v>16.363074965048501</v>
      </c>
      <c r="F152">
        <v>2.56832887307413</v>
      </c>
      <c r="G152">
        <v>-266.47119462279346</v>
      </c>
      <c r="H152">
        <v>-229.95727537202507</v>
      </c>
      <c r="I152">
        <v>34.803335319800198</v>
      </c>
      <c r="J152">
        <v>19.839294363663701</v>
      </c>
      <c r="K152">
        <v>6.37109800718898</v>
      </c>
      <c r="L152">
        <v>3.02323529366457E-5</v>
      </c>
      <c r="M152">
        <v>1.8005979376922296E-6</v>
      </c>
      <c r="N152" s="1">
        <v>-1.0893697824149399E-7</v>
      </c>
      <c r="O152" s="1">
        <v>5.6888707676252198E-11</v>
      </c>
      <c r="P152" s="1">
        <v>4.54190462181617E-10</v>
      </c>
      <c r="Q152">
        <v>64.639312890830695</v>
      </c>
      <c r="S152">
        <v>21.7245945264652</v>
      </c>
      <c r="AA152">
        <v>2.8403129393289799</v>
      </c>
      <c r="AB152">
        <v>8.6640147535224301</v>
      </c>
      <c r="AC152">
        <v>2.1317648898526</v>
      </c>
      <c r="AJ152">
        <v>0.74457957662365004</v>
      </c>
      <c r="AK152">
        <v>0.134886634546906</v>
      </c>
      <c r="AL152">
        <v>0.120533788829442</v>
      </c>
    </row>
    <row r="153" spans="1:38" x14ac:dyDescent="0.2">
      <c r="A153">
        <v>218</v>
      </c>
      <c r="B153">
        <v>774</v>
      </c>
      <c r="C153">
        <v>105</v>
      </c>
      <c r="D153">
        <v>0.493683330945906</v>
      </c>
      <c r="E153">
        <v>17.0252228386674</v>
      </c>
      <c r="F153">
        <v>2.56944078563621</v>
      </c>
      <c r="G153">
        <v>-277.23408592685973</v>
      </c>
      <c r="H153">
        <v>-239.36048917732057</v>
      </c>
      <c r="I153">
        <v>36.168263142376098</v>
      </c>
      <c r="J153">
        <v>20.646998651923901</v>
      </c>
      <c r="K153">
        <v>6.6260421076222</v>
      </c>
      <c r="L153">
        <v>3.0241306181051044E-5</v>
      </c>
      <c r="M153">
        <v>1.7991511261610678E-6</v>
      </c>
      <c r="N153" s="1">
        <v>-1.2064021199429399E-7</v>
      </c>
      <c r="O153" s="1">
        <v>5.9020475737117294E-11</v>
      </c>
      <c r="P153" s="1">
        <v>4.9395783665903903E-10</v>
      </c>
      <c r="Q153">
        <v>64.557263094658495</v>
      </c>
      <c r="S153">
        <v>21.792672815647101</v>
      </c>
      <c r="AA153">
        <v>2.9156234232141802</v>
      </c>
      <c r="AB153">
        <v>8.6596472679587109</v>
      </c>
      <c r="AC153">
        <v>2.07479339852144</v>
      </c>
      <c r="AJ153">
        <v>0.74421920338180503</v>
      </c>
      <c r="AK153">
        <v>0.13846591842897299</v>
      </c>
      <c r="AL153">
        <v>0.117314878189221</v>
      </c>
    </row>
    <row r="154" spans="1:38" x14ac:dyDescent="0.2">
      <c r="A154">
        <v>219</v>
      </c>
      <c r="B154">
        <v>772</v>
      </c>
      <c r="C154">
        <v>105</v>
      </c>
      <c r="D154">
        <v>0.49258049083863298</v>
      </c>
      <c r="E154">
        <v>17.4520759415492</v>
      </c>
      <c r="F154">
        <v>2.5701743666785899</v>
      </c>
      <c r="G154">
        <v>-284.14702444457447</v>
      </c>
      <c r="H154">
        <v>-245.44264841608023</v>
      </c>
      <c r="I154">
        <v>37.032364759598401</v>
      </c>
      <c r="J154">
        <v>21.170654040910101</v>
      </c>
      <c r="K154">
        <v>6.7902303313772201</v>
      </c>
      <c r="L154">
        <v>3.0267257425491371E-5</v>
      </c>
      <c r="M154">
        <v>1.7984712152672852E-6</v>
      </c>
      <c r="N154" s="1">
        <v>-1.3172553934989001E-7</v>
      </c>
      <c r="O154" s="1">
        <v>6.0364318317491006E-11</v>
      </c>
      <c r="P154" s="1">
        <v>5.2990619038313896E-10</v>
      </c>
      <c r="Q154">
        <v>64.510638969391096</v>
      </c>
      <c r="S154">
        <v>21.832910257584999</v>
      </c>
      <c r="AA154">
        <v>2.9596988270499498</v>
      </c>
      <c r="AB154">
        <v>8.6612355899507492</v>
      </c>
      <c r="AC154">
        <v>2.0355163560230598</v>
      </c>
      <c r="AJ154">
        <v>0.74434911864242503</v>
      </c>
      <c r="AK154">
        <v>0.140557860327018</v>
      </c>
      <c r="AL154">
        <v>0.11509302103055601</v>
      </c>
    </row>
    <row r="155" spans="1:38" x14ac:dyDescent="0.2">
      <c r="A155">
        <v>220</v>
      </c>
      <c r="B155">
        <v>770</v>
      </c>
      <c r="C155">
        <v>105</v>
      </c>
      <c r="D155">
        <v>0.49147342184729198</v>
      </c>
      <c r="E155">
        <v>17.766139096107</v>
      </c>
      <c r="F155">
        <v>2.5707251397608899</v>
      </c>
      <c r="G155">
        <v>-289.21369273554251</v>
      </c>
      <c r="H155">
        <v>-249.9326355619304</v>
      </c>
      <c r="I155">
        <v>37.656192468592302</v>
      </c>
      <c r="J155">
        <v>21.558559573314401</v>
      </c>
      <c r="K155">
        <v>6.9109446285492302</v>
      </c>
      <c r="L155">
        <v>3.0303045485407234E-5</v>
      </c>
      <c r="M155">
        <v>1.7981731992477166E-6</v>
      </c>
      <c r="N155" s="1">
        <v>-1.4287657366248401E-7</v>
      </c>
      <c r="O155" s="1">
        <v>6.1329046208558096E-11</v>
      </c>
      <c r="P155" s="1">
        <v>5.6505738593664199E-10</v>
      </c>
      <c r="Q155">
        <v>64.481367204232498</v>
      </c>
      <c r="S155">
        <v>21.859577050015901</v>
      </c>
      <c r="AA155">
        <v>2.9885293700806801</v>
      </c>
      <c r="AB155">
        <v>8.6659154940614602</v>
      </c>
      <c r="AC155">
        <v>2.0046108816092501</v>
      </c>
      <c r="AJ155">
        <v>0.74473351059496096</v>
      </c>
      <c r="AK155">
        <v>0.14192364777705099</v>
      </c>
      <c r="AL155">
        <v>0.113342841627986</v>
      </c>
    </row>
    <row r="156" spans="1:38" x14ac:dyDescent="0.2">
      <c r="A156">
        <v>221</v>
      </c>
      <c r="B156">
        <v>768</v>
      </c>
      <c r="C156">
        <v>105</v>
      </c>
      <c r="D156">
        <v>0.49036209960140498</v>
      </c>
      <c r="E156">
        <v>18.0176423944785</v>
      </c>
      <c r="F156">
        <v>2.5711728294679901</v>
      </c>
      <c r="G156">
        <v>-293.25580566382223</v>
      </c>
      <c r="H156">
        <v>-253.53954468376747</v>
      </c>
      <c r="I156">
        <v>38.1465312203377</v>
      </c>
      <c r="J156">
        <v>21.871534528556602</v>
      </c>
      <c r="K156">
        <v>7.0075578693037901</v>
      </c>
      <c r="L156">
        <v>3.0345735356916728E-5</v>
      </c>
      <c r="M156">
        <v>1.7980968432159452E-6</v>
      </c>
      <c r="N156" s="1">
        <v>-1.54401663576581E-7</v>
      </c>
      <c r="O156" s="1">
        <v>6.2081397347426603E-11</v>
      </c>
      <c r="P156" s="1">
        <v>6.0072930050781397E-10</v>
      </c>
      <c r="Q156">
        <v>64.461963823129295</v>
      </c>
      <c r="S156">
        <v>21.8785447851665</v>
      </c>
      <c r="AA156">
        <v>3.0087054595131399</v>
      </c>
      <c r="AB156">
        <v>8.6724024833115205</v>
      </c>
      <c r="AC156">
        <v>1.9783834488794401</v>
      </c>
      <c r="AJ156">
        <v>0.74526661711123698</v>
      </c>
      <c r="AK156">
        <v>0.14287712659117499</v>
      </c>
      <c r="AL156">
        <v>0.111856256297587</v>
      </c>
    </row>
    <row r="157" spans="1:38" x14ac:dyDescent="0.2">
      <c r="A157">
        <v>222</v>
      </c>
      <c r="B157">
        <v>766</v>
      </c>
      <c r="C157">
        <v>105</v>
      </c>
      <c r="D157">
        <v>0.4892464995429</v>
      </c>
      <c r="E157">
        <v>18.230738412233801</v>
      </c>
      <c r="F157">
        <v>2.57155602363905</v>
      </c>
      <c r="G157">
        <v>-296.66854066432131</v>
      </c>
      <c r="H157">
        <v>-256.60441124004012</v>
      </c>
      <c r="I157">
        <v>38.5547124325469</v>
      </c>
      <c r="J157">
        <v>22.1388461181377</v>
      </c>
      <c r="K157">
        <v>7.0893802214097503</v>
      </c>
      <c r="L157">
        <v>3.0393967585447981E-5</v>
      </c>
      <c r="M157">
        <v>1.7981638369517278E-6</v>
      </c>
      <c r="N157" s="1">
        <v>-1.66477661062097E-7</v>
      </c>
      <c r="O157" s="1">
        <v>6.2701081012869106E-11</v>
      </c>
      <c r="P157" s="1">
        <v>6.3763574588335398E-10</v>
      </c>
      <c r="Q157">
        <v>64.448773425008298</v>
      </c>
      <c r="S157">
        <v>21.892670552828498</v>
      </c>
      <c r="AA157">
        <v>3.0234371615478901</v>
      </c>
      <c r="AB157">
        <v>8.6800409247407995</v>
      </c>
      <c r="AC157">
        <v>1.9550779358744199</v>
      </c>
      <c r="AJ157">
        <v>0.74589445095864604</v>
      </c>
      <c r="AK157">
        <v>0.14357120337609999</v>
      </c>
      <c r="AL157">
        <v>0.110534345665253</v>
      </c>
    </row>
    <row r="158" spans="1:38" x14ac:dyDescent="0.2">
      <c r="A158">
        <v>223</v>
      </c>
      <c r="B158">
        <v>764</v>
      </c>
      <c r="C158">
        <v>105</v>
      </c>
      <c r="D158">
        <v>0.48812659692426702</v>
      </c>
      <c r="E158">
        <v>18.418451829684798</v>
      </c>
      <c r="F158">
        <v>2.5718957775643698</v>
      </c>
      <c r="G158">
        <v>-299.66503654638984</v>
      </c>
      <c r="H158">
        <v>-259.31117748077412</v>
      </c>
      <c r="I158">
        <v>38.908411575582797</v>
      </c>
      <c r="J158">
        <v>22.376302640171101</v>
      </c>
      <c r="K158">
        <v>7.1614300977341099</v>
      </c>
      <c r="L158">
        <v>3.0447079195043659E-5</v>
      </c>
      <c r="M158">
        <v>1.7983313450802228E-6</v>
      </c>
      <c r="N158" s="1">
        <v>-1.7922851079289099E-7</v>
      </c>
      <c r="O158" s="1">
        <v>6.3230750961767297E-11</v>
      </c>
      <c r="P158" s="1">
        <v>6.7624159813575196E-10</v>
      </c>
      <c r="Q158">
        <v>64.439789772947606</v>
      </c>
      <c r="S158">
        <v>21.9035185475018</v>
      </c>
      <c r="AA158">
        <v>3.0344830806219099</v>
      </c>
      <c r="AB158">
        <v>8.6884607661792792</v>
      </c>
      <c r="AC158">
        <v>1.9337478327493201</v>
      </c>
      <c r="AJ158">
        <v>0.74658653874629399</v>
      </c>
      <c r="AK158">
        <v>0.14408966162411099</v>
      </c>
      <c r="AL158">
        <v>0.109323799629593</v>
      </c>
    </row>
    <row r="159" spans="1:38" x14ac:dyDescent="0.2">
      <c r="A159">
        <v>224</v>
      </c>
      <c r="B159">
        <v>762</v>
      </c>
      <c r="C159">
        <v>105</v>
      </c>
      <c r="D159">
        <v>0.48700236680674502</v>
      </c>
      <c r="E159">
        <v>18.588427082493599</v>
      </c>
      <c r="F159">
        <v>2.5722046304788102</v>
      </c>
      <c r="G159">
        <v>-302.37040744802226</v>
      </c>
      <c r="H159">
        <v>-261.76781929450476</v>
      </c>
      <c r="I159">
        <v>39.223869152796802</v>
      </c>
      <c r="J159">
        <v>22.593208503912798</v>
      </c>
      <c r="K159">
        <v>7.2266517454458503</v>
      </c>
      <c r="L159">
        <v>3.0504758871171097E-5</v>
      </c>
      <c r="M159">
        <v>1.798573964220607E-6</v>
      </c>
      <c r="N159" s="1">
        <v>-1.9275552701203601E-7</v>
      </c>
      <c r="O159" s="1">
        <v>6.3695163206907097E-11</v>
      </c>
      <c r="P159" s="1">
        <v>7.1689948104895201E-10</v>
      </c>
      <c r="Q159">
        <v>64.433813495180999</v>
      </c>
      <c r="S159">
        <v>21.912022241712599</v>
      </c>
      <c r="AA159">
        <v>3.0428931981325902</v>
      </c>
      <c r="AB159">
        <v>8.6974364915410707</v>
      </c>
      <c r="AC159">
        <v>1.9138345734325799</v>
      </c>
      <c r="AJ159">
        <v>0.74732430850112597</v>
      </c>
      <c r="AK159">
        <v>0.14448253153075899</v>
      </c>
      <c r="AL159">
        <v>0.108193159968113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A13F0-3E76-417B-9EAC-35D6EE8B88D9}">
  <sheetPr codeName="Sheet10"/>
  <dimension ref="A1:AL107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14</v>
      </c>
      <c r="B2">
        <v>734</v>
      </c>
      <c r="C2">
        <v>300</v>
      </c>
      <c r="D2">
        <v>0.25781710768008598</v>
      </c>
      <c r="E2">
        <v>14.1961738837672</v>
      </c>
      <c r="F2">
        <v>2.5846637025160799</v>
      </c>
      <c r="G2">
        <v>-229.17837785558086</v>
      </c>
      <c r="H2">
        <v>-199.51858011135965</v>
      </c>
      <c r="I2">
        <v>29.449235708902499</v>
      </c>
      <c r="J2">
        <v>17.535083888315299</v>
      </c>
      <c r="K2">
        <v>5.4924645979853004</v>
      </c>
      <c r="L2">
        <v>3.2413153630778024E-5</v>
      </c>
      <c r="M2">
        <v>1.7953288764074566E-6</v>
      </c>
      <c r="N2" s="1">
        <v>-4.3412955108112198E-7</v>
      </c>
      <c r="O2" s="1">
        <v>4.6148375374204401E-11</v>
      </c>
      <c r="P2" s="1">
        <v>1.3698073466947201E-9</v>
      </c>
      <c r="Q2">
        <v>64.443556976193605</v>
      </c>
      <c r="S2">
        <v>21.9578861963886</v>
      </c>
      <c r="AA2">
        <v>3.0784579222572401</v>
      </c>
      <c r="AB2">
        <v>8.8393876364571096</v>
      </c>
      <c r="AC2">
        <v>1.6807112687032699</v>
      </c>
      <c r="AJ2">
        <v>0.75898494080932799</v>
      </c>
      <c r="AK2">
        <v>0.14606796932823099</v>
      </c>
      <c r="AL2">
        <v>9.4947089862440298E-2</v>
      </c>
    </row>
    <row r="3" spans="1:38" x14ac:dyDescent="0.2">
      <c r="A3">
        <v>15</v>
      </c>
      <c r="B3">
        <v>732</v>
      </c>
      <c r="C3">
        <v>300</v>
      </c>
      <c r="D3">
        <v>0.256201064517732</v>
      </c>
      <c r="E3">
        <v>18.026392123107499</v>
      </c>
      <c r="F3">
        <v>2.5840273604602801</v>
      </c>
      <c r="G3">
        <v>-290.91814477997508</v>
      </c>
      <c r="H3">
        <v>-253.36907232420714</v>
      </c>
      <c r="I3">
        <v>37.3566855253125</v>
      </c>
      <c r="J3">
        <v>22.307153110355301</v>
      </c>
      <c r="K3">
        <v>6.9760840767168002</v>
      </c>
      <c r="L3">
        <v>3.2641359096855043E-5</v>
      </c>
      <c r="M3">
        <v>1.7982110640258905E-6</v>
      </c>
      <c r="N3" s="1">
        <v>-5.9050186762579196E-7</v>
      </c>
      <c r="O3" s="1">
        <v>5.8385047652849605E-11</v>
      </c>
      <c r="P3" s="1">
        <v>1.8501948854932E-9</v>
      </c>
      <c r="Q3">
        <v>64.539648962044396</v>
      </c>
      <c r="S3">
        <v>21.890021092899101</v>
      </c>
      <c r="AA3">
        <v>3.0000467657586301</v>
      </c>
      <c r="AB3">
        <v>8.8756062828159106</v>
      </c>
      <c r="AC3">
        <v>1.6946768964818399</v>
      </c>
      <c r="AJ3">
        <v>0.761958929617089</v>
      </c>
      <c r="AK3">
        <v>0.14232210193657899</v>
      </c>
      <c r="AL3">
        <v>9.5718968446331196E-2</v>
      </c>
    </row>
    <row r="4" spans="1:38" x14ac:dyDescent="0.2">
      <c r="A4">
        <v>16</v>
      </c>
      <c r="B4">
        <v>730</v>
      </c>
      <c r="C4">
        <v>300</v>
      </c>
      <c r="D4">
        <v>0.25457857748093798</v>
      </c>
      <c r="E4">
        <v>19.358297244210402</v>
      </c>
      <c r="F4">
        <v>2.5839457036290998</v>
      </c>
      <c r="G4">
        <v>-312.33444906991275</v>
      </c>
      <c r="H4">
        <v>-272.13653082230087</v>
      </c>
      <c r="I4">
        <v>40.0716924164999</v>
      </c>
      <c r="J4">
        <v>23.9993787056065</v>
      </c>
      <c r="K4">
        <v>7.4917585214821196</v>
      </c>
      <c r="L4">
        <v>3.284801578099162E-5</v>
      </c>
      <c r="M4">
        <v>1.7997775893126998E-6</v>
      </c>
      <c r="N4" s="1">
        <v>-6.7772813077484103E-7</v>
      </c>
      <c r="O4" s="1">
        <v>6.2383938801432801E-11</v>
      </c>
      <c r="P4" s="1">
        <v>2.1096918252706499E-9</v>
      </c>
      <c r="Q4">
        <v>64.5761142534692</v>
      </c>
      <c r="S4">
        <v>21.866532482375</v>
      </c>
      <c r="AA4">
        <v>2.9721597443306398</v>
      </c>
      <c r="AB4">
        <v>8.89528878334872</v>
      </c>
      <c r="AC4">
        <v>1.68990473647629</v>
      </c>
      <c r="AJ4">
        <v>0.76357441480953003</v>
      </c>
      <c r="AK4">
        <v>0.14098543677523401</v>
      </c>
      <c r="AL4">
        <v>9.5440148415234197E-2</v>
      </c>
    </row>
    <row r="5" spans="1:38" x14ac:dyDescent="0.2">
      <c r="A5">
        <v>17</v>
      </c>
      <c r="B5">
        <v>728</v>
      </c>
      <c r="C5">
        <v>300</v>
      </c>
      <c r="D5">
        <v>0.25294960795086002</v>
      </c>
      <c r="E5">
        <v>20.096143016739401</v>
      </c>
      <c r="F5">
        <v>2.5839996604622599</v>
      </c>
      <c r="G5">
        <v>-324.16330994871601</v>
      </c>
      <c r="H5">
        <v>-282.56455189670254</v>
      </c>
      <c r="I5">
        <v>41.550974431417302</v>
      </c>
      <c r="J5">
        <v>24.962267841395299</v>
      </c>
      <c r="K5">
        <v>7.7771461522345504</v>
      </c>
      <c r="L5">
        <v>3.3058892299437898E-5</v>
      </c>
      <c r="M5">
        <v>1.8010538869765634E-6</v>
      </c>
      <c r="N5" s="1">
        <v>-7.5130569054956896E-7</v>
      </c>
      <c r="O5" s="1">
        <v>6.43978777161083E-11</v>
      </c>
      <c r="P5" s="1">
        <v>2.3242538127265502E-9</v>
      </c>
      <c r="Q5">
        <v>64.598169226592503</v>
      </c>
      <c r="S5">
        <v>21.8537817075417</v>
      </c>
      <c r="AA5">
        <v>2.95649399806811</v>
      </c>
      <c r="AB5">
        <v>8.9110092944742192</v>
      </c>
      <c r="AC5">
        <v>1.68054577332333</v>
      </c>
      <c r="AJ5">
        <v>0.76486437680282304</v>
      </c>
      <c r="AK5">
        <v>0.14023141932737701</v>
      </c>
      <c r="AL5">
        <v>9.49042038697991E-2</v>
      </c>
    </row>
    <row r="6" spans="1:38" x14ac:dyDescent="0.2">
      <c r="A6">
        <v>18</v>
      </c>
      <c r="B6">
        <v>726</v>
      </c>
      <c r="C6">
        <v>300</v>
      </c>
      <c r="D6">
        <v>0.251314116999449</v>
      </c>
      <c r="E6">
        <v>20.5903104150016</v>
      </c>
      <c r="F6">
        <v>2.58410866205524</v>
      </c>
      <c r="G6">
        <v>-332.05923053708472</v>
      </c>
      <c r="H6">
        <v>-289.57251724586035</v>
      </c>
      <c r="I6">
        <v>42.522857720286602</v>
      </c>
      <c r="J6">
        <v>25.6285504190969</v>
      </c>
      <c r="K6">
        <v>7.9680513119852403</v>
      </c>
      <c r="L6">
        <v>3.3279460628307847E-5</v>
      </c>
      <c r="M6">
        <v>1.802236811267528E-6</v>
      </c>
      <c r="N6" s="1">
        <v>-8.2144189674067899E-7</v>
      </c>
      <c r="O6" s="1">
        <v>6.5581198611255494E-11</v>
      </c>
      <c r="P6" s="1">
        <v>2.5261822018124701E-9</v>
      </c>
      <c r="Q6">
        <v>64.614448671620096</v>
      </c>
      <c r="S6">
        <v>21.845328653691698</v>
      </c>
      <c r="AA6">
        <v>2.9457215561465802</v>
      </c>
      <c r="AB6">
        <v>8.9251263852094294</v>
      </c>
      <c r="AC6">
        <v>1.6693747333320801</v>
      </c>
      <c r="AJ6">
        <v>0.76602254339115305</v>
      </c>
      <c r="AK6">
        <v>0.13971069696611399</v>
      </c>
      <c r="AL6">
        <v>9.4266759642731401E-2</v>
      </c>
    </row>
    <row r="7" spans="1:38" x14ac:dyDescent="0.2">
      <c r="A7">
        <v>19</v>
      </c>
      <c r="B7">
        <v>724</v>
      </c>
      <c r="C7">
        <v>300</v>
      </c>
      <c r="D7">
        <v>0.249672065386352</v>
      </c>
      <c r="E7">
        <v>20.958569449172401</v>
      </c>
      <c r="F7">
        <v>2.5842458462759801</v>
      </c>
      <c r="G7">
        <v>-337.92271695182757</v>
      </c>
      <c r="H7">
        <v>-294.813734314844</v>
      </c>
      <c r="I7">
        <v>43.232194390997897</v>
      </c>
      <c r="J7">
        <v>26.143837778366098</v>
      </c>
      <c r="K7">
        <v>8.1101298776874096</v>
      </c>
      <c r="L7">
        <v>3.3512023443984886E-5</v>
      </c>
      <c r="M7">
        <v>1.8033931427553292E-6</v>
      </c>
      <c r="N7" s="1">
        <v>-8.9152114251890498E-7</v>
      </c>
      <c r="O7" s="1">
        <v>6.6323028441068303E-11</v>
      </c>
      <c r="P7" s="1">
        <v>2.7261412692249702E-9</v>
      </c>
      <c r="Q7">
        <v>64.627827477749094</v>
      </c>
      <c r="S7">
        <v>21.839026821573899</v>
      </c>
      <c r="AA7">
        <v>2.9374007186136</v>
      </c>
      <c r="AB7">
        <v>8.9384192651341294</v>
      </c>
      <c r="AC7">
        <v>1.65732571692915</v>
      </c>
      <c r="AJ7">
        <v>0.767112913674315</v>
      </c>
      <c r="AK7">
        <v>0.13930687790525301</v>
      </c>
      <c r="AL7">
        <v>9.3580208420430203E-2</v>
      </c>
    </row>
    <row r="8" spans="1:38" x14ac:dyDescent="0.2">
      <c r="A8">
        <v>32</v>
      </c>
      <c r="B8">
        <v>736</v>
      </c>
      <c r="C8">
        <v>285</v>
      </c>
      <c r="D8">
        <v>0.27577713917653601</v>
      </c>
      <c r="E8">
        <v>15.1091917035109</v>
      </c>
      <c r="F8">
        <v>2.5832470211252501</v>
      </c>
      <c r="G8">
        <v>-244.04125500165975</v>
      </c>
      <c r="H8">
        <v>-212.3685827453115</v>
      </c>
      <c r="I8">
        <v>31.3854949773058</v>
      </c>
      <c r="J8">
        <v>18.6295813256116</v>
      </c>
      <c r="K8">
        <v>5.8489147882301298</v>
      </c>
      <c r="L8">
        <v>3.223288325810967E-5</v>
      </c>
      <c r="M8">
        <v>1.7965587122939651E-6</v>
      </c>
      <c r="N8" s="1">
        <v>-4.2758418543747601E-7</v>
      </c>
      <c r="O8" s="1">
        <v>4.94550377682373E-11</v>
      </c>
      <c r="P8" s="1">
        <v>1.3601454093746199E-9</v>
      </c>
      <c r="Q8">
        <v>64.493310936493401</v>
      </c>
      <c r="S8">
        <v>21.917028233040099</v>
      </c>
      <c r="AA8">
        <v>3.0331402776869201</v>
      </c>
      <c r="AB8">
        <v>8.8431472064686591</v>
      </c>
      <c r="AC8">
        <v>1.7133733463107701</v>
      </c>
      <c r="AJ8">
        <v>0.75929430245416196</v>
      </c>
      <c r="AK8">
        <v>0.14391516934162499</v>
      </c>
      <c r="AL8">
        <v>9.6790528204211801E-2</v>
      </c>
    </row>
    <row r="9" spans="1:38" x14ac:dyDescent="0.2">
      <c r="A9">
        <v>33</v>
      </c>
      <c r="B9">
        <v>734</v>
      </c>
      <c r="C9">
        <v>285</v>
      </c>
      <c r="D9">
        <v>0.27419997021297599</v>
      </c>
      <c r="E9">
        <v>18.2061465524976</v>
      </c>
      <c r="F9">
        <v>2.5829458637018599</v>
      </c>
      <c r="G9">
        <v>-293.98030824087948</v>
      </c>
      <c r="H9">
        <v>-255.93221333286917</v>
      </c>
      <c r="I9">
        <v>37.777982334319901</v>
      </c>
      <c r="J9">
        <v>22.484720347109398</v>
      </c>
      <c r="K9">
        <v>7.0485978077777602</v>
      </c>
      <c r="L9">
        <v>3.2427394020276625E-5</v>
      </c>
      <c r="M9">
        <v>1.7985725643347955E-6</v>
      </c>
      <c r="N9" s="1">
        <v>-5.5125780726862799E-7</v>
      </c>
      <c r="O9" s="1">
        <v>5.9360222796196703E-11</v>
      </c>
      <c r="P9" s="1">
        <v>1.74089267400914E-9</v>
      </c>
      <c r="Q9">
        <v>64.552808480449798</v>
      </c>
      <c r="S9">
        <v>21.8763192959773</v>
      </c>
      <c r="AA9">
        <v>2.98567204928522</v>
      </c>
      <c r="AB9">
        <v>8.8690105220114894</v>
      </c>
      <c r="AC9">
        <v>1.7161896522761</v>
      </c>
      <c r="AJ9">
        <v>0.76141788530598098</v>
      </c>
      <c r="AK9">
        <v>0.14164485253046899</v>
      </c>
      <c r="AL9">
        <v>9.6937262163548296E-2</v>
      </c>
    </row>
    <row r="10" spans="1:38" x14ac:dyDescent="0.2">
      <c r="A10">
        <v>34</v>
      </c>
      <c r="B10">
        <v>732</v>
      </c>
      <c r="C10">
        <v>285</v>
      </c>
      <c r="D10">
        <v>0.27261652489678301</v>
      </c>
      <c r="E10">
        <v>19.3799387610465</v>
      </c>
      <c r="F10">
        <v>2.5829633541056598</v>
      </c>
      <c r="G10">
        <v>-312.85920428388829</v>
      </c>
      <c r="H10">
        <v>-272.48443044306697</v>
      </c>
      <c r="I10">
        <v>40.167909108910301</v>
      </c>
      <c r="J10">
        <v>23.9744424508599</v>
      </c>
      <c r="K10">
        <v>7.5029863394081104</v>
      </c>
      <c r="L10">
        <v>3.261414469004213E-5</v>
      </c>
      <c r="M10">
        <v>1.799853415856229E-6</v>
      </c>
      <c r="N10" s="1">
        <v>-6.2706370044239295E-7</v>
      </c>
      <c r="O10" s="1">
        <v>6.2883927315927901E-11</v>
      </c>
      <c r="P10" s="1">
        <v>1.9668201172914502E-9</v>
      </c>
      <c r="Q10">
        <v>64.578416304027002</v>
      </c>
      <c r="S10">
        <v>21.860911579980701</v>
      </c>
      <c r="AA10">
        <v>2.9669852902752401</v>
      </c>
      <c r="AB10">
        <v>8.8856828531917706</v>
      </c>
      <c r="AC10">
        <v>1.7080039725251901</v>
      </c>
      <c r="AJ10">
        <v>0.76278633347823499</v>
      </c>
      <c r="AK10">
        <v>0.14074671862656901</v>
      </c>
      <c r="AL10">
        <v>9.6466947895195401E-2</v>
      </c>
    </row>
    <row r="11" spans="1:38" x14ac:dyDescent="0.2">
      <c r="A11">
        <v>35</v>
      </c>
      <c r="B11">
        <v>730</v>
      </c>
      <c r="C11">
        <v>285</v>
      </c>
      <c r="D11">
        <v>0.27102676568808798</v>
      </c>
      <c r="E11">
        <v>20.0518844620027</v>
      </c>
      <c r="F11">
        <v>2.5830659022707199</v>
      </c>
      <c r="G11">
        <v>-323.63308706205623</v>
      </c>
      <c r="H11">
        <v>-281.98980083784039</v>
      </c>
      <c r="I11">
        <v>41.512521780606903</v>
      </c>
      <c r="J11">
        <v>24.849651457654801</v>
      </c>
      <c r="K11">
        <v>7.7628234124322901</v>
      </c>
      <c r="L11">
        <v>3.2807322391566954E-5</v>
      </c>
      <c r="M11">
        <v>1.8009652845026483E-6</v>
      </c>
      <c r="N11" s="1">
        <v>-6.92996229010059E-7</v>
      </c>
      <c r="O11" s="1">
        <v>6.4719868108585497E-11</v>
      </c>
      <c r="P11" s="1">
        <v>2.15950936658906E-9</v>
      </c>
      <c r="Q11">
        <v>64.595073956004597</v>
      </c>
      <c r="S11">
        <v>21.852183425870301</v>
      </c>
      <c r="AA11">
        <v>2.9558976384007298</v>
      </c>
      <c r="AB11">
        <v>8.89992154673849</v>
      </c>
      <c r="AC11">
        <v>1.6969234329857501</v>
      </c>
      <c r="AJ11">
        <v>0.76395477259462996</v>
      </c>
      <c r="AK11">
        <v>0.14021085928594301</v>
      </c>
      <c r="AL11">
        <v>9.58343681194255E-2</v>
      </c>
    </row>
    <row r="12" spans="1:38" x14ac:dyDescent="0.2">
      <c r="A12">
        <v>36</v>
      </c>
      <c r="B12">
        <v>728</v>
      </c>
      <c r="C12">
        <v>285</v>
      </c>
      <c r="D12">
        <v>0.26943065474704297</v>
      </c>
      <c r="E12">
        <v>20.5105872210736</v>
      </c>
      <c r="F12">
        <v>2.5832038880526902</v>
      </c>
      <c r="G12">
        <v>-330.96266877436921</v>
      </c>
      <c r="H12">
        <v>-288.50140101231335</v>
      </c>
      <c r="I12">
        <v>42.412493394651896</v>
      </c>
      <c r="J12">
        <v>25.466061541924201</v>
      </c>
      <c r="K12">
        <v>7.9399800054246601</v>
      </c>
      <c r="L12">
        <v>3.3010484814839842E-5</v>
      </c>
      <c r="M12">
        <v>1.8020288886638367E-6</v>
      </c>
      <c r="N12" s="1">
        <v>-7.5680632265308301E-7</v>
      </c>
      <c r="O12" s="1">
        <v>6.5822937448650299E-11</v>
      </c>
      <c r="P12" s="1">
        <v>2.3436978518346302E-9</v>
      </c>
      <c r="Q12">
        <v>64.608059628258104</v>
      </c>
      <c r="S12">
        <v>21.846187380542201</v>
      </c>
      <c r="AA12">
        <v>2.94792081051565</v>
      </c>
      <c r="AB12">
        <v>8.91314000872487</v>
      </c>
      <c r="AC12">
        <v>1.68469217195902</v>
      </c>
      <c r="AJ12">
        <v>0.76503930513104001</v>
      </c>
      <c r="AK12">
        <v>0.13982332423732</v>
      </c>
      <c r="AL12">
        <v>9.5137370631639406E-2</v>
      </c>
    </row>
    <row r="13" spans="1:38" x14ac:dyDescent="0.2">
      <c r="A13">
        <v>37</v>
      </c>
      <c r="B13">
        <v>726</v>
      </c>
      <c r="C13">
        <v>285</v>
      </c>
      <c r="D13">
        <v>0.26782815393083897</v>
      </c>
      <c r="E13">
        <v>20.856917587757899</v>
      </c>
      <c r="F13">
        <v>2.5833602179841901</v>
      </c>
      <c r="G13">
        <v>-336.47689900703506</v>
      </c>
      <c r="H13">
        <v>-293.43571415555186</v>
      </c>
      <c r="I13">
        <v>43.077800982318102</v>
      </c>
      <c r="J13">
        <v>25.948154358486399</v>
      </c>
      <c r="K13">
        <v>8.0735614965970992</v>
      </c>
      <c r="L13">
        <v>3.3225341177121698E-5</v>
      </c>
      <c r="M13">
        <v>1.8030871375596471E-6</v>
      </c>
      <c r="N13" s="1">
        <v>-8.2121730218413601E-7</v>
      </c>
      <c r="O13" s="1">
        <v>6.6527274469644206E-11</v>
      </c>
      <c r="P13" s="1">
        <v>2.5280210758057E-9</v>
      </c>
      <c r="Q13">
        <v>64.619192624148198</v>
      </c>
      <c r="S13">
        <v>21.841561908969101</v>
      </c>
      <c r="AA13">
        <v>2.9415070167136599</v>
      </c>
      <c r="AB13">
        <v>8.9258230180572902</v>
      </c>
      <c r="AC13">
        <v>1.6719154321116101</v>
      </c>
      <c r="AJ13">
        <v>0.76607975153836705</v>
      </c>
      <c r="AK13">
        <v>0.13951033809352101</v>
      </c>
      <c r="AL13">
        <v>9.4409910368110597E-2</v>
      </c>
    </row>
    <row r="14" spans="1:38" x14ac:dyDescent="0.2">
      <c r="A14">
        <v>49</v>
      </c>
      <c r="B14">
        <v>738</v>
      </c>
      <c r="C14">
        <v>270</v>
      </c>
      <c r="D14">
        <v>0.29366612273154402</v>
      </c>
      <c r="E14">
        <v>26.876172995258202</v>
      </c>
      <c r="F14">
        <v>2.5256863065886201</v>
      </c>
      <c r="G14">
        <v>-422.46747924783239</v>
      </c>
      <c r="H14">
        <v>-366.89751757902769</v>
      </c>
      <c r="I14">
        <v>54.957189011328303</v>
      </c>
      <c r="J14">
        <v>31.993132739555801</v>
      </c>
      <c r="K14">
        <v>10.6411365992474</v>
      </c>
      <c r="L14">
        <v>2.8615117823430384E-5</v>
      </c>
      <c r="M14">
        <v>1.7901634845614513E-6</v>
      </c>
      <c r="N14" s="1">
        <v>-2.9626867957085501E-7</v>
      </c>
      <c r="O14" s="1">
        <v>1.0101563623876699E-10</v>
      </c>
      <c r="P14" s="1">
        <v>1.06796671058544E-9</v>
      </c>
      <c r="Q14">
        <v>65.885185811266993</v>
      </c>
      <c r="S14">
        <v>18.9567394327354</v>
      </c>
      <c r="AA14">
        <v>0.26609673262275102</v>
      </c>
      <c r="AB14">
        <v>4.1840837817541301</v>
      </c>
      <c r="AC14">
        <v>10.7078942416206</v>
      </c>
      <c r="AJ14">
        <v>0.36779470594219699</v>
      </c>
      <c r="AK14">
        <v>1.29257405307122E-2</v>
      </c>
      <c r="AL14">
        <v>0.61927955352708897</v>
      </c>
    </row>
    <row r="15" spans="1:38" x14ac:dyDescent="0.2">
      <c r="A15">
        <v>50</v>
      </c>
      <c r="B15">
        <v>736</v>
      </c>
      <c r="C15">
        <v>270</v>
      </c>
      <c r="D15">
        <v>0.29212753307238798</v>
      </c>
      <c r="E15">
        <v>31.4095884374067</v>
      </c>
      <c r="F15">
        <v>2.5257482010800998</v>
      </c>
      <c r="G15">
        <v>-493.57619085764827</v>
      </c>
      <c r="H15">
        <v>-428.83948519151295</v>
      </c>
      <c r="I15">
        <v>64.149735585527495</v>
      </c>
      <c r="J15">
        <v>37.408596864526103</v>
      </c>
      <c r="K15">
        <v>12.4357560361618</v>
      </c>
      <c r="L15">
        <v>2.8669173264657917E-5</v>
      </c>
      <c r="M15">
        <v>1.7904847443206873E-6</v>
      </c>
      <c r="N15" s="1">
        <v>-3.71194679913698E-7</v>
      </c>
      <c r="O15" s="1">
        <v>1.17869614694097E-10</v>
      </c>
      <c r="P15" s="1">
        <v>1.3189434234581699E-9</v>
      </c>
      <c r="Q15">
        <v>65.888090837539494</v>
      </c>
      <c r="S15">
        <v>18.951327108244499</v>
      </c>
      <c r="AA15">
        <v>0.26095366133355802</v>
      </c>
      <c r="AB15">
        <v>4.17636836473815</v>
      </c>
      <c r="AC15">
        <v>10.7232600281441</v>
      </c>
      <c r="AJ15">
        <v>0.36713095057093897</v>
      </c>
      <c r="AK15">
        <v>1.2676413180703699E-2</v>
      </c>
      <c r="AL15">
        <v>0.62019263624835597</v>
      </c>
    </row>
    <row r="16" spans="1:38" x14ac:dyDescent="0.2">
      <c r="A16">
        <v>51</v>
      </c>
      <c r="B16">
        <v>734</v>
      </c>
      <c r="C16">
        <v>270</v>
      </c>
      <c r="D16">
        <v>0.29058283274586499</v>
      </c>
      <c r="E16">
        <v>33.175259832449697</v>
      </c>
      <c r="F16">
        <v>2.5258083434830798</v>
      </c>
      <c r="G16">
        <v>-521.14511235857583</v>
      </c>
      <c r="H16">
        <v>-452.99038032845255</v>
      </c>
      <c r="I16">
        <v>67.670885200936596</v>
      </c>
      <c r="J16">
        <v>39.530960918399501</v>
      </c>
      <c r="K16">
        <v>13.1345119347816</v>
      </c>
      <c r="L16">
        <v>2.8720269507844233E-5</v>
      </c>
      <c r="M16">
        <v>1.7907252728699294E-6</v>
      </c>
      <c r="N16" s="1">
        <v>-4.19231404612148E-7</v>
      </c>
      <c r="O16" s="1">
        <v>1.2429951632852301E-10</v>
      </c>
      <c r="P16" s="1">
        <v>1.4699991616461699E-9</v>
      </c>
      <c r="Q16">
        <v>65.888144150535496</v>
      </c>
      <c r="S16">
        <v>18.9454683540913</v>
      </c>
      <c r="AA16">
        <v>0.25610768930955302</v>
      </c>
      <c r="AB16">
        <v>4.1611276841887603</v>
      </c>
      <c r="AC16">
        <v>10.749152121874699</v>
      </c>
      <c r="AJ16">
        <v>0.365819602332072</v>
      </c>
      <c r="AK16">
        <v>1.24419754224897E-2</v>
      </c>
      <c r="AL16">
        <v>0.62173842224543696</v>
      </c>
    </row>
    <row r="17" spans="1:38" x14ac:dyDescent="0.2">
      <c r="A17">
        <v>52</v>
      </c>
      <c r="B17">
        <v>732</v>
      </c>
      <c r="C17">
        <v>270</v>
      </c>
      <c r="D17">
        <v>0.28903198527583002</v>
      </c>
      <c r="E17">
        <v>34.143946705764897</v>
      </c>
      <c r="F17">
        <v>2.5258693186360799</v>
      </c>
      <c r="G17">
        <v>-536.17508325806659</v>
      </c>
      <c r="H17">
        <v>-466.25858524420488</v>
      </c>
      <c r="I17">
        <v>69.558272908383501</v>
      </c>
      <c r="J17">
        <v>40.7063549545963</v>
      </c>
      <c r="K17">
        <v>13.5177011945344</v>
      </c>
      <c r="L17">
        <v>2.8773297190000603E-5</v>
      </c>
      <c r="M17">
        <v>1.7909498541509865E-6</v>
      </c>
      <c r="N17" s="1">
        <v>-4.6089367186758802E-7</v>
      </c>
      <c r="O17" s="1">
        <v>1.2771779515837601E-10</v>
      </c>
      <c r="P17" s="1">
        <v>1.5960052141243301E-9</v>
      </c>
      <c r="Q17">
        <v>65.887322470834306</v>
      </c>
      <c r="S17">
        <v>18.939528473569698</v>
      </c>
      <c r="AA17">
        <v>0.25139895478490698</v>
      </c>
      <c r="AB17">
        <v>4.1437244460066696</v>
      </c>
      <c r="AC17">
        <v>10.778025654804299</v>
      </c>
      <c r="AJ17">
        <v>0.36432192621048198</v>
      </c>
      <c r="AK17">
        <v>1.2214303300162601E-2</v>
      </c>
      <c r="AL17">
        <v>0.62346377048935497</v>
      </c>
    </row>
    <row r="18" spans="1:38" x14ac:dyDescent="0.2">
      <c r="A18">
        <v>53</v>
      </c>
      <c r="B18">
        <v>730</v>
      </c>
      <c r="C18">
        <v>270</v>
      </c>
      <c r="D18">
        <v>0.28747495389523398</v>
      </c>
      <c r="E18">
        <v>34.758341488766398</v>
      </c>
      <c r="F18">
        <v>2.52593175078627</v>
      </c>
      <c r="G18">
        <v>-545.63099729074111</v>
      </c>
      <c r="H18">
        <v>-474.68902417418082</v>
      </c>
      <c r="I18">
        <v>70.719207612580604</v>
      </c>
      <c r="J18">
        <v>41.461932328983799</v>
      </c>
      <c r="K18">
        <v>13.7606019948665</v>
      </c>
      <c r="L18">
        <v>2.8829579241142283E-5</v>
      </c>
      <c r="M18">
        <v>1.7911741563904292E-6</v>
      </c>
      <c r="N18" s="1">
        <v>-5.0080076717189302E-7</v>
      </c>
      <c r="O18" s="1">
        <v>1.29789296208894E-10</v>
      </c>
      <c r="P18" s="1">
        <v>1.71378503329493E-9</v>
      </c>
      <c r="Q18">
        <v>65.886088821732798</v>
      </c>
      <c r="S18">
        <v>18.933592124029399</v>
      </c>
      <c r="AA18">
        <v>0.24678926078354299</v>
      </c>
      <c r="AB18">
        <v>4.12541241303144</v>
      </c>
      <c r="AC18">
        <v>10.808117380422701</v>
      </c>
      <c r="AJ18">
        <v>0.362745752069697</v>
      </c>
      <c r="AK18">
        <v>1.19914585829118E-2</v>
      </c>
      <c r="AL18">
        <v>0.62526278934738999</v>
      </c>
    </row>
    <row r="19" spans="1:38" x14ac:dyDescent="0.2">
      <c r="A19">
        <v>54</v>
      </c>
      <c r="B19">
        <v>728</v>
      </c>
      <c r="C19">
        <v>270</v>
      </c>
      <c r="D19">
        <v>0.28591170154322698</v>
      </c>
      <c r="E19">
        <v>35.180432036888</v>
      </c>
      <c r="F19">
        <v>2.5259958672904199</v>
      </c>
      <c r="G19">
        <v>-552.06163547172696</v>
      </c>
      <c r="H19">
        <v>-480.49366154893949</v>
      </c>
      <c r="I19">
        <v>71.485765292700904</v>
      </c>
      <c r="J19">
        <v>41.990657029104902</v>
      </c>
      <c r="K19">
        <v>13.9273513834467</v>
      </c>
      <c r="L19">
        <v>2.8889737791548027E-5</v>
      </c>
      <c r="M19">
        <v>1.791404164419067E-6</v>
      </c>
      <c r="N19" s="1">
        <v>-5.4063517391975196E-7</v>
      </c>
      <c r="O19" s="1">
        <v>1.31123383512088E-10</v>
      </c>
      <c r="P19" s="1">
        <v>1.8294455893217E-9</v>
      </c>
      <c r="Q19">
        <v>65.8846079522461</v>
      </c>
      <c r="S19">
        <v>18.927688721642699</v>
      </c>
      <c r="AA19">
        <v>0.24226443401849099</v>
      </c>
      <c r="AB19">
        <v>4.1066358379301304</v>
      </c>
      <c r="AC19">
        <v>10.838803054162399</v>
      </c>
      <c r="AJ19">
        <v>0.36112928626334201</v>
      </c>
      <c r="AK19">
        <v>1.1772724164952401E-2</v>
      </c>
      <c r="AL19">
        <v>0.62709798957170404</v>
      </c>
    </row>
    <row r="20" spans="1:38" x14ac:dyDescent="0.2">
      <c r="A20">
        <v>64</v>
      </c>
      <c r="B20">
        <v>742</v>
      </c>
      <c r="C20">
        <v>255</v>
      </c>
      <c r="D20">
        <v>0.31297887011771702</v>
      </c>
      <c r="E20">
        <v>2.6372873150374798</v>
      </c>
      <c r="F20">
        <v>2.52492910701047</v>
      </c>
      <c r="G20">
        <v>-41.500348842739093</v>
      </c>
      <c r="H20">
        <v>-36.011634286078142</v>
      </c>
      <c r="I20">
        <v>5.4068015137279604</v>
      </c>
      <c r="J20">
        <v>3.1366140943118799</v>
      </c>
      <c r="K20">
        <v>1.04449954959727</v>
      </c>
      <c r="L20">
        <v>2.8511732023262023E-5</v>
      </c>
      <c r="M20">
        <v>1.790669713187322E-6</v>
      </c>
      <c r="N20" s="1">
        <v>-2.5013773589863701E-8</v>
      </c>
      <c r="O20" s="1">
        <v>9.9412451074309107E-12</v>
      </c>
      <c r="P20" s="1">
        <v>9.3231728798677403E-11</v>
      </c>
      <c r="Q20">
        <v>65.883517683667407</v>
      </c>
      <c r="S20">
        <v>18.970945166692498</v>
      </c>
      <c r="AA20">
        <v>0.27820584336300802</v>
      </c>
      <c r="AB20">
        <v>4.2176086272797901</v>
      </c>
      <c r="AC20">
        <v>10.6497226789972</v>
      </c>
      <c r="AJ20">
        <v>0.37067831644160898</v>
      </c>
      <c r="AK20">
        <v>1.3511636182507499E-2</v>
      </c>
      <c r="AL20">
        <v>0.61581004737588296</v>
      </c>
    </row>
    <row r="21" spans="1:38" x14ac:dyDescent="0.2">
      <c r="A21">
        <v>65</v>
      </c>
      <c r="B21">
        <v>740</v>
      </c>
      <c r="C21">
        <v>255</v>
      </c>
      <c r="D21">
        <v>0.31148447909983901</v>
      </c>
      <c r="E21">
        <v>27.8476439788422</v>
      </c>
      <c r="F21">
        <v>2.5250053856615202</v>
      </c>
      <c r="G21">
        <v>-438.13551450130848</v>
      </c>
      <c r="H21">
        <v>-380.35188525972904</v>
      </c>
      <c r="I21">
        <v>57.033636916132203</v>
      </c>
      <c r="J21">
        <v>33.141675152334301</v>
      </c>
      <c r="K21">
        <v>11.0287463690088</v>
      </c>
      <c r="L21">
        <v>2.8586204774785352E-5</v>
      </c>
      <c r="M21">
        <v>1.7913575015044566E-6</v>
      </c>
      <c r="N21" s="1">
        <v>-2.8611466719495501E-7</v>
      </c>
      <c r="O21" s="1">
        <v>1.04788059714919E-10</v>
      </c>
      <c r="P21" s="1">
        <v>1.0473061265051899E-9</v>
      </c>
      <c r="Q21">
        <v>65.898434119989403</v>
      </c>
      <c r="S21">
        <v>18.967677504939999</v>
      </c>
      <c r="AA21">
        <v>0.27202944246403499</v>
      </c>
      <c r="AB21">
        <v>4.2422825057267497</v>
      </c>
      <c r="AC21">
        <v>10.6195764268797</v>
      </c>
      <c r="AJ21">
        <v>0.372800112998043</v>
      </c>
      <c r="AK21">
        <v>1.3210010140882199E-2</v>
      </c>
      <c r="AL21">
        <v>0.61398987686107298</v>
      </c>
    </row>
    <row r="22" spans="1:38" x14ac:dyDescent="0.2">
      <c r="A22">
        <v>66</v>
      </c>
      <c r="B22">
        <v>738</v>
      </c>
      <c r="C22">
        <v>255</v>
      </c>
      <c r="D22">
        <v>0.30998417643277698</v>
      </c>
      <c r="E22">
        <v>31.7486019509128</v>
      </c>
      <c r="F22">
        <v>2.5250606567120899</v>
      </c>
      <c r="G22">
        <v>-499.33835552007019</v>
      </c>
      <c r="H22">
        <v>-433.67252101725404</v>
      </c>
      <c r="I22">
        <v>64.941734166855696</v>
      </c>
      <c r="J22">
        <v>37.799461495668503</v>
      </c>
      <c r="K22">
        <v>12.573401698893401</v>
      </c>
      <c r="L22">
        <v>2.8629012100218766E-5</v>
      </c>
      <c r="M22">
        <v>1.7915676559082317E-6</v>
      </c>
      <c r="N22" s="1">
        <v>-3.48938399502413E-7</v>
      </c>
      <c r="O22" s="1">
        <v>1.1930517914007599E-10</v>
      </c>
      <c r="P22" s="1">
        <v>1.25866805361384E-9</v>
      </c>
      <c r="Q22">
        <v>65.898316495245993</v>
      </c>
      <c r="S22">
        <v>18.9616092652549</v>
      </c>
      <c r="AA22">
        <v>0.267050528715855</v>
      </c>
      <c r="AB22">
        <v>4.2261117060333202</v>
      </c>
      <c r="AC22">
        <v>10.6469120047499</v>
      </c>
      <c r="AJ22">
        <v>0.37140966088723698</v>
      </c>
      <c r="AK22">
        <v>1.2969297612881001E-2</v>
      </c>
      <c r="AL22">
        <v>0.61562104149988095</v>
      </c>
    </row>
    <row r="23" spans="1:38" x14ac:dyDescent="0.2">
      <c r="A23">
        <v>67</v>
      </c>
      <c r="B23">
        <v>736</v>
      </c>
      <c r="C23">
        <v>255</v>
      </c>
      <c r="D23">
        <v>0.308477926968244</v>
      </c>
      <c r="E23">
        <v>33.393240308514002</v>
      </c>
      <c r="F23">
        <v>2.5251164521311402</v>
      </c>
      <c r="G23">
        <v>-525.01906933386488</v>
      </c>
      <c r="H23">
        <v>-456.17563273317745</v>
      </c>
      <c r="I23">
        <v>68.219230640328405</v>
      </c>
      <c r="J23">
        <v>39.774396222552497</v>
      </c>
      <c r="K23">
        <v>13.224435760311399</v>
      </c>
      <c r="L23">
        <v>2.867317113762513E-5</v>
      </c>
      <c r="M23">
        <v>1.7917585899778506E-6</v>
      </c>
      <c r="N23" s="1">
        <v>-3.9222269748629002E-7</v>
      </c>
      <c r="O23" s="1">
        <v>1.25307008454935E-10</v>
      </c>
      <c r="P23" s="1">
        <v>1.3953701618767599E-9</v>
      </c>
      <c r="Q23">
        <v>65.897263510453897</v>
      </c>
      <c r="S23">
        <v>18.9554456854694</v>
      </c>
      <c r="AA23">
        <v>0.262211211888845</v>
      </c>
      <c r="AB23">
        <v>4.2076065601553001</v>
      </c>
      <c r="AC23">
        <v>10.6774730320325</v>
      </c>
      <c r="AJ23">
        <v>0.36981820108955898</v>
      </c>
      <c r="AK23">
        <v>1.27354767181999E-2</v>
      </c>
      <c r="AL23">
        <v>0.61744632219224005</v>
      </c>
    </row>
    <row r="24" spans="1:38" x14ac:dyDescent="0.2">
      <c r="A24">
        <v>68</v>
      </c>
      <c r="B24">
        <v>734</v>
      </c>
      <c r="C24">
        <v>255</v>
      </c>
      <c r="D24">
        <v>0.306965695278758</v>
      </c>
      <c r="E24">
        <v>34.321450007893098</v>
      </c>
      <c r="F24">
        <v>2.52517376854721</v>
      </c>
      <c r="G24">
        <v>-539.42032028449773</v>
      </c>
      <c r="H24">
        <v>-468.89364270775599</v>
      </c>
      <c r="I24">
        <v>70.025991735830601</v>
      </c>
      <c r="J24">
        <v>40.898721410787097</v>
      </c>
      <c r="K24">
        <v>13.5917180969446</v>
      </c>
      <c r="L24">
        <v>2.8720322181437141E-5</v>
      </c>
      <c r="M24">
        <v>1.7919508477356338E-6</v>
      </c>
      <c r="N24" s="1">
        <v>-4.3059282687333901E-7</v>
      </c>
      <c r="O24" s="1">
        <v>1.2859525676978201E-10</v>
      </c>
      <c r="P24" s="1">
        <v>1.5119003284113499E-9</v>
      </c>
      <c r="Q24">
        <v>65.895888539677401</v>
      </c>
      <c r="S24">
        <v>18.9493032957525</v>
      </c>
      <c r="AA24">
        <v>0.257464508112973</v>
      </c>
      <c r="AB24">
        <v>4.1884394382948997</v>
      </c>
      <c r="AC24">
        <v>10.7089042181621</v>
      </c>
      <c r="AJ24">
        <v>0.36816949224886097</v>
      </c>
      <c r="AK24">
        <v>1.25061524370173E-2</v>
      </c>
      <c r="AL24">
        <v>0.61932435531412</v>
      </c>
    </row>
    <row r="25" spans="1:38" x14ac:dyDescent="0.2">
      <c r="A25">
        <v>69</v>
      </c>
      <c r="B25">
        <v>732</v>
      </c>
      <c r="C25">
        <v>255</v>
      </c>
      <c r="D25">
        <v>0.30544744565487703</v>
      </c>
      <c r="E25">
        <v>34.919192204730003</v>
      </c>
      <c r="F25">
        <v>2.52523284797905</v>
      </c>
      <c r="G25">
        <v>-548.61887267395309</v>
      </c>
      <c r="H25">
        <v>-477.09821870458603</v>
      </c>
      <c r="I25">
        <v>71.154209788953906</v>
      </c>
      <c r="J25">
        <v>41.631752885011998</v>
      </c>
      <c r="K25">
        <v>13.8281078644592</v>
      </c>
      <c r="L25">
        <v>2.8771039095690985E-5</v>
      </c>
      <c r="M25">
        <v>1.7921499405668654E-6</v>
      </c>
      <c r="N25" s="1">
        <v>-4.67730563895254E-7</v>
      </c>
      <c r="O25" s="1">
        <v>1.30623976463476E-10</v>
      </c>
      <c r="P25" s="1">
        <v>1.62193763484309E-9</v>
      </c>
      <c r="Q25">
        <v>65.894342246528794</v>
      </c>
      <c r="S25">
        <v>18.943209738688399</v>
      </c>
      <c r="AA25">
        <v>0.25279806750911998</v>
      </c>
      <c r="AB25">
        <v>4.1690185548621699</v>
      </c>
      <c r="AC25">
        <v>10.7406313924114</v>
      </c>
      <c r="AJ25">
        <v>0.36649862591001497</v>
      </c>
      <c r="AK25">
        <v>1.2280698314984099E-2</v>
      </c>
      <c r="AL25">
        <v>0.62122067577499995</v>
      </c>
    </row>
    <row r="26" spans="1:38" x14ac:dyDescent="0.2">
      <c r="A26">
        <v>70</v>
      </c>
      <c r="B26">
        <v>730</v>
      </c>
      <c r="C26">
        <v>255</v>
      </c>
      <c r="D26">
        <v>0.30392314210237997</v>
      </c>
      <c r="E26">
        <v>35.333750100029697</v>
      </c>
      <c r="F26">
        <v>2.5252937743411699</v>
      </c>
      <c r="G26">
        <v>-554.93376022887276</v>
      </c>
      <c r="H26">
        <v>-482.80100975906299</v>
      </c>
      <c r="I26">
        <v>71.9062457955539</v>
      </c>
      <c r="J26">
        <v>42.148827502195502</v>
      </c>
      <c r="K26">
        <v>13.991936486378799</v>
      </c>
      <c r="L26">
        <v>2.8825674333022523E-5</v>
      </c>
      <c r="M26">
        <v>1.7923582025015242E-6</v>
      </c>
      <c r="N26" s="1">
        <v>-5.0505284809048101E-7</v>
      </c>
      <c r="O26" s="1">
        <v>1.31948050473965E-10</v>
      </c>
      <c r="P26" s="1">
        <v>1.7307130124904899E-9</v>
      </c>
      <c r="Q26">
        <v>65.892677148383399</v>
      </c>
      <c r="S26">
        <v>18.9371738784717</v>
      </c>
      <c r="AA26">
        <v>0.24820694891697401</v>
      </c>
      <c r="AB26">
        <v>4.1494841806509397</v>
      </c>
      <c r="AC26">
        <v>10.772457843576801</v>
      </c>
      <c r="AJ26">
        <v>0.36481766107608299</v>
      </c>
      <c r="AK26">
        <v>1.2058865959957E-2</v>
      </c>
      <c r="AL26">
        <v>0.62312347296395898</v>
      </c>
    </row>
    <row r="27" spans="1:38" x14ac:dyDescent="0.2">
      <c r="A27">
        <v>79</v>
      </c>
      <c r="B27">
        <v>744</v>
      </c>
      <c r="C27">
        <v>240</v>
      </c>
      <c r="D27">
        <v>0.33068918055350899</v>
      </c>
      <c r="E27">
        <v>15.478146080742301</v>
      </c>
      <c r="F27">
        <v>2.5242817635033199</v>
      </c>
      <c r="G27">
        <v>-243.82809865127621</v>
      </c>
      <c r="H27">
        <v>-211.49337627106684</v>
      </c>
      <c r="I27">
        <v>31.7895319079873</v>
      </c>
      <c r="J27">
        <v>18.410897688905099</v>
      </c>
      <c r="K27">
        <v>6.1317030073778103</v>
      </c>
      <c r="L27">
        <v>2.8524472895488207E-5</v>
      </c>
      <c r="M27">
        <v>1.7923677603461198E-6</v>
      </c>
      <c r="N27" s="1">
        <v>-1.3845548556517801E-7</v>
      </c>
      <c r="O27" s="1">
        <v>5.8372257713318095E-11</v>
      </c>
      <c r="P27" s="1">
        <v>5.2347547820218701E-10</v>
      </c>
      <c r="Q27">
        <v>65.911515896185804</v>
      </c>
      <c r="S27">
        <v>18.985035932811101</v>
      </c>
      <c r="AA27">
        <v>0.28329786955771802</v>
      </c>
      <c r="AB27">
        <v>4.3169419179775099</v>
      </c>
      <c r="AC27">
        <v>10.503208383467699</v>
      </c>
      <c r="AJ27">
        <v>0.37921685838492702</v>
      </c>
      <c r="AK27">
        <v>1.37519894148041E-2</v>
      </c>
      <c r="AL27">
        <v>0.60703115220026704</v>
      </c>
    </row>
    <row r="28" spans="1:38" x14ac:dyDescent="0.2">
      <c r="A28">
        <v>80</v>
      </c>
      <c r="B28">
        <v>742</v>
      </c>
      <c r="C28">
        <v>240</v>
      </c>
      <c r="D28">
        <v>0.32923262572033701</v>
      </c>
      <c r="E28">
        <v>28.824752704176301</v>
      </c>
      <c r="F28">
        <v>2.52432969399436</v>
      </c>
      <c r="G28">
        <v>-453.91371825301314</v>
      </c>
      <c r="H28">
        <v>-393.89146428668602</v>
      </c>
      <c r="I28">
        <v>59.126487678005198</v>
      </c>
      <c r="J28">
        <v>34.2968609340803</v>
      </c>
      <c r="K28">
        <v>11.4187749614296</v>
      </c>
      <c r="L28">
        <v>2.8557647305807355E-5</v>
      </c>
      <c r="M28">
        <v>1.7925164296411611E-6</v>
      </c>
      <c r="N28" s="1">
        <v>-2.7564676465130002E-7</v>
      </c>
      <c r="O28" s="1">
        <v>1.08583850873926E-10</v>
      </c>
      <c r="P28" s="1">
        <v>1.0256467320967599E-9</v>
      </c>
      <c r="Q28">
        <v>65.910194544482707</v>
      </c>
      <c r="S28">
        <v>18.9785352545012</v>
      </c>
      <c r="AA28">
        <v>0.27824306274632399</v>
      </c>
      <c r="AB28">
        <v>4.2969549832198899</v>
      </c>
      <c r="AC28">
        <v>10.5360721550497</v>
      </c>
      <c r="AJ28">
        <v>0.377499538050379</v>
      </c>
      <c r="AK28">
        <v>1.35079907993695E-2</v>
      </c>
      <c r="AL28">
        <v>0.60899247115025101</v>
      </c>
    </row>
    <row r="29" spans="1:38" x14ac:dyDescent="0.2">
      <c r="A29">
        <v>81</v>
      </c>
      <c r="B29">
        <v>740</v>
      </c>
      <c r="C29">
        <v>240</v>
      </c>
      <c r="D29">
        <v>0.32777032028821201</v>
      </c>
      <c r="E29">
        <v>32.132018659916298</v>
      </c>
      <c r="F29">
        <v>2.5243780864224399</v>
      </c>
      <c r="G29">
        <v>-505.80647955858495</v>
      </c>
      <c r="H29">
        <v>-439.11478460660015</v>
      </c>
      <c r="I29">
        <v>65.826081974026295</v>
      </c>
      <c r="J29">
        <v>38.244255368855796</v>
      </c>
      <c r="K29">
        <v>12.7286870507792</v>
      </c>
      <c r="L29">
        <v>2.8591658893696868E-5</v>
      </c>
      <c r="M29">
        <v>1.792643750164632E-6</v>
      </c>
      <c r="N29" s="1">
        <v>-3.2818074588626102E-7</v>
      </c>
      <c r="O29" s="1">
        <v>1.2089973076125199E-10</v>
      </c>
      <c r="P29" s="1">
        <v>1.2028434980382099E-9</v>
      </c>
      <c r="Q29">
        <v>65.907910590973302</v>
      </c>
      <c r="S29">
        <v>18.9719365996962</v>
      </c>
      <c r="AA29">
        <v>0.27333203429511299</v>
      </c>
      <c r="AB29">
        <v>4.2745660838298596</v>
      </c>
      <c r="AC29">
        <v>10.5722546912054</v>
      </c>
      <c r="AJ29">
        <v>0.37557541448791998</v>
      </c>
      <c r="AK29">
        <v>1.3271085391669799E-2</v>
      </c>
      <c r="AL29">
        <v>0.61115350012040903</v>
      </c>
    </row>
    <row r="30" spans="1:38" x14ac:dyDescent="0.2">
      <c r="A30">
        <v>82</v>
      </c>
      <c r="B30">
        <v>738</v>
      </c>
      <c r="C30">
        <v>240</v>
      </c>
      <c r="D30">
        <v>0.326302230134007</v>
      </c>
      <c r="E30">
        <v>33.6427314112224</v>
      </c>
      <c r="F30">
        <v>2.52442925054602</v>
      </c>
      <c r="G30">
        <v>-529.39345574964454</v>
      </c>
      <c r="H30">
        <v>-459.79314319708647</v>
      </c>
      <c r="I30">
        <v>68.832826536674204</v>
      </c>
      <c r="J30">
        <v>40.056866807726898</v>
      </c>
      <c r="K30">
        <v>13.326866420972401</v>
      </c>
      <c r="L30">
        <v>2.8629703095300639E-5</v>
      </c>
      <c r="M30">
        <v>1.7927923282424616E-6</v>
      </c>
      <c r="N30" s="1">
        <v>-3.67026826083694E-7</v>
      </c>
      <c r="O30" s="1">
        <v>1.2642169945657699E-10</v>
      </c>
      <c r="P30" s="1">
        <v>1.32594048461399E-9</v>
      </c>
      <c r="Q30">
        <v>65.905953665737798</v>
      </c>
      <c r="S30">
        <v>18.965490500017999</v>
      </c>
      <c r="AA30">
        <v>0.26847055780866202</v>
      </c>
      <c r="AB30">
        <v>4.2533058925122997</v>
      </c>
      <c r="AC30">
        <v>10.606779383923101</v>
      </c>
      <c r="AJ30">
        <v>0.37374788874692999</v>
      </c>
      <c r="AK30">
        <v>1.30364572790534E-2</v>
      </c>
      <c r="AL30">
        <v>0.61321565397401601</v>
      </c>
    </row>
    <row r="31" spans="1:38" x14ac:dyDescent="0.2">
      <c r="A31">
        <v>83</v>
      </c>
      <c r="B31">
        <v>736</v>
      </c>
      <c r="C31">
        <v>240</v>
      </c>
      <c r="D31">
        <v>0.32482832086409602</v>
      </c>
      <c r="E31">
        <v>34.521942599559601</v>
      </c>
      <c r="F31">
        <v>2.5244827221907902</v>
      </c>
      <c r="G31">
        <v>-543.03103575277646</v>
      </c>
      <c r="H31">
        <v>-471.8443096367169</v>
      </c>
      <c r="I31">
        <v>70.541273463864997</v>
      </c>
      <c r="J31">
        <v>41.1202598956014</v>
      </c>
      <c r="K31">
        <v>13.6748579406401</v>
      </c>
      <c r="L31">
        <v>2.8671490596628382E-5</v>
      </c>
      <c r="M31">
        <v>1.7929556245802563E-6</v>
      </c>
      <c r="N31" s="1">
        <v>-4.02242562281784E-7</v>
      </c>
      <c r="O31" s="1">
        <v>1.2954629455253101E-10</v>
      </c>
      <c r="P31" s="1">
        <v>1.4332733063479E-9</v>
      </c>
      <c r="Q31">
        <v>65.904106318055398</v>
      </c>
      <c r="S31">
        <v>18.9591515828693</v>
      </c>
      <c r="AA31">
        <v>0.26367193958252499</v>
      </c>
      <c r="AB31">
        <v>4.2325708818320704</v>
      </c>
      <c r="AC31">
        <v>10.640499277660499</v>
      </c>
      <c r="AJ31">
        <v>0.37196512682754201</v>
      </c>
      <c r="AK31">
        <v>1.2804796751015901E-2</v>
      </c>
      <c r="AL31">
        <v>0.61523007642144101</v>
      </c>
    </row>
    <row r="32" spans="1:38" x14ac:dyDescent="0.2">
      <c r="A32">
        <v>84</v>
      </c>
      <c r="B32">
        <v>734</v>
      </c>
      <c r="C32">
        <v>240</v>
      </c>
      <c r="D32">
        <v>0.32334855781164801</v>
      </c>
      <c r="E32">
        <v>35.0977190883346</v>
      </c>
      <c r="F32">
        <v>2.5245383269927402</v>
      </c>
      <c r="G32">
        <v>-551.88828030363095</v>
      </c>
      <c r="H32">
        <v>-479.75036064589847</v>
      </c>
      <c r="I32">
        <v>71.625795221895999</v>
      </c>
      <c r="J32">
        <v>41.824635771010797</v>
      </c>
      <c r="K32">
        <v>13.902628735347101</v>
      </c>
      <c r="L32">
        <v>2.8717053689472288E-5</v>
      </c>
      <c r="M32">
        <v>1.7931316113966531E-6</v>
      </c>
      <c r="N32" s="1">
        <v>-4.3668332537897202E-7</v>
      </c>
      <c r="O32" s="1">
        <v>1.3151148461506201E-10</v>
      </c>
      <c r="P32" s="1">
        <v>1.5356824334481099E-9</v>
      </c>
      <c r="Q32">
        <v>65.902288532085805</v>
      </c>
      <c r="S32">
        <v>18.952902330512799</v>
      </c>
      <c r="AA32">
        <v>0.25894039790645501</v>
      </c>
      <c r="AB32">
        <v>4.2121368157538202</v>
      </c>
      <c r="AC32">
        <v>10.673731923741</v>
      </c>
      <c r="AJ32">
        <v>0.370207871282065</v>
      </c>
      <c r="AK32">
        <v>1.25763258278571E-2</v>
      </c>
      <c r="AL32">
        <v>0.61721580289007705</v>
      </c>
    </row>
    <row r="33" spans="1:38" x14ac:dyDescent="0.2">
      <c r="A33">
        <v>85</v>
      </c>
      <c r="B33">
        <v>732</v>
      </c>
      <c r="C33">
        <v>240</v>
      </c>
      <c r="D33">
        <v>0.32186290603392398</v>
      </c>
      <c r="E33">
        <v>35.5012654158689</v>
      </c>
      <c r="F33">
        <v>2.52459598296437</v>
      </c>
      <c r="G33">
        <v>-558.03252917189263</v>
      </c>
      <c r="H33">
        <v>-485.30375617035503</v>
      </c>
      <c r="I33">
        <v>72.3561388862733</v>
      </c>
      <c r="J33">
        <v>42.326102036166397</v>
      </c>
      <c r="K33">
        <v>14.062157135409601</v>
      </c>
      <c r="L33">
        <v>2.8766531673706016E-5</v>
      </c>
      <c r="M33">
        <v>1.7933196926893996E-6</v>
      </c>
      <c r="N33" s="1">
        <v>-4.71516149152562E-7</v>
      </c>
      <c r="O33" s="1">
        <v>1.32812280915483E-10</v>
      </c>
      <c r="P33" s="1">
        <v>1.6375550442561599E-9</v>
      </c>
      <c r="Q33">
        <v>65.900463440942801</v>
      </c>
      <c r="S33">
        <v>18.946734009275001</v>
      </c>
      <c r="AA33">
        <v>0.25427732979425799</v>
      </c>
      <c r="AB33">
        <v>4.1918986419376596</v>
      </c>
      <c r="AC33">
        <v>10.7066265780502</v>
      </c>
      <c r="AJ33">
        <v>0.36846710102845698</v>
      </c>
      <c r="AK33">
        <v>1.2351121015588599E-2</v>
      </c>
      <c r="AL33">
        <v>0.61918177795595297</v>
      </c>
    </row>
    <row r="34" spans="1:38" x14ac:dyDescent="0.2">
      <c r="A34">
        <v>93</v>
      </c>
      <c r="B34">
        <v>746</v>
      </c>
      <c r="C34">
        <v>225</v>
      </c>
      <c r="D34">
        <v>0.34832998086640898</v>
      </c>
      <c r="E34">
        <v>21.372664992685301</v>
      </c>
      <c r="F34">
        <v>2.5236257180155199</v>
      </c>
      <c r="G34">
        <v>-337.00226168046794</v>
      </c>
      <c r="H34">
        <v>-292.19391428702187</v>
      </c>
      <c r="I34">
        <v>43.9663910056871</v>
      </c>
      <c r="J34">
        <v>25.420311524824399</v>
      </c>
      <c r="K34">
        <v>8.4690312196897093</v>
      </c>
      <c r="L34">
        <v>2.8511568803134996E-5</v>
      </c>
      <c r="M34">
        <v>1.7936765992289649E-6</v>
      </c>
      <c r="N34" s="1">
        <v>-1.7847142695878999E-7</v>
      </c>
      <c r="O34" s="1">
        <v>8.0664925223802596E-11</v>
      </c>
      <c r="P34" s="1">
        <v>6.8651991730152796E-10</v>
      </c>
      <c r="Q34">
        <v>65.927130057166494</v>
      </c>
      <c r="S34">
        <v>18.997013775013102</v>
      </c>
      <c r="AA34">
        <v>0.28953636101208402</v>
      </c>
      <c r="AB34">
        <v>4.38313870908339</v>
      </c>
      <c r="AC34">
        <v>10.403181097724699</v>
      </c>
      <c r="AJ34">
        <v>0.38490222297944998</v>
      </c>
      <c r="AK34">
        <v>1.4050090020818799E-2</v>
      </c>
      <c r="AL34">
        <v>0.60104768699972999</v>
      </c>
    </row>
    <row r="35" spans="1:38" x14ac:dyDescent="0.2">
      <c r="A35">
        <v>94</v>
      </c>
      <c r="B35">
        <v>744</v>
      </c>
      <c r="C35">
        <v>225</v>
      </c>
      <c r="D35">
        <v>0.34691097674876298</v>
      </c>
      <c r="E35">
        <v>29.837673271247301</v>
      </c>
      <c r="F35">
        <v>2.5236582112288599</v>
      </c>
      <c r="G35">
        <v>-470.27748699859592</v>
      </c>
      <c r="H35">
        <v>-407.92852987621865</v>
      </c>
      <c r="I35">
        <v>61.297701540949902</v>
      </c>
      <c r="J35">
        <v>35.4946419714813</v>
      </c>
      <c r="K35">
        <v>11.8231831626352</v>
      </c>
      <c r="L35">
        <v>2.8529515110402067E-5</v>
      </c>
      <c r="M35">
        <v>1.7936416183899113E-6</v>
      </c>
      <c r="N35" s="1">
        <v>-2.6523119637669402E-7</v>
      </c>
      <c r="O35" s="1">
        <v>1.1251604729971399E-10</v>
      </c>
      <c r="P35" s="1">
        <v>1.00429172267536E-9</v>
      </c>
      <c r="Q35">
        <v>65.920533860645307</v>
      </c>
      <c r="S35">
        <v>18.989304047051199</v>
      </c>
      <c r="AA35">
        <v>0.28471488878465101</v>
      </c>
      <c r="AB35">
        <v>4.3482273846247201</v>
      </c>
      <c r="AC35">
        <v>10.457219818893901</v>
      </c>
      <c r="AJ35">
        <v>0.38190432580215</v>
      </c>
      <c r="AK35">
        <v>1.3818576262958E-2</v>
      </c>
      <c r="AL35">
        <v>0.60427709793489104</v>
      </c>
    </row>
    <row r="36" spans="1:38" x14ac:dyDescent="0.2">
      <c r="A36">
        <v>95</v>
      </c>
      <c r="B36">
        <v>742</v>
      </c>
      <c r="C36">
        <v>225</v>
      </c>
      <c r="D36">
        <v>0.345486381322956</v>
      </c>
      <c r="E36">
        <v>32.579067218562699</v>
      </c>
      <c r="F36">
        <v>2.5237000089352799</v>
      </c>
      <c r="G36">
        <v>-513.2849154925924</v>
      </c>
      <c r="H36">
        <v>-445.42967705944119</v>
      </c>
      <c r="I36">
        <v>66.842573445452501</v>
      </c>
      <c r="J36">
        <v>38.765736950555201</v>
      </c>
      <c r="K36">
        <v>12.9092471780381</v>
      </c>
      <c r="L36">
        <v>2.8556801826433245E-5</v>
      </c>
      <c r="M36">
        <v>1.7937107562921653E-6</v>
      </c>
      <c r="N36" s="1">
        <v>-3.0898700599278302E-7</v>
      </c>
      <c r="O36" s="1">
        <v>1.2272644740118399E-10</v>
      </c>
      <c r="P36" s="1">
        <v>1.1518397847883001E-9</v>
      </c>
      <c r="Q36">
        <v>65.916826809378307</v>
      </c>
      <c r="S36">
        <v>18.982293068352199</v>
      </c>
      <c r="AA36">
        <v>0.27979574930580697</v>
      </c>
      <c r="AB36">
        <v>4.32158622749155</v>
      </c>
      <c r="AC36">
        <v>10.4994981454719</v>
      </c>
      <c r="AJ36">
        <v>0.37961589639133497</v>
      </c>
      <c r="AK36">
        <v>1.3581668000658799E-2</v>
      </c>
      <c r="AL36">
        <v>0.60680243560800495</v>
      </c>
    </row>
    <row r="37" spans="1:38" x14ac:dyDescent="0.2">
      <c r="A37">
        <v>96</v>
      </c>
      <c r="B37">
        <v>740</v>
      </c>
      <c r="C37">
        <v>225</v>
      </c>
      <c r="D37">
        <v>0.34405616147658602</v>
      </c>
      <c r="E37">
        <v>33.937512541043198</v>
      </c>
      <c r="F37">
        <v>2.52374644121412</v>
      </c>
      <c r="G37">
        <v>-534.48627591152353</v>
      </c>
      <c r="H37">
        <v>-464.03167046657973</v>
      </c>
      <c r="I37">
        <v>69.540152440353097</v>
      </c>
      <c r="J37">
        <v>40.394632574531499</v>
      </c>
      <c r="K37">
        <v>13.4472750458705</v>
      </c>
      <c r="L37">
        <v>2.8589535374295721E-5</v>
      </c>
      <c r="M37">
        <v>1.7938245362596119E-6</v>
      </c>
      <c r="N37" s="1">
        <v>-3.4367138566499397E-7</v>
      </c>
      <c r="O37" s="1">
        <v>1.2769611231462599E-10</v>
      </c>
      <c r="P37" s="1">
        <v>1.2619361835901701E-9</v>
      </c>
      <c r="Q37">
        <v>65.914179029491905</v>
      </c>
      <c r="S37">
        <v>18.9755922313153</v>
      </c>
      <c r="AA37">
        <v>0.27488531337830702</v>
      </c>
      <c r="AB37">
        <v>4.2981186765225301</v>
      </c>
      <c r="AC37">
        <v>10.537224749291701</v>
      </c>
      <c r="AJ37">
        <v>0.377599564955445</v>
      </c>
      <c r="AK37">
        <v>1.33449026424732E-2</v>
      </c>
      <c r="AL37">
        <v>0.60905553240208099</v>
      </c>
    </row>
    <row r="38" spans="1:38" x14ac:dyDescent="0.2">
      <c r="A38">
        <v>97</v>
      </c>
      <c r="B38">
        <v>738</v>
      </c>
      <c r="C38">
        <v>225</v>
      </c>
      <c r="D38">
        <v>0.34262028383523802</v>
      </c>
      <c r="E38">
        <v>34.755582101596502</v>
      </c>
      <c r="F38">
        <v>2.5237959605675999</v>
      </c>
      <c r="G38">
        <v>-547.1678655452489</v>
      </c>
      <c r="H38">
        <v>-475.24973598833827</v>
      </c>
      <c r="I38">
        <v>71.125084860713699</v>
      </c>
      <c r="J38">
        <v>41.3829197787948</v>
      </c>
      <c r="K38">
        <v>13.7711537083925</v>
      </c>
      <c r="L38">
        <v>2.8626472231628537E-5</v>
      </c>
      <c r="M38">
        <v>1.7939625354061646E-6</v>
      </c>
      <c r="N38" s="1">
        <v>-3.7586496401513202E-7</v>
      </c>
      <c r="O38" s="1">
        <v>1.3060953090491701E-10</v>
      </c>
      <c r="P38" s="1">
        <v>1.3603118486288801E-9</v>
      </c>
      <c r="Q38">
        <v>65.911950425434298</v>
      </c>
      <c r="S38">
        <v>18.969065998313599</v>
      </c>
      <c r="AA38">
        <v>0.27002111861843597</v>
      </c>
      <c r="AB38">
        <v>4.2760429835908003</v>
      </c>
      <c r="AC38">
        <v>10.572919474042701</v>
      </c>
      <c r="AJ38">
        <v>0.37570238419389801</v>
      </c>
      <c r="AK38">
        <v>1.31102330342108E-2</v>
      </c>
      <c r="AL38">
        <v>0.61118738277189</v>
      </c>
    </row>
    <row r="39" spans="1:38" x14ac:dyDescent="0.2">
      <c r="A39">
        <v>98</v>
      </c>
      <c r="B39">
        <v>736</v>
      </c>
      <c r="C39">
        <v>225</v>
      </c>
      <c r="D39">
        <v>0.34117871475994799</v>
      </c>
      <c r="E39">
        <v>35.3016859084793</v>
      </c>
      <c r="F39">
        <v>2.5238480085625699</v>
      </c>
      <c r="G39">
        <v>-555.5619583111187</v>
      </c>
      <c r="H39">
        <v>-482.75181473077021</v>
      </c>
      <c r="I39">
        <v>72.149971342563902</v>
      </c>
      <c r="J39">
        <v>42.049683466818301</v>
      </c>
      <c r="K39">
        <v>13.987247167306601</v>
      </c>
      <c r="L39">
        <v>2.8667294373615428E-5</v>
      </c>
      <c r="M39">
        <v>1.7941177214543867E-6</v>
      </c>
      <c r="N39" s="1">
        <v>-4.07694581937174E-7</v>
      </c>
      <c r="O39" s="1">
        <v>1.3248110003311199E-10</v>
      </c>
      <c r="P39" s="1">
        <v>1.4552328690083301E-9</v>
      </c>
      <c r="Q39">
        <v>65.9099090841367</v>
      </c>
      <c r="S39">
        <v>18.962664449126699</v>
      </c>
      <c r="AA39">
        <v>0.26521609407755797</v>
      </c>
      <c r="AB39">
        <v>4.2547114705100002</v>
      </c>
      <c r="AC39">
        <v>10.6074989021488</v>
      </c>
      <c r="AJ39">
        <v>0.373868753804243</v>
      </c>
      <c r="AK39">
        <v>1.28783350975456E-2</v>
      </c>
      <c r="AL39">
        <v>0.61325291109821001</v>
      </c>
    </row>
    <row r="40" spans="1:38" x14ac:dyDescent="0.2">
      <c r="A40">
        <v>99</v>
      </c>
      <c r="B40">
        <v>734</v>
      </c>
      <c r="C40">
        <v>225</v>
      </c>
      <c r="D40">
        <v>0.33973142034453802</v>
      </c>
      <c r="E40">
        <v>35.689101185762702</v>
      </c>
      <c r="F40">
        <v>2.5239023362771098</v>
      </c>
      <c r="G40">
        <v>-561.45471882889524</v>
      </c>
      <c r="H40">
        <v>-488.08579843625034</v>
      </c>
      <c r="I40">
        <v>72.848056786620603</v>
      </c>
      <c r="J40">
        <v>42.529634329661597</v>
      </c>
      <c r="K40">
        <v>14.140444609439999</v>
      </c>
      <c r="L40">
        <v>2.8711985207012082E-5</v>
      </c>
      <c r="M40">
        <v>1.7942873305178646E-6</v>
      </c>
      <c r="N40" s="1">
        <v>-4.4009106994506698E-7</v>
      </c>
      <c r="O40" s="1">
        <v>1.3373876249451901E-10</v>
      </c>
      <c r="P40" s="1">
        <v>1.55026585619498E-9</v>
      </c>
      <c r="Q40">
        <v>65.907952712788102</v>
      </c>
      <c r="S40">
        <v>18.956364829689299</v>
      </c>
      <c r="AA40">
        <v>0.26047533604761602</v>
      </c>
      <c r="AB40">
        <v>4.2338365304942798</v>
      </c>
      <c r="AC40">
        <v>10.6413705909806</v>
      </c>
      <c r="AJ40">
        <v>0.37207398452875701</v>
      </c>
      <c r="AK40">
        <v>1.2649478367854201E-2</v>
      </c>
      <c r="AL40">
        <v>0.61527653710338803</v>
      </c>
    </row>
    <row r="41" spans="1:38" x14ac:dyDescent="0.2">
      <c r="A41">
        <v>106</v>
      </c>
      <c r="B41">
        <v>748</v>
      </c>
      <c r="C41">
        <v>210</v>
      </c>
      <c r="D41">
        <v>0.36590167947901903</v>
      </c>
      <c r="E41">
        <v>25.4035275345659</v>
      </c>
      <c r="F41">
        <v>2.52296630971356</v>
      </c>
      <c r="G41">
        <v>-400.91482017386835</v>
      </c>
      <c r="H41">
        <v>-347.46992385016313</v>
      </c>
      <c r="I41">
        <v>52.337948708520003</v>
      </c>
      <c r="J41">
        <v>30.210411490720499</v>
      </c>
      <c r="K41">
        <v>10.0689127067455</v>
      </c>
      <c r="L41">
        <v>2.849006111679325E-5</v>
      </c>
      <c r="M41">
        <v>1.7948274590936905E-6</v>
      </c>
      <c r="N41" s="1">
        <v>-1.9715869509896E-7</v>
      </c>
      <c r="O41" s="1">
        <v>9.5959474840681703E-11</v>
      </c>
      <c r="P41" s="1">
        <v>7.7308500768231196E-10</v>
      </c>
      <c r="Q41">
        <v>65.937550438398205</v>
      </c>
      <c r="S41">
        <v>19.008156269034501</v>
      </c>
      <c r="AA41">
        <v>0.29629757916501798</v>
      </c>
      <c r="AB41">
        <v>4.4355714666396704</v>
      </c>
      <c r="AC41">
        <v>10.3224242467625</v>
      </c>
      <c r="AJ41">
        <v>0.38940272092922801</v>
      </c>
      <c r="AK41">
        <v>1.4374352614829399E-2</v>
      </c>
      <c r="AL41">
        <v>0.59622292645594199</v>
      </c>
    </row>
    <row r="42" spans="1:38" x14ac:dyDescent="0.2">
      <c r="A42">
        <v>107</v>
      </c>
      <c r="B42">
        <v>746</v>
      </c>
      <c r="C42">
        <v>210</v>
      </c>
      <c r="D42">
        <v>0.36451994308983099</v>
      </c>
      <c r="E42">
        <v>30.889937064813399</v>
      </c>
      <c r="F42">
        <v>2.5229898700978999</v>
      </c>
      <c r="G42">
        <v>-487.28326896787189</v>
      </c>
      <c r="H42">
        <v>-422.51145290938103</v>
      </c>
      <c r="I42">
        <v>63.5547427351134</v>
      </c>
      <c r="J42">
        <v>36.739209324056702</v>
      </c>
      <c r="K42">
        <v>12.2433852909662</v>
      </c>
      <c r="L42">
        <v>2.8501726151101621E-5</v>
      </c>
      <c r="M42">
        <v>1.7947325321945592E-6</v>
      </c>
      <c r="N42" s="1">
        <v>-2.5490820752505498E-7</v>
      </c>
      <c r="O42" s="1">
        <v>1.16597910476298E-10</v>
      </c>
      <c r="P42" s="1">
        <v>9.8339174730400496E-10</v>
      </c>
      <c r="Q42">
        <v>65.9294617365574</v>
      </c>
      <c r="S42">
        <v>18.999963024476301</v>
      </c>
      <c r="AA42">
        <v>0.29142545650734097</v>
      </c>
      <c r="AB42">
        <v>4.3960665724827699</v>
      </c>
      <c r="AC42">
        <v>10.383083209976</v>
      </c>
      <c r="AJ42">
        <v>0.38601209048351998</v>
      </c>
      <c r="AK42">
        <v>1.4140830702478201E-2</v>
      </c>
      <c r="AL42">
        <v>0.59984707881400001</v>
      </c>
    </row>
    <row r="43" spans="1:38" x14ac:dyDescent="0.2">
      <c r="A43">
        <v>108</v>
      </c>
      <c r="B43">
        <v>744</v>
      </c>
      <c r="C43">
        <v>210</v>
      </c>
      <c r="D43">
        <v>0.36313277294401303</v>
      </c>
      <c r="E43">
        <v>33.100466490091797</v>
      </c>
      <c r="F43">
        <v>2.5230258046715401</v>
      </c>
      <c r="G43">
        <v>-521.94457894328286</v>
      </c>
      <c r="H43">
        <v>-452.7644411403794</v>
      </c>
      <c r="I43">
        <v>68.013702799885394</v>
      </c>
      <c r="J43">
        <v>39.376499420502697</v>
      </c>
      <c r="K43">
        <v>13.1193531309922</v>
      </c>
      <c r="L43">
        <v>2.8524050183902393E-5</v>
      </c>
      <c r="M43">
        <v>1.79476515691564E-6</v>
      </c>
      <c r="N43" s="1">
        <v>-2.91284811344521E-7</v>
      </c>
      <c r="O43" s="1">
        <v>1.2482693326647301E-10</v>
      </c>
      <c r="P43" s="1">
        <v>1.10555836291175E-9</v>
      </c>
      <c r="Q43">
        <v>65.924981073940401</v>
      </c>
      <c r="S43">
        <v>18.992652910313399</v>
      </c>
      <c r="AA43">
        <v>0.28644003884045399</v>
      </c>
      <c r="AB43">
        <v>4.3669172414265498</v>
      </c>
      <c r="AC43">
        <v>10.429008735479</v>
      </c>
      <c r="AJ43">
        <v>0.38350939650409499</v>
      </c>
      <c r="AK43">
        <v>1.39009845907716E-2</v>
      </c>
      <c r="AL43">
        <v>0.60258961890513196</v>
      </c>
    </row>
    <row r="44" spans="1:38" x14ac:dyDescent="0.2">
      <c r="A44">
        <v>109</v>
      </c>
      <c r="B44">
        <v>742</v>
      </c>
      <c r="C44">
        <v>210</v>
      </c>
      <c r="D44">
        <v>0.361740136925575</v>
      </c>
      <c r="E44">
        <v>34.2886639859151</v>
      </c>
      <c r="F44">
        <v>2.5230676244980801</v>
      </c>
      <c r="G44">
        <v>-540.47350646096424</v>
      </c>
      <c r="H44">
        <v>-469.04320898124814</v>
      </c>
      <c r="I44">
        <v>70.364278658046601</v>
      </c>
      <c r="J44">
        <v>40.800708713965001</v>
      </c>
      <c r="K44">
        <v>13.5900693477196</v>
      </c>
      <c r="L44">
        <v>2.8552277471629705E-5</v>
      </c>
      <c r="M44">
        <v>1.7948522770799006E-6</v>
      </c>
      <c r="N44" s="1">
        <v>-3.2210270790316802E-7</v>
      </c>
      <c r="O44" s="1">
        <v>1.29173081249192E-10</v>
      </c>
      <c r="P44" s="1">
        <v>1.2033231020670899E-9</v>
      </c>
      <c r="Q44">
        <v>65.9218738636729</v>
      </c>
      <c r="S44">
        <v>18.985732905653599</v>
      </c>
      <c r="AA44">
        <v>0.281455989178584</v>
      </c>
      <c r="AB44">
        <v>4.34185129806984</v>
      </c>
      <c r="AC44">
        <v>10.469085943424799</v>
      </c>
      <c r="AJ44">
        <v>0.38135670488739498</v>
      </c>
      <c r="AK44">
        <v>1.36608501002456E-2</v>
      </c>
      <c r="AL44">
        <v>0.60498244501235898</v>
      </c>
    </row>
    <row r="45" spans="1:38" x14ac:dyDescent="0.2">
      <c r="A45">
        <v>110</v>
      </c>
      <c r="B45">
        <v>740</v>
      </c>
      <c r="C45">
        <v>210</v>
      </c>
      <c r="D45">
        <v>0.36034200266496003</v>
      </c>
      <c r="E45">
        <v>35.031819944063102</v>
      </c>
      <c r="F45">
        <v>2.5231131921740801</v>
      </c>
      <c r="G45">
        <v>-551.98068930707041</v>
      </c>
      <c r="H45">
        <v>-479.23951888328787</v>
      </c>
      <c r="I45">
        <v>71.797039356247893</v>
      </c>
      <c r="J45">
        <v>41.697782411234598</v>
      </c>
      <c r="K45">
        <v>13.8843631957222</v>
      </c>
      <c r="L45">
        <v>2.8584889168596285E-5</v>
      </c>
      <c r="M45">
        <v>1.7949691632944352E-6</v>
      </c>
      <c r="N45" s="1">
        <v>-3.5141934621097898E-7</v>
      </c>
      <c r="O45" s="1">
        <v>1.3182141780954401E-10</v>
      </c>
      <c r="P45" s="1">
        <v>1.2930121860929899E-9</v>
      </c>
      <c r="Q45">
        <v>65.9193719945238</v>
      </c>
      <c r="S45">
        <v>18.9790336328638</v>
      </c>
      <c r="AA45">
        <v>0.27651279749509899</v>
      </c>
      <c r="AB45">
        <v>4.3187130022323501</v>
      </c>
      <c r="AC45">
        <v>10.506368572884799</v>
      </c>
      <c r="AJ45">
        <v>0.37936907716892498</v>
      </c>
      <c r="AK45">
        <v>1.3422506108229801E-2</v>
      </c>
      <c r="AL45">
        <v>0.60720841672284398</v>
      </c>
    </row>
    <row r="46" spans="1:38" x14ac:dyDescent="0.2">
      <c r="A46">
        <v>111</v>
      </c>
      <c r="B46">
        <v>738</v>
      </c>
      <c r="C46">
        <v>210</v>
      </c>
      <c r="D46">
        <v>0.35893833753646798</v>
      </c>
      <c r="E46">
        <v>35.538920520376102</v>
      </c>
      <c r="F46">
        <v>2.5231616608686398</v>
      </c>
      <c r="G46">
        <v>-559.7639321781736</v>
      </c>
      <c r="H46">
        <v>-486.20990055694068</v>
      </c>
      <c r="I46">
        <v>72.742947753778196</v>
      </c>
      <c r="J46">
        <v>42.316050264560701</v>
      </c>
      <c r="K46">
        <v>14.085074718574001</v>
      </c>
      <c r="L46">
        <v>2.8621391886419883E-5</v>
      </c>
      <c r="M46">
        <v>1.7951062090142913E-6</v>
      </c>
      <c r="N46" s="1">
        <v>-3.8073987359708202E-7</v>
      </c>
      <c r="O46" s="1">
        <v>1.3356287674979901E-10</v>
      </c>
      <c r="P46" s="1">
        <v>1.38062467238822E-9</v>
      </c>
      <c r="Q46">
        <v>65.917166761991297</v>
      </c>
      <c r="S46">
        <v>18.972486359487601</v>
      </c>
      <c r="AA46">
        <v>0.27162579078507099</v>
      </c>
      <c r="AB46">
        <v>4.2966342314143704</v>
      </c>
      <c r="AC46">
        <v>10.5420868563215</v>
      </c>
      <c r="AJ46">
        <v>0.377472029722282</v>
      </c>
      <c r="AK46">
        <v>1.31867625562717E-2</v>
      </c>
      <c r="AL46">
        <v>0.60934120772144595</v>
      </c>
    </row>
    <row r="47" spans="1:38" x14ac:dyDescent="0.2">
      <c r="A47">
        <v>112</v>
      </c>
      <c r="B47">
        <v>736</v>
      </c>
      <c r="C47">
        <v>210</v>
      </c>
      <c r="D47">
        <v>0.35752910865580001</v>
      </c>
      <c r="E47">
        <v>35.9037588565267</v>
      </c>
      <c r="F47">
        <v>2.5232126382967102</v>
      </c>
      <c r="G47">
        <v>-565.30327717893033</v>
      </c>
      <c r="H47">
        <v>-491.23626843619769</v>
      </c>
      <c r="I47">
        <v>73.395440462500801</v>
      </c>
      <c r="J47">
        <v>42.767004946898297</v>
      </c>
      <c r="K47">
        <v>14.2293829349092</v>
      </c>
      <c r="L47">
        <v>2.8661671955134322E-5</v>
      </c>
      <c r="M47">
        <v>1.7952592997126521E-6</v>
      </c>
      <c r="N47" s="1">
        <v>-4.1077749093991602E-7</v>
      </c>
      <c r="O47" s="1">
        <v>1.3475222062455299E-10</v>
      </c>
      <c r="P47" s="1">
        <v>1.46894649234542E-9</v>
      </c>
      <c r="Q47">
        <v>65.915115903697099</v>
      </c>
      <c r="S47">
        <v>18.966058676750301</v>
      </c>
      <c r="AA47">
        <v>0.266801426458461</v>
      </c>
      <c r="AB47">
        <v>4.2752129977167197</v>
      </c>
      <c r="AC47">
        <v>10.576810995377199</v>
      </c>
      <c r="AJ47">
        <v>0.375631072115715</v>
      </c>
      <c r="AK47">
        <v>1.2953964141761001E-2</v>
      </c>
      <c r="AL47">
        <v>0.61141496374252302</v>
      </c>
    </row>
    <row r="48" spans="1:38" x14ac:dyDescent="0.2">
      <c r="A48">
        <v>118</v>
      </c>
      <c r="B48">
        <v>752</v>
      </c>
      <c r="C48">
        <v>195</v>
      </c>
      <c r="D48">
        <v>0.38474418377798603</v>
      </c>
      <c r="E48">
        <v>14.195979740466701</v>
      </c>
      <c r="F48">
        <v>2.5223461145438</v>
      </c>
      <c r="G48">
        <v>-224.37665113835726</v>
      </c>
      <c r="H48">
        <v>-194.30077292694779</v>
      </c>
      <c r="I48">
        <v>29.338026836472199</v>
      </c>
      <c r="J48">
        <v>16.8834776556583</v>
      </c>
      <c r="K48">
        <v>5.6280855583668403</v>
      </c>
      <c r="L48">
        <v>2.849579447549322E-5</v>
      </c>
      <c r="M48">
        <v>1.796568601326545E-6</v>
      </c>
      <c r="N48" s="1">
        <v>-9.7444645122698803E-8</v>
      </c>
      <c r="O48" s="1">
        <v>5.3674575105153802E-11</v>
      </c>
      <c r="P48" s="1">
        <v>3.9556296185906798E-10</v>
      </c>
      <c r="Q48">
        <v>65.970104057551197</v>
      </c>
      <c r="S48">
        <v>19.0311997617938</v>
      </c>
      <c r="AA48">
        <v>0.30771275464512199</v>
      </c>
      <c r="AB48">
        <v>4.5685269735939897</v>
      </c>
      <c r="AC48">
        <v>10.122456452415699</v>
      </c>
      <c r="AJ48">
        <v>0.40080408476675</v>
      </c>
      <c r="AK48">
        <v>1.49180560286246E-2</v>
      </c>
      <c r="AL48">
        <v>0.58427785920462505</v>
      </c>
    </row>
    <row r="49" spans="1:38" x14ac:dyDescent="0.2">
      <c r="A49">
        <v>119</v>
      </c>
      <c r="B49">
        <v>750</v>
      </c>
      <c r="C49">
        <v>195</v>
      </c>
      <c r="D49">
        <v>0.38340468162048602</v>
      </c>
      <c r="E49">
        <v>28.382725452914201</v>
      </c>
      <c r="F49">
        <v>2.5223047935083698</v>
      </c>
      <c r="G49">
        <v>-448.31257055684762</v>
      </c>
      <c r="H49">
        <v>-388.39501406741545</v>
      </c>
      <c r="I49">
        <v>58.561849669581299</v>
      </c>
      <c r="J49">
        <v>33.748016194214799</v>
      </c>
      <c r="K49">
        <v>11.2526945696501</v>
      </c>
      <c r="L49">
        <v>2.8464743273631869E-5</v>
      </c>
      <c r="M49">
        <v>1.7958864381379298E-6</v>
      </c>
      <c r="N49" s="1">
        <v>-2.0415982282109099E-7</v>
      </c>
      <c r="O49" s="1">
        <v>1.07304080641464E-10</v>
      </c>
      <c r="P49" s="1">
        <v>8.1742077625814098E-10</v>
      </c>
      <c r="Q49">
        <v>65.944843489184393</v>
      </c>
      <c r="S49">
        <v>19.0188099761661</v>
      </c>
      <c r="AA49">
        <v>0.30338526293531298</v>
      </c>
      <c r="AB49">
        <v>4.4797537176010502</v>
      </c>
      <c r="AC49">
        <v>10.253207554113001</v>
      </c>
      <c r="AJ49">
        <v>0.39319317266283499</v>
      </c>
      <c r="AK49">
        <v>1.47148927448297E-2</v>
      </c>
      <c r="AL49">
        <v>0.592091934592334</v>
      </c>
    </row>
    <row r="50" spans="1:38" x14ac:dyDescent="0.2">
      <c r="A50">
        <v>120</v>
      </c>
      <c r="B50">
        <v>748</v>
      </c>
      <c r="C50">
        <v>195</v>
      </c>
      <c r="D50">
        <v>0.382059932429125</v>
      </c>
      <c r="E50">
        <v>31.967852992061999</v>
      </c>
      <c r="F50">
        <v>2.5223236474036401</v>
      </c>
      <c r="G50">
        <v>-504.71577089432691</v>
      </c>
      <c r="H50">
        <v>-437.45299995995583</v>
      </c>
      <c r="I50">
        <v>65.869628295912506</v>
      </c>
      <c r="J50">
        <v>38.014271647132396</v>
      </c>
      <c r="K50">
        <v>12.673969506240001</v>
      </c>
      <c r="L50">
        <v>2.8474208555375639E-5</v>
      </c>
      <c r="M50">
        <v>1.795788915115624E-6</v>
      </c>
      <c r="N50" s="1">
        <v>-2.4457296445837E-7</v>
      </c>
      <c r="O50" s="1">
        <v>1.2077773862984401E-10</v>
      </c>
      <c r="P50" s="1">
        <v>9.6253999083757106E-10</v>
      </c>
      <c r="Q50">
        <v>65.936996799279598</v>
      </c>
      <c r="S50">
        <v>19.010491484644501</v>
      </c>
      <c r="AA50">
        <v>0.29835334007355702</v>
      </c>
      <c r="AB50">
        <v>4.4404597828693104</v>
      </c>
      <c r="AC50">
        <v>10.3136985931329</v>
      </c>
      <c r="AJ50">
        <v>0.38982216874097197</v>
      </c>
      <c r="AK50">
        <v>1.4473723999227099E-2</v>
      </c>
      <c r="AL50">
        <v>0.59570410725980005</v>
      </c>
    </row>
    <row r="51" spans="1:38" x14ac:dyDescent="0.2">
      <c r="A51">
        <v>121</v>
      </c>
      <c r="B51">
        <v>746</v>
      </c>
      <c r="C51">
        <v>195</v>
      </c>
      <c r="D51">
        <v>0.38070990531325299</v>
      </c>
      <c r="E51">
        <v>33.697321560035903</v>
      </c>
      <c r="F51">
        <v>2.52235473582423</v>
      </c>
      <c r="G51">
        <v>-531.80508342088353</v>
      </c>
      <c r="H51">
        <v>-461.13489485488344</v>
      </c>
      <c r="I51">
        <v>69.342283830643296</v>
      </c>
      <c r="J51">
        <v>40.077695040226502</v>
      </c>
      <c r="K51">
        <v>13.3594696580315</v>
      </c>
      <c r="L51">
        <v>2.8493006999939541E-5</v>
      </c>
      <c r="M51">
        <v>1.7958031336487828E-6</v>
      </c>
      <c r="N51" s="1">
        <v>-2.7490263447163099E-7</v>
      </c>
      <c r="O51" s="1">
        <v>1.2720668409936E-10</v>
      </c>
      <c r="P51" s="1">
        <v>1.0635334536405199E-9</v>
      </c>
      <c r="Q51">
        <v>65.932280554028296</v>
      </c>
      <c r="S51">
        <v>19.0029852888762</v>
      </c>
      <c r="AA51">
        <v>0.293261123061619</v>
      </c>
      <c r="AB51">
        <v>4.41027141512299</v>
      </c>
      <c r="AC51">
        <v>10.361201618910799</v>
      </c>
      <c r="AJ51">
        <v>0.387231421443468</v>
      </c>
      <c r="AK51">
        <v>1.4228874754829099E-2</v>
      </c>
      <c r="AL51">
        <v>0.59853970380170196</v>
      </c>
    </row>
    <row r="52" spans="1:38" x14ac:dyDescent="0.2">
      <c r="A52">
        <v>122</v>
      </c>
      <c r="B52">
        <v>744</v>
      </c>
      <c r="C52">
        <v>195</v>
      </c>
      <c r="D52">
        <v>0.37935456913926302</v>
      </c>
      <c r="E52">
        <v>34.7030519318035</v>
      </c>
      <c r="F52">
        <v>2.5223922864218702</v>
      </c>
      <c r="G52">
        <v>-547.46506524972051</v>
      </c>
      <c r="H52">
        <v>-474.92221243121031</v>
      </c>
      <c r="I52">
        <v>71.319719626908693</v>
      </c>
      <c r="J52">
        <v>41.283083113503203</v>
      </c>
      <c r="K52">
        <v>13.7579916171688</v>
      </c>
      <c r="L52">
        <v>2.8517513396003947E-5</v>
      </c>
      <c r="M52">
        <v>1.7958720315447327E-6</v>
      </c>
      <c r="N52" s="1">
        <v>-3.0219906054765002E-7</v>
      </c>
      <c r="O52" s="1">
        <v>1.30879825568169E-10</v>
      </c>
      <c r="P52" s="1">
        <v>1.14983240327814E-9</v>
      </c>
      <c r="Q52">
        <v>65.928954598707506</v>
      </c>
      <c r="S52">
        <v>18.995888535270801</v>
      </c>
      <c r="AA52">
        <v>0.28818229487765301</v>
      </c>
      <c r="AB52">
        <v>4.3842546398038698</v>
      </c>
      <c r="AC52">
        <v>10.40271993134</v>
      </c>
      <c r="AJ52">
        <v>0.38499804511515601</v>
      </c>
      <c r="AK52">
        <v>1.3984303467513099E-2</v>
      </c>
      <c r="AL52">
        <v>0.60101765141732899</v>
      </c>
    </row>
    <row r="53" spans="1:38" x14ac:dyDescent="0.2">
      <c r="A53">
        <v>123</v>
      </c>
      <c r="B53">
        <v>742</v>
      </c>
      <c r="C53">
        <v>195</v>
      </c>
      <c r="D53">
        <v>0.37799389252819798</v>
      </c>
      <c r="E53">
        <v>35.3583527249003</v>
      </c>
      <c r="F53">
        <v>2.5224340335219999</v>
      </c>
      <c r="G53">
        <v>-557.59206248746148</v>
      </c>
      <c r="H53">
        <v>-483.91934157948731</v>
      </c>
      <c r="I53">
        <v>72.5732363768645</v>
      </c>
      <c r="J53">
        <v>42.073825157364197</v>
      </c>
      <c r="K53">
        <v>14.017552988503899</v>
      </c>
      <c r="L53">
        <v>2.8546335473080983E-5</v>
      </c>
      <c r="M53">
        <v>1.7959725051783298E-6</v>
      </c>
      <c r="N53" s="1">
        <v>-3.2881172584604001E-7</v>
      </c>
      <c r="O53" s="1">
        <v>1.3321212780128199E-10</v>
      </c>
      <c r="P53" s="1">
        <v>1.2311978211052E-9</v>
      </c>
      <c r="Q53">
        <v>65.926304024470497</v>
      </c>
      <c r="S53">
        <v>18.989036212963299</v>
      </c>
      <c r="AA53">
        <v>0.28314753407431598</v>
      </c>
      <c r="AB53">
        <v>4.3603837234432099</v>
      </c>
      <c r="AC53">
        <v>10.4411285050484</v>
      </c>
      <c r="AJ53">
        <v>0.38294836025447898</v>
      </c>
      <c r="AK53">
        <v>1.3741656189608899E-2</v>
      </c>
      <c r="AL53">
        <v>0.60330998355591203</v>
      </c>
    </row>
    <row r="54" spans="1:38" x14ac:dyDescent="0.2">
      <c r="A54">
        <v>124</v>
      </c>
      <c r="B54">
        <v>740</v>
      </c>
      <c r="C54">
        <v>195</v>
      </c>
      <c r="D54">
        <v>0.37662784385333098</v>
      </c>
      <c r="E54">
        <v>35.816647383446302</v>
      </c>
      <c r="F54">
        <v>2.52247897997586</v>
      </c>
      <c r="G54">
        <v>-564.60899809033515</v>
      </c>
      <c r="H54">
        <v>-490.22375919000319</v>
      </c>
      <c r="I54">
        <v>73.419768938786802</v>
      </c>
      <c r="J54">
        <v>42.632156054360102</v>
      </c>
      <c r="K54">
        <v>14.1989874515382</v>
      </c>
      <c r="L54">
        <v>2.8578949889463856E-5</v>
      </c>
      <c r="M54">
        <v>1.796094483283336E-6</v>
      </c>
      <c r="N54" s="1">
        <v>-3.5574568257194698E-7</v>
      </c>
      <c r="O54" s="1">
        <v>1.34784985653286E-10</v>
      </c>
      <c r="P54" s="1">
        <v>1.3117419416004799E-9</v>
      </c>
      <c r="Q54">
        <v>65.924008086856304</v>
      </c>
      <c r="S54">
        <v>18.982353803376899</v>
      </c>
      <c r="AA54">
        <v>0.278170203397958</v>
      </c>
      <c r="AB54">
        <v>4.3377485440697896</v>
      </c>
      <c r="AC54">
        <v>10.477719362298901</v>
      </c>
      <c r="AJ54">
        <v>0.38100432409479101</v>
      </c>
      <c r="AK54">
        <v>1.35016526305878E-2</v>
      </c>
      <c r="AL54">
        <v>0.60549402327461999</v>
      </c>
    </row>
    <row r="55" spans="1:38" x14ac:dyDescent="0.2">
      <c r="A55">
        <v>125</v>
      </c>
      <c r="B55">
        <v>738</v>
      </c>
      <c r="C55">
        <v>195</v>
      </c>
      <c r="D55">
        <v>0.37525639123770199</v>
      </c>
      <c r="E55">
        <v>36.151701649578399</v>
      </c>
      <c r="F55">
        <v>2.52252663627059</v>
      </c>
      <c r="G55">
        <v>-569.68078055059618</v>
      </c>
      <c r="H55">
        <v>-494.84383829951662</v>
      </c>
      <c r="I55">
        <v>74.011711666003606</v>
      </c>
      <c r="J55">
        <v>43.045732262108899</v>
      </c>
      <c r="K55">
        <v>14.331544067668</v>
      </c>
      <c r="L55">
        <v>2.8615202227873637E-5</v>
      </c>
      <c r="M55">
        <v>1.7962333151970727E-6</v>
      </c>
      <c r="N55" s="1">
        <v>-3.8352344873701702E-7</v>
      </c>
      <c r="O55" s="1">
        <v>1.35877697804824E-10</v>
      </c>
      <c r="P55" s="1">
        <v>1.39354253349982E-9</v>
      </c>
      <c r="Q55">
        <v>65.921909702512806</v>
      </c>
      <c r="S55">
        <v>18.975804108363601</v>
      </c>
      <c r="AA55">
        <v>0.273256267248221</v>
      </c>
      <c r="AB55">
        <v>4.3159015300753296</v>
      </c>
      <c r="AC55">
        <v>10.513128391799899</v>
      </c>
      <c r="AJ55">
        <v>0.37912755608673399</v>
      </c>
      <c r="AK55">
        <v>1.32646179453019E-2</v>
      </c>
      <c r="AL55">
        <v>0.60760782596796303</v>
      </c>
    </row>
    <row r="56" spans="1:38" x14ac:dyDescent="0.2">
      <c r="A56">
        <v>131</v>
      </c>
      <c r="B56">
        <v>754</v>
      </c>
      <c r="C56">
        <v>180</v>
      </c>
      <c r="D56">
        <v>0.402142335588766</v>
      </c>
      <c r="E56">
        <v>24.776663647599399</v>
      </c>
      <c r="F56">
        <v>2.5216578473062001</v>
      </c>
      <c r="G56">
        <v>-391.88847752606557</v>
      </c>
      <c r="H56">
        <v>-339.22661466632917</v>
      </c>
      <c r="I56">
        <v>51.269885469246297</v>
      </c>
      <c r="J56">
        <v>29.4581116931802</v>
      </c>
      <c r="K56">
        <v>9.8255453942997892</v>
      </c>
      <c r="L56">
        <v>2.8449096383510383E-5</v>
      </c>
      <c r="M56">
        <v>1.7972458445306905E-6</v>
      </c>
      <c r="N56" s="1">
        <v>-1.55942037325564E-7</v>
      </c>
      <c r="O56" s="1">
        <v>9.3777833583515998E-11</v>
      </c>
      <c r="P56" s="1">
        <v>6.4953632906458405E-10</v>
      </c>
      <c r="Q56">
        <v>65.965243120140201</v>
      </c>
      <c r="S56">
        <v>19.039508895524701</v>
      </c>
      <c r="AA56">
        <v>0.31570210834337298</v>
      </c>
      <c r="AB56">
        <v>4.5794781095429702</v>
      </c>
      <c r="AC56">
        <v>10.100067766448699</v>
      </c>
      <c r="AJ56">
        <v>0.40174243134322302</v>
      </c>
      <c r="AK56">
        <v>1.53045297096394E-2</v>
      </c>
      <c r="AL56">
        <v>0.58295303894713701</v>
      </c>
    </row>
    <row r="57" spans="1:38" x14ac:dyDescent="0.2">
      <c r="A57">
        <v>132</v>
      </c>
      <c r="B57">
        <v>752</v>
      </c>
      <c r="C57">
        <v>180</v>
      </c>
      <c r="D57">
        <v>0.40083938935765601</v>
      </c>
      <c r="E57">
        <v>30.706832082493399</v>
      </c>
      <c r="F57">
        <v>2.5216419226353701</v>
      </c>
      <c r="G57">
        <v>-485.42318431150261</v>
      </c>
      <c r="H57">
        <v>-420.37942194206602</v>
      </c>
      <c r="I57">
        <v>63.448044061295001</v>
      </c>
      <c r="J57">
        <v>36.505628451417799</v>
      </c>
      <c r="K57">
        <v>12.177316615358899</v>
      </c>
      <c r="L57">
        <v>2.8437939159775141E-5</v>
      </c>
      <c r="M57">
        <v>1.7968869576093787E-6</v>
      </c>
      <c r="N57" s="1">
        <v>-2.04291520487856E-7</v>
      </c>
      <c r="O57" s="1">
        <v>1.1618576938460099E-10</v>
      </c>
      <c r="P57" s="1">
        <v>8.36577577860554E-10</v>
      </c>
      <c r="Q57">
        <v>65.950061357442706</v>
      </c>
      <c r="S57">
        <v>19.029147708903</v>
      </c>
      <c r="AA57">
        <v>0.31069648006789202</v>
      </c>
      <c r="AB57">
        <v>4.5184831676102997</v>
      </c>
      <c r="AC57">
        <v>10.191611285976</v>
      </c>
      <c r="AJ57">
        <v>0.39651441167333301</v>
      </c>
      <c r="AK57">
        <v>1.50665366168613E-2</v>
      </c>
      <c r="AL57">
        <v>0.58841905170980502</v>
      </c>
    </row>
    <row r="58" spans="1:38" x14ac:dyDescent="0.2">
      <c r="A58">
        <v>133</v>
      </c>
      <c r="B58">
        <v>750</v>
      </c>
      <c r="C58">
        <v>180</v>
      </c>
      <c r="D58">
        <v>0.39953134926452799</v>
      </c>
      <c r="E58">
        <v>33.049750881160499</v>
      </c>
      <c r="F58">
        <v>2.5216586638666301</v>
      </c>
      <c r="G58">
        <v>-522.2330696651162</v>
      </c>
      <c r="H58">
        <v>-452.45651562341635</v>
      </c>
      <c r="I58">
        <v>68.197775537995298</v>
      </c>
      <c r="J58">
        <v>39.294084545898599</v>
      </c>
      <c r="K58">
        <v>13.106353906949</v>
      </c>
      <c r="L58">
        <v>2.844696913623296E-5</v>
      </c>
      <c r="M58">
        <v>1.7968117844610721E-6</v>
      </c>
      <c r="N58" s="1">
        <v>-2.34098633613028E-7</v>
      </c>
      <c r="O58" s="1">
        <v>1.2497340388796801E-10</v>
      </c>
      <c r="P58" s="1">
        <v>9.4120134969906097E-10</v>
      </c>
      <c r="Q58">
        <v>65.943196391593006</v>
      </c>
      <c r="S58">
        <v>19.020875987324501</v>
      </c>
      <c r="AA58">
        <v>0.30547407100094198</v>
      </c>
      <c r="AB58">
        <v>4.4814995657840404</v>
      </c>
      <c r="AC58">
        <v>10.2489539842973</v>
      </c>
      <c r="AJ58">
        <v>0.393342900616445</v>
      </c>
      <c r="AK58">
        <v>1.4816072702538799E-2</v>
      </c>
      <c r="AL58">
        <v>0.59184102668101501</v>
      </c>
    </row>
    <row r="59" spans="1:38" x14ac:dyDescent="0.2">
      <c r="A59">
        <v>134</v>
      </c>
      <c r="B59">
        <v>748</v>
      </c>
      <c r="C59">
        <v>180</v>
      </c>
      <c r="D59">
        <v>0.39821818537923098</v>
      </c>
      <c r="E59">
        <v>34.361612664965698</v>
      </c>
      <c r="F59">
        <v>2.5216860077992802</v>
      </c>
      <c r="G59">
        <v>-542.74196237085346</v>
      </c>
      <c r="H59">
        <v>-470.43194601216788</v>
      </c>
      <c r="I59">
        <v>70.812335463629694</v>
      </c>
      <c r="J59">
        <v>40.859647329421001</v>
      </c>
      <c r="K59">
        <v>13.626443799382301</v>
      </c>
      <c r="L59">
        <v>2.8463328980731313E-5</v>
      </c>
      <c r="M59">
        <v>1.7968214309092404E-6</v>
      </c>
      <c r="N59" s="1">
        <v>-2.59614171664597E-7</v>
      </c>
      <c r="O59" s="1">
        <v>1.2983662244611899E-10</v>
      </c>
      <c r="P59" s="1">
        <v>1.0250640186668399E-9</v>
      </c>
      <c r="Q59">
        <v>65.938649992013097</v>
      </c>
      <c r="S59">
        <v>19.013259525851499</v>
      </c>
      <c r="AA59">
        <v>0.30025125248809598</v>
      </c>
      <c r="AB59">
        <v>4.45140061412945</v>
      </c>
      <c r="AC59">
        <v>10.2964386155176</v>
      </c>
      <c r="AJ59">
        <v>0.39076090737042501</v>
      </c>
      <c r="AK59">
        <v>1.4564985146327E-2</v>
      </c>
      <c r="AL59">
        <v>0.59467410748324701</v>
      </c>
    </row>
    <row r="60" spans="1:38" x14ac:dyDescent="0.2">
      <c r="A60">
        <v>135</v>
      </c>
      <c r="B60">
        <v>746</v>
      </c>
      <c r="C60">
        <v>180</v>
      </c>
      <c r="D60">
        <v>0.396899867536674</v>
      </c>
      <c r="E60">
        <v>35.182132980719999</v>
      </c>
      <c r="F60">
        <v>2.5217198135271901</v>
      </c>
      <c r="G60">
        <v>-555.48572802148988</v>
      </c>
      <c r="H60">
        <v>-481.6891564405862</v>
      </c>
      <c r="I60">
        <v>72.409921582596894</v>
      </c>
      <c r="J60">
        <v>41.843314290537599</v>
      </c>
      <c r="K60">
        <v>13.9516423640697</v>
      </c>
      <c r="L60">
        <v>2.8484838801369631E-5</v>
      </c>
      <c r="M60">
        <v>1.7968801931936594E-6</v>
      </c>
      <c r="N60" s="1">
        <v>-2.83787064531146E-7</v>
      </c>
      <c r="O60" s="1">
        <v>1.32823227836088E-10</v>
      </c>
      <c r="P60" s="1">
        <v>1.10099832826353E-9</v>
      </c>
      <c r="Q60">
        <v>65.935335006735201</v>
      </c>
      <c r="S60">
        <v>19.0060315640462</v>
      </c>
      <c r="AA60">
        <v>0.29506161648609203</v>
      </c>
      <c r="AB60">
        <v>4.4250643056080898</v>
      </c>
      <c r="AC60">
        <v>10.3385075071243</v>
      </c>
      <c r="AJ60">
        <v>0.388501043608934</v>
      </c>
      <c r="AK60">
        <v>1.43151568574366E-2</v>
      </c>
      <c r="AL60">
        <v>0.59718379953362799</v>
      </c>
    </row>
    <row r="61" spans="1:38" x14ac:dyDescent="0.2">
      <c r="A61">
        <v>136</v>
      </c>
      <c r="B61">
        <v>744</v>
      </c>
      <c r="C61">
        <v>180</v>
      </c>
      <c r="D61">
        <v>0.39557636533451601</v>
      </c>
      <c r="E61">
        <v>35.739965849582703</v>
      </c>
      <c r="F61">
        <v>2.5217580044512</v>
      </c>
      <c r="G61">
        <v>-564.07888295339637</v>
      </c>
      <c r="H61">
        <v>-489.35511436847469</v>
      </c>
      <c r="I61">
        <v>73.463863328832304</v>
      </c>
      <c r="J61">
        <v>42.516558683872297</v>
      </c>
      <c r="K61">
        <v>14.1726390028295</v>
      </c>
      <c r="L61">
        <v>2.8510399932406727E-5</v>
      </c>
      <c r="M61">
        <v>1.7969692399444979E-6</v>
      </c>
      <c r="N61" s="1">
        <v>-3.0790388474858702E-7</v>
      </c>
      <c r="O61" s="1">
        <v>1.3480103644904401E-10</v>
      </c>
      <c r="P61" s="1">
        <v>1.17453644236093E-9</v>
      </c>
      <c r="Q61">
        <v>65.932669543400195</v>
      </c>
      <c r="S61">
        <v>18.999051053122699</v>
      </c>
      <c r="AA61">
        <v>0.28992457292955198</v>
      </c>
      <c r="AB61">
        <v>4.40082414656837</v>
      </c>
      <c r="AC61">
        <v>10.377530683979</v>
      </c>
      <c r="AJ61">
        <v>0.38642051395227101</v>
      </c>
      <c r="AK61">
        <v>1.40676636289922E-2</v>
      </c>
      <c r="AL61">
        <v>0.59951182241873502</v>
      </c>
    </row>
    <row r="62" spans="1:38" x14ac:dyDescent="0.2">
      <c r="A62">
        <v>137</v>
      </c>
      <c r="B62">
        <v>742</v>
      </c>
      <c r="C62">
        <v>180</v>
      </c>
      <c r="D62">
        <v>0.39424764813081797</v>
      </c>
      <c r="E62">
        <v>36.140612357865102</v>
      </c>
      <c r="F62">
        <v>2.5217995778150999</v>
      </c>
      <c r="G62">
        <v>-570.18888790974313</v>
      </c>
      <c r="H62">
        <v>-494.8723609557033</v>
      </c>
      <c r="I62">
        <v>74.192510421159099</v>
      </c>
      <c r="J62">
        <v>43.0046539364496</v>
      </c>
      <c r="K62">
        <v>14.3312786138133</v>
      </c>
      <c r="L62">
        <v>2.8539560089899446E-5</v>
      </c>
      <c r="M62">
        <v>1.7970795690037517E-6</v>
      </c>
      <c r="N62" s="1">
        <v>-3.3259773292811801E-7</v>
      </c>
      <c r="O62" s="1">
        <v>1.36170281030953E-10</v>
      </c>
      <c r="P62" s="1">
        <v>1.2483341541245999E-9</v>
      </c>
      <c r="Q62">
        <v>65.930367488819499</v>
      </c>
      <c r="S62">
        <v>18.9922482151479</v>
      </c>
      <c r="AA62">
        <v>0.28484931491010101</v>
      </c>
      <c r="AB62">
        <v>4.3778596171861004</v>
      </c>
      <c r="AC62">
        <v>10.414675363936301</v>
      </c>
      <c r="AJ62">
        <v>0.38444899976582197</v>
      </c>
      <c r="AK62">
        <v>1.38230180077447E-2</v>
      </c>
      <c r="AL62">
        <v>0.60172798222643298</v>
      </c>
    </row>
    <row r="63" spans="1:38" x14ac:dyDescent="0.2">
      <c r="A63">
        <v>138</v>
      </c>
      <c r="B63">
        <v>740</v>
      </c>
      <c r="C63">
        <v>180</v>
      </c>
      <c r="D63">
        <v>0.39291368504170499</v>
      </c>
      <c r="E63">
        <v>36.438732264280702</v>
      </c>
      <c r="F63">
        <v>2.5218440064636898</v>
      </c>
      <c r="G63">
        <v>-574.67961855478836</v>
      </c>
      <c r="H63">
        <v>-498.98819864242915</v>
      </c>
      <c r="I63">
        <v>74.708996606977394</v>
      </c>
      <c r="J63">
        <v>43.372538759964101</v>
      </c>
      <c r="K63">
        <v>14.449241178631601</v>
      </c>
      <c r="L63">
        <v>2.8572171187650783E-5</v>
      </c>
      <c r="M63">
        <v>1.7972067015050709E-6</v>
      </c>
      <c r="N63" s="1">
        <v>-3.5823527255698903E-7</v>
      </c>
      <c r="O63" s="1">
        <v>1.37138076019623E-10</v>
      </c>
      <c r="P63" s="1">
        <v>1.32386842506403E-9</v>
      </c>
      <c r="Q63">
        <v>65.928278596882606</v>
      </c>
      <c r="S63">
        <v>18.985585759294999</v>
      </c>
      <c r="AA63">
        <v>0.27984013498990901</v>
      </c>
      <c r="AB63">
        <v>4.3557381393101799</v>
      </c>
      <c r="AC63">
        <v>10.4505573695221</v>
      </c>
      <c r="AJ63">
        <v>0.382549427165775</v>
      </c>
      <c r="AK63">
        <v>1.3581463951028799E-2</v>
      </c>
      <c r="AL63">
        <v>0.603869108883195</v>
      </c>
    </row>
    <row r="64" spans="1:38" x14ac:dyDescent="0.2">
      <c r="A64">
        <v>145</v>
      </c>
      <c r="B64">
        <v>758</v>
      </c>
      <c r="C64">
        <v>165</v>
      </c>
      <c r="D64">
        <v>0.42073461669010398</v>
      </c>
      <c r="E64">
        <v>21.141049369479401</v>
      </c>
      <c r="F64">
        <v>2.5210548009717302</v>
      </c>
      <c r="G64">
        <v>-334.86102765279765</v>
      </c>
      <c r="H64">
        <v>-289.61836675637659</v>
      </c>
      <c r="I64">
        <v>43.875925807516801</v>
      </c>
      <c r="J64">
        <v>25.137751823675401</v>
      </c>
      <c r="K64">
        <v>8.3857952478187592</v>
      </c>
      <c r="L64">
        <v>2.8450606502977578E-5</v>
      </c>
      <c r="M64">
        <v>1.798772184672961E-6</v>
      </c>
      <c r="N64" s="1">
        <v>-1.1675354311265001E-7</v>
      </c>
      <c r="O64" s="1">
        <v>8.0079340374476596E-11</v>
      </c>
      <c r="P64" s="1">
        <v>5.0723420759128103E-10</v>
      </c>
      <c r="Q64">
        <v>65.989456177292098</v>
      </c>
      <c r="S64">
        <v>19.062032060694101</v>
      </c>
      <c r="AA64">
        <v>0.32863416435419002</v>
      </c>
      <c r="AB64">
        <v>4.6924830148564398</v>
      </c>
      <c r="AC64">
        <v>9.9273945828031405</v>
      </c>
      <c r="AJ64">
        <v>0.41141975723782198</v>
      </c>
      <c r="AK64">
        <v>1.5922304850348401E-2</v>
      </c>
      <c r="AL64">
        <v>0.57265793791182795</v>
      </c>
    </row>
    <row r="65" spans="1:38" x14ac:dyDescent="0.2">
      <c r="A65">
        <v>146</v>
      </c>
      <c r="B65">
        <v>756</v>
      </c>
      <c r="C65">
        <v>165</v>
      </c>
      <c r="D65">
        <v>0.41947286595734501</v>
      </c>
      <c r="E65">
        <v>29.634240242274</v>
      </c>
      <c r="F65">
        <v>2.52098154264131</v>
      </c>
      <c r="G65">
        <v>-469.07076881897245</v>
      </c>
      <c r="H65">
        <v>-405.87812858180843</v>
      </c>
      <c r="I65">
        <v>61.402750072549203</v>
      </c>
      <c r="J65">
        <v>35.225841867263298</v>
      </c>
      <c r="K65">
        <v>11.755040543147</v>
      </c>
      <c r="L65">
        <v>2.841283256575456E-5</v>
      </c>
      <c r="M65">
        <v>1.7980414845173255E-6</v>
      </c>
      <c r="N65" s="1">
        <v>-1.7138072716209001E-7</v>
      </c>
      <c r="O65" s="1">
        <v>1.1226003687491E-10</v>
      </c>
      <c r="P65" s="1">
        <v>7.33073755693148E-10</v>
      </c>
      <c r="Q65">
        <v>65.963714187520594</v>
      </c>
      <c r="S65">
        <v>19.048593669998301</v>
      </c>
      <c r="AA65">
        <v>0.32355389582966998</v>
      </c>
      <c r="AB65">
        <v>4.59988788256224</v>
      </c>
      <c r="AC65">
        <v>10.064250364089</v>
      </c>
      <c r="AJ65">
        <v>0.40349102286494198</v>
      </c>
      <c r="AK65">
        <v>1.5683538490295201E-2</v>
      </c>
      <c r="AL65">
        <v>0.58082543864476199</v>
      </c>
    </row>
    <row r="66" spans="1:38" x14ac:dyDescent="0.2">
      <c r="A66">
        <v>147</v>
      </c>
      <c r="B66">
        <v>754</v>
      </c>
      <c r="C66">
        <v>165</v>
      </c>
      <c r="D66">
        <v>0.41820620162585598</v>
      </c>
      <c r="E66">
        <v>32.590609474197997</v>
      </c>
      <c r="F66">
        <v>2.5209781510714002</v>
      </c>
      <c r="G66">
        <v>-515.61973572192187</v>
      </c>
      <c r="H66">
        <v>-446.35365450858131</v>
      </c>
      <c r="I66">
        <v>67.435215122757697</v>
      </c>
      <c r="J66">
        <v>38.7392484195612</v>
      </c>
      <c r="K66">
        <v>12.927763558897601</v>
      </c>
      <c r="L66">
        <v>2.8410879564947237E-5</v>
      </c>
      <c r="M66">
        <v>1.7978478427516086E-6</v>
      </c>
      <c r="N66" s="1">
        <v>-2.0020204299001301E-7</v>
      </c>
      <c r="O66" s="1">
        <v>1.2340919657469701E-10</v>
      </c>
      <c r="P66" s="1">
        <v>8.3991274914328304E-10</v>
      </c>
      <c r="Q66">
        <v>65.953804202050407</v>
      </c>
      <c r="S66">
        <v>19.0392655978081</v>
      </c>
      <c r="AA66">
        <v>0.31817050039223299</v>
      </c>
      <c r="AB66">
        <v>4.5533492573153698</v>
      </c>
      <c r="AC66">
        <v>10.135410442433701</v>
      </c>
      <c r="AJ66">
        <v>0.39950322237567198</v>
      </c>
      <c r="AK66">
        <v>1.54262378948847E-2</v>
      </c>
      <c r="AL66">
        <v>0.58507053972944201</v>
      </c>
    </row>
    <row r="67" spans="1:38" x14ac:dyDescent="0.2">
      <c r="A67">
        <v>148</v>
      </c>
      <c r="B67">
        <v>752</v>
      </c>
      <c r="C67">
        <v>165</v>
      </c>
      <c r="D67">
        <v>0.41693459493732699</v>
      </c>
      <c r="E67">
        <v>34.113603675084399</v>
      </c>
      <c r="F67">
        <v>2.52099424057955</v>
      </c>
      <c r="G67">
        <v>-539.48672442786233</v>
      </c>
      <c r="H67">
        <v>-467.22015841550729</v>
      </c>
      <c r="I67">
        <v>70.493650697317406</v>
      </c>
      <c r="J67">
        <v>40.552520966225202</v>
      </c>
      <c r="K67">
        <v>13.531805478160001</v>
      </c>
      <c r="L67">
        <v>2.842009528713092E-5</v>
      </c>
      <c r="M67">
        <v>1.7978035014516183E-6</v>
      </c>
      <c r="N67" s="1">
        <v>-2.23403831930522E-7</v>
      </c>
      <c r="O67" s="1">
        <v>1.29101073819446E-10</v>
      </c>
      <c r="P67" s="1">
        <v>9.1896896862893701E-10</v>
      </c>
      <c r="Q67">
        <v>65.948158017984099</v>
      </c>
      <c r="S67">
        <v>19.031112366083601</v>
      </c>
      <c r="AA67">
        <v>0.31276146060075599</v>
      </c>
      <c r="AB67">
        <v>4.5193922819017702</v>
      </c>
      <c r="AC67">
        <v>10.188575873429601</v>
      </c>
      <c r="AJ67">
        <v>0.396592340463233</v>
      </c>
      <c r="AK67">
        <v>1.51666025376575E-2</v>
      </c>
      <c r="AL67">
        <v>0.588241056999108</v>
      </c>
    </row>
    <row r="68" spans="1:38" x14ac:dyDescent="0.2">
      <c r="A68">
        <v>149</v>
      </c>
      <c r="B68">
        <v>750</v>
      </c>
      <c r="C68">
        <v>165</v>
      </c>
      <c r="D68">
        <v>0.41565801690856902</v>
      </c>
      <c r="E68">
        <v>35.078540638577699</v>
      </c>
      <c r="F68">
        <v>2.5210188484870102</v>
      </c>
      <c r="G68">
        <v>-554.523266660182</v>
      </c>
      <c r="H68">
        <v>-480.4535438236436</v>
      </c>
      <c r="I68">
        <v>72.393806222487797</v>
      </c>
      <c r="J68">
        <v>41.704659944004597</v>
      </c>
      <c r="K68">
        <v>13.9144301359072</v>
      </c>
      <c r="L68">
        <v>2.8434763064515735E-5</v>
      </c>
      <c r="M68">
        <v>1.7978179476631105E-6</v>
      </c>
      <c r="N68" s="1">
        <v>-2.4518414498552101E-7</v>
      </c>
      <c r="O68" s="1">
        <v>1.32661745749226E-10</v>
      </c>
      <c r="P68" s="1">
        <v>9.8936537259914905E-10</v>
      </c>
      <c r="Q68">
        <v>65.944049470523794</v>
      </c>
      <c r="S68">
        <v>19.023449606018499</v>
      </c>
      <c r="AA68">
        <v>0.30739827846904699</v>
      </c>
      <c r="AB68">
        <v>4.4901476824405897</v>
      </c>
      <c r="AC68">
        <v>10.234954962547899</v>
      </c>
      <c r="AJ68">
        <v>0.39408461646579201</v>
      </c>
      <c r="AK68">
        <v>1.4908744704600799E-2</v>
      </c>
      <c r="AL68">
        <v>0.59100663882960602</v>
      </c>
    </row>
    <row r="69" spans="1:38" x14ac:dyDescent="0.2">
      <c r="A69">
        <v>150</v>
      </c>
      <c r="B69">
        <v>748</v>
      </c>
      <c r="C69">
        <v>165</v>
      </c>
      <c r="D69">
        <v>0.41437643832933801</v>
      </c>
      <c r="E69">
        <v>35.721652781827501</v>
      </c>
      <c r="F69">
        <v>2.5210495334119098</v>
      </c>
      <c r="G69">
        <v>-564.47009554108422</v>
      </c>
      <c r="H69">
        <v>-489.28631892148985</v>
      </c>
      <c r="I69">
        <v>73.6265745674919</v>
      </c>
      <c r="J69">
        <v>42.476190913332701</v>
      </c>
      <c r="K69">
        <v>14.1693577648523</v>
      </c>
      <c r="L69">
        <v>2.8453895209296747E-5</v>
      </c>
      <c r="M69">
        <v>1.7978735755157009E-6</v>
      </c>
      <c r="N69" s="1">
        <v>-2.6666339541319301E-7</v>
      </c>
      <c r="O69" s="1">
        <v>1.34988505150312E-10</v>
      </c>
      <c r="P69" s="1">
        <v>1.0562187409906101E-9</v>
      </c>
      <c r="Q69">
        <v>65.940941671960502</v>
      </c>
      <c r="S69">
        <v>19.016134014858402</v>
      </c>
      <c r="AA69">
        <v>0.302088003164737</v>
      </c>
      <c r="AB69">
        <v>4.4640433466577099</v>
      </c>
      <c r="AC69">
        <v>10.276792963358499</v>
      </c>
      <c r="AJ69">
        <v>0.39184554448529302</v>
      </c>
      <c r="AK69">
        <v>1.4653142689555299E-2</v>
      </c>
      <c r="AL69">
        <v>0.59350131282515095</v>
      </c>
    </row>
    <row r="70" spans="1:38" x14ac:dyDescent="0.2">
      <c r="A70">
        <v>151</v>
      </c>
      <c r="B70">
        <v>746</v>
      </c>
      <c r="C70">
        <v>165</v>
      </c>
      <c r="D70">
        <v>0.41308982976009601</v>
      </c>
      <c r="E70">
        <v>36.177629799391902</v>
      </c>
      <c r="F70">
        <v>2.5210845425722002</v>
      </c>
      <c r="G70">
        <v>-571.45797606184044</v>
      </c>
      <c r="H70">
        <v>-495.56055053242443</v>
      </c>
      <c r="I70">
        <v>74.471300131890303</v>
      </c>
      <c r="J70">
        <v>43.026965637898797</v>
      </c>
      <c r="K70">
        <v>14.3500264225493</v>
      </c>
      <c r="L70">
        <v>2.8476691041698327E-5</v>
      </c>
      <c r="M70">
        <v>1.7979560704601031E-6</v>
      </c>
      <c r="N70" s="1">
        <v>-2.88524939690663E-7</v>
      </c>
      <c r="O70" s="1">
        <v>1.3659315693605599E-10</v>
      </c>
      <c r="P70" s="1">
        <v>1.1225663191156299E-9</v>
      </c>
      <c r="Q70">
        <v>65.938392076287798</v>
      </c>
      <c r="S70">
        <v>19.009052817133899</v>
      </c>
      <c r="AA70">
        <v>0.29684085583136199</v>
      </c>
      <c r="AB70">
        <v>4.4397974289517599</v>
      </c>
      <c r="AC70">
        <v>10.315916821795</v>
      </c>
      <c r="AJ70">
        <v>0.38976534645357502</v>
      </c>
      <c r="AK70">
        <v>1.4400399279511001E-2</v>
      </c>
      <c r="AL70">
        <v>0.59583425426691194</v>
      </c>
    </row>
    <row r="71" spans="1:38" x14ac:dyDescent="0.2">
      <c r="A71">
        <v>152</v>
      </c>
      <c r="B71">
        <v>744</v>
      </c>
      <c r="C71">
        <v>165</v>
      </c>
      <c r="D71">
        <v>0.411798161529766</v>
      </c>
      <c r="E71">
        <v>36.514183202893797</v>
      </c>
      <c r="F71">
        <v>2.52112298253315</v>
      </c>
      <c r="G71">
        <v>-576.55799743378293</v>
      </c>
      <c r="H71">
        <v>-500.20216224667774</v>
      </c>
      <c r="I71">
        <v>75.068411922631995</v>
      </c>
      <c r="J71">
        <v>43.437370277710201</v>
      </c>
      <c r="K71">
        <v>14.4833010749064</v>
      </c>
      <c r="L71">
        <v>2.8502820015442362E-5</v>
      </c>
      <c r="M71">
        <v>1.7980583235910049E-6</v>
      </c>
      <c r="N71" s="1">
        <v>-3.1114925360826698E-7</v>
      </c>
      <c r="O71" s="1">
        <v>1.3773277548043201E-10</v>
      </c>
      <c r="P71" s="1">
        <v>1.19003303505059E-9</v>
      </c>
      <c r="Q71">
        <v>65.9361738984326</v>
      </c>
      <c r="S71">
        <v>19.002147573284802</v>
      </c>
      <c r="AA71">
        <v>0.29166154042985398</v>
      </c>
      <c r="AB71">
        <v>4.4167513440417796</v>
      </c>
      <c r="AC71">
        <v>10.3532656438109</v>
      </c>
      <c r="AJ71">
        <v>0.38778761497374598</v>
      </c>
      <c r="AK71">
        <v>1.4150798285409501E-2</v>
      </c>
      <c r="AL71">
        <v>0.59806158674084298</v>
      </c>
    </row>
    <row r="72" spans="1:38" x14ac:dyDescent="0.2">
      <c r="A72">
        <v>160</v>
      </c>
      <c r="B72">
        <v>762</v>
      </c>
      <c r="C72">
        <v>150</v>
      </c>
      <c r="D72">
        <v>0.439183210162781</v>
      </c>
      <c r="E72">
        <v>20.741935654499802</v>
      </c>
      <c r="F72">
        <v>2.5204537385303598</v>
      </c>
      <c r="G72">
        <v>-328.98313390540551</v>
      </c>
      <c r="H72">
        <v>-284.29614282362922</v>
      </c>
      <c r="I72">
        <v>43.1695803330689</v>
      </c>
      <c r="J72">
        <v>24.664557733890099</v>
      </c>
      <c r="K72">
        <v>8.22944509451467</v>
      </c>
      <c r="L72">
        <v>2.8444986350315728E-5</v>
      </c>
      <c r="M72">
        <v>1.8001011693678967E-6</v>
      </c>
      <c r="N72" s="1">
        <v>-9.9770945011538997E-8</v>
      </c>
      <c r="O72" s="1">
        <v>7.8625828451555195E-11</v>
      </c>
      <c r="P72" s="1">
        <v>4.5488715589676001E-10</v>
      </c>
      <c r="Q72">
        <v>66.006612604365699</v>
      </c>
      <c r="S72">
        <v>19.083783294459099</v>
      </c>
      <c r="AA72">
        <v>0.34257593721088803</v>
      </c>
      <c r="AB72">
        <v>4.7877388798674803</v>
      </c>
      <c r="AC72">
        <v>9.77928928409675</v>
      </c>
      <c r="AJ72">
        <v>0.41956846994359198</v>
      </c>
      <c r="AK72">
        <v>1.65897573042223E-2</v>
      </c>
      <c r="AL72">
        <v>0.56384177275218506</v>
      </c>
    </row>
    <row r="73" spans="1:38" x14ac:dyDescent="0.2">
      <c r="A73">
        <v>161</v>
      </c>
      <c r="B73">
        <v>760</v>
      </c>
      <c r="C73">
        <v>150</v>
      </c>
      <c r="D73">
        <v>0.43796205778444602</v>
      </c>
      <c r="E73">
        <v>29.460190124784599</v>
      </c>
      <c r="F73">
        <v>2.5203330266516599</v>
      </c>
      <c r="G73">
        <v>-466.9082193772557</v>
      </c>
      <c r="H73">
        <v>-403.66929517943333</v>
      </c>
      <c r="I73">
        <v>61.209818707663402</v>
      </c>
      <c r="J73">
        <v>35.016390852005898</v>
      </c>
      <c r="K73">
        <v>11.689006894427401</v>
      </c>
      <c r="L73">
        <v>2.8391788408958622E-5</v>
      </c>
      <c r="M73">
        <v>1.7991573440505072E-6</v>
      </c>
      <c r="N73" s="1">
        <v>-1.47595854851187E-7</v>
      </c>
      <c r="O73" s="1">
        <v>1.1171152895064001E-10</v>
      </c>
      <c r="P73" s="1">
        <v>6.62885951069771E-10</v>
      </c>
      <c r="Q73">
        <v>65.975164438880995</v>
      </c>
      <c r="S73">
        <v>19.0681919308457</v>
      </c>
      <c r="AA73">
        <v>0.33705090207893401</v>
      </c>
      <c r="AB73">
        <v>4.6767835425400897</v>
      </c>
      <c r="AC73">
        <v>9.9428091856541592</v>
      </c>
      <c r="AJ73">
        <v>0.41007588448707399</v>
      </c>
      <c r="AK73">
        <v>1.63313935587296E-2</v>
      </c>
      <c r="AL73">
        <v>0.57359272195419597</v>
      </c>
    </row>
    <row r="74" spans="1:38" x14ac:dyDescent="0.2">
      <c r="A74">
        <v>162</v>
      </c>
      <c r="B74">
        <v>758</v>
      </c>
      <c r="C74">
        <v>150</v>
      </c>
      <c r="D74">
        <v>0.43673616835572199</v>
      </c>
      <c r="E74">
        <v>32.561934225512999</v>
      </c>
      <c r="F74">
        <v>2.5203098829083799</v>
      </c>
      <c r="G74">
        <v>-515.80406845318043</v>
      </c>
      <c r="H74">
        <v>-446.14059659293491</v>
      </c>
      <c r="I74">
        <v>67.559008738055098</v>
      </c>
      <c r="J74">
        <v>38.699359107699301</v>
      </c>
      <c r="K74">
        <v>12.9198137285948</v>
      </c>
      <c r="L74">
        <v>2.8381426165310806E-5</v>
      </c>
      <c r="M74">
        <v>1.7988754117171795E-6</v>
      </c>
      <c r="N74" s="1">
        <v>-1.7303246798153599E-7</v>
      </c>
      <c r="O74" s="1">
        <v>1.2344385712505599E-10</v>
      </c>
      <c r="P74" s="1">
        <v>7.61196576730763E-10</v>
      </c>
      <c r="Q74">
        <v>65.963115683361707</v>
      </c>
      <c r="S74">
        <v>19.0579360727207</v>
      </c>
      <c r="AA74">
        <v>0.33140112649762898</v>
      </c>
      <c r="AB74">
        <v>4.6230464714664796</v>
      </c>
      <c r="AC74">
        <v>10.024500645953401</v>
      </c>
      <c r="AJ74">
        <v>0.40547468688725802</v>
      </c>
      <c r="AK74">
        <v>1.6062023564824501E-2</v>
      </c>
      <c r="AL74">
        <v>0.57846328954791604</v>
      </c>
    </row>
    <row r="75" spans="1:38" x14ac:dyDescent="0.2">
      <c r="A75">
        <v>163</v>
      </c>
      <c r="B75">
        <v>756</v>
      </c>
      <c r="C75">
        <v>150</v>
      </c>
      <c r="D75">
        <v>0.43550551425934297</v>
      </c>
      <c r="E75">
        <v>34.162195482879604</v>
      </c>
      <c r="F75">
        <v>2.52031374739656</v>
      </c>
      <c r="G75">
        <v>-540.91500409496962</v>
      </c>
      <c r="H75">
        <v>-468.06648814021071</v>
      </c>
      <c r="I75">
        <v>70.785129431821304</v>
      </c>
      <c r="J75">
        <v>40.601657099839997</v>
      </c>
      <c r="K75">
        <v>13.5547391741081</v>
      </c>
      <c r="L75">
        <v>2.8384244796768086E-5</v>
      </c>
      <c r="M75">
        <v>1.7987804633353484E-6</v>
      </c>
      <c r="N75" s="1">
        <v>-1.9346943275864699E-7</v>
      </c>
      <c r="O75" s="1">
        <v>1.2945432435558899E-10</v>
      </c>
      <c r="P75" s="1">
        <v>8.3301033429941105E-10</v>
      </c>
      <c r="Q75">
        <v>65.956441357261696</v>
      </c>
      <c r="S75">
        <v>19.049220805823399</v>
      </c>
      <c r="AA75">
        <v>0.32576830482170399</v>
      </c>
      <c r="AB75">
        <v>4.5853248883823996</v>
      </c>
      <c r="AC75">
        <v>10.0832446437107</v>
      </c>
      <c r="AJ75">
        <v>0.402243317726311</v>
      </c>
      <c r="AK75">
        <v>1.5792043943277101E-2</v>
      </c>
      <c r="AL75">
        <v>0.58196463833041101</v>
      </c>
    </row>
    <row r="76" spans="1:38" x14ac:dyDescent="0.2">
      <c r="A76">
        <v>164</v>
      </c>
      <c r="B76">
        <v>754</v>
      </c>
      <c r="C76">
        <v>150</v>
      </c>
      <c r="D76">
        <v>0.43427006766295001</v>
      </c>
      <c r="E76">
        <v>35.141819863861301</v>
      </c>
      <c r="F76">
        <v>2.5203298982160001</v>
      </c>
      <c r="G76">
        <v>-556.197603623144</v>
      </c>
      <c r="H76">
        <v>-481.50255547031952</v>
      </c>
      <c r="I76">
        <v>72.720681646131894</v>
      </c>
      <c r="J76">
        <v>41.768757222172198</v>
      </c>
      <c r="K76">
        <v>13.9433412620848</v>
      </c>
      <c r="L76">
        <v>2.8393721975130322E-5</v>
      </c>
      <c r="M76">
        <v>1.7987673069038685E-6</v>
      </c>
      <c r="N76" s="1">
        <v>-2.1247321999704799E-7</v>
      </c>
      <c r="O76" s="1">
        <v>1.3309342971289399E-10</v>
      </c>
      <c r="P76" s="1">
        <v>8.9566281872461895E-10</v>
      </c>
      <c r="Q76">
        <v>65.952004641270406</v>
      </c>
      <c r="S76">
        <v>19.041204061121199</v>
      </c>
      <c r="AA76">
        <v>0.32018965538025301</v>
      </c>
      <c r="AB76">
        <v>4.5544209661984603</v>
      </c>
      <c r="AC76">
        <v>10.132180676029501</v>
      </c>
      <c r="AJ76">
        <v>0.39959505953880498</v>
      </c>
      <c r="AK76">
        <v>1.5524049793853001E-2</v>
      </c>
      <c r="AL76">
        <v>0.58488089066734095</v>
      </c>
    </row>
    <row r="77" spans="1:38" x14ac:dyDescent="0.2">
      <c r="A77">
        <v>165</v>
      </c>
      <c r="B77">
        <v>752</v>
      </c>
      <c r="C77">
        <v>150</v>
      </c>
      <c r="D77">
        <v>0.43302980051699702</v>
      </c>
      <c r="E77">
        <v>35.830025244828498</v>
      </c>
      <c r="F77">
        <v>2.52035257549672</v>
      </c>
      <c r="G77">
        <v>-566.86454647872858</v>
      </c>
      <c r="H77">
        <v>-490.95247899598473</v>
      </c>
      <c r="I77">
        <v>74.049717097735595</v>
      </c>
      <c r="J77">
        <v>42.591182679048302</v>
      </c>
      <c r="K77">
        <v>14.2162749740547</v>
      </c>
      <c r="L77">
        <v>2.8407154178838808E-5</v>
      </c>
      <c r="M77">
        <v>1.7987919332321924E-6</v>
      </c>
      <c r="N77" s="1">
        <v>-2.3140573873824901E-7</v>
      </c>
      <c r="O77" s="1">
        <v>1.3561426042457499E-10</v>
      </c>
      <c r="P77" s="1">
        <v>9.55706247826419E-10</v>
      </c>
      <c r="Q77">
        <v>65.948479927897196</v>
      </c>
      <c r="S77">
        <v>19.033536733715099</v>
      </c>
      <c r="AA77">
        <v>0.31468647544280298</v>
      </c>
      <c r="AB77">
        <v>4.5264654358182499</v>
      </c>
      <c r="AC77">
        <v>10.176831427126499</v>
      </c>
      <c r="AJ77">
        <v>0.39719874585915099</v>
      </c>
      <c r="AK77">
        <v>1.5259402502442201E-2</v>
      </c>
      <c r="AL77">
        <v>0.587541851638406</v>
      </c>
    </row>
    <row r="78" spans="1:38" x14ac:dyDescent="0.2">
      <c r="A78">
        <v>166</v>
      </c>
      <c r="B78">
        <v>750</v>
      </c>
      <c r="C78">
        <v>150</v>
      </c>
      <c r="D78">
        <v>0.43178468455260599</v>
      </c>
      <c r="E78">
        <v>36.312496969222202</v>
      </c>
      <c r="F78">
        <v>2.5203807694601701</v>
      </c>
      <c r="G78">
        <v>-574.27575924576411</v>
      </c>
      <c r="H78">
        <v>-497.58933913543353</v>
      </c>
      <c r="I78">
        <v>74.951297571549105</v>
      </c>
      <c r="J78">
        <v>43.170756417562203</v>
      </c>
      <c r="K78">
        <v>14.4075440541469</v>
      </c>
      <c r="L78">
        <v>2.8424393818459412E-5</v>
      </c>
      <c r="M78">
        <v>1.798849807623683E-6</v>
      </c>
      <c r="N78" s="1">
        <v>-2.5061948301466202E-7</v>
      </c>
      <c r="O78" s="1">
        <v>1.37342280900385E-10</v>
      </c>
      <c r="P78" s="1">
        <v>1.0148338790761499E-9</v>
      </c>
      <c r="Q78">
        <v>65.945725908946301</v>
      </c>
      <c r="S78">
        <v>19.026170545555502</v>
      </c>
      <c r="AA78">
        <v>0.30925190745974201</v>
      </c>
      <c r="AB78">
        <v>4.5010168323205297</v>
      </c>
      <c r="AC78">
        <v>10.2178348057178</v>
      </c>
      <c r="AJ78">
        <v>0.395016734204923</v>
      </c>
      <c r="AK78">
        <v>1.4997816458546901E-2</v>
      </c>
      <c r="AL78">
        <v>0.58998544933652897</v>
      </c>
    </row>
    <row r="79" spans="1:38" x14ac:dyDescent="0.2">
      <c r="A79">
        <v>167</v>
      </c>
      <c r="B79">
        <v>748</v>
      </c>
      <c r="C79">
        <v>150</v>
      </c>
      <c r="D79">
        <v>0.43053469127944</v>
      </c>
      <c r="E79">
        <v>36.668203118188799</v>
      </c>
      <c r="F79">
        <v>2.5204130356666301</v>
      </c>
      <c r="G79">
        <v>-579.68121282864865</v>
      </c>
      <c r="H79">
        <v>-502.49303517740424</v>
      </c>
      <c r="I79">
        <v>75.589460560392098</v>
      </c>
      <c r="J79">
        <v>43.601159869619103</v>
      </c>
      <c r="K79">
        <v>14.5484897115247</v>
      </c>
      <c r="L79">
        <v>2.8444860318626063E-5</v>
      </c>
      <c r="M79">
        <v>1.7989300788789617E-6</v>
      </c>
      <c r="N79" s="1">
        <v>-2.7048632781838402E-7</v>
      </c>
      <c r="O79" s="1">
        <v>1.38577878529898E-10</v>
      </c>
      <c r="P79" s="1">
        <v>1.0747376336661401E-9</v>
      </c>
      <c r="Q79">
        <v>65.943406469747103</v>
      </c>
      <c r="S79">
        <v>19.019015813064101</v>
      </c>
      <c r="AA79">
        <v>0.30389038932415302</v>
      </c>
      <c r="AB79">
        <v>4.47709102502363</v>
      </c>
      <c r="AC79">
        <v>10.2565963028408</v>
      </c>
      <c r="AJ79">
        <v>0.39296477704878302</v>
      </c>
      <c r="AK79">
        <v>1.47395917986831E-2</v>
      </c>
      <c r="AL79">
        <v>0.59229563115253303</v>
      </c>
    </row>
    <row r="80" spans="1:38" x14ac:dyDescent="0.2">
      <c r="A80">
        <v>176</v>
      </c>
      <c r="B80">
        <v>768</v>
      </c>
      <c r="C80">
        <v>135</v>
      </c>
      <c r="D80">
        <v>0.45866637852374798</v>
      </c>
      <c r="E80">
        <v>0.25405185922512602</v>
      </c>
      <c r="F80">
        <v>2.5203693603850601</v>
      </c>
      <c r="G80">
        <v>-4.0405948183155553</v>
      </c>
      <c r="H80">
        <v>-3.4871794802601888</v>
      </c>
      <c r="I80">
        <v>0.53154236954844702</v>
      </c>
      <c r="J80">
        <v>0.30251871002687702</v>
      </c>
      <c r="K80">
        <v>0.100799455515643</v>
      </c>
      <c r="L80">
        <v>2.8606554152229279E-5</v>
      </c>
      <c r="M80">
        <v>1.8041244404083139E-6</v>
      </c>
      <c r="N80" s="1">
        <v>-1.06858554998011E-9</v>
      </c>
      <c r="O80" s="1">
        <v>9.6183266630956201E-13</v>
      </c>
      <c r="P80" s="1">
        <v>5.1311274318216203E-12</v>
      </c>
      <c r="Q80">
        <v>66.103150143196103</v>
      </c>
      <c r="S80">
        <v>19.1378297399845</v>
      </c>
      <c r="AA80">
        <v>0.36463909322731303</v>
      </c>
      <c r="AB80">
        <v>5.1445573924769796</v>
      </c>
      <c r="AC80">
        <v>9.2498236311150297</v>
      </c>
      <c r="AJ80">
        <v>0.45002307257114799</v>
      </c>
      <c r="AK80">
        <v>1.7626284763411999E-2</v>
      </c>
      <c r="AL80">
        <v>0.53235064266543897</v>
      </c>
    </row>
    <row r="81" spans="1:38" x14ac:dyDescent="0.2">
      <c r="A81">
        <v>177</v>
      </c>
      <c r="B81">
        <v>766</v>
      </c>
      <c r="C81">
        <v>135</v>
      </c>
      <c r="D81">
        <v>0.45748977529712298</v>
      </c>
      <c r="E81">
        <v>24.555052431678099</v>
      </c>
      <c r="F81">
        <v>2.5197926248948401</v>
      </c>
      <c r="G81">
        <v>-389.910064064094</v>
      </c>
      <c r="H81">
        <v>-336.6674656992376</v>
      </c>
      <c r="I81">
        <v>51.236682254589198</v>
      </c>
      <c r="J81">
        <v>29.194819502491601</v>
      </c>
      <c r="K81">
        <v>9.7448703472980291</v>
      </c>
      <c r="L81">
        <v>2.8411497653745408E-5</v>
      </c>
      <c r="M81">
        <v>1.8008967948291728E-6</v>
      </c>
      <c r="N81" s="1">
        <v>-1.0100053524551399E-7</v>
      </c>
      <c r="O81" s="1">
        <v>9.3171664685920605E-11</v>
      </c>
      <c r="P81" s="1">
        <v>4.8872137969916298E-10</v>
      </c>
      <c r="Q81">
        <v>66.007029398535394</v>
      </c>
      <c r="S81">
        <v>19.1018048818894</v>
      </c>
      <c r="AA81">
        <v>0.35734667814564303</v>
      </c>
      <c r="AB81">
        <v>4.8359136177417597</v>
      </c>
      <c r="AC81">
        <v>9.69790542368772</v>
      </c>
      <c r="AJ81">
        <v>0.423686531623645</v>
      </c>
      <c r="AK81">
        <v>1.73008190424188E-2</v>
      </c>
      <c r="AL81">
        <v>0.55901264933393502</v>
      </c>
    </row>
    <row r="82" spans="1:38" x14ac:dyDescent="0.2">
      <c r="A82">
        <v>178</v>
      </c>
      <c r="B82">
        <v>764</v>
      </c>
      <c r="C82">
        <v>135</v>
      </c>
      <c r="D82">
        <v>0.45630863423805901</v>
      </c>
      <c r="E82">
        <v>30.619760154064299</v>
      </c>
      <c r="F82">
        <v>2.5196782703335301</v>
      </c>
      <c r="G82">
        <v>-485.87280659518842</v>
      </c>
      <c r="H82">
        <v>-419.71546517855478</v>
      </c>
      <c r="I82">
        <v>63.787630927670698</v>
      </c>
      <c r="J82">
        <v>36.391798996047797</v>
      </c>
      <c r="K82">
        <v>12.1522499576944</v>
      </c>
      <c r="L82">
        <v>2.8366853302300661E-5</v>
      </c>
      <c r="M82">
        <v>1.8001168477324361E-6</v>
      </c>
      <c r="N82" s="1">
        <v>-1.3187492740620501E-7</v>
      </c>
      <c r="O82" s="1">
        <v>1.16215509088739E-10</v>
      </c>
      <c r="P82" s="1">
        <v>6.2645749111827996E-10</v>
      </c>
      <c r="Q82">
        <v>65.981008340836993</v>
      </c>
      <c r="S82">
        <v>19.0869797962613</v>
      </c>
      <c r="AA82">
        <v>0.35118748878900202</v>
      </c>
      <c r="AB82">
        <v>4.7390611964875999</v>
      </c>
      <c r="AC82">
        <v>9.8417631776250101</v>
      </c>
      <c r="AJ82">
        <v>0.41540515361920299</v>
      </c>
      <c r="AK82">
        <v>1.70109821643703E-2</v>
      </c>
      <c r="AL82">
        <v>0.56758386421642604</v>
      </c>
    </row>
    <row r="83" spans="1:38" x14ac:dyDescent="0.2">
      <c r="A83">
        <v>179</v>
      </c>
      <c r="B83">
        <v>762</v>
      </c>
      <c r="C83">
        <v>135</v>
      </c>
      <c r="D83">
        <v>0.45512292904410101</v>
      </c>
      <c r="E83">
        <v>33.185181216138297</v>
      </c>
      <c r="F83">
        <v>2.51964563789454</v>
      </c>
      <c r="G83">
        <v>-526.31249002183802</v>
      </c>
      <c r="H83">
        <v>-454.85058657726609</v>
      </c>
      <c r="I83">
        <v>69.035312220037497</v>
      </c>
      <c r="J83">
        <v>39.435847265629</v>
      </c>
      <c r="K83">
        <v>13.1705747494986</v>
      </c>
      <c r="L83">
        <v>2.8354088384117201E-5</v>
      </c>
      <c r="M83">
        <v>1.7998349920671542E-6</v>
      </c>
      <c r="N83" s="1">
        <v>-1.5178969916720201E-7</v>
      </c>
      <c r="O83" s="1">
        <v>1.25932999054078E-10</v>
      </c>
      <c r="P83" s="1">
        <v>7.0457405554829E-10</v>
      </c>
      <c r="Q83">
        <v>65.969443722977601</v>
      </c>
      <c r="S83">
        <v>19.076430906410401</v>
      </c>
      <c r="AA83">
        <v>0.34518299212904502</v>
      </c>
      <c r="AB83">
        <v>4.6856347794646096</v>
      </c>
      <c r="AC83">
        <v>9.9233075990182407</v>
      </c>
      <c r="AJ83">
        <v>0.41083345946769201</v>
      </c>
      <c r="AK83">
        <v>1.67246697673816E-2</v>
      </c>
      <c r="AL83">
        <v>0.57244187076492503</v>
      </c>
    </row>
    <row r="84" spans="1:38" x14ac:dyDescent="0.2">
      <c r="A84">
        <v>180</v>
      </c>
      <c r="B84">
        <v>760</v>
      </c>
      <c r="C84">
        <v>135</v>
      </c>
      <c r="D84">
        <v>0.45393263320911997</v>
      </c>
      <c r="E84">
        <v>34.604107577976698</v>
      </c>
      <c r="F84">
        <v>2.5196405243078002</v>
      </c>
      <c r="G84">
        <v>-548.57188394982313</v>
      </c>
      <c r="H84">
        <v>-474.29684389447391</v>
      </c>
      <c r="I84">
        <v>71.891826022696705</v>
      </c>
      <c r="J84">
        <v>41.120778557244499</v>
      </c>
      <c r="K84">
        <v>13.7337478279696</v>
      </c>
      <c r="L84">
        <v>2.8353091951709367E-5</v>
      </c>
      <c r="M84">
        <v>1.799723227895044E-6</v>
      </c>
      <c r="N84" s="1">
        <v>-1.68834836621464E-7</v>
      </c>
      <c r="O84" s="1">
        <v>1.31274547213835E-10</v>
      </c>
      <c r="P84" s="1">
        <v>7.6522527178371498E-10</v>
      </c>
      <c r="Q84">
        <v>65.962727627306194</v>
      </c>
      <c r="S84">
        <v>19.067373940452399</v>
      </c>
      <c r="AA84">
        <v>0.33927801158776399</v>
      </c>
      <c r="AB84">
        <v>4.6469243066186499</v>
      </c>
      <c r="AC84">
        <v>9.9836961140349292</v>
      </c>
      <c r="AJ84">
        <v>0.40751947123648402</v>
      </c>
      <c r="AK84">
        <v>1.6441796561919401E-2</v>
      </c>
      <c r="AL84">
        <v>0.57603873220159496</v>
      </c>
    </row>
    <row r="85" spans="1:38" x14ac:dyDescent="0.2">
      <c r="A85">
        <v>181</v>
      </c>
      <c r="B85">
        <v>758</v>
      </c>
      <c r="C85">
        <v>135</v>
      </c>
      <c r="D85">
        <v>0.452737720021335</v>
      </c>
      <c r="E85">
        <v>35.504318593595897</v>
      </c>
      <c r="F85">
        <v>2.5196488472026801</v>
      </c>
      <c r="G85">
        <v>-562.60868392525015</v>
      </c>
      <c r="H85">
        <v>-486.64713866186599</v>
      </c>
      <c r="I85">
        <v>73.666823704974306</v>
      </c>
      <c r="J85">
        <v>42.191493366036397</v>
      </c>
      <c r="K85">
        <v>14.0909788413623</v>
      </c>
      <c r="L85">
        <v>2.8358406604881534E-5</v>
      </c>
      <c r="M85">
        <v>1.7996919117000624E-6</v>
      </c>
      <c r="N85" s="1">
        <v>-1.85089334738339E-7</v>
      </c>
      <c r="O85" s="1">
        <v>1.3463113464994799E-10</v>
      </c>
      <c r="P85" s="1">
        <v>8.1941380989932497E-10</v>
      </c>
      <c r="Q85">
        <v>65.958209566328094</v>
      </c>
      <c r="S85">
        <v>19.059047833770201</v>
      </c>
      <c r="AA85">
        <v>0.33346311608589302</v>
      </c>
      <c r="AB85">
        <v>4.6150280788429399</v>
      </c>
      <c r="AC85">
        <v>10.034251404972601</v>
      </c>
      <c r="AJ85">
        <v>0.40478787668552801</v>
      </c>
      <c r="AK85">
        <v>1.6162619309472399E-2</v>
      </c>
      <c r="AL85">
        <v>0.57904950400499899</v>
      </c>
    </row>
    <row r="86" spans="1:38" x14ac:dyDescent="0.2">
      <c r="A86">
        <v>182</v>
      </c>
      <c r="B86">
        <v>756</v>
      </c>
      <c r="C86">
        <v>135</v>
      </c>
      <c r="D86">
        <v>0.451538162561337</v>
      </c>
      <c r="E86">
        <v>36.123126331768503</v>
      </c>
      <c r="F86">
        <v>2.5196653151139499</v>
      </c>
      <c r="G86">
        <v>-572.1859316262728</v>
      </c>
      <c r="H86">
        <v>-495.14868742221176</v>
      </c>
      <c r="I86">
        <v>74.855214695681894</v>
      </c>
      <c r="J86">
        <v>42.929492344223199</v>
      </c>
      <c r="K86">
        <v>14.33647798979</v>
      </c>
      <c r="L86">
        <v>2.8367991782538672E-5</v>
      </c>
      <c r="M86">
        <v>1.7997067118646502E-6</v>
      </c>
      <c r="N86" s="1">
        <v>-2.0134819712562201E-7</v>
      </c>
      <c r="O86" s="1">
        <v>1.3690695523668701E-10</v>
      </c>
      <c r="P86" s="1">
        <v>8.7131823138737702E-10</v>
      </c>
      <c r="Q86">
        <v>65.954865846212897</v>
      </c>
      <c r="S86">
        <v>19.051158787429099</v>
      </c>
      <c r="AA86">
        <v>0.32773478345437601</v>
      </c>
      <c r="AB86">
        <v>4.5868946172199303</v>
      </c>
      <c r="AC86">
        <v>10.079345965683601</v>
      </c>
      <c r="AJ86">
        <v>0.40237779586863398</v>
      </c>
      <c r="AK86">
        <v>1.58872442348395E-2</v>
      </c>
      <c r="AL86">
        <v>0.58173495989652602</v>
      </c>
    </row>
    <row r="87" spans="1:38" x14ac:dyDescent="0.2">
      <c r="A87">
        <v>183</v>
      </c>
      <c r="B87">
        <v>754</v>
      </c>
      <c r="C87">
        <v>135</v>
      </c>
      <c r="D87">
        <v>0.45033393370004399</v>
      </c>
      <c r="E87">
        <v>36.598188549985998</v>
      </c>
      <c r="F87">
        <v>2.5196866308192298</v>
      </c>
      <c r="G87">
        <v>-579.48381551942225</v>
      </c>
      <c r="H87">
        <v>-501.6840574003765</v>
      </c>
      <c r="I87">
        <v>75.743326796520293</v>
      </c>
      <c r="J87">
        <v>43.4979473263353</v>
      </c>
      <c r="K87">
        <v>14.5248969067581</v>
      </c>
      <c r="L87">
        <v>2.838042882560564E-5</v>
      </c>
      <c r="M87">
        <v>1.7997438156567821E-6</v>
      </c>
      <c r="N87" s="1">
        <v>-2.1812212371788901E-7</v>
      </c>
      <c r="O87" s="1">
        <v>1.38626779153387E-10</v>
      </c>
      <c r="P87" s="1">
        <v>9.2349981510556403E-10</v>
      </c>
      <c r="Q87">
        <v>65.951977459565597</v>
      </c>
      <c r="S87">
        <v>19.043509561012801</v>
      </c>
      <c r="AA87">
        <v>0.32209805887651399</v>
      </c>
      <c r="AB87">
        <v>4.5604045609278998</v>
      </c>
      <c r="AC87">
        <v>10.1220103596171</v>
      </c>
      <c r="AJ87">
        <v>0.40010787102165002</v>
      </c>
      <c r="AK87">
        <v>1.5616101443607099E-2</v>
      </c>
      <c r="AL87">
        <v>0.58427602753474195</v>
      </c>
    </row>
    <row r="88" spans="1:38" x14ac:dyDescent="0.2">
      <c r="A88">
        <v>184</v>
      </c>
      <c r="B88">
        <v>752</v>
      </c>
      <c r="C88">
        <v>135</v>
      </c>
      <c r="D88">
        <v>0.449125006096672</v>
      </c>
      <c r="E88">
        <v>36.942479208091299</v>
      </c>
      <c r="F88">
        <v>2.5197128923393999</v>
      </c>
      <c r="G88">
        <v>-584.71134448816349</v>
      </c>
      <c r="H88">
        <v>-506.431636214555</v>
      </c>
      <c r="I88">
        <v>76.359272568510406</v>
      </c>
      <c r="J88">
        <v>43.912440163457802</v>
      </c>
      <c r="K88">
        <v>14.6613843666102</v>
      </c>
      <c r="L88">
        <v>2.8396123631113119E-5</v>
      </c>
      <c r="M88">
        <v>1.7998075184510578E-6</v>
      </c>
      <c r="N88" s="1">
        <v>-2.35464065563882E-7</v>
      </c>
      <c r="O88" s="1">
        <v>1.3983926983376599E-10</v>
      </c>
      <c r="P88" s="1">
        <v>9.7620660375986493E-10</v>
      </c>
      <c r="Q88">
        <v>65.949669106036595</v>
      </c>
      <c r="S88">
        <v>19.036120564554999</v>
      </c>
      <c r="AA88">
        <v>0.316540683880286</v>
      </c>
      <c r="AB88">
        <v>4.5358893040082702</v>
      </c>
      <c r="AC88">
        <v>10.1617803415197</v>
      </c>
      <c r="AJ88">
        <v>0.398006624360768</v>
      </c>
      <c r="AK88">
        <v>1.53485792096983E-2</v>
      </c>
      <c r="AL88">
        <v>0.58664479642953204</v>
      </c>
    </row>
    <row r="89" spans="1:38" x14ac:dyDescent="0.2">
      <c r="A89">
        <v>195</v>
      </c>
      <c r="B89">
        <v>772</v>
      </c>
      <c r="C89">
        <v>120</v>
      </c>
      <c r="D89">
        <v>0.47679328326077502</v>
      </c>
      <c r="E89">
        <v>21.2531485500655</v>
      </c>
      <c r="F89">
        <v>2.51931885692865</v>
      </c>
      <c r="G89">
        <v>-338.12554044635402</v>
      </c>
      <c r="H89">
        <v>-291.58020178519308</v>
      </c>
      <c r="I89">
        <v>44.534601407607397</v>
      </c>
      <c r="J89">
        <v>25.279484176297199</v>
      </c>
      <c r="K89">
        <v>8.4360693334291206</v>
      </c>
      <c r="L89">
        <v>2.8441103203865488E-5</v>
      </c>
      <c r="M89">
        <v>1.8026490058407023E-6</v>
      </c>
      <c r="N89" s="1">
        <v>-7.1283631457622999E-8</v>
      </c>
      <c r="O89" s="1">
        <v>8.0667645490799301E-11</v>
      </c>
      <c r="P89" s="1">
        <v>3.7603998409567498E-10</v>
      </c>
      <c r="Q89">
        <v>66.036822601503999</v>
      </c>
      <c r="S89">
        <v>19.137374886591999</v>
      </c>
      <c r="AA89">
        <v>0.37974045961944602</v>
      </c>
      <c r="AB89">
        <v>4.9955575648534003</v>
      </c>
      <c r="AC89">
        <v>9.4505044874311093</v>
      </c>
      <c r="AJ89">
        <v>0.43731904154500001</v>
      </c>
      <c r="AK89">
        <v>1.8370123746150199E-2</v>
      </c>
      <c r="AL89">
        <v>0.544310834708849</v>
      </c>
    </row>
    <row r="90" spans="1:38" x14ac:dyDescent="0.2">
      <c r="A90">
        <v>196</v>
      </c>
      <c r="B90">
        <v>770</v>
      </c>
      <c r="C90">
        <v>120</v>
      </c>
      <c r="D90">
        <v>0.47565594593299199</v>
      </c>
      <c r="E90">
        <v>29.456423200606</v>
      </c>
      <c r="F90">
        <v>2.5190845796315502</v>
      </c>
      <c r="G90">
        <v>-468.21671647542291</v>
      </c>
      <c r="H90">
        <v>-403.94761156776383</v>
      </c>
      <c r="I90">
        <v>61.610607206690403</v>
      </c>
      <c r="J90">
        <v>35.014449349932399</v>
      </c>
      <c r="K90">
        <v>11.6933045594341</v>
      </c>
      <c r="L90">
        <v>2.8363480877710887E-5</v>
      </c>
      <c r="M90">
        <v>1.8013623397795069E-6</v>
      </c>
      <c r="N90" s="1">
        <v>-1.0198218520294E-7</v>
      </c>
      <c r="O90" s="1">
        <v>1.11888354300931E-10</v>
      </c>
      <c r="P90" s="1">
        <v>5.3022472153258203E-10</v>
      </c>
      <c r="Q90">
        <v>65.997004049386206</v>
      </c>
      <c r="S90">
        <v>19.1172061564844</v>
      </c>
      <c r="AA90">
        <v>0.37239216555162602</v>
      </c>
      <c r="AB90">
        <v>4.8539491083536204</v>
      </c>
      <c r="AC90">
        <v>9.6594485202240694</v>
      </c>
      <c r="AJ90">
        <v>0.425227630228318</v>
      </c>
      <c r="AK90">
        <v>1.8027586309871401E-2</v>
      </c>
      <c r="AL90">
        <v>0.556744783461809</v>
      </c>
    </row>
    <row r="91" spans="1:38" x14ac:dyDescent="0.2">
      <c r="A91">
        <v>197</v>
      </c>
      <c r="B91">
        <v>768</v>
      </c>
      <c r="C91">
        <v>120</v>
      </c>
      <c r="D91">
        <v>0.474514239062578</v>
      </c>
      <c r="E91">
        <v>32.6862993012763</v>
      </c>
      <c r="F91">
        <v>2.5190074840891201</v>
      </c>
      <c r="G91">
        <v>-519.25510847398107</v>
      </c>
      <c r="H91">
        <v>-448.18015549347786</v>
      </c>
      <c r="I91">
        <v>68.265814705376897</v>
      </c>
      <c r="J91">
        <v>38.8441013437279</v>
      </c>
      <c r="K91">
        <v>12.9758643067691</v>
      </c>
      <c r="L91">
        <v>2.8336454914947181E-5</v>
      </c>
      <c r="M91">
        <v>1.8008973441434292E-6</v>
      </c>
      <c r="N91" s="1">
        <v>-1.19796506549382E-7</v>
      </c>
      <c r="O91" s="1">
        <v>1.24168413304914E-10</v>
      </c>
      <c r="P91" s="1">
        <v>6.0757779496324101E-10</v>
      </c>
      <c r="Q91">
        <v>65.980731127835398</v>
      </c>
      <c r="S91">
        <v>19.104599906212901</v>
      </c>
      <c r="AA91">
        <v>0.36578894377877402</v>
      </c>
      <c r="AB91">
        <v>4.7846368511860602</v>
      </c>
      <c r="AC91">
        <v>9.7642431709866706</v>
      </c>
      <c r="AJ91">
        <v>0.41930301193305702</v>
      </c>
      <c r="AK91">
        <v>1.7714151961803801E-2</v>
      </c>
      <c r="AL91">
        <v>0.562982836105138</v>
      </c>
    </row>
    <row r="92" spans="1:38" x14ac:dyDescent="0.2">
      <c r="A92">
        <v>198</v>
      </c>
      <c r="B92">
        <v>766</v>
      </c>
      <c r="C92">
        <v>120</v>
      </c>
      <c r="D92">
        <v>0.47336813742000999</v>
      </c>
      <c r="E92">
        <v>34.395097400483898</v>
      </c>
      <c r="F92">
        <v>2.51897772175922</v>
      </c>
      <c r="G92">
        <v>-546.13849957909497</v>
      </c>
      <c r="H92">
        <v>-471.59241876722177</v>
      </c>
      <c r="I92">
        <v>71.737555513518899</v>
      </c>
      <c r="J92">
        <v>40.8700903456185</v>
      </c>
      <c r="K92">
        <v>13.6543872950423</v>
      </c>
      <c r="L92">
        <v>2.832623905900421E-5</v>
      </c>
      <c r="M92">
        <v>1.8006921905158075E-6</v>
      </c>
      <c r="N92" s="1">
        <v>-1.3443854156119801E-7</v>
      </c>
      <c r="O92" s="1">
        <v>1.30641487225832E-10</v>
      </c>
      <c r="P92" s="1">
        <v>6.6366341142291697E-10</v>
      </c>
      <c r="Q92">
        <v>65.9718780337532</v>
      </c>
      <c r="S92">
        <v>19.094406099008999</v>
      </c>
      <c r="AA92">
        <v>0.35944469693387199</v>
      </c>
      <c r="AB92">
        <v>4.7381838148373001</v>
      </c>
      <c r="AC92">
        <v>9.8360873554664892</v>
      </c>
      <c r="AJ92">
        <v>0.41533002009717501</v>
      </c>
      <c r="AK92">
        <v>1.7411022997653802E-2</v>
      </c>
      <c r="AL92">
        <v>0.56725895690517003</v>
      </c>
    </row>
    <row r="93" spans="1:38" x14ac:dyDescent="0.2">
      <c r="A93">
        <v>199</v>
      </c>
      <c r="B93">
        <v>764</v>
      </c>
      <c r="C93">
        <v>120</v>
      </c>
      <c r="D93">
        <v>0.47221761558116099</v>
      </c>
      <c r="E93">
        <v>35.450495667777197</v>
      </c>
      <c r="F93">
        <v>2.5189690970790002</v>
      </c>
      <c r="G93">
        <v>-562.65065549609824</v>
      </c>
      <c r="H93">
        <v>-486.06493433369707</v>
      </c>
      <c r="I93">
        <v>73.842473280047301</v>
      </c>
      <c r="J93">
        <v>42.122097735853202</v>
      </c>
      <c r="K93">
        <v>14.0734142824084</v>
      </c>
      <c r="L93">
        <v>2.8324140617929707E-5</v>
      </c>
      <c r="M93">
        <v>1.8006022671747082E-6</v>
      </c>
      <c r="N93" s="1">
        <v>-1.4817485473313199E-7</v>
      </c>
      <c r="O93" s="1">
        <v>1.3461462427591501E-10</v>
      </c>
      <c r="P93" s="1">
        <v>7.1191891180360804E-10</v>
      </c>
      <c r="Q93">
        <v>65.966237290386104</v>
      </c>
      <c r="S93">
        <v>19.085311386553901</v>
      </c>
      <c r="AA93">
        <v>0.353257656386751</v>
      </c>
      <c r="AB93">
        <v>4.7017707495938099</v>
      </c>
      <c r="AC93">
        <v>9.8934229170793699</v>
      </c>
      <c r="AJ93">
        <v>0.41221441797109198</v>
      </c>
      <c r="AK93">
        <v>1.71144955109288E-2</v>
      </c>
      <c r="AL93">
        <v>0.57067108651797804</v>
      </c>
    </row>
    <row r="94" spans="1:38" x14ac:dyDescent="0.2">
      <c r="A94">
        <v>200</v>
      </c>
      <c r="B94">
        <v>762</v>
      </c>
      <c r="C94">
        <v>120</v>
      </c>
      <c r="D94">
        <v>0.47106264792542502</v>
      </c>
      <c r="E94">
        <v>36.163661803922203</v>
      </c>
      <c r="F94">
        <v>2.5189723836326299</v>
      </c>
      <c r="G94">
        <v>-573.73245705262264</v>
      </c>
      <c r="H94">
        <v>-495.85636272624276</v>
      </c>
      <c r="I94">
        <v>75.231700068956101</v>
      </c>
      <c r="J94">
        <v>42.969204459773799</v>
      </c>
      <c r="K94">
        <v>14.3565138065429</v>
      </c>
      <c r="L94">
        <v>2.8327034093649102E-5</v>
      </c>
      <c r="M94">
        <v>1.8005749722946646E-6</v>
      </c>
      <c r="N94" s="1">
        <v>-1.6180838240505301E-7</v>
      </c>
      <c r="O94" s="1">
        <v>1.3727469223245701E-10</v>
      </c>
      <c r="P94" s="1">
        <v>7.5712743605850901E-10</v>
      </c>
      <c r="Q94">
        <v>65.962265876942098</v>
      </c>
      <c r="S94">
        <v>19.076837307398002</v>
      </c>
      <c r="AA94">
        <v>0.34719312934999302</v>
      </c>
      <c r="AB94">
        <v>4.6707047674600704</v>
      </c>
      <c r="AC94">
        <v>9.9429989188496997</v>
      </c>
      <c r="AJ94">
        <v>0.40955542293918401</v>
      </c>
      <c r="AK94">
        <v>1.6823338243574099E-2</v>
      </c>
      <c r="AL94">
        <v>0.57362123881724103</v>
      </c>
    </row>
    <row r="95" spans="1:38" x14ac:dyDescent="0.2">
      <c r="A95">
        <v>201</v>
      </c>
      <c r="B95">
        <v>760</v>
      </c>
      <c r="C95">
        <v>120</v>
      </c>
      <c r="D95">
        <v>0.46990320863379098</v>
      </c>
      <c r="E95">
        <v>36.673675802174799</v>
      </c>
      <c r="F95">
        <v>2.5189834808017602</v>
      </c>
      <c r="G95">
        <v>-581.59169792336695</v>
      </c>
      <c r="H95">
        <v>-502.8696078194871</v>
      </c>
      <c r="I95">
        <v>76.196186520718001</v>
      </c>
      <c r="J95">
        <v>43.576341562964203</v>
      </c>
      <c r="K95">
        <v>14.5589187391185</v>
      </c>
      <c r="L95">
        <v>2.8333551383540908E-5</v>
      </c>
      <c r="M95">
        <v>1.8005866250290734E-6</v>
      </c>
      <c r="N95" s="1">
        <v>-1.7571358198599799E-7</v>
      </c>
      <c r="O95" s="1">
        <v>1.39152278980691E-10</v>
      </c>
      <c r="P95" s="1">
        <v>8.01467351294989E-10</v>
      </c>
      <c r="Q95">
        <v>65.959263077512105</v>
      </c>
      <c r="S95">
        <v>19.068766598905398</v>
      </c>
      <c r="AA95">
        <v>0.341235374402233</v>
      </c>
      <c r="AB95">
        <v>4.6428547783568597</v>
      </c>
      <c r="AC95">
        <v>9.9878801708232992</v>
      </c>
      <c r="AJ95">
        <v>0.407170981799861</v>
      </c>
      <c r="AK95">
        <v>1.6536993511773498E-2</v>
      </c>
      <c r="AL95">
        <v>0.57629202468836505</v>
      </c>
    </row>
    <row r="96" spans="1:38" x14ac:dyDescent="0.2">
      <c r="A96">
        <v>202</v>
      </c>
      <c r="B96">
        <v>758</v>
      </c>
      <c r="C96">
        <v>120</v>
      </c>
      <c r="D96">
        <v>0.46873927168695301</v>
      </c>
      <c r="E96">
        <v>37.052356331928003</v>
      </c>
      <c r="F96">
        <v>2.5190002699866398</v>
      </c>
      <c r="G96">
        <v>-587.36824706914877</v>
      </c>
      <c r="H96">
        <v>-508.08709058185201</v>
      </c>
      <c r="I96">
        <v>76.886152826743796</v>
      </c>
      <c r="J96">
        <v>44.028678669248798</v>
      </c>
      <c r="K96">
        <v>14.709151393669501</v>
      </c>
      <c r="L96">
        <v>2.8343024464840181E-5</v>
      </c>
      <c r="M96">
        <v>1.8006249979368543E-6</v>
      </c>
      <c r="N96" s="1">
        <v>-1.9010542478703699E-7</v>
      </c>
      <c r="O96" s="1">
        <v>1.4052128748249701E-10</v>
      </c>
      <c r="P96" s="1">
        <v>8.4612209490455204E-10</v>
      </c>
      <c r="Q96">
        <v>65.956862599797205</v>
      </c>
      <c r="S96">
        <v>19.0609851997894</v>
      </c>
      <c r="AA96">
        <v>0.33537575911454998</v>
      </c>
      <c r="AB96">
        <v>4.6171054930441802</v>
      </c>
      <c r="AC96">
        <v>10.0296709482545</v>
      </c>
      <c r="AJ96">
        <v>0.40496579987377301</v>
      </c>
      <c r="AK96">
        <v>1.6255151040073301E-2</v>
      </c>
      <c r="AL96">
        <v>0.57877904908615296</v>
      </c>
    </row>
    <row r="97" spans="1:38" x14ac:dyDescent="0.2">
      <c r="A97">
        <v>203</v>
      </c>
      <c r="B97">
        <v>756</v>
      </c>
      <c r="C97">
        <v>120</v>
      </c>
      <c r="D97">
        <v>0.46757081086333502</v>
      </c>
      <c r="E97">
        <v>37.367890114199596</v>
      </c>
      <c r="F97">
        <v>2.51902057990318</v>
      </c>
      <c r="G97">
        <v>-592.14171200208091</v>
      </c>
      <c r="H97">
        <v>-512.44085198142523</v>
      </c>
      <c r="I97">
        <v>77.443385338051399</v>
      </c>
      <c r="J97">
        <v>44.4069686832012</v>
      </c>
      <c r="K97">
        <v>14.834293301262299</v>
      </c>
      <c r="L97">
        <v>2.8354566108353642E-5</v>
      </c>
      <c r="M97">
        <v>1.8006748123167161E-6</v>
      </c>
      <c r="N97" s="1">
        <v>-2.0523112705687001E-7</v>
      </c>
      <c r="O97" s="1">
        <v>1.41642009646526E-10</v>
      </c>
      <c r="P97" s="1">
        <v>8.9233820507822503E-10</v>
      </c>
      <c r="Q97">
        <v>65.954601110354503</v>
      </c>
      <c r="S97">
        <v>19.053362618903702</v>
      </c>
      <c r="AA97">
        <v>0.32961473947974101</v>
      </c>
      <c r="AB97">
        <v>4.5920822982824703</v>
      </c>
      <c r="AC97">
        <v>10.0703392329794</v>
      </c>
      <c r="AJ97">
        <v>0.40282224824657298</v>
      </c>
      <c r="AK97">
        <v>1.59779552508711E-2</v>
      </c>
      <c r="AL97">
        <v>0.58119979650255504</v>
      </c>
    </row>
    <row r="98" spans="1:38" x14ac:dyDescent="0.2">
      <c r="A98">
        <v>215</v>
      </c>
      <c r="B98">
        <v>780</v>
      </c>
      <c r="C98">
        <v>105</v>
      </c>
      <c r="D98">
        <v>0.49696671889094501</v>
      </c>
      <c r="E98">
        <v>9.2778608488641598</v>
      </c>
      <c r="F98">
        <v>2.5193732260756398</v>
      </c>
      <c r="G98">
        <v>-148.05323995663738</v>
      </c>
      <c r="H98">
        <v>-127.4512304431652</v>
      </c>
      <c r="I98">
        <v>19.562274617549399</v>
      </c>
      <c r="J98">
        <v>11.0510821491941</v>
      </c>
      <c r="K98">
        <v>3.6826067502971802</v>
      </c>
      <c r="L98">
        <v>2.8588913608863338E-5</v>
      </c>
      <c r="M98">
        <v>1.8062233258892101E-6</v>
      </c>
      <c r="N98" s="1">
        <v>-2.4705449781126402E-8</v>
      </c>
      <c r="O98" s="1">
        <v>3.5170838850387603E-11</v>
      </c>
      <c r="P98" s="1">
        <v>1.45492257666606E-10</v>
      </c>
      <c r="Q98">
        <v>66.116406135418799</v>
      </c>
      <c r="S98">
        <v>19.203029975895301</v>
      </c>
      <c r="AA98">
        <v>0.41533685088661199</v>
      </c>
      <c r="AB98">
        <v>5.34502855543675</v>
      </c>
      <c r="AC98">
        <v>8.9201984823623395</v>
      </c>
      <c r="AJ98">
        <v>0.46708472651211602</v>
      </c>
      <c r="AK98">
        <v>2.00565805743015E-2</v>
      </c>
      <c r="AL98">
        <v>0.51285869291358199</v>
      </c>
    </row>
    <row r="99" spans="1:38" x14ac:dyDescent="0.2">
      <c r="A99">
        <v>216</v>
      </c>
      <c r="B99">
        <v>778</v>
      </c>
      <c r="C99">
        <v>105</v>
      </c>
      <c r="D99">
        <v>0.49587642106264601</v>
      </c>
      <c r="E99">
        <v>24.6932569720265</v>
      </c>
      <c r="F99">
        <v>2.51869477661283</v>
      </c>
      <c r="G99">
        <v>-393.45140313204058</v>
      </c>
      <c r="H99">
        <v>-338.86020576059832</v>
      </c>
      <c r="I99">
        <v>51.934735643288001</v>
      </c>
      <c r="J99">
        <v>29.372239398328599</v>
      </c>
      <c r="K99">
        <v>9.8039894318732408</v>
      </c>
      <c r="L99">
        <v>2.8415673059479347E-5</v>
      </c>
      <c r="M99">
        <v>1.8033454765222447E-6</v>
      </c>
      <c r="N99" s="1">
        <v>-6.4475069521288705E-8</v>
      </c>
      <c r="O99" s="1">
        <v>9.3802189870819901E-11</v>
      </c>
      <c r="P99" s="1">
        <v>3.8310267536855898E-10</v>
      </c>
      <c r="Q99">
        <v>66.034112144950996</v>
      </c>
      <c r="S99">
        <v>19.1649212727472</v>
      </c>
      <c r="AA99">
        <v>0.40309895823224101</v>
      </c>
      <c r="AB99">
        <v>5.0617338903343603</v>
      </c>
      <c r="AC99">
        <v>9.3361337337351191</v>
      </c>
      <c r="AJ99">
        <v>0.44296344572212598</v>
      </c>
      <c r="AK99">
        <v>1.9493554902298899E-2</v>
      </c>
      <c r="AL99">
        <v>0.53754299937557404</v>
      </c>
    </row>
    <row r="100" spans="1:38" x14ac:dyDescent="0.2">
      <c r="A100">
        <v>217</v>
      </c>
      <c r="B100">
        <v>776</v>
      </c>
      <c r="C100">
        <v>105</v>
      </c>
      <c r="D100">
        <v>0.49478196635371602</v>
      </c>
      <c r="E100">
        <v>30.670774979793801</v>
      </c>
      <c r="F100">
        <v>2.5184643316078099</v>
      </c>
      <c r="G100">
        <v>-488.29099758946768</v>
      </c>
      <c r="H100">
        <v>-420.73139702693777</v>
      </c>
      <c r="I100">
        <v>64.3946056927321</v>
      </c>
      <c r="J100">
        <v>36.461526538085202</v>
      </c>
      <c r="K100">
        <v>12.178363852472399</v>
      </c>
      <c r="L100">
        <v>2.8348062106458485E-5</v>
      </c>
      <c r="M100">
        <v>1.8022520560751168E-6</v>
      </c>
      <c r="N100" s="1">
        <v>-8.3287069470243002E-8</v>
      </c>
      <c r="O100" s="1">
        <v>1.16588662008283E-10</v>
      </c>
      <c r="P100" s="1">
        <v>4.8504556579124601E-10</v>
      </c>
      <c r="Q100">
        <v>66.000788776810793</v>
      </c>
      <c r="S100">
        <v>19.145411275348302</v>
      </c>
      <c r="AA100">
        <v>0.39477856300765501</v>
      </c>
      <c r="AB100">
        <v>4.9363265565076597</v>
      </c>
      <c r="AC100">
        <v>9.5226948283255108</v>
      </c>
      <c r="AJ100">
        <v>0.43226347037575003</v>
      </c>
      <c r="AK100">
        <v>1.9103326828097698E-2</v>
      </c>
      <c r="AL100">
        <v>0.54863320279615102</v>
      </c>
    </row>
    <row r="101" spans="1:38" x14ac:dyDescent="0.2">
      <c r="A101">
        <v>218</v>
      </c>
      <c r="B101">
        <v>774</v>
      </c>
      <c r="C101">
        <v>105</v>
      </c>
      <c r="D101">
        <v>0.493683330945906</v>
      </c>
      <c r="E101">
        <v>33.386717688913798</v>
      </c>
      <c r="F101">
        <v>2.5183705332799202</v>
      </c>
      <c r="G101">
        <v>-531.22153168548368</v>
      </c>
      <c r="H101">
        <v>-457.92616719508874</v>
      </c>
      <c r="I101">
        <v>69.995095726872805</v>
      </c>
      <c r="J101">
        <v>39.679305547596499</v>
      </c>
      <c r="K101">
        <v>13.2572698289282</v>
      </c>
      <c r="L101">
        <v>2.8318923290956323E-5</v>
      </c>
      <c r="M101">
        <v>1.8017925964192947E-6</v>
      </c>
      <c r="N101" s="1">
        <v>-9.6320071226481494E-8</v>
      </c>
      <c r="O101" s="1">
        <v>1.26935064932902E-10</v>
      </c>
      <c r="P101" s="1">
        <v>5.4446484626963898E-10</v>
      </c>
      <c r="Q101">
        <v>65.985352580954498</v>
      </c>
      <c r="S101">
        <v>19.1322503560462</v>
      </c>
      <c r="AA101">
        <v>0.387522495103169</v>
      </c>
      <c r="AB101">
        <v>4.8674247607111996</v>
      </c>
      <c r="AC101">
        <v>9.6274498071847496</v>
      </c>
      <c r="AJ101">
        <v>0.42637887828932702</v>
      </c>
      <c r="AK101">
        <v>1.8758760719959501E-2</v>
      </c>
      <c r="AL101">
        <v>0.55486236099071196</v>
      </c>
    </row>
    <row r="102" spans="1:38" x14ac:dyDescent="0.2">
      <c r="A102">
        <v>219</v>
      </c>
      <c r="B102">
        <v>772</v>
      </c>
      <c r="C102">
        <v>105</v>
      </c>
      <c r="D102">
        <v>0.49258049083863298</v>
      </c>
      <c r="E102">
        <v>34.919576992653298</v>
      </c>
      <c r="F102">
        <v>2.5183255183964102</v>
      </c>
      <c r="G102">
        <v>-555.33968749298208</v>
      </c>
      <c r="H102">
        <v>-478.92860388634369</v>
      </c>
      <c r="I102">
        <v>73.110159887708406</v>
      </c>
      <c r="J102">
        <v>41.494505064993902</v>
      </c>
      <c r="K102">
        <v>13.866188758190701</v>
      </c>
      <c r="L102">
        <v>2.8304722492894436E-5</v>
      </c>
      <c r="M102">
        <v>1.8015688857549265E-6</v>
      </c>
      <c r="N102" s="1">
        <v>-1.07784344850982E-7</v>
      </c>
      <c r="O102" s="1">
        <v>1.32758846161981E-10</v>
      </c>
      <c r="P102" s="1">
        <v>5.8999312977471698E-10</v>
      </c>
      <c r="Q102">
        <v>65.976552464456205</v>
      </c>
      <c r="S102">
        <v>19.121466853836601</v>
      </c>
      <c r="AA102">
        <v>0.38067938224557002</v>
      </c>
      <c r="AB102">
        <v>4.8195438199446601</v>
      </c>
      <c r="AC102">
        <v>9.7017574795168304</v>
      </c>
      <c r="AJ102">
        <v>0.422287176089645</v>
      </c>
      <c r="AK102">
        <v>1.8431984901822601E-2</v>
      </c>
      <c r="AL102">
        <v>0.55928083900853198</v>
      </c>
    </row>
    <row r="103" spans="1:38" x14ac:dyDescent="0.2">
      <c r="A103">
        <v>220</v>
      </c>
      <c r="B103">
        <v>770</v>
      </c>
      <c r="C103">
        <v>105</v>
      </c>
      <c r="D103">
        <v>0.49147342184729198</v>
      </c>
      <c r="E103">
        <v>35.899092766955597</v>
      </c>
      <c r="F103">
        <v>2.5183039555334301</v>
      </c>
      <c r="G103">
        <v>-570.66345833329001</v>
      </c>
      <c r="H103">
        <v>-492.36108025603619</v>
      </c>
      <c r="I103">
        <v>75.063392682983107</v>
      </c>
      <c r="J103">
        <v>42.654361116019103</v>
      </c>
      <c r="K103">
        <v>14.255266004754899</v>
      </c>
      <c r="L103">
        <v>2.8298206630466642E-5</v>
      </c>
      <c r="M103">
        <v>1.8014581063780819E-6</v>
      </c>
      <c r="N103" s="1">
        <v>-1.18859101454772E-7</v>
      </c>
      <c r="O103" s="1">
        <v>1.36462932820721E-10</v>
      </c>
      <c r="P103" s="1">
        <v>6.3001123003331902E-10</v>
      </c>
      <c r="Q103">
        <v>65.970870165136802</v>
      </c>
      <c r="S103">
        <v>19.111850979685201</v>
      </c>
      <c r="AA103">
        <v>0.374072074476135</v>
      </c>
      <c r="AB103">
        <v>4.7816718563470797</v>
      </c>
      <c r="AC103">
        <v>9.76153492435472</v>
      </c>
      <c r="AJ103">
        <v>0.41904940081725101</v>
      </c>
      <c r="AK103">
        <v>1.8115550383853801E-2</v>
      </c>
      <c r="AL103">
        <v>0.56283504879889501</v>
      </c>
    </row>
    <row r="104" spans="1:38" x14ac:dyDescent="0.2">
      <c r="A104">
        <v>221</v>
      </c>
      <c r="B104">
        <v>768</v>
      </c>
      <c r="C104">
        <v>105</v>
      </c>
      <c r="D104">
        <v>0.49036209960140498</v>
      </c>
      <c r="E104">
        <v>36.574465521665701</v>
      </c>
      <c r="F104">
        <v>2.5182960292255898</v>
      </c>
      <c r="G104">
        <v>-581.15521798013106</v>
      </c>
      <c r="H104">
        <v>-501.63399453506622</v>
      </c>
      <c r="I104">
        <v>76.378258123291303</v>
      </c>
      <c r="J104">
        <v>43.454417826967301</v>
      </c>
      <c r="K104">
        <v>14.5234972764154</v>
      </c>
      <c r="L104">
        <v>2.8296500169067023E-5</v>
      </c>
      <c r="M104">
        <v>1.8014111118248716E-6</v>
      </c>
      <c r="N104" s="1">
        <v>-1.3000563664205501E-7</v>
      </c>
      <c r="O104" s="1">
        <v>1.3899894823518399E-10</v>
      </c>
      <c r="P104" s="1">
        <v>6.6781490283307602E-10</v>
      </c>
      <c r="Q104">
        <v>65.966885905435703</v>
      </c>
      <c r="S104">
        <v>19.102919269375199</v>
      </c>
      <c r="AA104">
        <v>0.36763299454994702</v>
      </c>
      <c r="AB104">
        <v>4.7493775074514701</v>
      </c>
      <c r="AC104">
        <v>9.8131843231876097</v>
      </c>
      <c r="AJ104">
        <v>0.41628749437671903</v>
      </c>
      <c r="AK104">
        <v>1.78066386432713E-2</v>
      </c>
      <c r="AL104">
        <v>0.565905866980009</v>
      </c>
    </row>
    <row r="105" spans="1:38" x14ac:dyDescent="0.2">
      <c r="A105">
        <v>222</v>
      </c>
      <c r="B105">
        <v>766</v>
      </c>
      <c r="C105">
        <v>105</v>
      </c>
      <c r="D105">
        <v>0.4892464995429</v>
      </c>
      <c r="E105">
        <v>37.063724844059401</v>
      </c>
      <c r="F105">
        <v>2.5182971326577599</v>
      </c>
      <c r="G105">
        <v>-588.69111262599051</v>
      </c>
      <c r="H105">
        <v>-508.36211018852532</v>
      </c>
      <c r="I105">
        <v>77.302605434696702</v>
      </c>
      <c r="J105">
        <v>44.034621095145397</v>
      </c>
      <c r="K105">
        <v>14.717772721657701</v>
      </c>
      <c r="L105">
        <v>2.8298262387954577E-5</v>
      </c>
      <c r="M105">
        <v>1.8014044843757855E-6</v>
      </c>
      <c r="N105" s="1">
        <v>-1.4145433172239499E-7</v>
      </c>
      <c r="O105" s="1">
        <v>1.40817731253469E-10</v>
      </c>
      <c r="P105" s="1">
        <v>7.0499624234767604E-10</v>
      </c>
      <c r="Q105">
        <v>65.9639177469667</v>
      </c>
      <c r="S105">
        <v>19.094440086740999</v>
      </c>
      <c r="AA105">
        <v>0.36133016125831502</v>
      </c>
      <c r="AB105">
        <v>4.7205338458053001</v>
      </c>
      <c r="AC105">
        <v>9.8597781592285401</v>
      </c>
      <c r="AJ105">
        <v>0.41381993973516701</v>
      </c>
      <c r="AK105">
        <v>1.75039193045501E-2</v>
      </c>
      <c r="AL105">
        <v>0.56867614096028196</v>
      </c>
    </row>
    <row r="106" spans="1:38" x14ac:dyDescent="0.2">
      <c r="A106">
        <v>223</v>
      </c>
      <c r="B106">
        <v>764</v>
      </c>
      <c r="C106">
        <v>105</v>
      </c>
      <c r="D106">
        <v>0.48812659692426702</v>
      </c>
      <c r="E106">
        <v>37.430156127213102</v>
      </c>
      <c r="F106">
        <v>2.5183048023955599</v>
      </c>
      <c r="G106">
        <v>-594.27689293270555</v>
      </c>
      <c r="H106">
        <v>-513.41103158881685</v>
      </c>
      <c r="I106">
        <v>77.969301782662797</v>
      </c>
      <c r="J106">
        <v>44.470005272893999</v>
      </c>
      <c r="K106">
        <v>14.863235018893301</v>
      </c>
      <c r="L106">
        <v>2.8302803364062734E-5</v>
      </c>
      <c r="M106">
        <v>1.8014256601259194E-6</v>
      </c>
      <c r="N106" s="1">
        <v>-1.53345216120938E-7</v>
      </c>
      <c r="O106" s="1">
        <v>1.42160967387246E-10</v>
      </c>
      <c r="P106" s="1">
        <v>7.4245386900261605E-10</v>
      </c>
      <c r="Q106">
        <v>65.961596097932699</v>
      </c>
      <c r="S106">
        <v>19.086287615991999</v>
      </c>
      <c r="AA106">
        <v>0.35514601447882999</v>
      </c>
      <c r="AB106">
        <v>4.6939874134529296</v>
      </c>
      <c r="AC106">
        <v>9.9029828581433605</v>
      </c>
      <c r="AJ106">
        <v>0.411548275832748</v>
      </c>
      <c r="AK106">
        <v>1.7206660959924999E-2</v>
      </c>
      <c r="AL106">
        <v>0.57124506320732604</v>
      </c>
    </row>
    <row r="107" spans="1:38" x14ac:dyDescent="0.2">
      <c r="A107">
        <v>224</v>
      </c>
      <c r="B107">
        <v>762</v>
      </c>
      <c r="C107">
        <v>105</v>
      </c>
      <c r="D107">
        <v>0.48700236680674502</v>
      </c>
      <c r="E107">
        <v>37.710878914045502</v>
      </c>
      <c r="F107">
        <v>2.5183175916962601</v>
      </c>
      <c r="G107">
        <v>-598.5023858883601</v>
      </c>
      <c r="H107">
        <v>-517.28837742546091</v>
      </c>
      <c r="I107">
        <v>78.456270552962593</v>
      </c>
      <c r="J107">
        <v>44.804589468246498</v>
      </c>
      <c r="K107">
        <v>14.974631888523801</v>
      </c>
      <c r="L107">
        <v>2.8309750013309982E-5</v>
      </c>
      <c r="M107">
        <v>1.8014673145456506E-6</v>
      </c>
      <c r="N107" s="1">
        <v>-1.65778439152538E-7</v>
      </c>
      <c r="O107" s="1">
        <v>1.43170313585917E-10</v>
      </c>
      <c r="P107" s="1">
        <v>7.8076435093173401E-10</v>
      </c>
      <c r="Q107">
        <v>65.9597023312038</v>
      </c>
      <c r="S107">
        <v>19.078386982050599</v>
      </c>
      <c r="AA107">
        <v>0.34906979515789299</v>
      </c>
      <c r="AB107">
        <v>4.6690547168071097</v>
      </c>
      <c r="AC107">
        <v>9.9437861747805592</v>
      </c>
      <c r="AJ107">
        <v>0.40941414882949401</v>
      </c>
      <c r="AK107">
        <v>1.69144135716588E-2</v>
      </c>
      <c r="AL107">
        <v>0.57367143759884598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D2192-5AB1-45A9-8685-6F35806C8241}">
  <sheetPr codeName="Sheet11"/>
  <dimension ref="A1:AL265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13</v>
      </c>
      <c r="B2">
        <v>736</v>
      </c>
      <c r="C2">
        <v>300</v>
      </c>
      <c r="D2">
        <v>0.25942674528068399</v>
      </c>
      <c r="E2">
        <v>0.29565589696335798</v>
      </c>
      <c r="F2">
        <v>2.5267130983640498</v>
      </c>
      <c r="G2">
        <v>-4.6356651698204692</v>
      </c>
      <c r="H2">
        <v>-4.0276066066165184</v>
      </c>
      <c r="I2">
        <v>0.60254527394733304</v>
      </c>
      <c r="J2">
        <v>0.35135598847381699</v>
      </c>
      <c r="K2">
        <v>0.117012056950503</v>
      </c>
      <c r="L2">
        <v>2.842349388416588E-5</v>
      </c>
      <c r="M2">
        <v>1.7851120687225007E-6</v>
      </c>
      <c r="N2" s="1">
        <v>-3.2564685458709402E-9</v>
      </c>
      <c r="O2" s="1">
        <v>1.1140381937777E-12</v>
      </c>
      <c r="P2" s="1">
        <v>1.1722382471397299E-11</v>
      </c>
      <c r="Q2">
        <v>65.790408859668901</v>
      </c>
      <c r="S2">
        <v>18.9087087738748</v>
      </c>
      <c r="AA2">
        <v>0.248585853239674</v>
      </c>
      <c r="AB2">
        <v>3.8469598102403499</v>
      </c>
      <c r="AC2">
        <v>11.2053367029761</v>
      </c>
      <c r="AJ2">
        <v>0.33874163190138101</v>
      </c>
      <c r="AK2">
        <v>1.2095898289490301E-2</v>
      </c>
      <c r="AL2">
        <v>0.64916246980912795</v>
      </c>
    </row>
    <row r="3" spans="1:38" x14ac:dyDescent="0.2">
      <c r="A3">
        <v>14</v>
      </c>
      <c r="B3">
        <v>734</v>
      </c>
      <c r="C3">
        <v>300</v>
      </c>
      <c r="D3">
        <v>0.25781710768008598</v>
      </c>
      <c r="E3">
        <v>24.631902582307301</v>
      </c>
      <c r="F3">
        <v>2.5270678575907799</v>
      </c>
      <c r="G3">
        <v>-386.46519448873477</v>
      </c>
      <c r="H3">
        <v>-335.90202348204372</v>
      </c>
      <c r="I3">
        <v>50.204210898764899</v>
      </c>
      <c r="J3">
        <v>29.336073067594199</v>
      </c>
      <c r="K3">
        <v>9.7472264182848303</v>
      </c>
      <c r="L3">
        <v>2.8671078797918688E-5</v>
      </c>
      <c r="M3">
        <v>1.7876321581097323E-6</v>
      </c>
      <c r="N3" s="1">
        <v>-3.1087030028972599E-7</v>
      </c>
      <c r="O3" s="1">
        <v>9.2354969225162998E-11</v>
      </c>
      <c r="P3" s="1">
        <v>1.0900312795345799E-9</v>
      </c>
      <c r="Q3">
        <v>65.852957447594207</v>
      </c>
      <c r="S3">
        <v>18.9344837304699</v>
      </c>
      <c r="AA3">
        <v>0.25525559844666101</v>
      </c>
      <c r="AB3">
        <v>4.0539183843976998</v>
      </c>
      <c r="AC3">
        <v>10.9033848390913</v>
      </c>
      <c r="AJ3">
        <v>0.35658901204176002</v>
      </c>
      <c r="AK3">
        <v>1.2407349676009601E-2</v>
      </c>
      <c r="AL3">
        <v>0.63100363828223005</v>
      </c>
    </row>
    <row r="4" spans="1:38" x14ac:dyDescent="0.2">
      <c r="A4">
        <v>14</v>
      </c>
      <c r="B4">
        <v>734</v>
      </c>
      <c r="C4">
        <v>300</v>
      </c>
      <c r="D4">
        <v>0.25781710768008598</v>
      </c>
      <c r="E4">
        <v>14.1961738837672</v>
      </c>
      <c r="F4">
        <v>2.5846637025160799</v>
      </c>
      <c r="G4">
        <v>-229.17837785558086</v>
      </c>
      <c r="H4">
        <v>-199.51858011135965</v>
      </c>
      <c r="I4">
        <v>29.449235708902499</v>
      </c>
      <c r="J4">
        <v>17.535083888315299</v>
      </c>
      <c r="K4">
        <v>5.4924645979853004</v>
      </c>
      <c r="L4">
        <v>3.2413153630778024E-5</v>
      </c>
      <c r="M4">
        <v>1.7953288764074566E-6</v>
      </c>
      <c r="N4" s="1">
        <v>-4.3412955108112198E-7</v>
      </c>
      <c r="O4" s="1">
        <v>4.6148375374204401E-11</v>
      </c>
      <c r="P4" s="1">
        <v>1.3698073466947201E-9</v>
      </c>
      <c r="Q4">
        <v>64.443556976193605</v>
      </c>
      <c r="S4">
        <v>21.9578861963886</v>
      </c>
      <c r="AA4">
        <v>3.0784579222572401</v>
      </c>
      <c r="AB4">
        <v>8.8393876364571096</v>
      </c>
      <c r="AC4">
        <v>1.6807112687032699</v>
      </c>
      <c r="AJ4">
        <v>0.75898494080932799</v>
      </c>
      <c r="AK4">
        <v>0.14606796932823099</v>
      </c>
      <c r="AL4">
        <v>9.4947089862440298E-2</v>
      </c>
    </row>
    <row r="5" spans="1:38" x14ac:dyDescent="0.2">
      <c r="A5">
        <v>15</v>
      </c>
      <c r="B5">
        <v>732</v>
      </c>
      <c r="C5">
        <v>300</v>
      </c>
      <c r="D5">
        <v>0.256201064517732</v>
      </c>
      <c r="E5">
        <v>30.753556626416099</v>
      </c>
      <c r="F5">
        <v>2.52713966273997</v>
      </c>
      <c r="G5">
        <v>-482.41734704536287</v>
      </c>
      <c r="H5">
        <v>-419.4802991722197</v>
      </c>
      <c r="I5">
        <v>62.614582771868001</v>
      </c>
      <c r="J5">
        <v>36.656341023586897</v>
      </c>
      <c r="K5">
        <v>12.1693142171147</v>
      </c>
      <c r="L5">
        <v>2.8758272148489764E-5</v>
      </c>
      <c r="M5">
        <v>1.7882956731716506E-6</v>
      </c>
      <c r="N5" s="1">
        <v>-4.1899868143535298E-7</v>
      </c>
      <c r="O5" s="1">
        <v>1.1505852296334E-10</v>
      </c>
      <c r="P5" s="1">
        <v>1.4483670244726301E-9</v>
      </c>
      <c r="Q5">
        <v>65.865568489735097</v>
      </c>
      <c r="S5">
        <v>18.930893187700899</v>
      </c>
      <c r="AA5">
        <v>0.249350749618442</v>
      </c>
      <c r="AB5">
        <v>4.0726083409603397</v>
      </c>
      <c r="AC5">
        <v>10.881579231985</v>
      </c>
      <c r="AJ5">
        <v>0.358198967523986</v>
      </c>
      <c r="AK5">
        <v>1.2119177654033499E-2</v>
      </c>
      <c r="AL5">
        <v>0.62968185482198002</v>
      </c>
    </row>
    <row r="6" spans="1:38" x14ac:dyDescent="0.2">
      <c r="A6">
        <v>15</v>
      </c>
      <c r="B6">
        <v>732</v>
      </c>
      <c r="C6">
        <v>300</v>
      </c>
      <c r="D6">
        <v>0.256201064517732</v>
      </c>
      <c r="E6">
        <v>18.026392123107499</v>
      </c>
      <c r="F6">
        <v>2.5840273604602801</v>
      </c>
      <c r="G6">
        <v>-290.91814477997508</v>
      </c>
      <c r="H6">
        <v>-253.36907232420714</v>
      </c>
      <c r="I6">
        <v>37.3566855253125</v>
      </c>
      <c r="J6">
        <v>22.307153110355301</v>
      </c>
      <c r="K6">
        <v>6.9760840767168002</v>
      </c>
      <c r="L6">
        <v>3.2641359096855043E-5</v>
      </c>
      <c r="M6">
        <v>1.7982110640258905E-6</v>
      </c>
      <c r="N6" s="1">
        <v>-5.9050186762579196E-7</v>
      </c>
      <c r="O6" s="1">
        <v>5.8385047652849605E-11</v>
      </c>
      <c r="P6" s="1">
        <v>1.8501948854932E-9</v>
      </c>
      <c r="Q6">
        <v>64.539648962044396</v>
      </c>
      <c r="S6">
        <v>21.890021092899101</v>
      </c>
      <c r="AA6">
        <v>3.0000467657586301</v>
      </c>
      <c r="AB6">
        <v>8.8756062828159106</v>
      </c>
      <c r="AC6">
        <v>1.6946768964818399</v>
      </c>
      <c r="AJ6">
        <v>0.761958929617089</v>
      </c>
      <c r="AK6">
        <v>0.14232210193657899</v>
      </c>
      <c r="AL6">
        <v>9.5718968446331196E-2</v>
      </c>
    </row>
    <row r="7" spans="1:38" x14ac:dyDescent="0.2">
      <c r="A7">
        <v>16</v>
      </c>
      <c r="B7">
        <v>730</v>
      </c>
      <c r="C7">
        <v>300</v>
      </c>
      <c r="D7">
        <v>0.25457857748093798</v>
      </c>
      <c r="E7">
        <v>32.771864363103198</v>
      </c>
      <c r="F7">
        <v>2.5272070872377999</v>
      </c>
      <c r="G7">
        <v>-513.92146357205445</v>
      </c>
      <c r="H7">
        <v>-447.06882163642615</v>
      </c>
      <c r="I7">
        <v>66.642717375894307</v>
      </c>
      <c r="J7">
        <v>39.087719201262502</v>
      </c>
      <c r="K7">
        <v>12.967621264042201</v>
      </c>
      <c r="L7">
        <v>2.8826166478626018E-5</v>
      </c>
      <c r="M7">
        <v>1.7886608690794002E-6</v>
      </c>
      <c r="N7" s="1">
        <v>-4.7806465499625096E-7</v>
      </c>
      <c r="O7" s="1">
        <v>1.2237399674812799E-10</v>
      </c>
      <c r="P7" s="1">
        <v>1.6324032249492699E-9</v>
      </c>
      <c r="Q7">
        <v>65.868552721249898</v>
      </c>
      <c r="S7">
        <v>18.9257183600498</v>
      </c>
      <c r="AA7">
        <v>0.24438513419330299</v>
      </c>
      <c r="AB7">
        <v>4.0656920574218196</v>
      </c>
      <c r="AC7">
        <v>10.895651727085101</v>
      </c>
      <c r="AJ7">
        <v>0.35760328980103601</v>
      </c>
      <c r="AK7">
        <v>1.1878253757534899E-2</v>
      </c>
      <c r="AL7">
        <v>0.63051845644142801</v>
      </c>
    </row>
    <row r="8" spans="1:38" x14ac:dyDescent="0.2">
      <c r="A8">
        <v>16</v>
      </c>
      <c r="B8">
        <v>730</v>
      </c>
      <c r="C8">
        <v>300</v>
      </c>
      <c r="D8">
        <v>0.25457857748093798</v>
      </c>
      <c r="E8">
        <v>19.358297244210402</v>
      </c>
      <c r="F8">
        <v>2.5839457036290998</v>
      </c>
      <c r="G8">
        <v>-312.33444906991275</v>
      </c>
      <c r="H8">
        <v>-272.13653082230087</v>
      </c>
      <c r="I8">
        <v>40.0716924164999</v>
      </c>
      <c r="J8">
        <v>23.9993787056065</v>
      </c>
      <c r="K8">
        <v>7.4917585214821196</v>
      </c>
      <c r="L8">
        <v>3.284801578099162E-5</v>
      </c>
      <c r="M8">
        <v>1.7997775893126998E-6</v>
      </c>
      <c r="N8" s="1">
        <v>-6.7772813077484103E-7</v>
      </c>
      <c r="O8" s="1">
        <v>6.2383938801432801E-11</v>
      </c>
      <c r="P8" s="1">
        <v>2.1096918252706499E-9</v>
      </c>
      <c r="Q8">
        <v>64.5761142534692</v>
      </c>
      <c r="S8">
        <v>21.866532482375</v>
      </c>
      <c r="AA8">
        <v>2.9721597443306398</v>
      </c>
      <c r="AB8">
        <v>8.89528878334872</v>
      </c>
      <c r="AC8">
        <v>1.68990473647629</v>
      </c>
      <c r="AJ8">
        <v>0.76357441480953003</v>
      </c>
      <c r="AK8">
        <v>0.14098543677523401</v>
      </c>
      <c r="AL8">
        <v>9.5440148415234197E-2</v>
      </c>
    </row>
    <row r="9" spans="1:38" x14ac:dyDescent="0.2">
      <c r="A9">
        <v>17</v>
      </c>
      <c r="B9">
        <v>728</v>
      </c>
      <c r="C9">
        <v>300</v>
      </c>
      <c r="D9">
        <v>0.25294960795086002</v>
      </c>
      <c r="E9">
        <v>33.8174571803549</v>
      </c>
      <c r="F9">
        <v>2.5272746161144601</v>
      </c>
      <c r="G9">
        <v>-530.1431363074845</v>
      </c>
      <c r="H9">
        <v>-461.38166423571033</v>
      </c>
      <c r="I9">
        <v>68.682487211481003</v>
      </c>
      <c r="J9">
        <v>40.361344051503401</v>
      </c>
      <c r="K9">
        <v>13.380998236094801</v>
      </c>
      <c r="L9">
        <v>2.8892638453873178E-5</v>
      </c>
      <c r="M9">
        <v>1.7889611905659071E-6</v>
      </c>
      <c r="N9" s="1">
        <v>-5.2685282224695505E-7</v>
      </c>
      <c r="O9" s="1">
        <v>1.26033288615018E-10</v>
      </c>
      <c r="P9" s="1">
        <v>1.7787080052183801E-9</v>
      </c>
      <c r="Q9">
        <v>65.869108774782006</v>
      </c>
      <c r="S9">
        <v>18.920202109247001</v>
      </c>
      <c r="AA9">
        <v>0.23970442330911901</v>
      </c>
      <c r="AB9">
        <v>4.0524696242626703</v>
      </c>
      <c r="AC9">
        <v>10.918515068399101</v>
      </c>
      <c r="AJ9">
        <v>0.35646432839088099</v>
      </c>
      <c r="AK9">
        <v>1.16515350664631E-2</v>
      </c>
      <c r="AL9">
        <v>0.63188413654265496</v>
      </c>
    </row>
    <row r="10" spans="1:38" x14ac:dyDescent="0.2">
      <c r="A10">
        <v>17</v>
      </c>
      <c r="B10">
        <v>728</v>
      </c>
      <c r="C10">
        <v>300</v>
      </c>
      <c r="D10">
        <v>0.25294960795086002</v>
      </c>
      <c r="E10">
        <v>20.096143016739401</v>
      </c>
      <c r="F10">
        <v>2.5839996604622599</v>
      </c>
      <c r="G10">
        <v>-324.16330994871601</v>
      </c>
      <c r="H10">
        <v>-282.56455189670254</v>
      </c>
      <c r="I10">
        <v>41.550974431417302</v>
      </c>
      <c r="J10">
        <v>24.962267841395299</v>
      </c>
      <c r="K10">
        <v>7.7771461522345504</v>
      </c>
      <c r="L10">
        <v>3.3058892299437898E-5</v>
      </c>
      <c r="M10">
        <v>1.8010538869765634E-6</v>
      </c>
      <c r="N10" s="1">
        <v>-7.5130569054956896E-7</v>
      </c>
      <c r="O10" s="1">
        <v>6.43978777161083E-11</v>
      </c>
      <c r="P10" s="1">
        <v>2.3242538127265502E-9</v>
      </c>
      <c r="Q10">
        <v>64.598169226592503</v>
      </c>
      <c r="S10">
        <v>21.8537817075417</v>
      </c>
      <c r="AA10">
        <v>2.95649399806811</v>
      </c>
      <c r="AB10">
        <v>8.9110092944742192</v>
      </c>
      <c r="AC10">
        <v>1.68054577332333</v>
      </c>
      <c r="AJ10">
        <v>0.76486437680282304</v>
      </c>
      <c r="AK10">
        <v>0.14023141932737701</v>
      </c>
      <c r="AL10">
        <v>9.49042038697991E-2</v>
      </c>
    </row>
    <row r="11" spans="1:38" x14ac:dyDescent="0.2">
      <c r="A11">
        <v>18</v>
      </c>
      <c r="B11">
        <v>726</v>
      </c>
      <c r="C11">
        <v>300</v>
      </c>
      <c r="D11">
        <v>0.251314116999449</v>
      </c>
      <c r="E11">
        <v>34.460906494281602</v>
      </c>
      <c r="F11">
        <v>2.5273432929608299</v>
      </c>
      <c r="G11">
        <v>-540.04623255905449</v>
      </c>
      <c r="H11">
        <v>-470.20571346548633</v>
      </c>
      <c r="I11">
        <v>69.899934037500103</v>
      </c>
      <c r="J11">
        <v>41.157621394219198</v>
      </c>
      <c r="K11">
        <v>13.635229764892699</v>
      </c>
      <c r="L11">
        <v>2.8961340234974169E-5</v>
      </c>
      <c r="M11">
        <v>1.7892425771033627E-6</v>
      </c>
      <c r="N11" s="1">
        <v>-5.72461545444673E-7</v>
      </c>
      <c r="O11" s="1">
        <v>1.28173645871611E-10</v>
      </c>
      <c r="P11" s="1">
        <v>1.9122258977828301E-9</v>
      </c>
      <c r="Q11">
        <v>65.868635024857795</v>
      </c>
      <c r="S11">
        <v>18.914584721423999</v>
      </c>
      <c r="AA11">
        <v>0.235180563905933</v>
      </c>
      <c r="AB11">
        <v>4.0366871854697797</v>
      </c>
      <c r="AC11">
        <v>10.944912504342399</v>
      </c>
      <c r="AJ11">
        <v>0.355104642359718</v>
      </c>
      <c r="AK11">
        <v>1.1432559535801299E-2</v>
      </c>
      <c r="AL11">
        <v>0.63346279810448003</v>
      </c>
    </row>
    <row r="12" spans="1:38" x14ac:dyDescent="0.2">
      <c r="A12">
        <v>18</v>
      </c>
      <c r="B12">
        <v>726</v>
      </c>
      <c r="C12">
        <v>300</v>
      </c>
      <c r="D12">
        <v>0.251314116999449</v>
      </c>
      <c r="E12">
        <v>20.5903104150016</v>
      </c>
      <c r="F12">
        <v>2.58410866205524</v>
      </c>
      <c r="G12">
        <v>-332.05923053708472</v>
      </c>
      <c r="H12">
        <v>-289.57251724586035</v>
      </c>
      <c r="I12">
        <v>42.522857720286602</v>
      </c>
      <c r="J12">
        <v>25.6285504190969</v>
      </c>
      <c r="K12">
        <v>7.9680513119852403</v>
      </c>
      <c r="L12">
        <v>3.3279460628307847E-5</v>
      </c>
      <c r="M12">
        <v>1.802236811267528E-6</v>
      </c>
      <c r="N12" s="1">
        <v>-8.2144189674067899E-7</v>
      </c>
      <c r="O12" s="1">
        <v>6.5581198611255494E-11</v>
      </c>
      <c r="P12" s="1">
        <v>2.5261822018124701E-9</v>
      </c>
      <c r="Q12">
        <v>64.614448671620096</v>
      </c>
      <c r="S12">
        <v>21.845328653691698</v>
      </c>
      <c r="AA12">
        <v>2.9457215561465802</v>
      </c>
      <c r="AB12">
        <v>8.9251263852094294</v>
      </c>
      <c r="AC12">
        <v>1.6693747333320801</v>
      </c>
      <c r="AJ12">
        <v>0.76602254339115305</v>
      </c>
      <c r="AK12">
        <v>0.13971069696611399</v>
      </c>
      <c r="AL12">
        <v>9.4266759642731401E-2</v>
      </c>
    </row>
    <row r="13" spans="1:38" x14ac:dyDescent="0.2">
      <c r="A13">
        <v>19</v>
      </c>
      <c r="B13">
        <v>724</v>
      </c>
      <c r="C13">
        <v>300</v>
      </c>
      <c r="D13">
        <v>0.249672065386352</v>
      </c>
      <c r="E13">
        <v>34.894786852620697</v>
      </c>
      <c r="F13">
        <v>2.5274134988767498</v>
      </c>
      <c r="G13">
        <v>-546.65663461121676</v>
      </c>
      <c r="H13">
        <v>-476.1693603894791</v>
      </c>
      <c r="I13">
        <v>70.688737122536807</v>
      </c>
      <c r="J13">
        <v>41.706290124458398</v>
      </c>
      <c r="K13">
        <v>13.8065207248947</v>
      </c>
      <c r="L13">
        <v>2.9033639989396834E-5</v>
      </c>
      <c r="M13">
        <v>1.7895208468617273E-6</v>
      </c>
      <c r="N13" s="1">
        <v>-6.1721059643667597E-7</v>
      </c>
      <c r="O13" s="1">
        <v>1.2951711501882599E-10</v>
      </c>
      <c r="P13" s="1">
        <v>2.04112462099934E-9</v>
      </c>
      <c r="Q13">
        <v>65.867601168710294</v>
      </c>
      <c r="S13">
        <v>18.908946226545801</v>
      </c>
      <c r="AA13">
        <v>0.230769984096131</v>
      </c>
      <c r="AB13">
        <v>4.0196012451007803</v>
      </c>
      <c r="AC13">
        <v>10.9730813755468</v>
      </c>
      <c r="AJ13">
        <v>0.35363240678640701</v>
      </c>
      <c r="AK13">
        <v>1.12191303825379E-2</v>
      </c>
      <c r="AL13">
        <v>0.63514846283105397</v>
      </c>
    </row>
    <row r="14" spans="1:38" x14ac:dyDescent="0.2">
      <c r="A14">
        <v>19</v>
      </c>
      <c r="B14">
        <v>724</v>
      </c>
      <c r="C14">
        <v>300</v>
      </c>
      <c r="D14">
        <v>0.249672065386352</v>
      </c>
      <c r="E14">
        <v>20.958569449172401</v>
      </c>
      <c r="F14">
        <v>2.5842458462759801</v>
      </c>
      <c r="G14">
        <v>-337.92271695182757</v>
      </c>
      <c r="H14">
        <v>-294.813734314844</v>
      </c>
      <c r="I14">
        <v>43.232194390997897</v>
      </c>
      <c r="J14">
        <v>26.143837778366098</v>
      </c>
      <c r="K14">
        <v>8.1101298776874096</v>
      </c>
      <c r="L14">
        <v>3.3512023443984886E-5</v>
      </c>
      <c r="M14">
        <v>1.8033931427553292E-6</v>
      </c>
      <c r="N14" s="1">
        <v>-8.9152114251890498E-7</v>
      </c>
      <c r="O14" s="1">
        <v>6.6323028441068303E-11</v>
      </c>
      <c r="P14" s="1">
        <v>2.7261412692249702E-9</v>
      </c>
      <c r="Q14">
        <v>64.627827477749094</v>
      </c>
      <c r="S14">
        <v>21.839026821573899</v>
      </c>
      <c r="AA14">
        <v>2.9374007186136</v>
      </c>
      <c r="AB14">
        <v>8.9384192651341294</v>
      </c>
      <c r="AC14">
        <v>1.65732571692915</v>
      </c>
      <c r="AJ14">
        <v>0.767112913674315</v>
      </c>
      <c r="AK14">
        <v>0.13930687790525301</v>
      </c>
      <c r="AL14">
        <v>9.3580208420430203E-2</v>
      </c>
    </row>
    <row r="15" spans="1:38" x14ac:dyDescent="0.2">
      <c r="A15">
        <v>32</v>
      </c>
      <c r="B15">
        <v>736</v>
      </c>
      <c r="C15">
        <v>285</v>
      </c>
      <c r="D15">
        <v>0.27577713917653601</v>
      </c>
      <c r="E15">
        <v>25.843595982128999</v>
      </c>
      <c r="F15">
        <v>2.5263734276304501</v>
      </c>
      <c r="G15">
        <v>-405.86086468281076</v>
      </c>
      <c r="H15">
        <v>-352.61732341907299</v>
      </c>
      <c r="I15">
        <v>52.760780125588397</v>
      </c>
      <c r="J15">
        <v>30.771594396844801</v>
      </c>
      <c r="K15">
        <v>10.229523355289601</v>
      </c>
      <c r="L15">
        <v>2.864388110966728E-5</v>
      </c>
      <c r="M15">
        <v>1.7889276105853399E-6</v>
      </c>
      <c r="N15" s="1">
        <v>-3.0516189212395199E-7</v>
      </c>
      <c r="O15" s="1">
        <v>9.7017509656998795E-11</v>
      </c>
      <c r="P15" s="1">
        <v>1.0843651156951399E-9</v>
      </c>
      <c r="Q15">
        <v>65.870216911295699</v>
      </c>
      <c r="S15">
        <v>18.9456999912097</v>
      </c>
      <c r="AA15">
        <v>0.26048186849955302</v>
      </c>
      <c r="AB15">
        <v>4.1217850595835603</v>
      </c>
      <c r="AC15">
        <v>10.801816169411399</v>
      </c>
      <c r="AJ15">
        <v>0.362433383066745</v>
      </c>
      <c r="AK15">
        <v>1.2657010519530699E-2</v>
      </c>
      <c r="AL15">
        <v>0.62490960641372295</v>
      </c>
    </row>
    <row r="16" spans="1:38" x14ac:dyDescent="0.2">
      <c r="A16">
        <v>32</v>
      </c>
      <c r="B16">
        <v>736</v>
      </c>
      <c r="C16">
        <v>285</v>
      </c>
      <c r="D16">
        <v>0.27577713917653601</v>
      </c>
      <c r="E16">
        <v>15.1091917035109</v>
      </c>
      <c r="F16">
        <v>2.5832470211252501</v>
      </c>
      <c r="G16">
        <v>-244.04125500165975</v>
      </c>
      <c r="H16">
        <v>-212.3685827453115</v>
      </c>
      <c r="I16">
        <v>31.3854949773058</v>
      </c>
      <c r="J16">
        <v>18.6295813256116</v>
      </c>
      <c r="K16">
        <v>5.8489147882301298</v>
      </c>
      <c r="L16">
        <v>3.223288325810967E-5</v>
      </c>
      <c r="M16">
        <v>1.7965587122939651E-6</v>
      </c>
      <c r="N16" s="1">
        <v>-4.2758418543747601E-7</v>
      </c>
      <c r="O16" s="1">
        <v>4.94550377682373E-11</v>
      </c>
      <c r="P16" s="1">
        <v>1.3601454093746199E-9</v>
      </c>
      <c r="Q16">
        <v>64.493310936493401</v>
      </c>
      <c r="S16">
        <v>21.917028233040099</v>
      </c>
      <c r="AA16">
        <v>3.0331402776869201</v>
      </c>
      <c r="AB16">
        <v>8.8431472064686591</v>
      </c>
      <c r="AC16">
        <v>1.7133733463107701</v>
      </c>
      <c r="AJ16">
        <v>0.75929430245416196</v>
      </c>
      <c r="AK16">
        <v>0.14391516934162499</v>
      </c>
      <c r="AL16">
        <v>9.6790528204211801E-2</v>
      </c>
    </row>
    <row r="17" spans="1:38" x14ac:dyDescent="0.2">
      <c r="A17">
        <v>33</v>
      </c>
      <c r="B17">
        <v>734</v>
      </c>
      <c r="C17">
        <v>285</v>
      </c>
      <c r="D17">
        <v>0.27419997021297599</v>
      </c>
      <c r="E17">
        <v>31.0887960372743</v>
      </c>
      <c r="F17">
        <v>2.5264410911932602</v>
      </c>
      <c r="G17">
        <v>-488.10709796014999</v>
      </c>
      <c r="H17">
        <v>-424.25753611341599</v>
      </c>
      <c r="I17">
        <v>63.396278455775203</v>
      </c>
      <c r="J17">
        <v>37.040546407834398</v>
      </c>
      <c r="K17">
        <v>12.3053714355915</v>
      </c>
      <c r="L17">
        <v>2.8712295095920009E-5</v>
      </c>
      <c r="M17">
        <v>1.7893951146376909E-6</v>
      </c>
      <c r="N17" s="1">
        <v>-3.94707503303198E-7</v>
      </c>
      <c r="O17" s="1">
        <v>1.1649456561459599E-10</v>
      </c>
      <c r="P17" s="1">
        <v>1.3827324649888101E-9</v>
      </c>
      <c r="Q17">
        <v>65.877213816624604</v>
      </c>
      <c r="S17">
        <v>18.941092937400398</v>
      </c>
      <c r="AA17">
        <v>0.25504836972975797</v>
      </c>
      <c r="AB17">
        <v>4.1252992974310603</v>
      </c>
      <c r="AC17">
        <v>10.801345578814001</v>
      </c>
      <c r="AJ17">
        <v>0.362735948836726</v>
      </c>
      <c r="AK17">
        <v>1.23927725137722E-2</v>
      </c>
      <c r="AL17">
        <v>0.62487127864950098</v>
      </c>
    </row>
    <row r="18" spans="1:38" x14ac:dyDescent="0.2">
      <c r="A18">
        <v>33</v>
      </c>
      <c r="B18">
        <v>734</v>
      </c>
      <c r="C18">
        <v>285</v>
      </c>
      <c r="D18">
        <v>0.27419997021297599</v>
      </c>
      <c r="E18">
        <v>18.2061465524976</v>
      </c>
      <c r="F18">
        <v>2.5829458637018599</v>
      </c>
      <c r="G18">
        <v>-293.98030824087948</v>
      </c>
      <c r="H18">
        <v>-255.93221333286917</v>
      </c>
      <c r="I18">
        <v>37.777982334319901</v>
      </c>
      <c r="J18">
        <v>22.484720347109398</v>
      </c>
      <c r="K18">
        <v>7.0485978077777602</v>
      </c>
      <c r="L18">
        <v>3.2427394020276625E-5</v>
      </c>
      <c r="M18">
        <v>1.7985725643347955E-6</v>
      </c>
      <c r="N18" s="1">
        <v>-5.5125780726862799E-7</v>
      </c>
      <c r="O18" s="1">
        <v>5.9360222796196703E-11</v>
      </c>
      <c r="P18" s="1">
        <v>1.74089267400914E-9</v>
      </c>
      <c r="Q18">
        <v>64.552808480449798</v>
      </c>
      <c r="S18">
        <v>21.8763192959773</v>
      </c>
      <c r="AA18">
        <v>2.98567204928522</v>
      </c>
      <c r="AB18">
        <v>8.8690105220114894</v>
      </c>
      <c r="AC18">
        <v>1.7161896522761</v>
      </c>
      <c r="AJ18">
        <v>0.76141788530598098</v>
      </c>
      <c r="AK18">
        <v>0.14164485253046899</v>
      </c>
      <c r="AL18">
        <v>9.6937262163548296E-2</v>
      </c>
    </row>
    <row r="19" spans="1:38" x14ac:dyDescent="0.2">
      <c r="A19">
        <v>34</v>
      </c>
      <c r="B19">
        <v>732</v>
      </c>
      <c r="C19">
        <v>285</v>
      </c>
      <c r="D19">
        <v>0.27261652489678301</v>
      </c>
      <c r="E19">
        <v>32.973541233192798</v>
      </c>
      <c r="F19">
        <v>2.5265051531021601</v>
      </c>
      <c r="G19">
        <v>-517.53100395822366</v>
      </c>
      <c r="H19">
        <v>-450.02870571456026</v>
      </c>
      <c r="I19">
        <v>67.156442564456299</v>
      </c>
      <c r="J19">
        <v>39.3084996993448</v>
      </c>
      <c r="K19">
        <v>13.0510484780553</v>
      </c>
      <c r="L19">
        <v>2.8771234064367185E-5</v>
      </c>
      <c r="M19">
        <v>1.7896930254816625E-6</v>
      </c>
      <c r="N19" s="1">
        <v>-4.4792826966167899E-7</v>
      </c>
      <c r="O19" s="1">
        <v>1.2334186556928301E-10</v>
      </c>
      <c r="P19" s="1">
        <v>1.5493062932E-9</v>
      </c>
      <c r="Q19">
        <v>65.878591548158795</v>
      </c>
      <c r="S19">
        <v>18.9355611240819</v>
      </c>
      <c r="AA19">
        <v>0.25016309228199701</v>
      </c>
      <c r="AB19">
        <v>4.1138671304847803</v>
      </c>
      <c r="AC19">
        <v>10.8218171049924</v>
      </c>
      <c r="AJ19">
        <v>0.36175181221607899</v>
      </c>
      <c r="AK19">
        <v>1.2156106088742799E-2</v>
      </c>
      <c r="AL19">
        <v>0.62609208169517705</v>
      </c>
    </row>
    <row r="20" spans="1:38" x14ac:dyDescent="0.2">
      <c r="A20">
        <v>34</v>
      </c>
      <c r="B20">
        <v>732</v>
      </c>
      <c r="C20">
        <v>285</v>
      </c>
      <c r="D20">
        <v>0.27261652489678301</v>
      </c>
      <c r="E20">
        <v>19.3799387610465</v>
      </c>
      <c r="F20">
        <v>2.5829633541056598</v>
      </c>
      <c r="G20">
        <v>-312.85920428388829</v>
      </c>
      <c r="H20">
        <v>-272.48443044306697</v>
      </c>
      <c r="I20">
        <v>40.167909108910301</v>
      </c>
      <c r="J20">
        <v>23.9744424508599</v>
      </c>
      <c r="K20">
        <v>7.5029863394081104</v>
      </c>
      <c r="L20">
        <v>3.261414469004213E-5</v>
      </c>
      <c r="M20">
        <v>1.799853415856229E-6</v>
      </c>
      <c r="N20" s="1">
        <v>-6.2706370044239295E-7</v>
      </c>
      <c r="O20" s="1">
        <v>6.2883927315927901E-11</v>
      </c>
      <c r="P20" s="1">
        <v>1.9668201172914502E-9</v>
      </c>
      <c r="Q20">
        <v>64.578416304027002</v>
      </c>
      <c r="S20">
        <v>21.860911579980701</v>
      </c>
      <c r="AA20">
        <v>2.9669852902752401</v>
      </c>
      <c r="AB20">
        <v>8.8856828531917706</v>
      </c>
      <c r="AC20">
        <v>1.7080039725251901</v>
      </c>
      <c r="AJ20">
        <v>0.76278633347823499</v>
      </c>
      <c r="AK20">
        <v>0.14074671862656901</v>
      </c>
      <c r="AL20">
        <v>9.6466947895195401E-2</v>
      </c>
    </row>
    <row r="21" spans="1:38" x14ac:dyDescent="0.2">
      <c r="A21">
        <v>35</v>
      </c>
      <c r="B21">
        <v>730</v>
      </c>
      <c r="C21">
        <v>285</v>
      </c>
      <c r="D21">
        <v>0.27102676568808798</v>
      </c>
      <c r="E21">
        <v>33.979264588745401</v>
      </c>
      <c r="F21">
        <v>2.5265695470374001</v>
      </c>
      <c r="G21">
        <v>-533.13488945012909</v>
      </c>
      <c r="H21">
        <v>-463.79994803668831</v>
      </c>
      <c r="I21">
        <v>69.117222163625399</v>
      </c>
      <c r="J21">
        <v>40.531159419603597</v>
      </c>
      <c r="K21">
        <v>13.448774694759001</v>
      </c>
      <c r="L21">
        <v>2.8830678786122857E-5</v>
      </c>
      <c r="M21">
        <v>1.7899533969078251E-6</v>
      </c>
      <c r="N21" s="1">
        <v>-4.9304636817163602E-7</v>
      </c>
      <c r="O21" s="1">
        <v>1.2687590681585499E-10</v>
      </c>
      <c r="P21" s="1">
        <v>1.68517484501807E-9</v>
      </c>
      <c r="Q21">
        <v>65.878406547687504</v>
      </c>
      <c r="S21">
        <v>18.929829109238401</v>
      </c>
      <c r="AA21">
        <v>0.24547728867587901</v>
      </c>
      <c r="AB21">
        <v>4.0984276447290204</v>
      </c>
      <c r="AC21">
        <v>10.847859409669001</v>
      </c>
      <c r="AJ21">
        <v>0.36042250876320497</v>
      </c>
      <c r="AK21">
        <v>1.19293489133852E-2</v>
      </c>
      <c r="AL21">
        <v>0.62764814232340904</v>
      </c>
    </row>
    <row r="22" spans="1:38" x14ac:dyDescent="0.2">
      <c r="A22">
        <v>35</v>
      </c>
      <c r="B22">
        <v>730</v>
      </c>
      <c r="C22">
        <v>285</v>
      </c>
      <c r="D22">
        <v>0.27102676568808798</v>
      </c>
      <c r="E22">
        <v>20.0518844620027</v>
      </c>
      <c r="F22">
        <v>2.5830659022707199</v>
      </c>
      <c r="G22">
        <v>-323.63308706205623</v>
      </c>
      <c r="H22">
        <v>-281.98980083784039</v>
      </c>
      <c r="I22">
        <v>41.512521780606903</v>
      </c>
      <c r="J22">
        <v>24.849651457654801</v>
      </c>
      <c r="K22">
        <v>7.7628234124322901</v>
      </c>
      <c r="L22">
        <v>3.2807322391566954E-5</v>
      </c>
      <c r="M22">
        <v>1.8009652845026483E-6</v>
      </c>
      <c r="N22" s="1">
        <v>-6.92996229010059E-7</v>
      </c>
      <c r="O22" s="1">
        <v>6.4719868108585497E-11</v>
      </c>
      <c r="P22" s="1">
        <v>2.15950936658906E-9</v>
      </c>
      <c r="Q22">
        <v>64.595073956004597</v>
      </c>
      <c r="S22">
        <v>21.852183425870301</v>
      </c>
      <c r="AA22">
        <v>2.9558976384007298</v>
      </c>
      <c r="AB22">
        <v>8.89992154673849</v>
      </c>
      <c r="AC22">
        <v>1.6969234329857501</v>
      </c>
      <c r="AJ22">
        <v>0.76395477259462996</v>
      </c>
      <c r="AK22">
        <v>0.14021085928594301</v>
      </c>
      <c r="AL22">
        <v>9.58343681194255E-2</v>
      </c>
    </row>
    <row r="23" spans="1:38" x14ac:dyDescent="0.2">
      <c r="A23">
        <v>36</v>
      </c>
      <c r="B23">
        <v>728</v>
      </c>
      <c r="C23">
        <v>285</v>
      </c>
      <c r="D23">
        <v>0.26943065474704297</v>
      </c>
      <c r="E23">
        <v>34.607845198785398</v>
      </c>
      <c r="F23">
        <v>2.5266351848069699</v>
      </c>
      <c r="G23">
        <v>-542.80913043390808</v>
      </c>
      <c r="H23">
        <v>-472.422527729526</v>
      </c>
      <c r="I23">
        <v>70.305751090627794</v>
      </c>
      <c r="J23">
        <v>41.3065647253325</v>
      </c>
      <c r="K23">
        <v>13.6972070233516</v>
      </c>
      <c r="L23">
        <v>2.8892947270387253E-5</v>
      </c>
      <c r="M23">
        <v>1.7902050309371808E-6</v>
      </c>
      <c r="N23" s="1">
        <v>-5.3578204691502302E-7</v>
      </c>
      <c r="O23" s="1">
        <v>1.2898052885971799E-10</v>
      </c>
      <c r="P23" s="1">
        <v>1.8107897129622099E-9</v>
      </c>
      <c r="Q23">
        <v>65.877527155470005</v>
      </c>
      <c r="S23">
        <v>18.924051083160101</v>
      </c>
      <c r="AA23">
        <v>0.240915552150861</v>
      </c>
      <c r="AB23">
        <v>4.0813201197641096</v>
      </c>
      <c r="AC23">
        <v>10.876186089454899</v>
      </c>
      <c r="AJ23">
        <v>0.35894934168957698</v>
      </c>
      <c r="AK23">
        <v>1.1708685150402499E-2</v>
      </c>
      <c r="AL23">
        <v>0.62934197316001905</v>
      </c>
    </row>
    <row r="24" spans="1:38" x14ac:dyDescent="0.2">
      <c r="A24">
        <v>36</v>
      </c>
      <c r="B24">
        <v>728</v>
      </c>
      <c r="C24">
        <v>285</v>
      </c>
      <c r="D24">
        <v>0.26943065474704297</v>
      </c>
      <c r="E24">
        <v>20.5105872210736</v>
      </c>
      <c r="F24">
        <v>2.5832038880526902</v>
      </c>
      <c r="G24">
        <v>-330.96266877436921</v>
      </c>
      <c r="H24">
        <v>-288.50140101231335</v>
      </c>
      <c r="I24">
        <v>42.412493394651896</v>
      </c>
      <c r="J24">
        <v>25.466061541924201</v>
      </c>
      <c r="K24">
        <v>7.9399800054246601</v>
      </c>
      <c r="L24">
        <v>3.3010484814839842E-5</v>
      </c>
      <c r="M24">
        <v>1.8020288886638367E-6</v>
      </c>
      <c r="N24" s="1">
        <v>-7.5680632265308301E-7</v>
      </c>
      <c r="O24" s="1">
        <v>6.5822937448650299E-11</v>
      </c>
      <c r="P24" s="1">
        <v>2.3436978518346302E-9</v>
      </c>
      <c r="Q24">
        <v>64.608059628258104</v>
      </c>
      <c r="S24">
        <v>21.846187380542201</v>
      </c>
      <c r="AA24">
        <v>2.94792081051565</v>
      </c>
      <c r="AB24">
        <v>8.91314000872487</v>
      </c>
      <c r="AC24">
        <v>1.68469217195902</v>
      </c>
      <c r="AJ24">
        <v>0.76503930513104001</v>
      </c>
      <c r="AK24">
        <v>0.13982332423732</v>
      </c>
      <c r="AL24">
        <v>9.5137370631639406E-2</v>
      </c>
    </row>
    <row r="25" spans="1:38" x14ac:dyDescent="0.2">
      <c r="A25">
        <v>37</v>
      </c>
      <c r="B25">
        <v>726</v>
      </c>
      <c r="C25">
        <v>285</v>
      </c>
      <c r="D25">
        <v>0.26782815393083897</v>
      </c>
      <c r="E25">
        <v>35.035764990716402</v>
      </c>
      <c r="F25">
        <v>2.5267023978475001</v>
      </c>
      <c r="G25">
        <v>-549.32864739555521</v>
      </c>
      <c r="H25">
        <v>-478.30575553458164</v>
      </c>
      <c r="I25">
        <v>71.083312676748804</v>
      </c>
      <c r="J25">
        <v>41.8450926390801</v>
      </c>
      <c r="K25">
        <v>13.8662016629118</v>
      </c>
      <c r="L25">
        <v>2.8958993737573664E-5</v>
      </c>
      <c r="M25">
        <v>1.7904583331338613E-6</v>
      </c>
      <c r="N25" s="1">
        <v>-5.7811047680111795E-7</v>
      </c>
      <c r="O25" s="1">
        <v>1.30318564626039E-10</v>
      </c>
      <c r="P25" s="1">
        <v>1.9332083487752599E-9</v>
      </c>
      <c r="Q25">
        <v>65.876254855363499</v>
      </c>
      <c r="S25">
        <v>18.918279904417801</v>
      </c>
      <c r="AA25">
        <v>0.23645114443270701</v>
      </c>
      <c r="AB25">
        <v>4.0633549718175201</v>
      </c>
      <c r="AC25">
        <v>10.9056591239684</v>
      </c>
      <c r="AJ25">
        <v>0.357402043645901</v>
      </c>
      <c r="AK25">
        <v>1.14927637310831E-2</v>
      </c>
      <c r="AL25">
        <v>0.63110519262301501</v>
      </c>
    </row>
    <row r="26" spans="1:38" x14ac:dyDescent="0.2">
      <c r="A26">
        <v>37</v>
      </c>
      <c r="B26">
        <v>726</v>
      </c>
      <c r="C26">
        <v>285</v>
      </c>
      <c r="D26">
        <v>0.26782815393083897</v>
      </c>
      <c r="E26">
        <v>20.856917587757899</v>
      </c>
      <c r="F26">
        <v>2.5833602179841901</v>
      </c>
      <c r="G26">
        <v>-336.47689900703506</v>
      </c>
      <c r="H26">
        <v>-293.43571415555186</v>
      </c>
      <c r="I26">
        <v>43.077800982318102</v>
      </c>
      <c r="J26">
        <v>25.948154358486399</v>
      </c>
      <c r="K26">
        <v>8.0735614965970992</v>
      </c>
      <c r="L26">
        <v>3.3225341177121698E-5</v>
      </c>
      <c r="M26">
        <v>1.8030871375596471E-6</v>
      </c>
      <c r="N26" s="1">
        <v>-8.2121730218413601E-7</v>
      </c>
      <c r="O26" s="1">
        <v>6.6527274469644206E-11</v>
      </c>
      <c r="P26" s="1">
        <v>2.5280210758057E-9</v>
      </c>
      <c r="Q26">
        <v>64.619192624148198</v>
      </c>
      <c r="S26">
        <v>21.841561908969101</v>
      </c>
      <c r="AA26">
        <v>2.9415070167136599</v>
      </c>
      <c r="AB26">
        <v>8.9258230180572902</v>
      </c>
      <c r="AC26">
        <v>1.6719154321116101</v>
      </c>
      <c r="AJ26">
        <v>0.76607975153836705</v>
      </c>
      <c r="AK26">
        <v>0.13951033809352101</v>
      </c>
      <c r="AL26">
        <v>9.4409910368110597E-2</v>
      </c>
    </row>
    <row r="27" spans="1:38" x14ac:dyDescent="0.2">
      <c r="A27">
        <v>49</v>
      </c>
      <c r="B27">
        <v>738</v>
      </c>
      <c r="C27">
        <v>270</v>
      </c>
      <c r="D27">
        <v>0.29366612273154402</v>
      </c>
      <c r="E27">
        <v>15.815421104959301</v>
      </c>
      <c r="F27">
        <v>2.5819611355340601</v>
      </c>
      <c r="G27">
        <v>-255.58141707564297</v>
      </c>
      <c r="H27">
        <v>-222.3188790113052</v>
      </c>
      <c r="I27">
        <v>32.895750446855303</v>
      </c>
      <c r="J27">
        <v>19.467764151981701</v>
      </c>
      <c r="K27">
        <v>6.1253521159945699</v>
      </c>
      <c r="L27">
        <v>3.2058205823585603E-5</v>
      </c>
      <c r="M27">
        <v>1.7974967799682838E-6</v>
      </c>
      <c r="N27" s="1">
        <v>-4.1395497342358001E-7</v>
      </c>
      <c r="O27" s="1">
        <v>5.2087848664956203E-11</v>
      </c>
      <c r="P27" s="1">
        <v>1.32814538322148E-9</v>
      </c>
      <c r="Q27">
        <v>64.528557646511004</v>
      </c>
      <c r="S27">
        <v>21.886819852633799</v>
      </c>
      <c r="AA27">
        <v>2.9999937166133801</v>
      </c>
      <c r="AB27">
        <v>8.8424974132971492</v>
      </c>
      <c r="AC27">
        <v>1.74213137094457</v>
      </c>
      <c r="AJ27">
        <v>0.75924150213947605</v>
      </c>
      <c r="AK27">
        <v>0.14234300623591201</v>
      </c>
      <c r="AL27">
        <v>9.8415491624610399E-2</v>
      </c>
    </row>
    <row r="28" spans="1:38" x14ac:dyDescent="0.2">
      <c r="A28">
        <v>49</v>
      </c>
      <c r="B28">
        <v>738</v>
      </c>
      <c r="C28">
        <v>270</v>
      </c>
      <c r="D28">
        <v>0.29366612273154402</v>
      </c>
      <c r="E28">
        <v>26.876172995258202</v>
      </c>
      <c r="F28">
        <v>2.5256863065886201</v>
      </c>
      <c r="G28">
        <v>-422.46747924783239</v>
      </c>
      <c r="H28">
        <v>-366.89751757902769</v>
      </c>
      <c r="I28">
        <v>54.957189011328303</v>
      </c>
      <c r="J28">
        <v>31.993132739555801</v>
      </c>
      <c r="K28">
        <v>10.6411365992474</v>
      </c>
      <c r="L28">
        <v>2.8615117823430384E-5</v>
      </c>
      <c r="M28">
        <v>1.7901634845614513E-6</v>
      </c>
      <c r="N28" s="1">
        <v>-2.9626867957085501E-7</v>
      </c>
      <c r="O28" s="1">
        <v>1.0101563623876699E-10</v>
      </c>
      <c r="P28" s="1">
        <v>1.06796671058544E-9</v>
      </c>
      <c r="Q28">
        <v>65.885185811266993</v>
      </c>
      <c r="S28">
        <v>18.9567394327354</v>
      </c>
      <c r="AA28">
        <v>0.26609673262275102</v>
      </c>
      <c r="AB28">
        <v>4.1840837817541301</v>
      </c>
      <c r="AC28">
        <v>10.7078942416206</v>
      </c>
      <c r="AJ28">
        <v>0.36779470594219699</v>
      </c>
      <c r="AK28">
        <v>1.29257405307122E-2</v>
      </c>
      <c r="AL28">
        <v>0.61927955352708897</v>
      </c>
    </row>
    <row r="29" spans="1:38" x14ac:dyDescent="0.2">
      <c r="A29">
        <v>50</v>
      </c>
      <c r="B29">
        <v>736</v>
      </c>
      <c r="C29">
        <v>270</v>
      </c>
      <c r="D29">
        <v>0.29212753307238798</v>
      </c>
      <c r="E29">
        <v>18.3406854398824</v>
      </c>
      <c r="F29">
        <v>2.5819027581813199</v>
      </c>
      <c r="G29">
        <v>-296.31661320768762</v>
      </c>
      <c r="H29">
        <v>-257.86211483748326</v>
      </c>
      <c r="I29">
        <v>38.105830025471199</v>
      </c>
      <c r="J29">
        <v>22.609088178270799</v>
      </c>
      <c r="K29">
        <v>7.1035539126196303</v>
      </c>
      <c r="L29">
        <v>3.2226381694639037E-5</v>
      </c>
      <c r="M29">
        <v>1.7988847447222847E-6</v>
      </c>
      <c r="N29" s="1">
        <v>-5.1315506013296696E-7</v>
      </c>
      <c r="O29" s="1">
        <v>6.0164976374556705E-11</v>
      </c>
      <c r="P29" s="1">
        <v>1.6340785202620599E-9</v>
      </c>
      <c r="Q29">
        <v>64.561876135910595</v>
      </c>
      <c r="S29">
        <v>21.8656299551918</v>
      </c>
      <c r="AA29">
        <v>2.9747374202480801</v>
      </c>
      <c r="AB29">
        <v>8.8611938094393992</v>
      </c>
      <c r="AC29">
        <v>1.73656267920998</v>
      </c>
      <c r="AJ29">
        <v>0.76077654140631001</v>
      </c>
      <c r="AK29">
        <v>0.14113161268757801</v>
      </c>
      <c r="AL29">
        <v>9.8091845906111405E-2</v>
      </c>
    </row>
    <row r="30" spans="1:38" x14ac:dyDescent="0.2">
      <c r="A30">
        <v>50</v>
      </c>
      <c r="B30">
        <v>736</v>
      </c>
      <c r="C30">
        <v>270</v>
      </c>
      <c r="D30">
        <v>0.29212753307238798</v>
      </c>
      <c r="E30">
        <v>31.4095884374067</v>
      </c>
      <c r="F30">
        <v>2.5257482010800998</v>
      </c>
      <c r="G30">
        <v>-493.57619085764827</v>
      </c>
      <c r="H30">
        <v>-428.83948519151295</v>
      </c>
      <c r="I30">
        <v>64.149735585527495</v>
      </c>
      <c r="J30">
        <v>37.408596864526103</v>
      </c>
      <c r="K30">
        <v>12.4357560361618</v>
      </c>
      <c r="L30">
        <v>2.8669173264657917E-5</v>
      </c>
      <c r="M30">
        <v>1.7904847443206873E-6</v>
      </c>
      <c r="N30" s="1">
        <v>-3.71194679913698E-7</v>
      </c>
      <c r="O30" s="1">
        <v>1.17869614694097E-10</v>
      </c>
      <c r="P30" s="1">
        <v>1.3189434234581699E-9</v>
      </c>
      <c r="Q30">
        <v>65.888090837539494</v>
      </c>
      <c r="S30">
        <v>18.951327108244499</v>
      </c>
      <c r="AA30">
        <v>0.26095366133355802</v>
      </c>
      <c r="AB30">
        <v>4.17636836473815</v>
      </c>
      <c r="AC30">
        <v>10.7232600281441</v>
      </c>
      <c r="AJ30">
        <v>0.36713095057093897</v>
      </c>
      <c r="AK30">
        <v>1.2676413180703699E-2</v>
      </c>
      <c r="AL30">
        <v>0.62019263624835597</v>
      </c>
    </row>
    <row r="31" spans="1:38" x14ac:dyDescent="0.2">
      <c r="A31">
        <v>51</v>
      </c>
      <c r="B31">
        <v>734</v>
      </c>
      <c r="C31">
        <v>270</v>
      </c>
      <c r="D31">
        <v>0.29058283274586499</v>
      </c>
      <c r="E31">
        <v>19.379435365836301</v>
      </c>
      <c r="F31">
        <v>2.58200243795266</v>
      </c>
      <c r="G31">
        <v>-313.02757792521885</v>
      </c>
      <c r="H31">
        <v>-272.52211041992069</v>
      </c>
      <c r="I31">
        <v>40.217909452711197</v>
      </c>
      <c r="J31">
        <v>23.9260583126349</v>
      </c>
      <c r="K31">
        <v>7.50558368225352</v>
      </c>
      <c r="L31">
        <v>3.2395489842275395E-5</v>
      </c>
      <c r="M31">
        <v>1.7999274225769616E-6</v>
      </c>
      <c r="N31" s="1">
        <v>-5.7930142338442302E-7</v>
      </c>
      <c r="O31" s="1">
        <v>6.3282165746673194E-11</v>
      </c>
      <c r="P31" s="1">
        <v>1.8315704515239099E-9</v>
      </c>
      <c r="Q31">
        <v>64.578561721756003</v>
      </c>
      <c r="S31">
        <v>21.856887970530501</v>
      </c>
      <c r="AA31">
        <v>2.9636318400413</v>
      </c>
      <c r="AB31">
        <v>8.8754584935252403</v>
      </c>
      <c r="AC31">
        <v>1.7254599741468799</v>
      </c>
      <c r="AJ31">
        <v>0.76194739739885997</v>
      </c>
      <c r="AK31">
        <v>0.140594792451606</v>
      </c>
      <c r="AL31">
        <v>9.7457810149533003E-2</v>
      </c>
    </row>
    <row r="32" spans="1:38" x14ac:dyDescent="0.2">
      <c r="A32">
        <v>51</v>
      </c>
      <c r="B32">
        <v>734</v>
      </c>
      <c r="C32">
        <v>270</v>
      </c>
      <c r="D32">
        <v>0.29058283274586499</v>
      </c>
      <c r="E32">
        <v>33.175259832449697</v>
      </c>
      <c r="F32">
        <v>2.5258083434830798</v>
      </c>
      <c r="G32">
        <v>-521.14511235857583</v>
      </c>
      <c r="H32">
        <v>-452.99038032845255</v>
      </c>
      <c r="I32">
        <v>67.670885200936596</v>
      </c>
      <c r="J32">
        <v>39.530960918399501</v>
      </c>
      <c r="K32">
        <v>13.1345119347816</v>
      </c>
      <c r="L32">
        <v>2.8720269507844233E-5</v>
      </c>
      <c r="M32">
        <v>1.7907252728699294E-6</v>
      </c>
      <c r="N32" s="1">
        <v>-4.19231404612148E-7</v>
      </c>
      <c r="O32" s="1">
        <v>1.2429951632852301E-10</v>
      </c>
      <c r="P32" s="1">
        <v>1.4699991616461699E-9</v>
      </c>
      <c r="Q32">
        <v>65.888144150535496</v>
      </c>
      <c r="S32">
        <v>18.9454683540913</v>
      </c>
      <c r="AA32">
        <v>0.25610768930955302</v>
      </c>
      <c r="AB32">
        <v>4.1611276841887603</v>
      </c>
      <c r="AC32">
        <v>10.749152121874699</v>
      </c>
      <c r="AJ32">
        <v>0.365819602332072</v>
      </c>
      <c r="AK32">
        <v>1.24419754224897E-2</v>
      </c>
      <c r="AL32">
        <v>0.62173842224543696</v>
      </c>
    </row>
    <row r="33" spans="1:38" x14ac:dyDescent="0.2">
      <c r="A33">
        <v>52</v>
      </c>
      <c r="B33">
        <v>732</v>
      </c>
      <c r="C33">
        <v>270</v>
      </c>
      <c r="D33">
        <v>0.28903198527583002</v>
      </c>
      <c r="E33">
        <v>19.993109479760498</v>
      </c>
      <c r="F33">
        <v>2.58214741708727</v>
      </c>
      <c r="G33">
        <v>-322.86834496820671</v>
      </c>
      <c r="H33">
        <v>-281.21151398719832</v>
      </c>
      <c r="I33">
        <v>41.443397483965903</v>
      </c>
      <c r="J33">
        <v>24.723803616358801</v>
      </c>
      <c r="K33">
        <v>7.7428226395816004</v>
      </c>
      <c r="L33">
        <v>3.2572502807640676E-5</v>
      </c>
      <c r="M33">
        <v>1.8008943949357886E-6</v>
      </c>
      <c r="N33" s="1">
        <v>-6.3838977042634096E-7</v>
      </c>
      <c r="O33" s="1">
        <v>6.4961632735370802E-11</v>
      </c>
      <c r="P33" s="1">
        <v>2.0046370827481401E-9</v>
      </c>
      <c r="Q33">
        <v>64.590539271843099</v>
      </c>
      <c r="S33">
        <v>21.8516596553605</v>
      </c>
      <c r="AA33">
        <v>2.9565236289231298</v>
      </c>
      <c r="AB33">
        <v>8.8884431137382904</v>
      </c>
      <c r="AC33">
        <v>1.7128343301348901</v>
      </c>
      <c r="AJ33">
        <v>0.76301299180122495</v>
      </c>
      <c r="AK33">
        <v>0.14024855006925599</v>
      </c>
      <c r="AL33">
        <v>9.6738458129517604E-2</v>
      </c>
    </row>
    <row r="34" spans="1:38" x14ac:dyDescent="0.2">
      <c r="A34">
        <v>52</v>
      </c>
      <c r="B34">
        <v>732</v>
      </c>
      <c r="C34">
        <v>270</v>
      </c>
      <c r="D34">
        <v>0.28903198527583002</v>
      </c>
      <c r="E34">
        <v>34.143946705764897</v>
      </c>
      <c r="F34">
        <v>2.5258693186360799</v>
      </c>
      <c r="G34">
        <v>-536.17508325806659</v>
      </c>
      <c r="H34">
        <v>-466.25858524420488</v>
      </c>
      <c r="I34">
        <v>69.558272908383501</v>
      </c>
      <c r="J34">
        <v>40.7063549545963</v>
      </c>
      <c r="K34">
        <v>13.5177011945344</v>
      </c>
      <c r="L34">
        <v>2.8773297190000603E-5</v>
      </c>
      <c r="M34">
        <v>1.7909498541509865E-6</v>
      </c>
      <c r="N34" s="1">
        <v>-4.6089367186758802E-7</v>
      </c>
      <c r="O34" s="1">
        <v>1.2771779515837601E-10</v>
      </c>
      <c r="P34" s="1">
        <v>1.5960052141243301E-9</v>
      </c>
      <c r="Q34">
        <v>65.887322470834306</v>
      </c>
      <c r="S34">
        <v>18.939528473569698</v>
      </c>
      <c r="AA34">
        <v>0.25139895478490698</v>
      </c>
      <c r="AB34">
        <v>4.1437244460066696</v>
      </c>
      <c r="AC34">
        <v>10.778025654804299</v>
      </c>
      <c r="AJ34">
        <v>0.36432192621048198</v>
      </c>
      <c r="AK34">
        <v>1.2214303300162601E-2</v>
      </c>
      <c r="AL34">
        <v>0.62346377048935497</v>
      </c>
    </row>
    <row r="35" spans="1:38" x14ac:dyDescent="0.2">
      <c r="A35">
        <v>53</v>
      </c>
      <c r="B35">
        <v>730</v>
      </c>
      <c r="C35">
        <v>270</v>
      </c>
      <c r="D35">
        <v>0.28747495389523398</v>
      </c>
      <c r="E35">
        <v>20.419884485796999</v>
      </c>
      <c r="F35">
        <v>2.5823114600188002</v>
      </c>
      <c r="G35">
        <v>-329.68798493415795</v>
      </c>
      <c r="H35">
        <v>-287.27617333115734</v>
      </c>
      <c r="I35">
        <v>42.278633906195999</v>
      </c>
      <c r="J35">
        <v>25.295340005996898</v>
      </c>
      <c r="K35">
        <v>7.9075993744179804</v>
      </c>
      <c r="L35">
        <v>3.2759575841894881E-5</v>
      </c>
      <c r="M35">
        <v>1.8018497833264098E-6</v>
      </c>
      <c r="N35" s="1">
        <v>-6.9632142165621696E-7</v>
      </c>
      <c r="O35" s="1">
        <v>6.5994234447854904E-11</v>
      </c>
      <c r="P35" s="1">
        <v>2.1722808280394501E-9</v>
      </c>
      <c r="Q35">
        <v>64.600581600719593</v>
      </c>
      <c r="S35">
        <v>21.847865934190299</v>
      </c>
      <c r="AA35">
        <v>2.9510505299572301</v>
      </c>
      <c r="AB35">
        <v>8.9008761719262797</v>
      </c>
      <c r="AC35">
        <v>1.6996257632065099</v>
      </c>
      <c r="AJ35">
        <v>0.76403317134772997</v>
      </c>
      <c r="AK35">
        <v>0.139980290778532</v>
      </c>
      <c r="AL35">
        <v>9.5986537873736802E-2</v>
      </c>
    </row>
    <row r="36" spans="1:38" x14ac:dyDescent="0.2">
      <c r="A36">
        <v>53</v>
      </c>
      <c r="B36">
        <v>730</v>
      </c>
      <c r="C36">
        <v>270</v>
      </c>
      <c r="D36">
        <v>0.28747495389523398</v>
      </c>
      <c r="E36">
        <v>34.758341488766398</v>
      </c>
      <c r="F36">
        <v>2.52593175078627</v>
      </c>
      <c r="G36">
        <v>-545.63099729074111</v>
      </c>
      <c r="H36">
        <v>-474.68902417418082</v>
      </c>
      <c r="I36">
        <v>70.719207612580604</v>
      </c>
      <c r="J36">
        <v>41.461932328983799</v>
      </c>
      <c r="K36">
        <v>13.7606019948665</v>
      </c>
      <c r="L36">
        <v>2.8829579241142283E-5</v>
      </c>
      <c r="M36">
        <v>1.7911741563904292E-6</v>
      </c>
      <c r="N36" s="1">
        <v>-5.0080076717189302E-7</v>
      </c>
      <c r="O36" s="1">
        <v>1.29789296208894E-10</v>
      </c>
      <c r="P36" s="1">
        <v>1.71378503329493E-9</v>
      </c>
      <c r="Q36">
        <v>65.886088821732798</v>
      </c>
      <c r="S36">
        <v>18.933592124029399</v>
      </c>
      <c r="AA36">
        <v>0.24678926078354299</v>
      </c>
      <c r="AB36">
        <v>4.12541241303144</v>
      </c>
      <c r="AC36">
        <v>10.808117380422701</v>
      </c>
      <c r="AJ36">
        <v>0.362745752069697</v>
      </c>
      <c r="AK36">
        <v>1.19914585829118E-2</v>
      </c>
      <c r="AL36">
        <v>0.62526278934738999</v>
      </c>
    </row>
    <row r="37" spans="1:38" x14ac:dyDescent="0.2">
      <c r="A37">
        <v>54</v>
      </c>
      <c r="B37">
        <v>728</v>
      </c>
      <c r="C37">
        <v>270</v>
      </c>
      <c r="D37">
        <v>0.28591170154322698</v>
      </c>
      <c r="E37">
        <v>20.7462629230901</v>
      </c>
      <c r="F37">
        <v>2.5824853309192002</v>
      </c>
      <c r="G37">
        <v>-334.88443815860887</v>
      </c>
      <c r="H37">
        <v>-291.93119174424788</v>
      </c>
      <c r="I37">
        <v>42.903906921401401</v>
      </c>
      <c r="J37">
        <v>25.7472329719571</v>
      </c>
      <c r="K37">
        <v>8.0334485058646106</v>
      </c>
      <c r="L37">
        <v>3.2957941871369075E-5</v>
      </c>
      <c r="M37">
        <v>1.8028175428569943E-6</v>
      </c>
      <c r="N37" s="1">
        <v>-7.5529342304594599E-7</v>
      </c>
      <c r="O37" s="1">
        <v>6.6667090915757001E-11</v>
      </c>
      <c r="P37" s="1">
        <v>2.3415133322057998E-9</v>
      </c>
      <c r="Q37">
        <v>64.609668407715802</v>
      </c>
      <c r="S37">
        <v>21.844772071786402</v>
      </c>
      <c r="AA37">
        <v>2.9463777796074799</v>
      </c>
      <c r="AB37">
        <v>8.9130146715810206</v>
      </c>
      <c r="AC37">
        <v>1.6861670693091499</v>
      </c>
      <c r="AJ37">
        <v>0.76502904886699197</v>
      </c>
      <c r="AK37">
        <v>0.13975022814006899</v>
      </c>
      <c r="AL37">
        <v>9.5220722992938697E-2</v>
      </c>
    </row>
    <row r="38" spans="1:38" x14ac:dyDescent="0.2">
      <c r="A38">
        <v>54</v>
      </c>
      <c r="B38">
        <v>728</v>
      </c>
      <c r="C38">
        <v>270</v>
      </c>
      <c r="D38">
        <v>0.28591170154322698</v>
      </c>
      <c r="E38">
        <v>35.180432036888</v>
      </c>
      <c r="F38">
        <v>2.5259958672904199</v>
      </c>
      <c r="G38">
        <v>-552.06163547172696</v>
      </c>
      <c r="H38">
        <v>-480.49366154893949</v>
      </c>
      <c r="I38">
        <v>71.485765292700904</v>
      </c>
      <c r="J38">
        <v>41.990657029104902</v>
      </c>
      <c r="K38">
        <v>13.9273513834467</v>
      </c>
      <c r="L38">
        <v>2.8889737791548027E-5</v>
      </c>
      <c r="M38">
        <v>1.791404164419067E-6</v>
      </c>
      <c r="N38" s="1">
        <v>-5.4063517391975196E-7</v>
      </c>
      <c r="O38" s="1">
        <v>1.31123383512088E-10</v>
      </c>
      <c r="P38" s="1">
        <v>1.8294455893217E-9</v>
      </c>
      <c r="Q38">
        <v>65.8846079522461</v>
      </c>
      <c r="S38">
        <v>18.927688721642699</v>
      </c>
      <c r="AA38">
        <v>0.24226443401849099</v>
      </c>
      <c r="AB38">
        <v>4.1066358379301304</v>
      </c>
      <c r="AC38">
        <v>10.838803054162399</v>
      </c>
      <c r="AJ38">
        <v>0.36112928626334201</v>
      </c>
      <c r="AK38">
        <v>1.1772724164952401E-2</v>
      </c>
      <c r="AL38">
        <v>0.62709798957170404</v>
      </c>
    </row>
    <row r="39" spans="1:38" x14ac:dyDescent="0.2">
      <c r="A39">
        <v>63</v>
      </c>
      <c r="B39">
        <v>744</v>
      </c>
      <c r="C39">
        <v>255</v>
      </c>
      <c r="D39">
        <v>0.31446738435825899</v>
      </c>
      <c r="E39">
        <v>0.264984845782893</v>
      </c>
      <c r="F39">
        <v>2.5839233685760599</v>
      </c>
      <c r="G39">
        <v>-4.2895950123228346</v>
      </c>
      <c r="H39">
        <v>-3.7272362186605474</v>
      </c>
      <c r="I39">
        <v>0.55287695390285296</v>
      </c>
      <c r="J39">
        <v>0.32490036696309599</v>
      </c>
      <c r="K39">
        <v>0.10255135620717699</v>
      </c>
      <c r="L39">
        <v>3.1527539606369954E-5</v>
      </c>
      <c r="M39">
        <v>1.790453137065305E-6</v>
      </c>
      <c r="N39" s="1">
        <v>-5.6190176379295402E-9</v>
      </c>
      <c r="O39" s="1">
        <v>8.7793858690160095E-13</v>
      </c>
      <c r="P39" s="1">
        <v>1.85055670068608E-11</v>
      </c>
      <c r="Q39">
        <v>64.2341627858697</v>
      </c>
      <c r="S39">
        <v>22.123718539610799</v>
      </c>
      <c r="AA39">
        <v>3.2641305751130298</v>
      </c>
      <c r="AB39">
        <v>8.8075149580205903</v>
      </c>
      <c r="AC39">
        <v>1.57047314138574</v>
      </c>
      <c r="AJ39">
        <v>0.75636503574413805</v>
      </c>
      <c r="AK39">
        <v>0.154901765994295</v>
      </c>
      <c r="AL39">
        <v>8.8733198261566795E-2</v>
      </c>
    </row>
    <row r="40" spans="1:38" x14ac:dyDescent="0.2">
      <c r="A40">
        <v>64</v>
      </c>
      <c r="B40">
        <v>742</v>
      </c>
      <c r="C40">
        <v>255</v>
      </c>
      <c r="D40">
        <v>0.31297887011771702</v>
      </c>
      <c r="E40">
        <v>3.2390987659407502</v>
      </c>
      <c r="F40">
        <v>2.58150200867785</v>
      </c>
      <c r="G40">
        <v>-52.39035531670163</v>
      </c>
      <c r="H40">
        <v>-45.535443031949676</v>
      </c>
      <c r="I40">
        <v>6.7526102396216796</v>
      </c>
      <c r="J40">
        <v>3.97543419937056</v>
      </c>
      <c r="K40">
        <v>1.2547341644718299</v>
      </c>
      <c r="L40">
        <v>3.1705139044321632E-5</v>
      </c>
      <c r="M40">
        <v>1.7953186147330163E-6</v>
      </c>
      <c r="N40" s="1">
        <v>-7.3175200438463405E-8</v>
      </c>
      <c r="O40" s="1">
        <v>1.07502938782305E-11</v>
      </c>
      <c r="P40" s="1">
        <v>2.3895811416750098E-10</v>
      </c>
      <c r="Q40">
        <v>64.449383604879202</v>
      </c>
      <c r="S40">
        <v>21.938488318960601</v>
      </c>
      <c r="AA40">
        <v>3.06109491061203</v>
      </c>
      <c r="AB40">
        <v>8.8015179084977504</v>
      </c>
      <c r="AC40">
        <v>1.74951525705035</v>
      </c>
      <c r="AJ40">
        <v>0.75587585642155797</v>
      </c>
      <c r="AK40">
        <v>0.145271520563691</v>
      </c>
      <c r="AL40">
        <v>9.8852623014749993E-2</v>
      </c>
    </row>
    <row r="41" spans="1:38" x14ac:dyDescent="0.2">
      <c r="A41">
        <v>64</v>
      </c>
      <c r="B41">
        <v>742</v>
      </c>
      <c r="C41">
        <v>255</v>
      </c>
      <c r="D41">
        <v>0.31297887011771702</v>
      </c>
      <c r="E41">
        <v>2.6372873150374798</v>
      </c>
      <c r="F41">
        <v>2.52492910701047</v>
      </c>
      <c r="G41">
        <v>-41.500348842739093</v>
      </c>
      <c r="H41">
        <v>-36.011634286078142</v>
      </c>
      <c r="I41">
        <v>5.4068015137279604</v>
      </c>
      <c r="J41">
        <v>3.1366140943118799</v>
      </c>
      <c r="K41">
        <v>1.04449954959727</v>
      </c>
      <c r="L41">
        <v>2.8511732023262023E-5</v>
      </c>
      <c r="M41">
        <v>1.790669713187322E-6</v>
      </c>
      <c r="N41" s="1">
        <v>-2.5013773589863701E-8</v>
      </c>
      <c r="O41" s="1">
        <v>9.9412451074309107E-12</v>
      </c>
      <c r="P41" s="1">
        <v>9.3231728798677403E-11</v>
      </c>
      <c r="Q41">
        <v>65.883517683667407</v>
      </c>
      <c r="S41">
        <v>18.970945166692498</v>
      </c>
      <c r="AA41">
        <v>0.27820584336300802</v>
      </c>
      <c r="AB41">
        <v>4.2176086272797901</v>
      </c>
      <c r="AC41">
        <v>10.6497226789972</v>
      </c>
      <c r="AJ41">
        <v>0.37067831644160898</v>
      </c>
      <c r="AK41">
        <v>1.3511636182507499E-2</v>
      </c>
      <c r="AL41">
        <v>0.61581004737588296</v>
      </c>
    </row>
    <row r="42" spans="1:38" x14ac:dyDescent="0.2">
      <c r="A42">
        <v>65</v>
      </c>
      <c r="B42">
        <v>740</v>
      </c>
      <c r="C42">
        <v>255</v>
      </c>
      <c r="D42">
        <v>0.31148447909983901</v>
      </c>
      <c r="E42">
        <v>16.401646816779799</v>
      </c>
      <c r="F42">
        <v>2.5807695607540202</v>
      </c>
      <c r="G42">
        <v>-265.19631323829907</v>
      </c>
      <c r="H42">
        <v>-230.58794748522149</v>
      </c>
      <c r="I42">
        <v>34.159172632954103</v>
      </c>
      <c r="J42">
        <v>20.1578885975932</v>
      </c>
      <c r="K42">
        <v>6.35533178405427</v>
      </c>
      <c r="L42">
        <v>3.1890771034477795E-5</v>
      </c>
      <c r="M42">
        <v>1.7982378575054989E-6</v>
      </c>
      <c r="N42" s="1">
        <v>-3.96946928408129E-7</v>
      </c>
      <c r="O42" s="1">
        <v>5.4321541801300901E-11</v>
      </c>
      <c r="P42" s="1">
        <v>1.28518607605113E-9</v>
      </c>
      <c r="Q42">
        <v>64.553503311097202</v>
      </c>
      <c r="S42">
        <v>21.864202383531399</v>
      </c>
      <c r="AA42">
        <v>2.9755133432174401</v>
      </c>
      <c r="AB42">
        <v>8.8387928535708493</v>
      </c>
      <c r="AC42">
        <v>1.76798810858302</v>
      </c>
      <c r="AJ42">
        <v>0.75893779170770803</v>
      </c>
      <c r="AK42">
        <v>0.14118414101972401</v>
      </c>
      <c r="AL42">
        <v>9.9878067272566901E-2</v>
      </c>
    </row>
    <row r="43" spans="1:38" x14ac:dyDescent="0.2">
      <c r="A43">
        <v>65</v>
      </c>
      <c r="B43">
        <v>740</v>
      </c>
      <c r="C43">
        <v>255</v>
      </c>
      <c r="D43">
        <v>0.31148447909983901</v>
      </c>
      <c r="E43">
        <v>27.8476439788422</v>
      </c>
      <c r="F43">
        <v>2.5250053856615202</v>
      </c>
      <c r="G43">
        <v>-438.13551450130848</v>
      </c>
      <c r="H43">
        <v>-380.35188525972904</v>
      </c>
      <c r="I43">
        <v>57.033636916132203</v>
      </c>
      <c r="J43">
        <v>33.141675152334301</v>
      </c>
      <c r="K43">
        <v>11.0287463690088</v>
      </c>
      <c r="L43">
        <v>2.8586204774785352E-5</v>
      </c>
      <c r="M43">
        <v>1.7913575015044566E-6</v>
      </c>
      <c r="N43" s="1">
        <v>-2.8611466719495501E-7</v>
      </c>
      <c r="O43" s="1">
        <v>1.04788059714919E-10</v>
      </c>
      <c r="P43" s="1">
        <v>1.0473061265051899E-9</v>
      </c>
      <c r="Q43">
        <v>65.898434119989403</v>
      </c>
      <c r="S43">
        <v>18.967677504939999</v>
      </c>
      <c r="AA43">
        <v>0.27202944246403499</v>
      </c>
      <c r="AB43">
        <v>4.2422825057267497</v>
      </c>
      <c r="AC43">
        <v>10.6195764268797</v>
      </c>
      <c r="AJ43">
        <v>0.372800112998043</v>
      </c>
      <c r="AK43">
        <v>1.3210010140882199E-2</v>
      </c>
      <c r="AL43">
        <v>0.61398987686107298</v>
      </c>
    </row>
    <row r="44" spans="1:38" x14ac:dyDescent="0.2">
      <c r="A44">
        <v>66</v>
      </c>
      <c r="B44">
        <v>738</v>
      </c>
      <c r="C44">
        <v>255</v>
      </c>
      <c r="D44">
        <v>0.30998417643277698</v>
      </c>
      <c r="E44">
        <v>18.452312024774901</v>
      </c>
      <c r="F44">
        <v>2.5808902480974898</v>
      </c>
      <c r="G44">
        <v>-298.28615609136608</v>
      </c>
      <c r="H44">
        <v>-259.47182657681776</v>
      </c>
      <c r="I44">
        <v>38.386322023980902</v>
      </c>
      <c r="J44">
        <v>22.707877848204401</v>
      </c>
      <c r="K44">
        <v>7.1495919047224401</v>
      </c>
      <c r="L44">
        <v>3.2037770044796914E-5</v>
      </c>
      <c r="M44">
        <v>1.7991650365644887E-6</v>
      </c>
      <c r="N44" s="1">
        <v>-4.7701518982619402E-7</v>
      </c>
      <c r="O44" s="1">
        <v>6.0871322545843606E-11</v>
      </c>
      <c r="P44" s="1">
        <v>1.5323555661814301E-9</v>
      </c>
      <c r="Q44">
        <v>64.567741198236504</v>
      </c>
      <c r="S44">
        <v>21.857306511832899</v>
      </c>
      <c r="AA44">
        <v>2.9665019621385502</v>
      </c>
      <c r="AB44">
        <v>8.8524427974736994</v>
      </c>
      <c r="AC44">
        <v>1.7560075303182601</v>
      </c>
      <c r="AJ44">
        <v>0.76005841545837705</v>
      </c>
      <c r="AK44">
        <v>0.14074704095224599</v>
      </c>
      <c r="AL44">
        <v>9.9194543589375697E-2</v>
      </c>
    </row>
    <row r="45" spans="1:38" x14ac:dyDescent="0.2">
      <c r="A45">
        <v>66</v>
      </c>
      <c r="B45">
        <v>738</v>
      </c>
      <c r="C45">
        <v>255</v>
      </c>
      <c r="D45">
        <v>0.30998417643277698</v>
      </c>
      <c r="E45">
        <v>31.7486019509128</v>
      </c>
      <c r="F45">
        <v>2.5250606567120899</v>
      </c>
      <c r="G45">
        <v>-499.33835552007019</v>
      </c>
      <c r="H45">
        <v>-433.67252101725404</v>
      </c>
      <c r="I45">
        <v>64.941734166855696</v>
      </c>
      <c r="J45">
        <v>37.799461495668503</v>
      </c>
      <c r="K45">
        <v>12.573401698893401</v>
      </c>
      <c r="L45">
        <v>2.8629012100218766E-5</v>
      </c>
      <c r="M45">
        <v>1.7915676559082317E-6</v>
      </c>
      <c r="N45" s="1">
        <v>-3.48938399502413E-7</v>
      </c>
      <c r="O45" s="1">
        <v>1.1930517914007599E-10</v>
      </c>
      <c r="P45" s="1">
        <v>1.25866805361384E-9</v>
      </c>
      <c r="Q45">
        <v>65.898316495245993</v>
      </c>
      <c r="S45">
        <v>18.9616092652549</v>
      </c>
      <c r="AA45">
        <v>0.267050528715855</v>
      </c>
      <c r="AB45">
        <v>4.2261117060333202</v>
      </c>
      <c r="AC45">
        <v>10.6469120047499</v>
      </c>
      <c r="AJ45">
        <v>0.37140966088723698</v>
      </c>
      <c r="AK45">
        <v>1.2969297612881001E-2</v>
      </c>
      <c r="AL45">
        <v>0.61562104149988095</v>
      </c>
    </row>
    <row r="46" spans="1:38" x14ac:dyDescent="0.2">
      <c r="A46">
        <v>67</v>
      </c>
      <c r="B46">
        <v>736</v>
      </c>
      <c r="C46">
        <v>255</v>
      </c>
      <c r="D46">
        <v>0.308477926968244</v>
      </c>
      <c r="E46">
        <v>19.3677314443411</v>
      </c>
      <c r="F46">
        <v>2.5810592064131899</v>
      </c>
      <c r="G46">
        <v>-313.01571521763577</v>
      </c>
      <c r="H46">
        <v>-272.40318147617785</v>
      </c>
      <c r="I46">
        <v>40.244298410997402</v>
      </c>
      <c r="J46">
        <v>23.867607006640199</v>
      </c>
      <c r="K46">
        <v>7.50379200764469</v>
      </c>
      <c r="L46">
        <v>3.2191132343968498E-5</v>
      </c>
      <c r="M46">
        <v>1.8000060286237898E-6</v>
      </c>
      <c r="N46" s="1">
        <v>-5.3477297969260801E-7</v>
      </c>
      <c r="O46" s="1">
        <v>6.3614400413784701E-11</v>
      </c>
      <c r="P46" s="1">
        <v>1.7050657166007099E-9</v>
      </c>
      <c r="Q46">
        <v>64.576972277027807</v>
      </c>
      <c r="S46">
        <v>21.854155376331502</v>
      </c>
      <c r="AA46">
        <v>2.9617482970457698</v>
      </c>
      <c r="AB46">
        <v>8.8647526502169107</v>
      </c>
      <c r="AC46">
        <v>1.74237139937793</v>
      </c>
      <c r="AJ46">
        <v>0.76106883619344801</v>
      </c>
      <c r="AK46">
        <v>0.14051291861079401</v>
      </c>
      <c r="AL46">
        <v>9.8418245195756704E-2</v>
      </c>
    </row>
    <row r="47" spans="1:38" x14ac:dyDescent="0.2">
      <c r="A47">
        <v>67</v>
      </c>
      <c r="B47">
        <v>736</v>
      </c>
      <c r="C47">
        <v>255</v>
      </c>
      <c r="D47">
        <v>0.308477926968244</v>
      </c>
      <c r="E47">
        <v>33.393240308514002</v>
      </c>
      <c r="F47">
        <v>2.5251164521311402</v>
      </c>
      <c r="G47">
        <v>-525.01906933386488</v>
      </c>
      <c r="H47">
        <v>-456.17563273317745</v>
      </c>
      <c r="I47">
        <v>68.219230640328405</v>
      </c>
      <c r="J47">
        <v>39.774396222552497</v>
      </c>
      <c r="K47">
        <v>13.224435760311399</v>
      </c>
      <c r="L47">
        <v>2.867317113762513E-5</v>
      </c>
      <c r="M47">
        <v>1.7917585899778506E-6</v>
      </c>
      <c r="N47" s="1">
        <v>-3.9222269748629002E-7</v>
      </c>
      <c r="O47" s="1">
        <v>1.25307008454935E-10</v>
      </c>
      <c r="P47" s="1">
        <v>1.3953701618767599E-9</v>
      </c>
      <c r="Q47">
        <v>65.897263510453897</v>
      </c>
      <c r="S47">
        <v>18.9554456854694</v>
      </c>
      <c r="AA47">
        <v>0.262211211888845</v>
      </c>
      <c r="AB47">
        <v>4.2076065601553001</v>
      </c>
      <c r="AC47">
        <v>10.6774730320325</v>
      </c>
      <c r="AJ47">
        <v>0.36981820108955898</v>
      </c>
      <c r="AK47">
        <v>1.27354767181999E-2</v>
      </c>
      <c r="AL47">
        <v>0.61744632219224005</v>
      </c>
    </row>
    <row r="48" spans="1:38" x14ac:dyDescent="0.2">
      <c r="A48">
        <v>68</v>
      </c>
      <c r="B48">
        <v>734</v>
      </c>
      <c r="C48">
        <v>255</v>
      </c>
      <c r="D48">
        <v>0.306965695278758</v>
      </c>
      <c r="E48">
        <v>19.926598083413101</v>
      </c>
      <c r="F48">
        <v>2.5812417862745698</v>
      </c>
      <c r="G48">
        <v>-321.97814580061333</v>
      </c>
      <c r="H48">
        <v>-280.32484723423636</v>
      </c>
      <c r="I48">
        <v>41.357591785113399</v>
      </c>
      <c r="J48">
        <v>24.5928666683578</v>
      </c>
      <c r="K48">
        <v>7.7197720063925104</v>
      </c>
      <c r="L48">
        <v>3.2353367554221034E-5</v>
      </c>
      <c r="M48">
        <v>1.8008439532756284E-6</v>
      </c>
      <c r="N48" s="1">
        <v>-5.8767137309366101E-7</v>
      </c>
      <c r="O48" s="1">
        <v>6.5145263214229001E-11</v>
      </c>
      <c r="P48" s="1">
        <v>1.86032201484097E-9</v>
      </c>
      <c r="Q48">
        <v>64.584832900509099</v>
      </c>
      <c r="S48">
        <v>21.8520162920518</v>
      </c>
      <c r="AA48">
        <v>2.95814936158488</v>
      </c>
      <c r="AB48">
        <v>8.8766617406361306</v>
      </c>
      <c r="AC48">
        <v>1.7283397052179701</v>
      </c>
      <c r="AJ48">
        <v>0.76204622762848195</v>
      </c>
      <c r="AK48">
        <v>0.140333880861222</v>
      </c>
      <c r="AL48">
        <v>9.7619891510294196E-2</v>
      </c>
    </row>
    <row r="49" spans="1:38" x14ac:dyDescent="0.2">
      <c r="A49">
        <v>68</v>
      </c>
      <c r="B49">
        <v>734</v>
      </c>
      <c r="C49">
        <v>255</v>
      </c>
      <c r="D49">
        <v>0.306965695278758</v>
      </c>
      <c r="E49">
        <v>34.321450007893098</v>
      </c>
      <c r="F49">
        <v>2.52517376854721</v>
      </c>
      <c r="G49">
        <v>-539.42032028449773</v>
      </c>
      <c r="H49">
        <v>-468.89364270775599</v>
      </c>
      <c r="I49">
        <v>70.025991735830601</v>
      </c>
      <c r="J49">
        <v>40.898721410787097</v>
      </c>
      <c r="K49">
        <v>13.5917180969446</v>
      </c>
      <c r="L49">
        <v>2.8720322181437141E-5</v>
      </c>
      <c r="M49">
        <v>1.7919508477356338E-6</v>
      </c>
      <c r="N49" s="1">
        <v>-4.3059282687333901E-7</v>
      </c>
      <c r="O49" s="1">
        <v>1.2859525676978201E-10</v>
      </c>
      <c r="P49" s="1">
        <v>1.5119003284113499E-9</v>
      </c>
      <c r="Q49">
        <v>65.895888539677401</v>
      </c>
      <c r="S49">
        <v>18.9493032957525</v>
      </c>
      <c r="AA49">
        <v>0.257464508112973</v>
      </c>
      <c r="AB49">
        <v>4.1884394382948997</v>
      </c>
      <c r="AC49">
        <v>10.7089042181621</v>
      </c>
      <c r="AJ49">
        <v>0.36816949224886097</v>
      </c>
      <c r="AK49">
        <v>1.25061524370173E-2</v>
      </c>
      <c r="AL49">
        <v>0.61932435531412</v>
      </c>
    </row>
    <row r="50" spans="1:38" x14ac:dyDescent="0.2">
      <c r="A50">
        <v>69</v>
      </c>
      <c r="B50">
        <v>732</v>
      </c>
      <c r="C50">
        <v>255</v>
      </c>
      <c r="D50">
        <v>0.30544744565487703</v>
      </c>
      <c r="E50">
        <v>20.322936926371199</v>
      </c>
      <c r="F50">
        <v>2.5814295766249602</v>
      </c>
      <c r="G50">
        <v>-328.31129225175101</v>
      </c>
      <c r="H50">
        <v>-285.96327864933801</v>
      </c>
      <c r="I50">
        <v>42.1310387528357</v>
      </c>
      <c r="J50">
        <v>25.1219468792093</v>
      </c>
      <c r="K50">
        <v>7.8727450519653797</v>
      </c>
      <c r="L50">
        <v>3.2525593090346913E-5</v>
      </c>
      <c r="M50">
        <v>1.8017005113361561E-6</v>
      </c>
      <c r="N50" s="1">
        <v>-6.4014833409877105E-7</v>
      </c>
      <c r="O50" s="1">
        <v>6.6110023127264205E-11</v>
      </c>
      <c r="P50" s="1">
        <v>2.0125477106579398E-9</v>
      </c>
      <c r="Q50">
        <v>64.592210535210896</v>
      </c>
      <c r="S50">
        <v>21.850222520790901</v>
      </c>
      <c r="AA50">
        <v>2.9549480117289</v>
      </c>
      <c r="AB50">
        <v>8.8883997994295694</v>
      </c>
      <c r="AC50">
        <v>1.71421913283956</v>
      </c>
      <c r="AJ50">
        <v>0.763009463598886</v>
      </c>
      <c r="AK50">
        <v>0.14017384246157299</v>
      </c>
      <c r="AL50">
        <v>9.6816693939539303E-2</v>
      </c>
    </row>
    <row r="51" spans="1:38" x14ac:dyDescent="0.2">
      <c r="A51">
        <v>69</v>
      </c>
      <c r="B51">
        <v>732</v>
      </c>
      <c r="C51">
        <v>255</v>
      </c>
      <c r="D51">
        <v>0.30544744565487703</v>
      </c>
      <c r="E51">
        <v>34.919192204730003</v>
      </c>
      <c r="F51">
        <v>2.52523284797905</v>
      </c>
      <c r="G51">
        <v>-548.61887267395309</v>
      </c>
      <c r="H51">
        <v>-477.09821870458603</v>
      </c>
      <c r="I51">
        <v>71.154209788953906</v>
      </c>
      <c r="J51">
        <v>41.631752885011998</v>
      </c>
      <c r="K51">
        <v>13.8281078644592</v>
      </c>
      <c r="L51">
        <v>2.8771039095690985E-5</v>
      </c>
      <c r="M51">
        <v>1.7921499405668654E-6</v>
      </c>
      <c r="N51" s="1">
        <v>-4.67730563895254E-7</v>
      </c>
      <c r="O51" s="1">
        <v>1.30623976463476E-10</v>
      </c>
      <c r="P51" s="1">
        <v>1.62193763484309E-9</v>
      </c>
      <c r="Q51">
        <v>65.894342246528794</v>
      </c>
      <c r="S51">
        <v>18.943209738688399</v>
      </c>
      <c r="AA51">
        <v>0.25279806750911998</v>
      </c>
      <c r="AB51">
        <v>4.1690185548621699</v>
      </c>
      <c r="AC51">
        <v>10.7406313924114</v>
      </c>
      <c r="AJ51">
        <v>0.36649862591001497</v>
      </c>
      <c r="AK51">
        <v>1.2280698314984099E-2</v>
      </c>
      <c r="AL51">
        <v>0.62122067577499995</v>
      </c>
    </row>
    <row r="52" spans="1:38" x14ac:dyDescent="0.2">
      <c r="A52">
        <v>70</v>
      </c>
      <c r="B52">
        <v>730</v>
      </c>
      <c r="C52">
        <v>255</v>
      </c>
      <c r="D52">
        <v>0.30392314210237997</v>
      </c>
      <c r="E52">
        <v>20.630163559737198</v>
      </c>
      <c r="F52">
        <v>2.5816197299004999</v>
      </c>
      <c r="G52">
        <v>-333.20249329613318</v>
      </c>
      <c r="H52">
        <v>-290.35009346628794</v>
      </c>
      <c r="I52">
        <v>42.717838638134999</v>
      </c>
      <c r="J52">
        <v>25.5451479989622</v>
      </c>
      <c r="K52">
        <v>7.9911705511068103</v>
      </c>
      <c r="L52">
        <v>3.2708654874229307E-5</v>
      </c>
      <c r="M52">
        <v>1.8025844535375029E-6</v>
      </c>
      <c r="N52" s="1">
        <v>-6.9396061391100204E-7</v>
      </c>
      <c r="O52" s="1">
        <v>6.6752723296793597E-11</v>
      </c>
      <c r="P52" s="1">
        <v>2.1673854446560399E-9</v>
      </c>
      <c r="Q52">
        <v>64.599410287700906</v>
      </c>
      <c r="S52">
        <v>21.848545051255101</v>
      </c>
      <c r="AA52">
        <v>2.9518841183692999</v>
      </c>
      <c r="AB52">
        <v>8.9000463573439497</v>
      </c>
      <c r="AC52">
        <v>1.7001141853307</v>
      </c>
      <c r="AJ52">
        <v>0.76396507815465597</v>
      </c>
      <c r="AK52">
        <v>0.14002040610111199</v>
      </c>
      <c r="AL52">
        <v>9.6014515744230602E-2</v>
      </c>
    </row>
    <row r="53" spans="1:38" x14ac:dyDescent="0.2">
      <c r="A53">
        <v>70</v>
      </c>
      <c r="B53">
        <v>730</v>
      </c>
      <c r="C53">
        <v>255</v>
      </c>
      <c r="D53">
        <v>0.30392314210237997</v>
      </c>
      <c r="E53">
        <v>35.333750100029697</v>
      </c>
      <c r="F53">
        <v>2.5252937743411699</v>
      </c>
      <c r="G53">
        <v>-554.93376022887276</v>
      </c>
      <c r="H53">
        <v>-482.80100975906299</v>
      </c>
      <c r="I53">
        <v>71.9062457955539</v>
      </c>
      <c r="J53">
        <v>42.148827502195502</v>
      </c>
      <c r="K53">
        <v>13.991936486378799</v>
      </c>
      <c r="L53">
        <v>2.8825674333022523E-5</v>
      </c>
      <c r="M53">
        <v>1.7923582025015242E-6</v>
      </c>
      <c r="N53" s="1">
        <v>-5.0505284809048101E-7</v>
      </c>
      <c r="O53" s="1">
        <v>1.31948050473965E-10</v>
      </c>
      <c r="P53" s="1">
        <v>1.7307130124904899E-9</v>
      </c>
      <c r="Q53">
        <v>65.892677148383399</v>
      </c>
      <c r="S53">
        <v>18.9371738784717</v>
      </c>
      <c r="AA53">
        <v>0.24820694891697401</v>
      </c>
      <c r="AB53">
        <v>4.1494841806509397</v>
      </c>
      <c r="AC53">
        <v>10.772457843576801</v>
      </c>
      <c r="AJ53">
        <v>0.36481766107608299</v>
      </c>
      <c r="AK53">
        <v>1.2058865959957E-2</v>
      </c>
      <c r="AL53">
        <v>0.62312347296395898</v>
      </c>
    </row>
    <row r="54" spans="1:38" x14ac:dyDescent="0.2">
      <c r="A54">
        <v>78</v>
      </c>
      <c r="B54">
        <v>746</v>
      </c>
      <c r="C54">
        <v>240</v>
      </c>
      <c r="D54">
        <v>0.33214001864298798</v>
      </c>
      <c r="E54">
        <v>1.47508363566072</v>
      </c>
      <c r="F54">
        <v>2.5814030756261999</v>
      </c>
      <c r="G54">
        <v>-23.886457916197948</v>
      </c>
      <c r="H54">
        <v>-20.745117383407202</v>
      </c>
      <c r="I54">
        <v>3.0823142155627199</v>
      </c>
      <c r="J54">
        <v>1.80666017383372</v>
      </c>
      <c r="K54">
        <v>0.57142708536631504</v>
      </c>
      <c r="L54">
        <v>3.1454018035128174E-5</v>
      </c>
      <c r="M54">
        <v>1.7942637577993342E-6</v>
      </c>
      <c r="N54" s="1">
        <v>-2.9045191461171199E-8</v>
      </c>
      <c r="O54" s="1">
        <v>4.9227266295328201E-12</v>
      </c>
      <c r="P54" s="1">
        <v>9.6608202391944501E-11</v>
      </c>
      <c r="Q54">
        <v>64.393967765559296</v>
      </c>
      <c r="S54">
        <v>21.9968792781338</v>
      </c>
      <c r="AA54">
        <v>3.1221985783277999</v>
      </c>
      <c r="AB54">
        <v>8.83110617266715</v>
      </c>
      <c r="AC54">
        <v>1.65584820531184</v>
      </c>
      <c r="AJ54">
        <v>0.75830436318155103</v>
      </c>
      <c r="AK54">
        <v>0.14814935352283501</v>
      </c>
      <c r="AL54">
        <v>9.3546283295613597E-2</v>
      </c>
    </row>
    <row r="55" spans="1:38" x14ac:dyDescent="0.2">
      <c r="A55">
        <v>79</v>
      </c>
      <c r="B55">
        <v>744</v>
      </c>
      <c r="C55">
        <v>240</v>
      </c>
      <c r="D55">
        <v>0.33068918055350899</v>
      </c>
      <c r="E55">
        <v>10.379025682063199</v>
      </c>
      <c r="F55">
        <v>2.5794562350334602</v>
      </c>
      <c r="G55">
        <v>-167.94434898912255</v>
      </c>
      <c r="H55">
        <v>-145.90449007940765</v>
      </c>
      <c r="I55">
        <v>21.6682484488176</v>
      </c>
      <c r="J55">
        <v>12.7233347080666</v>
      </c>
      <c r="K55">
        <v>4.0237262183781697</v>
      </c>
      <c r="L55">
        <v>3.1606053985431606E-5</v>
      </c>
      <c r="M55">
        <v>1.7981370174634563E-6</v>
      </c>
      <c r="N55" s="1">
        <v>-2.17550272545693E-7</v>
      </c>
      <c r="O55" s="1">
        <v>3.4672014594204599E-11</v>
      </c>
      <c r="P55" s="1">
        <v>7.17268433477045E-10</v>
      </c>
      <c r="Q55">
        <v>64.564249250054402</v>
      </c>
      <c r="S55">
        <v>21.848328510957099</v>
      </c>
      <c r="AA55">
        <v>2.9599098178589398</v>
      </c>
      <c r="AB55">
        <v>8.8211241816651391</v>
      </c>
      <c r="AC55">
        <v>1.8063882394642601</v>
      </c>
      <c r="AJ55">
        <v>0.75748745955695196</v>
      </c>
      <c r="AK55">
        <v>0.14045615678142301</v>
      </c>
      <c r="AL55">
        <v>0.10205638366162401</v>
      </c>
    </row>
    <row r="56" spans="1:38" x14ac:dyDescent="0.2">
      <c r="A56">
        <v>79</v>
      </c>
      <c r="B56">
        <v>744</v>
      </c>
      <c r="C56">
        <v>240</v>
      </c>
      <c r="D56">
        <v>0.33068918055350899</v>
      </c>
      <c r="E56">
        <v>15.478146080742301</v>
      </c>
      <c r="F56">
        <v>2.5242817635033199</v>
      </c>
      <c r="G56">
        <v>-243.82809865127621</v>
      </c>
      <c r="H56">
        <v>-211.49337627106684</v>
      </c>
      <c r="I56">
        <v>31.7895319079873</v>
      </c>
      <c r="J56">
        <v>18.410897688905099</v>
      </c>
      <c r="K56">
        <v>6.1317030073778103</v>
      </c>
      <c r="L56">
        <v>2.8524472895488207E-5</v>
      </c>
      <c r="M56">
        <v>1.7923677603461198E-6</v>
      </c>
      <c r="N56" s="1">
        <v>-1.3845548556517801E-7</v>
      </c>
      <c r="O56" s="1">
        <v>5.8372257713318095E-11</v>
      </c>
      <c r="P56" s="1">
        <v>5.2347547820218701E-10</v>
      </c>
      <c r="Q56">
        <v>65.911515896185804</v>
      </c>
      <c r="S56">
        <v>18.985035932811101</v>
      </c>
      <c r="AA56">
        <v>0.28329786955771802</v>
      </c>
      <c r="AB56">
        <v>4.3169419179775099</v>
      </c>
      <c r="AC56">
        <v>10.503208383467699</v>
      </c>
      <c r="AJ56">
        <v>0.37921685838492702</v>
      </c>
      <c r="AK56">
        <v>1.37519894148041E-2</v>
      </c>
      <c r="AL56">
        <v>0.60703115220026704</v>
      </c>
    </row>
    <row r="57" spans="1:38" x14ac:dyDescent="0.2">
      <c r="A57">
        <v>80</v>
      </c>
      <c r="B57">
        <v>742</v>
      </c>
      <c r="C57">
        <v>240</v>
      </c>
      <c r="D57">
        <v>0.32923262572033701</v>
      </c>
      <c r="E57">
        <v>16.912383470840201</v>
      </c>
      <c r="F57">
        <v>2.5796565291676798</v>
      </c>
      <c r="G57">
        <v>-273.60287644535339</v>
      </c>
      <c r="H57">
        <v>-237.80090940452217</v>
      </c>
      <c r="I57">
        <v>35.267661962105201</v>
      </c>
      <c r="J57">
        <v>20.755433687159499</v>
      </c>
      <c r="K57">
        <v>6.5560601884844498</v>
      </c>
      <c r="L57">
        <v>3.1730862533740736E-5</v>
      </c>
      <c r="M57">
        <v>1.7988233087212326E-6</v>
      </c>
      <c r="N57" s="1">
        <v>-3.78417641859221E-7</v>
      </c>
      <c r="O57" s="1">
        <v>5.6297079442995901E-11</v>
      </c>
      <c r="P57" s="1">
        <v>1.2369976155257701E-9</v>
      </c>
      <c r="Q57">
        <v>64.570028829825006</v>
      </c>
      <c r="S57">
        <v>21.847824709872299</v>
      </c>
      <c r="AA57">
        <v>2.95814559087792</v>
      </c>
      <c r="AB57">
        <v>8.8326828852528294</v>
      </c>
      <c r="AC57">
        <v>1.7913179841717899</v>
      </c>
      <c r="AJ57">
        <v>0.758436479132095</v>
      </c>
      <c r="AK57">
        <v>0.140364379489129</v>
      </c>
      <c r="AL57">
        <v>0.101199141378774</v>
      </c>
    </row>
    <row r="58" spans="1:38" x14ac:dyDescent="0.2">
      <c r="A58">
        <v>80</v>
      </c>
      <c r="B58">
        <v>742</v>
      </c>
      <c r="C58">
        <v>240</v>
      </c>
      <c r="D58">
        <v>0.32923262572033701</v>
      </c>
      <c r="E58">
        <v>28.824752704176301</v>
      </c>
      <c r="F58">
        <v>2.52432969399436</v>
      </c>
      <c r="G58">
        <v>-453.91371825301314</v>
      </c>
      <c r="H58">
        <v>-393.89146428668602</v>
      </c>
      <c r="I58">
        <v>59.126487678005198</v>
      </c>
      <c r="J58">
        <v>34.2968609340803</v>
      </c>
      <c r="K58">
        <v>11.4187749614296</v>
      </c>
      <c r="L58">
        <v>2.8557647305807355E-5</v>
      </c>
      <c r="M58">
        <v>1.7925164296411611E-6</v>
      </c>
      <c r="N58" s="1">
        <v>-2.7564676465130002E-7</v>
      </c>
      <c r="O58" s="1">
        <v>1.08583850873926E-10</v>
      </c>
      <c r="P58" s="1">
        <v>1.0256467320967599E-9</v>
      </c>
      <c r="Q58">
        <v>65.910194544482707</v>
      </c>
      <c r="S58">
        <v>18.9785352545012</v>
      </c>
      <c r="AA58">
        <v>0.27824306274632399</v>
      </c>
      <c r="AB58">
        <v>4.2969549832198899</v>
      </c>
      <c r="AC58">
        <v>10.5360721550497</v>
      </c>
      <c r="AJ58">
        <v>0.377499538050379</v>
      </c>
      <c r="AK58">
        <v>1.35079907993695E-2</v>
      </c>
      <c r="AL58">
        <v>0.60899247115025101</v>
      </c>
    </row>
    <row r="59" spans="1:38" x14ac:dyDescent="0.2">
      <c r="A59">
        <v>81</v>
      </c>
      <c r="B59">
        <v>740</v>
      </c>
      <c r="C59">
        <v>240</v>
      </c>
      <c r="D59">
        <v>0.32777032028821201</v>
      </c>
      <c r="E59">
        <v>18.554855005976599</v>
      </c>
      <c r="F59">
        <v>2.57990629768311</v>
      </c>
      <c r="G59">
        <v>-300.11196616389026</v>
      </c>
      <c r="H59">
        <v>-260.95564347663753</v>
      </c>
      <c r="I59">
        <v>38.648100170016903</v>
      </c>
      <c r="J59">
        <v>22.798052766141701</v>
      </c>
      <c r="K59">
        <v>7.1920654725483004</v>
      </c>
      <c r="L59">
        <v>3.1860698828655998E-5</v>
      </c>
      <c r="M59">
        <v>1.7994167677968685E-6</v>
      </c>
      <c r="N59" s="1">
        <v>-4.4319214878901399E-7</v>
      </c>
      <c r="O59" s="1">
        <v>6.15247869791132E-11</v>
      </c>
      <c r="P59" s="1">
        <v>1.4369104847761299E-9</v>
      </c>
      <c r="Q59">
        <v>64.570666561450693</v>
      </c>
      <c r="S59">
        <v>21.851167092456599</v>
      </c>
      <c r="AA59">
        <v>2.9607542847767099</v>
      </c>
      <c r="AB59">
        <v>8.8428665264709299</v>
      </c>
      <c r="AC59">
        <v>1.7745455348449399</v>
      </c>
      <c r="AJ59">
        <v>0.75927244196700605</v>
      </c>
      <c r="AK59">
        <v>0.140481043404318</v>
      </c>
      <c r="AL59">
        <v>0.100246514628674</v>
      </c>
    </row>
    <row r="60" spans="1:38" x14ac:dyDescent="0.2">
      <c r="A60">
        <v>81</v>
      </c>
      <c r="B60">
        <v>740</v>
      </c>
      <c r="C60">
        <v>240</v>
      </c>
      <c r="D60">
        <v>0.32777032028821201</v>
      </c>
      <c r="E60">
        <v>32.132018659916298</v>
      </c>
      <c r="F60">
        <v>2.5243780864224399</v>
      </c>
      <c r="G60">
        <v>-505.80647955858495</v>
      </c>
      <c r="H60">
        <v>-439.11478460660015</v>
      </c>
      <c r="I60">
        <v>65.826081974026295</v>
      </c>
      <c r="J60">
        <v>38.244255368855796</v>
      </c>
      <c r="K60">
        <v>12.7286870507792</v>
      </c>
      <c r="L60">
        <v>2.8591658893696868E-5</v>
      </c>
      <c r="M60">
        <v>1.792643750164632E-6</v>
      </c>
      <c r="N60" s="1">
        <v>-3.2818074588626102E-7</v>
      </c>
      <c r="O60" s="1">
        <v>1.2089973076125199E-10</v>
      </c>
      <c r="P60" s="1">
        <v>1.2028434980382099E-9</v>
      </c>
      <c r="Q60">
        <v>65.907910590973302</v>
      </c>
      <c r="S60">
        <v>18.9719365996962</v>
      </c>
      <c r="AA60">
        <v>0.27333203429511299</v>
      </c>
      <c r="AB60">
        <v>4.2745660838298596</v>
      </c>
      <c r="AC60">
        <v>10.5722546912054</v>
      </c>
      <c r="AJ60">
        <v>0.37557541448791998</v>
      </c>
      <c r="AK60">
        <v>1.3271085391669799E-2</v>
      </c>
      <c r="AL60">
        <v>0.61115350012040903</v>
      </c>
    </row>
    <row r="61" spans="1:38" x14ac:dyDescent="0.2">
      <c r="A61">
        <v>82</v>
      </c>
      <c r="B61">
        <v>738</v>
      </c>
      <c r="C61">
        <v>240</v>
      </c>
      <c r="D61">
        <v>0.326302230134007</v>
      </c>
      <c r="E61">
        <v>19.3525116281468</v>
      </c>
      <c r="F61">
        <v>2.58013280500038</v>
      </c>
      <c r="G61">
        <v>-312.94756090971384</v>
      </c>
      <c r="H61">
        <v>-272.23563480647579</v>
      </c>
      <c r="I61">
        <v>40.262993723224099</v>
      </c>
      <c r="J61">
        <v>23.808338220917999</v>
      </c>
      <c r="K61">
        <v>7.5005874079973802</v>
      </c>
      <c r="L61">
        <v>3.2000024058201657E-5</v>
      </c>
      <c r="M61">
        <v>1.8000886775725668E-6</v>
      </c>
      <c r="N61" s="1">
        <v>-4.93562767327182E-7</v>
      </c>
      <c r="O61" s="1">
        <v>6.3906654721257495E-11</v>
      </c>
      <c r="P61" s="1">
        <v>1.58768413944962E-9</v>
      </c>
      <c r="Q61">
        <v>64.573756830057704</v>
      </c>
      <c r="S61">
        <v>21.8526399918618</v>
      </c>
      <c r="AA61">
        <v>2.96124836993449</v>
      </c>
      <c r="AB61">
        <v>8.8536144216487198</v>
      </c>
      <c r="AC61">
        <v>1.7587403864972</v>
      </c>
      <c r="AJ61">
        <v>0.76015466871433102</v>
      </c>
      <c r="AK61">
        <v>0.140496979580024</v>
      </c>
      <c r="AL61">
        <v>9.9348351705643601E-2</v>
      </c>
    </row>
    <row r="62" spans="1:38" x14ac:dyDescent="0.2">
      <c r="A62">
        <v>82</v>
      </c>
      <c r="B62">
        <v>738</v>
      </c>
      <c r="C62">
        <v>240</v>
      </c>
      <c r="D62">
        <v>0.326302230134007</v>
      </c>
      <c r="E62">
        <v>33.6427314112224</v>
      </c>
      <c r="F62">
        <v>2.52442925054602</v>
      </c>
      <c r="G62">
        <v>-529.39345574964454</v>
      </c>
      <c r="H62">
        <v>-459.79314319708647</v>
      </c>
      <c r="I62">
        <v>68.832826536674204</v>
      </c>
      <c r="J62">
        <v>40.056866807726898</v>
      </c>
      <c r="K62">
        <v>13.326866420972401</v>
      </c>
      <c r="L62">
        <v>2.8629703095300639E-5</v>
      </c>
      <c r="M62">
        <v>1.7927923282424616E-6</v>
      </c>
      <c r="N62" s="1">
        <v>-3.67026826083694E-7</v>
      </c>
      <c r="O62" s="1">
        <v>1.2642169945657699E-10</v>
      </c>
      <c r="P62" s="1">
        <v>1.32594048461399E-9</v>
      </c>
      <c r="Q62">
        <v>65.905953665737798</v>
      </c>
      <c r="S62">
        <v>18.965490500017999</v>
      </c>
      <c r="AA62">
        <v>0.26847055780866202</v>
      </c>
      <c r="AB62">
        <v>4.2533058925122997</v>
      </c>
      <c r="AC62">
        <v>10.606779383923101</v>
      </c>
      <c r="AJ62">
        <v>0.37374788874692999</v>
      </c>
      <c r="AK62">
        <v>1.30364572790534E-2</v>
      </c>
      <c r="AL62">
        <v>0.61321565397401601</v>
      </c>
    </row>
    <row r="63" spans="1:38" x14ac:dyDescent="0.2">
      <c r="A63">
        <v>83</v>
      </c>
      <c r="B63">
        <v>736</v>
      </c>
      <c r="C63">
        <v>240</v>
      </c>
      <c r="D63">
        <v>0.32482832086409602</v>
      </c>
      <c r="E63">
        <v>19.857441430853001</v>
      </c>
      <c r="F63">
        <v>2.5803483982930802</v>
      </c>
      <c r="G63">
        <v>-321.04457057395001</v>
      </c>
      <c r="H63">
        <v>-279.40134711533995</v>
      </c>
      <c r="I63">
        <v>41.265642826745299</v>
      </c>
      <c r="J63">
        <v>24.4628266586429</v>
      </c>
      <c r="K63">
        <v>7.6956435200722604</v>
      </c>
      <c r="L63">
        <v>3.2148778021550679E-5</v>
      </c>
      <c r="M63">
        <v>1.8008123559260332E-6</v>
      </c>
      <c r="N63" s="1">
        <v>-5.4083722073403599E-7</v>
      </c>
      <c r="O63" s="1">
        <v>6.5288297546758405E-11</v>
      </c>
      <c r="P63" s="1">
        <v>1.7266824818101801E-9</v>
      </c>
      <c r="Q63">
        <v>64.578027384288902</v>
      </c>
      <c r="S63">
        <v>21.853204195373699</v>
      </c>
      <c r="AA63">
        <v>2.9607173681611698</v>
      </c>
      <c r="AB63">
        <v>8.86461025563273</v>
      </c>
      <c r="AC63">
        <v>1.74344079654347</v>
      </c>
      <c r="AJ63">
        <v>0.761057166571248</v>
      </c>
      <c r="AK63">
        <v>0.14046411121925001</v>
      </c>
      <c r="AL63">
        <v>9.8478722209501393E-2</v>
      </c>
    </row>
    <row r="64" spans="1:38" x14ac:dyDescent="0.2">
      <c r="A64">
        <v>83</v>
      </c>
      <c r="B64">
        <v>736</v>
      </c>
      <c r="C64">
        <v>240</v>
      </c>
      <c r="D64">
        <v>0.32482832086409602</v>
      </c>
      <c r="E64">
        <v>34.521942599559601</v>
      </c>
      <c r="F64">
        <v>2.5244827221907902</v>
      </c>
      <c r="G64">
        <v>-543.03103575277646</v>
      </c>
      <c r="H64">
        <v>-471.8443096367169</v>
      </c>
      <c r="I64">
        <v>70.541273463864997</v>
      </c>
      <c r="J64">
        <v>41.1202598956014</v>
      </c>
      <c r="K64">
        <v>13.6748579406401</v>
      </c>
      <c r="L64">
        <v>2.8671490596628382E-5</v>
      </c>
      <c r="M64">
        <v>1.7929556245802563E-6</v>
      </c>
      <c r="N64" s="1">
        <v>-4.02242562281784E-7</v>
      </c>
      <c r="O64" s="1">
        <v>1.2954629455253101E-10</v>
      </c>
      <c r="P64" s="1">
        <v>1.4332733063479E-9</v>
      </c>
      <c r="Q64">
        <v>65.904106318055398</v>
      </c>
      <c r="S64">
        <v>18.9591515828693</v>
      </c>
      <c r="AA64">
        <v>0.26367193958252499</v>
      </c>
      <c r="AB64">
        <v>4.2325708818320704</v>
      </c>
      <c r="AC64">
        <v>10.640499277660499</v>
      </c>
      <c r="AJ64">
        <v>0.37196512682754201</v>
      </c>
      <c r="AK64">
        <v>1.2804796751015901E-2</v>
      </c>
      <c r="AL64">
        <v>0.61523007642144101</v>
      </c>
    </row>
    <row r="65" spans="1:38" x14ac:dyDescent="0.2">
      <c r="A65">
        <v>84</v>
      </c>
      <c r="B65">
        <v>734</v>
      </c>
      <c r="C65">
        <v>240</v>
      </c>
      <c r="D65">
        <v>0.32334855781164801</v>
      </c>
      <c r="E65">
        <v>20.223443015761099</v>
      </c>
      <c r="F65">
        <v>2.58055769980357</v>
      </c>
      <c r="G65">
        <v>-326.89218204363402</v>
      </c>
      <c r="H65">
        <v>-284.61468785321921</v>
      </c>
      <c r="I65">
        <v>41.977356094340202</v>
      </c>
      <c r="J65">
        <v>24.9501083504781</v>
      </c>
      <c r="K65">
        <v>7.8368497698386896</v>
      </c>
      <c r="L65">
        <v>3.2307338918544448E-5</v>
      </c>
      <c r="M65">
        <v>1.801579024609196E-6</v>
      </c>
      <c r="N65" s="1">
        <v>-5.8826704434664404E-7</v>
      </c>
      <c r="O65" s="1">
        <v>6.6182989018291701E-11</v>
      </c>
      <c r="P65" s="1">
        <v>1.86457381954811E-9</v>
      </c>
      <c r="Q65">
        <v>64.583005857873701</v>
      </c>
      <c r="S65">
        <v>21.853216646476099</v>
      </c>
      <c r="AA65">
        <v>2.95956598169722</v>
      </c>
      <c r="AB65">
        <v>8.8757371592653502</v>
      </c>
      <c r="AC65">
        <v>1.7284743546874699</v>
      </c>
      <c r="AJ65">
        <v>0.76197033180753804</v>
      </c>
      <c r="AK65">
        <v>0.140401725816511</v>
      </c>
      <c r="AL65">
        <v>9.7627942375950405E-2</v>
      </c>
    </row>
    <row r="66" spans="1:38" x14ac:dyDescent="0.2">
      <c r="A66">
        <v>84</v>
      </c>
      <c r="B66">
        <v>734</v>
      </c>
      <c r="C66">
        <v>240</v>
      </c>
      <c r="D66">
        <v>0.32334855781164801</v>
      </c>
      <c r="E66">
        <v>35.0977190883346</v>
      </c>
      <c r="F66">
        <v>2.5245383269927402</v>
      </c>
      <c r="G66">
        <v>-551.88828030363095</v>
      </c>
      <c r="H66">
        <v>-479.75036064589847</v>
      </c>
      <c r="I66">
        <v>71.625795221895999</v>
      </c>
      <c r="J66">
        <v>41.824635771010797</v>
      </c>
      <c r="K66">
        <v>13.902628735347101</v>
      </c>
      <c r="L66">
        <v>2.8717053689472288E-5</v>
      </c>
      <c r="M66">
        <v>1.7931316113966531E-6</v>
      </c>
      <c r="N66" s="1">
        <v>-4.3668332537897202E-7</v>
      </c>
      <c r="O66" s="1">
        <v>1.3151148461506201E-10</v>
      </c>
      <c r="P66" s="1">
        <v>1.5356824334481099E-9</v>
      </c>
      <c r="Q66">
        <v>65.902288532085805</v>
      </c>
      <c r="S66">
        <v>18.952902330512799</v>
      </c>
      <c r="AA66">
        <v>0.25894039790645501</v>
      </c>
      <c r="AB66">
        <v>4.2121368157538202</v>
      </c>
      <c r="AC66">
        <v>10.673731923741</v>
      </c>
      <c r="AJ66">
        <v>0.370207871282065</v>
      </c>
      <c r="AK66">
        <v>1.25763258278571E-2</v>
      </c>
      <c r="AL66">
        <v>0.61721580289007705</v>
      </c>
    </row>
    <row r="67" spans="1:38" x14ac:dyDescent="0.2">
      <c r="A67">
        <v>85</v>
      </c>
      <c r="B67">
        <v>732</v>
      </c>
      <c r="C67">
        <v>240</v>
      </c>
      <c r="D67">
        <v>0.32186290603392398</v>
      </c>
      <c r="E67">
        <v>20.511468466397702</v>
      </c>
      <c r="F67">
        <v>2.58076290673558</v>
      </c>
      <c r="G67">
        <v>-331.47693543377289</v>
      </c>
      <c r="H67">
        <v>-288.73244748098301</v>
      </c>
      <c r="I67">
        <v>42.525481721921999</v>
      </c>
      <c r="J67">
        <v>25.345048065653501</v>
      </c>
      <c r="K67">
        <v>7.9478314001121504</v>
      </c>
      <c r="L67">
        <v>3.2476245777415047E-5</v>
      </c>
      <c r="M67">
        <v>1.8023855928793169E-6</v>
      </c>
      <c r="N67" s="1">
        <v>-6.3723063629740796E-7</v>
      </c>
      <c r="O67" s="1">
        <v>6.6793516880813604E-11</v>
      </c>
      <c r="P67" s="1">
        <v>2.0058125729963499E-9</v>
      </c>
      <c r="Q67">
        <v>64.588471264440201</v>
      </c>
      <c r="S67">
        <v>21.852844524806301</v>
      </c>
      <c r="AA67">
        <v>2.9579836996040498</v>
      </c>
      <c r="AB67">
        <v>8.8869409594187303</v>
      </c>
      <c r="AC67">
        <v>1.7137595517306501</v>
      </c>
      <c r="AJ67">
        <v>0.76288971274432105</v>
      </c>
      <c r="AK67">
        <v>0.14031885444193101</v>
      </c>
      <c r="AL67">
        <v>9.6791432813747594E-2</v>
      </c>
    </row>
    <row r="68" spans="1:38" x14ac:dyDescent="0.2">
      <c r="A68">
        <v>85</v>
      </c>
      <c r="B68">
        <v>732</v>
      </c>
      <c r="C68">
        <v>240</v>
      </c>
      <c r="D68">
        <v>0.32186290603392398</v>
      </c>
      <c r="E68">
        <v>35.5012654158689</v>
      </c>
      <c r="F68">
        <v>2.52459598296437</v>
      </c>
      <c r="G68">
        <v>-558.03252917189263</v>
      </c>
      <c r="H68">
        <v>-485.30375617035503</v>
      </c>
      <c r="I68">
        <v>72.3561388862733</v>
      </c>
      <c r="J68">
        <v>42.326102036166397</v>
      </c>
      <c r="K68">
        <v>14.062157135409601</v>
      </c>
      <c r="L68">
        <v>2.8766531673706016E-5</v>
      </c>
      <c r="M68">
        <v>1.7933196926893996E-6</v>
      </c>
      <c r="N68" s="1">
        <v>-4.71516149152562E-7</v>
      </c>
      <c r="O68" s="1">
        <v>1.32812280915483E-10</v>
      </c>
      <c r="P68" s="1">
        <v>1.6375550442561599E-9</v>
      </c>
      <c r="Q68">
        <v>65.900463440942801</v>
      </c>
      <c r="S68">
        <v>18.946734009275001</v>
      </c>
      <c r="AA68">
        <v>0.25427732979425799</v>
      </c>
      <c r="AB68">
        <v>4.1918986419376596</v>
      </c>
      <c r="AC68">
        <v>10.7066265780502</v>
      </c>
      <c r="AJ68">
        <v>0.36846710102845698</v>
      </c>
      <c r="AK68">
        <v>1.2351121015588599E-2</v>
      </c>
      <c r="AL68">
        <v>0.61918177795595297</v>
      </c>
    </row>
    <row r="69" spans="1:38" x14ac:dyDescent="0.2">
      <c r="A69">
        <v>91</v>
      </c>
      <c r="B69">
        <v>750</v>
      </c>
      <c r="C69">
        <v>225</v>
      </c>
      <c r="D69">
        <v>0.35115134633240402</v>
      </c>
      <c r="E69">
        <v>0.81583277191913595</v>
      </c>
      <c r="F69">
        <v>2.5814312997964701</v>
      </c>
      <c r="G69">
        <v>-13.226739480949986</v>
      </c>
      <c r="H69">
        <v>-11.478531678149585</v>
      </c>
      <c r="I69">
        <v>1.7086524974836499</v>
      </c>
      <c r="J69">
        <v>0.99745042213806001</v>
      </c>
      <c r="K69">
        <v>0.316038924601037</v>
      </c>
      <c r="L69">
        <v>3.1226767814332617E-5</v>
      </c>
      <c r="M69">
        <v>1.7929985431865555E-6</v>
      </c>
      <c r="N69" s="1">
        <v>-1.40123208057231E-8</v>
      </c>
      <c r="O69" s="1">
        <v>2.73438893434603E-12</v>
      </c>
      <c r="P69" s="1">
        <v>4.7555155045406002E-11</v>
      </c>
      <c r="Q69">
        <v>64.325435543487302</v>
      </c>
      <c r="S69">
        <v>22.065396773042</v>
      </c>
      <c r="AA69">
        <v>3.1947172703151101</v>
      </c>
      <c r="AB69">
        <v>8.8580133111144193</v>
      </c>
      <c r="AC69">
        <v>1.5564371020411001</v>
      </c>
      <c r="AJ69">
        <v>0.760511909590461</v>
      </c>
      <c r="AK69">
        <v>0.15156988138687499</v>
      </c>
      <c r="AL69">
        <v>8.7918209022663105E-2</v>
      </c>
    </row>
    <row r="70" spans="1:38" x14ac:dyDescent="0.2">
      <c r="A70">
        <v>92</v>
      </c>
      <c r="B70">
        <v>748</v>
      </c>
      <c r="C70">
        <v>225</v>
      </c>
      <c r="D70">
        <v>0.34974342652891699</v>
      </c>
      <c r="E70">
        <v>2.8153002544663002</v>
      </c>
      <c r="F70">
        <v>2.5787229557500302</v>
      </c>
      <c r="G70">
        <v>-45.600847389402752</v>
      </c>
      <c r="H70">
        <v>-39.58465693025358</v>
      </c>
      <c r="I70">
        <v>5.89158346878438</v>
      </c>
      <c r="J70">
        <v>3.44450794577399</v>
      </c>
      <c r="K70">
        <v>1.0917420377356699</v>
      </c>
      <c r="L70">
        <v>3.1382994126374379E-5</v>
      </c>
      <c r="M70">
        <v>1.7981063709946354E-6</v>
      </c>
      <c r="N70" s="1">
        <v>-5.1428876955348301E-8</v>
      </c>
      <c r="O70" s="1">
        <v>9.4635633030679006E-12</v>
      </c>
      <c r="P70" s="1">
        <v>1.7286742666018199E-10</v>
      </c>
      <c r="Q70">
        <v>64.558325055350906</v>
      </c>
      <c r="S70">
        <v>21.862402441204601</v>
      </c>
      <c r="AA70">
        <v>2.97290328426373</v>
      </c>
      <c r="AB70">
        <v>8.8448190692904802</v>
      </c>
      <c r="AC70">
        <v>1.76155014989019</v>
      </c>
      <c r="AJ70">
        <v>0.75943252422153895</v>
      </c>
      <c r="AK70">
        <v>0.14105608000608699</v>
      </c>
      <c r="AL70">
        <v>9.9511395772373001E-2</v>
      </c>
    </row>
    <row r="71" spans="1:38" x14ac:dyDescent="0.2">
      <c r="A71">
        <v>93</v>
      </c>
      <c r="B71">
        <v>746</v>
      </c>
      <c r="C71">
        <v>225</v>
      </c>
      <c r="D71">
        <v>0.34832998086640898</v>
      </c>
      <c r="E71">
        <v>13.4786341176201</v>
      </c>
      <c r="F71">
        <v>2.5781137027118199</v>
      </c>
      <c r="G71">
        <v>-218.21087932330997</v>
      </c>
      <c r="H71">
        <v>-189.49550703598959</v>
      </c>
      <c r="I71">
        <v>28.175805609890901</v>
      </c>
      <c r="J71">
        <v>16.5030167270011</v>
      </c>
      <c r="K71">
        <v>5.2280991732220601</v>
      </c>
      <c r="L71">
        <v>3.1477669817269545E-5</v>
      </c>
      <c r="M71">
        <v>1.7993027723731824E-6</v>
      </c>
      <c r="N71" s="1">
        <v>-2.6151706753394498E-7</v>
      </c>
      <c r="O71" s="1">
        <v>4.52455359311343E-11</v>
      </c>
      <c r="P71" s="1">
        <v>8.7126953977124697E-10</v>
      </c>
      <c r="Q71">
        <v>64.6043528674371</v>
      </c>
      <c r="S71">
        <v>21.814033906133599</v>
      </c>
      <c r="AA71">
        <v>2.92225878686618</v>
      </c>
      <c r="AB71">
        <v>8.8205851775847393</v>
      </c>
      <c r="AC71">
        <v>1.8387692619782701</v>
      </c>
      <c r="AJ71">
        <v>0.75744381609670897</v>
      </c>
      <c r="AK71">
        <v>0.13866999172064501</v>
      </c>
      <c r="AL71">
        <v>0.103886192182644</v>
      </c>
    </row>
    <row r="72" spans="1:38" x14ac:dyDescent="0.2">
      <c r="A72">
        <v>93</v>
      </c>
      <c r="B72">
        <v>746</v>
      </c>
      <c r="C72">
        <v>225</v>
      </c>
      <c r="D72">
        <v>0.34832998086640898</v>
      </c>
      <c r="E72">
        <v>21.372664992685301</v>
      </c>
      <c r="F72">
        <v>2.5236257180155199</v>
      </c>
      <c r="G72">
        <v>-337.00226168046794</v>
      </c>
      <c r="H72">
        <v>-292.19391428702187</v>
      </c>
      <c r="I72">
        <v>43.9663910056871</v>
      </c>
      <c r="J72">
        <v>25.420311524824399</v>
      </c>
      <c r="K72">
        <v>8.4690312196897093</v>
      </c>
      <c r="L72">
        <v>2.8511568803134996E-5</v>
      </c>
      <c r="M72">
        <v>1.7936765992289649E-6</v>
      </c>
      <c r="N72" s="1">
        <v>-1.7847142695878999E-7</v>
      </c>
      <c r="O72" s="1">
        <v>8.0664925223802596E-11</v>
      </c>
      <c r="P72" s="1">
        <v>6.8651991730152796E-10</v>
      </c>
      <c r="Q72">
        <v>65.927130057166494</v>
      </c>
      <c r="S72">
        <v>18.997013775013102</v>
      </c>
      <c r="AA72">
        <v>0.28953636101208402</v>
      </c>
      <c r="AB72">
        <v>4.38313870908339</v>
      </c>
      <c r="AC72">
        <v>10.403181097724699</v>
      </c>
      <c r="AJ72">
        <v>0.38490222297944998</v>
      </c>
      <c r="AK72">
        <v>1.4050090020818799E-2</v>
      </c>
      <c r="AL72">
        <v>0.60104768699972999</v>
      </c>
    </row>
    <row r="73" spans="1:38" x14ac:dyDescent="0.2">
      <c r="A73">
        <v>94</v>
      </c>
      <c r="B73">
        <v>744</v>
      </c>
      <c r="C73">
        <v>225</v>
      </c>
      <c r="D73">
        <v>0.34691097674876298</v>
      </c>
      <c r="E73">
        <v>17.365959180336802</v>
      </c>
      <c r="F73">
        <v>2.5786164094823798</v>
      </c>
      <c r="G73">
        <v>-281.09593174327534</v>
      </c>
      <c r="H73">
        <v>-244.21520880742153</v>
      </c>
      <c r="I73">
        <v>36.2588830908457</v>
      </c>
      <c r="J73">
        <v>21.283336343904001</v>
      </c>
      <c r="K73">
        <v>6.7346035325287996</v>
      </c>
      <c r="L73">
        <v>3.1578153842648061E-5</v>
      </c>
      <c r="M73">
        <v>1.7992688969086528E-6</v>
      </c>
      <c r="N73" s="1">
        <v>-3.5923077346817001E-7</v>
      </c>
      <c r="O73" s="1">
        <v>5.8071173473587498E-11</v>
      </c>
      <c r="P73" s="1">
        <v>1.1862353420519501E-9</v>
      </c>
      <c r="Q73">
        <v>64.578891817765793</v>
      </c>
      <c r="S73">
        <v>21.837164190436901</v>
      </c>
      <c r="AA73">
        <v>2.9472824961175599</v>
      </c>
      <c r="AB73">
        <v>8.8244856410024202</v>
      </c>
      <c r="AC73">
        <v>1.81217585467719</v>
      </c>
      <c r="AJ73">
        <v>0.75776365827967695</v>
      </c>
      <c r="AK73">
        <v>0.139854655380696</v>
      </c>
      <c r="AL73">
        <v>0.10238168633962499</v>
      </c>
    </row>
    <row r="74" spans="1:38" x14ac:dyDescent="0.2">
      <c r="A74">
        <v>94</v>
      </c>
      <c r="B74">
        <v>744</v>
      </c>
      <c r="C74">
        <v>225</v>
      </c>
      <c r="D74">
        <v>0.34691097674876298</v>
      </c>
      <c r="E74">
        <v>29.837673271247301</v>
      </c>
      <c r="F74">
        <v>2.5236582112288599</v>
      </c>
      <c r="G74">
        <v>-470.27748699859592</v>
      </c>
      <c r="H74">
        <v>-407.92852987621865</v>
      </c>
      <c r="I74">
        <v>61.297701540949902</v>
      </c>
      <c r="J74">
        <v>35.4946419714813</v>
      </c>
      <c r="K74">
        <v>11.8231831626352</v>
      </c>
      <c r="L74">
        <v>2.8529515110402067E-5</v>
      </c>
      <c r="M74">
        <v>1.7936416183899113E-6</v>
      </c>
      <c r="N74" s="1">
        <v>-2.6523119637669402E-7</v>
      </c>
      <c r="O74" s="1">
        <v>1.1251604729971399E-10</v>
      </c>
      <c r="P74" s="1">
        <v>1.00429172267536E-9</v>
      </c>
      <c r="Q74">
        <v>65.920533860645307</v>
      </c>
      <c r="S74">
        <v>18.989304047051199</v>
      </c>
      <c r="AA74">
        <v>0.28471488878465101</v>
      </c>
      <c r="AB74">
        <v>4.3482273846247201</v>
      </c>
      <c r="AC74">
        <v>10.457219818893901</v>
      </c>
      <c r="AJ74">
        <v>0.38190432580215</v>
      </c>
      <c r="AK74">
        <v>1.3818576262958E-2</v>
      </c>
      <c r="AL74">
        <v>0.60427709793489104</v>
      </c>
    </row>
    <row r="75" spans="1:38" x14ac:dyDescent="0.2">
      <c r="A75">
        <v>95</v>
      </c>
      <c r="B75">
        <v>742</v>
      </c>
      <c r="C75">
        <v>225</v>
      </c>
      <c r="D75">
        <v>0.345486381322956</v>
      </c>
      <c r="E75">
        <v>18.655221965018001</v>
      </c>
      <c r="F75">
        <v>2.57895273458371</v>
      </c>
      <c r="G75">
        <v>-301.90571425144429</v>
      </c>
      <c r="H75">
        <v>-262.410803671667</v>
      </c>
      <c r="I75">
        <v>38.905492370366197</v>
      </c>
      <c r="J75">
        <v>22.887955643532599</v>
      </c>
      <c r="K75">
        <v>7.2336424451878498</v>
      </c>
      <c r="L75">
        <v>3.1694148233914433E-5</v>
      </c>
      <c r="M75">
        <v>1.7996341979213723E-6</v>
      </c>
      <c r="N75" s="1">
        <v>-4.1174152538520701E-7</v>
      </c>
      <c r="O75" s="1">
        <v>6.2148640123537295E-11</v>
      </c>
      <c r="P75" s="1">
        <v>1.3480083412238499E-9</v>
      </c>
      <c r="Q75">
        <v>64.570505363104004</v>
      </c>
      <c r="S75">
        <v>21.847336434587401</v>
      </c>
      <c r="AA75">
        <v>2.95763156624235</v>
      </c>
      <c r="AB75">
        <v>8.8324647369747993</v>
      </c>
      <c r="AC75">
        <v>1.7920618990913399</v>
      </c>
      <c r="AJ75">
        <v>0.75841857813719504</v>
      </c>
      <c r="AK75">
        <v>0.14034014268127801</v>
      </c>
      <c r="AL75">
        <v>0.10124127918152601</v>
      </c>
    </row>
    <row r="76" spans="1:38" x14ac:dyDescent="0.2">
      <c r="A76">
        <v>95</v>
      </c>
      <c r="B76">
        <v>742</v>
      </c>
      <c r="C76">
        <v>225</v>
      </c>
      <c r="D76">
        <v>0.345486381322956</v>
      </c>
      <c r="E76">
        <v>32.579067218562699</v>
      </c>
      <c r="F76">
        <v>2.5237000089352799</v>
      </c>
      <c r="G76">
        <v>-513.2849154925924</v>
      </c>
      <c r="H76">
        <v>-445.42967705944119</v>
      </c>
      <c r="I76">
        <v>66.842573445452501</v>
      </c>
      <c r="J76">
        <v>38.765736950555201</v>
      </c>
      <c r="K76">
        <v>12.9092471780381</v>
      </c>
      <c r="L76">
        <v>2.8556801826433245E-5</v>
      </c>
      <c r="M76">
        <v>1.7937107562921653E-6</v>
      </c>
      <c r="N76" s="1">
        <v>-3.0898700599278302E-7</v>
      </c>
      <c r="O76" s="1">
        <v>1.2272644740118399E-10</v>
      </c>
      <c r="P76" s="1">
        <v>1.1518397847883001E-9</v>
      </c>
      <c r="Q76">
        <v>65.916826809378307</v>
      </c>
      <c r="S76">
        <v>18.982293068352199</v>
      </c>
      <c r="AA76">
        <v>0.27979574930580697</v>
      </c>
      <c r="AB76">
        <v>4.32158622749155</v>
      </c>
      <c r="AC76">
        <v>10.4994981454719</v>
      </c>
      <c r="AJ76">
        <v>0.37961589639133497</v>
      </c>
      <c r="AK76">
        <v>1.3581668000658799E-2</v>
      </c>
      <c r="AL76">
        <v>0.60680243560800495</v>
      </c>
    </row>
    <row r="77" spans="1:38" x14ac:dyDescent="0.2">
      <c r="A77">
        <v>96</v>
      </c>
      <c r="B77">
        <v>740</v>
      </c>
      <c r="C77">
        <v>225</v>
      </c>
      <c r="D77">
        <v>0.34405616147658602</v>
      </c>
      <c r="E77">
        <v>19.338551760028398</v>
      </c>
      <c r="F77">
        <v>2.5792246864137902</v>
      </c>
      <c r="G77">
        <v>-312.90037191582439</v>
      </c>
      <c r="H77">
        <v>-272.08672075277406</v>
      </c>
      <c r="I77">
        <v>40.283917646005399</v>
      </c>
      <c r="J77">
        <v>23.753863346772</v>
      </c>
      <c r="K77">
        <v>7.4978158598959199</v>
      </c>
      <c r="L77">
        <v>3.1821048727996768E-5</v>
      </c>
      <c r="M77">
        <v>1.8001695002783414E-6</v>
      </c>
      <c r="N77" s="1">
        <v>-4.5558966843742002E-7</v>
      </c>
      <c r="O77" s="1">
        <v>6.4175859157983702E-11</v>
      </c>
      <c r="P77" s="1">
        <v>1.4792951870497699E-9</v>
      </c>
      <c r="Q77">
        <v>64.568780856526004</v>
      </c>
      <c r="S77">
        <v>21.852450355829902</v>
      </c>
      <c r="AA77">
        <v>2.9622529936642099</v>
      </c>
      <c r="AB77">
        <v>8.84202857592242</v>
      </c>
      <c r="AC77">
        <v>1.7744872180573601</v>
      </c>
      <c r="AJ77">
        <v>0.75920363088395504</v>
      </c>
      <c r="AK77">
        <v>0.14055273459839701</v>
      </c>
      <c r="AL77">
        <v>0.10024363451764599</v>
      </c>
    </row>
    <row r="78" spans="1:38" x14ac:dyDescent="0.2">
      <c r="A78">
        <v>96</v>
      </c>
      <c r="B78">
        <v>740</v>
      </c>
      <c r="C78">
        <v>225</v>
      </c>
      <c r="D78">
        <v>0.34405616147658602</v>
      </c>
      <c r="E78">
        <v>33.937512541043198</v>
      </c>
      <c r="F78">
        <v>2.52374644121412</v>
      </c>
      <c r="G78">
        <v>-534.48627591152353</v>
      </c>
      <c r="H78">
        <v>-464.03167046657973</v>
      </c>
      <c r="I78">
        <v>69.540152440353097</v>
      </c>
      <c r="J78">
        <v>40.394632574531499</v>
      </c>
      <c r="K78">
        <v>13.4472750458705</v>
      </c>
      <c r="L78">
        <v>2.8589535374295721E-5</v>
      </c>
      <c r="M78">
        <v>1.7938245362596119E-6</v>
      </c>
      <c r="N78" s="1">
        <v>-3.4367138566499397E-7</v>
      </c>
      <c r="O78" s="1">
        <v>1.2769611231462599E-10</v>
      </c>
      <c r="P78" s="1">
        <v>1.2619361835901701E-9</v>
      </c>
      <c r="Q78">
        <v>65.914179029491905</v>
      </c>
      <c r="S78">
        <v>18.9755922313153</v>
      </c>
      <c r="AA78">
        <v>0.27488531337830702</v>
      </c>
      <c r="AB78">
        <v>4.2981186765225301</v>
      </c>
      <c r="AC78">
        <v>10.537224749291701</v>
      </c>
      <c r="AJ78">
        <v>0.377599564955445</v>
      </c>
      <c r="AK78">
        <v>1.33449026424732E-2</v>
      </c>
      <c r="AL78">
        <v>0.60905553240208099</v>
      </c>
    </row>
    <row r="79" spans="1:38" x14ac:dyDescent="0.2">
      <c r="A79">
        <v>97</v>
      </c>
      <c r="B79">
        <v>738</v>
      </c>
      <c r="C79">
        <v>225</v>
      </c>
      <c r="D79">
        <v>0.34262028383523802</v>
      </c>
      <c r="E79">
        <v>19.789183741531101</v>
      </c>
      <c r="F79">
        <v>2.5794682165936398</v>
      </c>
      <c r="G79">
        <v>-320.12493025754276</v>
      </c>
      <c r="H79">
        <v>-278.49091878507329</v>
      </c>
      <c r="I79">
        <v>41.174911212450702</v>
      </c>
      <c r="J79">
        <v>24.337727280707401</v>
      </c>
      <c r="K79">
        <v>7.6718075509625896</v>
      </c>
      <c r="L79">
        <v>3.1957563049108449E-5</v>
      </c>
      <c r="M79">
        <v>1.8007944018080333E-6</v>
      </c>
      <c r="N79" s="1">
        <v>-4.9775630338254095E-7</v>
      </c>
      <c r="O79" s="1">
        <v>6.5403743680215805E-11</v>
      </c>
      <c r="P79" s="1">
        <v>1.6034474916343199E-9</v>
      </c>
      <c r="Q79">
        <v>64.570029067081506</v>
      </c>
      <c r="S79">
        <v>21.8552986405087</v>
      </c>
      <c r="AA79">
        <v>2.9643116048193199</v>
      </c>
      <c r="AB79">
        <v>8.85227729480685</v>
      </c>
      <c r="AC79">
        <v>1.75808339278346</v>
      </c>
      <c r="AJ79">
        <v>0.76004486656966896</v>
      </c>
      <c r="AK79">
        <v>0.140643240752749</v>
      </c>
      <c r="AL79">
        <v>9.9311892677580602E-2</v>
      </c>
    </row>
    <row r="80" spans="1:38" x14ac:dyDescent="0.2">
      <c r="A80">
        <v>97</v>
      </c>
      <c r="B80">
        <v>738</v>
      </c>
      <c r="C80">
        <v>225</v>
      </c>
      <c r="D80">
        <v>0.34262028383523802</v>
      </c>
      <c r="E80">
        <v>34.755582101596502</v>
      </c>
      <c r="F80">
        <v>2.5237959605675999</v>
      </c>
      <c r="G80">
        <v>-547.1678655452489</v>
      </c>
      <c r="H80">
        <v>-475.24973598833827</v>
      </c>
      <c r="I80">
        <v>71.125084860713699</v>
      </c>
      <c r="J80">
        <v>41.3829197787948</v>
      </c>
      <c r="K80">
        <v>13.7711537083925</v>
      </c>
      <c r="L80">
        <v>2.8626472231628537E-5</v>
      </c>
      <c r="M80">
        <v>1.7939625354061646E-6</v>
      </c>
      <c r="N80" s="1">
        <v>-3.7586496401513202E-7</v>
      </c>
      <c r="O80" s="1">
        <v>1.3060953090491701E-10</v>
      </c>
      <c r="P80" s="1">
        <v>1.3603118486288801E-9</v>
      </c>
      <c r="Q80">
        <v>65.911950425434298</v>
      </c>
      <c r="S80">
        <v>18.969065998313599</v>
      </c>
      <c r="AA80">
        <v>0.27002111861843597</v>
      </c>
      <c r="AB80">
        <v>4.2760429835908003</v>
      </c>
      <c r="AC80">
        <v>10.572919474042701</v>
      </c>
      <c r="AJ80">
        <v>0.37570238419389801</v>
      </c>
      <c r="AK80">
        <v>1.31102330342108E-2</v>
      </c>
      <c r="AL80">
        <v>0.61118738277189</v>
      </c>
    </row>
    <row r="81" spans="1:38" x14ac:dyDescent="0.2">
      <c r="A81">
        <v>98</v>
      </c>
      <c r="B81">
        <v>736</v>
      </c>
      <c r="C81">
        <v>225</v>
      </c>
      <c r="D81">
        <v>0.34117871475994799</v>
      </c>
      <c r="E81">
        <v>20.1241510775432</v>
      </c>
      <c r="F81">
        <v>2.5796964505196001</v>
      </c>
      <c r="G81">
        <v>-325.47506514149239</v>
      </c>
      <c r="H81">
        <v>-283.2690933310484</v>
      </c>
      <c r="I81">
        <v>41.823288718668202</v>
      </c>
      <c r="J81">
        <v>24.782852477800201</v>
      </c>
      <c r="K81">
        <v>7.8009763797945197</v>
      </c>
      <c r="L81">
        <v>3.2103595486224147E-5</v>
      </c>
      <c r="M81">
        <v>1.8014806240820784E-6</v>
      </c>
      <c r="N81" s="1">
        <v>-5.4053528320510102E-7</v>
      </c>
      <c r="O81" s="1">
        <v>6.6223404415195404E-11</v>
      </c>
      <c r="P81" s="1">
        <v>1.72806252801501E-9</v>
      </c>
      <c r="Q81">
        <v>64.5729044977124</v>
      </c>
      <c r="S81">
        <v>21.856899397548698</v>
      </c>
      <c r="AA81">
        <v>2.96496130333965</v>
      </c>
      <c r="AB81">
        <v>8.8628816304859903</v>
      </c>
      <c r="AC81">
        <v>1.74235317091324</v>
      </c>
      <c r="AJ81">
        <v>0.76091522590209504</v>
      </c>
      <c r="AK81">
        <v>0.14066665016782001</v>
      </c>
      <c r="AL81">
        <v>9.8418123930084603E-2</v>
      </c>
    </row>
    <row r="82" spans="1:38" x14ac:dyDescent="0.2">
      <c r="A82">
        <v>98</v>
      </c>
      <c r="B82">
        <v>736</v>
      </c>
      <c r="C82">
        <v>225</v>
      </c>
      <c r="D82">
        <v>0.34117871475994799</v>
      </c>
      <c r="E82">
        <v>35.3016859084793</v>
      </c>
      <c r="F82">
        <v>2.5238480085625699</v>
      </c>
      <c r="G82">
        <v>-555.5619583111187</v>
      </c>
      <c r="H82">
        <v>-482.75181473077021</v>
      </c>
      <c r="I82">
        <v>72.149971342563902</v>
      </c>
      <c r="J82">
        <v>42.049683466818301</v>
      </c>
      <c r="K82">
        <v>13.987247167306601</v>
      </c>
      <c r="L82">
        <v>2.8667294373615428E-5</v>
      </c>
      <c r="M82">
        <v>1.7941177214543867E-6</v>
      </c>
      <c r="N82" s="1">
        <v>-4.07694581937174E-7</v>
      </c>
      <c r="O82" s="1">
        <v>1.3248110003311199E-10</v>
      </c>
      <c r="P82" s="1">
        <v>1.4552328690083301E-9</v>
      </c>
      <c r="Q82">
        <v>65.9099090841367</v>
      </c>
      <c r="S82">
        <v>18.962664449126699</v>
      </c>
      <c r="AA82">
        <v>0.26521609407755797</v>
      </c>
      <c r="AB82">
        <v>4.2547114705100002</v>
      </c>
      <c r="AC82">
        <v>10.6074989021488</v>
      </c>
      <c r="AJ82">
        <v>0.373868753804243</v>
      </c>
      <c r="AK82">
        <v>1.28783350975456E-2</v>
      </c>
      <c r="AL82">
        <v>0.61325291109821001</v>
      </c>
    </row>
    <row r="83" spans="1:38" x14ac:dyDescent="0.2">
      <c r="A83">
        <v>99</v>
      </c>
      <c r="B83">
        <v>734</v>
      </c>
      <c r="C83">
        <v>225</v>
      </c>
      <c r="D83">
        <v>0.33973142034453802</v>
      </c>
      <c r="E83">
        <v>20.392382859054202</v>
      </c>
      <c r="F83">
        <v>2.5799152499832498</v>
      </c>
      <c r="G83">
        <v>-329.74337062214556</v>
      </c>
      <c r="H83">
        <v>-287.10929345327634</v>
      </c>
      <c r="I83">
        <v>42.331407604497102</v>
      </c>
      <c r="J83">
        <v>25.149264357379799</v>
      </c>
      <c r="K83">
        <v>7.90428401056454</v>
      </c>
      <c r="L83">
        <v>3.2259457646846787E-5</v>
      </c>
      <c r="M83">
        <v>1.8022165992656391E-6</v>
      </c>
      <c r="N83" s="1">
        <v>-5.8497944325640903E-7</v>
      </c>
      <c r="O83" s="1">
        <v>6.6797634313317206E-11</v>
      </c>
      <c r="P83" s="1">
        <v>1.85655999601598E-9</v>
      </c>
      <c r="Q83">
        <v>64.576809386888002</v>
      </c>
      <c r="S83">
        <v>21.857705051343501</v>
      </c>
      <c r="AA83">
        <v>2.9647148234637899</v>
      </c>
      <c r="AB83">
        <v>8.8736955928075307</v>
      </c>
      <c r="AC83">
        <v>1.7270751454970501</v>
      </c>
      <c r="AJ83">
        <v>0.76180271087750195</v>
      </c>
      <c r="AK83">
        <v>0.140647398150857</v>
      </c>
      <c r="AL83">
        <v>9.7549890971639297E-2</v>
      </c>
    </row>
    <row r="84" spans="1:38" x14ac:dyDescent="0.2">
      <c r="A84">
        <v>99</v>
      </c>
      <c r="B84">
        <v>734</v>
      </c>
      <c r="C84">
        <v>225</v>
      </c>
      <c r="D84">
        <v>0.33973142034453802</v>
      </c>
      <c r="E84">
        <v>35.689101185762702</v>
      </c>
      <c r="F84">
        <v>2.5239023362771098</v>
      </c>
      <c r="G84">
        <v>-561.45471882889524</v>
      </c>
      <c r="H84">
        <v>-488.08579843625034</v>
      </c>
      <c r="I84">
        <v>72.848056786620603</v>
      </c>
      <c r="J84">
        <v>42.529634329661597</v>
      </c>
      <c r="K84">
        <v>14.140444609439999</v>
      </c>
      <c r="L84">
        <v>2.8711985207012082E-5</v>
      </c>
      <c r="M84">
        <v>1.7942873305178646E-6</v>
      </c>
      <c r="N84" s="1">
        <v>-4.4009106994506698E-7</v>
      </c>
      <c r="O84" s="1">
        <v>1.3373876249451901E-10</v>
      </c>
      <c r="P84" s="1">
        <v>1.55026585619498E-9</v>
      </c>
      <c r="Q84">
        <v>65.907952712788102</v>
      </c>
      <c r="S84">
        <v>18.956364829689299</v>
      </c>
      <c r="AA84">
        <v>0.26047533604761602</v>
      </c>
      <c r="AB84">
        <v>4.2338365304942798</v>
      </c>
      <c r="AC84">
        <v>10.6413705909806</v>
      </c>
      <c r="AJ84">
        <v>0.37207398452875701</v>
      </c>
      <c r="AK84">
        <v>1.2649478367854201E-2</v>
      </c>
      <c r="AL84">
        <v>0.61527653710338803</v>
      </c>
    </row>
    <row r="85" spans="1:38" x14ac:dyDescent="0.2">
      <c r="A85">
        <v>103</v>
      </c>
      <c r="B85">
        <v>754</v>
      </c>
      <c r="C85">
        <v>210</v>
      </c>
      <c r="D85">
        <v>0.37001460351457899</v>
      </c>
      <c r="E85">
        <v>0.35861722218528203</v>
      </c>
      <c r="F85">
        <v>2.5810827201390598</v>
      </c>
      <c r="G85">
        <v>-5.8204553755506803</v>
      </c>
      <c r="H85">
        <v>-5.0472078947829067</v>
      </c>
      <c r="I85">
        <v>0.75280872391352205</v>
      </c>
      <c r="J85">
        <v>0.437782489222237</v>
      </c>
      <c r="K85">
        <v>0.13894061565216301</v>
      </c>
      <c r="L85">
        <v>3.1031191812590186E-5</v>
      </c>
      <c r="M85">
        <v>1.7923561427090078E-6</v>
      </c>
      <c r="N85" s="1">
        <v>-5.3755781930263802E-9</v>
      </c>
      <c r="O85" s="1">
        <v>1.2070706297298599E-12</v>
      </c>
      <c r="P85" s="1">
        <v>1.8650965516078901E-11</v>
      </c>
      <c r="Q85">
        <v>64.285339433954704</v>
      </c>
      <c r="S85">
        <v>22.107974738187799</v>
      </c>
      <c r="AA85">
        <v>3.23920040653439</v>
      </c>
      <c r="AB85">
        <v>8.8802849520316407</v>
      </c>
      <c r="AC85">
        <v>1.4872004692912899</v>
      </c>
      <c r="AJ85">
        <v>0.76233894778240296</v>
      </c>
      <c r="AK85">
        <v>0.153663179559902</v>
      </c>
      <c r="AL85">
        <v>8.3997872657693207E-2</v>
      </c>
    </row>
    <row r="86" spans="1:38" x14ac:dyDescent="0.2">
      <c r="A86">
        <v>104</v>
      </c>
      <c r="B86">
        <v>752</v>
      </c>
      <c r="C86">
        <v>210</v>
      </c>
      <c r="D86">
        <v>0.36864897819831499</v>
      </c>
      <c r="E86">
        <v>2.2942417958340999</v>
      </c>
      <c r="F86">
        <v>2.5785838028722701</v>
      </c>
      <c r="G86">
        <v>-37.204394011461247</v>
      </c>
      <c r="H86">
        <v>-32.271074792824997</v>
      </c>
      <c r="I86">
        <v>4.8122901220662797</v>
      </c>
      <c r="J86">
        <v>2.8025385282189799</v>
      </c>
      <c r="K86">
        <v>0.88972939071382895</v>
      </c>
      <c r="L86">
        <v>3.1180671176900234E-5</v>
      </c>
      <c r="M86">
        <v>1.7973260475050837E-6</v>
      </c>
      <c r="N86" s="1">
        <v>-3.6606098512490299E-8</v>
      </c>
      <c r="O86" s="1">
        <v>7.7442180980242492E-12</v>
      </c>
      <c r="P86" s="1">
        <v>1.2565502170459699E-10</v>
      </c>
      <c r="Q86">
        <v>64.508921673111601</v>
      </c>
      <c r="S86">
        <v>21.9166304675127</v>
      </c>
      <c r="AA86">
        <v>3.0291695650765398</v>
      </c>
      <c r="AB86">
        <v>8.8768921019647404</v>
      </c>
      <c r="AC86">
        <v>1.6683861923343499</v>
      </c>
      <c r="AJ86">
        <v>0.76206396941486898</v>
      </c>
      <c r="AK86">
        <v>0.143702678296212</v>
      </c>
      <c r="AL86">
        <v>9.4233352288917493E-2</v>
      </c>
    </row>
    <row r="87" spans="1:38" x14ac:dyDescent="0.2">
      <c r="A87">
        <v>105</v>
      </c>
      <c r="B87">
        <v>750</v>
      </c>
      <c r="C87">
        <v>210</v>
      </c>
      <c r="D87">
        <v>0.36727801397644499</v>
      </c>
      <c r="E87">
        <v>4.3486659133744503</v>
      </c>
      <c r="F87">
        <v>2.5757761661666501</v>
      </c>
      <c r="G87">
        <v>-70.448907455251103</v>
      </c>
      <c r="H87">
        <v>-61.124030583059174</v>
      </c>
      <c r="I87">
        <v>9.1138903114811303</v>
      </c>
      <c r="J87">
        <v>5.3149356702638899</v>
      </c>
      <c r="K87">
        <v>1.6882934047201199</v>
      </c>
      <c r="L87">
        <v>3.1311726086034869E-5</v>
      </c>
      <c r="M87">
        <v>1.8020290813517035E-6</v>
      </c>
      <c r="N87" s="1">
        <v>-7.3582824672811903E-8</v>
      </c>
      <c r="O87" s="1">
        <v>1.4727027759450599E-11</v>
      </c>
      <c r="P87" s="1">
        <v>2.50136795579702E-10</v>
      </c>
      <c r="Q87">
        <v>64.731727785816503</v>
      </c>
      <c r="S87">
        <v>21.714530290181401</v>
      </c>
      <c r="AA87">
        <v>2.8104460889929301</v>
      </c>
      <c r="AB87">
        <v>8.8435716880516093</v>
      </c>
      <c r="AC87">
        <v>1.8997241469574599</v>
      </c>
      <c r="AJ87">
        <v>0.75933277835687296</v>
      </c>
      <c r="AK87">
        <v>0.13334922505887101</v>
      </c>
      <c r="AL87">
        <v>0.10731799658425401</v>
      </c>
    </row>
    <row r="88" spans="1:38" x14ac:dyDescent="0.2">
      <c r="A88">
        <v>106</v>
      </c>
      <c r="B88">
        <v>748</v>
      </c>
      <c r="C88">
        <v>210</v>
      </c>
      <c r="D88">
        <v>0.36590167947901903</v>
      </c>
      <c r="E88">
        <v>15.3960466402535</v>
      </c>
      <c r="F88">
        <v>2.5770550491895801</v>
      </c>
      <c r="G88">
        <v>-249.38950540495784</v>
      </c>
      <c r="H88">
        <v>-216.48395901317556</v>
      </c>
      <c r="I88">
        <v>32.224008609687303</v>
      </c>
      <c r="J88">
        <v>18.8288073800577</v>
      </c>
      <c r="K88">
        <v>5.9742793019090401</v>
      </c>
      <c r="L88">
        <v>3.1343875616656474E-5</v>
      </c>
      <c r="M88">
        <v>1.7998373296349506E-6</v>
      </c>
      <c r="N88" s="1">
        <v>-2.7631569405150799E-7</v>
      </c>
      <c r="O88" s="1">
        <v>5.1889694584750401E-11</v>
      </c>
      <c r="P88" s="1">
        <v>9.3087592354921903E-10</v>
      </c>
      <c r="Q88">
        <v>64.614933612410098</v>
      </c>
      <c r="S88">
        <v>21.8019545028313</v>
      </c>
      <c r="AA88">
        <v>2.9098242832671501</v>
      </c>
      <c r="AB88">
        <v>8.8124960742535396</v>
      </c>
      <c r="AC88">
        <v>1.8607915272378299</v>
      </c>
      <c r="AJ88">
        <v>0.75677981897305302</v>
      </c>
      <c r="AK88">
        <v>0.13808552640628399</v>
      </c>
      <c r="AL88">
        <v>0.105134654620662</v>
      </c>
    </row>
    <row r="89" spans="1:38" x14ac:dyDescent="0.2">
      <c r="A89">
        <v>106</v>
      </c>
      <c r="B89">
        <v>748</v>
      </c>
      <c r="C89">
        <v>210</v>
      </c>
      <c r="D89">
        <v>0.36590167947901903</v>
      </c>
      <c r="E89">
        <v>25.4035275345659</v>
      </c>
      <c r="F89">
        <v>2.52296630971356</v>
      </c>
      <c r="G89">
        <v>-400.91482017386835</v>
      </c>
      <c r="H89">
        <v>-347.46992385016313</v>
      </c>
      <c r="I89">
        <v>52.337948708520003</v>
      </c>
      <c r="J89">
        <v>30.210411490720499</v>
      </c>
      <c r="K89">
        <v>10.0689127067455</v>
      </c>
      <c r="L89">
        <v>2.849006111679325E-5</v>
      </c>
      <c r="M89">
        <v>1.7948274590936905E-6</v>
      </c>
      <c r="N89" s="1">
        <v>-1.9715869509896E-7</v>
      </c>
      <c r="O89" s="1">
        <v>9.5959474840681703E-11</v>
      </c>
      <c r="P89" s="1">
        <v>7.7308500768231196E-10</v>
      </c>
      <c r="Q89">
        <v>65.937550438398205</v>
      </c>
      <c r="S89">
        <v>19.008156269034501</v>
      </c>
      <c r="AA89">
        <v>0.29629757916501798</v>
      </c>
      <c r="AB89">
        <v>4.4355714666396704</v>
      </c>
      <c r="AC89">
        <v>10.3224242467625</v>
      </c>
      <c r="AJ89">
        <v>0.38940272092922801</v>
      </c>
      <c r="AK89">
        <v>1.4374352614829399E-2</v>
      </c>
      <c r="AL89">
        <v>0.59622292645594199</v>
      </c>
    </row>
    <row r="90" spans="1:38" x14ac:dyDescent="0.2">
      <c r="A90">
        <v>107</v>
      </c>
      <c r="B90">
        <v>746</v>
      </c>
      <c r="C90">
        <v>210</v>
      </c>
      <c r="D90">
        <v>0.36451994308983099</v>
      </c>
      <c r="E90">
        <v>17.7651812544999</v>
      </c>
      <c r="F90">
        <v>2.5776472613346302</v>
      </c>
      <c r="G90">
        <v>-287.71964203932271</v>
      </c>
      <c r="H90">
        <v>-249.87020599840184</v>
      </c>
      <c r="I90">
        <v>37.138238768503903</v>
      </c>
      <c r="J90">
        <v>21.745340152214901</v>
      </c>
      <c r="K90">
        <v>6.8920140940081698</v>
      </c>
      <c r="L90">
        <v>3.14321235889314E-5</v>
      </c>
      <c r="M90">
        <v>1.7995809292423516E-6</v>
      </c>
      <c r="N90" s="1">
        <v>-3.3975003640048801E-7</v>
      </c>
      <c r="O90" s="1">
        <v>5.9649986923264401E-11</v>
      </c>
      <c r="P90" s="1">
        <v>1.13398497670444E-9</v>
      </c>
      <c r="Q90">
        <v>64.580433943977397</v>
      </c>
      <c r="S90">
        <v>21.832003378035299</v>
      </c>
      <c r="AA90">
        <v>2.9426649389744099</v>
      </c>
      <c r="AB90">
        <v>8.8143924459172798</v>
      </c>
      <c r="AC90">
        <v>1.8305052930954699</v>
      </c>
      <c r="AJ90">
        <v>0.75693500173121397</v>
      </c>
      <c r="AK90">
        <v>0.139642562714483</v>
      </c>
      <c r="AL90">
        <v>0.103422435554302</v>
      </c>
    </row>
    <row r="91" spans="1:38" x14ac:dyDescent="0.2">
      <c r="A91">
        <v>107</v>
      </c>
      <c r="B91">
        <v>746</v>
      </c>
      <c r="C91">
        <v>210</v>
      </c>
      <c r="D91">
        <v>0.36451994308983099</v>
      </c>
      <c r="E91">
        <v>30.889937064813399</v>
      </c>
      <c r="F91">
        <v>2.5229898700978999</v>
      </c>
      <c r="G91">
        <v>-487.28326896787189</v>
      </c>
      <c r="H91">
        <v>-422.51145290938103</v>
      </c>
      <c r="I91">
        <v>63.5547427351134</v>
      </c>
      <c r="J91">
        <v>36.739209324056702</v>
      </c>
      <c r="K91">
        <v>12.2433852909662</v>
      </c>
      <c r="L91">
        <v>2.8501726151101621E-5</v>
      </c>
      <c r="M91">
        <v>1.7947325321945592E-6</v>
      </c>
      <c r="N91" s="1">
        <v>-2.5490820752505498E-7</v>
      </c>
      <c r="O91" s="1">
        <v>1.16597910476298E-10</v>
      </c>
      <c r="P91" s="1">
        <v>9.8339174730400496E-10</v>
      </c>
      <c r="Q91">
        <v>65.9294617365574</v>
      </c>
      <c r="S91">
        <v>18.999963024476301</v>
      </c>
      <c r="AA91">
        <v>0.29142545650734097</v>
      </c>
      <c r="AB91">
        <v>4.3960665724827699</v>
      </c>
      <c r="AC91">
        <v>10.383083209976</v>
      </c>
      <c r="AJ91">
        <v>0.38601209048351998</v>
      </c>
      <c r="AK91">
        <v>1.4140830702478201E-2</v>
      </c>
      <c r="AL91">
        <v>0.59984707881400001</v>
      </c>
    </row>
    <row r="92" spans="1:38" x14ac:dyDescent="0.2">
      <c r="A92">
        <v>108</v>
      </c>
      <c r="B92">
        <v>744</v>
      </c>
      <c r="C92">
        <v>210</v>
      </c>
      <c r="D92">
        <v>0.36313277294401303</v>
      </c>
      <c r="E92">
        <v>18.754286668539901</v>
      </c>
      <c r="F92">
        <v>2.5780335961738401</v>
      </c>
      <c r="G92">
        <v>-303.68171297950215</v>
      </c>
      <c r="H92">
        <v>-263.84982958691972</v>
      </c>
      <c r="I92">
        <v>39.160284513181303</v>
      </c>
      <c r="J92">
        <v>22.978485800874701</v>
      </c>
      <c r="K92">
        <v>7.2746478930196403</v>
      </c>
      <c r="L92">
        <v>3.1537050323217889E-5</v>
      </c>
      <c r="M92">
        <v>1.7998066784739998E-6</v>
      </c>
      <c r="N92" s="1">
        <v>-3.8253199103252198E-7</v>
      </c>
      <c r="O92" s="1">
        <v>6.2746261455701202E-11</v>
      </c>
      <c r="P92" s="1">
        <v>1.26531857885201E-9</v>
      </c>
      <c r="Q92">
        <v>64.566883047310199</v>
      </c>
      <c r="S92">
        <v>21.846111420237399</v>
      </c>
      <c r="AA92">
        <v>2.9574661347306801</v>
      </c>
      <c r="AB92">
        <v>8.82118106606789</v>
      </c>
      <c r="AC92">
        <v>1.8083583316537299</v>
      </c>
      <c r="AJ92">
        <v>0.75749216988930601</v>
      </c>
      <c r="AK92">
        <v>0.14034016473313399</v>
      </c>
      <c r="AL92">
        <v>0.102167665377559</v>
      </c>
    </row>
    <row r="93" spans="1:38" x14ac:dyDescent="0.2">
      <c r="A93">
        <v>108</v>
      </c>
      <c r="B93">
        <v>744</v>
      </c>
      <c r="C93">
        <v>210</v>
      </c>
      <c r="D93">
        <v>0.36313277294401303</v>
      </c>
      <c r="E93">
        <v>33.100466490091797</v>
      </c>
      <c r="F93">
        <v>2.5230258046715401</v>
      </c>
      <c r="G93">
        <v>-521.94457894328286</v>
      </c>
      <c r="H93">
        <v>-452.7644411403794</v>
      </c>
      <c r="I93">
        <v>68.013702799885394</v>
      </c>
      <c r="J93">
        <v>39.376499420502697</v>
      </c>
      <c r="K93">
        <v>13.1193531309922</v>
      </c>
      <c r="L93">
        <v>2.8524050183902393E-5</v>
      </c>
      <c r="M93">
        <v>1.79476515691564E-6</v>
      </c>
      <c r="N93" s="1">
        <v>-2.91284811344521E-7</v>
      </c>
      <c r="O93" s="1">
        <v>1.2482693326647301E-10</v>
      </c>
      <c r="P93" s="1">
        <v>1.10555836291175E-9</v>
      </c>
      <c r="Q93">
        <v>65.924981073940401</v>
      </c>
      <c r="S93">
        <v>18.992652910313399</v>
      </c>
      <c r="AA93">
        <v>0.28644003884045399</v>
      </c>
      <c r="AB93">
        <v>4.3669172414265498</v>
      </c>
      <c r="AC93">
        <v>10.429008735479</v>
      </c>
      <c r="AJ93">
        <v>0.38350939650409499</v>
      </c>
      <c r="AK93">
        <v>1.39009845907716E-2</v>
      </c>
      <c r="AL93">
        <v>0.60258961890513196</v>
      </c>
    </row>
    <row r="94" spans="1:38" x14ac:dyDescent="0.2">
      <c r="A94">
        <v>109</v>
      </c>
      <c r="B94">
        <v>742</v>
      </c>
      <c r="C94">
        <v>210</v>
      </c>
      <c r="D94">
        <v>0.361740136925575</v>
      </c>
      <c r="E94">
        <v>19.3277237257862</v>
      </c>
      <c r="F94">
        <v>2.5783380478557398</v>
      </c>
      <c r="G94">
        <v>-312.90464296557769</v>
      </c>
      <c r="H94">
        <v>-271.98295898981729</v>
      </c>
      <c r="I94">
        <v>40.310972738768001</v>
      </c>
      <c r="J94">
        <v>23.706206502481301</v>
      </c>
      <c r="K94">
        <v>7.4961945901004103</v>
      </c>
      <c r="L94">
        <v>3.1653069412013799E-5</v>
      </c>
      <c r="M94">
        <v>1.8002388134583283E-6</v>
      </c>
      <c r="N94" s="1">
        <v>-4.2066140077046901E-7</v>
      </c>
      <c r="O94" s="1">
        <v>6.4429486158596998E-11</v>
      </c>
      <c r="P94" s="1">
        <v>1.37941518477127E-9</v>
      </c>
      <c r="Q94">
        <v>64.561730645936294</v>
      </c>
      <c r="S94">
        <v>21.8538305199584</v>
      </c>
      <c r="AA94">
        <v>2.96503671346048</v>
      </c>
      <c r="AB94">
        <v>8.8299358393369705</v>
      </c>
      <c r="AC94">
        <v>1.7894662813077</v>
      </c>
      <c r="AJ94">
        <v>0.75821083927727395</v>
      </c>
      <c r="AK94">
        <v>0.140693264415682</v>
      </c>
      <c r="AL94">
        <v>0.10109589630704301</v>
      </c>
    </row>
    <row r="95" spans="1:38" x14ac:dyDescent="0.2">
      <c r="A95">
        <v>109</v>
      </c>
      <c r="B95">
        <v>742</v>
      </c>
      <c r="C95">
        <v>210</v>
      </c>
      <c r="D95">
        <v>0.361740136925575</v>
      </c>
      <c r="E95">
        <v>34.2886639859151</v>
      </c>
      <c r="F95">
        <v>2.5230676244980801</v>
      </c>
      <c r="G95">
        <v>-540.47350646096424</v>
      </c>
      <c r="H95">
        <v>-469.04320898124814</v>
      </c>
      <c r="I95">
        <v>70.364278658046601</v>
      </c>
      <c r="J95">
        <v>40.800708713965001</v>
      </c>
      <c r="K95">
        <v>13.5900693477196</v>
      </c>
      <c r="L95">
        <v>2.8552277471629705E-5</v>
      </c>
      <c r="M95">
        <v>1.7948522770799006E-6</v>
      </c>
      <c r="N95" s="1">
        <v>-3.2210270790316802E-7</v>
      </c>
      <c r="O95" s="1">
        <v>1.29173081249192E-10</v>
      </c>
      <c r="P95" s="1">
        <v>1.2033231020670899E-9</v>
      </c>
      <c r="Q95">
        <v>65.9218738636729</v>
      </c>
      <c r="S95">
        <v>18.985732905653599</v>
      </c>
      <c r="AA95">
        <v>0.281455989178584</v>
      </c>
      <c r="AB95">
        <v>4.34185129806984</v>
      </c>
      <c r="AC95">
        <v>10.469085943424799</v>
      </c>
      <c r="AJ95">
        <v>0.38135670488739498</v>
      </c>
      <c r="AK95">
        <v>1.36608501002456E-2</v>
      </c>
      <c r="AL95">
        <v>0.60498244501235898</v>
      </c>
    </row>
    <row r="96" spans="1:38" x14ac:dyDescent="0.2">
      <c r="A96">
        <v>110</v>
      </c>
      <c r="B96">
        <v>740</v>
      </c>
      <c r="C96">
        <v>210</v>
      </c>
      <c r="D96">
        <v>0.36034200266496003</v>
      </c>
      <c r="E96">
        <v>19.7237394486034</v>
      </c>
      <c r="F96">
        <v>2.5786035659088098</v>
      </c>
      <c r="G96">
        <v>-319.25034608227611</v>
      </c>
      <c r="H96">
        <v>-277.62063188166775</v>
      </c>
      <c r="I96">
        <v>41.089388738694403</v>
      </c>
      <c r="J96">
        <v>24.219597254185601</v>
      </c>
      <c r="K96">
        <v>7.6490002997618003</v>
      </c>
      <c r="L96">
        <v>3.1778547683318341E-5</v>
      </c>
      <c r="M96">
        <v>1.8007819306581923E-6</v>
      </c>
      <c r="N96" s="1">
        <v>-4.5821196236203299E-7</v>
      </c>
      <c r="O96" s="1">
        <v>6.5499473006387701E-11</v>
      </c>
      <c r="P96" s="1">
        <v>1.4900754294133201E-9</v>
      </c>
      <c r="Q96">
        <v>64.560603999459502</v>
      </c>
      <c r="S96">
        <v>21.858480799255901</v>
      </c>
      <c r="AA96">
        <v>2.9691361290490899</v>
      </c>
      <c r="AB96">
        <v>8.8396164798277308</v>
      </c>
      <c r="AC96">
        <v>1.7721625924076501</v>
      </c>
      <c r="AJ96">
        <v>0.75900550858425697</v>
      </c>
      <c r="AK96">
        <v>0.140880993257401</v>
      </c>
      <c r="AL96">
        <v>0.100113498158341</v>
      </c>
    </row>
    <row r="97" spans="1:38" x14ac:dyDescent="0.2">
      <c r="A97">
        <v>110</v>
      </c>
      <c r="B97">
        <v>740</v>
      </c>
      <c r="C97">
        <v>210</v>
      </c>
      <c r="D97">
        <v>0.36034200266496003</v>
      </c>
      <c r="E97">
        <v>35.031819944063102</v>
      </c>
      <c r="F97">
        <v>2.5231131921740801</v>
      </c>
      <c r="G97">
        <v>-551.98068930707041</v>
      </c>
      <c r="H97">
        <v>-479.23951888328787</v>
      </c>
      <c r="I97">
        <v>71.797039356247893</v>
      </c>
      <c r="J97">
        <v>41.697782411234598</v>
      </c>
      <c r="K97">
        <v>13.8843631957222</v>
      </c>
      <c r="L97">
        <v>2.8584889168596285E-5</v>
      </c>
      <c r="M97">
        <v>1.7949691632944352E-6</v>
      </c>
      <c r="N97" s="1">
        <v>-3.5141934621097898E-7</v>
      </c>
      <c r="O97" s="1">
        <v>1.3182141780954401E-10</v>
      </c>
      <c r="P97" s="1">
        <v>1.2930121860929899E-9</v>
      </c>
      <c r="Q97">
        <v>65.9193719945238</v>
      </c>
      <c r="S97">
        <v>18.9790336328638</v>
      </c>
      <c r="AA97">
        <v>0.27651279749509899</v>
      </c>
      <c r="AB97">
        <v>4.3187130022323501</v>
      </c>
      <c r="AC97">
        <v>10.506368572884799</v>
      </c>
      <c r="AJ97">
        <v>0.37936907716892498</v>
      </c>
      <c r="AK97">
        <v>1.3422506108229801E-2</v>
      </c>
      <c r="AL97">
        <v>0.60720841672284398</v>
      </c>
    </row>
    <row r="98" spans="1:38" x14ac:dyDescent="0.2">
      <c r="A98">
        <v>111</v>
      </c>
      <c r="B98">
        <v>738</v>
      </c>
      <c r="C98">
        <v>210</v>
      </c>
      <c r="D98">
        <v>0.35893833753646798</v>
      </c>
      <c r="E98">
        <v>20.026789268819702</v>
      </c>
      <c r="F98">
        <v>2.5788475301938201</v>
      </c>
      <c r="G98">
        <v>-324.08799221679249</v>
      </c>
      <c r="H98">
        <v>-281.9509080019422</v>
      </c>
      <c r="I98">
        <v>41.672436547347303</v>
      </c>
      <c r="J98">
        <v>24.621945568143499</v>
      </c>
      <c r="K98">
        <v>7.7657903518299598</v>
      </c>
      <c r="L98">
        <v>3.191314928088784E-5</v>
      </c>
      <c r="M98">
        <v>1.8013982656766097E-6</v>
      </c>
      <c r="N98" s="1">
        <v>-4.9672922128911803E-7</v>
      </c>
      <c r="O98" s="1">
        <v>6.6238556934825298E-11</v>
      </c>
      <c r="P98" s="1">
        <v>1.60246189814601E-9</v>
      </c>
      <c r="Q98">
        <v>64.561731630208996</v>
      </c>
      <c r="S98">
        <v>21.861406043159601</v>
      </c>
      <c r="AA98">
        <v>2.9712863680020498</v>
      </c>
      <c r="AB98">
        <v>8.8497982516930804</v>
      </c>
      <c r="AC98">
        <v>1.75577770693611</v>
      </c>
      <c r="AJ98">
        <v>0.75984126761729298</v>
      </c>
      <c r="AK98">
        <v>0.14097587775718101</v>
      </c>
      <c r="AL98">
        <v>9.9182854625524605E-2</v>
      </c>
    </row>
    <row r="99" spans="1:38" x14ac:dyDescent="0.2">
      <c r="A99">
        <v>111</v>
      </c>
      <c r="B99">
        <v>738</v>
      </c>
      <c r="C99">
        <v>210</v>
      </c>
      <c r="D99">
        <v>0.35893833753646798</v>
      </c>
      <c r="E99">
        <v>35.538920520376102</v>
      </c>
      <c r="F99">
        <v>2.5231616608686398</v>
      </c>
      <c r="G99">
        <v>-559.7639321781736</v>
      </c>
      <c r="H99">
        <v>-486.20990055694068</v>
      </c>
      <c r="I99">
        <v>72.742947753778196</v>
      </c>
      <c r="J99">
        <v>42.316050264560701</v>
      </c>
      <c r="K99">
        <v>14.085074718574001</v>
      </c>
      <c r="L99">
        <v>2.8621391886419883E-5</v>
      </c>
      <c r="M99">
        <v>1.7951062090142913E-6</v>
      </c>
      <c r="N99" s="1">
        <v>-3.8073987359708202E-7</v>
      </c>
      <c r="O99" s="1">
        <v>1.3356287674979901E-10</v>
      </c>
      <c r="P99" s="1">
        <v>1.38062467238822E-9</v>
      </c>
      <c r="Q99">
        <v>65.917166761991297</v>
      </c>
      <c r="S99">
        <v>18.972486359487601</v>
      </c>
      <c r="AA99">
        <v>0.27162579078507099</v>
      </c>
      <c r="AB99">
        <v>4.2966342314143704</v>
      </c>
      <c r="AC99">
        <v>10.5420868563215</v>
      </c>
      <c r="AJ99">
        <v>0.377472029722282</v>
      </c>
      <c r="AK99">
        <v>1.31867625562717E-2</v>
      </c>
      <c r="AL99">
        <v>0.60934120772144595</v>
      </c>
    </row>
    <row r="100" spans="1:38" x14ac:dyDescent="0.2">
      <c r="A100">
        <v>112</v>
      </c>
      <c r="B100">
        <v>736</v>
      </c>
      <c r="C100">
        <v>210</v>
      </c>
      <c r="D100">
        <v>0.35752910865580001</v>
      </c>
      <c r="E100">
        <v>20.274419962973599</v>
      </c>
      <c r="F100">
        <v>2.5790780245903902</v>
      </c>
      <c r="G100">
        <v>-328.02632906473622</v>
      </c>
      <c r="H100">
        <v>-285.50199429333003</v>
      </c>
      <c r="I100">
        <v>42.138765071006503</v>
      </c>
      <c r="J100">
        <v>24.959271210691899</v>
      </c>
      <c r="K100">
        <v>7.8611115172421302</v>
      </c>
      <c r="L100">
        <v>3.2057037901464114E-5</v>
      </c>
      <c r="M100">
        <v>1.8020711964366038E-6</v>
      </c>
      <c r="N100" s="1">
        <v>-5.3699234995745099E-7</v>
      </c>
      <c r="O100" s="1">
        <v>6.6771516156595296E-11</v>
      </c>
      <c r="P100" s="1">
        <v>1.7191128252295599E-9</v>
      </c>
      <c r="Q100">
        <v>64.564291768034806</v>
      </c>
      <c r="S100">
        <v>21.863229558033201</v>
      </c>
      <c r="AA100">
        <v>2.97219341328173</v>
      </c>
      <c r="AB100">
        <v>8.8602839628827397</v>
      </c>
      <c r="AC100">
        <v>1.7400012977674799</v>
      </c>
      <c r="AJ100">
        <v>0.76070190802331905</v>
      </c>
      <c r="AK100">
        <v>0.14101156172731399</v>
      </c>
      <c r="AL100">
        <v>9.8286530249365997E-2</v>
      </c>
    </row>
    <row r="101" spans="1:38" x14ac:dyDescent="0.2">
      <c r="A101">
        <v>112</v>
      </c>
      <c r="B101">
        <v>736</v>
      </c>
      <c r="C101">
        <v>210</v>
      </c>
      <c r="D101">
        <v>0.35752910865580001</v>
      </c>
      <c r="E101">
        <v>35.9037588565267</v>
      </c>
      <c r="F101">
        <v>2.5232126382967102</v>
      </c>
      <c r="G101">
        <v>-565.30327717893033</v>
      </c>
      <c r="H101">
        <v>-491.23626843619769</v>
      </c>
      <c r="I101">
        <v>73.395440462500801</v>
      </c>
      <c r="J101">
        <v>42.767004946898297</v>
      </c>
      <c r="K101">
        <v>14.2293829349092</v>
      </c>
      <c r="L101">
        <v>2.8661671955134322E-5</v>
      </c>
      <c r="M101">
        <v>1.7952592997126521E-6</v>
      </c>
      <c r="N101" s="1">
        <v>-4.1077749093991602E-7</v>
      </c>
      <c r="O101" s="1">
        <v>1.3475222062455299E-10</v>
      </c>
      <c r="P101" s="1">
        <v>1.46894649234542E-9</v>
      </c>
      <c r="Q101">
        <v>65.915115903697099</v>
      </c>
      <c r="S101">
        <v>18.966058676750301</v>
      </c>
      <c r="AA101">
        <v>0.266801426458461</v>
      </c>
      <c r="AB101">
        <v>4.2752129977167197</v>
      </c>
      <c r="AC101">
        <v>10.576810995377199</v>
      </c>
      <c r="AJ101">
        <v>0.375631072115715</v>
      </c>
      <c r="AK101">
        <v>1.2953964141761001E-2</v>
      </c>
      <c r="AL101">
        <v>0.61141496374252302</v>
      </c>
    </row>
    <row r="102" spans="1:38" x14ac:dyDescent="0.2">
      <c r="A102">
        <v>115</v>
      </c>
      <c r="B102">
        <v>758</v>
      </c>
      <c r="C102">
        <v>195</v>
      </c>
      <c r="D102">
        <v>0.38873151335887302</v>
      </c>
      <c r="E102">
        <v>0.14752538678347599</v>
      </c>
      <c r="F102">
        <v>2.5803393616368102</v>
      </c>
      <c r="G102">
        <v>-2.3967756528622193</v>
      </c>
      <c r="H102">
        <v>-2.0766963487702657</v>
      </c>
      <c r="I102">
        <v>0.31041003160738301</v>
      </c>
      <c r="J102">
        <v>0.17985865780938801</v>
      </c>
      <c r="K102">
        <v>5.7172862212161002E-2</v>
      </c>
      <c r="L102">
        <v>3.0868185460329179E-5</v>
      </c>
      <c r="M102">
        <v>1.7924545221145946E-6</v>
      </c>
      <c r="N102" s="1">
        <v>-1.9316299857674798E-9</v>
      </c>
      <c r="O102" s="1">
        <v>4.98706487834786E-13</v>
      </c>
      <c r="P102" s="1">
        <v>6.8656613479814903E-12</v>
      </c>
      <c r="Q102">
        <v>64.278315080572895</v>
      </c>
      <c r="S102">
        <v>22.122041238930301</v>
      </c>
      <c r="AA102">
        <v>3.2524444505089498</v>
      </c>
      <c r="AB102">
        <v>8.9015087176171903</v>
      </c>
      <c r="AC102">
        <v>1.4456905123705599</v>
      </c>
      <c r="AJ102">
        <v>0.76408012277762005</v>
      </c>
      <c r="AK102">
        <v>0.154275143312497</v>
      </c>
      <c r="AL102">
        <v>8.1644733909882194E-2</v>
      </c>
    </row>
    <row r="103" spans="1:38" x14ac:dyDescent="0.2">
      <c r="A103">
        <v>116</v>
      </c>
      <c r="B103">
        <v>756</v>
      </c>
      <c r="C103">
        <v>195</v>
      </c>
      <c r="D103">
        <v>0.38740756935335302</v>
      </c>
      <c r="E103">
        <v>2.0392407087768398</v>
      </c>
      <c r="F103">
        <v>2.5779867921541202</v>
      </c>
      <c r="G103">
        <v>-33.103868128475575</v>
      </c>
      <c r="H103">
        <v>-28.691452776550157</v>
      </c>
      <c r="I103">
        <v>4.2874365757425101</v>
      </c>
      <c r="J103">
        <v>2.4876170963662099</v>
      </c>
      <c r="K103">
        <v>0.79102061926115896</v>
      </c>
      <c r="L103">
        <v>3.1008471723947561E-5</v>
      </c>
      <c r="M103">
        <v>1.7972621966576292E-6</v>
      </c>
      <c r="N103" s="1">
        <v>-2.8428564861384299E-8</v>
      </c>
      <c r="O103" s="1">
        <v>6.91328389327286E-12</v>
      </c>
      <c r="P103" s="1">
        <v>9.9857482358855001E-11</v>
      </c>
      <c r="Q103">
        <v>64.493426360985595</v>
      </c>
      <c r="S103">
        <v>21.939712795656099</v>
      </c>
      <c r="AA103">
        <v>3.0518283413891401</v>
      </c>
      <c r="AB103">
        <v>8.9028749538528498</v>
      </c>
      <c r="AC103">
        <v>1.6121575481161801</v>
      </c>
      <c r="AJ103">
        <v>0.76419549962927802</v>
      </c>
      <c r="AK103">
        <v>0.14475884005877801</v>
      </c>
      <c r="AL103">
        <v>9.1045660311943402E-2</v>
      </c>
    </row>
    <row r="104" spans="1:38" x14ac:dyDescent="0.2">
      <c r="A104">
        <v>117</v>
      </c>
      <c r="B104">
        <v>754</v>
      </c>
      <c r="C104">
        <v>195</v>
      </c>
      <c r="D104">
        <v>0.38607846955167302</v>
      </c>
      <c r="E104">
        <v>4.0233459973095202</v>
      </c>
      <c r="F104">
        <v>2.5754048546267301</v>
      </c>
      <c r="G104">
        <v>-65.252126932635093</v>
      </c>
      <c r="H104">
        <v>-56.570742633386196</v>
      </c>
      <c r="I104">
        <v>8.4519148121003695</v>
      </c>
      <c r="J104">
        <v>4.9103198975523297</v>
      </c>
      <c r="K104">
        <v>1.56221884496394</v>
      </c>
      <c r="L104">
        <v>3.1133285230397076E-5</v>
      </c>
      <c r="M104">
        <v>1.8017940835645418E-6</v>
      </c>
      <c r="N104" s="1">
        <v>-5.9526338750778798E-8</v>
      </c>
      <c r="O104" s="1">
        <v>1.36823071653604E-11</v>
      </c>
      <c r="P104" s="1">
        <v>2.06844457761481E-10</v>
      </c>
      <c r="Q104">
        <v>64.705291406963894</v>
      </c>
      <c r="S104">
        <v>21.750543950414102</v>
      </c>
      <c r="AA104">
        <v>2.8463262950321102</v>
      </c>
      <c r="AB104">
        <v>8.8790741276360095</v>
      </c>
      <c r="AC104">
        <v>1.8187642199537299</v>
      </c>
      <c r="AJ104">
        <v>0.76224601863953401</v>
      </c>
      <c r="AK104">
        <v>0.13502772736145599</v>
      </c>
      <c r="AL104">
        <v>0.102726253999008</v>
      </c>
    </row>
    <row r="105" spans="1:38" x14ac:dyDescent="0.2">
      <c r="A105">
        <v>118</v>
      </c>
      <c r="B105">
        <v>752</v>
      </c>
      <c r="C105">
        <v>195</v>
      </c>
      <c r="D105">
        <v>0.38474418377798603</v>
      </c>
      <c r="E105">
        <v>11.041719705430999</v>
      </c>
      <c r="F105">
        <v>2.57461413268366</v>
      </c>
      <c r="G105">
        <v>-178.96267796495204</v>
      </c>
      <c r="H105">
        <v>-155.2107572296037</v>
      </c>
      <c r="I105">
        <v>23.169214978635601</v>
      </c>
      <c r="J105">
        <v>13.480353169627399</v>
      </c>
      <c r="K105">
        <v>4.2886891535554597</v>
      </c>
      <c r="L105">
        <v>3.1180142622847238E-5</v>
      </c>
      <c r="M105">
        <v>1.8024087555982473E-6</v>
      </c>
      <c r="N105" s="1">
        <v>-1.7255379546426701E-7</v>
      </c>
      <c r="O105" s="1">
        <v>3.7533795084555997E-11</v>
      </c>
      <c r="P105" s="1">
        <v>5.9394860039696705E-10</v>
      </c>
      <c r="Q105">
        <v>64.738421713749503</v>
      </c>
      <c r="S105">
        <v>21.699612829323801</v>
      </c>
      <c r="AA105">
        <v>2.7965770944715702</v>
      </c>
      <c r="AB105">
        <v>8.8193806844959806</v>
      </c>
      <c r="AC105">
        <v>1.9460076779589901</v>
      </c>
      <c r="AJ105">
        <v>0.75734696219584696</v>
      </c>
      <c r="AK105">
        <v>0.13270716917158901</v>
      </c>
      <c r="AL105">
        <v>0.109945868632562</v>
      </c>
    </row>
    <row r="106" spans="1:38" x14ac:dyDescent="0.2">
      <c r="A106">
        <v>118</v>
      </c>
      <c r="B106">
        <v>752</v>
      </c>
      <c r="C106">
        <v>195</v>
      </c>
      <c r="D106">
        <v>0.38474418377798603</v>
      </c>
      <c r="E106">
        <v>14.195979740466701</v>
      </c>
      <c r="F106">
        <v>2.5223461145438</v>
      </c>
      <c r="G106">
        <v>-224.37665113835726</v>
      </c>
      <c r="H106">
        <v>-194.30077292694779</v>
      </c>
      <c r="I106">
        <v>29.338026836472199</v>
      </c>
      <c r="J106">
        <v>16.8834776556583</v>
      </c>
      <c r="K106">
        <v>5.6280855583668403</v>
      </c>
      <c r="L106">
        <v>2.849579447549322E-5</v>
      </c>
      <c r="M106">
        <v>1.796568601326545E-6</v>
      </c>
      <c r="N106" s="1">
        <v>-9.7444645122698803E-8</v>
      </c>
      <c r="O106" s="1">
        <v>5.3674575105153802E-11</v>
      </c>
      <c r="P106" s="1">
        <v>3.9556296185906798E-10</v>
      </c>
      <c r="Q106">
        <v>65.970104057551197</v>
      </c>
      <c r="S106">
        <v>19.0311997617938</v>
      </c>
      <c r="AA106">
        <v>0.30771275464512199</v>
      </c>
      <c r="AB106">
        <v>4.5685269735939897</v>
      </c>
      <c r="AC106">
        <v>10.122456452415699</v>
      </c>
      <c r="AJ106">
        <v>0.40080408476675</v>
      </c>
      <c r="AK106">
        <v>1.49180560286246E-2</v>
      </c>
      <c r="AL106">
        <v>0.58427785920462505</v>
      </c>
    </row>
    <row r="107" spans="1:38" x14ac:dyDescent="0.2">
      <c r="A107">
        <v>119</v>
      </c>
      <c r="B107">
        <v>750</v>
      </c>
      <c r="C107">
        <v>195</v>
      </c>
      <c r="D107">
        <v>0.38340468162048602</v>
      </c>
      <c r="E107">
        <v>16.639657196703499</v>
      </c>
      <c r="F107">
        <v>2.5761614698364901</v>
      </c>
      <c r="G107">
        <v>-269.68808946685829</v>
      </c>
      <c r="H107">
        <v>-234.01179352160418</v>
      </c>
      <c r="I107">
        <v>34.869076816941799</v>
      </c>
      <c r="J107">
        <v>20.3275122947277</v>
      </c>
      <c r="K107">
        <v>6.4590893822193802</v>
      </c>
      <c r="L107">
        <v>3.121078939033122E-5</v>
      </c>
      <c r="M107">
        <v>1.8000245379017241E-6</v>
      </c>
      <c r="N107" s="1">
        <v>-2.7615995422202602E-7</v>
      </c>
      <c r="O107" s="1">
        <v>5.6273091773147298E-11</v>
      </c>
      <c r="P107" s="1">
        <v>9.4141293999650705E-10</v>
      </c>
      <c r="Q107">
        <v>64.608687730250594</v>
      </c>
      <c r="S107">
        <v>21.802618308332899</v>
      </c>
      <c r="AA107">
        <v>2.9118293208180601</v>
      </c>
      <c r="AB107">
        <v>8.8003177131749801</v>
      </c>
      <c r="AC107">
        <v>1.8765469274233699</v>
      </c>
      <c r="AJ107">
        <v>0.75577971576456004</v>
      </c>
      <c r="AK107">
        <v>0.13818903543621999</v>
      </c>
      <c r="AL107">
        <v>0.10603124879921901</v>
      </c>
    </row>
    <row r="108" spans="1:38" x14ac:dyDescent="0.2">
      <c r="A108">
        <v>119</v>
      </c>
      <c r="B108">
        <v>750</v>
      </c>
      <c r="C108">
        <v>195</v>
      </c>
      <c r="D108">
        <v>0.38340468162048602</v>
      </c>
      <c r="E108">
        <v>28.382725452914201</v>
      </c>
      <c r="F108">
        <v>2.5223047935083698</v>
      </c>
      <c r="G108">
        <v>-448.31257055684762</v>
      </c>
      <c r="H108">
        <v>-388.39501406741545</v>
      </c>
      <c r="I108">
        <v>58.561849669581299</v>
      </c>
      <c r="J108">
        <v>33.748016194214799</v>
      </c>
      <c r="K108">
        <v>11.2526945696501</v>
      </c>
      <c r="L108">
        <v>2.8464743273631869E-5</v>
      </c>
      <c r="M108">
        <v>1.7958864381379298E-6</v>
      </c>
      <c r="N108" s="1">
        <v>-2.0415982282109099E-7</v>
      </c>
      <c r="O108" s="1">
        <v>1.07304080641464E-10</v>
      </c>
      <c r="P108" s="1">
        <v>8.1742077625814098E-10</v>
      </c>
      <c r="Q108">
        <v>65.944843489184393</v>
      </c>
      <c r="S108">
        <v>19.0188099761661</v>
      </c>
      <c r="AA108">
        <v>0.30338526293531298</v>
      </c>
      <c r="AB108">
        <v>4.4797537176010502</v>
      </c>
      <c r="AC108">
        <v>10.253207554113001</v>
      </c>
      <c r="AJ108">
        <v>0.39319317266283499</v>
      </c>
      <c r="AK108">
        <v>1.47148927448297E-2</v>
      </c>
      <c r="AL108">
        <v>0.592091934592334</v>
      </c>
    </row>
    <row r="109" spans="1:38" x14ac:dyDescent="0.2">
      <c r="A109">
        <v>120</v>
      </c>
      <c r="B109">
        <v>748</v>
      </c>
      <c r="C109">
        <v>195</v>
      </c>
      <c r="D109">
        <v>0.382059932429125</v>
      </c>
      <c r="E109">
        <v>18.105429074798302</v>
      </c>
      <c r="F109">
        <v>2.5767470425307302</v>
      </c>
      <c r="G109">
        <v>-293.39783177861091</v>
      </c>
      <c r="H109">
        <v>-254.70071404481723</v>
      </c>
      <c r="I109">
        <v>37.895625259554201</v>
      </c>
      <c r="J109">
        <v>22.136043209297998</v>
      </c>
      <c r="K109">
        <v>7.0264673931734603</v>
      </c>
      <c r="L109">
        <v>3.1292274350765485E-5</v>
      </c>
      <c r="M109">
        <v>1.7997653166788809E-6</v>
      </c>
      <c r="N109" s="1">
        <v>-3.2013353921507E-7</v>
      </c>
      <c r="O109" s="1">
        <v>6.1015458106522498E-11</v>
      </c>
      <c r="P109" s="1">
        <v>1.0806769954983099E-9</v>
      </c>
      <c r="Q109">
        <v>64.574983090803002</v>
      </c>
      <c r="S109">
        <v>21.832128898636199</v>
      </c>
      <c r="AA109">
        <v>2.9440403768257402</v>
      </c>
      <c r="AB109">
        <v>8.8025745804553406</v>
      </c>
      <c r="AC109">
        <v>1.8462730532795599</v>
      </c>
      <c r="AJ109">
        <v>0.755964532843307</v>
      </c>
      <c r="AK109">
        <v>0.13971603727252399</v>
      </c>
      <c r="AL109">
        <v>0.10431942988416799</v>
      </c>
    </row>
    <row r="110" spans="1:38" x14ac:dyDescent="0.2">
      <c r="A110">
        <v>120</v>
      </c>
      <c r="B110">
        <v>748</v>
      </c>
      <c r="C110">
        <v>195</v>
      </c>
      <c r="D110">
        <v>0.382059932429125</v>
      </c>
      <c r="E110">
        <v>31.967852992061999</v>
      </c>
      <c r="F110">
        <v>2.5223236474036401</v>
      </c>
      <c r="G110">
        <v>-504.71577089432691</v>
      </c>
      <c r="H110">
        <v>-437.45299995995583</v>
      </c>
      <c r="I110">
        <v>65.869628295912506</v>
      </c>
      <c r="J110">
        <v>38.014271647132396</v>
      </c>
      <c r="K110">
        <v>12.673969506240001</v>
      </c>
      <c r="L110">
        <v>2.8474208555375639E-5</v>
      </c>
      <c r="M110">
        <v>1.795788915115624E-6</v>
      </c>
      <c r="N110" s="1">
        <v>-2.4457296445837E-7</v>
      </c>
      <c r="O110" s="1">
        <v>1.2077773862984401E-10</v>
      </c>
      <c r="P110" s="1">
        <v>9.6253999083757106E-10</v>
      </c>
      <c r="Q110">
        <v>65.936996799279598</v>
      </c>
      <c r="S110">
        <v>19.010491484644501</v>
      </c>
      <c r="AA110">
        <v>0.29835334007355702</v>
      </c>
      <c r="AB110">
        <v>4.4404597828693104</v>
      </c>
      <c r="AC110">
        <v>10.3136985931329</v>
      </c>
      <c r="AJ110">
        <v>0.38982216874097197</v>
      </c>
      <c r="AK110">
        <v>1.4473723999227099E-2</v>
      </c>
      <c r="AL110">
        <v>0.59570410725980005</v>
      </c>
    </row>
    <row r="111" spans="1:38" x14ac:dyDescent="0.2">
      <c r="A111">
        <v>121</v>
      </c>
      <c r="B111">
        <v>746</v>
      </c>
      <c r="C111">
        <v>195</v>
      </c>
      <c r="D111">
        <v>0.38070990531325299</v>
      </c>
      <c r="E111">
        <v>18.848000790142301</v>
      </c>
      <c r="F111">
        <v>2.5771535009043101</v>
      </c>
      <c r="G111">
        <v>-305.37458970596606</v>
      </c>
      <c r="H111">
        <v>-265.21602663299097</v>
      </c>
      <c r="I111">
        <v>39.4039769150518</v>
      </c>
      <c r="J111">
        <v>23.0645232787273</v>
      </c>
      <c r="K111">
        <v>7.3134956002925904</v>
      </c>
      <c r="L111">
        <v>3.1388381851463852E-5</v>
      </c>
      <c r="M111">
        <v>1.799922519180685E-6</v>
      </c>
      <c r="N111" s="1">
        <v>-3.55331922728982E-7</v>
      </c>
      <c r="O111" s="1">
        <v>6.33045124359377E-11</v>
      </c>
      <c r="P111" s="1">
        <v>1.18817339698937E-9</v>
      </c>
      <c r="Q111">
        <v>64.559369533793998</v>
      </c>
      <c r="S111">
        <v>21.847832116231402</v>
      </c>
      <c r="AA111">
        <v>2.9606389022069002</v>
      </c>
      <c r="AB111">
        <v>8.8089486323094608</v>
      </c>
      <c r="AC111">
        <v>1.8232108154581499</v>
      </c>
      <c r="AJ111">
        <v>0.756487694750686</v>
      </c>
      <c r="AK111">
        <v>0.14049925528707999</v>
      </c>
      <c r="AL111">
        <v>0.103013049962232</v>
      </c>
    </row>
    <row r="112" spans="1:38" x14ac:dyDescent="0.2">
      <c r="A112">
        <v>121</v>
      </c>
      <c r="B112">
        <v>746</v>
      </c>
      <c r="C112">
        <v>195</v>
      </c>
      <c r="D112">
        <v>0.38070990531325299</v>
      </c>
      <c r="E112">
        <v>33.697321560035903</v>
      </c>
      <c r="F112">
        <v>2.52235473582423</v>
      </c>
      <c r="G112">
        <v>-531.80508342088353</v>
      </c>
      <c r="H112">
        <v>-461.13489485488344</v>
      </c>
      <c r="I112">
        <v>69.342283830643296</v>
      </c>
      <c r="J112">
        <v>40.077695040226502</v>
      </c>
      <c r="K112">
        <v>13.3594696580315</v>
      </c>
      <c r="L112">
        <v>2.8493006999939541E-5</v>
      </c>
      <c r="M112">
        <v>1.7958031336487828E-6</v>
      </c>
      <c r="N112" s="1">
        <v>-2.7490263447163099E-7</v>
      </c>
      <c r="O112" s="1">
        <v>1.2720668409936E-10</v>
      </c>
      <c r="P112" s="1">
        <v>1.0635334536405199E-9</v>
      </c>
      <c r="Q112">
        <v>65.932280554028296</v>
      </c>
      <c r="S112">
        <v>19.0029852888762</v>
      </c>
      <c r="AA112">
        <v>0.293261123061619</v>
      </c>
      <c r="AB112">
        <v>4.41027141512299</v>
      </c>
      <c r="AC112">
        <v>10.361201618910799</v>
      </c>
      <c r="AJ112">
        <v>0.387231421443468</v>
      </c>
      <c r="AK112">
        <v>1.4228874754829099E-2</v>
      </c>
      <c r="AL112">
        <v>0.59853970380170196</v>
      </c>
    </row>
    <row r="113" spans="1:38" x14ac:dyDescent="0.2">
      <c r="A113">
        <v>122</v>
      </c>
      <c r="B113">
        <v>744</v>
      </c>
      <c r="C113">
        <v>195</v>
      </c>
      <c r="D113">
        <v>0.37935456913926302</v>
      </c>
      <c r="E113">
        <v>19.319004839093001</v>
      </c>
      <c r="F113">
        <v>2.5774771350272001</v>
      </c>
      <c r="G113">
        <v>-312.94409744370444</v>
      </c>
      <c r="H113">
        <v>-271.91020302687537</v>
      </c>
      <c r="I113">
        <v>40.342028625894898</v>
      </c>
      <c r="J113">
        <v>23.663851361958201</v>
      </c>
      <c r="K113">
        <v>7.4953157009825997</v>
      </c>
      <c r="L113">
        <v>3.1494973518431037E-5</v>
      </c>
      <c r="M113">
        <v>1.8002848343032513E-6</v>
      </c>
      <c r="N113" s="1">
        <v>-3.8851639415846799E-7</v>
      </c>
      <c r="O113" s="1">
        <v>6.4665320026827698E-11</v>
      </c>
      <c r="P113" s="1">
        <v>1.28732800711304E-9</v>
      </c>
      <c r="Q113">
        <v>64.552188769027396</v>
      </c>
      <c r="S113">
        <v>21.857104042384801</v>
      </c>
      <c r="AA113">
        <v>2.9699638695113602</v>
      </c>
      <c r="AB113">
        <v>8.8172542428882004</v>
      </c>
      <c r="AC113">
        <v>1.8034890761881299</v>
      </c>
      <c r="AJ113">
        <v>0.75716954260888703</v>
      </c>
      <c r="AK113">
        <v>0.14093593097805601</v>
      </c>
      <c r="AL113">
        <v>0.10189452641305601</v>
      </c>
    </row>
    <row r="114" spans="1:38" x14ac:dyDescent="0.2">
      <c r="A114">
        <v>122</v>
      </c>
      <c r="B114">
        <v>744</v>
      </c>
      <c r="C114">
        <v>195</v>
      </c>
      <c r="D114">
        <v>0.37935456913926302</v>
      </c>
      <c r="E114">
        <v>34.7030519318035</v>
      </c>
      <c r="F114">
        <v>2.5223922864218702</v>
      </c>
      <c r="G114">
        <v>-547.46506524972051</v>
      </c>
      <c r="H114">
        <v>-474.92221243121031</v>
      </c>
      <c r="I114">
        <v>71.319719626908693</v>
      </c>
      <c r="J114">
        <v>41.283083113503203</v>
      </c>
      <c r="K114">
        <v>13.7579916171688</v>
      </c>
      <c r="L114">
        <v>2.8517513396003947E-5</v>
      </c>
      <c r="M114">
        <v>1.7958720315447327E-6</v>
      </c>
      <c r="N114" s="1">
        <v>-3.0219906054765002E-7</v>
      </c>
      <c r="O114" s="1">
        <v>1.30879825568169E-10</v>
      </c>
      <c r="P114" s="1">
        <v>1.14983240327814E-9</v>
      </c>
      <c r="Q114">
        <v>65.928954598707506</v>
      </c>
      <c r="S114">
        <v>18.995888535270801</v>
      </c>
      <c r="AA114">
        <v>0.28818229487765301</v>
      </c>
      <c r="AB114">
        <v>4.3842546398038698</v>
      </c>
      <c r="AC114">
        <v>10.40271993134</v>
      </c>
      <c r="AJ114">
        <v>0.38499804511515601</v>
      </c>
      <c r="AK114">
        <v>1.3984303467513099E-2</v>
      </c>
      <c r="AL114">
        <v>0.60101765141732899</v>
      </c>
    </row>
    <row r="115" spans="1:38" x14ac:dyDescent="0.2">
      <c r="A115">
        <v>123</v>
      </c>
      <c r="B115">
        <v>742</v>
      </c>
      <c r="C115">
        <v>195</v>
      </c>
      <c r="D115">
        <v>0.37799389252819798</v>
      </c>
      <c r="E115">
        <v>19.6612399385026</v>
      </c>
      <c r="F115">
        <v>2.5777578264333298</v>
      </c>
      <c r="G115">
        <v>-318.42317973565127</v>
      </c>
      <c r="H115">
        <v>-276.79252806879003</v>
      </c>
      <c r="I115">
        <v>41.0093598649078</v>
      </c>
      <c r="J115">
        <v>24.1082857075709</v>
      </c>
      <c r="K115">
        <v>7.6272641816421398</v>
      </c>
      <c r="L115">
        <v>3.1610579172742552E-5</v>
      </c>
      <c r="M115">
        <v>1.8007646252298448E-6</v>
      </c>
      <c r="N115" s="1">
        <v>-4.2193231978659298E-7</v>
      </c>
      <c r="O115" s="1">
        <v>6.5577467884536295E-11</v>
      </c>
      <c r="P115" s="1">
        <v>1.38584078550739E-9</v>
      </c>
      <c r="Q115">
        <v>64.549412339126306</v>
      </c>
      <c r="S115">
        <v>21.863012540699099</v>
      </c>
      <c r="AA115">
        <v>2.9754862830800399</v>
      </c>
      <c r="AB115">
        <v>8.8265570142079692</v>
      </c>
      <c r="AC115">
        <v>1.7855318228864501</v>
      </c>
      <c r="AJ115">
        <v>0.75793326517056903</v>
      </c>
      <c r="AK115">
        <v>0.141191444161304</v>
      </c>
      <c r="AL115">
        <v>0.10087529066812601</v>
      </c>
    </row>
    <row r="116" spans="1:38" x14ac:dyDescent="0.2">
      <c r="A116">
        <v>123</v>
      </c>
      <c r="B116">
        <v>742</v>
      </c>
      <c r="C116">
        <v>195</v>
      </c>
      <c r="D116">
        <v>0.37799389252819798</v>
      </c>
      <c r="E116">
        <v>35.3583527249003</v>
      </c>
      <c r="F116">
        <v>2.5224340335219999</v>
      </c>
      <c r="G116">
        <v>-557.59206248746148</v>
      </c>
      <c r="H116">
        <v>-483.91934157948731</v>
      </c>
      <c r="I116">
        <v>72.5732363768645</v>
      </c>
      <c r="J116">
        <v>42.073825157364197</v>
      </c>
      <c r="K116">
        <v>14.017552988503899</v>
      </c>
      <c r="L116">
        <v>2.8546335473080983E-5</v>
      </c>
      <c r="M116">
        <v>1.7959725051783298E-6</v>
      </c>
      <c r="N116" s="1">
        <v>-3.2881172584604001E-7</v>
      </c>
      <c r="O116" s="1">
        <v>1.3321212780128199E-10</v>
      </c>
      <c r="P116" s="1">
        <v>1.2311978211052E-9</v>
      </c>
      <c r="Q116">
        <v>65.926304024470497</v>
      </c>
      <c r="S116">
        <v>18.989036212963299</v>
      </c>
      <c r="AA116">
        <v>0.28314753407431598</v>
      </c>
      <c r="AB116">
        <v>4.3603837234432099</v>
      </c>
      <c r="AC116">
        <v>10.4411285050484</v>
      </c>
      <c r="AJ116">
        <v>0.38294836025447898</v>
      </c>
      <c r="AK116">
        <v>1.3741656189608899E-2</v>
      </c>
      <c r="AL116">
        <v>0.60330998355591203</v>
      </c>
    </row>
    <row r="117" spans="1:38" x14ac:dyDescent="0.2">
      <c r="A117">
        <v>124</v>
      </c>
      <c r="B117">
        <v>740</v>
      </c>
      <c r="C117">
        <v>195</v>
      </c>
      <c r="D117">
        <v>0.37662784385333098</v>
      </c>
      <c r="E117">
        <v>19.9319143332912</v>
      </c>
      <c r="F117">
        <v>2.5780135916418598</v>
      </c>
      <c r="G117">
        <v>-322.74015211980463</v>
      </c>
      <c r="H117">
        <v>-280.66811626956149</v>
      </c>
      <c r="I117">
        <v>41.525969353247902</v>
      </c>
      <c r="J117">
        <v>24.467724239893698</v>
      </c>
      <c r="K117">
        <v>7.7315008725757597</v>
      </c>
      <c r="L117">
        <v>3.173481039788748E-5</v>
      </c>
      <c r="M117">
        <v>1.8013229472520369E-6</v>
      </c>
      <c r="N117" s="1">
        <v>-4.5657253992348902E-7</v>
      </c>
      <c r="O117" s="1">
        <v>6.6231992968487502E-11</v>
      </c>
      <c r="P117" s="1">
        <v>1.4870477427764001E-9</v>
      </c>
      <c r="Q117">
        <v>64.549216165157503</v>
      </c>
      <c r="S117">
        <v>21.8669449381288</v>
      </c>
      <c r="AA117">
        <v>2.9787763257378002</v>
      </c>
      <c r="AB117">
        <v>8.8364291421455299</v>
      </c>
      <c r="AC117">
        <v>1.7686334288301899</v>
      </c>
      <c r="AJ117">
        <v>0.75874369420480703</v>
      </c>
      <c r="AK117">
        <v>0.141340615875689</v>
      </c>
      <c r="AL117">
        <v>9.9915689919503503E-2</v>
      </c>
    </row>
    <row r="118" spans="1:38" x14ac:dyDescent="0.2">
      <c r="A118">
        <v>124</v>
      </c>
      <c r="B118">
        <v>740</v>
      </c>
      <c r="C118">
        <v>195</v>
      </c>
      <c r="D118">
        <v>0.37662784385333098</v>
      </c>
      <c r="E118">
        <v>35.816647383446302</v>
      </c>
      <c r="F118">
        <v>2.52247897997586</v>
      </c>
      <c r="G118">
        <v>-564.60899809033515</v>
      </c>
      <c r="H118">
        <v>-490.22375919000319</v>
      </c>
      <c r="I118">
        <v>73.419768938786802</v>
      </c>
      <c r="J118">
        <v>42.632156054360102</v>
      </c>
      <c r="K118">
        <v>14.1989874515382</v>
      </c>
      <c r="L118">
        <v>2.8578949889463856E-5</v>
      </c>
      <c r="M118">
        <v>1.796094483283336E-6</v>
      </c>
      <c r="N118" s="1">
        <v>-3.5574568257194698E-7</v>
      </c>
      <c r="O118" s="1">
        <v>1.34784985653286E-10</v>
      </c>
      <c r="P118" s="1">
        <v>1.3117419416004799E-9</v>
      </c>
      <c r="Q118">
        <v>65.924008086856304</v>
      </c>
      <c r="S118">
        <v>18.982353803376899</v>
      </c>
      <c r="AA118">
        <v>0.278170203397958</v>
      </c>
      <c r="AB118">
        <v>4.3377485440697896</v>
      </c>
      <c r="AC118">
        <v>10.477719362298901</v>
      </c>
      <c r="AJ118">
        <v>0.38100432409479101</v>
      </c>
      <c r="AK118">
        <v>1.35016526305878E-2</v>
      </c>
      <c r="AL118">
        <v>0.60549402327461999</v>
      </c>
    </row>
    <row r="119" spans="1:38" x14ac:dyDescent="0.2">
      <c r="A119">
        <v>125</v>
      </c>
      <c r="B119">
        <v>738</v>
      </c>
      <c r="C119">
        <v>195</v>
      </c>
      <c r="D119">
        <v>0.37525639123770199</v>
      </c>
      <c r="E119">
        <v>20.1582784321579</v>
      </c>
      <c r="F119">
        <v>2.5782533284000801</v>
      </c>
      <c r="G119">
        <v>-326.33724662599855</v>
      </c>
      <c r="H119">
        <v>-283.92049846507564</v>
      </c>
      <c r="I119">
        <v>41.949016625548097</v>
      </c>
      <c r="J119">
        <v>24.775550782268901</v>
      </c>
      <c r="K119">
        <v>7.8185794274401204</v>
      </c>
      <c r="L119">
        <v>3.1867757154010406E-5</v>
      </c>
      <c r="M119">
        <v>1.8019413834681925E-6</v>
      </c>
      <c r="N119" s="1">
        <v>-4.9299630879892204E-7</v>
      </c>
      <c r="O119" s="1">
        <v>6.6719187095775695E-11</v>
      </c>
      <c r="P119" s="1">
        <v>1.59276861455197E-9</v>
      </c>
      <c r="Q119">
        <v>64.550700743237698</v>
      </c>
      <c r="S119">
        <v>21.869585151865</v>
      </c>
      <c r="AA119">
        <v>2.9806081231042501</v>
      </c>
      <c r="AB119">
        <v>8.8466591083578194</v>
      </c>
      <c r="AC119">
        <v>1.7524468734351299</v>
      </c>
      <c r="AJ119">
        <v>0.75958344082714202</v>
      </c>
      <c r="AK119">
        <v>0.14142033662901299</v>
      </c>
      <c r="AL119">
        <v>9.8996222543843895E-2</v>
      </c>
    </row>
    <row r="120" spans="1:38" x14ac:dyDescent="0.2">
      <c r="A120">
        <v>125</v>
      </c>
      <c r="B120">
        <v>738</v>
      </c>
      <c r="C120">
        <v>195</v>
      </c>
      <c r="D120">
        <v>0.37525639123770199</v>
      </c>
      <c r="E120">
        <v>36.151701649578399</v>
      </c>
      <c r="F120">
        <v>2.52252663627059</v>
      </c>
      <c r="G120">
        <v>-569.68078055059618</v>
      </c>
      <c r="H120">
        <v>-494.84383829951662</v>
      </c>
      <c r="I120">
        <v>74.011711666003606</v>
      </c>
      <c r="J120">
        <v>43.045732262108899</v>
      </c>
      <c r="K120">
        <v>14.331544067668</v>
      </c>
      <c r="L120">
        <v>2.8615202227873637E-5</v>
      </c>
      <c r="M120">
        <v>1.7962333151970727E-6</v>
      </c>
      <c r="N120" s="1">
        <v>-3.8352344873701702E-7</v>
      </c>
      <c r="O120" s="1">
        <v>1.35877697804824E-10</v>
      </c>
      <c r="P120" s="1">
        <v>1.39354253349982E-9</v>
      </c>
      <c r="Q120">
        <v>65.921909702512806</v>
      </c>
      <c r="S120">
        <v>18.975804108363601</v>
      </c>
      <c r="AA120">
        <v>0.273256267248221</v>
      </c>
      <c r="AB120">
        <v>4.3159015300753296</v>
      </c>
      <c r="AC120">
        <v>10.513128391799899</v>
      </c>
      <c r="AJ120">
        <v>0.37912755608673399</v>
      </c>
      <c r="AK120">
        <v>1.32646179453019E-2</v>
      </c>
      <c r="AL120">
        <v>0.60760782596796303</v>
      </c>
    </row>
    <row r="121" spans="1:38" x14ac:dyDescent="0.2">
      <c r="A121">
        <v>127</v>
      </c>
      <c r="B121">
        <v>762</v>
      </c>
      <c r="C121">
        <v>180</v>
      </c>
      <c r="D121">
        <v>0.40730377240013699</v>
      </c>
      <c r="E121">
        <v>0.31666005584687101</v>
      </c>
      <c r="F121">
        <v>2.5790674973074901</v>
      </c>
      <c r="G121">
        <v>-5.1491897542170397</v>
      </c>
      <c r="H121">
        <v>-4.4578264607034876</v>
      </c>
      <c r="I121">
        <v>0.66788706324064395</v>
      </c>
      <c r="J121">
        <v>0.38564223061901198</v>
      </c>
      <c r="K121">
        <v>0.122780833063678</v>
      </c>
      <c r="L121">
        <v>3.0740042614401266E-5</v>
      </c>
      <c r="M121">
        <v>1.7935667160504728E-6</v>
      </c>
      <c r="N121" s="1">
        <v>-3.6249368244317802E-9</v>
      </c>
      <c r="O121" s="1">
        <v>1.0755719660218101E-12</v>
      </c>
      <c r="P121" s="1">
        <v>1.3228035099991499E-11</v>
      </c>
      <c r="Q121">
        <v>64.317230470907305</v>
      </c>
      <c r="S121">
        <v>22.097293967475402</v>
      </c>
      <c r="AA121">
        <v>3.2229473238398598</v>
      </c>
      <c r="AB121">
        <v>8.9233513889337406</v>
      </c>
      <c r="AC121">
        <v>1.4391768488436101</v>
      </c>
      <c r="AJ121">
        <v>0.76587239662303896</v>
      </c>
      <c r="AK121">
        <v>0.15285949469082699</v>
      </c>
      <c r="AL121">
        <v>8.1268108686133697E-2</v>
      </c>
    </row>
    <row r="122" spans="1:38" x14ac:dyDescent="0.2">
      <c r="A122">
        <v>128</v>
      </c>
      <c r="B122">
        <v>760</v>
      </c>
      <c r="C122">
        <v>180</v>
      </c>
      <c r="D122">
        <v>0.40602090693510101</v>
      </c>
      <c r="E122">
        <v>2.1064276459080999</v>
      </c>
      <c r="F122">
        <v>2.5769047052394001</v>
      </c>
      <c r="G122">
        <v>-34.226447608426135</v>
      </c>
      <c r="H122">
        <v>-29.640037666718946</v>
      </c>
      <c r="I122">
        <v>4.4392488425758003</v>
      </c>
      <c r="J122">
        <v>2.5665539255660201</v>
      </c>
      <c r="K122">
        <v>0.81742551116666695</v>
      </c>
      <c r="L122">
        <v>3.0867283091154754E-5</v>
      </c>
      <c r="M122">
        <v>1.7980330317826858E-6</v>
      </c>
      <c r="N122" s="1">
        <v>-2.56703048652456E-8</v>
      </c>
      <c r="O122" s="1">
        <v>7.1741824645225001E-12</v>
      </c>
      <c r="P122" s="1">
        <v>9.2469481719548203E-11</v>
      </c>
      <c r="Q122">
        <v>64.5166995941496</v>
      </c>
      <c r="S122">
        <v>21.9286604668847</v>
      </c>
      <c r="AA122">
        <v>3.0372795661925398</v>
      </c>
      <c r="AB122">
        <v>8.9257629893227506</v>
      </c>
      <c r="AC122">
        <v>1.5915973834503301</v>
      </c>
      <c r="AJ122">
        <v>0.76607325315564201</v>
      </c>
      <c r="AK122">
        <v>0.14405240310606299</v>
      </c>
      <c r="AL122">
        <v>8.98743437382932E-2</v>
      </c>
    </row>
    <row r="123" spans="1:38" x14ac:dyDescent="0.2">
      <c r="A123">
        <v>129</v>
      </c>
      <c r="B123">
        <v>758</v>
      </c>
      <c r="C123">
        <v>180</v>
      </c>
      <c r="D123">
        <v>0.40473306502448703</v>
      </c>
      <c r="E123">
        <v>4.0462027951194903</v>
      </c>
      <c r="F123">
        <v>2.5744684078364601</v>
      </c>
      <c r="G123">
        <v>-65.686786599214358</v>
      </c>
      <c r="H123">
        <v>-56.90121991310621</v>
      </c>
      <c r="I123">
        <v>8.5201635902711992</v>
      </c>
      <c r="J123">
        <v>4.9320185865292698</v>
      </c>
      <c r="K123">
        <v>1.5716653514967101</v>
      </c>
      <c r="L123">
        <v>3.098218729671512E-5</v>
      </c>
      <c r="M123">
        <v>1.802356752976728E-6</v>
      </c>
      <c r="N123" s="1">
        <v>-5.2332473536919101E-8</v>
      </c>
      <c r="O123" s="1">
        <v>1.3823371415472699E-11</v>
      </c>
      <c r="P123" s="1">
        <v>1.8628831500256801E-10</v>
      </c>
      <c r="Q123">
        <v>64.718497838663694</v>
      </c>
      <c r="S123">
        <v>21.7491569802622</v>
      </c>
      <c r="AA123">
        <v>2.84210049016168</v>
      </c>
      <c r="AB123">
        <v>8.9048678300067703</v>
      </c>
      <c r="AC123">
        <v>1.7853768609055001</v>
      </c>
      <c r="AJ123">
        <v>0.76436243412177496</v>
      </c>
      <c r="AK123">
        <v>0.13480999008912001</v>
      </c>
      <c r="AL123">
        <v>0.10082757578910299</v>
      </c>
    </row>
    <row r="124" spans="1:38" x14ac:dyDescent="0.2">
      <c r="A124">
        <v>130</v>
      </c>
      <c r="B124">
        <v>756</v>
      </c>
      <c r="C124">
        <v>180</v>
      </c>
      <c r="D124">
        <v>0.40344021765534699</v>
      </c>
      <c r="E124">
        <v>6.1217560587884501</v>
      </c>
      <c r="F124">
        <v>2.5716799307402098</v>
      </c>
      <c r="G124">
        <v>-99.276685763233246</v>
      </c>
      <c r="H124">
        <v>-86.022122340608107</v>
      </c>
      <c r="I124">
        <v>12.879136590997501</v>
      </c>
      <c r="J124">
        <v>7.4638084049862403</v>
      </c>
      <c r="K124">
        <v>2.3804502207342702</v>
      </c>
      <c r="L124">
        <v>3.1076344641351026E-5</v>
      </c>
      <c r="M124">
        <v>1.8064038063710826E-6</v>
      </c>
      <c r="N124" s="1">
        <v>-8.3668689761783306E-8</v>
      </c>
      <c r="O124" s="1">
        <v>2.09896198244567E-11</v>
      </c>
      <c r="P124" s="1">
        <v>2.9467438328162401E-10</v>
      </c>
      <c r="Q124">
        <v>64.920297416610097</v>
      </c>
      <c r="S124">
        <v>21.556958156257501</v>
      </c>
      <c r="AA124">
        <v>2.6364473196624298</v>
      </c>
      <c r="AB124">
        <v>8.8506931647191394</v>
      </c>
      <c r="AC124">
        <v>2.0356039427506598</v>
      </c>
      <c r="AJ124">
        <v>0.75992018800876404</v>
      </c>
      <c r="AK124">
        <v>0.12508942188932001</v>
      </c>
      <c r="AL124">
        <v>0.114990390101915</v>
      </c>
    </row>
    <row r="125" spans="1:38" x14ac:dyDescent="0.2">
      <c r="A125">
        <v>131</v>
      </c>
      <c r="B125">
        <v>754</v>
      </c>
      <c r="C125">
        <v>180</v>
      </c>
      <c r="D125">
        <v>0.402142335588766</v>
      </c>
      <c r="E125">
        <v>15.2634873937627</v>
      </c>
      <c r="F125">
        <v>2.57437093633501</v>
      </c>
      <c r="G125">
        <v>-247.55331564448332</v>
      </c>
      <c r="H125">
        <v>-214.61971112298801</v>
      </c>
      <c r="I125">
        <v>32.063091584963502</v>
      </c>
      <c r="J125">
        <v>18.6154670259873</v>
      </c>
      <c r="K125">
        <v>5.9290163582613102</v>
      </c>
      <c r="L125">
        <v>3.1030547400111614E-5</v>
      </c>
      <c r="M125">
        <v>1.8012037600750718E-6</v>
      </c>
      <c r="N125" s="1">
        <v>-2.2022877890616299E-7</v>
      </c>
      <c r="O125" s="1">
        <v>5.1975477451689797E-11</v>
      </c>
      <c r="P125" s="1">
        <v>7.6824893258907304E-10</v>
      </c>
      <c r="Q125">
        <v>64.666972652716794</v>
      </c>
      <c r="S125">
        <v>21.750024671694302</v>
      </c>
      <c r="AA125">
        <v>2.85483904222394</v>
      </c>
      <c r="AB125">
        <v>8.7923214816909301</v>
      </c>
      <c r="AC125">
        <v>1.9358421516739499</v>
      </c>
      <c r="AJ125">
        <v>0.75512393442504999</v>
      </c>
      <c r="AK125">
        <v>0.13548995373017</v>
      </c>
      <c r="AL125">
        <v>0.109386111844779</v>
      </c>
    </row>
    <row r="126" spans="1:38" x14ac:dyDescent="0.2">
      <c r="A126">
        <v>131</v>
      </c>
      <c r="B126">
        <v>754</v>
      </c>
      <c r="C126">
        <v>180</v>
      </c>
      <c r="D126">
        <v>0.402142335588766</v>
      </c>
      <c r="E126">
        <v>24.776663647599399</v>
      </c>
      <c r="F126">
        <v>2.5216578473062001</v>
      </c>
      <c r="G126">
        <v>-391.88847752606557</v>
      </c>
      <c r="H126">
        <v>-339.22661466632917</v>
      </c>
      <c r="I126">
        <v>51.269885469246297</v>
      </c>
      <c r="J126">
        <v>29.4581116931802</v>
      </c>
      <c r="K126">
        <v>9.8255453942997892</v>
      </c>
      <c r="L126">
        <v>2.8449096383510383E-5</v>
      </c>
      <c r="M126">
        <v>1.7972458445306905E-6</v>
      </c>
      <c r="N126" s="1">
        <v>-1.55942037325564E-7</v>
      </c>
      <c r="O126" s="1">
        <v>9.3777833583515998E-11</v>
      </c>
      <c r="P126" s="1">
        <v>6.4953632906458405E-10</v>
      </c>
      <c r="Q126">
        <v>65.965243120140201</v>
      </c>
      <c r="S126">
        <v>19.039508895524701</v>
      </c>
      <c r="AA126">
        <v>0.31570210834337298</v>
      </c>
      <c r="AB126">
        <v>4.5794781095429702</v>
      </c>
      <c r="AC126">
        <v>10.100067766448699</v>
      </c>
      <c r="AJ126">
        <v>0.40174243134322302</v>
      </c>
      <c r="AK126">
        <v>1.53045297096394E-2</v>
      </c>
      <c r="AL126">
        <v>0.58295303894713701</v>
      </c>
    </row>
    <row r="127" spans="1:38" x14ac:dyDescent="0.2">
      <c r="A127">
        <v>132</v>
      </c>
      <c r="B127">
        <v>752</v>
      </c>
      <c r="C127">
        <v>180</v>
      </c>
      <c r="D127">
        <v>0.40083938935765601</v>
      </c>
      <c r="E127">
        <v>17.461049673918801</v>
      </c>
      <c r="F127">
        <v>2.57537346559389</v>
      </c>
      <c r="G127">
        <v>-283.16704533801129</v>
      </c>
      <c r="H127">
        <v>-245.61186121138812</v>
      </c>
      <c r="I127">
        <v>36.633842975782201</v>
      </c>
      <c r="J127">
        <v>21.309260582624301</v>
      </c>
      <c r="K127">
        <v>6.7800068251041701</v>
      </c>
      <c r="L127">
        <v>3.1081035706419683E-5</v>
      </c>
      <c r="M127">
        <v>1.8000028509464948E-6</v>
      </c>
      <c r="N127" s="1">
        <v>-2.67957339956736E-7</v>
      </c>
      <c r="O127" s="1">
        <v>5.9226017040436304E-11</v>
      </c>
      <c r="P127" s="1">
        <v>9.2496531979052995E-10</v>
      </c>
      <c r="Q127">
        <v>64.591887378326703</v>
      </c>
      <c r="S127">
        <v>21.811324690701099</v>
      </c>
      <c r="AA127">
        <v>2.9229323078640101</v>
      </c>
      <c r="AB127">
        <v>8.7857039429968893</v>
      </c>
      <c r="AC127">
        <v>1.88815168011112</v>
      </c>
      <c r="AJ127">
        <v>0.75457931282098001</v>
      </c>
      <c r="AK127">
        <v>0.13872600447731201</v>
      </c>
      <c r="AL127">
        <v>0.106694682701707</v>
      </c>
    </row>
    <row r="128" spans="1:38" x14ac:dyDescent="0.2">
      <c r="A128">
        <v>132</v>
      </c>
      <c r="B128">
        <v>752</v>
      </c>
      <c r="C128">
        <v>180</v>
      </c>
      <c r="D128">
        <v>0.40083938935765601</v>
      </c>
      <c r="E128">
        <v>30.706832082493399</v>
      </c>
      <c r="F128">
        <v>2.5216419226353701</v>
      </c>
      <c r="G128">
        <v>-485.42318431150261</v>
      </c>
      <c r="H128">
        <v>-420.37942194206602</v>
      </c>
      <c r="I128">
        <v>63.448044061295001</v>
      </c>
      <c r="J128">
        <v>36.505628451417799</v>
      </c>
      <c r="K128">
        <v>12.177316615358899</v>
      </c>
      <c r="L128">
        <v>2.8437939159775141E-5</v>
      </c>
      <c r="M128">
        <v>1.7968869576093787E-6</v>
      </c>
      <c r="N128" s="1">
        <v>-2.04291520487856E-7</v>
      </c>
      <c r="O128" s="1">
        <v>1.1618576938460099E-10</v>
      </c>
      <c r="P128" s="1">
        <v>8.36577577860554E-10</v>
      </c>
      <c r="Q128">
        <v>65.950061357442706</v>
      </c>
      <c r="S128">
        <v>19.029147708903</v>
      </c>
      <c r="AA128">
        <v>0.31069648006789202</v>
      </c>
      <c r="AB128">
        <v>4.5184831676102997</v>
      </c>
      <c r="AC128">
        <v>10.191611285976</v>
      </c>
      <c r="AJ128">
        <v>0.39651441167333301</v>
      </c>
      <c r="AK128">
        <v>1.50665366168613E-2</v>
      </c>
      <c r="AL128">
        <v>0.58841905170980502</v>
      </c>
    </row>
    <row r="129" spans="1:38" x14ac:dyDescent="0.2">
      <c r="A129">
        <v>133</v>
      </c>
      <c r="B129">
        <v>750</v>
      </c>
      <c r="C129">
        <v>180</v>
      </c>
      <c r="D129">
        <v>0.39953134926452799</v>
      </c>
      <c r="E129">
        <v>18.380588788639798</v>
      </c>
      <c r="F129">
        <v>2.5759119211059698</v>
      </c>
      <c r="G129">
        <v>-298.02979669053121</v>
      </c>
      <c r="H129">
        <v>-258.6203257727297</v>
      </c>
      <c r="I129">
        <v>38.517784213264399</v>
      </c>
      <c r="J129">
        <v>22.4482092944158</v>
      </c>
      <c r="K129">
        <v>7.1355657148199496</v>
      </c>
      <c r="L129">
        <v>3.1158219096532023E-5</v>
      </c>
      <c r="M129">
        <v>1.7998314315793088E-6</v>
      </c>
      <c r="N129" s="1">
        <v>-3.0049420563227401E-7</v>
      </c>
      <c r="O129" s="1">
        <v>6.21450371411517E-11</v>
      </c>
      <c r="P129" s="1">
        <v>1.02659936260228E-9</v>
      </c>
      <c r="Q129">
        <v>64.563026477452198</v>
      </c>
      <c r="S129">
        <v>21.837200178668301</v>
      </c>
      <c r="AA129">
        <v>2.95101414704604</v>
      </c>
      <c r="AB129">
        <v>8.7892249286066892</v>
      </c>
      <c r="AC129">
        <v>1.8595342682265801</v>
      </c>
      <c r="AJ129">
        <v>0.75486805052336703</v>
      </c>
      <c r="AK129">
        <v>0.140056267246673</v>
      </c>
      <c r="AL129">
        <v>0.105075682229958</v>
      </c>
    </row>
    <row r="130" spans="1:38" x14ac:dyDescent="0.2">
      <c r="A130">
        <v>133</v>
      </c>
      <c r="B130">
        <v>750</v>
      </c>
      <c r="C130">
        <v>180</v>
      </c>
      <c r="D130">
        <v>0.39953134926452799</v>
      </c>
      <c r="E130">
        <v>33.049750881160499</v>
      </c>
      <c r="F130">
        <v>2.5216586638666301</v>
      </c>
      <c r="G130">
        <v>-522.2330696651162</v>
      </c>
      <c r="H130">
        <v>-452.45651562341635</v>
      </c>
      <c r="I130">
        <v>68.197775537995298</v>
      </c>
      <c r="J130">
        <v>39.294084545898599</v>
      </c>
      <c r="K130">
        <v>13.106353906949</v>
      </c>
      <c r="L130">
        <v>2.844696913623296E-5</v>
      </c>
      <c r="M130">
        <v>1.7968117844610721E-6</v>
      </c>
      <c r="N130" s="1">
        <v>-2.34098633613028E-7</v>
      </c>
      <c r="O130" s="1">
        <v>1.2497340388796801E-10</v>
      </c>
      <c r="P130" s="1">
        <v>9.4120134969906097E-10</v>
      </c>
      <c r="Q130">
        <v>65.943196391593006</v>
      </c>
      <c r="S130">
        <v>19.020875987324501</v>
      </c>
      <c r="AA130">
        <v>0.30547407100094198</v>
      </c>
      <c r="AB130">
        <v>4.4814995657840404</v>
      </c>
      <c r="AC130">
        <v>10.2489539842973</v>
      </c>
      <c r="AJ130">
        <v>0.393342900616445</v>
      </c>
      <c r="AK130">
        <v>1.4816072702538799E-2</v>
      </c>
      <c r="AL130">
        <v>0.59184102668101501</v>
      </c>
    </row>
    <row r="131" spans="1:38" x14ac:dyDescent="0.2">
      <c r="A131">
        <v>134</v>
      </c>
      <c r="B131">
        <v>748</v>
      </c>
      <c r="C131">
        <v>180</v>
      </c>
      <c r="D131">
        <v>0.39821818537923098</v>
      </c>
      <c r="E131">
        <v>18.929069467554601</v>
      </c>
      <c r="F131">
        <v>2.5763162053033302</v>
      </c>
      <c r="G131">
        <v>-306.86615698996098</v>
      </c>
      <c r="H131">
        <v>-266.40692939099807</v>
      </c>
      <c r="I131">
        <v>39.621238406662002</v>
      </c>
      <c r="J131">
        <v>23.137017690806701</v>
      </c>
      <c r="K131">
        <v>7.3473393633084498</v>
      </c>
      <c r="L131">
        <v>3.1247234799656424E-5</v>
      </c>
      <c r="M131">
        <v>1.7999722442969175E-6</v>
      </c>
      <c r="N131" s="1">
        <v>-3.2988068262658201E-7</v>
      </c>
      <c r="O131" s="1">
        <v>6.3799215005313002E-11</v>
      </c>
      <c r="P131" s="1">
        <v>1.1157880028444801E-9</v>
      </c>
      <c r="Q131">
        <v>64.547626371102993</v>
      </c>
      <c r="S131">
        <v>21.852770103587702</v>
      </c>
      <c r="AA131">
        <v>2.9674528988114202</v>
      </c>
      <c r="AB131">
        <v>8.7957251997323702</v>
      </c>
      <c r="AC131">
        <v>1.83642542676549</v>
      </c>
      <c r="AJ131">
        <v>0.75540165085583699</v>
      </c>
      <c r="AK131">
        <v>0.14083185565806</v>
      </c>
      <c r="AL131">
        <v>0.10376649348610099</v>
      </c>
    </row>
    <row r="132" spans="1:38" x14ac:dyDescent="0.2">
      <c r="A132">
        <v>134</v>
      </c>
      <c r="B132">
        <v>748</v>
      </c>
      <c r="C132">
        <v>180</v>
      </c>
      <c r="D132">
        <v>0.39821818537923098</v>
      </c>
      <c r="E132">
        <v>34.361612664965698</v>
      </c>
      <c r="F132">
        <v>2.5216860077992802</v>
      </c>
      <c r="G132">
        <v>-542.74196237085346</v>
      </c>
      <c r="H132">
        <v>-470.43194601216788</v>
      </c>
      <c r="I132">
        <v>70.812335463629694</v>
      </c>
      <c r="J132">
        <v>40.859647329421001</v>
      </c>
      <c r="K132">
        <v>13.626443799382301</v>
      </c>
      <c r="L132">
        <v>2.8463328980731313E-5</v>
      </c>
      <c r="M132">
        <v>1.7968214309092404E-6</v>
      </c>
      <c r="N132" s="1">
        <v>-2.59614171664597E-7</v>
      </c>
      <c r="O132" s="1">
        <v>1.2983662244611899E-10</v>
      </c>
      <c r="P132" s="1">
        <v>1.0250640186668399E-9</v>
      </c>
      <c r="Q132">
        <v>65.938649992013097</v>
      </c>
      <c r="S132">
        <v>19.013259525851499</v>
      </c>
      <c r="AA132">
        <v>0.30025125248809598</v>
      </c>
      <c r="AB132">
        <v>4.45140061412945</v>
      </c>
      <c r="AC132">
        <v>10.2964386155176</v>
      </c>
      <c r="AJ132">
        <v>0.39076090737042501</v>
      </c>
      <c r="AK132">
        <v>1.4564985146327E-2</v>
      </c>
      <c r="AL132">
        <v>0.59467410748324701</v>
      </c>
    </row>
    <row r="133" spans="1:38" x14ac:dyDescent="0.2">
      <c r="A133">
        <v>135</v>
      </c>
      <c r="B133">
        <v>746</v>
      </c>
      <c r="C133">
        <v>180</v>
      </c>
      <c r="D133">
        <v>0.396899867536674</v>
      </c>
      <c r="E133">
        <v>19.308766973132801</v>
      </c>
      <c r="F133">
        <v>2.5766464074700601</v>
      </c>
      <c r="G133">
        <v>-312.96020316513324</v>
      </c>
      <c r="H133">
        <v>-271.81763212960806</v>
      </c>
      <c r="I133">
        <v>40.3694952023992</v>
      </c>
      <c r="J133">
        <v>23.622122215705801</v>
      </c>
      <c r="K133">
        <v>7.49375890970291</v>
      </c>
      <c r="L133">
        <v>3.1345717089741291E-5</v>
      </c>
      <c r="M133">
        <v>1.8002956223649274E-6</v>
      </c>
      <c r="N133" s="1">
        <v>-3.5886058771650198E-7</v>
      </c>
      <c r="O133" s="1">
        <v>6.4872271512786494E-11</v>
      </c>
      <c r="P133" s="1">
        <v>1.20219417100174E-9</v>
      </c>
      <c r="Q133">
        <v>64.539721122856207</v>
      </c>
      <c r="S133">
        <v>21.862608488503401</v>
      </c>
      <c r="AA133">
        <v>2.9774142487106001</v>
      </c>
      <c r="AB133">
        <v>8.8039013830109099</v>
      </c>
      <c r="AC133">
        <v>1.8163547569187599</v>
      </c>
      <c r="AJ133">
        <v>0.75607294952547799</v>
      </c>
      <c r="AK133">
        <v>0.14129883589966699</v>
      </c>
      <c r="AL133">
        <v>0.10262821457485299</v>
      </c>
    </row>
    <row r="134" spans="1:38" x14ac:dyDescent="0.2">
      <c r="A134">
        <v>135</v>
      </c>
      <c r="B134">
        <v>746</v>
      </c>
      <c r="C134">
        <v>180</v>
      </c>
      <c r="D134">
        <v>0.396899867536674</v>
      </c>
      <c r="E134">
        <v>35.182132980719999</v>
      </c>
      <c r="F134">
        <v>2.5217198135271901</v>
      </c>
      <c r="G134">
        <v>-555.48572802148988</v>
      </c>
      <c r="H134">
        <v>-481.6891564405862</v>
      </c>
      <c r="I134">
        <v>72.409921582596894</v>
      </c>
      <c r="J134">
        <v>41.843314290537599</v>
      </c>
      <c r="K134">
        <v>13.9516423640697</v>
      </c>
      <c r="L134">
        <v>2.8484838801369631E-5</v>
      </c>
      <c r="M134">
        <v>1.7968801931936594E-6</v>
      </c>
      <c r="N134" s="1">
        <v>-2.83787064531146E-7</v>
      </c>
      <c r="O134" s="1">
        <v>1.32823227836088E-10</v>
      </c>
      <c r="P134" s="1">
        <v>1.10099832826353E-9</v>
      </c>
      <c r="Q134">
        <v>65.935335006735201</v>
      </c>
      <c r="S134">
        <v>19.0060315640462</v>
      </c>
      <c r="AA134">
        <v>0.29506161648609203</v>
      </c>
      <c r="AB134">
        <v>4.4250643056080898</v>
      </c>
      <c r="AC134">
        <v>10.3385075071243</v>
      </c>
      <c r="AJ134">
        <v>0.388501043608934</v>
      </c>
      <c r="AK134">
        <v>1.43151568574366E-2</v>
      </c>
      <c r="AL134">
        <v>0.59718379953362799</v>
      </c>
    </row>
    <row r="135" spans="1:38" x14ac:dyDescent="0.2">
      <c r="A135">
        <v>136</v>
      </c>
      <c r="B135">
        <v>744</v>
      </c>
      <c r="C135">
        <v>180</v>
      </c>
      <c r="D135">
        <v>0.39557636533451601</v>
      </c>
      <c r="E135">
        <v>19.599968005840001</v>
      </c>
      <c r="F135">
        <v>2.5769349837709101</v>
      </c>
      <c r="G135">
        <v>-317.61586865349432</v>
      </c>
      <c r="H135">
        <v>-275.9826525703557</v>
      </c>
      <c r="I135">
        <v>40.931245227487203</v>
      </c>
      <c r="J135">
        <v>24.001401185603299</v>
      </c>
      <c r="K135">
        <v>7.6059225899284302</v>
      </c>
      <c r="L135">
        <v>3.1452554254616944E-5</v>
      </c>
      <c r="M135">
        <v>1.800731095008291E-6</v>
      </c>
      <c r="N135" s="1">
        <v>-3.8861539347710101E-7</v>
      </c>
      <c r="O135" s="1">
        <v>6.5633439311563806E-11</v>
      </c>
      <c r="P135" s="1">
        <v>1.2899067226944501E-9</v>
      </c>
      <c r="Q135">
        <v>64.536056360835602</v>
      </c>
      <c r="S135">
        <v>21.869200606484998</v>
      </c>
      <c r="AA135">
        <v>2.98370793566035</v>
      </c>
      <c r="AB135">
        <v>8.8130167516672202</v>
      </c>
      <c r="AC135">
        <v>1.79801834535171</v>
      </c>
      <c r="AJ135">
        <v>0.75682137276039796</v>
      </c>
      <c r="AK135">
        <v>0.141591079281638</v>
      </c>
      <c r="AL135">
        <v>0.101587547957963</v>
      </c>
    </row>
    <row r="136" spans="1:38" x14ac:dyDescent="0.2">
      <c r="A136">
        <v>136</v>
      </c>
      <c r="B136">
        <v>744</v>
      </c>
      <c r="C136">
        <v>180</v>
      </c>
      <c r="D136">
        <v>0.39557636533451601</v>
      </c>
      <c r="E136">
        <v>35.739965849582703</v>
      </c>
      <c r="F136">
        <v>2.5217580044512</v>
      </c>
      <c r="G136">
        <v>-564.07888295339637</v>
      </c>
      <c r="H136">
        <v>-489.35511436847469</v>
      </c>
      <c r="I136">
        <v>73.463863328832304</v>
      </c>
      <c r="J136">
        <v>42.516558683872297</v>
      </c>
      <c r="K136">
        <v>14.1726390028295</v>
      </c>
      <c r="L136">
        <v>2.8510399932406727E-5</v>
      </c>
      <c r="M136">
        <v>1.7969692399444979E-6</v>
      </c>
      <c r="N136" s="1">
        <v>-3.0790388474858702E-7</v>
      </c>
      <c r="O136" s="1">
        <v>1.3480103644904401E-10</v>
      </c>
      <c r="P136" s="1">
        <v>1.17453644236093E-9</v>
      </c>
      <c r="Q136">
        <v>65.932669543400195</v>
      </c>
      <c r="S136">
        <v>18.999051053122699</v>
      </c>
      <c r="AA136">
        <v>0.28992457292955198</v>
      </c>
      <c r="AB136">
        <v>4.40082414656837</v>
      </c>
      <c r="AC136">
        <v>10.377530683979</v>
      </c>
      <c r="AJ136">
        <v>0.38642051395227101</v>
      </c>
      <c r="AK136">
        <v>1.40676636289922E-2</v>
      </c>
      <c r="AL136">
        <v>0.59951182241873502</v>
      </c>
    </row>
    <row r="137" spans="1:38" x14ac:dyDescent="0.2">
      <c r="A137">
        <v>137</v>
      </c>
      <c r="B137">
        <v>742</v>
      </c>
      <c r="C137">
        <v>180</v>
      </c>
      <c r="D137">
        <v>0.39424764813081797</v>
      </c>
      <c r="E137">
        <v>19.838766737630799</v>
      </c>
      <c r="F137">
        <v>2.57719800454917</v>
      </c>
      <c r="G137">
        <v>-321.4194598043772</v>
      </c>
      <c r="H137">
        <v>-279.4102064321757</v>
      </c>
      <c r="I137">
        <v>41.382311355170501</v>
      </c>
      <c r="J137">
        <v>24.3189326333972</v>
      </c>
      <c r="K137">
        <v>7.6978046322448499</v>
      </c>
      <c r="L137">
        <v>3.1567431244313267E-5</v>
      </c>
      <c r="M137">
        <v>1.8012443049351951E-6</v>
      </c>
      <c r="N137" s="1">
        <v>-4.1975871190599902E-7</v>
      </c>
      <c r="O137" s="1">
        <v>6.62028526185575E-11</v>
      </c>
      <c r="P137" s="1">
        <v>1.3809875067806601E-9</v>
      </c>
      <c r="Q137">
        <v>64.535016510459997</v>
      </c>
      <c r="S137">
        <v>21.873778502535899</v>
      </c>
      <c r="AA137">
        <v>2.9877273816457102</v>
      </c>
      <c r="AB137">
        <v>8.8227010505241399</v>
      </c>
      <c r="AC137">
        <v>1.7807765548342001</v>
      </c>
      <c r="AJ137">
        <v>0.75761647724055403</v>
      </c>
      <c r="AK137">
        <v>0.141774983465008</v>
      </c>
      <c r="AL137">
        <v>0.100608539294436</v>
      </c>
    </row>
    <row r="138" spans="1:38" x14ac:dyDescent="0.2">
      <c r="A138">
        <v>137</v>
      </c>
      <c r="B138">
        <v>742</v>
      </c>
      <c r="C138">
        <v>180</v>
      </c>
      <c r="D138">
        <v>0.39424764813081797</v>
      </c>
      <c r="E138">
        <v>36.140612357865102</v>
      </c>
      <c r="F138">
        <v>2.5217995778150999</v>
      </c>
      <c r="G138">
        <v>-570.18888790974313</v>
      </c>
      <c r="H138">
        <v>-494.8723609557033</v>
      </c>
      <c r="I138">
        <v>74.192510421159099</v>
      </c>
      <c r="J138">
        <v>43.0046539364496</v>
      </c>
      <c r="K138">
        <v>14.3312786138133</v>
      </c>
      <c r="L138">
        <v>2.8539560089899446E-5</v>
      </c>
      <c r="M138">
        <v>1.7970795690037517E-6</v>
      </c>
      <c r="N138" s="1">
        <v>-3.3259773292811801E-7</v>
      </c>
      <c r="O138" s="1">
        <v>1.36170281030953E-10</v>
      </c>
      <c r="P138" s="1">
        <v>1.2483341541245999E-9</v>
      </c>
      <c r="Q138">
        <v>65.930367488819499</v>
      </c>
      <c r="S138">
        <v>18.9922482151479</v>
      </c>
      <c r="AA138">
        <v>0.28484931491010101</v>
      </c>
      <c r="AB138">
        <v>4.3778596171861004</v>
      </c>
      <c r="AC138">
        <v>10.414675363936301</v>
      </c>
      <c r="AJ138">
        <v>0.38444899976582197</v>
      </c>
      <c r="AK138">
        <v>1.38230180077447E-2</v>
      </c>
      <c r="AL138">
        <v>0.60172798222643298</v>
      </c>
    </row>
    <row r="139" spans="1:38" x14ac:dyDescent="0.2">
      <c r="A139">
        <v>138</v>
      </c>
      <c r="B139">
        <v>740</v>
      </c>
      <c r="C139">
        <v>180</v>
      </c>
      <c r="D139">
        <v>0.39291368504170499</v>
      </c>
      <c r="E139">
        <v>20.0436944924644</v>
      </c>
      <c r="F139">
        <v>2.5774439787887902</v>
      </c>
      <c r="G139">
        <v>-324.67202649266159</v>
      </c>
      <c r="H139">
        <v>-282.36124025586014</v>
      </c>
      <c r="I139">
        <v>41.7616209216812</v>
      </c>
      <c r="J139">
        <v>24.597424102561501</v>
      </c>
      <c r="K139">
        <v>7.7765781360972399</v>
      </c>
      <c r="L139">
        <v>3.1690424822699042E-5</v>
      </c>
      <c r="M139">
        <v>1.8018177577573315E-6</v>
      </c>
      <c r="N139" s="1">
        <v>-4.5268364234009599E-7</v>
      </c>
      <c r="O139" s="1">
        <v>6.6641552163894005E-11</v>
      </c>
      <c r="P139" s="1">
        <v>1.4767054997363101E-9</v>
      </c>
      <c r="Q139">
        <v>64.535746946585505</v>
      </c>
      <c r="S139">
        <v>21.8769936314483</v>
      </c>
      <c r="AA139">
        <v>2.99020945863455</v>
      </c>
      <c r="AB139">
        <v>8.8327576667047296</v>
      </c>
      <c r="AC139">
        <v>1.76429229662678</v>
      </c>
      <c r="AJ139">
        <v>0.75844209626837999</v>
      </c>
      <c r="AK139">
        <v>0.14188566360555899</v>
      </c>
      <c r="AL139">
        <v>9.9672240126059797E-2</v>
      </c>
    </row>
    <row r="140" spans="1:38" x14ac:dyDescent="0.2">
      <c r="A140">
        <v>138</v>
      </c>
      <c r="B140">
        <v>740</v>
      </c>
      <c r="C140">
        <v>180</v>
      </c>
      <c r="D140">
        <v>0.39291368504170499</v>
      </c>
      <c r="E140">
        <v>36.438732264280702</v>
      </c>
      <c r="F140">
        <v>2.5218440064636898</v>
      </c>
      <c r="G140">
        <v>-574.67961855478836</v>
      </c>
      <c r="H140">
        <v>-498.98819864242915</v>
      </c>
      <c r="I140">
        <v>74.708996606977394</v>
      </c>
      <c r="J140">
        <v>43.372538759964101</v>
      </c>
      <c r="K140">
        <v>14.449241178631601</v>
      </c>
      <c r="L140">
        <v>2.8572171187650783E-5</v>
      </c>
      <c r="M140">
        <v>1.7972067015050709E-6</v>
      </c>
      <c r="N140" s="1">
        <v>-3.5823527255698903E-7</v>
      </c>
      <c r="O140" s="1">
        <v>1.37138076019623E-10</v>
      </c>
      <c r="P140" s="1">
        <v>1.32386842506403E-9</v>
      </c>
      <c r="Q140">
        <v>65.928278596882606</v>
      </c>
      <c r="S140">
        <v>18.985585759294999</v>
      </c>
      <c r="AA140">
        <v>0.27984013498990901</v>
      </c>
      <c r="AB140">
        <v>4.3557381393101799</v>
      </c>
      <c r="AC140">
        <v>10.4505573695221</v>
      </c>
      <c r="AJ140">
        <v>0.382549427165775</v>
      </c>
      <c r="AK140">
        <v>1.3581463951028799E-2</v>
      </c>
      <c r="AL140">
        <v>0.603869108883195</v>
      </c>
    </row>
    <row r="141" spans="1:38" x14ac:dyDescent="0.2">
      <c r="A141">
        <v>140</v>
      </c>
      <c r="B141">
        <v>768</v>
      </c>
      <c r="C141">
        <v>165</v>
      </c>
      <c r="D141">
        <v>0.42697065744609403</v>
      </c>
      <c r="E141">
        <v>0.30922533034831801</v>
      </c>
      <c r="F141">
        <v>2.5779620448852598</v>
      </c>
      <c r="G141">
        <v>-5.034144814897509</v>
      </c>
      <c r="H141">
        <v>-4.352780227902139</v>
      </c>
      <c r="I141">
        <v>0.65443460307868195</v>
      </c>
      <c r="J141">
        <v>0.37606520422199502</v>
      </c>
      <c r="K141">
        <v>0.11994952794663</v>
      </c>
      <c r="L141">
        <v>3.0552538926571814E-5</v>
      </c>
      <c r="M141">
        <v>1.7934538241617277E-6</v>
      </c>
      <c r="N141" s="1">
        <v>-2.90291070802034E-9</v>
      </c>
      <c r="O141" s="1">
        <v>1.0557174672149E-12</v>
      </c>
      <c r="P141" s="1">
        <v>1.1068304355436E-11</v>
      </c>
      <c r="Q141">
        <v>64.314954382457898</v>
      </c>
      <c r="S141">
        <v>22.1007685578458</v>
      </c>
      <c r="AA141">
        <v>3.2263449905958801</v>
      </c>
      <c r="AB141">
        <v>8.9273883382467591</v>
      </c>
      <c r="AC141">
        <v>1.43054373085358</v>
      </c>
      <c r="AJ141">
        <v>0.76620345572099202</v>
      </c>
      <c r="AK141">
        <v>0.153017560607876</v>
      </c>
      <c r="AL141">
        <v>8.0778983671131094E-2</v>
      </c>
    </row>
    <row r="142" spans="1:38" x14ac:dyDescent="0.2">
      <c r="A142">
        <v>141</v>
      </c>
      <c r="B142">
        <v>766</v>
      </c>
      <c r="C142">
        <v>165</v>
      </c>
      <c r="D142">
        <v>0.42573305105134501</v>
      </c>
      <c r="E142">
        <v>0.999843546636352</v>
      </c>
      <c r="F142">
        <v>2.5771325851840001</v>
      </c>
      <c r="G142">
        <v>-16.270461499890544</v>
      </c>
      <c r="H142">
        <v>-14.073645944594292</v>
      </c>
      <c r="I142">
        <v>2.1140504790417598</v>
      </c>
      <c r="J142">
        <v>1.21653499352899</v>
      </c>
      <c r="K142">
        <v>0.387967445828932</v>
      </c>
      <c r="L142">
        <v>3.0647185662913761E-5</v>
      </c>
      <c r="M142">
        <v>1.795904978914661E-6</v>
      </c>
      <c r="N142" s="1">
        <v>-1.0012241337545499E-8</v>
      </c>
      <c r="O142" s="1">
        <v>3.4149439485625999E-12</v>
      </c>
      <c r="P142" s="1">
        <v>3.76013219505647E-11</v>
      </c>
      <c r="Q142">
        <v>64.412930576531195</v>
      </c>
      <c r="S142">
        <v>22.0243182182714</v>
      </c>
      <c r="AA142">
        <v>3.1404112721915398</v>
      </c>
      <c r="AB142">
        <v>8.9452985290489995</v>
      </c>
      <c r="AC142">
        <v>1.4770414039567601</v>
      </c>
      <c r="AJ142">
        <v>0.76767372456351102</v>
      </c>
      <c r="AK142">
        <v>0.14892895948427501</v>
      </c>
      <c r="AL142">
        <v>8.3397315952212794E-2</v>
      </c>
    </row>
    <row r="143" spans="1:38" x14ac:dyDescent="0.2">
      <c r="A143">
        <v>142</v>
      </c>
      <c r="B143">
        <v>764</v>
      </c>
      <c r="C143">
        <v>165</v>
      </c>
      <c r="D143">
        <v>0.424490671551851</v>
      </c>
      <c r="E143">
        <v>2.5774205210423</v>
      </c>
      <c r="F143">
        <v>2.5752669154507601</v>
      </c>
      <c r="G143">
        <v>-41.913081285971643</v>
      </c>
      <c r="H143">
        <v>-36.26572278179809</v>
      </c>
      <c r="I143">
        <v>5.44507400489183</v>
      </c>
      <c r="J143">
        <v>3.13726990915259</v>
      </c>
      <c r="K143">
        <v>1.0008362650017399</v>
      </c>
      <c r="L143">
        <v>3.0756693830927697E-5</v>
      </c>
      <c r="M143">
        <v>1.7997608327728925E-6</v>
      </c>
      <c r="N143" s="1">
        <v>-2.7466086961021999E-8</v>
      </c>
      <c r="O143" s="1">
        <v>8.8236212413714301E-12</v>
      </c>
      <c r="P143" s="1">
        <v>1.01704140335951E-10</v>
      </c>
      <c r="Q143">
        <v>64.584889549666599</v>
      </c>
      <c r="S143">
        <v>21.878382886682999</v>
      </c>
      <c r="AA143">
        <v>2.9798888538214698</v>
      </c>
      <c r="AB143">
        <v>8.9459114359632501</v>
      </c>
      <c r="AC143">
        <v>1.6109272738654801</v>
      </c>
      <c r="AJ143">
        <v>0.76772663066539404</v>
      </c>
      <c r="AK143">
        <v>0.14131649822765299</v>
      </c>
      <c r="AL143">
        <v>9.0956871106951304E-2</v>
      </c>
    </row>
    <row r="144" spans="1:38" x14ac:dyDescent="0.2">
      <c r="A144">
        <v>143</v>
      </c>
      <c r="B144">
        <v>762</v>
      </c>
      <c r="C144">
        <v>165</v>
      </c>
      <c r="D144">
        <v>0.42324349128146099</v>
      </c>
      <c r="E144">
        <v>4.4931807310200398</v>
      </c>
      <c r="F144">
        <v>2.5729175992497</v>
      </c>
      <c r="G144">
        <v>-73.00259826269243</v>
      </c>
      <c r="H144">
        <v>-63.184960451666932</v>
      </c>
      <c r="I144">
        <v>9.48426586584117</v>
      </c>
      <c r="J144">
        <v>5.4707892505512801</v>
      </c>
      <c r="K144">
        <v>1.74633681713332</v>
      </c>
      <c r="L144">
        <v>3.0858291237403959E-5</v>
      </c>
      <c r="M144">
        <v>1.8038182814595447E-6</v>
      </c>
      <c r="N144" s="1">
        <v>-5.0782334772353498E-8</v>
      </c>
      <c r="O144" s="1">
        <v>1.5430087222070902E-11</v>
      </c>
      <c r="P144" s="1">
        <v>1.8563263416723601E-10</v>
      </c>
      <c r="Q144">
        <v>64.776186693034006</v>
      </c>
      <c r="S144">
        <v>21.706610216736699</v>
      </c>
      <c r="AA144">
        <v>2.7935380690990299</v>
      </c>
      <c r="AB144">
        <v>8.9218824767795493</v>
      </c>
      <c r="AC144">
        <v>1.80178254435054</v>
      </c>
      <c r="AJ144">
        <v>0.76575896937070098</v>
      </c>
      <c r="AK144">
        <v>0.132495454312996</v>
      </c>
      <c r="AL144">
        <v>0.101745576316302</v>
      </c>
    </row>
    <row r="145" spans="1:38" x14ac:dyDescent="0.2">
      <c r="A145">
        <v>144</v>
      </c>
      <c r="B145">
        <v>760</v>
      </c>
      <c r="C145">
        <v>165</v>
      </c>
      <c r="D145">
        <v>0.42199148235977502</v>
      </c>
      <c r="E145">
        <v>6.5360126283444098</v>
      </c>
      <c r="F145">
        <v>2.5702437663102402</v>
      </c>
      <c r="G145">
        <v>-106.0835070352263</v>
      </c>
      <c r="H145">
        <v>-91.842817313870995</v>
      </c>
      <c r="I145">
        <v>13.783758139045901</v>
      </c>
      <c r="J145">
        <v>7.9593334590773601</v>
      </c>
      <c r="K145">
        <v>2.5429543742176999</v>
      </c>
      <c r="L145">
        <v>3.0940178935941712E-5</v>
      </c>
      <c r="M145">
        <v>1.8075960906396747E-6</v>
      </c>
      <c r="N145" s="1">
        <v>-7.8013652054736799E-8</v>
      </c>
      <c r="O145" s="1">
        <v>2.2525771573530299E-11</v>
      </c>
      <c r="P145" s="1">
        <v>2.8188717162398902E-10</v>
      </c>
      <c r="Q145">
        <v>64.966601631896495</v>
      </c>
      <c r="S145">
        <v>21.523503744307899</v>
      </c>
      <c r="AA145">
        <v>2.59804263164036</v>
      </c>
      <c r="AB145">
        <v>8.8661745354557802</v>
      </c>
      <c r="AC145">
        <v>2.0456774566993401</v>
      </c>
      <c r="AJ145">
        <v>0.76119147477263605</v>
      </c>
      <c r="AK145">
        <v>0.123257882566844</v>
      </c>
      <c r="AL145">
        <v>0.115550642660519</v>
      </c>
    </row>
    <row r="146" spans="1:38" x14ac:dyDescent="0.2">
      <c r="A146">
        <v>145</v>
      </c>
      <c r="B146">
        <v>758</v>
      </c>
      <c r="C146">
        <v>165</v>
      </c>
      <c r="D146">
        <v>0.42073461669010398</v>
      </c>
      <c r="E146">
        <v>14.0963365956478</v>
      </c>
      <c r="F146">
        <v>2.5723458819795599</v>
      </c>
      <c r="G146">
        <v>-228.77144359401268</v>
      </c>
      <c r="H146">
        <v>-198.16310226876735</v>
      </c>
      <c r="I146">
        <v>29.683694249377201</v>
      </c>
      <c r="J146">
        <v>17.167924111769199</v>
      </c>
      <c r="K146">
        <v>5.4799538018580698</v>
      </c>
      <c r="L146">
        <v>3.0882441077961617E-5</v>
      </c>
      <c r="M146">
        <v>1.8029079155978347E-6</v>
      </c>
      <c r="N146" s="1">
        <v>-1.7703798620596501E-7</v>
      </c>
      <c r="O146" s="1">
        <v>4.8317996895310601E-11</v>
      </c>
      <c r="P146" s="1">
        <v>6.3334982011309504E-10</v>
      </c>
      <c r="Q146">
        <v>64.746765089070905</v>
      </c>
      <c r="S146">
        <v>21.680304310593598</v>
      </c>
      <c r="AA146">
        <v>2.7787005562456999</v>
      </c>
      <c r="AB146">
        <v>8.7873536569158492</v>
      </c>
      <c r="AC146">
        <v>2.0068763871737998</v>
      </c>
      <c r="AJ146">
        <v>0.75471714985887195</v>
      </c>
      <c r="AK146">
        <v>0.13187991292832299</v>
      </c>
      <c r="AL146">
        <v>0.11340293721280401</v>
      </c>
    </row>
    <row r="147" spans="1:38" x14ac:dyDescent="0.2">
      <c r="A147">
        <v>145</v>
      </c>
      <c r="B147">
        <v>758</v>
      </c>
      <c r="C147">
        <v>165</v>
      </c>
      <c r="D147">
        <v>0.42073461669010398</v>
      </c>
      <c r="E147">
        <v>21.141049369479401</v>
      </c>
      <c r="F147">
        <v>2.5210548009717302</v>
      </c>
      <c r="G147">
        <v>-334.86102765279765</v>
      </c>
      <c r="H147">
        <v>-289.61836675637659</v>
      </c>
      <c r="I147">
        <v>43.875925807516801</v>
      </c>
      <c r="J147">
        <v>25.137751823675401</v>
      </c>
      <c r="K147">
        <v>8.3857952478187592</v>
      </c>
      <c r="L147">
        <v>2.8450606502977578E-5</v>
      </c>
      <c r="M147">
        <v>1.798772184672961E-6</v>
      </c>
      <c r="N147" s="1">
        <v>-1.1675354311265001E-7</v>
      </c>
      <c r="O147" s="1">
        <v>8.0079340374476596E-11</v>
      </c>
      <c r="P147" s="1">
        <v>5.0723420759128103E-10</v>
      </c>
      <c r="Q147">
        <v>65.989456177292098</v>
      </c>
      <c r="S147">
        <v>19.062032060694101</v>
      </c>
      <c r="AA147">
        <v>0.32863416435419002</v>
      </c>
      <c r="AB147">
        <v>4.6924830148564398</v>
      </c>
      <c r="AC147">
        <v>9.9273945828031405</v>
      </c>
      <c r="AJ147">
        <v>0.41141975723782198</v>
      </c>
      <c r="AK147">
        <v>1.5922304850348401E-2</v>
      </c>
      <c r="AL147">
        <v>0.57265793791182795</v>
      </c>
    </row>
    <row r="148" spans="1:38" x14ac:dyDescent="0.2">
      <c r="A148">
        <v>146</v>
      </c>
      <c r="B148">
        <v>756</v>
      </c>
      <c r="C148">
        <v>165</v>
      </c>
      <c r="D148">
        <v>0.41947286595734501</v>
      </c>
      <c r="E148">
        <v>16.946027046871901</v>
      </c>
      <c r="F148">
        <v>2.5739372147042299</v>
      </c>
      <c r="G148">
        <v>-275.01734504787908</v>
      </c>
      <c r="H148">
        <v>-238.34102143895373</v>
      </c>
      <c r="I148">
        <v>35.637490753461897</v>
      </c>
      <c r="J148">
        <v>20.648504979203999</v>
      </c>
      <c r="K148">
        <v>6.5836986815621401</v>
      </c>
      <c r="L148">
        <v>3.0897683635915956E-5</v>
      </c>
      <c r="M148">
        <v>1.8004440373139184E-6</v>
      </c>
      <c r="N148" s="1">
        <v>-2.2591472427992501E-7</v>
      </c>
      <c r="O148" s="1">
        <v>5.7813539248393801E-11</v>
      </c>
      <c r="P148" s="1">
        <v>7.9920781255111697E-10</v>
      </c>
      <c r="Q148">
        <v>64.614820538502997</v>
      </c>
      <c r="S148">
        <v>21.785729939629299</v>
      </c>
      <c r="AA148">
        <v>2.8964652367496702</v>
      </c>
      <c r="AB148">
        <v>8.7697092933431797</v>
      </c>
      <c r="AC148">
        <v>1.93327499177479</v>
      </c>
      <c r="AJ148">
        <v>0.753265907376508</v>
      </c>
      <c r="AK148">
        <v>0.137480855335809</v>
      </c>
      <c r="AL148">
        <v>0.10925323728768201</v>
      </c>
    </row>
    <row r="149" spans="1:38" x14ac:dyDescent="0.2">
      <c r="A149">
        <v>146</v>
      </c>
      <c r="B149">
        <v>756</v>
      </c>
      <c r="C149">
        <v>165</v>
      </c>
      <c r="D149">
        <v>0.41947286595734501</v>
      </c>
      <c r="E149">
        <v>29.634240242274</v>
      </c>
      <c r="F149">
        <v>2.52098154264131</v>
      </c>
      <c r="G149">
        <v>-469.07076881897245</v>
      </c>
      <c r="H149">
        <v>-405.87812858180843</v>
      </c>
      <c r="I149">
        <v>61.402750072549203</v>
      </c>
      <c r="J149">
        <v>35.225841867263298</v>
      </c>
      <c r="K149">
        <v>11.755040543147</v>
      </c>
      <c r="L149">
        <v>2.841283256575456E-5</v>
      </c>
      <c r="M149">
        <v>1.7980414845173255E-6</v>
      </c>
      <c r="N149" s="1">
        <v>-1.7138072716209001E-7</v>
      </c>
      <c r="O149" s="1">
        <v>1.1226003687491E-10</v>
      </c>
      <c r="P149" s="1">
        <v>7.33073755693148E-10</v>
      </c>
      <c r="Q149">
        <v>65.963714187520594</v>
      </c>
      <c r="S149">
        <v>19.048593669998301</v>
      </c>
      <c r="AA149">
        <v>0.32355389582966998</v>
      </c>
      <c r="AB149">
        <v>4.59988788256224</v>
      </c>
      <c r="AC149">
        <v>10.064250364089</v>
      </c>
      <c r="AJ149">
        <v>0.40349102286494198</v>
      </c>
      <c r="AK149">
        <v>1.5683538490295201E-2</v>
      </c>
      <c r="AL149">
        <v>0.58082543864476199</v>
      </c>
    </row>
    <row r="150" spans="1:38" x14ac:dyDescent="0.2">
      <c r="A150">
        <v>147</v>
      </c>
      <c r="B150">
        <v>754</v>
      </c>
      <c r="C150">
        <v>165</v>
      </c>
      <c r="D150">
        <v>0.41820620162585598</v>
      </c>
      <c r="E150">
        <v>17.998390796537102</v>
      </c>
      <c r="F150">
        <v>2.57465756383082</v>
      </c>
      <c r="G150">
        <v>-292.05561295787578</v>
      </c>
      <c r="H150">
        <v>-253.22372029976194</v>
      </c>
      <c r="I150">
        <v>37.805474037982599</v>
      </c>
      <c r="J150">
        <v>21.944288790102501</v>
      </c>
      <c r="K150">
        <v>6.9905959725989302</v>
      </c>
      <c r="L150">
        <v>3.0955782409146685E-5</v>
      </c>
      <c r="M150">
        <v>1.7998481659739981E-6</v>
      </c>
      <c r="N150" s="1">
        <v>-2.5538837377535002E-7</v>
      </c>
      <c r="O150" s="1">
        <v>6.1206819236454302E-11</v>
      </c>
      <c r="P150" s="1">
        <v>8.9335009489292802E-10</v>
      </c>
      <c r="Q150">
        <v>64.5680216403765</v>
      </c>
      <c r="S150">
        <v>21.825449129031099</v>
      </c>
      <c r="AA150">
        <v>2.9401538577940598</v>
      </c>
      <c r="AB150">
        <v>8.7695494769886402</v>
      </c>
      <c r="AC150">
        <v>1.89682589580965</v>
      </c>
      <c r="AJ150">
        <v>0.75325207178542197</v>
      </c>
      <c r="AK150">
        <v>0.13955451767022201</v>
      </c>
      <c r="AL150">
        <v>0.107193410544354</v>
      </c>
    </row>
    <row r="151" spans="1:38" x14ac:dyDescent="0.2">
      <c r="A151">
        <v>147</v>
      </c>
      <c r="B151">
        <v>754</v>
      </c>
      <c r="C151">
        <v>165</v>
      </c>
      <c r="D151">
        <v>0.41820620162585598</v>
      </c>
      <c r="E151">
        <v>32.590609474197997</v>
      </c>
      <c r="F151">
        <v>2.5209781510714002</v>
      </c>
      <c r="G151">
        <v>-515.61973572192187</v>
      </c>
      <c r="H151">
        <v>-446.35365450858131</v>
      </c>
      <c r="I151">
        <v>67.435215122757697</v>
      </c>
      <c r="J151">
        <v>38.7392484195612</v>
      </c>
      <c r="K151">
        <v>12.927763558897601</v>
      </c>
      <c r="L151">
        <v>2.8410879564947237E-5</v>
      </c>
      <c r="M151">
        <v>1.7978478427516086E-6</v>
      </c>
      <c r="N151" s="1">
        <v>-2.0020204299001301E-7</v>
      </c>
      <c r="O151" s="1">
        <v>1.2340919657469701E-10</v>
      </c>
      <c r="P151" s="1">
        <v>8.3991274914328304E-10</v>
      </c>
      <c r="Q151">
        <v>65.953804202050407</v>
      </c>
      <c r="S151">
        <v>19.0392655978081</v>
      </c>
      <c r="AA151">
        <v>0.31817050039223299</v>
      </c>
      <c r="AB151">
        <v>4.5533492573153698</v>
      </c>
      <c r="AC151">
        <v>10.135410442433701</v>
      </c>
      <c r="AJ151">
        <v>0.39950322237567198</v>
      </c>
      <c r="AK151">
        <v>1.54262378948847E-2</v>
      </c>
      <c r="AL151">
        <v>0.58507053972944201</v>
      </c>
    </row>
    <row r="152" spans="1:38" x14ac:dyDescent="0.2">
      <c r="A152">
        <v>148</v>
      </c>
      <c r="B152">
        <v>752</v>
      </c>
      <c r="C152">
        <v>165</v>
      </c>
      <c r="D152">
        <v>0.41693459493732699</v>
      </c>
      <c r="E152">
        <v>18.586593661254501</v>
      </c>
      <c r="F152">
        <v>2.5751361579135601</v>
      </c>
      <c r="G152">
        <v>-301.54765257524519</v>
      </c>
      <c r="H152">
        <v>-261.57119665724662</v>
      </c>
      <c r="I152">
        <v>38.995713717991102</v>
      </c>
      <c r="J152">
        <v>22.677096632479699</v>
      </c>
      <c r="K152">
        <v>7.2177129757339902</v>
      </c>
      <c r="L152">
        <v>3.1029682706222559E-5</v>
      </c>
      <c r="M152">
        <v>1.7997923362071134E-6</v>
      </c>
      <c r="N152" s="1">
        <v>-2.8096513038803699E-7</v>
      </c>
      <c r="O152" s="1">
        <v>6.3023634168238103E-11</v>
      </c>
      <c r="P152" s="1">
        <v>9.7211647555333406E-10</v>
      </c>
      <c r="Q152">
        <v>64.545221017246902</v>
      </c>
      <c r="S152">
        <v>21.846740979236699</v>
      </c>
      <c r="AA152">
        <v>2.96304006592757</v>
      </c>
      <c r="AB152">
        <v>8.7745588643084709</v>
      </c>
      <c r="AC152">
        <v>1.8704390732802101</v>
      </c>
      <c r="AJ152">
        <v>0.75366320573937295</v>
      </c>
      <c r="AK152">
        <v>0.140637240333403</v>
      </c>
      <c r="AL152">
        <v>0.10569955392722299</v>
      </c>
    </row>
    <row r="153" spans="1:38" x14ac:dyDescent="0.2">
      <c r="A153">
        <v>148</v>
      </c>
      <c r="B153">
        <v>752</v>
      </c>
      <c r="C153">
        <v>165</v>
      </c>
      <c r="D153">
        <v>0.41693459493732699</v>
      </c>
      <c r="E153">
        <v>34.113603675084399</v>
      </c>
      <c r="F153">
        <v>2.52099424057955</v>
      </c>
      <c r="G153">
        <v>-539.48672442786233</v>
      </c>
      <c r="H153">
        <v>-467.22015841550729</v>
      </c>
      <c r="I153">
        <v>70.493650697317406</v>
      </c>
      <c r="J153">
        <v>40.552520966225202</v>
      </c>
      <c r="K153">
        <v>13.531805478160001</v>
      </c>
      <c r="L153">
        <v>2.842009528713092E-5</v>
      </c>
      <c r="M153">
        <v>1.7978035014516183E-6</v>
      </c>
      <c r="N153" s="1">
        <v>-2.23403831930522E-7</v>
      </c>
      <c r="O153" s="1">
        <v>1.29101073819446E-10</v>
      </c>
      <c r="P153" s="1">
        <v>9.1896896862893701E-10</v>
      </c>
      <c r="Q153">
        <v>65.948158017984099</v>
      </c>
      <c r="S153">
        <v>19.031112366083601</v>
      </c>
      <c r="AA153">
        <v>0.31276146060075599</v>
      </c>
      <c r="AB153">
        <v>4.5193922819017702</v>
      </c>
      <c r="AC153">
        <v>10.188575873429601</v>
      </c>
      <c r="AJ153">
        <v>0.396592340463233</v>
      </c>
      <c r="AK153">
        <v>1.51666025376575E-2</v>
      </c>
      <c r="AL153">
        <v>0.588241056999108</v>
      </c>
    </row>
    <row r="154" spans="1:38" x14ac:dyDescent="0.2">
      <c r="A154">
        <v>149</v>
      </c>
      <c r="B154">
        <v>750</v>
      </c>
      <c r="C154">
        <v>165</v>
      </c>
      <c r="D154">
        <v>0.41565801690856902</v>
      </c>
      <c r="E154">
        <v>18.988986369088401</v>
      </c>
      <c r="F154">
        <v>2.5755236469368201</v>
      </c>
      <c r="G154">
        <v>-308.01821909330812</v>
      </c>
      <c r="H154">
        <v>-267.30284731254716</v>
      </c>
      <c r="I154">
        <v>39.794137497689299</v>
      </c>
      <c r="J154">
        <v>23.185491734115001</v>
      </c>
      <c r="K154">
        <v>7.3728643072925601</v>
      </c>
      <c r="L154">
        <v>3.1112854548717565E-5</v>
      </c>
      <c r="M154">
        <v>1.7999506302803694E-6</v>
      </c>
      <c r="N154" s="1">
        <v>-3.0594150607302198E-7</v>
      </c>
      <c r="O154" s="1">
        <v>6.4202002842144104E-11</v>
      </c>
      <c r="P154" s="1">
        <v>1.04743160551143E-9</v>
      </c>
      <c r="Q154">
        <v>64.531500357347497</v>
      </c>
      <c r="S154">
        <v>21.861056299733299</v>
      </c>
      <c r="AA154">
        <v>2.9780518803285299</v>
      </c>
      <c r="AB154">
        <v>8.7815125831955001</v>
      </c>
      <c r="AC154">
        <v>1.84787887939503</v>
      </c>
      <c r="AJ154">
        <v>0.75423415309519903</v>
      </c>
      <c r="AK154">
        <v>0.141344826081612</v>
      </c>
      <c r="AL154">
        <v>0.10442102082318799</v>
      </c>
    </row>
    <row r="155" spans="1:38" x14ac:dyDescent="0.2">
      <c r="A155">
        <v>149</v>
      </c>
      <c r="B155">
        <v>750</v>
      </c>
      <c r="C155">
        <v>165</v>
      </c>
      <c r="D155">
        <v>0.41565801690856902</v>
      </c>
      <c r="E155">
        <v>35.078540638577699</v>
      </c>
      <c r="F155">
        <v>2.5210188484870102</v>
      </c>
      <c r="G155">
        <v>-554.523266660182</v>
      </c>
      <c r="H155">
        <v>-480.4535438236436</v>
      </c>
      <c r="I155">
        <v>72.393806222487797</v>
      </c>
      <c r="J155">
        <v>41.704659944004597</v>
      </c>
      <c r="K155">
        <v>13.9144301359072</v>
      </c>
      <c r="L155">
        <v>2.8434763064515735E-5</v>
      </c>
      <c r="M155">
        <v>1.7978179476631105E-6</v>
      </c>
      <c r="N155" s="1">
        <v>-2.4518414498552101E-7</v>
      </c>
      <c r="O155" s="1">
        <v>1.32661745749226E-10</v>
      </c>
      <c r="P155" s="1">
        <v>9.8936537259914905E-10</v>
      </c>
      <c r="Q155">
        <v>65.944049470523794</v>
      </c>
      <c r="S155">
        <v>19.023449606018499</v>
      </c>
      <c r="AA155">
        <v>0.30739827846904699</v>
      </c>
      <c r="AB155">
        <v>4.4901476824405897</v>
      </c>
      <c r="AC155">
        <v>10.234954962547899</v>
      </c>
      <c r="AJ155">
        <v>0.39408461646579201</v>
      </c>
      <c r="AK155">
        <v>1.4908744704600799E-2</v>
      </c>
      <c r="AL155">
        <v>0.59100663882960602</v>
      </c>
    </row>
    <row r="156" spans="1:38" x14ac:dyDescent="0.2">
      <c r="A156">
        <v>150</v>
      </c>
      <c r="B156">
        <v>748</v>
      </c>
      <c r="C156">
        <v>165</v>
      </c>
      <c r="D156">
        <v>0.41437643832933801</v>
      </c>
      <c r="E156">
        <v>19.2914682161428</v>
      </c>
      <c r="F156">
        <v>2.57584969989141</v>
      </c>
      <c r="G156">
        <v>-312.86322767635147</v>
      </c>
      <c r="H156">
        <v>-271.62741039679548</v>
      </c>
      <c r="I156">
        <v>40.381743406508399</v>
      </c>
      <c r="J156">
        <v>23.574047677584801</v>
      </c>
      <c r="K156">
        <v>7.4893609735677096</v>
      </c>
      <c r="L156">
        <v>3.1204362779479283E-5</v>
      </c>
      <c r="M156">
        <v>1.8002609466713892E-6</v>
      </c>
      <c r="N156" s="1">
        <v>-3.3140045610876499E-7</v>
      </c>
      <c r="O156" s="1">
        <v>6.5032643388784001E-11</v>
      </c>
      <c r="P156" s="1">
        <v>1.12315293790014E-9</v>
      </c>
      <c r="Q156">
        <v>64.523961733983896</v>
      </c>
      <c r="S156">
        <v>21.870630885751801</v>
      </c>
      <c r="AA156">
        <v>2.9877100465320301</v>
      </c>
      <c r="AB156">
        <v>8.7898141872632198</v>
      </c>
      <c r="AC156">
        <v>1.8278831464688901</v>
      </c>
      <c r="AJ156">
        <v>0.75491585274689699</v>
      </c>
      <c r="AK156">
        <v>0.14179734158679699</v>
      </c>
      <c r="AL156">
        <v>0.10328680566630501</v>
      </c>
    </row>
    <row r="157" spans="1:38" x14ac:dyDescent="0.2">
      <c r="A157">
        <v>150</v>
      </c>
      <c r="B157">
        <v>748</v>
      </c>
      <c r="C157">
        <v>165</v>
      </c>
      <c r="D157">
        <v>0.41437643832933801</v>
      </c>
      <c r="E157">
        <v>35.721652781827501</v>
      </c>
      <c r="F157">
        <v>2.5210495334119098</v>
      </c>
      <c r="G157">
        <v>-564.47009554108422</v>
      </c>
      <c r="H157">
        <v>-489.28631892148985</v>
      </c>
      <c r="I157">
        <v>73.6265745674919</v>
      </c>
      <c r="J157">
        <v>42.476190913332701</v>
      </c>
      <c r="K157">
        <v>14.1693577648523</v>
      </c>
      <c r="L157">
        <v>2.8453895209296747E-5</v>
      </c>
      <c r="M157">
        <v>1.7978735755157009E-6</v>
      </c>
      <c r="N157" s="1">
        <v>-2.6666339541319301E-7</v>
      </c>
      <c r="O157" s="1">
        <v>1.34988505150312E-10</v>
      </c>
      <c r="P157" s="1">
        <v>1.0562187409906101E-9</v>
      </c>
      <c r="Q157">
        <v>65.940941671960502</v>
      </c>
      <c r="S157">
        <v>19.016134014858402</v>
      </c>
      <c r="AA157">
        <v>0.302088003164737</v>
      </c>
      <c r="AB157">
        <v>4.4640433466577099</v>
      </c>
      <c r="AC157">
        <v>10.276792963358499</v>
      </c>
      <c r="AJ157">
        <v>0.39184554448529302</v>
      </c>
      <c r="AK157">
        <v>1.4653142689555299E-2</v>
      </c>
      <c r="AL157">
        <v>0.59350131282515095</v>
      </c>
    </row>
    <row r="158" spans="1:38" x14ac:dyDescent="0.2">
      <c r="A158">
        <v>151</v>
      </c>
      <c r="B158">
        <v>746</v>
      </c>
      <c r="C158">
        <v>165</v>
      </c>
      <c r="D158">
        <v>0.41308982976009601</v>
      </c>
      <c r="E158">
        <v>19.536513559026101</v>
      </c>
      <c r="F158">
        <v>2.5761390605144299</v>
      </c>
      <c r="G158">
        <v>-316.77333783603825</v>
      </c>
      <c r="H158">
        <v>-275.14319257953554</v>
      </c>
      <c r="I158">
        <v>40.847907821716902</v>
      </c>
      <c r="J158">
        <v>23.894517212074799</v>
      </c>
      <c r="K158">
        <v>7.5836409060638497</v>
      </c>
      <c r="L158">
        <v>3.1303447174090551E-5</v>
      </c>
      <c r="M158">
        <v>1.8006701769199621E-6</v>
      </c>
      <c r="N158" s="1">
        <v>-3.5795177164622798E-7</v>
      </c>
      <c r="O158" s="1">
        <v>6.5657258485052304E-11</v>
      </c>
      <c r="P158" s="1">
        <v>1.2013927675467E-9</v>
      </c>
      <c r="Q158">
        <v>64.520139081273499</v>
      </c>
      <c r="S158">
        <v>21.877352324687099</v>
      </c>
      <c r="AA158">
        <v>2.9941472662266699</v>
      </c>
      <c r="AB158">
        <v>8.7989167366760892</v>
      </c>
      <c r="AC158">
        <v>1.80944459113649</v>
      </c>
      <c r="AJ158">
        <v>0.75566332571914496</v>
      </c>
      <c r="AK158">
        <v>0.14209640311531599</v>
      </c>
      <c r="AL158">
        <v>0.10224027116553699</v>
      </c>
    </row>
    <row r="159" spans="1:38" x14ac:dyDescent="0.2">
      <c r="A159">
        <v>151</v>
      </c>
      <c r="B159">
        <v>746</v>
      </c>
      <c r="C159">
        <v>165</v>
      </c>
      <c r="D159">
        <v>0.41308982976009601</v>
      </c>
      <c r="E159">
        <v>36.177629799391902</v>
      </c>
      <c r="F159">
        <v>2.5210845425722002</v>
      </c>
      <c r="G159">
        <v>-571.45797606184044</v>
      </c>
      <c r="H159">
        <v>-495.56055053242443</v>
      </c>
      <c r="I159">
        <v>74.471300131890303</v>
      </c>
      <c r="J159">
        <v>43.026965637898797</v>
      </c>
      <c r="K159">
        <v>14.3500264225493</v>
      </c>
      <c r="L159">
        <v>2.8476691041698327E-5</v>
      </c>
      <c r="M159">
        <v>1.7979560704601031E-6</v>
      </c>
      <c r="N159" s="1">
        <v>-2.88524939690663E-7</v>
      </c>
      <c r="O159" s="1">
        <v>1.3659315693605599E-10</v>
      </c>
      <c r="P159" s="1">
        <v>1.1225663191156299E-9</v>
      </c>
      <c r="Q159">
        <v>65.938392076287798</v>
      </c>
      <c r="S159">
        <v>19.009052817133899</v>
      </c>
      <c r="AA159">
        <v>0.29684085583136199</v>
      </c>
      <c r="AB159">
        <v>4.4397974289517599</v>
      </c>
      <c r="AC159">
        <v>10.315916821795</v>
      </c>
      <c r="AJ159">
        <v>0.38976534645357502</v>
      </c>
      <c r="AK159">
        <v>1.4400399279511001E-2</v>
      </c>
      <c r="AL159">
        <v>0.59583425426691194</v>
      </c>
    </row>
    <row r="160" spans="1:38" x14ac:dyDescent="0.2">
      <c r="A160">
        <v>152</v>
      </c>
      <c r="B160">
        <v>744</v>
      </c>
      <c r="C160">
        <v>165</v>
      </c>
      <c r="D160">
        <v>0.411798161529766</v>
      </c>
      <c r="E160">
        <v>19.745228178427901</v>
      </c>
      <c r="F160">
        <v>2.5764044979438401</v>
      </c>
      <c r="G160">
        <v>-320.09178915155377</v>
      </c>
      <c r="H160">
        <v>-278.14753554036702</v>
      </c>
      <c r="I160">
        <v>41.237038402582399</v>
      </c>
      <c r="J160">
        <v>24.172682702297301</v>
      </c>
      <c r="K160">
        <v>7.6638696269106701</v>
      </c>
      <c r="L160">
        <v>3.1409926595807038E-5</v>
      </c>
      <c r="M160">
        <v>1.8011514552141164E-6</v>
      </c>
      <c r="N160" s="1">
        <v>-3.85969723348E-7</v>
      </c>
      <c r="O160" s="1">
        <v>6.6145610006564206E-11</v>
      </c>
      <c r="P160" s="1">
        <v>1.2833949537475E-9</v>
      </c>
      <c r="Q160">
        <v>64.518758124796705</v>
      </c>
      <c r="S160">
        <v>21.882195047922298</v>
      </c>
      <c r="AA160">
        <v>2.99846478979619</v>
      </c>
      <c r="AB160">
        <v>8.8085351777695209</v>
      </c>
      <c r="AC160">
        <v>1.79204685971513</v>
      </c>
      <c r="AJ160">
        <v>0.75645312873799897</v>
      </c>
      <c r="AK160">
        <v>0.14229448695223801</v>
      </c>
      <c r="AL160">
        <v>0.101252384309761</v>
      </c>
    </row>
    <row r="161" spans="1:38" x14ac:dyDescent="0.2">
      <c r="A161">
        <v>152</v>
      </c>
      <c r="B161">
        <v>744</v>
      </c>
      <c r="C161">
        <v>165</v>
      </c>
      <c r="D161">
        <v>0.411798161529766</v>
      </c>
      <c r="E161">
        <v>36.514183202893797</v>
      </c>
      <c r="F161">
        <v>2.52112298253315</v>
      </c>
      <c r="G161">
        <v>-576.55799743378293</v>
      </c>
      <c r="H161">
        <v>-500.20216224667774</v>
      </c>
      <c r="I161">
        <v>75.068411922631995</v>
      </c>
      <c r="J161">
        <v>43.437370277710201</v>
      </c>
      <c r="K161">
        <v>14.4833010749064</v>
      </c>
      <c r="L161">
        <v>2.8502820015442362E-5</v>
      </c>
      <c r="M161">
        <v>1.7980583235910049E-6</v>
      </c>
      <c r="N161" s="1">
        <v>-3.1114925360826698E-7</v>
      </c>
      <c r="O161" s="1">
        <v>1.3773277548043201E-10</v>
      </c>
      <c r="P161" s="1">
        <v>1.19003303505059E-9</v>
      </c>
      <c r="Q161">
        <v>65.9361738984326</v>
      </c>
      <c r="S161">
        <v>19.002147573284802</v>
      </c>
      <c r="AA161">
        <v>0.29166154042985398</v>
      </c>
      <c r="AB161">
        <v>4.4167513440417796</v>
      </c>
      <c r="AC161">
        <v>10.3532656438109</v>
      </c>
      <c r="AJ161">
        <v>0.38778761497374598</v>
      </c>
      <c r="AK161">
        <v>1.4150798285409501E-2</v>
      </c>
      <c r="AL161">
        <v>0.59806158674084298</v>
      </c>
    </row>
    <row r="162" spans="1:38" x14ac:dyDescent="0.2">
      <c r="A162">
        <v>154</v>
      </c>
      <c r="B162">
        <v>774</v>
      </c>
      <c r="C162">
        <v>150</v>
      </c>
      <c r="D162">
        <v>0.44641216635630598</v>
      </c>
      <c r="E162">
        <v>0.51125107014136595</v>
      </c>
      <c r="F162">
        <v>2.5765023456778802</v>
      </c>
      <c r="G162">
        <v>-8.3323052325113451</v>
      </c>
      <c r="H162">
        <v>-7.1953932856880281</v>
      </c>
      <c r="I162">
        <v>1.0857202376195501</v>
      </c>
      <c r="J162">
        <v>0.62111356518897198</v>
      </c>
      <c r="K162">
        <v>0.19842833483113101</v>
      </c>
      <c r="L162">
        <v>3.0411432486432538E-5</v>
      </c>
      <c r="M162">
        <v>1.794210679304934E-6</v>
      </c>
      <c r="N162" s="1">
        <v>-3.93715020943945E-9</v>
      </c>
      <c r="O162" s="1">
        <v>1.7540685984544601E-12</v>
      </c>
      <c r="P162" s="1">
        <v>1.57842011424741E-11</v>
      </c>
      <c r="Q162">
        <v>64.348113114321094</v>
      </c>
      <c r="S162">
        <v>22.076566846530099</v>
      </c>
      <c r="AA162">
        <v>3.1986411941833901</v>
      </c>
      <c r="AB162">
        <v>8.9378328616526392</v>
      </c>
      <c r="AC162">
        <v>1.4388459833126199</v>
      </c>
      <c r="AJ162">
        <v>0.767060521278215</v>
      </c>
      <c r="AK162">
        <v>0.15169585656906101</v>
      </c>
      <c r="AL162">
        <v>8.1243622152723294E-2</v>
      </c>
    </row>
    <row r="163" spans="1:38" x14ac:dyDescent="0.2">
      <c r="A163">
        <v>155</v>
      </c>
      <c r="B163">
        <v>772</v>
      </c>
      <c r="C163">
        <v>150</v>
      </c>
      <c r="D163">
        <v>0.44521886810505501</v>
      </c>
      <c r="E163">
        <v>1.18519036868591</v>
      </c>
      <c r="F163">
        <v>2.57571095339281</v>
      </c>
      <c r="G163">
        <v>-19.308056877469841</v>
      </c>
      <c r="H163">
        <v>-16.67994486920858</v>
      </c>
      <c r="I163">
        <v>2.5145787765021801</v>
      </c>
      <c r="J163">
        <v>1.44040417591048</v>
      </c>
      <c r="K163">
        <v>0.46014106013127598</v>
      </c>
      <c r="L163">
        <v>3.0494582436001917E-5</v>
      </c>
      <c r="M163">
        <v>1.7965357615438412E-6</v>
      </c>
      <c r="N163" s="1">
        <v>-9.7393405829006495E-9</v>
      </c>
      <c r="O163" s="1">
        <v>4.0687071190947603E-12</v>
      </c>
      <c r="P163" s="1">
        <v>3.8370759988596997E-11</v>
      </c>
      <c r="Q163">
        <v>64.441757766802994</v>
      </c>
      <c r="S163">
        <v>22.003382328638999</v>
      </c>
      <c r="AA163">
        <v>3.1164125181214901</v>
      </c>
      <c r="AB163">
        <v>8.9546522203949408</v>
      </c>
      <c r="AC163">
        <v>1.4837951660414399</v>
      </c>
      <c r="AJ163">
        <v>0.76844113401659697</v>
      </c>
      <c r="AK163">
        <v>0.14778406603840299</v>
      </c>
      <c r="AL163">
        <v>8.3774799944998896E-2</v>
      </c>
    </row>
    <row r="164" spans="1:38" x14ac:dyDescent="0.2">
      <c r="A164">
        <v>156</v>
      </c>
      <c r="B164">
        <v>770</v>
      </c>
      <c r="C164">
        <v>150</v>
      </c>
      <c r="D164">
        <v>0.44402099410439499</v>
      </c>
      <c r="E164">
        <v>1.8605013639610699</v>
      </c>
      <c r="F164">
        <v>2.5749370304729098</v>
      </c>
      <c r="G164">
        <v>-30.296935974903764</v>
      </c>
      <c r="H164">
        <v>-26.18314960223509</v>
      </c>
      <c r="I164">
        <v>3.9436192040154001</v>
      </c>
      <c r="J164">
        <v>2.2620055683749301</v>
      </c>
      <c r="K164">
        <v>0.72254247072573097</v>
      </c>
      <c r="L164">
        <v>3.0577799007202214E-5</v>
      </c>
      <c r="M164">
        <v>1.7987734889154029E-6</v>
      </c>
      <c r="N164" s="1">
        <v>-1.63038360242388E-8</v>
      </c>
      <c r="O164" s="1">
        <v>6.3900277529110302E-12</v>
      </c>
      <c r="P164" s="1">
        <v>6.31815579170627E-11</v>
      </c>
      <c r="Q164">
        <v>64.531780153852296</v>
      </c>
      <c r="S164">
        <v>21.932367244501801</v>
      </c>
      <c r="AA164">
        <v>3.0368188532388598</v>
      </c>
      <c r="AB164">
        <v>8.9690870074699909</v>
      </c>
      <c r="AC164">
        <v>1.52994674093703</v>
      </c>
      <c r="AJ164">
        <v>0.76962597875541705</v>
      </c>
      <c r="AK164">
        <v>0.14399955802901099</v>
      </c>
      <c r="AL164">
        <v>8.6374463215570907E-2</v>
      </c>
    </row>
    <row r="165" spans="1:38" x14ac:dyDescent="0.2">
      <c r="A165">
        <v>157</v>
      </c>
      <c r="B165">
        <v>768</v>
      </c>
      <c r="C165">
        <v>150</v>
      </c>
      <c r="D165">
        <v>0.442818517984921</v>
      </c>
      <c r="E165">
        <v>3.5660379761451901</v>
      </c>
      <c r="F165">
        <v>2.5729553761954</v>
      </c>
      <c r="G165">
        <v>-58.026739055802658</v>
      </c>
      <c r="H165">
        <v>-50.163577604891074</v>
      </c>
      <c r="I165">
        <v>7.5523809738381402</v>
      </c>
      <c r="J165">
        <v>4.3367956151504199</v>
      </c>
      <c r="K165">
        <v>1.3859696165497599</v>
      </c>
      <c r="L165">
        <v>3.0673978628098957E-5</v>
      </c>
      <c r="M165">
        <v>1.8025416762444686E-6</v>
      </c>
      <c r="N165" s="1">
        <v>-3.3210903264475097E-8</v>
      </c>
      <c r="O165" s="1">
        <v>1.2280886012199901E-11</v>
      </c>
      <c r="P165" s="1">
        <v>1.2676051910003499E-10</v>
      </c>
      <c r="Q165">
        <v>64.704505630023704</v>
      </c>
      <c r="S165">
        <v>21.781945272892202</v>
      </c>
      <c r="AA165">
        <v>2.8724160579070901</v>
      </c>
      <c r="AB165">
        <v>8.95964571518296</v>
      </c>
      <c r="AC165">
        <v>1.681487323994</v>
      </c>
      <c r="AJ165">
        <v>0.768854603296662</v>
      </c>
      <c r="AK165">
        <v>0.13621079200797701</v>
      </c>
      <c r="AL165">
        <v>9.4934604695360303E-2</v>
      </c>
    </row>
    <row r="166" spans="1:38" x14ac:dyDescent="0.2">
      <c r="A166">
        <v>158</v>
      </c>
      <c r="B166">
        <v>766</v>
      </c>
      <c r="C166">
        <v>150</v>
      </c>
      <c r="D166">
        <v>0.44161141317423203</v>
      </c>
      <c r="E166">
        <v>5.4811397304279899</v>
      </c>
      <c r="F166">
        <v>2.5706290909494598</v>
      </c>
      <c r="G166">
        <v>-89.109360070020841</v>
      </c>
      <c r="H166">
        <v>-77.05716514234031</v>
      </c>
      <c r="I166">
        <v>11.598128208324599</v>
      </c>
      <c r="J166">
        <v>6.6669596111474299</v>
      </c>
      <c r="K166">
        <v>2.1322172653089799</v>
      </c>
      <c r="L166">
        <v>3.075806171196718E-5</v>
      </c>
      <c r="M166">
        <v>1.8062543085963866E-6</v>
      </c>
      <c r="N166" s="1">
        <v>-5.4055993400012499E-8</v>
      </c>
      <c r="O166" s="1">
        <v>1.8936930527027199E-11</v>
      </c>
      <c r="P166" s="1">
        <v>2.0349202146965499E-10</v>
      </c>
      <c r="Q166">
        <v>64.884296880419498</v>
      </c>
      <c r="S166">
        <v>21.616013689462701</v>
      </c>
      <c r="AA166">
        <v>2.6935689721982001</v>
      </c>
      <c r="AB166">
        <v>8.9252896581302199</v>
      </c>
      <c r="AC166">
        <v>1.8808307997893501</v>
      </c>
      <c r="AJ166">
        <v>0.76604008119369005</v>
      </c>
      <c r="AK166">
        <v>0.12775210510542501</v>
      </c>
      <c r="AL166">
        <v>0.106207813700884</v>
      </c>
    </row>
    <row r="167" spans="1:38" x14ac:dyDescent="0.2">
      <c r="A167">
        <v>159</v>
      </c>
      <c r="B167">
        <v>764</v>
      </c>
      <c r="C167">
        <v>150</v>
      </c>
      <c r="D167">
        <v>0.44039965289495597</v>
      </c>
      <c r="E167">
        <v>7.5371274637168604</v>
      </c>
      <c r="F167">
        <v>2.5679455765401098</v>
      </c>
      <c r="G167">
        <v>-122.403281152898</v>
      </c>
      <c r="H167">
        <v>-105.87776482312879</v>
      </c>
      <c r="I167">
        <v>15.933583695482</v>
      </c>
      <c r="J167">
        <v>9.1678809247477702</v>
      </c>
      <c r="K167">
        <v>2.9350806857331802</v>
      </c>
      <c r="L167">
        <v>3.0821133831849447E-5</v>
      </c>
      <c r="M167">
        <v>1.8096856832880192E-6</v>
      </c>
      <c r="N167" s="1">
        <v>-7.8341711553826495E-8</v>
      </c>
      <c r="O167" s="1">
        <v>2.6137529729761699E-11</v>
      </c>
      <c r="P167" s="1">
        <v>2.9130456613387601E-10</v>
      </c>
      <c r="Q167">
        <v>65.063976515676202</v>
      </c>
      <c r="S167">
        <v>21.4372070566614</v>
      </c>
      <c r="AA167">
        <v>2.5041258827944799</v>
      </c>
      <c r="AB167">
        <v>8.8569312569260799</v>
      </c>
      <c r="AC167">
        <v>2.13775928794171</v>
      </c>
      <c r="AJ167">
        <v>0.76043437372262002</v>
      </c>
      <c r="AK167">
        <v>0.11880792570312899</v>
      </c>
      <c r="AL167">
        <v>0.12075770057425</v>
      </c>
    </row>
    <row r="168" spans="1:38" x14ac:dyDescent="0.2">
      <c r="A168">
        <v>160</v>
      </c>
      <c r="B168">
        <v>762</v>
      </c>
      <c r="C168">
        <v>150</v>
      </c>
      <c r="D168">
        <v>0.439183210162781</v>
      </c>
      <c r="E168">
        <v>14.110224905978299</v>
      </c>
      <c r="F168">
        <v>2.5706763000040298</v>
      </c>
      <c r="G168">
        <v>-229.15596533658018</v>
      </c>
      <c r="H168">
        <v>-198.32585308233803</v>
      </c>
      <c r="I168">
        <v>29.783231661345798</v>
      </c>
      <c r="J168">
        <v>17.163522909467599</v>
      </c>
      <c r="K168">
        <v>5.4889154678697398</v>
      </c>
      <c r="L168">
        <v>3.0736798815503963E-5</v>
      </c>
      <c r="M168">
        <v>1.8038583857142295E-6</v>
      </c>
      <c r="N168" s="1">
        <v>-1.54120601580936E-7</v>
      </c>
      <c r="O168" s="1">
        <v>4.8622142360722303E-11</v>
      </c>
      <c r="P168" s="1">
        <v>5.6703581203068496E-10</v>
      </c>
      <c r="Q168">
        <v>64.789953458826503</v>
      </c>
      <c r="S168">
        <v>21.638152681727998</v>
      </c>
      <c r="AA168">
        <v>2.7338476151737501</v>
      </c>
      <c r="AB168">
        <v>8.7730906480914808</v>
      </c>
      <c r="AC168">
        <v>2.06495559618015</v>
      </c>
      <c r="AJ168">
        <v>0.75354630857483595</v>
      </c>
      <c r="AK168">
        <v>0.12976047408553401</v>
      </c>
      <c r="AL168">
        <v>0.11669321733962799</v>
      </c>
    </row>
    <row r="169" spans="1:38" x14ac:dyDescent="0.2">
      <c r="A169">
        <v>160</v>
      </c>
      <c r="B169">
        <v>762</v>
      </c>
      <c r="C169">
        <v>150</v>
      </c>
      <c r="D169">
        <v>0.439183210162781</v>
      </c>
      <c r="E169">
        <v>20.741935654499802</v>
      </c>
      <c r="F169">
        <v>2.5204537385303598</v>
      </c>
      <c r="G169">
        <v>-328.98313390540551</v>
      </c>
      <c r="H169">
        <v>-284.29614282362922</v>
      </c>
      <c r="I169">
        <v>43.1695803330689</v>
      </c>
      <c r="J169">
        <v>24.664557733890099</v>
      </c>
      <c r="K169">
        <v>8.22944509451467</v>
      </c>
      <c r="L169">
        <v>2.8444986350315728E-5</v>
      </c>
      <c r="M169">
        <v>1.8001011693678967E-6</v>
      </c>
      <c r="N169" s="1">
        <v>-9.9770945011538997E-8</v>
      </c>
      <c r="O169" s="1">
        <v>7.8625828451555195E-11</v>
      </c>
      <c r="P169" s="1">
        <v>4.5488715589676001E-10</v>
      </c>
      <c r="Q169">
        <v>66.006612604365699</v>
      </c>
      <c r="S169">
        <v>19.083783294459099</v>
      </c>
      <c r="AA169">
        <v>0.34257593721088803</v>
      </c>
      <c r="AB169">
        <v>4.7877388798674803</v>
      </c>
      <c r="AC169">
        <v>9.77928928409675</v>
      </c>
      <c r="AJ169">
        <v>0.41956846994359198</v>
      </c>
      <c r="AK169">
        <v>1.65897573042223E-2</v>
      </c>
      <c r="AL169">
        <v>0.56384177275218506</v>
      </c>
    </row>
    <row r="170" spans="1:38" x14ac:dyDescent="0.2">
      <c r="A170">
        <v>161</v>
      </c>
      <c r="B170">
        <v>760</v>
      </c>
      <c r="C170">
        <v>150</v>
      </c>
      <c r="D170">
        <v>0.43796205778444602</v>
      </c>
      <c r="E170">
        <v>16.754633145090001</v>
      </c>
      <c r="F170">
        <v>2.5725907599097302</v>
      </c>
      <c r="G170">
        <v>-272.11470419446664</v>
      </c>
      <c r="H170">
        <v>-235.62673886201287</v>
      </c>
      <c r="I170">
        <v>35.317200147561998</v>
      </c>
      <c r="J170">
        <v>20.387818305264801</v>
      </c>
      <c r="K170">
        <v>6.5127471520880098</v>
      </c>
      <c r="L170">
        <v>3.0731554218322969E-5</v>
      </c>
      <c r="M170">
        <v>1.8007407005232254E-6</v>
      </c>
      <c r="N170" s="1">
        <v>-1.9407382885752801E-7</v>
      </c>
      <c r="O170" s="1">
        <v>5.7445008512027597E-11</v>
      </c>
      <c r="P170" s="1">
        <v>7.0542903223905305E-10</v>
      </c>
      <c r="Q170">
        <v>64.628432872217303</v>
      </c>
      <c r="S170">
        <v>21.767058925849</v>
      </c>
      <c r="AA170">
        <v>2.87788520722538</v>
      </c>
      <c r="AB170">
        <v>8.7510951591389592</v>
      </c>
      <c r="AC170">
        <v>1.97552783556926</v>
      </c>
      <c r="AJ170">
        <v>0.751736939873351</v>
      </c>
      <c r="AK170">
        <v>0.136611651807167</v>
      </c>
      <c r="AL170">
        <v>0.11165140831948001</v>
      </c>
    </row>
    <row r="171" spans="1:38" x14ac:dyDescent="0.2">
      <c r="A171">
        <v>161</v>
      </c>
      <c r="B171">
        <v>760</v>
      </c>
      <c r="C171">
        <v>150</v>
      </c>
      <c r="D171">
        <v>0.43796205778444602</v>
      </c>
      <c r="E171">
        <v>29.460190124784599</v>
      </c>
      <c r="F171">
        <v>2.5203330266516599</v>
      </c>
      <c r="G171">
        <v>-466.9082193772557</v>
      </c>
      <c r="H171">
        <v>-403.66929517943333</v>
      </c>
      <c r="I171">
        <v>61.209818707663402</v>
      </c>
      <c r="J171">
        <v>35.016390852005898</v>
      </c>
      <c r="K171">
        <v>11.689006894427401</v>
      </c>
      <c r="L171">
        <v>2.8391788408958622E-5</v>
      </c>
      <c r="M171">
        <v>1.7991573440505072E-6</v>
      </c>
      <c r="N171" s="1">
        <v>-1.47595854851187E-7</v>
      </c>
      <c r="O171" s="1">
        <v>1.1171152895064001E-10</v>
      </c>
      <c r="P171" s="1">
        <v>6.62885951069771E-10</v>
      </c>
      <c r="Q171">
        <v>65.975164438880995</v>
      </c>
      <c r="S171">
        <v>19.0681919308457</v>
      </c>
      <c r="AA171">
        <v>0.33705090207893401</v>
      </c>
      <c r="AB171">
        <v>4.6767835425400897</v>
      </c>
      <c r="AC171">
        <v>9.9428091856541592</v>
      </c>
      <c r="AJ171">
        <v>0.41007588448707399</v>
      </c>
      <c r="AK171">
        <v>1.63313935587296E-2</v>
      </c>
      <c r="AL171">
        <v>0.57359272195419597</v>
      </c>
    </row>
    <row r="172" spans="1:38" x14ac:dyDescent="0.2">
      <c r="A172">
        <v>162</v>
      </c>
      <c r="B172">
        <v>758</v>
      </c>
      <c r="C172">
        <v>150</v>
      </c>
      <c r="D172">
        <v>0.43673616835572199</v>
      </c>
      <c r="E172">
        <v>17.765206232942599</v>
      </c>
      <c r="F172">
        <v>2.5734435933914099</v>
      </c>
      <c r="G172">
        <v>-288.49347840503924</v>
      </c>
      <c r="H172">
        <v>-249.92602921948762</v>
      </c>
      <c r="I172">
        <v>37.402365500219702</v>
      </c>
      <c r="J172">
        <v>21.628511881094099</v>
      </c>
      <c r="K172">
        <v>6.9032817655547403</v>
      </c>
      <c r="L172">
        <v>3.0774802376028013E-5</v>
      </c>
      <c r="M172">
        <v>1.7998428790045629E-6</v>
      </c>
      <c r="N172" s="1">
        <v>-2.1889531456417501E-7</v>
      </c>
      <c r="O172" s="1">
        <v>6.0716929344627705E-11</v>
      </c>
      <c r="P172" s="1">
        <v>7.8590669227323601E-10</v>
      </c>
      <c r="Q172">
        <v>64.568959236641106</v>
      </c>
      <c r="S172">
        <v>21.816690340161198</v>
      </c>
      <c r="AA172">
        <v>2.9327089920229601</v>
      </c>
      <c r="AB172">
        <v>8.7486765562497801</v>
      </c>
      <c r="AC172">
        <v>1.93296487492489</v>
      </c>
      <c r="AJ172">
        <v>0.75153733053732896</v>
      </c>
      <c r="AK172">
        <v>0.139215617553024</v>
      </c>
      <c r="AL172">
        <v>0.109247051909646</v>
      </c>
    </row>
    <row r="173" spans="1:38" x14ac:dyDescent="0.2">
      <c r="A173">
        <v>162</v>
      </c>
      <c r="B173">
        <v>758</v>
      </c>
      <c r="C173">
        <v>150</v>
      </c>
      <c r="D173">
        <v>0.43673616835572199</v>
      </c>
      <c r="E173">
        <v>32.561934225512999</v>
      </c>
      <c r="F173">
        <v>2.5203098829083799</v>
      </c>
      <c r="G173">
        <v>-515.80406845318043</v>
      </c>
      <c r="H173">
        <v>-446.14059659293491</v>
      </c>
      <c r="I173">
        <v>67.559008738055098</v>
      </c>
      <c r="J173">
        <v>38.699359107699301</v>
      </c>
      <c r="K173">
        <v>12.9198137285948</v>
      </c>
      <c r="L173">
        <v>2.8381426165310806E-5</v>
      </c>
      <c r="M173">
        <v>1.7988754117171795E-6</v>
      </c>
      <c r="N173" s="1">
        <v>-1.7303246798153599E-7</v>
      </c>
      <c r="O173" s="1">
        <v>1.2344385712505599E-10</v>
      </c>
      <c r="P173" s="1">
        <v>7.61196576730763E-10</v>
      </c>
      <c r="Q173">
        <v>65.963115683361707</v>
      </c>
      <c r="S173">
        <v>19.0579360727207</v>
      </c>
      <c r="AA173">
        <v>0.33140112649762898</v>
      </c>
      <c r="AB173">
        <v>4.6230464714664796</v>
      </c>
      <c r="AC173">
        <v>10.024500645953401</v>
      </c>
      <c r="AJ173">
        <v>0.40547468688725802</v>
      </c>
      <c r="AK173">
        <v>1.6062023564824501E-2</v>
      </c>
      <c r="AL173">
        <v>0.57846328954791604</v>
      </c>
    </row>
    <row r="174" spans="1:38" x14ac:dyDescent="0.2">
      <c r="A174">
        <v>163</v>
      </c>
      <c r="B174">
        <v>756</v>
      </c>
      <c r="C174">
        <v>150</v>
      </c>
      <c r="D174">
        <v>0.43550551425934297</v>
      </c>
      <c r="E174">
        <v>18.334641327871399</v>
      </c>
      <c r="F174">
        <v>2.5739934295656601</v>
      </c>
      <c r="G174">
        <v>-297.69198450229283</v>
      </c>
      <c r="H174">
        <v>-258.0116509626738</v>
      </c>
      <c r="I174">
        <v>38.5564140694933</v>
      </c>
      <c r="J174">
        <v>22.334719469538602</v>
      </c>
      <c r="K174">
        <v>7.12303346126461</v>
      </c>
      <c r="L174">
        <v>3.083550648141685E-5</v>
      </c>
      <c r="M174">
        <v>1.7996053495564644E-6</v>
      </c>
      <c r="N174" s="1">
        <v>-2.40554956248033E-7</v>
      </c>
      <c r="O174" s="1">
        <v>6.2492248708660702E-11</v>
      </c>
      <c r="P174" s="1">
        <v>8.5336155081246498E-10</v>
      </c>
      <c r="Q174">
        <v>64.539189597852797</v>
      </c>
      <c r="S174">
        <v>21.8434077549691</v>
      </c>
      <c r="AA174">
        <v>2.9616974710381401</v>
      </c>
      <c r="AB174">
        <v>8.7523796888141998</v>
      </c>
      <c r="AC174">
        <v>1.90332548732565</v>
      </c>
      <c r="AJ174">
        <v>0.75184112749486298</v>
      </c>
      <c r="AK174">
        <v>0.14058902342082699</v>
      </c>
      <c r="AL174">
        <v>0.107569849084309</v>
      </c>
    </row>
    <row r="175" spans="1:38" x14ac:dyDescent="0.2">
      <c r="A175">
        <v>163</v>
      </c>
      <c r="B175">
        <v>756</v>
      </c>
      <c r="C175">
        <v>150</v>
      </c>
      <c r="D175">
        <v>0.43550551425934297</v>
      </c>
      <c r="E175">
        <v>34.162195482879604</v>
      </c>
      <c r="F175">
        <v>2.52031374739656</v>
      </c>
      <c r="G175">
        <v>-540.91500409496962</v>
      </c>
      <c r="H175">
        <v>-468.06648814021071</v>
      </c>
      <c r="I175">
        <v>70.785129431821304</v>
      </c>
      <c r="J175">
        <v>40.601657099839997</v>
      </c>
      <c r="K175">
        <v>13.5547391741081</v>
      </c>
      <c r="L175">
        <v>2.8384244796768086E-5</v>
      </c>
      <c r="M175">
        <v>1.7987804633353484E-6</v>
      </c>
      <c r="N175" s="1">
        <v>-1.9346943275864699E-7</v>
      </c>
      <c r="O175" s="1">
        <v>1.2945432435558899E-10</v>
      </c>
      <c r="P175" s="1">
        <v>8.3301033429941105E-10</v>
      </c>
      <c r="Q175">
        <v>65.956441357261696</v>
      </c>
      <c r="S175">
        <v>19.049220805823399</v>
      </c>
      <c r="AA175">
        <v>0.32576830482170399</v>
      </c>
      <c r="AB175">
        <v>4.5853248883823996</v>
      </c>
      <c r="AC175">
        <v>10.0832446437107</v>
      </c>
      <c r="AJ175">
        <v>0.402243317726311</v>
      </c>
      <c r="AK175">
        <v>1.5792043943277101E-2</v>
      </c>
      <c r="AL175">
        <v>0.58196463833041101</v>
      </c>
    </row>
    <row r="176" spans="1:38" x14ac:dyDescent="0.2">
      <c r="A176">
        <v>164</v>
      </c>
      <c r="B176">
        <v>754</v>
      </c>
      <c r="C176">
        <v>150</v>
      </c>
      <c r="D176">
        <v>0.43427006766295001</v>
      </c>
      <c r="E176">
        <v>18.722729417597598</v>
      </c>
      <c r="F176">
        <v>2.5744128618279101</v>
      </c>
      <c r="G176">
        <v>-303.93764884957375</v>
      </c>
      <c r="H176">
        <v>-263.54247740245739</v>
      </c>
      <c r="I176">
        <v>39.327431677083503</v>
      </c>
      <c r="J176">
        <v>22.822033732322399</v>
      </c>
      <c r="K176">
        <v>7.2726211460518897</v>
      </c>
      <c r="L176">
        <v>3.0906462798210804E-5</v>
      </c>
      <c r="M176">
        <v>1.799663114435007E-6</v>
      </c>
      <c r="N176" s="1">
        <v>-2.6170638537790099E-7</v>
      </c>
      <c r="O176" s="1">
        <v>6.3648063921555504E-11</v>
      </c>
      <c r="P176" s="1">
        <v>9.1769997827130497E-10</v>
      </c>
      <c r="Q176">
        <v>64.522317241573305</v>
      </c>
      <c r="S176">
        <v>21.8601972666515</v>
      </c>
      <c r="AA176">
        <v>2.9794859237648899</v>
      </c>
      <c r="AB176">
        <v>8.7587964351657099</v>
      </c>
      <c r="AC176">
        <v>1.87920313284451</v>
      </c>
      <c r="AJ176">
        <v>0.75236804038201399</v>
      </c>
      <c r="AK176">
        <v>0.141428857937311</v>
      </c>
      <c r="AL176">
        <v>0.106203101680673</v>
      </c>
    </row>
    <row r="177" spans="1:38" x14ac:dyDescent="0.2">
      <c r="A177">
        <v>164</v>
      </c>
      <c r="B177">
        <v>754</v>
      </c>
      <c r="C177">
        <v>150</v>
      </c>
      <c r="D177">
        <v>0.43427006766295001</v>
      </c>
      <c r="E177">
        <v>35.141819863861301</v>
      </c>
      <c r="F177">
        <v>2.5203298982160001</v>
      </c>
      <c r="G177">
        <v>-556.197603623144</v>
      </c>
      <c r="H177">
        <v>-481.50255547031952</v>
      </c>
      <c r="I177">
        <v>72.720681646131894</v>
      </c>
      <c r="J177">
        <v>41.768757222172198</v>
      </c>
      <c r="K177">
        <v>13.9433412620848</v>
      </c>
      <c r="L177">
        <v>2.8393721975130322E-5</v>
      </c>
      <c r="M177">
        <v>1.7987673069038685E-6</v>
      </c>
      <c r="N177" s="1">
        <v>-2.1247321999704799E-7</v>
      </c>
      <c r="O177" s="1">
        <v>1.3309342971289399E-10</v>
      </c>
      <c r="P177" s="1">
        <v>8.9566281872461895E-10</v>
      </c>
      <c r="Q177">
        <v>65.952004641270406</v>
      </c>
      <c r="S177">
        <v>19.041204061121199</v>
      </c>
      <c r="AA177">
        <v>0.32018965538025301</v>
      </c>
      <c r="AB177">
        <v>4.5544209661984603</v>
      </c>
      <c r="AC177">
        <v>10.132180676029501</v>
      </c>
      <c r="AJ177">
        <v>0.39959505953880498</v>
      </c>
      <c r="AK177">
        <v>1.5524049793853001E-2</v>
      </c>
      <c r="AL177">
        <v>0.58488089066734095</v>
      </c>
    </row>
    <row r="178" spans="1:38" x14ac:dyDescent="0.2">
      <c r="A178">
        <v>165</v>
      </c>
      <c r="B178">
        <v>752</v>
      </c>
      <c r="C178">
        <v>150</v>
      </c>
      <c r="D178">
        <v>0.43302980051699702</v>
      </c>
      <c r="E178">
        <v>19.019906089881101</v>
      </c>
      <c r="F178">
        <v>2.5747756556813601</v>
      </c>
      <c r="G178">
        <v>-308.70287763382248</v>
      </c>
      <c r="H178">
        <v>-267.79318089447258</v>
      </c>
      <c r="I178">
        <v>39.906059346778399</v>
      </c>
      <c r="J178">
        <v>23.200324642663599</v>
      </c>
      <c r="K178">
        <v>7.3870148833793801</v>
      </c>
      <c r="L178">
        <v>3.098464222296761E-5</v>
      </c>
      <c r="M178">
        <v>1.7998572032038565E-6</v>
      </c>
      <c r="N178" s="1">
        <v>-2.8333100300090799E-7</v>
      </c>
      <c r="O178" s="1">
        <v>6.4486717484914497E-11</v>
      </c>
      <c r="P178" s="1">
        <v>9.8252974438325901E-10</v>
      </c>
      <c r="Q178">
        <v>64.511047947937598</v>
      </c>
      <c r="S178">
        <v>21.8726609849951</v>
      </c>
      <c r="AA178">
        <v>2.9923981546254499</v>
      </c>
      <c r="AB178">
        <v>8.76635867656565</v>
      </c>
      <c r="AC178">
        <v>1.85753423587611</v>
      </c>
      <c r="AJ178">
        <v>0.75298910246371797</v>
      </c>
      <c r="AK178">
        <v>0.14203638932321999</v>
      </c>
      <c r="AL178">
        <v>0.10497450821305999</v>
      </c>
    </row>
    <row r="179" spans="1:38" x14ac:dyDescent="0.2">
      <c r="A179">
        <v>165</v>
      </c>
      <c r="B179">
        <v>752</v>
      </c>
      <c r="C179">
        <v>150</v>
      </c>
      <c r="D179">
        <v>0.43302980051699702</v>
      </c>
      <c r="E179">
        <v>35.830025244828498</v>
      </c>
      <c r="F179">
        <v>2.52035257549672</v>
      </c>
      <c r="G179">
        <v>-566.86454647872858</v>
      </c>
      <c r="H179">
        <v>-490.95247899598473</v>
      </c>
      <c r="I179">
        <v>74.049717097735595</v>
      </c>
      <c r="J179">
        <v>42.591182679048302</v>
      </c>
      <c r="K179">
        <v>14.2162749740547</v>
      </c>
      <c r="L179">
        <v>2.8407154178838808E-5</v>
      </c>
      <c r="M179">
        <v>1.7987919332321924E-6</v>
      </c>
      <c r="N179" s="1">
        <v>-2.3140573873824901E-7</v>
      </c>
      <c r="O179" s="1">
        <v>1.3561426042457499E-10</v>
      </c>
      <c r="P179" s="1">
        <v>9.55706247826419E-10</v>
      </c>
      <c r="Q179">
        <v>65.948479927897196</v>
      </c>
      <c r="S179">
        <v>19.033536733715099</v>
      </c>
      <c r="AA179">
        <v>0.31468647544280298</v>
      </c>
      <c r="AB179">
        <v>4.5264654358182499</v>
      </c>
      <c r="AC179">
        <v>10.176831427126499</v>
      </c>
      <c r="AJ179">
        <v>0.39719874585915099</v>
      </c>
      <c r="AK179">
        <v>1.5259402502442201E-2</v>
      </c>
      <c r="AL179">
        <v>0.587541851638406</v>
      </c>
    </row>
    <row r="180" spans="1:38" x14ac:dyDescent="0.2">
      <c r="A180">
        <v>166</v>
      </c>
      <c r="B180">
        <v>750</v>
      </c>
      <c r="C180">
        <v>150</v>
      </c>
      <c r="D180">
        <v>0.43178468455260599</v>
      </c>
      <c r="E180">
        <v>19.260658772823799</v>
      </c>
      <c r="F180">
        <v>2.5750895825312399</v>
      </c>
      <c r="G180">
        <v>-312.5484365452532</v>
      </c>
      <c r="H180">
        <v>-271.24878804643055</v>
      </c>
      <c r="I180">
        <v>40.365194251891303</v>
      </c>
      <c r="J180">
        <v>23.511597079764201</v>
      </c>
      <c r="K180">
        <v>7.4796072740471704</v>
      </c>
      <c r="L180">
        <v>3.1070103375217802E-5</v>
      </c>
      <c r="M180">
        <v>1.8001736413134705E-6</v>
      </c>
      <c r="N180" s="1">
        <v>-3.0586950575280501E-7</v>
      </c>
      <c r="O180" s="1">
        <v>6.5125534037975402E-11</v>
      </c>
      <c r="P180" s="1">
        <v>1.04940850378581E-9</v>
      </c>
      <c r="Q180">
        <v>64.504675234266401</v>
      </c>
      <c r="S180">
        <v>21.881359538355301</v>
      </c>
      <c r="AA180">
        <v>3.0010615358282502</v>
      </c>
      <c r="AB180">
        <v>8.7749618143633104</v>
      </c>
      <c r="AC180">
        <v>1.83794187718672</v>
      </c>
      <c r="AJ180">
        <v>0.75369569030194905</v>
      </c>
      <c r="AK180">
        <v>0.14244148333742199</v>
      </c>
      <c r="AL180">
        <v>0.103862826360628</v>
      </c>
    </row>
    <row r="181" spans="1:38" x14ac:dyDescent="0.2">
      <c r="A181">
        <v>166</v>
      </c>
      <c r="B181">
        <v>750</v>
      </c>
      <c r="C181">
        <v>150</v>
      </c>
      <c r="D181">
        <v>0.43178468455260599</v>
      </c>
      <c r="E181">
        <v>36.312496969222202</v>
      </c>
      <c r="F181">
        <v>2.5203807694601701</v>
      </c>
      <c r="G181">
        <v>-574.27575924576411</v>
      </c>
      <c r="H181">
        <v>-497.58933913543353</v>
      </c>
      <c r="I181">
        <v>74.951297571549105</v>
      </c>
      <c r="J181">
        <v>43.170756417562203</v>
      </c>
      <c r="K181">
        <v>14.4075440541469</v>
      </c>
      <c r="L181">
        <v>2.8424393818459412E-5</v>
      </c>
      <c r="M181">
        <v>1.798849807623683E-6</v>
      </c>
      <c r="N181" s="1">
        <v>-2.5061948301466202E-7</v>
      </c>
      <c r="O181" s="1">
        <v>1.37342280900385E-10</v>
      </c>
      <c r="P181" s="1">
        <v>1.0148338790761499E-9</v>
      </c>
      <c r="Q181">
        <v>65.945725908946301</v>
      </c>
      <c r="S181">
        <v>19.026170545555502</v>
      </c>
      <c r="AA181">
        <v>0.30925190745974201</v>
      </c>
      <c r="AB181">
        <v>4.5010168323205297</v>
      </c>
      <c r="AC181">
        <v>10.2178348057178</v>
      </c>
      <c r="AJ181">
        <v>0.395016734204923</v>
      </c>
      <c r="AK181">
        <v>1.4997816458546901E-2</v>
      </c>
      <c r="AL181">
        <v>0.58998544933652897</v>
      </c>
    </row>
    <row r="182" spans="1:38" x14ac:dyDescent="0.2">
      <c r="A182">
        <v>167</v>
      </c>
      <c r="B182">
        <v>748</v>
      </c>
      <c r="C182">
        <v>150</v>
      </c>
      <c r="D182">
        <v>0.43053469127944</v>
      </c>
      <c r="E182">
        <v>19.466205775612298</v>
      </c>
      <c r="F182">
        <v>2.5753735330773901</v>
      </c>
      <c r="G182">
        <v>-315.81990247967582</v>
      </c>
      <c r="H182">
        <v>-274.20850904289625</v>
      </c>
      <c r="I182">
        <v>40.749540651990003</v>
      </c>
      <c r="J182">
        <v>23.781710156316699</v>
      </c>
      <c r="K182">
        <v>7.5585951030379404</v>
      </c>
      <c r="L182">
        <v>3.1162334069836746E-5</v>
      </c>
      <c r="M182">
        <v>1.8005722186857043E-6</v>
      </c>
      <c r="N182" s="1">
        <v>-3.2964495143820799E-7</v>
      </c>
      <c r="O182" s="1">
        <v>6.5634383046175497E-11</v>
      </c>
      <c r="P182" s="1">
        <v>1.11943829505915E-9</v>
      </c>
      <c r="Q182">
        <v>64.501322805935203</v>
      </c>
      <c r="S182">
        <v>21.887730932978201</v>
      </c>
      <c r="AA182">
        <v>3.0071002449505202</v>
      </c>
      <c r="AB182">
        <v>8.7841945469192204</v>
      </c>
      <c r="AC182">
        <v>1.81965146921675</v>
      </c>
      <c r="AJ182">
        <v>0.75445397291472505</v>
      </c>
      <c r="AK182">
        <v>0.1427215325407</v>
      </c>
      <c r="AL182">
        <v>0.102824494544574</v>
      </c>
    </row>
    <row r="183" spans="1:38" x14ac:dyDescent="0.2">
      <c r="A183">
        <v>167</v>
      </c>
      <c r="B183">
        <v>748</v>
      </c>
      <c r="C183">
        <v>150</v>
      </c>
      <c r="D183">
        <v>0.43053469127944</v>
      </c>
      <c r="E183">
        <v>36.668203118188799</v>
      </c>
      <c r="F183">
        <v>2.5204130356666301</v>
      </c>
      <c r="G183">
        <v>-579.68121282864865</v>
      </c>
      <c r="H183">
        <v>-502.49303517740424</v>
      </c>
      <c r="I183">
        <v>75.589460560392098</v>
      </c>
      <c r="J183">
        <v>43.601159869619103</v>
      </c>
      <c r="K183">
        <v>14.5484897115247</v>
      </c>
      <c r="L183">
        <v>2.8444860318626063E-5</v>
      </c>
      <c r="M183">
        <v>1.7989300788789617E-6</v>
      </c>
      <c r="N183" s="1">
        <v>-2.7048632781838402E-7</v>
      </c>
      <c r="O183" s="1">
        <v>1.38577878529898E-10</v>
      </c>
      <c r="P183" s="1">
        <v>1.0747376336661401E-9</v>
      </c>
      <c r="Q183">
        <v>65.943406469747103</v>
      </c>
      <c r="S183">
        <v>19.019015813064101</v>
      </c>
      <c r="AA183">
        <v>0.30389038932415302</v>
      </c>
      <c r="AB183">
        <v>4.47709102502363</v>
      </c>
      <c r="AC183">
        <v>10.2565963028408</v>
      </c>
      <c r="AJ183">
        <v>0.39296477704878302</v>
      </c>
      <c r="AK183">
        <v>1.47395917986831E-2</v>
      </c>
      <c r="AL183">
        <v>0.59229563115253303</v>
      </c>
    </row>
    <row r="184" spans="1:38" x14ac:dyDescent="0.2">
      <c r="A184">
        <v>169</v>
      </c>
      <c r="B184">
        <v>782</v>
      </c>
      <c r="C184">
        <v>135</v>
      </c>
      <c r="D184">
        <v>0.466777709330429</v>
      </c>
      <c r="E184">
        <v>0.309187526262724</v>
      </c>
      <c r="F184">
        <v>2.5753930119552901</v>
      </c>
      <c r="G184">
        <v>-5.0463995082642565</v>
      </c>
      <c r="H184">
        <v>-4.3505277632517565</v>
      </c>
      <c r="I184">
        <v>0.65950030328626097</v>
      </c>
      <c r="J184">
        <v>0.37524792133712898</v>
      </c>
      <c r="K184">
        <v>0.120054502294382</v>
      </c>
      <c r="L184">
        <v>3.0240264564682599E-5</v>
      </c>
      <c r="M184">
        <v>1.793679245286726E-6</v>
      </c>
      <c r="N184" s="1">
        <v>-1.82541925407327E-9</v>
      </c>
      <c r="O184" s="1">
        <v>1.06528981037631E-12</v>
      </c>
      <c r="P184" s="1">
        <v>7.9183496417511004E-12</v>
      </c>
      <c r="Q184">
        <v>64.330530074298295</v>
      </c>
      <c r="S184">
        <v>22.091647170443601</v>
      </c>
      <c r="AA184">
        <v>3.21518537783595</v>
      </c>
      <c r="AB184">
        <v>8.9381850294418204</v>
      </c>
      <c r="AC184">
        <v>1.42445234798021</v>
      </c>
      <c r="AJ184">
        <v>0.76708913047792304</v>
      </c>
      <c r="AK184">
        <v>0.15248014510152</v>
      </c>
      <c r="AL184">
        <v>8.0430724420555502E-2</v>
      </c>
    </row>
    <row r="185" spans="1:38" x14ac:dyDescent="0.2">
      <c r="A185">
        <v>170</v>
      </c>
      <c r="B185">
        <v>780</v>
      </c>
      <c r="C185">
        <v>135</v>
      </c>
      <c r="D185">
        <v>0.46563215116555001</v>
      </c>
      <c r="E185">
        <v>0.96596255668044195</v>
      </c>
      <c r="F185">
        <v>2.5746298415131199</v>
      </c>
      <c r="G185">
        <v>-15.759497636369241</v>
      </c>
      <c r="H185">
        <v>-13.591585247044364</v>
      </c>
      <c r="I185">
        <v>2.0585029571522302</v>
      </c>
      <c r="J185">
        <v>1.1726574055544301</v>
      </c>
      <c r="K185">
        <v>0.37518502314598401</v>
      </c>
      <c r="L185">
        <v>3.031280521130137E-5</v>
      </c>
      <c r="M185">
        <v>1.7959280751288819E-6</v>
      </c>
      <c r="N185" s="1">
        <v>-6.0957419477078297E-9</v>
      </c>
      <c r="O185" s="1">
        <v>3.3308233017197501E-12</v>
      </c>
      <c r="P185" s="1">
        <v>2.5885509476235101E-11</v>
      </c>
      <c r="Q185">
        <v>64.421814767123806</v>
      </c>
      <c r="S185">
        <v>22.020533284916599</v>
      </c>
      <c r="AA185">
        <v>3.1352156589990998</v>
      </c>
      <c r="AB185">
        <v>8.95517377656879</v>
      </c>
      <c r="AC185">
        <v>1.4672625123916301</v>
      </c>
      <c r="AJ185">
        <v>0.76848359005962996</v>
      </c>
      <c r="AK185">
        <v>0.148675288616095</v>
      </c>
      <c r="AL185">
        <v>8.2841121324274097E-2</v>
      </c>
    </row>
    <row r="186" spans="1:38" x14ac:dyDescent="0.2">
      <c r="A186">
        <v>171</v>
      </c>
      <c r="B186">
        <v>778</v>
      </c>
      <c r="C186">
        <v>135</v>
      </c>
      <c r="D186">
        <v>0.464482233743996</v>
      </c>
      <c r="E186">
        <v>1.62382390005681</v>
      </c>
      <c r="F186">
        <v>2.5738838559375798</v>
      </c>
      <c r="G186">
        <v>-26.48148464962448</v>
      </c>
      <c r="H186">
        <v>-22.84746122805646</v>
      </c>
      <c r="I186">
        <v>3.4571882429415499</v>
      </c>
      <c r="J186">
        <v>1.9718327962550299</v>
      </c>
      <c r="K186">
        <v>0.63088468281537902</v>
      </c>
      <c r="L186">
        <v>3.0385038303074083E-5</v>
      </c>
      <c r="M186">
        <v>1.7980930716291934E-6</v>
      </c>
      <c r="N186" s="1">
        <v>-1.0942720532182E-8</v>
      </c>
      <c r="O186" s="1">
        <v>5.6031517801279E-12</v>
      </c>
      <c r="P186" s="1">
        <v>4.5543623647285201E-11</v>
      </c>
      <c r="Q186">
        <v>64.509653188560705</v>
      </c>
      <c r="S186">
        <v>21.951501778253999</v>
      </c>
      <c r="AA186">
        <v>3.0577680643621798</v>
      </c>
      <c r="AB186">
        <v>8.9699419196087806</v>
      </c>
      <c r="AC186">
        <v>1.5111350492142499</v>
      </c>
      <c r="AJ186">
        <v>0.76969572308490397</v>
      </c>
      <c r="AK186">
        <v>0.144992244622456</v>
      </c>
      <c r="AL186">
        <v>8.5312032292638895E-2</v>
      </c>
    </row>
    <row r="187" spans="1:38" x14ac:dyDescent="0.2">
      <c r="A187">
        <v>172</v>
      </c>
      <c r="B187">
        <v>776</v>
      </c>
      <c r="C187">
        <v>135</v>
      </c>
      <c r="D187">
        <v>0.46332793213554102</v>
      </c>
      <c r="E187">
        <v>2.2822198536895701</v>
      </c>
      <c r="F187">
        <v>2.5731547289079901</v>
      </c>
      <c r="G187">
        <v>-37.203269079448731</v>
      </c>
      <c r="H187">
        <v>-32.110349482028298</v>
      </c>
      <c r="I187">
        <v>4.8543293117480202</v>
      </c>
      <c r="J187">
        <v>2.7721401064248798</v>
      </c>
      <c r="K187">
        <v>0.88693455859846704</v>
      </c>
      <c r="L187">
        <v>3.0457082733070174E-5</v>
      </c>
      <c r="M187">
        <v>1.8001756370483905E-6</v>
      </c>
      <c r="N187" s="1">
        <v>-1.6409889678763401E-8</v>
      </c>
      <c r="O187" s="1">
        <v>7.8796834097726197E-12</v>
      </c>
      <c r="P187" s="1">
        <v>6.7012167115676298E-11</v>
      </c>
      <c r="Q187">
        <v>64.594087525273096</v>
      </c>
      <c r="S187">
        <v>21.8845217564505</v>
      </c>
      <c r="AA187">
        <v>2.9828072623732398</v>
      </c>
      <c r="AB187">
        <v>8.9825024766292696</v>
      </c>
      <c r="AC187">
        <v>1.5560809792738199</v>
      </c>
      <c r="AJ187">
        <v>0.77072667641838499</v>
      </c>
      <c r="AK187">
        <v>0.14142918137611499</v>
      </c>
      <c r="AL187">
        <v>8.7844142205499104E-2</v>
      </c>
    </row>
    <row r="188" spans="1:38" x14ac:dyDescent="0.2">
      <c r="A188">
        <v>173</v>
      </c>
      <c r="B188">
        <v>774</v>
      </c>
      <c r="C188">
        <v>135</v>
      </c>
      <c r="D188">
        <v>0.46216922121950399</v>
      </c>
      <c r="E188">
        <v>3.3830538271647601</v>
      </c>
      <c r="F188">
        <v>2.57192794983319</v>
      </c>
      <c r="G188">
        <v>-55.117742910105143</v>
      </c>
      <c r="H188">
        <v>-47.589510666430314</v>
      </c>
      <c r="I188">
        <v>7.1892586961512901</v>
      </c>
      <c r="J188">
        <v>4.1103245102944799</v>
      </c>
      <c r="K188">
        <v>1.3153765941943201</v>
      </c>
      <c r="L188">
        <v>3.0534472637411999E-5</v>
      </c>
      <c r="M188">
        <v>1.8028521935030012E-6</v>
      </c>
      <c r="N188" s="1">
        <v>-2.5903434916121001E-8</v>
      </c>
      <c r="O188" s="1">
        <v>1.16975834185957E-11</v>
      </c>
      <c r="P188" s="1">
        <v>1.03918471465724E-10</v>
      </c>
      <c r="Q188">
        <v>64.711230099758396</v>
      </c>
      <c r="S188">
        <v>21.785413388499499</v>
      </c>
      <c r="AA188">
        <v>2.8737082257105802</v>
      </c>
      <c r="AB188">
        <v>8.9837229513855199</v>
      </c>
      <c r="AC188">
        <v>1.64592533464588</v>
      </c>
      <c r="AJ188">
        <v>0.77082852865360296</v>
      </c>
      <c r="AK188">
        <v>0.13625576639586801</v>
      </c>
      <c r="AL188">
        <v>9.2915704950528102E-2</v>
      </c>
    </row>
    <row r="189" spans="1:38" x14ac:dyDescent="0.2">
      <c r="A189">
        <v>174</v>
      </c>
      <c r="B189">
        <v>772</v>
      </c>
      <c r="C189">
        <v>135</v>
      </c>
      <c r="D189">
        <v>0.46100607568291702</v>
      </c>
      <c r="E189">
        <v>5.2364973034481004</v>
      </c>
      <c r="F189">
        <v>2.5697717768948301</v>
      </c>
      <c r="G189">
        <v>-85.242725682624183</v>
      </c>
      <c r="H189">
        <v>-73.622455432126188</v>
      </c>
      <c r="I189">
        <v>11.1182799124508</v>
      </c>
      <c r="J189">
        <v>6.3629275420586797</v>
      </c>
      <c r="K189">
        <v>2.0377285448187101</v>
      </c>
      <c r="L189">
        <v>3.0611331792551403E-5</v>
      </c>
      <c r="M189">
        <v>1.8063934153658116E-6</v>
      </c>
      <c r="N189" s="1">
        <v>-4.2503995607472802E-8</v>
      </c>
      <c r="O189" s="1">
        <v>1.8162647396688801E-11</v>
      </c>
      <c r="P189" s="1">
        <v>1.6780454137463401E-10</v>
      </c>
      <c r="Q189">
        <v>64.881510097107395</v>
      </c>
      <c r="S189">
        <v>21.629767457118302</v>
      </c>
      <c r="AA189">
        <v>2.7055662291295102</v>
      </c>
      <c r="AB189">
        <v>8.9551367509615503</v>
      </c>
      <c r="AC189">
        <v>1.8280194656831801</v>
      </c>
      <c r="AJ189">
        <v>0.76848763984193402</v>
      </c>
      <c r="AK189">
        <v>0.12830205851026699</v>
      </c>
      <c r="AL189">
        <v>0.103210301647797</v>
      </c>
    </row>
    <row r="190" spans="1:38" x14ac:dyDescent="0.2">
      <c r="A190">
        <v>175</v>
      </c>
      <c r="B190">
        <v>770</v>
      </c>
      <c r="C190">
        <v>135</v>
      </c>
      <c r="D190">
        <v>0.45983847001869499</v>
      </c>
      <c r="E190">
        <v>7.1949694378530404</v>
      </c>
      <c r="F190">
        <v>2.56735432130899</v>
      </c>
      <c r="G190">
        <v>-117.00942821636397</v>
      </c>
      <c r="H190">
        <v>-101.08846258420719</v>
      </c>
      <c r="I190">
        <v>15.2623933587276</v>
      </c>
      <c r="J190">
        <v>8.7426279142865404</v>
      </c>
      <c r="K190">
        <v>2.8024840117060998</v>
      </c>
      <c r="L190">
        <v>3.0671119008879789E-5</v>
      </c>
      <c r="M190">
        <v>1.8096585722684335E-6</v>
      </c>
      <c r="N190" s="1">
        <v>-6.1652945812779003E-8</v>
      </c>
      <c r="O190" s="1">
        <v>2.5042003389168601E-11</v>
      </c>
      <c r="P190" s="1">
        <v>2.3991765722232197E-10</v>
      </c>
      <c r="Q190">
        <v>65.049269253129296</v>
      </c>
      <c r="S190">
        <v>21.4657421143698</v>
      </c>
      <c r="AA190">
        <v>2.53109933623371</v>
      </c>
      <c r="AB190">
        <v>8.8989652745052403</v>
      </c>
      <c r="AC190">
        <v>2.0549240217618898</v>
      </c>
      <c r="AJ190">
        <v>0.76388328322747601</v>
      </c>
      <c r="AK190">
        <v>0.120062525446382</v>
      </c>
      <c r="AL190">
        <v>0.11605419132614</v>
      </c>
    </row>
    <row r="191" spans="1:38" x14ac:dyDescent="0.2">
      <c r="A191">
        <v>176</v>
      </c>
      <c r="B191">
        <v>768</v>
      </c>
      <c r="C191">
        <v>135</v>
      </c>
      <c r="D191">
        <v>0.45866637852374798</v>
      </c>
      <c r="E191">
        <v>9.3573433322217507</v>
      </c>
      <c r="F191">
        <v>2.56455403909992</v>
      </c>
      <c r="G191">
        <v>-151.99580842218452</v>
      </c>
      <c r="H191">
        <v>-131.35072108531821</v>
      </c>
      <c r="I191">
        <v>19.829119086458501</v>
      </c>
      <c r="J191">
        <v>11.3677716924603</v>
      </c>
      <c r="K191">
        <v>3.6487214500287402</v>
      </c>
      <c r="L191">
        <v>3.0703029546428124E-5</v>
      </c>
      <c r="M191">
        <v>1.812486619548168E-6</v>
      </c>
      <c r="N191" s="1">
        <v>-8.4127159439529503E-8</v>
      </c>
      <c r="O191" s="1">
        <v>3.2699088267979698E-11</v>
      </c>
      <c r="P191" s="1">
        <v>3.2330308310376501E-10</v>
      </c>
      <c r="Q191">
        <v>65.212310414248407</v>
      </c>
      <c r="S191">
        <v>21.2896527303554</v>
      </c>
      <c r="AA191">
        <v>2.3477803653791098</v>
      </c>
      <c r="AB191">
        <v>8.8006525467660595</v>
      </c>
      <c r="AC191">
        <v>2.3496039432509002</v>
      </c>
      <c r="AJ191">
        <v>0.75581636944025399</v>
      </c>
      <c r="AK191">
        <v>0.111421672969943</v>
      </c>
      <c r="AL191">
        <v>0.132761957589801</v>
      </c>
    </row>
    <row r="192" spans="1:38" x14ac:dyDescent="0.2">
      <c r="A192">
        <v>176</v>
      </c>
      <c r="B192">
        <v>768</v>
      </c>
      <c r="C192">
        <v>135</v>
      </c>
      <c r="D192">
        <v>0.45866637852374798</v>
      </c>
      <c r="E192">
        <v>0.25405185922512602</v>
      </c>
      <c r="F192">
        <v>2.5203693603850601</v>
      </c>
      <c r="G192">
        <v>-4.0405948183155553</v>
      </c>
      <c r="H192">
        <v>-3.4871794802601888</v>
      </c>
      <c r="I192">
        <v>0.53154236954844702</v>
      </c>
      <c r="J192">
        <v>0.30251871002687702</v>
      </c>
      <c r="K192">
        <v>0.100799455515643</v>
      </c>
      <c r="L192">
        <v>2.8606554152229279E-5</v>
      </c>
      <c r="M192">
        <v>1.8041244404083139E-6</v>
      </c>
      <c r="N192" s="1">
        <v>-1.06858554998011E-9</v>
      </c>
      <c r="O192" s="1">
        <v>9.6183266630956201E-13</v>
      </c>
      <c r="P192" s="1">
        <v>5.1311274318216203E-12</v>
      </c>
      <c r="Q192">
        <v>66.103150143196103</v>
      </c>
      <c r="S192">
        <v>19.1378297399845</v>
      </c>
      <c r="AA192">
        <v>0.36463909322731303</v>
      </c>
      <c r="AB192">
        <v>5.1445573924769796</v>
      </c>
      <c r="AC192">
        <v>9.2498236311150297</v>
      </c>
      <c r="AJ192">
        <v>0.45002307257114799</v>
      </c>
      <c r="AK192">
        <v>1.7626284763411999E-2</v>
      </c>
      <c r="AL192">
        <v>0.53235064266543897</v>
      </c>
    </row>
    <row r="193" spans="1:38" x14ac:dyDescent="0.2">
      <c r="A193">
        <v>177</v>
      </c>
      <c r="B193">
        <v>766</v>
      </c>
      <c r="C193">
        <v>135</v>
      </c>
      <c r="D193">
        <v>0.45748977529712298</v>
      </c>
      <c r="E193">
        <v>15.2352830298715</v>
      </c>
      <c r="F193">
        <v>2.5698805375728999</v>
      </c>
      <c r="G193">
        <v>-247.63233459671878</v>
      </c>
      <c r="H193">
        <v>-214.14118624366367</v>
      </c>
      <c r="I193">
        <v>32.229368573406198</v>
      </c>
      <c r="J193">
        <v>18.5109941321927</v>
      </c>
      <c r="K193">
        <v>5.9284012650099003</v>
      </c>
      <c r="L193">
        <v>3.0571756560244387E-5</v>
      </c>
      <c r="M193">
        <v>1.8030297281791339E-6</v>
      </c>
      <c r="N193" s="1">
        <v>-1.4435050909386701E-7</v>
      </c>
      <c r="O193" s="1">
        <v>5.2664134107451903E-11</v>
      </c>
      <c r="P193" s="1">
        <v>5.4815381954933698E-10</v>
      </c>
      <c r="Q193">
        <v>64.748723623226596</v>
      </c>
      <c r="S193">
        <v>21.661333407089099</v>
      </c>
      <c r="AA193">
        <v>2.76259236943757</v>
      </c>
      <c r="AB193">
        <v>8.74198345534659</v>
      </c>
      <c r="AC193">
        <v>2.0853671449000202</v>
      </c>
      <c r="AJ193">
        <v>0.75099011301138197</v>
      </c>
      <c r="AK193">
        <v>0.13114503019837401</v>
      </c>
      <c r="AL193">
        <v>0.117864856790243</v>
      </c>
    </row>
    <row r="194" spans="1:38" x14ac:dyDescent="0.2">
      <c r="A194">
        <v>177</v>
      </c>
      <c r="B194">
        <v>766</v>
      </c>
      <c r="C194">
        <v>135</v>
      </c>
      <c r="D194">
        <v>0.45748977529712298</v>
      </c>
      <c r="E194">
        <v>24.555052431678099</v>
      </c>
      <c r="F194">
        <v>2.5197926248948401</v>
      </c>
      <c r="G194">
        <v>-389.910064064094</v>
      </c>
      <c r="H194">
        <v>-336.6674656992376</v>
      </c>
      <c r="I194">
        <v>51.236682254589198</v>
      </c>
      <c r="J194">
        <v>29.194819502491601</v>
      </c>
      <c r="K194">
        <v>9.7448703472980291</v>
      </c>
      <c r="L194">
        <v>2.8411497653745408E-5</v>
      </c>
      <c r="M194">
        <v>1.8008967948291728E-6</v>
      </c>
      <c r="N194" s="1">
        <v>-1.0100053524551399E-7</v>
      </c>
      <c r="O194" s="1">
        <v>9.3171664685920605E-11</v>
      </c>
      <c r="P194" s="1">
        <v>4.8872137969916298E-10</v>
      </c>
      <c r="Q194">
        <v>66.007029398535394</v>
      </c>
      <c r="S194">
        <v>19.1018048818894</v>
      </c>
      <c r="AA194">
        <v>0.35734667814564303</v>
      </c>
      <c r="AB194">
        <v>4.8359136177417597</v>
      </c>
      <c r="AC194">
        <v>9.69790542368772</v>
      </c>
      <c r="AJ194">
        <v>0.423686531623645</v>
      </c>
      <c r="AK194">
        <v>1.73008190424188E-2</v>
      </c>
      <c r="AL194">
        <v>0.55901264933393502</v>
      </c>
    </row>
    <row r="195" spans="1:38" x14ac:dyDescent="0.2">
      <c r="A195">
        <v>178</v>
      </c>
      <c r="B195">
        <v>764</v>
      </c>
      <c r="C195">
        <v>135</v>
      </c>
      <c r="D195">
        <v>0.45630863423805901</v>
      </c>
      <c r="E195">
        <v>16.922461006214899</v>
      </c>
      <c r="F195">
        <v>2.5715198553123702</v>
      </c>
      <c r="G195">
        <v>-275.05711584958482</v>
      </c>
      <c r="H195">
        <v>-237.97691530599309</v>
      </c>
      <c r="I195">
        <v>35.752013251305698</v>
      </c>
      <c r="J195">
        <v>20.567774525849799</v>
      </c>
      <c r="K195">
        <v>6.5807234469746199</v>
      </c>
      <c r="L195">
        <v>3.0571957897862656E-5</v>
      </c>
      <c r="M195">
        <v>1.8004946156892684E-6</v>
      </c>
      <c r="N195" s="1">
        <v>-1.7018222559399999E-7</v>
      </c>
      <c r="O195" s="1">
        <v>5.8246055137801695E-11</v>
      </c>
      <c r="P195" s="1">
        <v>6.3751954723157595E-10</v>
      </c>
      <c r="Q195">
        <v>64.614770214713005</v>
      </c>
      <c r="S195">
        <v>21.7692325075387</v>
      </c>
      <c r="AA195">
        <v>2.8828664287232102</v>
      </c>
      <c r="AB195">
        <v>8.7263469864376102</v>
      </c>
      <c r="AC195">
        <v>2.00678386258733</v>
      </c>
      <c r="AJ195">
        <v>0.74970320321365003</v>
      </c>
      <c r="AK195">
        <v>0.13686493631264099</v>
      </c>
      <c r="AL195">
        <v>0.113431860473707</v>
      </c>
    </row>
    <row r="196" spans="1:38" x14ac:dyDescent="0.2">
      <c r="A196">
        <v>178</v>
      </c>
      <c r="B196">
        <v>764</v>
      </c>
      <c r="C196">
        <v>135</v>
      </c>
      <c r="D196">
        <v>0.45630863423805901</v>
      </c>
      <c r="E196">
        <v>30.619760154064299</v>
      </c>
      <c r="F196">
        <v>2.5196782703335301</v>
      </c>
      <c r="G196">
        <v>-485.87280659518842</v>
      </c>
      <c r="H196">
        <v>-419.71546517855478</v>
      </c>
      <c r="I196">
        <v>63.787630927670698</v>
      </c>
      <c r="J196">
        <v>36.391798996047797</v>
      </c>
      <c r="K196">
        <v>12.1522499576944</v>
      </c>
      <c r="L196">
        <v>2.8366853302300661E-5</v>
      </c>
      <c r="M196">
        <v>1.8001168477324361E-6</v>
      </c>
      <c r="N196" s="1">
        <v>-1.3187492740620501E-7</v>
      </c>
      <c r="O196" s="1">
        <v>1.16215509088739E-10</v>
      </c>
      <c r="P196" s="1">
        <v>6.2645749111827996E-10</v>
      </c>
      <c r="Q196">
        <v>65.981008340836993</v>
      </c>
      <c r="S196">
        <v>19.0869797962613</v>
      </c>
      <c r="AA196">
        <v>0.35118748878900202</v>
      </c>
      <c r="AB196">
        <v>4.7390611964875999</v>
      </c>
      <c r="AC196">
        <v>9.8417631776250101</v>
      </c>
      <c r="AJ196">
        <v>0.41540515361920299</v>
      </c>
      <c r="AK196">
        <v>1.70109821643703E-2</v>
      </c>
      <c r="AL196">
        <v>0.56758386421642604</v>
      </c>
    </row>
    <row r="197" spans="1:38" x14ac:dyDescent="0.2">
      <c r="A197">
        <v>179</v>
      </c>
      <c r="B197">
        <v>762</v>
      </c>
      <c r="C197">
        <v>135</v>
      </c>
      <c r="D197">
        <v>0.45512292904410101</v>
      </c>
      <c r="E197">
        <v>17.7027111789033</v>
      </c>
      <c r="F197">
        <v>2.5723622214575999</v>
      </c>
      <c r="G197">
        <v>-287.70512812296164</v>
      </c>
      <c r="H197">
        <v>-249.03616140883577</v>
      </c>
      <c r="I197">
        <v>37.355906597233101</v>
      </c>
      <c r="J197">
        <v>21.5253317940317</v>
      </c>
      <c r="K197">
        <v>6.8818889623065198</v>
      </c>
      <c r="L197">
        <v>3.0608078399258821E-5</v>
      </c>
      <c r="M197">
        <v>1.7996078914655306E-6</v>
      </c>
      <c r="N197" s="1">
        <v>-1.8938147665357001E-7</v>
      </c>
      <c r="O197" s="1">
        <v>6.0754683183504699E-11</v>
      </c>
      <c r="P197" s="1">
        <v>6.9984939605373898E-10</v>
      </c>
      <c r="Q197">
        <v>64.556759156785205</v>
      </c>
      <c r="S197">
        <v>21.8179172207406</v>
      </c>
      <c r="AA197">
        <v>2.9365679029118401</v>
      </c>
      <c r="AB197">
        <v>8.7247057593772794</v>
      </c>
      <c r="AC197">
        <v>1.9640499601850201</v>
      </c>
      <c r="AJ197">
        <v>0.74956745449550799</v>
      </c>
      <c r="AK197">
        <v>0.13941540678058401</v>
      </c>
      <c r="AL197">
        <v>0.11101713872390701</v>
      </c>
    </row>
    <row r="198" spans="1:38" x14ac:dyDescent="0.2">
      <c r="A198">
        <v>179</v>
      </c>
      <c r="B198">
        <v>762</v>
      </c>
      <c r="C198">
        <v>135</v>
      </c>
      <c r="D198">
        <v>0.45512292904410101</v>
      </c>
      <c r="E198">
        <v>33.185181216138297</v>
      </c>
      <c r="F198">
        <v>2.51964563789454</v>
      </c>
      <c r="G198">
        <v>-526.31249002183802</v>
      </c>
      <c r="H198">
        <v>-454.85058657726609</v>
      </c>
      <c r="I198">
        <v>69.035312220037497</v>
      </c>
      <c r="J198">
        <v>39.435847265629</v>
      </c>
      <c r="K198">
        <v>13.1705747494986</v>
      </c>
      <c r="L198">
        <v>2.8354088384117201E-5</v>
      </c>
      <c r="M198">
        <v>1.7998349920671542E-6</v>
      </c>
      <c r="N198" s="1">
        <v>-1.5178969916720201E-7</v>
      </c>
      <c r="O198" s="1">
        <v>1.25932999054078E-10</v>
      </c>
      <c r="P198" s="1">
        <v>7.0457405554829E-10</v>
      </c>
      <c r="Q198">
        <v>65.969443722977601</v>
      </c>
      <c r="S198">
        <v>19.076430906410401</v>
      </c>
      <c r="AA198">
        <v>0.34518299212904502</v>
      </c>
      <c r="AB198">
        <v>4.6856347794646096</v>
      </c>
      <c r="AC198">
        <v>9.9233075990182407</v>
      </c>
      <c r="AJ198">
        <v>0.41083345946769201</v>
      </c>
      <c r="AK198">
        <v>1.67246697673816E-2</v>
      </c>
      <c r="AL198">
        <v>0.57244187076492503</v>
      </c>
    </row>
    <row r="199" spans="1:38" x14ac:dyDescent="0.2">
      <c r="A199">
        <v>180</v>
      </c>
      <c r="B199">
        <v>760</v>
      </c>
      <c r="C199">
        <v>135</v>
      </c>
      <c r="D199">
        <v>0.45393263320911997</v>
      </c>
      <c r="E199">
        <v>18.181086832032602</v>
      </c>
      <c r="F199">
        <v>2.5729296118723899</v>
      </c>
      <c r="G199">
        <v>-295.43230948329909</v>
      </c>
      <c r="H199">
        <v>-255.84089454732913</v>
      </c>
      <c r="I199">
        <v>38.321071418448298</v>
      </c>
      <c r="J199">
        <v>22.117826344453</v>
      </c>
      <c r="K199">
        <v>7.0662977907124702</v>
      </c>
      <c r="L199">
        <v>3.0659493580666856E-5</v>
      </c>
      <c r="M199">
        <v>1.7993117241740702E-6</v>
      </c>
      <c r="N199" s="1">
        <v>-2.0707584277360801E-7</v>
      </c>
      <c r="O199" s="1">
        <v>6.2240614558008805E-11</v>
      </c>
      <c r="P199" s="1">
        <v>7.5517445881033396E-10</v>
      </c>
      <c r="Q199">
        <v>64.5254277882472</v>
      </c>
      <c r="S199">
        <v>21.8459339039144</v>
      </c>
      <c r="AA199">
        <v>2.96699269991919</v>
      </c>
      <c r="AB199">
        <v>8.7283348618686905</v>
      </c>
      <c r="AC199">
        <v>1.93331074605043</v>
      </c>
      <c r="AJ199">
        <v>0.74986521804681505</v>
      </c>
      <c r="AK199">
        <v>0.140857208771419</v>
      </c>
      <c r="AL199">
        <v>0.10927757318176499</v>
      </c>
    </row>
    <row r="200" spans="1:38" x14ac:dyDescent="0.2">
      <c r="A200">
        <v>180</v>
      </c>
      <c r="B200">
        <v>760</v>
      </c>
      <c r="C200">
        <v>135</v>
      </c>
      <c r="D200">
        <v>0.45393263320911997</v>
      </c>
      <c r="E200">
        <v>34.604107577976698</v>
      </c>
      <c r="F200">
        <v>2.5196405243078002</v>
      </c>
      <c r="G200">
        <v>-548.57188394982313</v>
      </c>
      <c r="H200">
        <v>-474.29684389447391</v>
      </c>
      <c r="I200">
        <v>71.891826022696705</v>
      </c>
      <c r="J200">
        <v>41.120778557244499</v>
      </c>
      <c r="K200">
        <v>13.7337478279696</v>
      </c>
      <c r="L200">
        <v>2.8353091951709367E-5</v>
      </c>
      <c r="M200">
        <v>1.799723227895044E-6</v>
      </c>
      <c r="N200" s="1">
        <v>-1.68834836621464E-7</v>
      </c>
      <c r="O200" s="1">
        <v>1.31274547213835E-10</v>
      </c>
      <c r="P200" s="1">
        <v>7.6522527178371498E-10</v>
      </c>
      <c r="Q200">
        <v>65.962727627306194</v>
      </c>
      <c r="S200">
        <v>19.067373940452399</v>
      </c>
      <c r="AA200">
        <v>0.33927801158776399</v>
      </c>
      <c r="AB200">
        <v>4.6469243066186499</v>
      </c>
      <c r="AC200">
        <v>9.9836961140349292</v>
      </c>
      <c r="AJ200">
        <v>0.40751947123648402</v>
      </c>
      <c r="AK200">
        <v>1.6441796561919401E-2</v>
      </c>
      <c r="AL200">
        <v>0.57603873220159496</v>
      </c>
    </row>
    <row r="201" spans="1:38" x14ac:dyDescent="0.2">
      <c r="A201">
        <v>181</v>
      </c>
      <c r="B201">
        <v>758</v>
      </c>
      <c r="C201">
        <v>135</v>
      </c>
      <c r="D201">
        <v>0.452737720021335</v>
      </c>
      <c r="E201">
        <v>18.523032946464902</v>
      </c>
      <c r="F201">
        <v>2.5733682081174201</v>
      </c>
      <c r="G201">
        <v>-300.93465633911768</v>
      </c>
      <c r="H201">
        <v>-260.72256578679327</v>
      </c>
      <c r="I201">
        <v>38.997323912451499</v>
      </c>
      <c r="J201">
        <v>22.5459905599796</v>
      </c>
      <c r="K201">
        <v>7.1979722482138104</v>
      </c>
      <c r="L201">
        <v>3.0720322159140277E-5</v>
      </c>
      <c r="M201">
        <v>1.7993018998167599E-6</v>
      </c>
      <c r="N201" s="1">
        <v>-2.2471103990101501E-7</v>
      </c>
      <c r="O201" s="1">
        <v>6.3260952248534897E-11</v>
      </c>
      <c r="P201" s="1">
        <v>8.0909354638886801E-10</v>
      </c>
      <c r="Q201">
        <v>64.5067066237727</v>
      </c>
      <c r="S201">
        <v>21.8642054113005</v>
      </c>
      <c r="AA201">
        <v>2.98643520839342</v>
      </c>
      <c r="AB201">
        <v>8.7345168826967594</v>
      </c>
      <c r="AC201">
        <v>1.9081358738365</v>
      </c>
      <c r="AJ201">
        <v>0.75037294194631798</v>
      </c>
      <c r="AK201">
        <v>0.141775818746223</v>
      </c>
      <c r="AL201">
        <v>0.10785123930745701</v>
      </c>
    </row>
    <row r="202" spans="1:38" x14ac:dyDescent="0.2">
      <c r="A202">
        <v>181</v>
      </c>
      <c r="B202">
        <v>758</v>
      </c>
      <c r="C202">
        <v>135</v>
      </c>
      <c r="D202">
        <v>0.452737720021335</v>
      </c>
      <c r="E202">
        <v>35.504318593595897</v>
      </c>
      <c r="F202">
        <v>2.5196488472026801</v>
      </c>
      <c r="G202">
        <v>-562.60868392525015</v>
      </c>
      <c r="H202">
        <v>-486.64713866186599</v>
      </c>
      <c r="I202">
        <v>73.666823704974306</v>
      </c>
      <c r="J202">
        <v>42.191493366036397</v>
      </c>
      <c r="K202">
        <v>14.0909788413623</v>
      </c>
      <c r="L202">
        <v>2.8358406604881534E-5</v>
      </c>
      <c r="M202">
        <v>1.7996919117000624E-6</v>
      </c>
      <c r="N202" s="1">
        <v>-1.85089334738339E-7</v>
      </c>
      <c r="O202" s="1">
        <v>1.3463113464994799E-10</v>
      </c>
      <c r="P202" s="1">
        <v>8.1941380989932497E-10</v>
      </c>
      <c r="Q202">
        <v>65.958209566328094</v>
      </c>
      <c r="S202">
        <v>19.059047833770201</v>
      </c>
      <c r="AA202">
        <v>0.33346311608589302</v>
      </c>
      <c r="AB202">
        <v>4.6150280788429399</v>
      </c>
      <c r="AC202">
        <v>10.034251404972601</v>
      </c>
      <c r="AJ202">
        <v>0.40478787668552801</v>
      </c>
      <c r="AK202">
        <v>1.6162619309472399E-2</v>
      </c>
      <c r="AL202">
        <v>0.57904950400499899</v>
      </c>
    </row>
    <row r="203" spans="1:38" x14ac:dyDescent="0.2">
      <c r="A203">
        <v>182</v>
      </c>
      <c r="B203">
        <v>756</v>
      </c>
      <c r="C203">
        <v>135</v>
      </c>
      <c r="D203">
        <v>0.451538162561337</v>
      </c>
      <c r="E203">
        <v>18.791386526520999</v>
      </c>
      <c r="F203">
        <v>2.57373496370217</v>
      </c>
      <c r="G203">
        <v>-305.2363543483097</v>
      </c>
      <c r="H203">
        <v>-264.56693001879552</v>
      </c>
      <c r="I203">
        <v>39.517489510289103</v>
      </c>
      <c r="J203">
        <v>22.8860982375936</v>
      </c>
      <c r="K203">
        <v>7.3012127478311299</v>
      </c>
      <c r="L203">
        <v>3.0788383923230952E-5</v>
      </c>
      <c r="M203">
        <v>1.7994587930477394E-6</v>
      </c>
      <c r="N203" s="1">
        <v>-2.4288619881730002E-7</v>
      </c>
      <c r="O203" s="1">
        <v>6.4026181306356495E-11</v>
      </c>
      <c r="P203" s="1">
        <v>8.6387200723304197E-10</v>
      </c>
      <c r="Q203">
        <v>64.495063867577301</v>
      </c>
      <c r="S203">
        <v>21.8770106435407</v>
      </c>
      <c r="AA203">
        <v>2.9997163340981898</v>
      </c>
      <c r="AB203">
        <v>8.7421422058862905</v>
      </c>
      <c r="AC203">
        <v>1.88606694889746</v>
      </c>
      <c r="AJ203">
        <v>0.750999332047523</v>
      </c>
      <c r="AK203">
        <v>0.142400876428734</v>
      </c>
      <c r="AL203">
        <v>0.10659979152374099</v>
      </c>
    </row>
    <row r="204" spans="1:38" x14ac:dyDescent="0.2">
      <c r="A204">
        <v>182</v>
      </c>
      <c r="B204">
        <v>756</v>
      </c>
      <c r="C204">
        <v>135</v>
      </c>
      <c r="D204">
        <v>0.451538162561337</v>
      </c>
      <c r="E204">
        <v>36.123126331768503</v>
      </c>
      <c r="F204">
        <v>2.5196653151139499</v>
      </c>
      <c r="G204">
        <v>-572.1859316262728</v>
      </c>
      <c r="H204">
        <v>-495.14868742221176</v>
      </c>
      <c r="I204">
        <v>74.855214695681894</v>
      </c>
      <c r="J204">
        <v>42.929492344223199</v>
      </c>
      <c r="K204">
        <v>14.33647798979</v>
      </c>
      <c r="L204">
        <v>2.8367991782538672E-5</v>
      </c>
      <c r="M204">
        <v>1.7997067118646502E-6</v>
      </c>
      <c r="N204" s="1">
        <v>-2.0134819712562201E-7</v>
      </c>
      <c r="O204" s="1">
        <v>1.3690695523668701E-10</v>
      </c>
      <c r="P204" s="1">
        <v>8.7131823138737702E-10</v>
      </c>
      <c r="Q204">
        <v>65.954865846212897</v>
      </c>
      <c r="S204">
        <v>19.051158787429099</v>
      </c>
      <c r="AA204">
        <v>0.32773478345437601</v>
      </c>
      <c r="AB204">
        <v>4.5868946172199303</v>
      </c>
      <c r="AC204">
        <v>10.079345965683601</v>
      </c>
      <c r="AJ204">
        <v>0.40237779586863398</v>
      </c>
      <c r="AK204">
        <v>1.58872442348395E-2</v>
      </c>
      <c r="AL204">
        <v>0.58173495989652602</v>
      </c>
    </row>
    <row r="205" spans="1:38" x14ac:dyDescent="0.2">
      <c r="A205">
        <v>183</v>
      </c>
      <c r="B205">
        <v>754</v>
      </c>
      <c r="C205">
        <v>135</v>
      </c>
      <c r="D205">
        <v>0.45033393370004399</v>
      </c>
      <c r="E205">
        <v>19.0158885569939</v>
      </c>
      <c r="F205">
        <v>2.5740702657170602</v>
      </c>
      <c r="G205">
        <v>-308.82277360291113</v>
      </c>
      <c r="H205">
        <v>-267.79395744508133</v>
      </c>
      <c r="I205">
        <v>39.944327661811698</v>
      </c>
      <c r="J205">
        <v>23.1742553989741</v>
      </c>
      <c r="K205">
        <v>7.3874784267773803</v>
      </c>
      <c r="L205">
        <v>3.0862129084365799E-5</v>
      </c>
      <c r="M205">
        <v>1.7996954221177336E-6</v>
      </c>
      <c r="N205" s="1">
        <v>-2.6192571015171003E-7</v>
      </c>
      <c r="O205" s="1">
        <v>6.4633705007939603E-11</v>
      </c>
      <c r="P205" s="1">
        <v>9.2069484064864898E-10</v>
      </c>
      <c r="Q205">
        <v>64.486499800942198</v>
      </c>
      <c r="S205">
        <v>21.887419638836398</v>
      </c>
      <c r="AA205">
        <v>3.0103021696677899</v>
      </c>
      <c r="AB205">
        <v>8.7503461770064792</v>
      </c>
      <c r="AC205">
        <v>1.8654322135469901</v>
      </c>
      <c r="AJ205">
        <v>0.75167326213478503</v>
      </c>
      <c r="AK205">
        <v>0.14289753901032101</v>
      </c>
      <c r="AL205">
        <v>0.10542919885489301</v>
      </c>
    </row>
    <row r="206" spans="1:38" x14ac:dyDescent="0.2">
      <c r="A206">
        <v>183</v>
      </c>
      <c r="B206">
        <v>754</v>
      </c>
      <c r="C206">
        <v>135</v>
      </c>
      <c r="D206">
        <v>0.45033393370004399</v>
      </c>
      <c r="E206">
        <v>36.598188549985998</v>
      </c>
      <c r="F206">
        <v>2.5196866308192298</v>
      </c>
      <c r="G206">
        <v>-579.48381551942225</v>
      </c>
      <c r="H206">
        <v>-501.6840574003765</v>
      </c>
      <c r="I206">
        <v>75.743326796520293</v>
      </c>
      <c r="J206">
        <v>43.4979473263353</v>
      </c>
      <c r="K206">
        <v>14.5248969067581</v>
      </c>
      <c r="L206">
        <v>2.838042882560564E-5</v>
      </c>
      <c r="M206">
        <v>1.7997438156567821E-6</v>
      </c>
      <c r="N206" s="1">
        <v>-2.1812212371788901E-7</v>
      </c>
      <c r="O206" s="1">
        <v>1.38626779153387E-10</v>
      </c>
      <c r="P206" s="1">
        <v>9.2349981510556403E-10</v>
      </c>
      <c r="Q206">
        <v>65.951977459565597</v>
      </c>
      <c r="S206">
        <v>19.043509561012801</v>
      </c>
      <c r="AA206">
        <v>0.32209805887651399</v>
      </c>
      <c r="AB206">
        <v>4.5604045609278998</v>
      </c>
      <c r="AC206">
        <v>10.1220103596171</v>
      </c>
      <c r="AJ206">
        <v>0.40010787102165002</v>
      </c>
      <c r="AK206">
        <v>1.5616101443607099E-2</v>
      </c>
      <c r="AL206">
        <v>0.58427602753474195</v>
      </c>
    </row>
    <row r="207" spans="1:38" x14ac:dyDescent="0.2">
      <c r="A207">
        <v>184</v>
      </c>
      <c r="B207">
        <v>752</v>
      </c>
      <c r="C207">
        <v>135</v>
      </c>
      <c r="D207">
        <v>0.449125006096672</v>
      </c>
      <c r="E207">
        <v>19.210047538029801</v>
      </c>
      <c r="F207">
        <v>2.5743670780581902</v>
      </c>
      <c r="G207">
        <v>-311.91334752535352</v>
      </c>
      <c r="H207">
        <v>-270.593089558244</v>
      </c>
      <c r="I207">
        <v>40.306548277919802</v>
      </c>
      <c r="J207">
        <v>23.426979904968501</v>
      </c>
      <c r="K207">
        <v>7.4620467693828898</v>
      </c>
      <c r="L207">
        <v>3.0942265776649173E-5</v>
      </c>
      <c r="M207">
        <v>1.8000301335429099E-6</v>
      </c>
      <c r="N207" s="1">
        <v>-2.8204469144161802E-7</v>
      </c>
      <c r="O207" s="1">
        <v>6.5130494032026094E-11</v>
      </c>
      <c r="P207" s="1">
        <v>9.8028764866152396E-10</v>
      </c>
      <c r="Q207">
        <v>64.481782224912394</v>
      </c>
      <c r="S207">
        <v>21.894863777361099</v>
      </c>
      <c r="AA207">
        <v>3.0175444420456801</v>
      </c>
      <c r="AB207">
        <v>8.7593490887170091</v>
      </c>
      <c r="AC207">
        <v>1.84646046696361</v>
      </c>
      <c r="AJ207">
        <v>0.75241282971929202</v>
      </c>
      <c r="AK207">
        <v>0.14323489133747</v>
      </c>
      <c r="AL207">
        <v>0.104352278943236</v>
      </c>
    </row>
    <row r="208" spans="1:38" x14ac:dyDescent="0.2">
      <c r="A208">
        <v>184</v>
      </c>
      <c r="B208">
        <v>752</v>
      </c>
      <c r="C208">
        <v>135</v>
      </c>
      <c r="D208">
        <v>0.449125006096672</v>
      </c>
      <c r="E208">
        <v>36.942479208091299</v>
      </c>
      <c r="F208">
        <v>2.5197128923393999</v>
      </c>
      <c r="G208">
        <v>-584.71134448816349</v>
      </c>
      <c r="H208">
        <v>-506.431636214555</v>
      </c>
      <c r="I208">
        <v>76.359272568510406</v>
      </c>
      <c r="J208">
        <v>43.912440163457802</v>
      </c>
      <c r="K208">
        <v>14.6613843666102</v>
      </c>
      <c r="L208">
        <v>2.8396123631113119E-5</v>
      </c>
      <c r="M208">
        <v>1.7998075184510578E-6</v>
      </c>
      <c r="N208" s="1">
        <v>-2.35464065563882E-7</v>
      </c>
      <c r="O208" s="1">
        <v>1.3983926983376599E-10</v>
      </c>
      <c r="P208" s="1">
        <v>9.7620660375986493E-10</v>
      </c>
      <c r="Q208">
        <v>65.949669106036595</v>
      </c>
      <c r="S208">
        <v>19.036120564554999</v>
      </c>
      <c r="AA208">
        <v>0.316540683880286</v>
      </c>
      <c r="AB208">
        <v>4.5358893040082702</v>
      </c>
      <c r="AC208">
        <v>10.1617803415197</v>
      </c>
      <c r="AJ208">
        <v>0.398006624360768</v>
      </c>
      <c r="AK208">
        <v>1.53485792096983E-2</v>
      </c>
      <c r="AL208">
        <v>0.58664479642953204</v>
      </c>
    </row>
    <row r="209" spans="1:38" x14ac:dyDescent="0.2">
      <c r="A209">
        <v>186</v>
      </c>
      <c r="B209">
        <v>790</v>
      </c>
      <c r="C209">
        <v>120</v>
      </c>
      <c r="D209">
        <v>0.486836758688802</v>
      </c>
      <c r="E209">
        <v>0.44420071861787302</v>
      </c>
      <c r="F209">
        <v>2.57371930824279</v>
      </c>
      <c r="G209">
        <v>-7.2598736774830055</v>
      </c>
      <c r="H209">
        <v>-6.2480761988854034</v>
      </c>
      <c r="I209">
        <v>0.95169776475342205</v>
      </c>
      <c r="J209">
        <v>0.53877469174464798</v>
      </c>
      <c r="K209">
        <v>0.172590972603439</v>
      </c>
      <c r="L209">
        <v>3.0127975391224408E-5</v>
      </c>
      <c r="M209">
        <v>1.7944890133724969E-6</v>
      </c>
      <c r="N209" s="1">
        <v>-1.9957896758463502E-9</v>
      </c>
      <c r="O209" s="1">
        <v>1.5372264457263199E-12</v>
      </c>
      <c r="P209" s="1">
        <v>9.5286779420781003E-12</v>
      </c>
      <c r="Q209">
        <v>64.369302174619307</v>
      </c>
      <c r="S209">
        <v>22.062775588665001</v>
      </c>
      <c r="AA209">
        <v>3.1823190876859302</v>
      </c>
      <c r="AB209">
        <v>8.9488959709358191</v>
      </c>
      <c r="AC209">
        <v>1.4367071780938601</v>
      </c>
      <c r="AJ209">
        <v>0.76796803676708902</v>
      </c>
      <c r="AK209">
        <v>0.15091353751323799</v>
      </c>
      <c r="AL209">
        <v>8.1118425719672593E-2</v>
      </c>
    </row>
    <row r="210" spans="1:38" x14ac:dyDescent="0.2">
      <c r="A210">
        <v>187</v>
      </c>
      <c r="B210">
        <v>788</v>
      </c>
      <c r="C210">
        <v>120</v>
      </c>
      <c r="D210">
        <v>0.48573764312303003</v>
      </c>
      <c r="E210">
        <v>1.08542443498324</v>
      </c>
      <c r="F210">
        <v>2.5729939289737298</v>
      </c>
      <c r="G210">
        <v>-17.732661444888588</v>
      </c>
      <c r="H210">
        <v>-15.267209764556821</v>
      </c>
      <c r="I210">
        <v>2.32337716659451</v>
      </c>
      <c r="J210">
        <v>1.3167532272707301</v>
      </c>
      <c r="K210">
        <v>0.42185269959660399</v>
      </c>
      <c r="L210">
        <v>3.0190535870708898E-5</v>
      </c>
      <c r="M210">
        <v>1.7966143926939472E-6</v>
      </c>
      <c r="N210" s="1">
        <v>-5.2274952078978296E-9</v>
      </c>
      <c r="O210" s="1">
        <v>3.75970864049284E-12</v>
      </c>
      <c r="P210" s="1">
        <v>2.4312458818725601E-11</v>
      </c>
      <c r="Q210">
        <v>64.456213657228304</v>
      </c>
      <c r="S210">
        <v>21.994931072282402</v>
      </c>
      <c r="AA210">
        <v>3.10606706068722</v>
      </c>
      <c r="AB210">
        <v>8.9647103298364907</v>
      </c>
      <c r="AC210">
        <v>1.4780778799655401</v>
      </c>
      <c r="AJ210">
        <v>0.76926600247492205</v>
      </c>
      <c r="AK210">
        <v>0.14728614543497601</v>
      </c>
      <c r="AL210">
        <v>8.3447852090099806E-2</v>
      </c>
    </row>
    <row r="211" spans="1:38" x14ac:dyDescent="0.2">
      <c r="A211">
        <v>188</v>
      </c>
      <c r="B211">
        <v>786</v>
      </c>
      <c r="C211">
        <v>120</v>
      </c>
      <c r="D211">
        <v>0.48463437662276798</v>
      </c>
      <c r="E211">
        <v>1.7271408179693599</v>
      </c>
      <c r="F211">
        <v>2.5722852594469101</v>
      </c>
      <c r="G211">
        <v>-28.204970868461846</v>
      </c>
      <c r="H211">
        <v>-24.292954045591298</v>
      </c>
      <c r="I211">
        <v>3.6935437122886698</v>
      </c>
      <c r="J211">
        <v>2.0956249554127599</v>
      </c>
      <c r="K211">
        <v>0.67144217836116904</v>
      </c>
      <c r="L211">
        <v>3.0252540345740846E-5</v>
      </c>
      <c r="M211">
        <v>1.798660184093475E-6</v>
      </c>
      <c r="N211" s="1">
        <v>-8.9042811268882504E-9</v>
      </c>
      <c r="O211" s="1">
        <v>5.9874434125914896E-12</v>
      </c>
      <c r="P211" s="1">
        <v>4.0404192677536402E-11</v>
      </c>
      <c r="Q211">
        <v>64.539870139827897</v>
      </c>
      <c r="S211">
        <v>21.9290679166464</v>
      </c>
      <c r="AA211">
        <v>3.0322091863455198</v>
      </c>
      <c r="AB211">
        <v>8.9784654905341093</v>
      </c>
      <c r="AC211">
        <v>1.5203872666460301</v>
      </c>
      <c r="AJ211">
        <v>0.77039492139980903</v>
      </c>
      <c r="AK211">
        <v>0.14377429374006501</v>
      </c>
      <c r="AL211">
        <v>8.5830784860124701E-2</v>
      </c>
    </row>
    <row r="212" spans="1:38" x14ac:dyDescent="0.2">
      <c r="A212">
        <v>189</v>
      </c>
      <c r="B212">
        <v>784</v>
      </c>
      <c r="C212">
        <v>120</v>
      </c>
      <c r="D212">
        <v>0.48352693562881199</v>
      </c>
      <c r="E212">
        <v>2.3688469117214099</v>
      </c>
      <c r="F212">
        <v>2.5715929791450098</v>
      </c>
      <c r="G212">
        <v>-38.668518649135848</v>
      </c>
      <c r="H212">
        <v>-33.318201096000095</v>
      </c>
      <c r="I212">
        <v>5.0610770024459599</v>
      </c>
      <c r="J212">
        <v>2.8748046715457698</v>
      </c>
      <c r="K212">
        <v>0.92115934789532605</v>
      </c>
      <c r="L212">
        <v>3.0314086949639869E-5</v>
      </c>
      <c r="M212">
        <v>1.8006278111231808E-6</v>
      </c>
      <c r="N212" s="1">
        <v>-1.3057755191836799E-8</v>
      </c>
      <c r="O212" s="1">
        <v>8.21811517053459E-12</v>
      </c>
      <c r="P212" s="1">
        <v>5.7890230356461798E-11</v>
      </c>
      <c r="Q212">
        <v>64.620317112654106</v>
      </c>
      <c r="S212">
        <v>21.865154173596299</v>
      </c>
      <c r="AA212">
        <v>2.9607084925763898</v>
      </c>
      <c r="AB212">
        <v>8.9901790693236805</v>
      </c>
      <c r="AC212">
        <v>1.56364115184946</v>
      </c>
      <c r="AJ212">
        <v>0.77135630644695896</v>
      </c>
      <c r="AK212">
        <v>0.140376086956426</v>
      </c>
      <c r="AL212">
        <v>8.8267606596614395E-2</v>
      </c>
    </row>
    <row r="213" spans="1:38" x14ac:dyDescent="0.2">
      <c r="A213">
        <v>190</v>
      </c>
      <c r="B213">
        <v>782</v>
      </c>
      <c r="C213">
        <v>120</v>
      </c>
      <c r="D213">
        <v>0.48241529640335601</v>
      </c>
      <c r="E213">
        <v>3.01005610243759</v>
      </c>
      <c r="F213">
        <v>2.5709166872430802</v>
      </c>
      <c r="G213">
        <v>-49.115300709681392</v>
      </c>
      <c r="H213">
        <v>-42.336071372030382</v>
      </c>
      <c r="I213">
        <v>6.4248963063554996</v>
      </c>
      <c r="J213">
        <v>3.6537294294996001</v>
      </c>
      <c r="K213">
        <v>1.1708104418060299</v>
      </c>
      <c r="L213">
        <v>3.0375283382355684E-5</v>
      </c>
      <c r="M213">
        <v>1.8025189312174053E-6</v>
      </c>
      <c r="N213" s="1">
        <v>-1.7721810974387399E-8</v>
      </c>
      <c r="O213" s="1">
        <v>1.0449445536579099E-11</v>
      </c>
      <c r="P213" s="1">
        <v>7.6863388258675803E-11</v>
      </c>
      <c r="Q213">
        <v>64.697609828866106</v>
      </c>
      <c r="S213">
        <v>21.803150766938401</v>
      </c>
      <c r="AA213">
        <v>2.8915198485505802</v>
      </c>
      <c r="AB213">
        <v>8.9998717515859603</v>
      </c>
      <c r="AC213">
        <v>1.60784780405882</v>
      </c>
      <c r="AJ213">
        <v>0.77215191132442196</v>
      </c>
      <c r="AK213">
        <v>0.137089249279404</v>
      </c>
      <c r="AL213">
        <v>9.0758839396173102E-2</v>
      </c>
    </row>
    <row r="214" spans="1:38" x14ac:dyDescent="0.2">
      <c r="A214">
        <v>191</v>
      </c>
      <c r="B214">
        <v>780</v>
      </c>
      <c r="C214">
        <v>120</v>
      </c>
      <c r="D214">
        <v>0.48129943502824801</v>
      </c>
      <c r="E214">
        <v>4.0939431355390301</v>
      </c>
      <c r="F214">
        <v>2.56974468701083</v>
      </c>
      <c r="G214">
        <v>-66.764122329821447</v>
      </c>
      <c r="H214">
        <v>-57.569732811692703</v>
      </c>
      <c r="I214">
        <v>8.7303703348323793</v>
      </c>
      <c r="J214">
        <v>4.9701855749905004</v>
      </c>
      <c r="K214">
        <v>1.5931322501540599</v>
      </c>
      <c r="L214">
        <v>3.0440317094483852E-5</v>
      </c>
      <c r="M214">
        <v>1.8049636286319553E-6</v>
      </c>
      <c r="N214" s="1">
        <v>-2.56802968110315E-8</v>
      </c>
      <c r="O214" s="1">
        <v>1.42337472911004E-11</v>
      </c>
      <c r="P214" s="1">
        <v>1.09134887932695E-10</v>
      </c>
      <c r="Q214">
        <v>64.806211429427805</v>
      </c>
      <c r="S214">
        <v>21.7097095208964</v>
      </c>
      <c r="AA214">
        <v>2.7890891649920699</v>
      </c>
      <c r="AB214">
        <v>8.9969162207626301</v>
      </c>
      <c r="AC214">
        <v>1.6980736639209699</v>
      </c>
      <c r="AJ214">
        <v>0.77191136610297395</v>
      </c>
      <c r="AK214">
        <v>0.132235160997975</v>
      </c>
      <c r="AL214">
        <v>9.5853472899050302E-2</v>
      </c>
    </row>
    <row r="215" spans="1:38" x14ac:dyDescent="0.2">
      <c r="A215">
        <v>192</v>
      </c>
      <c r="B215">
        <v>778</v>
      </c>
      <c r="C215">
        <v>120</v>
      </c>
      <c r="D215">
        <v>0.48017932740332298</v>
      </c>
      <c r="E215">
        <v>5.9270165383872797</v>
      </c>
      <c r="F215">
        <v>2.5676529876869001</v>
      </c>
      <c r="G215">
        <v>-96.576232939187449</v>
      </c>
      <c r="H215">
        <v>-83.302133212537839</v>
      </c>
      <c r="I215">
        <v>12.628168888027</v>
      </c>
      <c r="J215">
        <v>7.19565104884642</v>
      </c>
      <c r="K215">
        <v>2.3083401716704302</v>
      </c>
      <c r="L215">
        <v>3.0502671466719917E-5</v>
      </c>
      <c r="M215">
        <v>1.8081978489607434E-6</v>
      </c>
      <c r="N215" s="1">
        <v>-3.9404720289360998E-8</v>
      </c>
      <c r="O215" s="1">
        <v>2.0671492144186599E-11</v>
      </c>
      <c r="P215" s="1">
        <v>1.6443953507732301E-10</v>
      </c>
      <c r="Q215">
        <v>64.965132447753803</v>
      </c>
      <c r="S215">
        <v>21.561313101811098</v>
      </c>
      <c r="AA215">
        <v>2.6295785527520201</v>
      </c>
      <c r="AB215">
        <v>8.9620226836147392</v>
      </c>
      <c r="AC215">
        <v>1.88195321406822</v>
      </c>
      <c r="AJ215">
        <v>0.76905350525015204</v>
      </c>
      <c r="AK215">
        <v>0.124694545440799</v>
      </c>
      <c r="AL215">
        <v>0.10625194930904799</v>
      </c>
    </row>
    <row r="216" spans="1:38" x14ac:dyDescent="0.2">
      <c r="A216">
        <v>193</v>
      </c>
      <c r="B216">
        <v>776</v>
      </c>
      <c r="C216">
        <v>120</v>
      </c>
      <c r="D216">
        <v>0.47905494924462999</v>
      </c>
      <c r="E216">
        <v>7.8650836904185599</v>
      </c>
      <c r="F216">
        <v>2.5653028152838901</v>
      </c>
      <c r="G216">
        <v>-128.03017127029042</v>
      </c>
      <c r="H216">
        <v>-110.46575683240786</v>
      </c>
      <c r="I216">
        <v>16.741566447011898</v>
      </c>
      <c r="J216">
        <v>9.5474808733568892</v>
      </c>
      <c r="K216">
        <v>3.0659474755022802</v>
      </c>
      <c r="L216">
        <v>3.0548223900114703E-5</v>
      </c>
      <c r="M216">
        <v>1.8111596155189515E-6</v>
      </c>
      <c r="N216" s="1">
        <v>-5.5172946783110702E-8</v>
      </c>
      <c r="O216" s="1">
        <v>2.7526213118238501E-11</v>
      </c>
      <c r="P216" s="1">
        <v>2.2651838334739E-10</v>
      </c>
      <c r="Q216">
        <v>65.121539832191402</v>
      </c>
      <c r="S216">
        <v>21.404611664265801</v>
      </c>
      <c r="AA216">
        <v>2.4638027373501501</v>
      </c>
      <c r="AB216">
        <v>8.8997549625032608</v>
      </c>
      <c r="AC216">
        <v>2.11029080368928</v>
      </c>
      <c r="AJ216">
        <v>0.76394917557458897</v>
      </c>
      <c r="AK216">
        <v>0.116870026074058</v>
      </c>
      <c r="AL216">
        <v>0.11918079835135199</v>
      </c>
    </row>
    <row r="217" spans="1:38" x14ac:dyDescent="0.2">
      <c r="A217">
        <v>194</v>
      </c>
      <c r="B217">
        <v>774</v>
      </c>
      <c r="C217">
        <v>120</v>
      </c>
      <c r="D217">
        <v>0.47792627608270499</v>
      </c>
      <c r="E217">
        <v>10.006596210123</v>
      </c>
      <c r="F217">
        <v>2.5624595947956901</v>
      </c>
      <c r="G217">
        <v>-162.69329665356909</v>
      </c>
      <c r="H217">
        <v>-140.41209944046895</v>
      </c>
      <c r="I217">
        <v>21.277942236642399</v>
      </c>
      <c r="J217">
        <v>12.1431846206768</v>
      </c>
      <c r="K217">
        <v>3.9050747299377102</v>
      </c>
      <c r="L217">
        <v>3.0567561391321349E-5</v>
      </c>
      <c r="M217">
        <v>1.8138255105420012E-6</v>
      </c>
      <c r="N217" s="1">
        <v>-7.3561110427560998E-8</v>
      </c>
      <c r="O217" s="1">
        <v>3.5169005010368102E-11</v>
      </c>
      <c r="P217" s="1">
        <v>2.9782466954291398E-10</v>
      </c>
      <c r="Q217">
        <v>65.280793994900606</v>
      </c>
      <c r="S217">
        <v>21.228748697870401</v>
      </c>
      <c r="AA217">
        <v>2.2815542076569</v>
      </c>
      <c r="AB217">
        <v>8.7935966950828508</v>
      </c>
      <c r="AC217">
        <v>2.41530640448907</v>
      </c>
      <c r="AJ217">
        <v>0.75523796646894703</v>
      </c>
      <c r="AK217">
        <v>0.108282644266571</v>
      </c>
      <c r="AL217">
        <v>0.136479389264481</v>
      </c>
    </row>
    <row r="218" spans="1:38" x14ac:dyDescent="0.2">
      <c r="A218">
        <v>195</v>
      </c>
      <c r="B218">
        <v>772</v>
      </c>
      <c r="C218">
        <v>120</v>
      </c>
      <c r="D218">
        <v>0.47679328326077502</v>
      </c>
      <c r="E218">
        <v>14.4298894842271</v>
      </c>
      <c r="F218">
        <v>2.5672119886865099</v>
      </c>
      <c r="G218">
        <v>-234.72318815150336</v>
      </c>
      <c r="H218">
        <v>-202.70736495026762</v>
      </c>
      <c r="I218">
        <v>30.632754342664398</v>
      </c>
      <c r="J218">
        <v>17.511051410960999</v>
      </c>
      <c r="K218">
        <v>5.6208406426186901</v>
      </c>
      <c r="L218">
        <v>3.0436398064924377E-5</v>
      </c>
      <c r="M218">
        <v>1.8051583861970566E-6</v>
      </c>
      <c r="N218" s="1">
        <v>-1.11631868904658E-7</v>
      </c>
      <c r="O218" s="1">
        <v>5.0236206561048899E-11</v>
      </c>
      <c r="P218" s="1">
        <v>4.45962126356292E-10</v>
      </c>
      <c r="Q218">
        <v>64.8594015612438</v>
      </c>
      <c r="S218">
        <v>21.5611040555941</v>
      </c>
      <c r="AA218">
        <v>2.6540769444158201</v>
      </c>
      <c r="AB218">
        <v>8.7258590302551404</v>
      </c>
      <c r="AC218">
        <v>2.19955840849103</v>
      </c>
      <c r="AJ218">
        <v>0.74966678587251001</v>
      </c>
      <c r="AK218">
        <v>0.12600401303431999</v>
      </c>
      <c r="AL218">
        <v>0.124329201093169</v>
      </c>
    </row>
    <row r="219" spans="1:38" x14ac:dyDescent="0.2">
      <c r="A219">
        <v>195</v>
      </c>
      <c r="B219">
        <v>772</v>
      </c>
      <c r="C219">
        <v>120</v>
      </c>
      <c r="D219">
        <v>0.47679328326077502</v>
      </c>
      <c r="E219">
        <v>21.2531485500655</v>
      </c>
      <c r="F219">
        <v>2.51931885692865</v>
      </c>
      <c r="G219">
        <v>-338.12554044635402</v>
      </c>
      <c r="H219">
        <v>-291.58020178519308</v>
      </c>
      <c r="I219">
        <v>44.534601407607397</v>
      </c>
      <c r="J219">
        <v>25.279484176297199</v>
      </c>
      <c r="K219">
        <v>8.4360693334291206</v>
      </c>
      <c r="L219">
        <v>2.8441103203865488E-5</v>
      </c>
      <c r="M219">
        <v>1.8026490058407023E-6</v>
      </c>
      <c r="N219" s="1">
        <v>-7.1283631457622999E-8</v>
      </c>
      <c r="O219" s="1">
        <v>8.0667645490799301E-11</v>
      </c>
      <c r="P219" s="1">
        <v>3.7603998409567498E-10</v>
      </c>
      <c r="Q219">
        <v>66.036822601503999</v>
      </c>
      <c r="S219">
        <v>19.137374886591999</v>
      </c>
      <c r="AA219">
        <v>0.37974045961944602</v>
      </c>
      <c r="AB219">
        <v>4.9955575648534003</v>
      </c>
      <c r="AC219">
        <v>9.4505044874311093</v>
      </c>
      <c r="AJ219">
        <v>0.43731904154500001</v>
      </c>
      <c r="AK219">
        <v>1.8370123746150199E-2</v>
      </c>
      <c r="AL219">
        <v>0.544310834708849</v>
      </c>
    </row>
    <row r="220" spans="1:38" x14ac:dyDescent="0.2">
      <c r="A220">
        <v>196</v>
      </c>
      <c r="B220">
        <v>770</v>
      </c>
      <c r="C220">
        <v>120</v>
      </c>
      <c r="D220">
        <v>0.47565594593299199</v>
      </c>
      <c r="E220">
        <v>16.372011242753398</v>
      </c>
      <c r="F220">
        <v>2.5696265173724799</v>
      </c>
      <c r="G220">
        <v>-266.35144407040968</v>
      </c>
      <c r="H220">
        <v>-230.14610187898069</v>
      </c>
      <c r="I220">
        <v>34.707704732233097</v>
      </c>
      <c r="J220">
        <v>19.872028051714899</v>
      </c>
      <c r="K220">
        <v>6.3713583013201198</v>
      </c>
      <c r="L220">
        <v>3.0400671919380026E-5</v>
      </c>
      <c r="M220">
        <v>1.8011365218958534E-6</v>
      </c>
      <c r="N220" s="1">
        <v>-1.3425720076776E-7</v>
      </c>
      <c r="O220" s="1">
        <v>5.6689157371818401E-11</v>
      </c>
      <c r="P220" s="1">
        <v>5.2828897860879196E-10</v>
      </c>
      <c r="Q220">
        <v>64.656060946981498</v>
      </c>
      <c r="S220">
        <v>21.724585269812099</v>
      </c>
      <c r="AA220">
        <v>2.8363973725532401</v>
      </c>
      <c r="AB220">
        <v>8.70131263114021</v>
      </c>
      <c r="AC220">
        <v>2.08164377951279</v>
      </c>
      <c r="AJ220">
        <v>0.74764626737149198</v>
      </c>
      <c r="AK220">
        <v>0.134675706151065</v>
      </c>
      <c r="AL220">
        <v>0.11767802647744199</v>
      </c>
    </row>
    <row r="221" spans="1:38" x14ac:dyDescent="0.2">
      <c r="A221">
        <v>196</v>
      </c>
      <c r="B221">
        <v>770</v>
      </c>
      <c r="C221">
        <v>120</v>
      </c>
      <c r="D221">
        <v>0.47565594593299199</v>
      </c>
      <c r="E221">
        <v>29.456423200606</v>
      </c>
      <c r="F221">
        <v>2.5190845796315502</v>
      </c>
      <c r="G221">
        <v>-468.21671647542291</v>
      </c>
      <c r="H221">
        <v>-403.94761156776383</v>
      </c>
      <c r="I221">
        <v>61.610607206690403</v>
      </c>
      <c r="J221">
        <v>35.014449349932399</v>
      </c>
      <c r="K221">
        <v>11.6933045594341</v>
      </c>
      <c r="L221">
        <v>2.8363480877710887E-5</v>
      </c>
      <c r="M221">
        <v>1.8013623397795069E-6</v>
      </c>
      <c r="N221" s="1">
        <v>-1.0198218520294E-7</v>
      </c>
      <c r="O221" s="1">
        <v>1.11888354300931E-10</v>
      </c>
      <c r="P221" s="1">
        <v>5.3022472153258203E-10</v>
      </c>
      <c r="Q221">
        <v>65.997004049386206</v>
      </c>
      <c r="S221">
        <v>19.1172061564844</v>
      </c>
      <c r="AA221">
        <v>0.37239216555162602</v>
      </c>
      <c r="AB221">
        <v>4.8539491083536204</v>
      </c>
      <c r="AC221">
        <v>9.6594485202240694</v>
      </c>
      <c r="AJ221">
        <v>0.425227630228318</v>
      </c>
      <c r="AK221">
        <v>1.8027586309871401E-2</v>
      </c>
      <c r="AL221">
        <v>0.556744783461809</v>
      </c>
    </row>
    <row r="222" spans="1:38" x14ac:dyDescent="0.2">
      <c r="A222">
        <v>197</v>
      </c>
      <c r="B222">
        <v>768</v>
      </c>
      <c r="C222">
        <v>120</v>
      </c>
      <c r="D222">
        <v>0.474514239062578</v>
      </c>
      <c r="E222">
        <v>17.231142606591298</v>
      </c>
      <c r="F222">
        <v>2.5707540630469898</v>
      </c>
      <c r="G222">
        <v>-280.30805587096978</v>
      </c>
      <c r="H222">
        <v>-242.32214059904334</v>
      </c>
      <c r="I222">
        <v>36.484575010254503</v>
      </c>
      <c r="J222">
        <v>20.921329699149901</v>
      </c>
      <c r="K222">
        <v>6.7027580950968302</v>
      </c>
      <c r="L222">
        <v>3.0416008664516575E-5</v>
      </c>
      <c r="M222">
        <v>1.7996528482852491E-6</v>
      </c>
      <c r="N222" s="1">
        <v>-1.5024409847746799E-7</v>
      </c>
      <c r="O222" s="1">
        <v>5.9476636924026099E-11</v>
      </c>
      <c r="P222" s="1">
        <v>5.8209680195955303E-10</v>
      </c>
      <c r="Q222">
        <v>64.571530227081695</v>
      </c>
      <c r="S222">
        <v>21.7942167156178</v>
      </c>
      <c r="AA222">
        <v>2.9135681161915001</v>
      </c>
      <c r="AB222">
        <v>8.6954883420846407</v>
      </c>
      <c r="AC222">
        <v>2.02519659902427</v>
      </c>
      <c r="AJ222">
        <v>0.74716623083188205</v>
      </c>
      <c r="AK222">
        <v>0.138343648237919</v>
      </c>
      <c r="AL222">
        <v>0.114490120930198</v>
      </c>
    </row>
    <row r="223" spans="1:38" x14ac:dyDescent="0.2">
      <c r="A223">
        <v>197</v>
      </c>
      <c r="B223">
        <v>768</v>
      </c>
      <c r="C223">
        <v>120</v>
      </c>
      <c r="D223">
        <v>0.474514239062578</v>
      </c>
      <c r="E223">
        <v>32.6862993012763</v>
      </c>
      <c r="F223">
        <v>2.5190074840891201</v>
      </c>
      <c r="G223">
        <v>-519.25510847398107</v>
      </c>
      <c r="H223">
        <v>-448.18015549347786</v>
      </c>
      <c r="I223">
        <v>68.265814705376897</v>
      </c>
      <c r="J223">
        <v>38.8441013437279</v>
      </c>
      <c r="K223">
        <v>12.9758643067691</v>
      </c>
      <c r="L223">
        <v>2.8336454914947181E-5</v>
      </c>
      <c r="M223">
        <v>1.8008973441434292E-6</v>
      </c>
      <c r="N223" s="1">
        <v>-1.19796506549382E-7</v>
      </c>
      <c r="O223" s="1">
        <v>1.24168413304914E-10</v>
      </c>
      <c r="P223" s="1">
        <v>6.0757779496324101E-10</v>
      </c>
      <c r="Q223">
        <v>65.980731127835398</v>
      </c>
      <c r="S223">
        <v>19.104599906212901</v>
      </c>
      <c r="AA223">
        <v>0.36578894377877402</v>
      </c>
      <c r="AB223">
        <v>4.7846368511860602</v>
      </c>
      <c r="AC223">
        <v>9.7642431709866706</v>
      </c>
      <c r="AJ223">
        <v>0.41930301193305702</v>
      </c>
      <c r="AK223">
        <v>1.7714151961803801E-2</v>
      </c>
      <c r="AL223">
        <v>0.562982836105138</v>
      </c>
    </row>
    <row r="224" spans="1:38" x14ac:dyDescent="0.2">
      <c r="A224">
        <v>198</v>
      </c>
      <c r="B224">
        <v>766</v>
      </c>
      <c r="C224">
        <v>120</v>
      </c>
      <c r="D224">
        <v>0.47336813742000999</v>
      </c>
      <c r="E224">
        <v>17.739574538551501</v>
      </c>
      <c r="F224">
        <v>2.5714638862858701</v>
      </c>
      <c r="G224">
        <v>-288.53917707813872</v>
      </c>
      <c r="H224">
        <v>-249.55290191714838</v>
      </c>
      <c r="I224">
        <v>37.517466353260197</v>
      </c>
      <c r="J224">
        <v>21.5466280343813</v>
      </c>
      <c r="K224">
        <v>6.8986286889581603</v>
      </c>
      <c r="L224">
        <v>3.0451103186149113E-5</v>
      </c>
      <c r="M224">
        <v>1.7990342372041695E-6</v>
      </c>
      <c r="N224" s="1">
        <v>-1.64643219212306E-7</v>
      </c>
      <c r="O224" s="1">
        <v>6.1081547976654494E-11</v>
      </c>
      <c r="P224" s="1">
        <v>6.2826839865440498E-10</v>
      </c>
      <c r="Q224">
        <v>64.526706984366697</v>
      </c>
      <c r="S224">
        <v>21.832841564589899</v>
      </c>
      <c r="AA224">
        <v>2.9558929029949499</v>
      </c>
      <c r="AB224">
        <v>8.6968622121740307</v>
      </c>
      <c r="AC224">
        <v>1.9876963358742601</v>
      </c>
      <c r="AJ224">
        <v>0.74727849531203805</v>
      </c>
      <c r="AK224">
        <v>0.140352250334845</v>
      </c>
      <c r="AL224">
        <v>0.112369254353116</v>
      </c>
    </row>
    <row r="225" spans="1:38" x14ac:dyDescent="0.2">
      <c r="A225">
        <v>198</v>
      </c>
      <c r="B225">
        <v>766</v>
      </c>
      <c r="C225">
        <v>120</v>
      </c>
      <c r="D225">
        <v>0.47336813742000999</v>
      </c>
      <c r="E225">
        <v>34.395097400483898</v>
      </c>
      <c r="F225">
        <v>2.51897772175922</v>
      </c>
      <c r="G225">
        <v>-546.13849957909497</v>
      </c>
      <c r="H225">
        <v>-471.59241876722177</v>
      </c>
      <c r="I225">
        <v>71.737555513518899</v>
      </c>
      <c r="J225">
        <v>40.8700903456185</v>
      </c>
      <c r="K225">
        <v>13.6543872950423</v>
      </c>
      <c r="L225">
        <v>2.832623905900421E-5</v>
      </c>
      <c r="M225">
        <v>1.8006921905158075E-6</v>
      </c>
      <c r="N225" s="1">
        <v>-1.3443854156119801E-7</v>
      </c>
      <c r="O225" s="1">
        <v>1.30641487225832E-10</v>
      </c>
      <c r="P225" s="1">
        <v>6.6366341142291697E-10</v>
      </c>
      <c r="Q225">
        <v>65.9718780337532</v>
      </c>
      <c r="S225">
        <v>19.094406099008999</v>
      </c>
      <c r="AA225">
        <v>0.35944469693387199</v>
      </c>
      <c r="AB225">
        <v>4.7381838148373001</v>
      </c>
      <c r="AC225">
        <v>9.8360873554664892</v>
      </c>
      <c r="AJ225">
        <v>0.41533002009717501</v>
      </c>
      <c r="AK225">
        <v>1.7411022997653802E-2</v>
      </c>
      <c r="AL225">
        <v>0.56725895690517003</v>
      </c>
    </row>
    <row r="226" spans="1:38" x14ac:dyDescent="0.2">
      <c r="A226">
        <v>199</v>
      </c>
      <c r="B226">
        <v>764</v>
      </c>
      <c r="C226">
        <v>120</v>
      </c>
      <c r="D226">
        <v>0.47221761558116099</v>
      </c>
      <c r="E226">
        <v>18.0953501078172</v>
      </c>
      <c r="F226">
        <v>2.5719876099517198</v>
      </c>
      <c r="G226">
        <v>-294.2769703045052</v>
      </c>
      <c r="H226">
        <v>-254.63055300707666</v>
      </c>
      <c r="I226">
        <v>38.226309885193501</v>
      </c>
      <c r="J226">
        <v>21.987916635625101</v>
      </c>
      <c r="K226">
        <v>7.03555104145968</v>
      </c>
      <c r="L226">
        <v>3.0497037808779287E-5</v>
      </c>
      <c r="M226">
        <v>1.7988134504252619E-6</v>
      </c>
      <c r="N226" s="1">
        <v>-1.7885009877298999E-7</v>
      </c>
      <c r="O226" s="1">
        <v>6.2169902021788298E-11</v>
      </c>
      <c r="P226" s="1">
        <v>6.7253553505666197E-10</v>
      </c>
      <c r="Q226">
        <v>64.499805047230893</v>
      </c>
      <c r="S226">
        <v>21.857534081724399</v>
      </c>
      <c r="AA226">
        <v>2.98254168171959</v>
      </c>
      <c r="AB226">
        <v>8.70164733160534</v>
      </c>
      <c r="AC226">
        <v>1.95847185771965</v>
      </c>
      <c r="AJ226">
        <v>0.74767143336740705</v>
      </c>
      <c r="AK226">
        <v>0.14161414085766899</v>
      </c>
      <c r="AL226">
        <v>0.11071442577492201</v>
      </c>
    </row>
    <row r="227" spans="1:38" x14ac:dyDescent="0.2">
      <c r="A227">
        <v>199</v>
      </c>
      <c r="B227">
        <v>764</v>
      </c>
      <c r="C227">
        <v>120</v>
      </c>
      <c r="D227">
        <v>0.47221761558116099</v>
      </c>
      <c r="E227">
        <v>35.450495667777197</v>
      </c>
      <c r="F227">
        <v>2.5189690970790002</v>
      </c>
      <c r="G227">
        <v>-562.65065549609824</v>
      </c>
      <c r="H227">
        <v>-486.06493433369707</v>
      </c>
      <c r="I227">
        <v>73.842473280047301</v>
      </c>
      <c r="J227">
        <v>42.122097735853202</v>
      </c>
      <c r="K227">
        <v>14.0734142824084</v>
      </c>
      <c r="L227">
        <v>2.8324140617929707E-5</v>
      </c>
      <c r="M227">
        <v>1.8006022671747082E-6</v>
      </c>
      <c r="N227" s="1">
        <v>-1.4817485473313199E-7</v>
      </c>
      <c r="O227" s="1">
        <v>1.3461462427591501E-10</v>
      </c>
      <c r="P227" s="1">
        <v>7.1191891180360804E-10</v>
      </c>
      <c r="Q227">
        <v>65.966237290386104</v>
      </c>
      <c r="S227">
        <v>19.085311386553901</v>
      </c>
      <c r="AA227">
        <v>0.353257656386751</v>
      </c>
      <c r="AB227">
        <v>4.7017707495938099</v>
      </c>
      <c r="AC227">
        <v>9.8934229170793699</v>
      </c>
      <c r="AJ227">
        <v>0.41221441797109198</v>
      </c>
      <c r="AK227">
        <v>1.71144955109288E-2</v>
      </c>
      <c r="AL227">
        <v>0.57067108651797804</v>
      </c>
    </row>
    <row r="228" spans="1:38" x14ac:dyDescent="0.2">
      <c r="A228">
        <v>200</v>
      </c>
      <c r="B228">
        <v>762</v>
      </c>
      <c r="C228">
        <v>120</v>
      </c>
      <c r="D228">
        <v>0.47106264792542502</v>
      </c>
      <c r="E228">
        <v>18.371054438757</v>
      </c>
      <c r="F228">
        <v>2.5724111069431199</v>
      </c>
      <c r="G228">
        <v>-298.70636363930714</v>
      </c>
      <c r="H228">
        <v>-258.57882495400708</v>
      </c>
      <c r="I228">
        <v>38.764950669275002</v>
      </c>
      <c r="J228">
        <v>22.3331725983609</v>
      </c>
      <c r="K228">
        <v>7.1415701748341203</v>
      </c>
      <c r="L228">
        <v>3.0550521146724256E-5</v>
      </c>
      <c r="M228">
        <v>1.7988140546459285E-6</v>
      </c>
      <c r="N228" s="1">
        <v>-1.9341415126047301E-7</v>
      </c>
      <c r="O228" s="1">
        <v>6.2984446908124494E-11</v>
      </c>
      <c r="P228" s="1">
        <v>7.1710502241772295E-10</v>
      </c>
      <c r="Q228">
        <v>64.482631475299797</v>
      </c>
      <c r="S228">
        <v>21.874678265953001</v>
      </c>
      <c r="AA228">
        <v>3.0006930274829302</v>
      </c>
      <c r="AB228">
        <v>8.7083226552182804</v>
      </c>
      <c r="AC228">
        <v>1.93367457604587</v>
      </c>
      <c r="AJ228">
        <v>0.74821986253869299</v>
      </c>
      <c r="AK228">
        <v>0.142471199439273</v>
      </c>
      <c r="AL228">
        <v>0.10930893802203299</v>
      </c>
    </row>
    <row r="229" spans="1:38" x14ac:dyDescent="0.2">
      <c r="A229">
        <v>200</v>
      </c>
      <c r="B229">
        <v>762</v>
      </c>
      <c r="C229">
        <v>120</v>
      </c>
      <c r="D229">
        <v>0.47106264792542502</v>
      </c>
      <c r="E229">
        <v>36.163661803922203</v>
      </c>
      <c r="F229">
        <v>2.5189723836326299</v>
      </c>
      <c r="G229">
        <v>-573.73245705262264</v>
      </c>
      <c r="H229">
        <v>-495.85636272624276</v>
      </c>
      <c r="I229">
        <v>75.231700068956101</v>
      </c>
      <c r="J229">
        <v>42.969204459773799</v>
      </c>
      <c r="K229">
        <v>14.3565138065429</v>
      </c>
      <c r="L229">
        <v>2.8327034093649102E-5</v>
      </c>
      <c r="M229">
        <v>1.8005749722946646E-6</v>
      </c>
      <c r="N229" s="1">
        <v>-1.6180838240505301E-7</v>
      </c>
      <c r="O229" s="1">
        <v>1.3727469223245701E-10</v>
      </c>
      <c r="P229" s="1">
        <v>7.5712743605850901E-10</v>
      </c>
      <c r="Q229">
        <v>65.962265876942098</v>
      </c>
      <c r="S229">
        <v>19.076837307398002</v>
      </c>
      <c r="AA229">
        <v>0.34719312934999302</v>
      </c>
      <c r="AB229">
        <v>4.6707047674600704</v>
      </c>
      <c r="AC229">
        <v>9.9429989188496997</v>
      </c>
      <c r="AJ229">
        <v>0.40955542293918401</v>
      </c>
      <c r="AK229">
        <v>1.6823338243574099E-2</v>
      </c>
      <c r="AL229">
        <v>0.57362123881724103</v>
      </c>
    </row>
    <row r="230" spans="1:38" x14ac:dyDescent="0.2">
      <c r="A230">
        <v>201</v>
      </c>
      <c r="B230">
        <v>760</v>
      </c>
      <c r="C230">
        <v>120</v>
      </c>
      <c r="D230">
        <v>0.46990320863379098</v>
      </c>
      <c r="E230">
        <v>18.599346576911401</v>
      </c>
      <c r="F230">
        <v>2.57277367597773</v>
      </c>
      <c r="G230">
        <v>-302.36060684663829</v>
      </c>
      <c r="H230">
        <v>-261.85844876793294</v>
      </c>
      <c r="I230">
        <v>39.202592148967099</v>
      </c>
      <c r="J230">
        <v>22.622011500724899</v>
      </c>
      <c r="K230">
        <v>7.2292976061499399</v>
      </c>
      <c r="L230">
        <v>3.0610141052088148E-5</v>
      </c>
      <c r="M230">
        <v>1.7989547335994724E-6</v>
      </c>
      <c r="N230" s="1">
        <v>-2.0862158649627899E-7</v>
      </c>
      <c r="O230" s="1">
        <v>6.3633771021842896E-11</v>
      </c>
      <c r="P230" s="1">
        <v>7.6307855825074504E-10</v>
      </c>
      <c r="Q230">
        <v>64.4714070365536</v>
      </c>
      <c r="S230">
        <v>21.887209368715698</v>
      </c>
      <c r="AA230">
        <v>3.0136503849039702</v>
      </c>
      <c r="AB230">
        <v>8.7161615103497603</v>
      </c>
      <c r="AC230">
        <v>1.9115716994768299</v>
      </c>
      <c r="AJ230">
        <v>0.748863972213752</v>
      </c>
      <c r="AK230">
        <v>0.14308078908640201</v>
      </c>
      <c r="AL230">
        <v>0.108055238699844</v>
      </c>
    </row>
    <row r="231" spans="1:38" x14ac:dyDescent="0.2">
      <c r="A231">
        <v>201</v>
      </c>
      <c r="B231">
        <v>760</v>
      </c>
      <c r="C231">
        <v>120</v>
      </c>
      <c r="D231">
        <v>0.46990320863379098</v>
      </c>
      <c r="E231">
        <v>36.673675802174799</v>
      </c>
      <c r="F231">
        <v>2.5189834808017602</v>
      </c>
      <c r="G231">
        <v>-581.59169792336695</v>
      </c>
      <c r="H231">
        <v>-502.8696078194871</v>
      </c>
      <c r="I231">
        <v>76.196186520718001</v>
      </c>
      <c r="J231">
        <v>43.576341562964203</v>
      </c>
      <c r="K231">
        <v>14.5589187391185</v>
      </c>
      <c r="L231">
        <v>2.8333551383540908E-5</v>
      </c>
      <c r="M231">
        <v>1.8005866250290734E-6</v>
      </c>
      <c r="N231" s="1">
        <v>-1.7571358198599799E-7</v>
      </c>
      <c r="O231" s="1">
        <v>1.39152278980691E-10</v>
      </c>
      <c r="P231" s="1">
        <v>8.01467351294989E-10</v>
      </c>
      <c r="Q231">
        <v>65.959263077512105</v>
      </c>
      <c r="S231">
        <v>19.068766598905398</v>
      </c>
      <c r="AA231">
        <v>0.341235374402233</v>
      </c>
      <c r="AB231">
        <v>4.6428547783568597</v>
      </c>
      <c r="AC231">
        <v>9.9878801708232992</v>
      </c>
      <c r="AJ231">
        <v>0.407170981799861</v>
      </c>
      <c r="AK231">
        <v>1.6536993511773498E-2</v>
      </c>
      <c r="AL231">
        <v>0.57629202468836505</v>
      </c>
    </row>
    <row r="232" spans="1:38" x14ac:dyDescent="0.2">
      <c r="A232">
        <v>202</v>
      </c>
      <c r="B232">
        <v>758</v>
      </c>
      <c r="C232">
        <v>120</v>
      </c>
      <c r="D232">
        <v>0.46873927168695301</v>
      </c>
      <c r="E232">
        <v>18.797091685177701</v>
      </c>
      <c r="F232">
        <v>2.5730959995406102</v>
      </c>
      <c r="G232">
        <v>-305.51511539768632</v>
      </c>
      <c r="H232">
        <v>-264.70739077836561</v>
      </c>
      <c r="I232">
        <v>39.5749644758965</v>
      </c>
      <c r="J232">
        <v>22.874925047141598</v>
      </c>
      <c r="K232">
        <v>7.3052430568208999</v>
      </c>
      <c r="L232">
        <v>3.0675263403757167E-5</v>
      </c>
      <c r="M232">
        <v>1.7991927267347832E-6</v>
      </c>
      <c r="N232" s="1">
        <v>-2.2465901765499899E-7</v>
      </c>
      <c r="O232" s="1">
        <v>6.4173513801607705E-11</v>
      </c>
      <c r="P232" s="1">
        <v>8.1113307264391201E-10</v>
      </c>
      <c r="Q232">
        <v>64.464133119425796</v>
      </c>
      <c r="S232">
        <v>21.896676438065999</v>
      </c>
      <c r="AA232">
        <v>3.0231580831739699</v>
      </c>
      <c r="AB232">
        <v>8.7247711291472001</v>
      </c>
      <c r="AC232">
        <v>1.8912612301868501</v>
      </c>
      <c r="AJ232">
        <v>0.74957143243765101</v>
      </c>
      <c r="AK232">
        <v>0.143526016333828</v>
      </c>
      <c r="AL232">
        <v>0.10690255122852001</v>
      </c>
    </row>
    <row r="233" spans="1:38" x14ac:dyDescent="0.2">
      <c r="A233">
        <v>202</v>
      </c>
      <c r="B233">
        <v>758</v>
      </c>
      <c r="C233">
        <v>120</v>
      </c>
      <c r="D233">
        <v>0.46873927168695301</v>
      </c>
      <c r="E233">
        <v>37.052356331928003</v>
      </c>
      <c r="F233">
        <v>2.5190002699866398</v>
      </c>
      <c r="G233">
        <v>-587.36824706914877</v>
      </c>
      <c r="H233">
        <v>-508.08709058185201</v>
      </c>
      <c r="I233">
        <v>76.886152826743796</v>
      </c>
      <c r="J233">
        <v>44.028678669248798</v>
      </c>
      <c r="K233">
        <v>14.709151393669501</v>
      </c>
      <c r="L233">
        <v>2.8343024464840181E-5</v>
      </c>
      <c r="M233">
        <v>1.8006249979368543E-6</v>
      </c>
      <c r="N233" s="1">
        <v>-1.9010542478703699E-7</v>
      </c>
      <c r="O233" s="1">
        <v>1.4052128748249701E-10</v>
      </c>
      <c r="P233" s="1">
        <v>8.4612209490455204E-10</v>
      </c>
      <c r="Q233">
        <v>65.956862599797205</v>
      </c>
      <c r="S233">
        <v>19.0609851997894</v>
      </c>
      <c r="AA233">
        <v>0.33537575911454998</v>
      </c>
      <c r="AB233">
        <v>4.6171054930441802</v>
      </c>
      <c r="AC233">
        <v>10.0296709482545</v>
      </c>
      <c r="AJ233">
        <v>0.40496579987377301</v>
      </c>
      <c r="AK233">
        <v>1.6255151040073301E-2</v>
      </c>
      <c r="AL233">
        <v>0.57877904908615296</v>
      </c>
    </row>
    <row r="234" spans="1:38" x14ac:dyDescent="0.2">
      <c r="A234">
        <v>203</v>
      </c>
      <c r="B234">
        <v>756</v>
      </c>
      <c r="C234">
        <v>120</v>
      </c>
      <c r="D234">
        <v>0.46757081086333502</v>
      </c>
      <c r="E234">
        <v>18.973363850435</v>
      </c>
      <c r="F234">
        <v>2.5734043712638299</v>
      </c>
      <c r="G234">
        <v>-308.31875419356663</v>
      </c>
      <c r="H234">
        <v>-267.25443142565024</v>
      </c>
      <c r="I234">
        <v>39.9012027089504</v>
      </c>
      <c r="J234">
        <v>23.102930317292099</v>
      </c>
      <c r="K234">
        <v>7.3728653228007497</v>
      </c>
      <c r="L234">
        <v>3.0744937742752403E-5</v>
      </c>
      <c r="M234">
        <v>1.7994711571724724E-6</v>
      </c>
      <c r="N234" s="1">
        <v>-2.4165248423412002E-7</v>
      </c>
      <c r="O234" s="1">
        <v>6.4631448968233605E-11</v>
      </c>
      <c r="P234" s="1">
        <v>8.6170309188575905E-10</v>
      </c>
      <c r="Q234">
        <v>64.458192668656295</v>
      </c>
      <c r="S234">
        <v>21.905084236011302</v>
      </c>
      <c r="AA234">
        <v>3.0314807255436498</v>
      </c>
      <c r="AB234">
        <v>8.7335752885234097</v>
      </c>
      <c r="AC234">
        <v>1.8716670812651901</v>
      </c>
      <c r="AJ234">
        <v>0.75029483785385898</v>
      </c>
      <c r="AK234">
        <v>0.143914810973506</v>
      </c>
      <c r="AL234">
        <v>0.105790351172633</v>
      </c>
    </row>
    <row r="235" spans="1:38" x14ac:dyDescent="0.2">
      <c r="A235">
        <v>203</v>
      </c>
      <c r="B235">
        <v>756</v>
      </c>
      <c r="C235">
        <v>120</v>
      </c>
      <c r="D235">
        <v>0.46757081086333502</v>
      </c>
      <c r="E235">
        <v>37.367890114199596</v>
      </c>
      <c r="F235">
        <v>2.51902057990318</v>
      </c>
      <c r="G235">
        <v>-592.14171200208091</v>
      </c>
      <c r="H235">
        <v>-512.44085198142523</v>
      </c>
      <c r="I235">
        <v>77.443385338051399</v>
      </c>
      <c r="J235">
        <v>44.4069686832012</v>
      </c>
      <c r="K235">
        <v>14.834293301262299</v>
      </c>
      <c r="L235">
        <v>2.8354566108353642E-5</v>
      </c>
      <c r="M235">
        <v>1.8006748123167161E-6</v>
      </c>
      <c r="N235" s="1">
        <v>-2.0523112705687001E-7</v>
      </c>
      <c r="O235" s="1">
        <v>1.41642009646526E-10</v>
      </c>
      <c r="P235" s="1">
        <v>8.9233820507822503E-10</v>
      </c>
      <c r="Q235">
        <v>65.954601110354503</v>
      </c>
      <c r="S235">
        <v>19.053362618903702</v>
      </c>
      <c r="AA235">
        <v>0.32961473947974101</v>
      </c>
      <c r="AB235">
        <v>4.5920822982824703</v>
      </c>
      <c r="AC235">
        <v>10.0703392329794</v>
      </c>
      <c r="AJ235">
        <v>0.40282224824657298</v>
      </c>
      <c r="AK235">
        <v>1.59779552508711E-2</v>
      </c>
      <c r="AL235">
        <v>0.58119979650255504</v>
      </c>
    </row>
    <row r="236" spans="1:38" x14ac:dyDescent="0.2">
      <c r="A236">
        <v>205</v>
      </c>
      <c r="B236">
        <v>800</v>
      </c>
      <c r="C236">
        <v>105</v>
      </c>
      <c r="D236">
        <v>0.50764618180124099</v>
      </c>
      <c r="E236">
        <v>0.35479976497125398</v>
      </c>
      <c r="F236">
        <v>2.5720895204477698</v>
      </c>
      <c r="G236">
        <v>-5.8083312512235583</v>
      </c>
      <c r="H236">
        <v>-4.9881529071495736</v>
      </c>
      <c r="I236">
        <v>0.764271857684372</v>
      </c>
      <c r="J236">
        <v>0.43016606977798799</v>
      </c>
      <c r="K236">
        <v>0.13794223029589001</v>
      </c>
      <c r="L236">
        <v>3.0015690057375976E-5</v>
      </c>
      <c r="M236">
        <v>1.794735373804365E-6</v>
      </c>
      <c r="N236" s="1">
        <v>-1.10908600483573E-9</v>
      </c>
      <c r="O236" s="1">
        <v>1.2326825051048599E-12</v>
      </c>
      <c r="P236" s="1">
        <v>6.17286173763219E-12</v>
      </c>
      <c r="Q236">
        <v>64.387974149772504</v>
      </c>
      <c r="S236">
        <v>22.049298742016799</v>
      </c>
      <c r="AA236">
        <v>3.1668437010695198</v>
      </c>
      <c r="AB236">
        <v>8.9551741608155808</v>
      </c>
      <c r="AC236">
        <v>1.44070924632551</v>
      </c>
      <c r="AJ236">
        <v>0.76848309996084296</v>
      </c>
      <c r="AK236">
        <v>0.150175022070037</v>
      </c>
      <c r="AL236">
        <v>8.1341877969119097E-2</v>
      </c>
    </row>
    <row r="237" spans="1:38" x14ac:dyDescent="0.2">
      <c r="A237">
        <v>206</v>
      </c>
      <c r="B237">
        <v>798</v>
      </c>
      <c r="C237">
        <v>105</v>
      </c>
      <c r="D237">
        <v>0.50659618167390597</v>
      </c>
      <c r="E237">
        <v>0.98154965731283705</v>
      </c>
      <c r="F237">
        <v>2.57139655842593</v>
      </c>
      <c r="G237">
        <v>-16.062273979070493</v>
      </c>
      <c r="H237">
        <v>-13.799549750236503</v>
      </c>
      <c r="I237">
        <v>2.11242517745786</v>
      </c>
      <c r="J237">
        <v>1.1901638986373699</v>
      </c>
      <c r="K237">
        <v>0.38171850782661199</v>
      </c>
      <c r="L237">
        <v>3.0069162402817478E-5</v>
      </c>
      <c r="M237">
        <v>1.7967613756208828E-6</v>
      </c>
      <c r="N237" s="1">
        <v>-3.3108262570068202E-9</v>
      </c>
      <c r="O237" s="1">
        <v>3.4136990609398099E-12</v>
      </c>
      <c r="P237" s="1">
        <v>1.77924279645099E-11</v>
      </c>
      <c r="Q237">
        <v>64.471435688131706</v>
      </c>
      <c r="S237">
        <v>21.984137448283001</v>
      </c>
      <c r="AA237">
        <v>3.0936103575570502</v>
      </c>
      <c r="AB237">
        <v>8.9703349209507195</v>
      </c>
      <c r="AC237">
        <v>1.4804815850774999</v>
      </c>
      <c r="AJ237">
        <v>0.76972735123632197</v>
      </c>
      <c r="AK237">
        <v>0.146691403555329</v>
      </c>
      <c r="AL237">
        <v>8.3581245208347602E-2</v>
      </c>
    </row>
    <row r="238" spans="1:38" x14ac:dyDescent="0.2">
      <c r="A238">
        <v>207</v>
      </c>
      <c r="B238">
        <v>796</v>
      </c>
      <c r="C238">
        <v>105</v>
      </c>
      <c r="D238">
        <v>0.50554225319178703</v>
      </c>
      <c r="E238">
        <v>1.6083565457537199</v>
      </c>
      <c r="F238">
        <v>2.5707199113108001</v>
      </c>
      <c r="G238">
        <v>-26.308917517075994</v>
      </c>
      <c r="H238">
        <v>-22.611573356559074</v>
      </c>
      <c r="I238">
        <v>3.4582090076387</v>
      </c>
      <c r="J238">
        <v>1.9503887065143799</v>
      </c>
      <c r="K238">
        <v>0.62564441138732496</v>
      </c>
      <c r="L238">
        <v>3.0121853696261332E-5</v>
      </c>
      <c r="M238">
        <v>1.7987115756731851E-6</v>
      </c>
      <c r="N238" s="1">
        <v>-5.8413017764837402E-9</v>
      </c>
      <c r="O238" s="1">
        <v>5.5989802622958603E-12</v>
      </c>
      <c r="P238" s="1">
        <v>3.0380801454815398E-11</v>
      </c>
      <c r="Q238">
        <v>64.551813517572299</v>
      </c>
      <c r="S238">
        <v>21.920868224986599</v>
      </c>
      <c r="AA238">
        <v>3.02265753284785</v>
      </c>
      <c r="AB238">
        <v>8.9835841097405904</v>
      </c>
      <c r="AC238">
        <v>1.5210766148525099</v>
      </c>
      <c r="AJ238">
        <v>0.77081468364896499</v>
      </c>
      <c r="AK238">
        <v>0.14331778108789001</v>
      </c>
      <c r="AL238">
        <v>8.5867535263144501E-2</v>
      </c>
    </row>
    <row r="239" spans="1:38" x14ac:dyDescent="0.2">
      <c r="A239">
        <v>208</v>
      </c>
      <c r="B239">
        <v>794</v>
      </c>
      <c r="C239">
        <v>105</v>
      </c>
      <c r="D239">
        <v>0.50448437426791004</v>
      </c>
      <c r="E239">
        <v>2.2347588627592998</v>
      </c>
      <c r="F239">
        <v>2.5700592832058602</v>
      </c>
      <c r="G239">
        <v>-36.540661640890846</v>
      </c>
      <c r="H239">
        <v>-31.417709865490838</v>
      </c>
      <c r="I239">
        <v>4.8005920211779003</v>
      </c>
      <c r="J239">
        <v>2.7102965289404399</v>
      </c>
      <c r="K239">
        <v>0.86953591979858702</v>
      </c>
      <c r="L239">
        <v>3.0173842525529938E-5</v>
      </c>
      <c r="M239">
        <v>1.8005873533122976E-6</v>
      </c>
      <c r="N239" s="1">
        <v>-8.7222702361531798E-9</v>
      </c>
      <c r="O239" s="1">
        <v>7.7864453026407801E-12</v>
      </c>
      <c r="P239" s="1">
        <v>4.3996896979564201E-11</v>
      </c>
      <c r="Q239">
        <v>64.6291533609635</v>
      </c>
      <c r="S239">
        <v>21.859460068060901</v>
      </c>
      <c r="AA239">
        <v>2.95394897946302</v>
      </c>
      <c r="AB239">
        <v>8.9949423369554395</v>
      </c>
      <c r="AC239">
        <v>1.5624952545569799</v>
      </c>
      <c r="AJ239">
        <v>0.771746848147424</v>
      </c>
      <c r="AK239">
        <v>0.14005230507331301</v>
      </c>
      <c r="AL239">
        <v>8.8200846779261904E-2</v>
      </c>
    </row>
    <row r="240" spans="1:38" x14ac:dyDescent="0.2">
      <c r="A240">
        <v>209</v>
      </c>
      <c r="B240">
        <v>792</v>
      </c>
      <c r="C240">
        <v>105</v>
      </c>
      <c r="D240">
        <v>0.50342252264939402</v>
      </c>
      <c r="E240">
        <v>2.8603104402656498</v>
      </c>
      <c r="F240">
        <v>2.5694143101528799</v>
      </c>
      <c r="G240">
        <v>-46.75016987825623</v>
      </c>
      <c r="H240">
        <v>-40.211660936241145</v>
      </c>
      <c r="I240">
        <v>6.1385804271840403</v>
      </c>
      <c r="J240">
        <v>3.4693639145466801</v>
      </c>
      <c r="K240">
        <v>1.1132149567951299</v>
      </c>
      <c r="L240">
        <v>3.0225214899494632E-5</v>
      </c>
      <c r="M240">
        <v>1.8023902873947982E-6</v>
      </c>
      <c r="N240" s="1">
        <v>-1.1976937735121599E-8</v>
      </c>
      <c r="O240" s="1">
        <v>9.9740545732222008E-12</v>
      </c>
      <c r="P240" s="1">
        <v>5.8703774446886894E-11</v>
      </c>
      <c r="Q240">
        <v>64.703509351302202</v>
      </c>
      <c r="S240">
        <v>21.799875885097901</v>
      </c>
      <c r="AA240">
        <v>2.8874414645912601</v>
      </c>
      <c r="AB240">
        <v>9.0044329925063504</v>
      </c>
      <c r="AC240">
        <v>1.6047403065022099</v>
      </c>
      <c r="AJ240">
        <v>0.77252581412216104</v>
      </c>
      <c r="AK240">
        <v>0.136892800727651</v>
      </c>
      <c r="AL240">
        <v>9.05813851501866E-2</v>
      </c>
    </row>
    <row r="241" spans="1:38" x14ac:dyDescent="0.2">
      <c r="A241">
        <v>210</v>
      </c>
      <c r="B241">
        <v>790</v>
      </c>
      <c r="C241">
        <v>105</v>
      </c>
      <c r="D241">
        <v>0.50235667591591204</v>
      </c>
      <c r="E241">
        <v>3.48458499436616</v>
      </c>
      <c r="F241">
        <v>2.5687845638120099</v>
      </c>
      <c r="G241">
        <v>-56.930441930771323</v>
      </c>
      <c r="H241">
        <v>-48.987406339533855</v>
      </c>
      <c r="I241">
        <v>7.4712275701805604</v>
      </c>
      <c r="J241">
        <v>4.2270935088247299</v>
      </c>
      <c r="K241">
        <v>1.35651118566172</v>
      </c>
      <c r="L241">
        <v>3.0276063877988368E-5</v>
      </c>
      <c r="M241">
        <v>1.8041221333404354E-6</v>
      </c>
      <c r="N241" s="1">
        <v>-1.5630116497609498E-8</v>
      </c>
      <c r="O241" s="1">
        <v>1.21598267950739E-11</v>
      </c>
      <c r="P241" s="1">
        <v>7.4569115639474701E-11</v>
      </c>
      <c r="Q241">
        <v>64.774943142548906</v>
      </c>
      <c r="S241">
        <v>21.7420730216839</v>
      </c>
      <c r="AA241">
        <v>2.82308541179576</v>
      </c>
      <c r="AB241">
        <v>9.0120816448479903</v>
      </c>
      <c r="AC241">
        <v>1.64781677912337</v>
      </c>
      <c r="AJ241">
        <v>0.77315372032984397</v>
      </c>
      <c r="AK241">
        <v>0.13383679888479699</v>
      </c>
      <c r="AL241">
        <v>9.3009480785358298E-2</v>
      </c>
    </row>
    <row r="242" spans="1:38" x14ac:dyDescent="0.2">
      <c r="A242">
        <v>211</v>
      </c>
      <c r="B242">
        <v>788</v>
      </c>
      <c r="C242">
        <v>105</v>
      </c>
      <c r="D242">
        <v>0.50128681147811704</v>
      </c>
      <c r="E242">
        <v>4.1641425877904696</v>
      </c>
      <c r="F242">
        <v>2.5681052818304</v>
      </c>
      <c r="G242">
        <v>-68.003913315287022</v>
      </c>
      <c r="H242">
        <v>-58.538771747293175</v>
      </c>
      <c r="I242">
        <v>8.9197018027553501</v>
      </c>
      <c r="J242">
        <v>5.0520874855623896</v>
      </c>
      <c r="K242">
        <v>1.62148437497955</v>
      </c>
      <c r="L242">
        <v>3.0326943125380484E-5</v>
      </c>
      <c r="M242">
        <v>1.8058613248936456E-6</v>
      </c>
      <c r="N242" s="1">
        <v>-1.9977280484E-8</v>
      </c>
      <c r="O242" s="1">
        <v>1.45424805320027E-11</v>
      </c>
      <c r="P242" s="1">
        <v>9.2922334698372103E-11</v>
      </c>
      <c r="Q242">
        <v>64.8477612142064</v>
      </c>
      <c r="S242">
        <v>21.681856243173598</v>
      </c>
      <c r="AA242">
        <v>2.7564148514198399</v>
      </c>
      <c r="AB242">
        <v>9.0164866996078192</v>
      </c>
      <c r="AC242">
        <v>1.69748099159221</v>
      </c>
      <c r="AJ242">
        <v>0.77351581804926794</v>
      </c>
      <c r="AK242">
        <v>0.130673409993219</v>
      </c>
      <c r="AL242">
        <v>9.5810771957512406E-2</v>
      </c>
    </row>
    <row r="243" spans="1:38" x14ac:dyDescent="0.2">
      <c r="A243">
        <v>212</v>
      </c>
      <c r="B243">
        <v>786</v>
      </c>
      <c r="C243">
        <v>105</v>
      </c>
      <c r="D243">
        <v>0.50021290657603101</v>
      </c>
      <c r="E243">
        <v>5.9508880936812103</v>
      </c>
      <c r="F243">
        <v>2.5661413673407001</v>
      </c>
      <c r="G243">
        <v>-97.103967248507672</v>
      </c>
      <c r="H243">
        <v>-83.615050243855066</v>
      </c>
      <c r="I243">
        <v>12.7356059147926</v>
      </c>
      <c r="J243">
        <v>7.2193709498243397</v>
      </c>
      <c r="K243">
        <v>2.3190024405585001</v>
      </c>
      <c r="L243">
        <v>3.0379878653205483E-5</v>
      </c>
      <c r="M243">
        <v>1.808881373346949E-6</v>
      </c>
      <c r="N243" s="1">
        <v>-3.0325632249637297E-8</v>
      </c>
      <c r="O243" s="1">
        <v>2.0845959683503199E-11</v>
      </c>
      <c r="P243" s="1">
        <v>1.37950737027543E-10</v>
      </c>
      <c r="Q243">
        <v>64.996806084876695</v>
      </c>
      <c r="S243">
        <v>21.542359732126101</v>
      </c>
      <c r="AA243">
        <v>2.6065512184785899</v>
      </c>
      <c r="AB243">
        <v>8.9829169629349401</v>
      </c>
      <c r="AC243">
        <v>1.87136600158363</v>
      </c>
      <c r="AJ243">
        <v>0.77076687661348098</v>
      </c>
      <c r="AK243">
        <v>0.123589823252906</v>
      </c>
      <c r="AL243">
        <v>0.10564330013361101</v>
      </c>
    </row>
    <row r="244" spans="1:38" x14ac:dyDescent="0.2">
      <c r="A244">
        <v>213</v>
      </c>
      <c r="B244">
        <v>784</v>
      </c>
      <c r="C244">
        <v>105</v>
      </c>
      <c r="D244">
        <v>0.49913493827744299</v>
      </c>
      <c r="E244">
        <v>7.8227942521240701</v>
      </c>
      <c r="F244">
        <v>2.56396908921301</v>
      </c>
      <c r="G244">
        <v>-127.53083738462732</v>
      </c>
      <c r="H244">
        <v>-109.84902393576813</v>
      </c>
      <c r="I244">
        <v>16.725926735902299</v>
      </c>
      <c r="J244">
        <v>9.4887328066901304</v>
      </c>
      <c r="K244">
        <v>3.0510485812936099</v>
      </c>
      <c r="L244">
        <v>3.0418188876223915E-5</v>
      </c>
      <c r="M244">
        <v>1.8116384118001965E-6</v>
      </c>
      <c r="N244" s="1">
        <v>-4.2155062772109497E-8</v>
      </c>
      <c r="O244" s="1">
        <v>2.74942716002168E-11</v>
      </c>
      <c r="P244" s="1">
        <v>1.8797000728373999E-10</v>
      </c>
      <c r="Q244">
        <v>65.142310350796706</v>
      </c>
      <c r="S244">
        <v>21.3967988969967</v>
      </c>
      <c r="AA244">
        <v>2.4525106077914498</v>
      </c>
      <c r="AB244">
        <v>8.9255587644194403</v>
      </c>
      <c r="AC244">
        <v>2.0828213799956101</v>
      </c>
      <c r="AJ244">
        <v>0.76606611743408204</v>
      </c>
      <c r="AK244">
        <v>0.11631949964999599</v>
      </c>
      <c r="AL244">
        <v>0.117614382915921</v>
      </c>
    </row>
    <row r="245" spans="1:38" x14ac:dyDescent="0.2">
      <c r="A245">
        <v>214</v>
      </c>
      <c r="B245">
        <v>782</v>
      </c>
      <c r="C245">
        <v>105</v>
      </c>
      <c r="D245">
        <v>0.49805288347628701</v>
      </c>
      <c r="E245">
        <v>9.8515912930227199</v>
      </c>
      <c r="F245">
        <v>2.5614239897527198</v>
      </c>
      <c r="G245">
        <v>-160.42752773520519</v>
      </c>
      <c r="H245">
        <v>-138.22476605901468</v>
      </c>
      <c r="I245">
        <v>21.042279937630099</v>
      </c>
      <c r="J245">
        <v>11.9456797356574</v>
      </c>
      <c r="K245">
        <v>3.8461384497198301</v>
      </c>
      <c r="L245">
        <v>3.0435336533498025E-5</v>
      </c>
      <c r="M245">
        <v>1.8141114650412307E-6</v>
      </c>
      <c r="N245" s="1">
        <v>-5.5789363061303398E-8</v>
      </c>
      <c r="O245" s="1">
        <v>3.4758305633838197E-11</v>
      </c>
      <c r="P245" s="1">
        <v>2.4448748080775298E-10</v>
      </c>
      <c r="Q245">
        <v>65.2878419205135</v>
      </c>
      <c r="S245">
        <v>21.2376345420466</v>
      </c>
      <c r="AA245">
        <v>2.2872405829955298</v>
      </c>
      <c r="AB245">
        <v>8.8325980151628407</v>
      </c>
      <c r="AC245">
        <v>2.3546849392814</v>
      </c>
      <c r="AJ245">
        <v>0.75844043812538797</v>
      </c>
      <c r="AK245">
        <v>0.10853146203617101</v>
      </c>
      <c r="AL245">
        <v>0.13302809983843999</v>
      </c>
    </row>
    <row r="246" spans="1:38" x14ac:dyDescent="0.2">
      <c r="A246">
        <v>215</v>
      </c>
      <c r="B246">
        <v>780</v>
      </c>
      <c r="C246">
        <v>105</v>
      </c>
      <c r="D246">
        <v>0.49696671889094501</v>
      </c>
      <c r="E246">
        <v>12.6135531686775</v>
      </c>
      <c r="F246">
        <v>2.56150901897671</v>
      </c>
      <c r="G246">
        <v>-205.27242982400668</v>
      </c>
      <c r="H246">
        <v>-176.9364871995848</v>
      </c>
      <c r="I246">
        <v>26.905894340238099</v>
      </c>
      <c r="J246">
        <v>15.2887793673485</v>
      </c>
      <c r="K246">
        <v>4.9242665457084698</v>
      </c>
      <c r="L246">
        <v>3.0368083026176027E-5</v>
      </c>
      <c r="M246">
        <v>1.8118102903988534E-6</v>
      </c>
      <c r="N246" s="1">
        <v>-7.4672863796887898E-8</v>
      </c>
      <c r="O246" s="1">
        <v>4.4463492249907897E-11</v>
      </c>
      <c r="P246" s="1">
        <v>3.2248916187556299E-10</v>
      </c>
      <c r="Q246">
        <v>65.2033528963847</v>
      </c>
      <c r="S246">
        <v>21.2643526399163</v>
      </c>
      <c r="AA246">
        <v>2.3289976460510098</v>
      </c>
      <c r="AB246">
        <v>8.7143637221674997</v>
      </c>
      <c r="AC246">
        <v>2.4889330954803501</v>
      </c>
      <c r="AJ246">
        <v>0.74872722084390997</v>
      </c>
      <c r="AK246">
        <v>0.110577757927651</v>
      </c>
      <c r="AL246">
        <v>0.14069502122843699</v>
      </c>
    </row>
    <row r="247" spans="1:38" x14ac:dyDescent="0.2">
      <c r="A247">
        <v>215</v>
      </c>
      <c r="B247">
        <v>780</v>
      </c>
      <c r="C247">
        <v>105</v>
      </c>
      <c r="D247">
        <v>0.49696671889094501</v>
      </c>
      <c r="E247">
        <v>9.2778608488641598</v>
      </c>
      <c r="F247">
        <v>2.5193732260756398</v>
      </c>
      <c r="G247">
        <v>-148.05323995663738</v>
      </c>
      <c r="H247">
        <v>-127.4512304431652</v>
      </c>
      <c r="I247">
        <v>19.562274617549399</v>
      </c>
      <c r="J247">
        <v>11.0510821491941</v>
      </c>
      <c r="K247">
        <v>3.6826067502971802</v>
      </c>
      <c r="L247">
        <v>2.8588913608863338E-5</v>
      </c>
      <c r="M247">
        <v>1.8062233258892101E-6</v>
      </c>
      <c r="N247" s="1">
        <v>-2.4705449781126402E-8</v>
      </c>
      <c r="O247" s="1">
        <v>3.5170838850387603E-11</v>
      </c>
      <c r="P247" s="1">
        <v>1.45492257666606E-10</v>
      </c>
      <c r="Q247">
        <v>66.116406135418799</v>
      </c>
      <c r="S247">
        <v>19.203029975895301</v>
      </c>
      <c r="AA247">
        <v>0.41533685088661199</v>
      </c>
      <c r="AB247">
        <v>5.34502855543675</v>
      </c>
      <c r="AC247">
        <v>8.9201984823623395</v>
      </c>
      <c r="AJ247">
        <v>0.46708472651211602</v>
      </c>
      <c r="AK247">
        <v>2.00565805743015E-2</v>
      </c>
      <c r="AL247">
        <v>0.51285869291358199</v>
      </c>
    </row>
    <row r="248" spans="1:38" x14ac:dyDescent="0.2">
      <c r="A248">
        <v>216</v>
      </c>
      <c r="B248">
        <v>778</v>
      </c>
      <c r="C248">
        <v>105</v>
      </c>
      <c r="D248">
        <v>0.49587642106264601</v>
      </c>
      <c r="E248">
        <v>15.0986481581668</v>
      </c>
      <c r="F248">
        <v>2.5662243919166698</v>
      </c>
      <c r="G248">
        <v>-245.85726413111448</v>
      </c>
      <c r="H248">
        <v>-212.0560670310943</v>
      </c>
      <c r="I248">
        <v>32.156397374323397</v>
      </c>
      <c r="J248">
        <v>18.303170560382</v>
      </c>
      <c r="K248">
        <v>5.8836040237657796</v>
      </c>
      <c r="L248">
        <v>3.0261441837249852E-5</v>
      </c>
      <c r="M248">
        <v>1.8039671298586772E-6</v>
      </c>
      <c r="N248" s="1">
        <v>-9.4642761100048795E-8</v>
      </c>
      <c r="O248" s="1">
        <v>5.2736376576798701E-11</v>
      </c>
      <c r="P248" s="1">
        <v>4.0176390389054498E-10</v>
      </c>
      <c r="Q248">
        <v>64.811775415800497</v>
      </c>
      <c r="S248">
        <v>21.5846714167272</v>
      </c>
      <c r="AA248">
        <v>2.6846331686091101</v>
      </c>
      <c r="AB248">
        <v>8.68151161992302</v>
      </c>
      <c r="AC248">
        <v>2.2374083789400601</v>
      </c>
      <c r="AJ248">
        <v>0.74602080477954202</v>
      </c>
      <c r="AK248">
        <v>0.127482722653772</v>
      </c>
      <c r="AL248">
        <v>0.126496472566685</v>
      </c>
    </row>
    <row r="249" spans="1:38" x14ac:dyDescent="0.2">
      <c r="A249">
        <v>216</v>
      </c>
      <c r="B249">
        <v>778</v>
      </c>
      <c r="C249">
        <v>105</v>
      </c>
      <c r="D249">
        <v>0.49587642106264601</v>
      </c>
      <c r="E249">
        <v>24.6932569720265</v>
      </c>
      <c r="F249">
        <v>2.51869477661283</v>
      </c>
      <c r="G249">
        <v>-393.45140313204058</v>
      </c>
      <c r="H249">
        <v>-338.86020576059832</v>
      </c>
      <c r="I249">
        <v>51.934735643288001</v>
      </c>
      <c r="J249">
        <v>29.372239398328599</v>
      </c>
      <c r="K249">
        <v>9.8039894318732408</v>
      </c>
      <c r="L249">
        <v>2.8415673059479347E-5</v>
      </c>
      <c r="M249">
        <v>1.8033454765222447E-6</v>
      </c>
      <c r="N249" s="1">
        <v>-6.4475069521288705E-8</v>
      </c>
      <c r="O249" s="1">
        <v>9.3802189870819901E-11</v>
      </c>
      <c r="P249" s="1">
        <v>3.8310267536855898E-10</v>
      </c>
      <c r="Q249">
        <v>66.034112144950996</v>
      </c>
      <c r="S249">
        <v>19.1649212727472</v>
      </c>
      <c r="AA249">
        <v>0.40309895823224101</v>
      </c>
      <c r="AB249">
        <v>5.0617338903343603</v>
      </c>
      <c r="AC249">
        <v>9.3361337337351191</v>
      </c>
      <c r="AJ249">
        <v>0.44296344572212598</v>
      </c>
      <c r="AK249">
        <v>1.9493554902298899E-2</v>
      </c>
      <c r="AL249">
        <v>0.53754299937557404</v>
      </c>
    </row>
    <row r="250" spans="1:38" x14ac:dyDescent="0.2">
      <c r="A250">
        <v>217</v>
      </c>
      <c r="B250">
        <v>776</v>
      </c>
      <c r="C250">
        <v>105</v>
      </c>
      <c r="D250">
        <v>0.49478196635371602</v>
      </c>
      <c r="E250">
        <v>16.363074965048501</v>
      </c>
      <c r="F250">
        <v>2.56832887307413</v>
      </c>
      <c r="G250">
        <v>-266.47119462279346</v>
      </c>
      <c r="H250">
        <v>-229.95727537202507</v>
      </c>
      <c r="I250">
        <v>34.803335319800198</v>
      </c>
      <c r="J250">
        <v>19.839294363663701</v>
      </c>
      <c r="K250">
        <v>6.37109800718898</v>
      </c>
      <c r="L250">
        <v>3.02323529366457E-5</v>
      </c>
      <c r="M250">
        <v>1.8005979376922296E-6</v>
      </c>
      <c r="N250" s="1">
        <v>-1.0893697824149399E-7</v>
      </c>
      <c r="O250" s="1">
        <v>5.6888707676252198E-11</v>
      </c>
      <c r="P250" s="1">
        <v>4.54190462181617E-10</v>
      </c>
      <c r="Q250">
        <v>64.639312890830695</v>
      </c>
      <c r="S250">
        <v>21.7245945264652</v>
      </c>
      <c r="AA250">
        <v>2.8403129393289799</v>
      </c>
      <c r="AB250">
        <v>8.6640147535224301</v>
      </c>
      <c r="AC250">
        <v>2.1317648898526</v>
      </c>
      <c r="AJ250">
        <v>0.74457957662365004</v>
      </c>
      <c r="AK250">
        <v>0.134886634546906</v>
      </c>
      <c r="AL250">
        <v>0.120533788829442</v>
      </c>
    </row>
    <row r="251" spans="1:38" x14ac:dyDescent="0.2">
      <c r="A251">
        <v>217</v>
      </c>
      <c r="B251">
        <v>776</v>
      </c>
      <c r="C251">
        <v>105</v>
      </c>
      <c r="D251">
        <v>0.49478196635371602</v>
      </c>
      <c r="E251">
        <v>30.670774979793801</v>
      </c>
      <c r="F251">
        <v>2.5184643316078099</v>
      </c>
      <c r="G251">
        <v>-488.29099758946768</v>
      </c>
      <c r="H251">
        <v>-420.73139702693777</v>
      </c>
      <c r="I251">
        <v>64.3946056927321</v>
      </c>
      <c r="J251">
        <v>36.461526538085202</v>
      </c>
      <c r="K251">
        <v>12.178363852472399</v>
      </c>
      <c r="L251">
        <v>2.8348062106458485E-5</v>
      </c>
      <c r="M251">
        <v>1.8022520560751168E-6</v>
      </c>
      <c r="N251" s="1">
        <v>-8.3287069470243002E-8</v>
      </c>
      <c r="O251" s="1">
        <v>1.16588662008283E-10</v>
      </c>
      <c r="P251" s="1">
        <v>4.8504556579124601E-10</v>
      </c>
      <c r="Q251">
        <v>66.000788776810793</v>
      </c>
      <c r="S251">
        <v>19.145411275348302</v>
      </c>
      <c r="AA251">
        <v>0.39477856300765501</v>
      </c>
      <c r="AB251">
        <v>4.9363265565076597</v>
      </c>
      <c r="AC251">
        <v>9.5226948283255108</v>
      </c>
      <c r="AJ251">
        <v>0.43226347037575003</v>
      </c>
      <c r="AK251">
        <v>1.9103326828097698E-2</v>
      </c>
      <c r="AL251">
        <v>0.54863320279615102</v>
      </c>
    </row>
    <row r="252" spans="1:38" x14ac:dyDescent="0.2">
      <c r="A252">
        <v>218</v>
      </c>
      <c r="B252">
        <v>774</v>
      </c>
      <c r="C252">
        <v>105</v>
      </c>
      <c r="D252">
        <v>0.493683330945906</v>
      </c>
      <c r="E252">
        <v>17.0252228386674</v>
      </c>
      <c r="F252">
        <v>2.56944078563621</v>
      </c>
      <c r="G252">
        <v>-277.23408592685973</v>
      </c>
      <c r="H252">
        <v>-239.36048917732057</v>
      </c>
      <c r="I252">
        <v>36.168263142376098</v>
      </c>
      <c r="J252">
        <v>20.646998651923901</v>
      </c>
      <c r="K252">
        <v>6.6260421076222</v>
      </c>
      <c r="L252">
        <v>3.0241306181051044E-5</v>
      </c>
      <c r="M252">
        <v>1.7991511261610678E-6</v>
      </c>
      <c r="N252" s="1">
        <v>-1.2064021199429399E-7</v>
      </c>
      <c r="O252" s="1">
        <v>5.9020475737117294E-11</v>
      </c>
      <c r="P252" s="1">
        <v>4.9395783665903903E-10</v>
      </c>
      <c r="Q252">
        <v>64.557263094658495</v>
      </c>
      <c r="S252">
        <v>21.792672815647101</v>
      </c>
      <c r="AA252">
        <v>2.9156234232141802</v>
      </c>
      <c r="AB252">
        <v>8.6596472679587109</v>
      </c>
      <c r="AC252">
        <v>2.07479339852144</v>
      </c>
      <c r="AJ252">
        <v>0.74421920338180503</v>
      </c>
      <c r="AK252">
        <v>0.13846591842897299</v>
      </c>
      <c r="AL252">
        <v>0.117314878189221</v>
      </c>
    </row>
    <row r="253" spans="1:38" x14ac:dyDescent="0.2">
      <c r="A253">
        <v>218</v>
      </c>
      <c r="B253">
        <v>774</v>
      </c>
      <c r="C253">
        <v>105</v>
      </c>
      <c r="D253">
        <v>0.493683330945906</v>
      </c>
      <c r="E253">
        <v>33.386717688913798</v>
      </c>
      <c r="F253">
        <v>2.5183705332799202</v>
      </c>
      <c r="G253">
        <v>-531.22153168548368</v>
      </c>
      <c r="H253">
        <v>-457.92616719508874</v>
      </c>
      <c r="I253">
        <v>69.995095726872805</v>
      </c>
      <c r="J253">
        <v>39.679305547596499</v>
      </c>
      <c r="K253">
        <v>13.2572698289282</v>
      </c>
      <c r="L253">
        <v>2.8318923290956323E-5</v>
      </c>
      <c r="M253">
        <v>1.8017925964192947E-6</v>
      </c>
      <c r="N253" s="1">
        <v>-9.6320071226481494E-8</v>
      </c>
      <c r="O253" s="1">
        <v>1.26935064932902E-10</v>
      </c>
      <c r="P253" s="1">
        <v>5.4446484626963898E-10</v>
      </c>
      <c r="Q253">
        <v>65.985352580954498</v>
      </c>
      <c r="S253">
        <v>19.1322503560462</v>
      </c>
      <c r="AA253">
        <v>0.387522495103169</v>
      </c>
      <c r="AB253">
        <v>4.8674247607111996</v>
      </c>
      <c r="AC253">
        <v>9.6274498071847496</v>
      </c>
      <c r="AJ253">
        <v>0.42637887828932702</v>
      </c>
      <c r="AK253">
        <v>1.8758760719959501E-2</v>
      </c>
      <c r="AL253">
        <v>0.55486236099071196</v>
      </c>
    </row>
    <row r="254" spans="1:38" x14ac:dyDescent="0.2">
      <c r="A254">
        <v>219</v>
      </c>
      <c r="B254">
        <v>772</v>
      </c>
      <c r="C254">
        <v>105</v>
      </c>
      <c r="D254">
        <v>0.49258049083863298</v>
      </c>
      <c r="E254">
        <v>17.4520759415492</v>
      </c>
      <c r="F254">
        <v>2.5701743666785899</v>
      </c>
      <c r="G254">
        <v>-284.14702444457447</v>
      </c>
      <c r="H254">
        <v>-245.44264841608023</v>
      </c>
      <c r="I254">
        <v>37.032364759598401</v>
      </c>
      <c r="J254">
        <v>21.170654040910101</v>
      </c>
      <c r="K254">
        <v>6.7902303313772201</v>
      </c>
      <c r="L254">
        <v>3.0267257425491371E-5</v>
      </c>
      <c r="M254">
        <v>1.7984712152672852E-6</v>
      </c>
      <c r="N254" s="1">
        <v>-1.3172553934989001E-7</v>
      </c>
      <c r="O254" s="1">
        <v>6.0364318317491006E-11</v>
      </c>
      <c r="P254" s="1">
        <v>5.2990619038313896E-10</v>
      </c>
      <c r="Q254">
        <v>64.510638969391096</v>
      </c>
      <c r="S254">
        <v>21.832910257584999</v>
      </c>
      <c r="AA254">
        <v>2.9596988270499498</v>
      </c>
      <c r="AB254">
        <v>8.6612355899507492</v>
      </c>
      <c r="AC254">
        <v>2.0355163560230598</v>
      </c>
      <c r="AJ254">
        <v>0.74434911864242503</v>
      </c>
      <c r="AK254">
        <v>0.140557860327018</v>
      </c>
      <c r="AL254">
        <v>0.11509302103055601</v>
      </c>
    </row>
    <row r="255" spans="1:38" x14ac:dyDescent="0.2">
      <c r="A255">
        <v>219</v>
      </c>
      <c r="B255">
        <v>772</v>
      </c>
      <c r="C255">
        <v>105</v>
      </c>
      <c r="D255">
        <v>0.49258049083863298</v>
      </c>
      <c r="E255">
        <v>34.919576992653298</v>
      </c>
      <c r="F255">
        <v>2.5183255183964102</v>
      </c>
      <c r="G255">
        <v>-555.33968749298208</v>
      </c>
      <c r="H255">
        <v>-478.92860388634369</v>
      </c>
      <c r="I255">
        <v>73.110159887708406</v>
      </c>
      <c r="J255">
        <v>41.494505064993902</v>
      </c>
      <c r="K255">
        <v>13.866188758190701</v>
      </c>
      <c r="L255">
        <v>2.8304722492894436E-5</v>
      </c>
      <c r="M255">
        <v>1.8015688857549265E-6</v>
      </c>
      <c r="N255" s="1">
        <v>-1.07784344850982E-7</v>
      </c>
      <c r="O255" s="1">
        <v>1.32758846161981E-10</v>
      </c>
      <c r="P255" s="1">
        <v>5.8999312977471698E-10</v>
      </c>
      <c r="Q255">
        <v>65.976552464456205</v>
      </c>
      <c r="S255">
        <v>19.121466853836601</v>
      </c>
      <c r="AA255">
        <v>0.38067938224557002</v>
      </c>
      <c r="AB255">
        <v>4.8195438199446601</v>
      </c>
      <c r="AC255">
        <v>9.7017574795168304</v>
      </c>
      <c r="AJ255">
        <v>0.422287176089645</v>
      </c>
      <c r="AK255">
        <v>1.8431984901822601E-2</v>
      </c>
      <c r="AL255">
        <v>0.55928083900853198</v>
      </c>
    </row>
    <row r="256" spans="1:38" x14ac:dyDescent="0.2">
      <c r="A256">
        <v>220</v>
      </c>
      <c r="B256">
        <v>770</v>
      </c>
      <c r="C256">
        <v>105</v>
      </c>
      <c r="D256">
        <v>0.49147342184729198</v>
      </c>
      <c r="E256">
        <v>17.766139096107</v>
      </c>
      <c r="F256">
        <v>2.5707251397608899</v>
      </c>
      <c r="G256">
        <v>-289.21369273554251</v>
      </c>
      <c r="H256">
        <v>-249.9326355619304</v>
      </c>
      <c r="I256">
        <v>37.656192468592302</v>
      </c>
      <c r="J256">
        <v>21.558559573314401</v>
      </c>
      <c r="K256">
        <v>6.9109446285492302</v>
      </c>
      <c r="L256">
        <v>3.0303045485407234E-5</v>
      </c>
      <c r="M256">
        <v>1.7981731992477166E-6</v>
      </c>
      <c r="N256" s="1">
        <v>-1.4287657366248401E-7</v>
      </c>
      <c r="O256" s="1">
        <v>6.1329046208558096E-11</v>
      </c>
      <c r="P256" s="1">
        <v>5.6505738593664199E-10</v>
      </c>
      <c r="Q256">
        <v>64.481367204232498</v>
      </c>
      <c r="S256">
        <v>21.859577050015901</v>
      </c>
      <c r="AA256">
        <v>2.9885293700806801</v>
      </c>
      <c r="AB256">
        <v>8.6659154940614602</v>
      </c>
      <c r="AC256">
        <v>2.0046108816092501</v>
      </c>
      <c r="AJ256">
        <v>0.74473351059496096</v>
      </c>
      <c r="AK256">
        <v>0.14192364777705099</v>
      </c>
      <c r="AL256">
        <v>0.113342841627986</v>
      </c>
    </row>
    <row r="257" spans="1:38" x14ac:dyDescent="0.2">
      <c r="A257">
        <v>220</v>
      </c>
      <c r="B257">
        <v>770</v>
      </c>
      <c r="C257">
        <v>105</v>
      </c>
      <c r="D257">
        <v>0.49147342184729198</v>
      </c>
      <c r="E257">
        <v>35.899092766955597</v>
      </c>
      <c r="F257">
        <v>2.5183039555334301</v>
      </c>
      <c r="G257">
        <v>-570.66345833329001</v>
      </c>
      <c r="H257">
        <v>-492.36108025603619</v>
      </c>
      <c r="I257">
        <v>75.063392682983107</v>
      </c>
      <c r="J257">
        <v>42.654361116019103</v>
      </c>
      <c r="K257">
        <v>14.255266004754899</v>
      </c>
      <c r="L257">
        <v>2.8298206630466642E-5</v>
      </c>
      <c r="M257">
        <v>1.8014581063780819E-6</v>
      </c>
      <c r="N257" s="1">
        <v>-1.18859101454772E-7</v>
      </c>
      <c r="O257" s="1">
        <v>1.36462932820721E-10</v>
      </c>
      <c r="P257" s="1">
        <v>6.3001123003331902E-10</v>
      </c>
      <c r="Q257">
        <v>65.970870165136802</v>
      </c>
      <c r="S257">
        <v>19.111850979685201</v>
      </c>
      <c r="AA257">
        <v>0.374072074476135</v>
      </c>
      <c r="AB257">
        <v>4.7816718563470797</v>
      </c>
      <c r="AC257">
        <v>9.76153492435472</v>
      </c>
      <c r="AJ257">
        <v>0.41904940081725101</v>
      </c>
      <c r="AK257">
        <v>1.8115550383853801E-2</v>
      </c>
      <c r="AL257">
        <v>0.56283504879889501</v>
      </c>
    </row>
    <row r="258" spans="1:38" x14ac:dyDescent="0.2">
      <c r="A258">
        <v>221</v>
      </c>
      <c r="B258">
        <v>768</v>
      </c>
      <c r="C258">
        <v>105</v>
      </c>
      <c r="D258">
        <v>0.49036209960140498</v>
      </c>
      <c r="E258">
        <v>18.0176423944785</v>
      </c>
      <c r="F258">
        <v>2.5711728294679901</v>
      </c>
      <c r="G258">
        <v>-293.25580566382223</v>
      </c>
      <c r="H258">
        <v>-253.53954468376747</v>
      </c>
      <c r="I258">
        <v>38.1465312203377</v>
      </c>
      <c r="J258">
        <v>21.871534528556602</v>
      </c>
      <c r="K258">
        <v>7.0075578693037901</v>
      </c>
      <c r="L258">
        <v>3.0345735356916728E-5</v>
      </c>
      <c r="M258">
        <v>1.7980968432159452E-6</v>
      </c>
      <c r="N258" s="1">
        <v>-1.54401663576581E-7</v>
      </c>
      <c r="O258" s="1">
        <v>6.2081397347426603E-11</v>
      </c>
      <c r="P258" s="1">
        <v>6.0072930050781397E-10</v>
      </c>
      <c r="Q258">
        <v>64.461963823129295</v>
      </c>
      <c r="S258">
        <v>21.8785447851665</v>
      </c>
      <c r="AA258">
        <v>3.0087054595131399</v>
      </c>
      <c r="AB258">
        <v>8.6724024833115205</v>
      </c>
      <c r="AC258">
        <v>1.9783834488794401</v>
      </c>
      <c r="AJ258">
        <v>0.74526661711123698</v>
      </c>
      <c r="AK258">
        <v>0.14287712659117499</v>
      </c>
      <c r="AL258">
        <v>0.111856256297587</v>
      </c>
    </row>
    <row r="259" spans="1:38" x14ac:dyDescent="0.2">
      <c r="A259">
        <v>221</v>
      </c>
      <c r="B259">
        <v>768</v>
      </c>
      <c r="C259">
        <v>105</v>
      </c>
      <c r="D259">
        <v>0.49036209960140498</v>
      </c>
      <c r="E259">
        <v>36.574465521665701</v>
      </c>
      <c r="F259">
        <v>2.5182960292255898</v>
      </c>
      <c r="G259">
        <v>-581.15521798013106</v>
      </c>
      <c r="H259">
        <v>-501.63399453506622</v>
      </c>
      <c r="I259">
        <v>76.378258123291303</v>
      </c>
      <c r="J259">
        <v>43.454417826967301</v>
      </c>
      <c r="K259">
        <v>14.5234972764154</v>
      </c>
      <c r="L259">
        <v>2.8296500169067023E-5</v>
      </c>
      <c r="M259">
        <v>1.8014111118248716E-6</v>
      </c>
      <c r="N259" s="1">
        <v>-1.3000563664205501E-7</v>
      </c>
      <c r="O259" s="1">
        <v>1.3899894823518399E-10</v>
      </c>
      <c r="P259" s="1">
        <v>6.6781490283307602E-10</v>
      </c>
      <c r="Q259">
        <v>65.966885905435703</v>
      </c>
      <c r="S259">
        <v>19.102919269375199</v>
      </c>
      <c r="AA259">
        <v>0.36763299454994702</v>
      </c>
      <c r="AB259">
        <v>4.7493775074514701</v>
      </c>
      <c r="AC259">
        <v>9.8131843231876097</v>
      </c>
      <c r="AJ259">
        <v>0.41628749437671903</v>
      </c>
      <c r="AK259">
        <v>1.78066386432713E-2</v>
      </c>
      <c r="AL259">
        <v>0.565905866980009</v>
      </c>
    </row>
    <row r="260" spans="1:38" x14ac:dyDescent="0.2">
      <c r="A260">
        <v>222</v>
      </c>
      <c r="B260">
        <v>766</v>
      </c>
      <c r="C260">
        <v>105</v>
      </c>
      <c r="D260">
        <v>0.4892464995429</v>
      </c>
      <c r="E260">
        <v>18.230738412233801</v>
      </c>
      <c r="F260">
        <v>2.57155602363905</v>
      </c>
      <c r="G260">
        <v>-296.66854066432131</v>
      </c>
      <c r="H260">
        <v>-256.60441124004012</v>
      </c>
      <c r="I260">
        <v>38.5547124325469</v>
      </c>
      <c r="J260">
        <v>22.1388461181377</v>
      </c>
      <c r="K260">
        <v>7.0893802214097503</v>
      </c>
      <c r="L260">
        <v>3.0393967585447981E-5</v>
      </c>
      <c r="M260">
        <v>1.7981638369517278E-6</v>
      </c>
      <c r="N260" s="1">
        <v>-1.66477661062097E-7</v>
      </c>
      <c r="O260" s="1">
        <v>6.2701081012869106E-11</v>
      </c>
      <c r="P260" s="1">
        <v>6.3763574588335398E-10</v>
      </c>
      <c r="Q260">
        <v>64.448773425008298</v>
      </c>
      <c r="S260">
        <v>21.892670552828498</v>
      </c>
      <c r="AA260">
        <v>3.0234371615478901</v>
      </c>
      <c r="AB260">
        <v>8.6800409247407995</v>
      </c>
      <c r="AC260">
        <v>1.9550779358744199</v>
      </c>
      <c r="AJ260">
        <v>0.74589445095864604</v>
      </c>
      <c r="AK260">
        <v>0.14357120337609999</v>
      </c>
      <c r="AL260">
        <v>0.110534345665253</v>
      </c>
    </row>
    <row r="261" spans="1:38" x14ac:dyDescent="0.2">
      <c r="A261">
        <v>222</v>
      </c>
      <c r="B261">
        <v>766</v>
      </c>
      <c r="C261">
        <v>105</v>
      </c>
      <c r="D261">
        <v>0.4892464995429</v>
      </c>
      <c r="E261">
        <v>37.063724844059401</v>
      </c>
      <c r="F261">
        <v>2.5182971326577599</v>
      </c>
      <c r="G261">
        <v>-588.69111262599051</v>
      </c>
      <c r="H261">
        <v>-508.36211018852532</v>
      </c>
      <c r="I261">
        <v>77.302605434696702</v>
      </c>
      <c r="J261">
        <v>44.034621095145397</v>
      </c>
      <c r="K261">
        <v>14.717772721657701</v>
      </c>
      <c r="L261">
        <v>2.8298262387954577E-5</v>
      </c>
      <c r="M261">
        <v>1.8014044843757855E-6</v>
      </c>
      <c r="N261" s="1">
        <v>-1.4145433172239499E-7</v>
      </c>
      <c r="O261" s="1">
        <v>1.40817731253469E-10</v>
      </c>
      <c r="P261" s="1">
        <v>7.0499624234767604E-10</v>
      </c>
      <c r="Q261">
        <v>65.9639177469667</v>
      </c>
      <c r="S261">
        <v>19.094440086740999</v>
      </c>
      <c r="AA261">
        <v>0.36133016125831502</v>
      </c>
      <c r="AB261">
        <v>4.7205338458053001</v>
      </c>
      <c r="AC261">
        <v>9.8597781592285401</v>
      </c>
      <c r="AJ261">
        <v>0.41381993973516701</v>
      </c>
      <c r="AK261">
        <v>1.75039193045501E-2</v>
      </c>
      <c r="AL261">
        <v>0.56867614096028196</v>
      </c>
    </row>
    <row r="262" spans="1:38" x14ac:dyDescent="0.2">
      <c r="A262">
        <v>223</v>
      </c>
      <c r="B262">
        <v>764</v>
      </c>
      <c r="C262">
        <v>105</v>
      </c>
      <c r="D262">
        <v>0.48812659692426702</v>
      </c>
      <c r="E262">
        <v>18.418451829684798</v>
      </c>
      <c r="F262">
        <v>2.5718957775643698</v>
      </c>
      <c r="G262">
        <v>-299.66503654638984</v>
      </c>
      <c r="H262">
        <v>-259.31117748077412</v>
      </c>
      <c r="I262">
        <v>38.908411575582797</v>
      </c>
      <c r="J262">
        <v>22.376302640171101</v>
      </c>
      <c r="K262">
        <v>7.1614300977341099</v>
      </c>
      <c r="L262">
        <v>3.0447079195043659E-5</v>
      </c>
      <c r="M262">
        <v>1.7983313450802228E-6</v>
      </c>
      <c r="N262" s="1">
        <v>-1.7922851079289099E-7</v>
      </c>
      <c r="O262" s="1">
        <v>6.3230750961767297E-11</v>
      </c>
      <c r="P262" s="1">
        <v>6.7624159813575196E-10</v>
      </c>
      <c r="Q262">
        <v>64.439789772947606</v>
      </c>
      <c r="S262">
        <v>21.9035185475018</v>
      </c>
      <c r="AA262">
        <v>3.0344830806219099</v>
      </c>
      <c r="AB262">
        <v>8.6884607661792792</v>
      </c>
      <c r="AC262">
        <v>1.9337478327493201</v>
      </c>
      <c r="AJ262">
        <v>0.74658653874629399</v>
      </c>
      <c r="AK262">
        <v>0.14408966162411099</v>
      </c>
      <c r="AL262">
        <v>0.109323799629593</v>
      </c>
    </row>
    <row r="263" spans="1:38" x14ac:dyDescent="0.2">
      <c r="A263">
        <v>223</v>
      </c>
      <c r="B263">
        <v>764</v>
      </c>
      <c r="C263">
        <v>105</v>
      </c>
      <c r="D263">
        <v>0.48812659692426702</v>
      </c>
      <c r="E263">
        <v>37.430156127213102</v>
      </c>
      <c r="F263">
        <v>2.5183048023955599</v>
      </c>
      <c r="G263">
        <v>-594.27689293270555</v>
      </c>
      <c r="H263">
        <v>-513.41103158881685</v>
      </c>
      <c r="I263">
        <v>77.969301782662797</v>
      </c>
      <c r="J263">
        <v>44.470005272893999</v>
      </c>
      <c r="K263">
        <v>14.863235018893301</v>
      </c>
      <c r="L263">
        <v>2.8302803364062734E-5</v>
      </c>
      <c r="M263">
        <v>1.8014256601259194E-6</v>
      </c>
      <c r="N263" s="1">
        <v>-1.53345216120938E-7</v>
      </c>
      <c r="O263" s="1">
        <v>1.42160967387246E-10</v>
      </c>
      <c r="P263" s="1">
        <v>7.4245386900261605E-10</v>
      </c>
      <c r="Q263">
        <v>65.961596097932699</v>
      </c>
      <c r="S263">
        <v>19.086287615991999</v>
      </c>
      <c r="AA263">
        <v>0.35514601447882999</v>
      </c>
      <c r="AB263">
        <v>4.6939874134529296</v>
      </c>
      <c r="AC263">
        <v>9.9029828581433605</v>
      </c>
      <c r="AJ263">
        <v>0.411548275832748</v>
      </c>
      <c r="AK263">
        <v>1.7206660959924999E-2</v>
      </c>
      <c r="AL263">
        <v>0.57124506320732604</v>
      </c>
    </row>
    <row r="264" spans="1:38" x14ac:dyDescent="0.2">
      <c r="A264">
        <v>224</v>
      </c>
      <c r="B264">
        <v>762</v>
      </c>
      <c r="C264">
        <v>105</v>
      </c>
      <c r="D264">
        <v>0.48700236680674502</v>
      </c>
      <c r="E264">
        <v>18.588427082493599</v>
      </c>
      <c r="F264">
        <v>2.5722046304788102</v>
      </c>
      <c r="G264">
        <v>-302.37040744802226</v>
      </c>
      <c r="H264">
        <v>-261.76781929450476</v>
      </c>
      <c r="I264">
        <v>39.223869152796802</v>
      </c>
      <c r="J264">
        <v>22.593208503912798</v>
      </c>
      <c r="K264">
        <v>7.2266517454458503</v>
      </c>
      <c r="L264">
        <v>3.0504758871171097E-5</v>
      </c>
      <c r="M264">
        <v>1.798573964220607E-6</v>
      </c>
      <c r="N264" s="1">
        <v>-1.9275552701203601E-7</v>
      </c>
      <c r="O264" s="1">
        <v>6.3695163206907097E-11</v>
      </c>
      <c r="P264" s="1">
        <v>7.1689948104895201E-10</v>
      </c>
      <c r="Q264">
        <v>64.433813495180999</v>
      </c>
      <c r="S264">
        <v>21.912022241712599</v>
      </c>
      <c r="AA264">
        <v>3.0428931981325902</v>
      </c>
      <c r="AB264">
        <v>8.6974364915410707</v>
      </c>
      <c r="AC264">
        <v>1.9138345734325799</v>
      </c>
      <c r="AJ264">
        <v>0.74732430850112597</v>
      </c>
      <c r="AK264">
        <v>0.14448253153075899</v>
      </c>
      <c r="AL264">
        <v>0.108193159968113</v>
      </c>
    </row>
    <row r="265" spans="1:38" x14ac:dyDescent="0.2">
      <c r="A265">
        <v>224</v>
      </c>
      <c r="B265">
        <v>762</v>
      </c>
      <c r="C265">
        <v>105</v>
      </c>
      <c r="D265">
        <v>0.48700236680674502</v>
      </c>
      <c r="E265">
        <v>37.710878914045502</v>
      </c>
      <c r="F265">
        <v>2.5183175916962601</v>
      </c>
      <c r="G265">
        <v>-598.5023858883601</v>
      </c>
      <c r="H265">
        <v>-517.28837742546091</v>
      </c>
      <c r="I265">
        <v>78.456270552962593</v>
      </c>
      <c r="J265">
        <v>44.804589468246498</v>
      </c>
      <c r="K265">
        <v>14.974631888523801</v>
      </c>
      <c r="L265">
        <v>2.8309750013309982E-5</v>
      </c>
      <c r="M265">
        <v>1.8014673145456506E-6</v>
      </c>
      <c r="N265" s="1">
        <v>-1.65778439152538E-7</v>
      </c>
      <c r="O265" s="1">
        <v>1.43170313585917E-10</v>
      </c>
      <c r="P265" s="1">
        <v>7.8076435093173401E-10</v>
      </c>
      <c r="Q265">
        <v>65.9597023312038</v>
      </c>
      <c r="S265">
        <v>19.078386982050599</v>
      </c>
      <c r="AA265">
        <v>0.34906979515789299</v>
      </c>
      <c r="AB265">
        <v>4.6690547168071097</v>
      </c>
      <c r="AC265">
        <v>9.9437861747805592</v>
      </c>
      <c r="AJ265">
        <v>0.40941414882949401</v>
      </c>
      <c r="AK265">
        <v>1.69144135716588E-2</v>
      </c>
      <c r="AL265">
        <v>0.57367143759884598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162C8-5A88-4EAF-9AE2-C3E8C46CCABB}">
  <sheetPr codeName="Sheet12"/>
  <dimension ref="A1:AJ189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758</v>
      </c>
      <c r="C2">
        <v>300</v>
      </c>
      <c r="D2">
        <v>0.27672065169955901</v>
      </c>
      <c r="E2">
        <v>0.17308128004543</v>
      </c>
      <c r="F2">
        <v>2.5446339321928</v>
      </c>
      <c r="G2">
        <v>-2.8209854713343314</v>
      </c>
      <c r="H2">
        <v>-2.4693798072022766</v>
      </c>
      <c r="I2">
        <v>0.34098401215347401</v>
      </c>
      <c r="J2">
        <v>0.200606106851236</v>
      </c>
      <c r="K2">
        <v>6.8018145107528002E-2</v>
      </c>
      <c r="L2">
        <v>0</v>
      </c>
      <c r="M2">
        <v>1.2383389820830548E-6</v>
      </c>
      <c r="N2">
        <v>0</v>
      </c>
      <c r="O2" s="1">
        <v>9.6767577057109795E-14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756</v>
      </c>
      <c r="C3">
        <v>300</v>
      </c>
      <c r="D3">
        <v>0.27517903123937498</v>
      </c>
      <c r="E3">
        <v>0.61225690270263</v>
      </c>
      <c r="F3">
        <v>2.5446339321928</v>
      </c>
      <c r="G3">
        <v>-9.9765296716263681</v>
      </c>
      <c r="H3">
        <v>-8.7365915357220363</v>
      </c>
      <c r="I3">
        <v>1.20481769995076</v>
      </c>
      <c r="J3">
        <v>0.70944348585122796</v>
      </c>
      <c r="K3">
        <v>0.24060706530586301</v>
      </c>
      <c r="L3">
        <v>0</v>
      </c>
      <c r="M3">
        <v>1.2383389820830548E-6</v>
      </c>
      <c r="N3">
        <v>0</v>
      </c>
      <c r="O3" s="1">
        <v>3.4230517012280702E-13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754</v>
      </c>
      <c r="C4">
        <v>300</v>
      </c>
      <c r="D4">
        <v>0.27363140729202201</v>
      </c>
      <c r="E4">
        <v>1.0470437843795699</v>
      </c>
      <c r="F4">
        <v>2.5446339321928</v>
      </c>
      <c r="G4">
        <v>-17.05712387538366</v>
      </c>
      <c r="H4">
        <v>-14.943203207345837</v>
      </c>
      <c r="I4">
        <v>2.05804475299403</v>
      </c>
      <c r="J4">
        <v>1.21293775920821</v>
      </c>
      <c r="K4">
        <v>0.41147128124527399</v>
      </c>
      <c r="L4">
        <v>0</v>
      </c>
      <c r="M4">
        <v>1.2383389820830548E-6</v>
      </c>
      <c r="N4">
        <v>0</v>
      </c>
      <c r="O4" s="1">
        <v>5.8538907304431801E-13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752</v>
      </c>
      <c r="C5">
        <v>300</v>
      </c>
      <c r="D5">
        <v>0.27207774472028401</v>
      </c>
      <c r="E5">
        <v>1.4775158129182899</v>
      </c>
      <c r="F5">
        <v>2.5446339321928</v>
      </c>
      <c r="G5">
        <v>-24.064029154121467</v>
      </c>
      <c r="H5">
        <v>-21.09023822682984</v>
      </c>
      <c r="I5">
        <v>2.9008349288315101</v>
      </c>
      <c r="J5">
        <v>1.7111767025356099</v>
      </c>
      <c r="K5">
        <v>0.58063982965324301</v>
      </c>
      <c r="L5">
        <v>0</v>
      </c>
      <c r="M5">
        <v>1.2383389820830548E-6</v>
      </c>
      <c r="N5">
        <v>0</v>
      </c>
      <c r="O5" s="1">
        <v>8.2606059558920101E-13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750</v>
      </c>
      <c r="C6">
        <v>300</v>
      </c>
      <c r="D6">
        <v>0.270518008112205</v>
      </c>
      <c r="E6">
        <v>1.90374528529792</v>
      </c>
      <c r="F6">
        <v>2.5446339321928</v>
      </c>
      <c r="G6">
        <v>-30.99847941009352</v>
      </c>
      <c r="H6">
        <v>-27.178697982661628</v>
      </c>
      <c r="I6">
        <v>3.7333542759437899</v>
      </c>
      <c r="J6">
        <v>2.2042461810165301</v>
      </c>
      <c r="K6">
        <v>0.74814112207385397</v>
      </c>
      <c r="L6">
        <v>0</v>
      </c>
      <c r="M6">
        <v>1.238338982083055E-6</v>
      </c>
      <c r="N6">
        <v>0</v>
      </c>
      <c r="O6" s="1">
        <v>1.06436015809348E-12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748</v>
      </c>
      <c r="C7">
        <v>300</v>
      </c>
      <c r="D7">
        <v>0.26895216177838999</v>
      </c>
      <c r="E7">
        <v>2.32580294979685</v>
      </c>
      <c r="F7">
        <v>2.5446339321928</v>
      </c>
      <c r="G7">
        <v>-37.861682096890306</v>
      </c>
      <c r="H7">
        <v>-33.209562430302213</v>
      </c>
      <c r="I7">
        <v>4.5557652319327104</v>
      </c>
      <c r="J7">
        <v>2.6922301998367599</v>
      </c>
      <c r="K7">
        <v>0.91400296143682402</v>
      </c>
      <c r="L7">
        <v>0</v>
      </c>
      <c r="M7">
        <v>1.238338982083055E-6</v>
      </c>
      <c r="N7">
        <v>0</v>
      </c>
      <c r="O7" s="1">
        <v>1.3003273150339901E-12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746</v>
      </c>
      <c r="C8">
        <v>300</v>
      </c>
      <c r="D8">
        <v>0.26738016974930101</v>
      </c>
      <c r="E8">
        <v>2.74375805057119</v>
      </c>
      <c r="F8">
        <v>2.5446339321928</v>
      </c>
      <c r="G8">
        <v>-44.654818978275543</v>
      </c>
      <c r="H8">
        <v>-39.183790710533351</v>
      </c>
      <c r="I8">
        <v>5.3682267259404304</v>
      </c>
      <c r="J8">
        <v>3.17521095735979</v>
      </c>
      <c r="K8">
        <v>1.0782525595761401</v>
      </c>
      <c r="L8">
        <v>0</v>
      </c>
      <c r="M8">
        <v>1.238338982083055E-6</v>
      </c>
      <c r="N8">
        <v>0</v>
      </c>
      <c r="O8" s="1">
        <v>1.5340007799516099E-12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744</v>
      </c>
      <c r="C9">
        <v>300</v>
      </c>
      <c r="D9">
        <v>0.26580199577250502</v>
      </c>
      <c r="E9">
        <v>3.1576783705265501</v>
      </c>
      <c r="F9">
        <v>2.5446339321928</v>
      </c>
      <c r="G9">
        <v>-51.379046858109952</v>
      </c>
      <c r="H9">
        <v>-45.102321744056361</v>
      </c>
      <c r="I9">
        <v>6.1708942771996096</v>
      </c>
      <c r="J9">
        <v>3.6532688962677602</v>
      </c>
      <c r="K9">
        <v>1.2409165540779601</v>
      </c>
      <c r="L9">
        <v>0</v>
      </c>
      <c r="M9">
        <v>1.2383389820830546E-6</v>
      </c>
      <c r="N9">
        <v>0</v>
      </c>
      <c r="O9" s="1">
        <v>1.7654184494203799E-12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742</v>
      </c>
      <c r="C10">
        <v>300</v>
      </c>
      <c r="D10">
        <v>0.264217603309855</v>
      </c>
      <c r="E10">
        <v>3.5676302703856502</v>
      </c>
      <c r="F10">
        <v>2.5446339321928</v>
      </c>
      <c r="G10">
        <v>-58.035498247294115</v>
      </c>
      <c r="H10">
        <v>-50.966074772351682</v>
      </c>
      <c r="I10">
        <v>6.9639200856449097</v>
      </c>
      <c r="J10">
        <v>4.1264827502447998</v>
      </c>
      <c r="K10">
        <v>1.40202102363356</v>
      </c>
      <c r="L10">
        <v>0</v>
      </c>
      <c r="M10">
        <v>1.2383389820830548E-6</v>
      </c>
      <c r="N10">
        <v>0</v>
      </c>
      <c r="O10" s="1">
        <v>1.9946174248896501E-12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740</v>
      </c>
      <c r="C11">
        <v>300</v>
      </c>
      <c r="D11">
        <v>0.26262695553471999</v>
      </c>
      <c r="E11">
        <v>3.9736787280891401</v>
      </c>
      <c r="F11">
        <v>2.5446339321928</v>
      </c>
      <c r="G11">
        <v>-64.625282035126816</v>
      </c>
      <c r="H11">
        <v>-56.775949903853011</v>
      </c>
      <c r="I11">
        <v>7.7474531227101604</v>
      </c>
      <c r="J11">
        <v>4.5949295909946004</v>
      </c>
      <c r="K11">
        <v>1.56159150352321</v>
      </c>
      <c r="L11">
        <v>0</v>
      </c>
      <c r="M11">
        <v>1.2383389820830548E-6</v>
      </c>
      <c r="N11">
        <v>0</v>
      </c>
      <c r="O11" s="1">
        <v>2.22163403471268E-12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738</v>
      </c>
      <c r="C12">
        <v>300</v>
      </c>
      <c r="D12">
        <v>0.26103001532908299</v>
      </c>
      <c r="E12">
        <v>4.3758873776576896</v>
      </c>
      <c r="F12">
        <v>2.5446339321928</v>
      </c>
      <c r="G12">
        <v>-71.149484150892121</v>
      </c>
      <c r="H12">
        <v>-62.532828652977393</v>
      </c>
      <c r="I12">
        <v>8.5216392206049694</v>
      </c>
      <c r="J12">
        <v>5.0586848745822701</v>
      </c>
      <c r="K12">
        <v>1.7196530008883499</v>
      </c>
      <c r="L12">
        <v>0</v>
      </c>
      <c r="M12">
        <v>1.238338982083055E-6</v>
      </c>
      <c r="N12">
        <v>0</v>
      </c>
      <c r="O12" s="1">
        <v>2.4465038558738402E-12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736</v>
      </c>
      <c r="C13">
        <v>300</v>
      </c>
      <c r="D13">
        <v>0.25942674528068399</v>
      </c>
      <c r="E13">
        <v>4.9201964412425996</v>
      </c>
      <c r="F13">
        <v>2.5446339321928</v>
      </c>
      <c r="G13">
        <v>-79.980493438462034</v>
      </c>
      <c r="H13">
        <v>-70.32255341464851</v>
      </c>
      <c r="I13">
        <v>9.5703711279923898</v>
      </c>
      <c r="J13">
        <v>5.6864179242024298</v>
      </c>
      <c r="K13">
        <v>1.93355766383367</v>
      </c>
      <c r="L13">
        <v>0</v>
      </c>
      <c r="M13">
        <v>1.2383389820830548E-6</v>
      </c>
      <c r="N13">
        <v>0</v>
      </c>
      <c r="O13" s="1">
        <v>2.7508202397110202E-12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734</v>
      </c>
      <c r="C14">
        <v>300</v>
      </c>
      <c r="D14">
        <v>0.25781710768008598</v>
      </c>
      <c r="E14">
        <v>24.0190546217598</v>
      </c>
      <c r="F14">
        <v>2.5446339321928</v>
      </c>
      <c r="G14">
        <v>-390.34953010897806</v>
      </c>
      <c r="H14">
        <v>-343.35100238229268</v>
      </c>
      <c r="I14">
        <v>46.664873878454401</v>
      </c>
      <c r="J14">
        <v>27.7521441203824</v>
      </c>
      <c r="K14">
        <v>9.4391001856450796</v>
      </c>
      <c r="L14">
        <v>0</v>
      </c>
      <c r="M14">
        <v>1.2383389820830548E-6</v>
      </c>
      <c r="N14">
        <v>0</v>
      </c>
      <c r="O14" s="1">
        <v>1.3428752770605801E-11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732</v>
      </c>
      <c r="C15">
        <v>300</v>
      </c>
      <c r="D15">
        <v>0.256201064517732</v>
      </c>
      <c r="E15">
        <v>28.879426413999202</v>
      </c>
      <c r="F15">
        <v>2.5446339321928</v>
      </c>
      <c r="G15">
        <v>-469.22649500091143</v>
      </c>
      <c r="H15">
        <v>-412.89646413299442</v>
      </c>
      <c r="I15">
        <v>56.041417567444597</v>
      </c>
      <c r="J15">
        <v>33.358994318647198</v>
      </c>
      <c r="K15">
        <v>11.349147729517499</v>
      </c>
      <c r="L15">
        <v>0</v>
      </c>
      <c r="M15">
        <v>1.2383389820830548E-6</v>
      </c>
      <c r="N15">
        <v>0</v>
      </c>
      <c r="O15" s="1">
        <v>1.6146125797938899E-11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730</v>
      </c>
      <c r="C16">
        <v>300</v>
      </c>
      <c r="D16">
        <v>0.25457857748093798</v>
      </c>
      <c r="E16">
        <v>30.5228364061315</v>
      </c>
      <c r="F16">
        <v>2.5446339321928</v>
      </c>
      <c r="G16">
        <v>-495.80986409430523</v>
      </c>
      <c r="H16">
        <v>-436.4632176334735</v>
      </c>
      <c r="I16">
        <v>59.160291542472898</v>
      </c>
      <c r="J16">
        <v>35.247837595084597</v>
      </c>
      <c r="K16">
        <v>11.994981289834801</v>
      </c>
      <c r="L16">
        <v>0</v>
      </c>
      <c r="M16">
        <v>1.238338982083055E-6</v>
      </c>
      <c r="N16">
        <v>0</v>
      </c>
      <c r="O16" s="1">
        <v>1.7064935752477802E-11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728</v>
      </c>
      <c r="C17">
        <v>300</v>
      </c>
      <c r="D17">
        <v>0.25294960795086002</v>
      </c>
      <c r="E17">
        <v>31.4038436971158</v>
      </c>
      <c r="F17">
        <v>2.5446339321928</v>
      </c>
      <c r="G17">
        <v>-509.99919389648346</v>
      </c>
      <c r="H17">
        <v>-449.13375742750969</v>
      </c>
      <c r="I17">
        <v>60.795521619111703</v>
      </c>
      <c r="J17">
        <v>36.255428864762301</v>
      </c>
      <c r="K17">
        <v>12.341202913243301</v>
      </c>
      <c r="L17">
        <v>0</v>
      </c>
      <c r="M17">
        <v>1.238338982083055E-6</v>
      </c>
      <c r="N17">
        <v>0</v>
      </c>
      <c r="O17" s="1">
        <v>1.7557495900495101E-11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726</v>
      </c>
      <c r="C18">
        <v>300</v>
      </c>
      <c r="D18">
        <v>0.251314116999449</v>
      </c>
      <c r="E18">
        <v>31.970198511968999</v>
      </c>
      <c r="F18">
        <v>2.5446339321928</v>
      </c>
      <c r="G18">
        <v>-519.07309990782687</v>
      </c>
      <c r="H18">
        <v>-457.30750012650441</v>
      </c>
      <c r="I18">
        <v>61.8181452047465</v>
      </c>
      <c r="J18">
        <v>36.899260676562399</v>
      </c>
      <c r="K18">
        <v>12.5637712000559</v>
      </c>
      <c r="L18">
        <v>0</v>
      </c>
      <c r="M18">
        <v>1.2383389820830546E-6</v>
      </c>
      <c r="N18">
        <v>0</v>
      </c>
      <c r="O18" s="1">
        <v>1.7874137787899601E-11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724</v>
      </c>
      <c r="C19">
        <v>300</v>
      </c>
      <c r="D19">
        <v>0.249672065386352</v>
      </c>
      <c r="E19">
        <v>32.372753805852497</v>
      </c>
      <c r="F19">
        <v>2.5446339321928</v>
      </c>
      <c r="G19">
        <v>-525.4839318420178</v>
      </c>
      <c r="H19">
        <v>-463.14044141518144</v>
      </c>
      <c r="I19">
        <v>62.5216772068759</v>
      </c>
      <c r="J19">
        <v>37.353689674608802</v>
      </c>
      <c r="K19">
        <v>12.721968923033099</v>
      </c>
      <c r="L19">
        <v>0</v>
      </c>
      <c r="M19">
        <v>1.238338982083055E-6</v>
      </c>
      <c r="N19">
        <v>0</v>
      </c>
      <c r="O19" s="1">
        <v>1.8099201413557999E-11</v>
      </c>
      <c r="P19">
        <v>0</v>
      </c>
      <c r="Q19">
        <v>100</v>
      </c>
      <c r="AJ19">
        <v>1</v>
      </c>
    </row>
    <row r="20" spans="1:36" x14ac:dyDescent="0.2">
      <c r="A20">
        <v>21</v>
      </c>
      <c r="B20">
        <v>758</v>
      </c>
      <c r="C20">
        <v>285</v>
      </c>
      <c r="D20">
        <v>0.29272220336517601</v>
      </c>
      <c r="E20">
        <v>0.155184938130116</v>
      </c>
      <c r="F20">
        <v>2.54416131135403</v>
      </c>
      <c r="G20">
        <v>-2.5302147135757473</v>
      </c>
      <c r="H20">
        <v>-2.2149645419788553</v>
      </c>
      <c r="I20">
        <v>0.30572678232739298</v>
      </c>
      <c r="J20">
        <v>0.17986373957981699</v>
      </c>
      <c r="K20">
        <v>6.0996501062082799E-2</v>
      </c>
      <c r="L20">
        <v>0</v>
      </c>
      <c r="M20">
        <v>1.2383223437857111E-6</v>
      </c>
      <c r="N20">
        <v>0</v>
      </c>
      <c r="O20" s="1">
        <v>8.6761956317097196E-14</v>
      </c>
      <c r="P20">
        <v>0</v>
      </c>
      <c r="Q20">
        <v>100</v>
      </c>
      <c r="AJ20">
        <v>1</v>
      </c>
    </row>
    <row r="21" spans="1:36" x14ac:dyDescent="0.2">
      <c r="A21">
        <v>22</v>
      </c>
      <c r="B21">
        <v>756</v>
      </c>
      <c r="C21">
        <v>285</v>
      </c>
      <c r="D21">
        <v>0.29121167954136901</v>
      </c>
      <c r="E21">
        <v>0.58740413156097804</v>
      </c>
      <c r="F21">
        <v>2.54416131135403</v>
      </c>
      <c r="G21">
        <v>-9.5750246710939209</v>
      </c>
      <c r="H21">
        <v>-8.3854181828776877</v>
      </c>
      <c r="I21">
        <v>1.15591166323299</v>
      </c>
      <c r="J21">
        <v>0.68064571074413405</v>
      </c>
      <c r="K21">
        <v>0.23088321048650501</v>
      </c>
      <c r="L21">
        <v>0</v>
      </c>
      <c r="M21">
        <v>1.2383223437857111E-6</v>
      </c>
      <c r="N21">
        <v>0</v>
      </c>
      <c r="O21" s="1">
        <v>3.2841029688232E-13</v>
      </c>
      <c r="P21">
        <v>0</v>
      </c>
      <c r="Q21">
        <v>100</v>
      </c>
      <c r="AJ21">
        <v>1</v>
      </c>
    </row>
    <row r="22" spans="1:36" x14ac:dyDescent="0.2">
      <c r="A22">
        <v>23</v>
      </c>
      <c r="B22">
        <v>754</v>
      </c>
      <c r="C22">
        <v>285</v>
      </c>
      <c r="D22">
        <v>0.28969527332911499</v>
      </c>
      <c r="E22">
        <v>1.0153375780543199</v>
      </c>
      <c r="F22">
        <v>2.54416131135403</v>
      </c>
      <c r="G22">
        <v>-16.546591860379234</v>
      </c>
      <c r="H22">
        <v>-14.496684183828419</v>
      </c>
      <c r="I22">
        <v>1.99572377603155</v>
      </c>
      <c r="J22">
        <v>1.1762080107231101</v>
      </c>
      <c r="K22">
        <v>0.39908537777187902</v>
      </c>
      <c r="L22">
        <v>0</v>
      </c>
      <c r="M22">
        <v>1.2383223437857111E-6</v>
      </c>
      <c r="N22">
        <v>0</v>
      </c>
      <c r="O22" s="1">
        <v>5.6766252998338299E-13</v>
      </c>
      <c r="P22">
        <v>0</v>
      </c>
      <c r="Q22">
        <v>100</v>
      </c>
      <c r="AJ22">
        <v>1</v>
      </c>
    </row>
    <row r="23" spans="1:36" x14ac:dyDescent="0.2">
      <c r="A23">
        <v>24</v>
      </c>
      <c r="B23">
        <v>752</v>
      </c>
      <c r="C23">
        <v>285</v>
      </c>
      <c r="D23">
        <v>0.28817295029995899</v>
      </c>
      <c r="E23">
        <v>1.43905599782657</v>
      </c>
      <c r="F23">
        <v>2.54416131135403</v>
      </c>
      <c r="G23">
        <v>-23.44612487108412</v>
      </c>
      <c r="H23">
        <v>-20.549741879589252</v>
      </c>
      <c r="I23">
        <v>2.82532604154988</v>
      </c>
      <c r="J23">
        <v>1.6666346820757401</v>
      </c>
      <c r="K23">
        <v>0.56563079998283805</v>
      </c>
      <c r="L23">
        <v>0</v>
      </c>
      <c r="M23">
        <v>1.2383223437857108E-6</v>
      </c>
      <c r="N23">
        <v>0</v>
      </c>
      <c r="O23" s="1">
        <v>8.04558194408012E-13</v>
      </c>
      <c r="P23">
        <v>0</v>
      </c>
      <c r="Q23">
        <v>100</v>
      </c>
      <c r="AJ23">
        <v>1</v>
      </c>
    </row>
    <row r="24" spans="1:36" x14ac:dyDescent="0.2">
      <c r="A24">
        <v>25</v>
      </c>
      <c r="B24">
        <v>750</v>
      </c>
      <c r="C24">
        <v>285</v>
      </c>
      <c r="D24">
        <v>0.28664467575624197</v>
      </c>
      <c r="E24">
        <v>1.85862858894066</v>
      </c>
      <c r="F24">
        <v>2.54416131135403</v>
      </c>
      <c r="G24">
        <v>-30.274806285717379</v>
      </c>
      <c r="H24">
        <v>-26.545549530962791</v>
      </c>
      <c r="I24">
        <v>3.6448778329224298</v>
      </c>
      <c r="J24">
        <v>2.1520079396858298</v>
      </c>
      <c r="K24">
        <v>0.73054667589119104</v>
      </c>
      <c r="L24">
        <v>0</v>
      </c>
      <c r="M24">
        <v>1.2383223437857111E-6</v>
      </c>
      <c r="N24">
        <v>0</v>
      </c>
      <c r="O24" s="1">
        <v>1.03913597792699E-12</v>
      </c>
      <c r="P24">
        <v>0</v>
      </c>
      <c r="Q24">
        <v>100</v>
      </c>
      <c r="AJ24">
        <v>1</v>
      </c>
    </row>
    <row r="25" spans="1:36" x14ac:dyDescent="0.2">
      <c r="A25">
        <v>26</v>
      </c>
      <c r="B25">
        <v>748</v>
      </c>
      <c r="C25">
        <v>285</v>
      </c>
      <c r="D25">
        <v>0.28511041472849202</v>
      </c>
      <c r="E25">
        <v>2.2741230689778198</v>
      </c>
      <c r="F25">
        <v>2.54416131135403</v>
      </c>
      <c r="G25">
        <v>-37.033793391021689</v>
      </c>
      <c r="H25">
        <v>-32.485044902093392</v>
      </c>
      <c r="I25">
        <v>4.4545350721522698</v>
      </c>
      <c r="J25">
        <v>2.6324082205598298</v>
      </c>
      <c r="K25">
        <v>0.89385962235527605</v>
      </c>
      <c r="L25">
        <v>0</v>
      </c>
      <c r="M25">
        <v>1.2383223437857108E-6</v>
      </c>
      <c r="N25">
        <v>0</v>
      </c>
      <c r="O25" s="1">
        <v>1.2714337405922799E-12</v>
      </c>
      <c r="P25">
        <v>0</v>
      </c>
      <c r="Q25">
        <v>100</v>
      </c>
      <c r="AJ25">
        <v>1</v>
      </c>
    </row>
    <row r="26" spans="1:36" x14ac:dyDescent="0.2">
      <c r="A26">
        <v>27</v>
      </c>
      <c r="B26">
        <v>746</v>
      </c>
      <c r="C26">
        <v>285</v>
      </c>
      <c r="D26">
        <v>0.28357013197272302</v>
      </c>
      <c r="E26">
        <v>2.68560571607079</v>
      </c>
      <c r="F26">
        <v>2.54416131135403</v>
      </c>
      <c r="G26">
        <v>-43.724218877884091</v>
      </c>
      <c r="H26">
        <v>-38.36914582923297</v>
      </c>
      <c r="I26">
        <v>5.2544503249287304</v>
      </c>
      <c r="J26">
        <v>3.1079142328314502</v>
      </c>
      <c r="K26">
        <v>1.0555956904483601</v>
      </c>
      <c r="L26">
        <v>0</v>
      </c>
      <c r="M26">
        <v>1.2383223437857108E-6</v>
      </c>
      <c r="N26">
        <v>0</v>
      </c>
      <c r="O26" s="1">
        <v>1.5014885376782599E-12</v>
      </c>
      <c r="P26">
        <v>0</v>
      </c>
      <c r="Q26">
        <v>100</v>
      </c>
      <c r="AJ26">
        <v>1</v>
      </c>
    </row>
    <row r="27" spans="1:36" x14ac:dyDescent="0.2">
      <c r="A27">
        <v>28</v>
      </c>
      <c r="B27">
        <v>744</v>
      </c>
      <c r="C27">
        <v>285</v>
      </c>
      <c r="D27">
        <v>0.28202379196775501</v>
      </c>
      <c r="E27">
        <v>3.0931414057380402</v>
      </c>
      <c r="F27">
        <v>2.54416131135403</v>
      </c>
      <c r="G27">
        <v>-50.347191471843011</v>
      </c>
      <c r="H27">
        <v>-44.198750730084534</v>
      </c>
      <c r="I27">
        <v>6.0447728867506996</v>
      </c>
      <c r="J27">
        <v>3.5786029998541</v>
      </c>
      <c r="K27">
        <v>1.21578037993661</v>
      </c>
      <c r="L27">
        <v>0</v>
      </c>
      <c r="M27">
        <v>1.2383223437857108E-6</v>
      </c>
      <c r="N27">
        <v>0</v>
      </c>
      <c r="O27" s="1">
        <v>1.72933664027519E-12</v>
      </c>
      <c r="P27">
        <v>0</v>
      </c>
      <c r="Q27">
        <v>100</v>
      </c>
      <c r="AJ27">
        <v>1</v>
      </c>
    </row>
    <row r="28" spans="1:36" x14ac:dyDescent="0.2">
      <c r="A28">
        <v>29</v>
      </c>
      <c r="B28">
        <v>742</v>
      </c>
      <c r="C28">
        <v>285</v>
      </c>
      <c r="D28">
        <v>0.28047135891247499</v>
      </c>
      <c r="E28">
        <v>3.4967936510829198</v>
      </c>
      <c r="F28">
        <v>2.54416131135403</v>
      </c>
      <c r="G28">
        <v>-56.903796617401909</v>
      </c>
      <c r="H28">
        <v>-49.974739161758379</v>
      </c>
      <c r="I28">
        <v>6.8256488751844797</v>
      </c>
      <c r="J28">
        <v>4.0445499081381602</v>
      </c>
      <c r="K28">
        <v>1.37443865507957</v>
      </c>
      <c r="L28">
        <v>0</v>
      </c>
      <c r="M28">
        <v>1.2383223437857111E-6</v>
      </c>
      <c r="N28">
        <v>0</v>
      </c>
      <c r="O28" s="1">
        <v>1.9550135577640899E-12</v>
      </c>
      <c r="P28">
        <v>0</v>
      </c>
      <c r="Q28">
        <v>100</v>
      </c>
      <c r="AJ28">
        <v>1</v>
      </c>
    </row>
    <row r="29" spans="1:36" x14ac:dyDescent="0.2">
      <c r="A29">
        <v>30</v>
      </c>
      <c r="B29">
        <v>740</v>
      </c>
      <c r="C29">
        <v>285</v>
      </c>
      <c r="D29">
        <v>0.27891279672309399</v>
      </c>
      <c r="E29">
        <v>3.8966246380962901</v>
      </c>
      <c r="F29">
        <v>2.54416131135403</v>
      </c>
      <c r="G29">
        <v>-63.395097081652274</v>
      </c>
      <c r="H29">
        <v>-55.697972309305499</v>
      </c>
      <c r="I29">
        <v>7.5972213120927501</v>
      </c>
      <c r="J29">
        <v>4.5058287495721299</v>
      </c>
      <c r="K29">
        <v>1.5315949585061699</v>
      </c>
      <c r="L29">
        <v>0</v>
      </c>
      <c r="M29">
        <v>1.2383223437857108E-6</v>
      </c>
      <c r="N29">
        <v>0</v>
      </c>
      <c r="O29" s="1">
        <v>2.1785540575540199E-12</v>
      </c>
      <c r="P29">
        <v>0</v>
      </c>
      <c r="Q29">
        <v>100</v>
      </c>
      <c r="AJ29">
        <v>1</v>
      </c>
    </row>
    <row r="30" spans="1:36" x14ac:dyDescent="0.2">
      <c r="A30">
        <v>31</v>
      </c>
      <c r="B30">
        <v>738</v>
      </c>
      <c r="C30">
        <v>285</v>
      </c>
      <c r="D30">
        <v>0.277348069030313</v>
      </c>
      <c r="E30">
        <v>4.2926952611441296</v>
      </c>
      <c r="F30">
        <v>2.54416131135403</v>
      </c>
      <c r="G30">
        <v>-69.822133559995109</v>
      </c>
      <c r="H30">
        <v>-61.369293477394706</v>
      </c>
      <c r="I30">
        <v>8.3596302058056704</v>
      </c>
      <c r="J30">
        <v>4.9625117638115599</v>
      </c>
      <c r="K30">
        <v>1.68727322516334</v>
      </c>
      <c r="L30">
        <v>0</v>
      </c>
      <c r="M30">
        <v>1.2383223437857108E-6</v>
      </c>
      <c r="N30">
        <v>0</v>
      </c>
      <c r="O30" s="1">
        <v>2.39999218492273E-12</v>
      </c>
      <c r="P30">
        <v>0</v>
      </c>
      <c r="Q30">
        <v>100</v>
      </c>
      <c r="AJ30">
        <v>1</v>
      </c>
    </row>
    <row r="31" spans="1:36" x14ac:dyDescent="0.2">
      <c r="A31">
        <v>32</v>
      </c>
      <c r="B31">
        <v>736</v>
      </c>
      <c r="C31">
        <v>285</v>
      </c>
      <c r="D31">
        <v>0.27577713917653601</v>
      </c>
      <c r="E31">
        <v>24.8390899029671</v>
      </c>
      <c r="F31">
        <v>2.54416131135403</v>
      </c>
      <c r="G31">
        <v>-403.91947249209443</v>
      </c>
      <c r="H31">
        <v>-355.16238659241384</v>
      </c>
      <c r="I31">
        <v>48.315003616588797</v>
      </c>
      <c r="J31">
        <v>28.707277795078401</v>
      </c>
      <c r="K31">
        <v>9.7631741321258492</v>
      </c>
      <c r="L31">
        <v>0</v>
      </c>
      <c r="M31">
        <v>1.2383223437857111E-6</v>
      </c>
      <c r="N31">
        <v>0</v>
      </c>
      <c r="O31" s="1">
        <v>1.3887224231198999E-11</v>
      </c>
      <c r="P31">
        <v>0</v>
      </c>
      <c r="Q31">
        <v>100</v>
      </c>
      <c r="AJ31">
        <v>1</v>
      </c>
    </row>
    <row r="32" spans="1:36" x14ac:dyDescent="0.2">
      <c r="A32">
        <v>33</v>
      </c>
      <c r="B32">
        <v>734</v>
      </c>
      <c r="C32">
        <v>285</v>
      </c>
      <c r="D32">
        <v>0.27419997021297599</v>
      </c>
      <c r="E32">
        <v>28.997872177955198</v>
      </c>
      <c r="F32">
        <v>2.54416131135403</v>
      </c>
      <c r="G32">
        <v>-471.43453586294584</v>
      </c>
      <c r="H32">
        <v>-414.69386388263251</v>
      </c>
      <c r="I32">
        <v>56.337856307713103</v>
      </c>
      <c r="J32">
        <v>33.5047794569725</v>
      </c>
      <c r="K32">
        <v>11.397811942404701</v>
      </c>
      <c r="L32">
        <v>0</v>
      </c>
      <c r="M32">
        <v>1.2383223437857111E-6</v>
      </c>
      <c r="N32">
        <v>0</v>
      </c>
      <c r="O32" s="1">
        <v>1.62123473418729E-11</v>
      </c>
      <c r="P32">
        <v>0</v>
      </c>
      <c r="Q32">
        <v>100</v>
      </c>
      <c r="AJ32">
        <v>1</v>
      </c>
    </row>
    <row r="33" spans="1:36" x14ac:dyDescent="0.2">
      <c r="A33">
        <v>34</v>
      </c>
      <c r="B33">
        <v>732</v>
      </c>
      <c r="C33">
        <v>285</v>
      </c>
      <c r="D33">
        <v>0.27261652489678301</v>
      </c>
      <c r="E33">
        <v>30.531745783924599</v>
      </c>
      <c r="F33">
        <v>2.54416131135403</v>
      </c>
      <c r="G33">
        <v>-496.25300645387728</v>
      </c>
      <c r="H33">
        <v>-436.7000860528621</v>
      </c>
      <c r="I33">
        <v>59.247794260573102</v>
      </c>
      <c r="J33">
        <v>35.267609527404097</v>
      </c>
      <c r="K33">
        <v>12.000711451615899</v>
      </c>
      <c r="L33">
        <v>0</v>
      </c>
      <c r="M33">
        <v>1.2383223437857108E-6</v>
      </c>
      <c r="N33">
        <v>0</v>
      </c>
      <c r="O33" s="1">
        <v>1.7069916874075099E-11</v>
      </c>
      <c r="P33">
        <v>0</v>
      </c>
      <c r="Q33">
        <v>100</v>
      </c>
      <c r="AJ33">
        <v>1</v>
      </c>
    </row>
    <row r="34" spans="1:36" x14ac:dyDescent="0.2">
      <c r="A34">
        <v>35</v>
      </c>
      <c r="B34">
        <v>730</v>
      </c>
      <c r="C34">
        <v>285</v>
      </c>
      <c r="D34">
        <v>0.27102676568808798</v>
      </c>
      <c r="E34">
        <v>31.379274994811599</v>
      </c>
      <c r="F34">
        <v>2.54416131135403</v>
      </c>
      <c r="G34">
        <v>-509.90675621063286</v>
      </c>
      <c r="H34">
        <v>-448.89490545942908</v>
      </c>
      <c r="I34">
        <v>60.820266910435898</v>
      </c>
      <c r="J34">
        <v>36.2368547323615</v>
      </c>
      <c r="K34">
        <v>12.333838603225599</v>
      </c>
      <c r="L34">
        <v>0</v>
      </c>
      <c r="M34">
        <v>1.2383223437857111E-6</v>
      </c>
      <c r="N34">
        <v>0</v>
      </c>
      <c r="O34" s="1">
        <v>1.7543759846585701E-11</v>
      </c>
      <c r="P34">
        <v>0</v>
      </c>
      <c r="Q34">
        <v>100</v>
      </c>
      <c r="AJ34">
        <v>1</v>
      </c>
    </row>
    <row r="35" spans="1:36" x14ac:dyDescent="0.2">
      <c r="A35">
        <v>36</v>
      </c>
      <c r="B35">
        <v>728</v>
      </c>
      <c r="C35">
        <v>285</v>
      </c>
      <c r="D35">
        <v>0.26943065474704297</v>
      </c>
      <c r="E35">
        <v>31.932811203631999</v>
      </c>
      <c r="F35">
        <v>2.54416131135403</v>
      </c>
      <c r="G35">
        <v>-518.77789287260782</v>
      </c>
      <c r="H35">
        <v>-456.8872367371327</v>
      </c>
      <c r="I35">
        <v>61.819563637292099</v>
      </c>
      <c r="J35">
        <v>36.866116651558002</v>
      </c>
      <c r="K35">
        <v>12.551409795095401</v>
      </c>
      <c r="L35">
        <v>0</v>
      </c>
      <c r="M35">
        <v>1.2383223437857111E-6</v>
      </c>
      <c r="N35">
        <v>0</v>
      </c>
      <c r="O35" s="1">
        <v>1.7853235011819401E-11</v>
      </c>
      <c r="P35">
        <v>0</v>
      </c>
      <c r="Q35">
        <v>100</v>
      </c>
      <c r="AJ35">
        <v>1</v>
      </c>
    </row>
    <row r="36" spans="1:36" x14ac:dyDescent="0.2">
      <c r="A36">
        <v>37</v>
      </c>
      <c r="B36">
        <v>726</v>
      </c>
      <c r="C36">
        <v>285</v>
      </c>
      <c r="D36">
        <v>0.26782815393083897</v>
      </c>
      <c r="E36">
        <v>32.330087942965498</v>
      </c>
      <c r="F36">
        <v>2.54416131135403</v>
      </c>
      <c r="G36">
        <v>-525.10691623904574</v>
      </c>
      <c r="H36">
        <v>-462.64601934994539</v>
      </c>
      <c r="I36">
        <v>62.514033817845501</v>
      </c>
      <c r="J36">
        <v>37.314636700083497</v>
      </c>
      <c r="K36">
        <v>12.707562134005901</v>
      </c>
      <c r="L36">
        <v>0</v>
      </c>
      <c r="M36">
        <v>1.2383223437857111E-6</v>
      </c>
      <c r="N36">
        <v>0</v>
      </c>
      <c r="O36" s="1">
        <v>1.8075347463705399E-11</v>
      </c>
      <c r="P36">
        <v>0</v>
      </c>
      <c r="Q36">
        <v>100</v>
      </c>
      <c r="AJ36">
        <v>1</v>
      </c>
    </row>
    <row r="37" spans="1:36" x14ac:dyDescent="0.2">
      <c r="A37">
        <v>39</v>
      </c>
      <c r="B37">
        <v>758</v>
      </c>
      <c r="C37">
        <v>270</v>
      </c>
      <c r="D37">
        <v>0.30872375503079302</v>
      </c>
      <c r="E37">
        <v>0.14593918274718101</v>
      </c>
      <c r="F37">
        <v>2.5436887846510299</v>
      </c>
      <c r="G37">
        <v>-2.3803276981625929</v>
      </c>
      <c r="H37">
        <v>-2.0838598001944031</v>
      </c>
      <c r="I37">
        <v>0.28751190221421702</v>
      </c>
      <c r="J37">
        <v>0.16914764716483999</v>
      </c>
      <c r="K37">
        <v>5.7373049575796801E-2</v>
      </c>
      <c r="L37">
        <v>0</v>
      </c>
      <c r="M37">
        <v>1.2383056720441413E-6</v>
      </c>
      <c r="N37">
        <v>0</v>
      </c>
      <c r="O37" s="1">
        <v>8.1592770220053799E-14</v>
      </c>
      <c r="P37">
        <v>0</v>
      </c>
      <c r="Q37">
        <v>100</v>
      </c>
      <c r="AJ37">
        <v>1</v>
      </c>
    </row>
    <row r="38" spans="1:36" x14ac:dyDescent="0.2">
      <c r="A38">
        <v>40</v>
      </c>
      <c r="B38">
        <v>756</v>
      </c>
      <c r="C38">
        <v>270</v>
      </c>
      <c r="D38">
        <v>0.30724432784336703</v>
      </c>
      <c r="E38">
        <v>0.57103293939877797</v>
      </c>
      <c r="F38">
        <v>2.5436887846510299</v>
      </c>
      <c r="G38">
        <v>-9.3115318761408759</v>
      </c>
      <c r="H38">
        <v>-8.1550802048038413</v>
      </c>
      <c r="I38">
        <v>1.1236959348365401</v>
      </c>
      <c r="J38">
        <v>0.66167583782996497</v>
      </c>
      <c r="K38">
        <v>0.224490095975761</v>
      </c>
      <c r="L38">
        <v>0</v>
      </c>
      <c r="M38">
        <v>1.2383056720441413E-6</v>
      </c>
      <c r="N38">
        <v>0</v>
      </c>
      <c r="O38" s="1">
        <v>3.1925736827758202E-13</v>
      </c>
      <c r="P38">
        <v>0</v>
      </c>
      <c r="Q38">
        <v>100</v>
      </c>
      <c r="AJ38">
        <v>1</v>
      </c>
    </row>
    <row r="39" spans="1:36" x14ac:dyDescent="0.2">
      <c r="A39">
        <v>41</v>
      </c>
      <c r="B39">
        <v>754</v>
      </c>
      <c r="C39">
        <v>270</v>
      </c>
      <c r="D39">
        <v>0.30575913936620902</v>
      </c>
      <c r="E39">
        <v>0.99195279671844405</v>
      </c>
      <c r="F39">
        <v>2.5436887846510299</v>
      </c>
      <c r="G39">
        <v>-16.171347428018652</v>
      </c>
      <c r="H39">
        <v>-14.168652268576432</v>
      </c>
      <c r="I39">
        <v>1.9497591972372199</v>
      </c>
      <c r="J39">
        <v>1.1491181366450001</v>
      </c>
      <c r="K39">
        <v>0.38996625794162498</v>
      </c>
      <c r="L39">
        <v>0</v>
      </c>
      <c r="M39">
        <v>1.2383056720441411E-6</v>
      </c>
      <c r="N39">
        <v>0</v>
      </c>
      <c r="O39" s="1">
        <v>5.5458839146713403E-13</v>
      </c>
      <c r="P39">
        <v>0</v>
      </c>
      <c r="Q39">
        <v>100</v>
      </c>
      <c r="AJ39">
        <v>1</v>
      </c>
    </row>
    <row r="40" spans="1:36" x14ac:dyDescent="0.2">
      <c r="A40">
        <v>42</v>
      </c>
      <c r="B40">
        <v>752</v>
      </c>
      <c r="C40">
        <v>270</v>
      </c>
      <c r="D40">
        <v>0.30426815587962902</v>
      </c>
      <c r="E40">
        <v>1.4087662918888599</v>
      </c>
      <c r="F40">
        <v>2.5436887846510299</v>
      </c>
      <c r="G40">
        <v>-22.960930066604998</v>
      </c>
      <c r="H40">
        <v>-20.125511060686684</v>
      </c>
      <c r="I40">
        <v>2.7658576851371102</v>
      </c>
      <c r="J40">
        <v>1.63155482798952</v>
      </c>
      <c r="K40">
        <v>0.553828086356143</v>
      </c>
      <c r="L40">
        <v>0</v>
      </c>
      <c r="M40">
        <v>1.2383056720441413E-6</v>
      </c>
      <c r="N40">
        <v>0</v>
      </c>
      <c r="O40" s="1">
        <v>7.8762359898212395E-13</v>
      </c>
      <c r="P40">
        <v>0</v>
      </c>
      <c r="Q40">
        <v>100</v>
      </c>
      <c r="AJ40">
        <v>1</v>
      </c>
    </row>
    <row r="41" spans="1:36" x14ac:dyDescent="0.2">
      <c r="A41">
        <v>43</v>
      </c>
      <c r="B41">
        <v>750</v>
      </c>
      <c r="C41">
        <v>270</v>
      </c>
      <c r="D41">
        <v>0.302771343400284</v>
      </c>
      <c r="E41">
        <v>1.82153951540786</v>
      </c>
      <c r="F41">
        <v>2.5436887846510299</v>
      </c>
      <c r="G41">
        <v>-29.681410771107192</v>
      </c>
      <c r="H41">
        <v>-26.026571615878829</v>
      </c>
      <c r="I41">
        <v>3.5721440211389899</v>
      </c>
      <c r="J41">
        <v>2.10906445910391</v>
      </c>
      <c r="K41">
        <v>0.71610156336706199</v>
      </c>
      <c r="L41">
        <v>0</v>
      </c>
      <c r="M41">
        <v>1.2383056720441413E-6</v>
      </c>
      <c r="N41">
        <v>0</v>
      </c>
      <c r="O41" s="1">
        <v>1.0183999411925699E-12</v>
      </c>
      <c r="P41">
        <v>0</v>
      </c>
      <c r="Q41">
        <v>100</v>
      </c>
      <c r="AJ41">
        <v>1</v>
      </c>
    </row>
    <row r="42" spans="1:36" x14ac:dyDescent="0.2">
      <c r="A42">
        <v>44</v>
      </c>
      <c r="B42">
        <v>748</v>
      </c>
      <c r="C42">
        <v>270</v>
      </c>
      <c r="D42">
        <v>0.301268667678598</v>
      </c>
      <c r="E42">
        <v>2.2303371485765502</v>
      </c>
      <c r="F42">
        <v>2.5436887846510299</v>
      </c>
      <c r="G42">
        <v>-36.333896428984723</v>
      </c>
      <c r="H42">
        <v>-31.87272945311463</v>
      </c>
      <c r="I42">
        <v>4.3687675423494001</v>
      </c>
      <c r="J42">
        <v>2.5817238849662898</v>
      </c>
      <c r="K42">
        <v>0.87681211712482798</v>
      </c>
      <c r="L42">
        <v>0</v>
      </c>
      <c r="M42">
        <v>1.2383056720441413E-6</v>
      </c>
      <c r="N42">
        <v>0</v>
      </c>
      <c r="O42" s="1">
        <v>1.2469535806042499E-12</v>
      </c>
      <c r="P42">
        <v>0</v>
      </c>
      <c r="Q42">
        <v>100</v>
      </c>
      <c r="AJ42">
        <v>1</v>
      </c>
    </row>
    <row r="43" spans="1:36" x14ac:dyDescent="0.2">
      <c r="A43">
        <v>45</v>
      </c>
      <c r="B43">
        <v>746</v>
      </c>
      <c r="C43">
        <v>270</v>
      </c>
      <c r="D43">
        <v>0.29976009419614502</v>
      </c>
      <c r="E43">
        <v>2.6352225014011199</v>
      </c>
      <c r="F43">
        <v>2.5436887846510201</v>
      </c>
      <c r="G43">
        <v>-42.919470483571267</v>
      </c>
      <c r="H43">
        <v>-37.664861100665064</v>
      </c>
      <c r="I43">
        <v>5.1558743883689404</v>
      </c>
      <c r="J43">
        <v>3.0496083136004</v>
      </c>
      <c r="K43">
        <v>1.03598463668292</v>
      </c>
      <c r="L43">
        <v>0</v>
      </c>
      <c r="M43">
        <v>1.2383056720441411E-6</v>
      </c>
      <c r="N43">
        <v>0</v>
      </c>
      <c r="O43" s="1">
        <v>1.47331991304911E-12</v>
      </c>
      <c r="P43">
        <v>0</v>
      </c>
      <c r="Q43">
        <v>100</v>
      </c>
      <c r="AJ43">
        <v>1</v>
      </c>
    </row>
    <row r="44" spans="1:36" x14ac:dyDescent="0.2">
      <c r="A44">
        <v>46</v>
      </c>
      <c r="B44">
        <v>744</v>
      </c>
      <c r="C44">
        <v>270</v>
      </c>
      <c r="D44">
        <v>0.298245588163005</v>
      </c>
      <c r="E44">
        <v>3.03625754900842</v>
      </c>
      <c r="F44">
        <v>2.5436887846510299</v>
      </c>
      <c r="G44">
        <v>-49.439193556518894</v>
      </c>
      <c r="H44">
        <v>-43.403824600491248</v>
      </c>
      <c r="I44">
        <v>5.9336075859289696</v>
      </c>
      <c r="J44">
        <v>3.5127913496145502</v>
      </c>
      <c r="K44">
        <v>1.1936434863139</v>
      </c>
      <c r="L44">
        <v>0</v>
      </c>
      <c r="M44">
        <v>1.2383056720441415E-6</v>
      </c>
      <c r="N44">
        <v>0</v>
      </c>
      <c r="O44" s="1">
        <v>1.6975335880447899E-12</v>
      </c>
      <c r="P44">
        <v>0</v>
      </c>
      <c r="Q44">
        <v>100</v>
      </c>
      <c r="AJ44">
        <v>1</v>
      </c>
    </row>
    <row r="45" spans="1:36" x14ac:dyDescent="0.2">
      <c r="A45">
        <v>47</v>
      </c>
      <c r="B45">
        <v>742</v>
      </c>
      <c r="C45">
        <v>270</v>
      </c>
      <c r="D45">
        <v>0.29672511451509398</v>
      </c>
      <c r="E45">
        <v>3.4335029660815501</v>
      </c>
      <c r="F45">
        <v>2.5436887846510201</v>
      </c>
      <c r="G45">
        <v>-55.894104037072886</v>
      </c>
      <c r="H45">
        <v>-49.090459984832698</v>
      </c>
      <c r="I45">
        <v>6.7021071292323198</v>
      </c>
      <c r="J45">
        <v>3.9713450354030999</v>
      </c>
      <c r="K45">
        <v>1.34981251904705</v>
      </c>
      <c r="L45">
        <v>0</v>
      </c>
      <c r="M45">
        <v>1.2383056720441413E-6</v>
      </c>
      <c r="N45">
        <v>0</v>
      </c>
      <c r="O45" s="1">
        <v>1.91962852804707E-12</v>
      </c>
      <c r="P45">
        <v>0</v>
      </c>
      <c r="Q45">
        <v>100</v>
      </c>
      <c r="AJ45">
        <v>1</v>
      </c>
    </row>
    <row r="46" spans="1:36" x14ac:dyDescent="0.2">
      <c r="A46">
        <v>48</v>
      </c>
      <c r="B46">
        <v>740</v>
      </c>
      <c r="C46">
        <v>270</v>
      </c>
      <c r="D46">
        <v>0.295198637911468</v>
      </c>
      <c r="E46">
        <v>3.8270181612190202</v>
      </c>
      <c r="F46">
        <v>2.5436887846510299</v>
      </c>
      <c r="G46">
        <v>-62.285218669213243</v>
      </c>
      <c r="H46">
        <v>-54.725589752189485</v>
      </c>
      <c r="I46">
        <v>7.46151005973819</v>
      </c>
      <c r="J46">
        <v>4.4253398922149998</v>
      </c>
      <c r="K46">
        <v>1.50451509017604</v>
      </c>
      <c r="L46">
        <v>0</v>
      </c>
      <c r="M46">
        <v>1.2383056720441413E-6</v>
      </c>
      <c r="N46">
        <v>0</v>
      </c>
      <c r="O46" s="1">
        <v>2.1396379476597198E-12</v>
      </c>
      <c r="P46">
        <v>0</v>
      </c>
      <c r="Q46">
        <v>100</v>
      </c>
      <c r="AJ46">
        <v>1</v>
      </c>
    </row>
    <row r="47" spans="1:36" x14ac:dyDescent="0.2">
      <c r="A47">
        <v>49</v>
      </c>
      <c r="B47">
        <v>738</v>
      </c>
      <c r="C47">
        <v>270</v>
      </c>
      <c r="D47">
        <v>0.29366612273154402</v>
      </c>
      <c r="E47">
        <v>25.5130886182849</v>
      </c>
      <c r="F47">
        <v>2.5436887846510299</v>
      </c>
      <c r="G47">
        <v>-415.1294107474564</v>
      </c>
      <c r="H47">
        <v>-364.89103020001096</v>
      </c>
      <c r="I47">
        <v>49.684399493097402</v>
      </c>
      <c r="J47">
        <v>29.4940578581067</v>
      </c>
      <c r="K47">
        <v>10.0299567982665</v>
      </c>
      <c r="L47">
        <v>0</v>
      </c>
      <c r="M47">
        <v>1.2383056720441413E-6</v>
      </c>
      <c r="N47">
        <v>0</v>
      </c>
      <c r="O47" s="1">
        <v>1.4264048475876401E-11</v>
      </c>
      <c r="P47">
        <v>0</v>
      </c>
      <c r="Q47">
        <v>100</v>
      </c>
      <c r="AJ47">
        <v>1</v>
      </c>
    </row>
    <row r="48" spans="1:36" x14ac:dyDescent="0.2">
      <c r="A48">
        <v>50</v>
      </c>
      <c r="B48">
        <v>736</v>
      </c>
      <c r="C48">
        <v>270</v>
      </c>
      <c r="D48">
        <v>0.29212753307238798</v>
      </c>
      <c r="E48">
        <v>29.102943954329401</v>
      </c>
      <c r="F48">
        <v>2.5436887846510201</v>
      </c>
      <c r="G48">
        <v>-473.42749949532168</v>
      </c>
      <c r="H48">
        <v>-416.30081957838445</v>
      </c>
      <c r="I48">
        <v>56.608710218438503</v>
      </c>
      <c r="J48">
        <v>33.6351412235813</v>
      </c>
      <c r="K48">
        <v>11.441236101656999</v>
      </c>
      <c r="L48">
        <v>0</v>
      </c>
      <c r="M48">
        <v>1.2383056720441411E-6</v>
      </c>
      <c r="N48">
        <v>0</v>
      </c>
      <c r="O48" s="1">
        <v>1.62710916567645E-11</v>
      </c>
      <c r="P48">
        <v>0</v>
      </c>
      <c r="Q48">
        <v>100</v>
      </c>
      <c r="AJ48">
        <v>1</v>
      </c>
    </row>
    <row r="49" spans="1:36" x14ac:dyDescent="0.2">
      <c r="A49">
        <v>51</v>
      </c>
      <c r="B49">
        <v>734</v>
      </c>
      <c r="C49">
        <v>270</v>
      </c>
      <c r="D49">
        <v>0.29058283274586499</v>
      </c>
      <c r="E49">
        <v>30.5390123342424</v>
      </c>
      <c r="F49">
        <v>2.5436887846510299</v>
      </c>
      <c r="G49">
        <v>-496.66977876353701</v>
      </c>
      <c r="H49">
        <v>-436.91352937992508</v>
      </c>
      <c r="I49">
        <v>59.3320254019876</v>
      </c>
      <c r="J49">
        <v>35.285446698065499</v>
      </c>
      <c r="K49">
        <v>12.005797453886199</v>
      </c>
      <c r="L49">
        <v>0</v>
      </c>
      <c r="M49">
        <v>1.2383056720441413E-6</v>
      </c>
      <c r="N49">
        <v>0</v>
      </c>
      <c r="O49" s="1">
        <v>1.7073979511395801E-11</v>
      </c>
      <c r="P49">
        <v>0</v>
      </c>
      <c r="Q49">
        <v>100</v>
      </c>
      <c r="AJ49">
        <v>1</v>
      </c>
    </row>
    <row r="50" spans="1:36" x14ac:dyDescent="0.2">
      <c r="A50">
        <v>52</v>
      </c>
      <c r="B50">
        <v>732</v>
      </c>
      <c r="C50">
        <v>270</v>
      </c>
      <c r="D50">
        <v>0.28903198527583002</v>
      </c>
      <c r="E50">
        <v>31.355358680840499</v>
      </c>
      <c r="F50">
        <v>2.5436887846510299</v>
      </c>
      <c r="G50">
        <v>-509.82462474916849</v>
      </c>
      <c r="H50">
        <v>-448.66522715427129</v>
      </c>
      <c r="I50">
        <v>60.846040486392198</v>
      </c>
      <c r="J50">
        <v>36.218975304380301</v>
      </c>
      <c r="K50">
        <v>12.3267275737673</v>
      </c>
      <c r="L50">
        <v>0</v>
      </c>
      <c r="M50">
        <v>1.2383056720441411E-6</v>
      </c>
      <c r="N50">
        <v>0</v>
      </c>
      <c r="O50" s="1">
        <v>1.7530388534826799E-11</v>
      </c>
      <c r="P50">
        <v>0</v>
      </c>
      <c r="Q50">
        <v>100</v>
      </c>
      <c r="AJ50">
        <v>1</v>
      </c>
    </row>
    <row r="51" spans="1:36" x14ac:dyDescent="0.2">
      <c r="A51">
        <v>53</v>
      </c>
      <c r="B51">
        <v>730</v>
      </c>
      <c r="C51">
        <v>270</v>
      </c>
      <c r="D51">
        <v>0.28747495389523398</v>
      </c>
      <c r="E51">
        <v>31.896623654452299</v>
      </c>
      <c r="F51">
        <v>2.5436887846510299</v>
      </c>
      <c r="G51">
        <v>-518.50164064078285</v>
      </c>
      <c r="H51">
        <v>-456.48389032008453</v>
      </c>
      <c r="I51">
        <v>61.823007845983497</v>
      </c>
      <c r="J51">
        <v>36.8342900851057</v>
      </c>
      <c r="K51">
        <v>12.5395149937056</v>
      </c>
      <c r="L51">
        <v>0</v>
      </c>
      <c r="M51">
        <v>1.2383056720441413E-6</v>
      </c>
      <c r="N51">
        <v>0</v>
      </c>
      <c r="O51" s="1">
        <v>1.7833003006065699E-11</v>
      </c>
      <c r="P51">
        <v>0</v>
      </c>
      <c r="Q51">
        <v>100</v>
      </c>
      <c r="AJ51">
        <v>1</v>
      </c>
    </row>
    <row r="52" spans="1:36" x14ac:dyDescent="0.2">
      <c r="A52">
        <v>54</v>
      </c>
      <c r="B52">
        <v>728</v>
      </c>
      <c r="C52">
        <v>270</v>
      </c>
      <c r="D52">
        <v>0.28591170154322698</v>
      </c>
      <c r="E52">
        <v>32.288719623856998</v>
      </c>
      <c r="F52">
        <v>2.5436887846510299</v>
      </c>
      <c r="G52">
        <v>-524.75033976987152</v>
      </c>
      <c r="H52">
        <v>-462.16987885925784</v>
      </c>
      <c r="I52">
        <v>62.508576048158297</v>
      </c>
      <c r="J52">
        <v>37.277009424311899</v>
      </c>
      <c r="K52">
        <v>12.693659624829699</v>
      </c>
      <c r="L52">
        <v>0</v>
      </c>
      <c r="M52">
        <v>1.2383056720441411E-6</v>
      </c>
      <c r="N52">
        <v>0</v>
      </c>
      <c r="O52" s="1">
        <v>1.80522189543368E-11</v>
      </c>
      <c r="P52">
        <v>0</v>
      </c>
      <c r="Q52">
        <v>100</v>
      </c>
      <c r="AJ52">
        <v>1</v>
      </c>
    </row>
    <row r="53" spans="1:36" x14ac:dyDescent="0.2">
      <c r="A53">
        <v>56</v>
      </c>
      <c r="B53">
        <v>758</v>
      </c>
      <c r="C53">
        <v>255</v>
      </c>
      <c r="D53">
        <v>0.32472530669640698</v>
      </c>
      <c r="E53">
        <v>0.14890372925429901</v>
      </c>
      <c r="F53">
        <v>2.54321635207668</v>
      </c>
      <c r="G53">
        <v>-2.4295588220164706</v>
      </c>
      <c r="H53">
        <v>-2.1270686012227742</v>
      </c>
      <c r="I53">
        <v>0.29335229674993502</v>
      </c>
      <c r="J53">
        <v>0.17258364055023701</v>
      </c>
      <c r="K53">
        <v>5.8549375530992598E-2</v>
      </c>
      <c r="L53">
        <v>0</v>
      </c>
      <c r="M53">
        <v>1.2382889668785757E-6</v>
      </c>
      <c r="N53">
        <v>0</v>
      </c>
      <c r="O53" s="1">
        <v>8.3250211062249801E-14</v>
      </c>
      <c r="P53">
        <v>0</v>
      </c>
      <c r="Q53">
        <v>100</v>
      </c>
      <c r="AJ53">
        <v>1</v>
      </c>
    </row>
    <row r="54" spans="1:36" x14ac:dyDescent="0.2">
      <c r="A54">
        <v>57</v>
      </c>
      <c r="B54">
        <v>756</v>
      </c>
      <c r="C54">
        <v>255</v>
      </c>
      <c r="D54">
        <v>0.32327697614536499</v>
      </c>
      <c r="E54">
        <v>0.56661735259446799</v>
      </c>
      <c r="F54">
        <v>2.54321635207668</v>
      </c>
      <c r="G54">
        <v>-9.2428708627292888</v>
      </c>
      <c r="H54">
        <v>-8.0953616050210613</v>
      </c>
      <c r="I54">
        <v>1.11500680921947</v>
      </c>
      <c r="J54">
        <v>0.65655934297184304</v>
      </c>
      <c r="K54">
        <v>0.222795576212693</v>
      </c>
      <c r="L54">
        <v>0</v>
      </c>
      <c r="M54">
        <v>1.2382889668785757E-6</v>
      </c>
      <c r="N54">
        <v>0</v>
      </c>
      <c r="O54" s="1">
        <v>3.1678866896922098E-13</v>
      </c>
      <c r="P54">
        <v>0</v>
      </c>
      <c r="Q54">
        <v>100</v>
      </c>
      <c r="AJ54">
        <v>1</v>
      </c>
    </row>
    <row r="55" spans="1:36" x14ac:dyDescent="0.2">
      <c r="A55">
        <v>58</v>
      </c>
      <c r="B55">
        <v>754</v>
      </c>
      <c r="C55">
        <v>255</v>
      </c>
      <c r="D55">
        <v>0.321823005403299</v>
      </c>
      <c r="E55">
        <v>0.98027831317587699</v>
      </c>
      <c r="F55">
        <v>2.54321635207668</v>
      </c>
      <c r="G55">
        <v>-15.98680491202801</v>
      </c>
      <c r="H55">
        <v>-14.007679857692638</v>
      </c>
      <c r="I55">
        <v>1.9268121056665199</v>
      </c>
      <c r="J55">
        <v>1.1355939439423699</v>
      </c>
      <c r="K55">
        <v>0.38544825821657702</v>
      </c>
      <c r="L55">
        <v>0</v>
      </c>
      <c r="M55">
        <v>1.2382889668785759E-6</v>
      </c>
      <c r="N55">
        <v>0</v>
      </c>
      <c r="O55" s="1">
        <v>5.4806133385864598E-13</v>
      </c>
      <c r="P55">
        <v>0</v>
      </c>
      <c r="Q55">
        <v>100</v>
      </c>
      <c r="AJ55">
        <v>1</v>
      </c>
    </row>
    <row r="56" spans="1:36" x14ac:dyDescent="0.2">
      <c r="A56">
        <v>59</v>
      </c>
      <c r="B56">
        <v>752</v>
      </c>
      <c r="C56">
        <v>255</v>
      </c>
      <c r="D56">
        <v>0.3203633614593</v>
      </c>
      <c r="E56">
        <v>1.38995092130093</v>
      </c>
      <c r="F56">
        <v>2.54321635207668</v>
      </c>
      <c r="G56">
        <v>-22.662462939496869</v>
      </c>
      <c r="H56">
        <v>-19.864913564386427</v>
      </c>
      <c r="I56">
        <v>2.7289171097989899</v>
      </c>
      <c r="J56">
        <v>1.60976391142665</v>
      </c>
      <c r="K56">
        <v>0.546532708538917</v>
      </c>
      <c r="L56">
        <v>0</v>
      </c>
      <c r="M56">
        <v>1.2382889668785759E-6</v>
      </c>
      <c r="N56">
        <v>0</v>
      </c>
      <c r="O56" s="1">
        <v>7.7710416081557398E-13</v>
      </c>
      <c r="P56">
        <v>0</v>
      </c>
      <c r="Q56">
        <v>100</v>
      </c>
      <c r="AJ56">
        <v>1</v>
      </c>
    </row>
    <row r="57" spans="1:36" x14ac:dyDescent="0.2">
      <c r="A57">
        <v>60</v>
      </c>
      <c r="B57">
        <v>750</v>
      </c>
      <c r="C57">
        <v>255</v>
      </c>
      <c r="D57">
        <v>0.31889801104432502</v>
      </c>
      <c r="E57">
        <v>1.7956981193795201</v>
      </c>
      <c r="F57">
        <v>2.54321635207668</v>
      </c>
      <c r="G57">
        <v>-29.270923510662659</v>
      </c>
      <c r="H57">
        <v>-25.667933983307446</v>
      </c>
      <c r="I57">
        <v>3.52146755349187</v>
      </c>
      <c r="J57">
        <v>2.0791440706215401</v>
      </c>
      <c r="K57">
        <v>0.70607367631669704</v>
      </c>
      <c r="L57">
        <v>0</v>
      </c>
      <c r="M57">
        <v>1.2382889668785759E-6</v>
      </c>
      <c r="N57">
        <v>0</v>
      </c>
      <c r="O57" s="1">
        <v>1.0039523401534499E-12</v>
      </c>
      <c r="P57">
        <v>0</v>
      </c>
      <c r="Q57">
        <v>100</v>
      </c>
      <c r="AJ57">
        <v>1</v>
      </c>
    </row>
    <row r="58" spans="1:36" x14ac:dyDescent="0.2">
      <c r="A58">
        <v>61</v>
      </c>
      <c r="B58">
        <v>748</v>
      </c>
      <c r="C58">
        <v>255</v>
      </c>
      <c r="D58">
        <v>0.31742692062870498</v>
      </c>
      <c r="E58">
        <v>2.19758151643263</v>
      </c>
      <c r="F58">
        <v>2.54321635207668</v>
      </c>
      <c r="G58">
        <v>-35.813242378750694</v>
      </c>
      <c r="H58">
        <v>-31.417593902847049</v>
      </c>
      <c r="I58">
        <v>4.3046060577815597</v>
      </c>
      <c r="J58">
        <v>2.5438076452950402</v>
      </c>
      <c r="K58">
        <v>0.86409538639454597</v>
      </c>
      <c r="L58">
        <v>0</v>
      </c>
      <c r="M58">
        <v>1.2382889668785759E-6</v>
      </c>
      <c r="N58">
        <v>0</v>
      </c>
      <c r="O58" s="1">
        <v>1.22864031670471E-12</v>
      </c>
      <c r="P58">
        <v>0</v>
      </c>
      <c r="Q58">
        <v>100</v>
      </c>
      <c r="AJ58">
        <v>1</v>
      </c>
    </row>
    <row r="59" spans="1:36" x14ac:dyDescent="0.2">
      <c r="A59">
        <v>62</v>
      </c>
      <c r="B59">
        <v>746</v>
      </c>
      <c r="C59">
        <v>255</v>
      </c>
      <c r="D59">
        <v>0.31595005641956603</v>
      </c>
      <c r="E59">
        <v>2.5956614232850201</v>
      </c>
      <c r="F59">
        <v>2.54321635207668</v>
      </c>
      <c r="G59">
        <v>-42.29045308677194</v>
      </c>
      <c r="H59">
        <v>-37.1147281290542</v>
      </c>
      <c r="I59">
        <v>5.0784722148042301</v>
      </c>
      <c r="J59">
        <v>3.0038262998790799</v>
      </c>
      <c r="K59">
        <v>1.02062155316259</v>
      </c>
      <c r="L59">
        <v>0</v>
      </c>
      <c r="M59">
        <v>1.2382889668785759E-6</v>
      </c>
      <c r="N59">
        <v>0</v>
      </c>
      <c r="O59" s="1">
        <v>1.45120180949651E-12</v>
      </c>
      <c r="P59">
        <v>0</v>
      </c>
      <c r="Q59">
        <v>100</v>
      </c>
      <c r="AJ59">
        <v>1</v>
      </c>
    </row>
    <row r="60" spans="1:36" x14ac:dyDescent="0.2">
      <c r="A60">
        <v>63</v>
      </c>
      <c r="B60">
        <v>744</v>
      </c>
      <c r="C60">
        <v>255</v>
      </c>
      <c r="D60">
        <v>0.31446738435825899</v>
      </c>
      <c r="E60">
        <v>3.1222692404645702</v>
      </c>
      <c r="F60">
        <v>2.54321635207668</v>
      </c>
      <c r="G60">
        <v>-50.858130168381365</v>
      </c>
      <c r="H60">
        <v>-44.651790112540588</v>
      </c>
      <c r="I60">
        <v>6.1016959699560296</v>
      </c>
      <c r="J60">
        <v>3.6123023827980001</v>
      </c>
      <c r="K60">
        <v>1.22768526472985</v>
      </c>
      <c r="L60">
        <v>0</v>
      </c>
      <c r="M60">
        <v>1.2382889668785757E-6</v>
      </c>
      <c r="N60">
        <v>0</v>
      </c>
      <c r="O60" s="1">
        <v>1.7456216480511099E-12</v>
      </c>
      <c r="P60">
        <v>0</v>
      </c>
      <c r="Q60">
        <v>100</v>
      </c>
      <c r="AJ60">
        <v>1</v>
      </c>
    </row>
    <row r="61" spans="1:36" x14ac:dyDescent="0.2">
      <c r="A61">
        <v>64</v>
      </c>
      <c r="B61">
        <v>742</v>
      </c>
      <c r="C61">
        <v>255</v>
      </c>
      <c r="D61">
        <v>0.31297887011771702</v>
      </c>
      <c r="E61">
        <v>6.29178733492944</v>
      </c>
      <c r="F61">
        <v>2.54321635207668</v>
      </c>
      <c r="G61">
        <v>-102.46131201415699</v>
      </c>
      <c r="H61">
        <v>-89.993846017438798</v>
      </c>
      <c r="I61">
        <v>12.2814027451294</v>
      </c>
      <c r="J61">
        <v>7.2773661893468802</v>
      </c>
      <c r="K61">
        <v>2.47394891503895</v>
      </c>
      <c r="L61">
        <v>0</v>
      </c>
      <c r="M61">
        <v>1.2382889668785759E-6</v>
      </c>
      <c r="N61">
        <v>0</v>
      </c>
      <c r="O61" s="1">
        <v>3.5176595389167701E-12</v>
      </c>
      <c r="P61">
        <v>0</v>
      </c>
      <c r="Q61">
        <v>100</v>
      </c>
      <c r="AJ61">
        <v>1</v>
      </c>
    </row>
    <row r="62" spans="1:36" x14ac:dyDescent="0.2">
      <c r="A62">
        <v>65</v>
      </c>
      <c r="B62">
        <v>740</v>
      </c>
      <c r="C62">
        <v>255</v>
      </c>
      <c r="D62">
        <v>0.31148447909983901</v>
      </c>
      <c r="E62">
        <v>26.133860326878999</v>
      </c>
      <c r="F62">
        <v>2.54321635207668</v>
      </c>
      <c r="G62">
        <v>-425.48610252687251</v>
      </c>
      <c r="H62">
        <v>-373.86306915783172</v>
      </c>
      <c r="I62">
        <v>50.953001400622497</v>
      </c>
      <c r="J62">
        <v>30.219667054120901</v>
      </c>
      <c r="K62">
        <v>10.275909206678</v>
      </c>
      <c r="L62">
        <v>0</v>
      </c>
      <c r="M62">
        <v>1.2382889668785755E-6</v>
      </c>
      <c r="N62">
        <v>0</v>
      </c>
      <c r="O62" s="1">
        <v>1.4611114167385598E-11</v>
      </c>
      <c r="P62">
        <v>0</v>
      </c>
      <c r="Q62">
        <v>100</v>
      </c>
      <c r="AJ62">
        <v>1</v>
      </c>
    </row>
    <row r="63" spans="1:36" x14ac:dyDescent="0.2">
      <c r="A63">
        <v>66</v>
      </c>
      <c r="B63">
        <v>738</v>
      </c>
      <c r="C63">
        <v>255</v>
      </c>
      <c r="D63">
        <v>0.30998417643277698</v>
      </c>
      <c r="E63">
        <v>29.219941550811399</v>
      </c>
      <c r="F63">
        <v>2.54321635207668</v>
      </c>
      <c r="G63">
        <v>-475.61680317066737</v>
      </c>
      <c r="H63">
        <v>-418.07917747717488</v>
      </c>
      <c r="I63">
        <v>56.903155509560797</v>
      </c>
      <c r="J63">
        <v>33.779314594332497</v>
      </c>
      <c r="K63">
        <v>11.489365239002</v>
      </c>
      <c r="L63">
        <v>0</v>
      </c>
      <c r="M63">
        <v>1.2382889668785757E-6</v>
      </c>
      <c r="N63">
        <v>0</v>
      </c>
      <c r="O63" s="1">
        <v>1.6336503548391901E-11</v>
      </c>
      <c r="P63">
        <v>0</v>
      </c>
      <c r="Q63">
        <v>100</v>
      </c>
      <c r="AJ63">
        <v>1</v>
      </c>
    </row>
    <row r="64" spans="1:36" x14ac:dyDescent="0.2">
      <c r="A64">
        <v>67</v>
      </c>
      <c r="B64">
        <v>736</v>
      </c>
      <c r="C64">
        <v>255</v>
      </c>
      <c r="D64">
        <v>0.308477926968244</v>
      </c>
      <c r="E64">
        <v>30.5571670990632</v>
      </c>
      <c r="F64">
        <v>2.54321635207668</v>
      </c>
      <c r="G64">
        <v>-497.26405334117482</v>
      </c>
      <c r="H64">
        <v>-437.28285326822242</v>
      </c>
      <c r="I64">
        <v>59.437348335680902</v>
      </c>
      <c r="J64">
        <v>35.315830329139899</v>
      </c>
      <c r="K64">
        <v>12.0151661788866</v>
      </c>
      <c r="L64">
        <v>0</v>
      </c>
      <c r="M64">
        <v>1.2382889668785757E-6</v>
      </c>
      <c r="N64">
        <v>0</v>
      </c>
      <c r="O64" s="1">
        <v>1.7084129613147299E-11</v>
      </c>
      <c r="P64">
        <v>0</v>
      </c>
      <c r="Q64">
        <v>100</v>
      </c>
      <c r="AJ64">
        <v>1</v>
      </c>
    </row>
    <row r="65" spans="1:36" x14ac:dyDescent="0.2">
      <c r="A65">
        <v>68</v>
      </c>
      <c r="B65">
        <v>734</v>
      </c>
      <c r="C65">
        <v>255</v>
      </c>
      <c r="D65">
        <v>0.306965695278758</v>
      </c>
      <c r="E65">
        <v>31.3397795836154</v>
      </c>
      <c r="F65">
        <v>2.54321635207668</v>
      </c>
      <c r="G65">
        <v>-509.87784515598287</v>
      </c>
      <c r="H65">
        <v>-448.55471970814062</v>
      </c>
      <c r="I65">
        <v>60.887777836312601</v>
      </c>
      <c r="J65">
        <v>36.210670794577098</v>
      </c>
      <c r="K65">
        <v>12.322891663552101</v>
      </c>
      <c r="L65">
        <v>0</v>
      </c>
      <c r="M65">
        <v>1.2382889668785759E-6</v>
      </c>
      <c r="N65">
        <v>0</v>
      </c>
      <c r="O65" s="1">
        <v>1.7521678456586002E-11</v>
      </c>
      <c r="P65">
        <v>0</v>
      </c>
      <c r="Q65">
        <v>100</v>
      </c>
      <c r="AJ65">
        <v>1</v>
      </c>
    </row>
    <row r="66" spans="1:36" x14ac:dyDescent="0.2">
      <c r="A66">
        <v>69</v>
      </c>
      <c r="B66">
        <v>732</v>
      </c>
      <c r="C66">
        <v>255</v>
      </c>
      <c r="D66">
        <v>0.30544744565487703</v>
      </c>
      <c r="E66">
        <v>31.866894092638201</v>
      </c>
      <c r="F66">
        <v>2.54321635207668</v>
      </c>
      <c r="G66">
        <v>-518.32990504816507</v>
      </c>
      <c r="H66">
        <v>-456.1727450627161</v>
      </c>
      <c r="I66">
        <v>61.838690728198699</v>
      </c>
      <c r="J66">
        <v>36.809856392228802</v>
      </c>
      <c r="K66">
        <v>12.5301546078126</v>
      </c>
      <c r="L66">
        <v>0</v>
      </c>
      <c r="M66">
        <v>1.2382889668785757E-6</v>
      </c>
      <c r="N66">
        <v>0</v>
      </c>
      <c r="O66" s="1">
        <v>1.7816381580207401E-11</v>
      </c>
      <c r="P66">
        <v>0</v>
      </c>
      <c r="Q66">
        <v>100</v>
      </c>
      <c r="AJ66">
        <v>1</v>
      </c>
    </row>
    <row r="67" spans="1:36" x14ac:dyDescent="0.2">
      <c r="A67">
        <v>70</v>
      </c>
      <c r="B67">
        <v>730</v>
      </c>
      <c r="C67">
        <v>255</v>
      </c>
      <c r="D67">
        <v>0.30392314210237997</v>
      </c>
      <c r="E67">
        <v>32.252495962291903</v>
      </c>
      <c r="F67">
        <v>2.54321635207668</v>
      </c>
      <c r="G67">
        <v>-524.47679966798637</v>
      </c>
      <c r="H67">
        <v>-461.76711404489544</v>
      </c>
      <c r="I67">
        <v>62.512770396342397</v>
      </c>
      <c r="J67">
        <v>37.245252197027803</v>
      </c>
      <c r="K67">
        <v>12.6817743743884</v>
      </c>
      <c r="L67">
        <v>0</v>
      </c>
      <c r="M67">
        <v>1.2382889668785759E-6</v>
      </c>
      <c r="N67">
        <v>0</v>
      </c>
      <c r="O67" s="1">
        <v>1.8031966758600401E-11</v>
      </c>
      <c r="P67">
        <v>0</v>
      </c>
      <c r="Q67">
        <v>100</v>
      </c>
      <c r="AJ67">
        <v>1</v>
      </c>
    </row>
    <row r="68" spans="1:36" x14ac:dyDescent="0.2">
      <c r="A68">
        <v>72</v>
      </c>
      <c r="B68">
        <v>758</v>
      </c>
      <c r="C68">
        <v>240</v>
      </c>
      <c r="D68">
        <v>0.34072685836202499</v>
      </c>
      <c r="E68">
        <v>0.16832344086948201</v>
      </c>
      <c r="F68">
        <v>2.5427440136239099</v>
      </c>
      <c r="G68">
        <v>-2.7474096517292286</v>
      </c>
      <c r="H68">
        <v>-2.4054692916835161</v>
      </c>
      <c r="I68">
        <v>0.33161068714126102</v>
      </c>
      <c r="J68">
        <v>0.19509163645986499</v>
      </c>
      <c r="K68">
        <v>6.6197556642592706E-2</v>
      </c>
      <c r="L68">
        <v>0</v>
      </c>
      <c r="M68">
        <v>1.2382722283092387E-6</v>
      </c>
      <c r="N68">
        <v>0</v>
      </c>
      <c r="O68" s="1">
        <v>9.41075287320512E-14</v>
      </c>
      <c r="P68">
        <v>0</v>
      </c>
      <c r="Q68">
        <v>100</v>
      </c>
      <c r="AJ68">
        <v>1</v>
      </c>
    </row>
    <row r="69" spans="1:36" x14ac:dyDescent="0.2">
      <c r="A69">
        <v>73</v>
      </c>
      <c r="B69">
        <v>756</v>
      </c>
      <c r="C69">
        <v>240</v>
      </c>
      <c r="D69">
        <v>0.33930962444735902</v>
      </c>
      <c r="E69">
        <v>0.57830891768416504</v>
      </c>
      <c r="F69">
        <v>2.5427440136239099</v>
      </c>
      <c r="G69">
        <v>-9.4369991846600687</v>
      </c>
      <c r="H69">
        <v>-8.2658122560932021</v>
      </c>
      <c r="I69">
        <v>1.13801382555202</v>
      </c>
      <c r="J69">
        <v>0.67010676833475302</v>
      </c>
      <c r="K69">
        <v>0.22743497362912299</v>
      </c>
      <c r="L69">
        <v>0</v>
      </c>
      <c r="M69">
        <v>1.2382722283092387E-6</v>
      </c>
      <c r="N69">
        <v>0</v>
      </c>
      <c r="O69" s="1">
        <v>3.23325276656883E-13</v>
      </c>
      <c r="P69">
        <v>0</v>
      </c>
      <c r="Q69">
        <v>100</v>
      </c>
      <c r="AJ69">
        <v>1</v>
      </c>
    </row>
    <row r="70" spans="1:36" x14ac:dyDescent="0.2">
      <c r="A70">
        <v>74</v>
      </c>
      <c r="B70">
        <v>754</v>
      </c>
      <c r="C70">
        <v>240</v>
      </c>
      <c r="D70">
        <v>0.33788687144039198</v>
      </c>
      <c r="E70">
        <v>0.98437300362414604</v>
      </c>
      <c r="F70">
        <v>2.5427440136239099</v>
      </c>
      <c r="G70">
        <v>-16.059389317811711</v>
      </c>
      <c r="H70">
        <v>-14.071997320969306</v>
      </c>
      <c r="I70">
        <v>1.93486053336163</v>
      </c>
      <c r="J70">
        <v>1.1403373985438601</v>
      </c>
      <c r="K70">
        <v>0.38713020199828102</v>
      </c>
      <c r="L70">
        <v>0</v>
      </c>
      <c r="M70">
        <v>1.2382722283092387E-6</v>
      </c>
      <c r="N70">
        <v>0</v>
      </c>
      <c r="O70" s="1">
        <v>5.5035062403129701E-13</v>
      </c>
      <c r="P70">
        <v>0</v>
      </c>
      <c r="Q70">
        <v>100</v>
      </c>
      <c r="AJ70">
        <v>1</v>
      </c>
    </row>
    <row r="71" spans="1:36" x14ac:dyDescent="0.2">
      <c r="A71">
        <v>75</v>
      </c>
      <c r="B71">
        <v>752</v>
      </c>
      <c r="C71">
        <v>240</v>
      </c>
      <c r="D71">
        <v>0.33645856703896998</v>
      </c>
      <c r="E71">
        <v>1.38657671622444</v>
      </c>
      <c r="F71">
        <v>2.5427440136239099</v>
      </c>
      <c r="G71">
        <v>-22.615627042036174</v>
      </c>
      <c r="H71">
        <v>-19.82486891772357</v>
      </c>
      <c r="I71">
        <v>2.7222924687241798</v>
      </c>
      <c r="J71">
        <v>1.6058560946263101</v>
      </c>
      <c r="K71">
        <v>0.54530723847749596</v>
      </c>
      <c r="L71">
        <v>0</v>
      </c>
      <c r="M71">
        <v>1.2382722283092387E-6</v>
      </c>
      <c r="N71">
        <v>0</v>
      </c>
      <c r="O71" s="1">
        <v>7.7521768499530799E-13</v>
      </c>
      <c r="P71">
        <v>0</v>
      </c>
      <c r="Q71">
        <v>100</v>
      </c>
      <c r="AJ71">
        <v>1</v>
      </c>
    </row>
    <row r="72" spans="1:36" x14ac:dyDescent="0.2">
      <c r="A72">
        <v>76</v>
      </c>
      <c r="B72">
        <v>750</v>
      </c>
      <c r="C72">
        <v>240</v>
      </c>
      <c r="D72">
        <v>0.335024678688366</v>
      </c>
      <c r="E72">
        <v>1.78497978603702</v>
      </c>
      <c r="F72">
        <v>2.5427440136239099</v>
      </c>
      <c r="G72">
        <v>-29.106737310420016</v>
      </c>
      <c r="H72">
        <v>-25.525253648870962</v>
      </c>
      <c r="I72">
        <v>3.5004482837795501</v>
      </c>
      <c r="J72">
        <v>2.0667338781868998</v>
      </c>
      <c r="K72">
        <v>0.70198957365475201</v>
      </c>
      <c r="L72">
        <v>0</v>
      </c>
      <c r="M72">
        <v>1.2382722283092387E-6</v>
      </c>
      <c r="N72">
        <v>0</v>
      </c>
      <c r="O72" s="1">
        <v>9.9795985415282193E-13</v>
      </c>
      <c r="P72">
        <v>0</v>
      </c>
      <c r="Q72">
        <v>100</v>
      </c>
      <c r="AJ72">
        <v>1</v>
      </c>
    </row>
    <row r="73" spans="1:36" x14ac:dyDescent="0.2">
      <c r="A73">
        <v>77</v>
      </c>
      <c r="B73">
        <v>748</v>
      </c>
      <c r="C73">
        <v>240</v>
      </c>
      <c r="D73">
        <v>0.33358517357881101</v>
      </c>
      <c r="E73">
        <v>2.1796406901625698</v>
      </c>
      <c r="F73">
        <v>2.5427440136239099</v>
      </c>
      <c r="G73">
        <v>-35.533723612673853</v>
      </c>
      <c r="H73">
        <v>-31.173960752416651</v>
      </c>
      <c r="I73">
        <v>4.26946370294002</v>
      </c>
      <c r="J73">
        <v>2.5230402650238601</v>
      </c>
      <c r="K73">
        <v>0.85720020516581896</v>
      </c>
      <c r="L73">
        <v>0</v>
      </c>
      <c r="M73">
        <v>1.2382722283092385E-6</v>
      </c>
      <c r="N73">
        <v>0</v>
      </c>
      <c r="O73" s="1">
        <v>1.21860982531881E-12</v>
      </c>
      <c r="P73">
        <v>0</v>
      </c>
      <c r="Q73">
        <v>100</v>
      </c>
      <c r="AJ73">
        <v>1</v>
      </c>
    </row>
    <row r="74" spans="1:36" x14ac:dyDescent="0.2">
      <c r="A74">
        <v>78</v>
      </c>
      <c r="B74">
        <v>746</v>
      </c>
      <c r="C74">
        <v>240</v>
      </c>
      <c r="D74">
        <v>0.33214001864298798</v>
      </c>
      <c r="E74">
        <v>3.3152264378990601</v>
      </c>
      <c r="F74">
        <v>2.5427440136239099</v>
      </c>
      <c r="G74">
        <v>-54.033698491271039</v>
      </c>
      <c r="H74">
        <v>-47.423167525562832</v>
      </c>
      <c r="I74">
        <v>6.4863179764590102</v>
      </c>
      <c r="J74">
        <v>3.8365421140375702</v>
      </c>
      <c r="K74">
        <v>1.30379873873902</v>
      </c>
      <c r="L74">
        <v>0</v>
      </c>
      <c r="M74">
        <v>1.2382722283092387E-6</v>
      </c>
      <c r="N74">
        <v>0</v>
      </c>
      <c r="O74" s="1">
        <v>1.8535016017154501E-12</v>
      </c>
      <c r="P74">
        <v>0</v>
      </c>
      <c r="Q74">
        <v>100</v>
      </c>
      <c r="AJ74">
        <v>1</v>
      </c>
    </row>
    <row r="75" spans="1:36" x14ac:dyDescent="0.2">
      <c r="A75">
        <v>79</v>
      </c>
      <c r="B75">
        <v>744</v>
      </c>
      <c r="C75">
        <v>240</v>
      </c>
      <c r="D75">
        <v>0.33068918055350899</v>
      </c>
      <c r="E75">
        <v>16.3164062098671</v>
      </c>
      <c r="F75">
        <v>2.5427440136239099</v>
      </c>
      <c r="G75">
        <v>-265.87150115763632</v>
      </c>
      <c r="H75">
        <v>-233.43830669917253</v>
      </c>
      <c r="I75">
        <v>31.886343664615602</v>
      </c>
      <c r="J75">
        <v>18.8772295056249</v>
      </c>
      <c r="K75">
        <v>6.4168497192184999</v>
      </c>
      <c r="L75">
        <v>0</v>
      </c>
      <c r="M75">
        <v>1.2382722283092389E-6</v>
      </c>
      <c r="N75">
        <v>0</v>
      </c>
      <c r="O75" s="1">
        <v>9.1222984645941805E-12</v>
      </c>
      <c r="P75">
        <v>0</v>
      </c>
      <c r="Q75">
        <v>100</v>
      </c>
      <c r="AJ75">
        <v>1</v>
      </c>
    </row>
    <row r="76" spans="1:36" x14ac:dyDescent="0.2">
      <c r="A76">
        <v>80</v>
      </c>
      <c r="B76">
        <v>742</v>
      </c>
      <c r="C76">
        <v>240</v>
      </c>
      <c r="D76">
        <v>0.32923262572033701</v>
      </c>
      <c r="E76">
        <v>26.753199320340201</v>
      </c>
      <c r="F76">
        <v>2.5427440136239099</v>
      </c>
      <c r="G76">
        <v>-435.83176606254068</v>
      </c>
      <c r="H76">
        <v>-382.81907108824277</v>
      </c>
      <c r="I76">
        <v>52.221538663545203</v>
      </c>
      <c r="J76">
        <v>30.943961997864498</v>
      </c>
      <c r="K76">
        <v>10.521389167371</v>
      </c>
      <c r="L76">
        <v>0</v>
      </c>
      <c r="M76">
        <v>1.2382722283092387E-6</v>
      </c>
      <c r="N76">
        <v>0</v>
      </c>
      <c r="O76" s="1">
        <v>1.4957378845798401E-11</v>
      </c>
      <c r="P76">
        <v>0</v>
      </c>
      <c r="Q76">
        <v>100</v>
      </c>
      <c r="AJ76">
        <v>1</v>
      </c>
    </row>
    <row r="77" spans="1:36" x14ac:dyDescent="0.2">
      <c r="A77">
        <v>81</v>
      </c>
      <c r="B77">
        <v>740</v>
      </c>
      <c r="C77">
        <v>240</v>
      </c>
      <c r="D77">
        <v>0.32777032028821201</v>
      </c>
      <c r="E77">
        <v>29.368827337139599</v>
      </c>
      <c r="F77">
        <v>2.5427440136239099</v>
      </c>
      <c r="G77">
        <v>-478.32792456221154</v>
      </c>
      <c r="H77">
        <v>-420.31475947020186</v>
      </c>
      <c r="I77">
        <v>57.260193546868301</v>
      </c>
      <c r="J77">
        <v>33.960393634824001</v>
      </c>
      <c r="K77">
        <v>11.550052691023</v>
      </c>
      <c r="L77">
        <v>0</v>
      </c>
      <c r="M77">
        <v>1.2382722283092387E-6</v>
      </c>
      <c r="N77">
        <v>0</v>
      </c>
      <c r="O77" s="1">
        <v>1.64197437277888E-11</v>
      </c>
      <c r="P77">
        <v>0</v>
      </c>
      <c r="Q77">
        <v>100</v>
      </c>
      <c r="AJ77">
        <v>1</v>
      </c>
    </row>
    <row r="78" spans="1:36" x14ac:dyDescent="0.2">
      <c r="A78">
        <v>82</v>
      </c>
      <c r="B78">
        <v>738</v>
      </c>
      <c r="C78">
        <v>240</v>
      </c>
      <c r="D78">
        <v>0.326302230134007</v>
      </c>
      <c r="E78">
        <v>30.597842382751502</v>
      </c>
      <c r="F78">
        <v>2.5427440136239099</v>
      </c>
      <c r="G78">
        <v>-498.22555905021147</v>
      </c>
      <c r="H78">
        <v>-437.97467870584785</v>
      </c>
      <c r="I78">
        <v>59.5864909700475</v>
      </c>
      <c r="J78">
        <v>35.372218043538901</v>
      </c>
      <c r="K78">
        <v>12.033394717993501</v>
      </c>
      <c r="L78">
        <v>0</v>
      </c>
      <c r="M78">
        <v>1.2382722283092387E-6</v>
      </c>
      <c r="N78">
        <v>0</v>
      </c>
      <c r="O78" s="1">
        <v>1.7106870655087802E-11</v>
      </c>
      <c r="P78">
        <v>0</v>
      </c>
      <c r="Q78">
        <v>100</v>
      </c>
      <c r="AJ78">
        <v>1</v>
      </c>
    </row>
    <row r="79" spans="1:36" x14ac:dyDescent="0.2">
      <c r="A79">
        <v>83</v>
      </c>
      <c r="B79">
        <v>736</v>
      </c>
      <c r="C79">
        <v>240</v>
      </c>
      <c r="D79">
        <v>0.32482832086409602</v>
      </c>
      <c r="E79">
        <v>31.340310202712001</v>
      </c>
      <c r="F79">
        <v>2.5427440136239099</v>
      </c>
      <c r="G79">
        <v>-510.19319114110993</v>
      </c>
      <c r="H79">
        <v>-448.6747457131342</v>
      </c>
      <c r="I79">
        <v>60.960655430784001</v>
      </c>
      <c r="J79">
        <v>36.220932195495301</v>
      </c>
      <c r="K79">
        <v>12.325389435504301</v>
      </c>
      <c r="L79">
        <v>0</v>
      </c>
      <c r="M79">
        <v>1.2382722283092385E-6</v>
      </c>
      <c r="N79">
        <v>0</v>
      </c>
      <c r="O79" s="1">
        <v>1.7521975119080599E-11</v>
      </c>
      <c r="P79">
        <v>0</v>
      </c>
      <c r="Q79">
        <v>100</v>
      </c>
      <c r="AJ79">
        <v>1</v>
      </c>
    </row>
    <row r="80" spans="1:36" x14ac:dyDescent="0.2">
      <c r="A80">
        <v>84</v>
      </c>
      <c r="B80">
        <v>734</v>
      </c>
      <c r="C80">
        <v>240</v>
      </c>
      <c r="D80">
        <v>0.32334855781164801</v>
      </c>
      <c r="E80">
        <v>31.849233876580499</v>
      </c>
      <c r="F80">
        <v>2.5427440136239099</v>
      </c>
      <c r="G80">
        <v>-518.35420099796488</v>
      </c>
      <c r="H80">
        <v>-456.03421692723123</v>
      </c>
      <c r="I80">
        <v>61.877559520164397</v>
      </c>
      <c r="J80">
        <v>36.799305492476797</v>
      </c>
      <c r="K80">
        <v>12.5255368632995</v>
      </c>
      <c r="L80">
        <v>0</v>
      </c>
      <c r="M80">
        <v>1.2382722283092387E-6</v>
      </c>
      <c r="N80">
        <v>0</v>
      </c>
      <c r="O80" s="1">
        <v>1.7806507974478601E-11</v>
      </c>
      <c r="P80">
        <v>0</v>
      </c>
      <c r="Q80">
        <v>100</v>
      </c>
      <c r="AJ80">
        <v>1</v>
      </c>
    </row>
    <row r="81" spans="1:36" x14ac:dyDescent="0.2">
      <c r="A81">
        <v>85</v>
      </c>
      <c r="B81">
        <v>732</v>
      </c>
      <c r="C81">
        <v>240</v>
      </c>
      <c r="D81">
        <v>0.32186290603392398</v>
      </c>
      <c r="E81">
        <v>32.2256805217704</v>
      </c>
      <c r="F81">
        <v>2.5427440136239099</v>
      </c>
      <c r="G81">
        <v>-524.3558198775662</v>
      </c>
      <c r="H81">
        <v>-461.49883814571962</v>
      </c>
      <c r="I81">
        <v>62.534926858525097</v>
      </c>
      <c r="J81">
        <v>37.224295179185702</v>
      </c>
      <c r="K81">
        <v>12.673584265308101</v>
      </c>
      <c r="L81">
        <v>0</v>
      </c>
      <c r="M81">
        <v>1.2382722283092385E-6</v>
      </c>
      <c r="N81">
        <v>0</v>
      </c>
      <c r="O81" s="1">
        <v>1.8016974581478099E-11</v>
      </c>
      <c r="P81">
        <v>0</v>
      </c>
      <c r="Q81">
        <v>100</v>
      </c>
      <c r="AJ81">
        <v>1</v>
      </c>
    </row>
    <row r="82" spans="1:36" x14ac:dyDescent="0.2">
      <c r="A82">
        <v>87</v>
      </c>
      <c r="B82">
        <v>758</v>
      </c>
      <c r="C82">
        <v>225</v>
      </c>
      <c r="D82">
        <v>0.356728410027642</v>
      </c>
      <c r="E82">
        <v>0.209299242357635</v>
      </c>
      <c r="F82">
        <v>2.5422717692855801</v>
      </c>
      <c r="G82">
        <v>-3.4174598698812821</v>
      </c>
      <c r="H82">
        <v>-2.9922792894500732</v>
      </c>
      <c r="I82">
        <v>0.41233630454464199</v>
      </c>
      <c r="J82">
        <v>0.242583751202083</v>
      </c>
      <c r="K82">
        <v>8.2327642892581807E-2</v>
      </c>
      <c r="L82">
        <v>0</v>
      </c>
      <c r="M82">
        <v>1.2382554563563432E-6</v>
      </c>
      <c r="N82">
        <v>0</v>
      </c>
      <c r="O82" s="1">
        <v>1.17016586412586E-13</v>
      </c>
      <c r="P82">
        <v>0</v>
      </c>
      <c r="Q82">
        <v>100</v>
      </c>
      <c r="AJ82">
        <v>1</v>
      </c>
    </row>
    <row r="83" spans="1:36" x14ac:dyDescent="0.2">
      <c r="A83">
        <v>88</v>
      </c>
      <c r="B83">
        <v>756</v>
      </c>
      <c r="C83">
        <v>225</v>
      </c>
      <c r="D83">
        <v>0.35534227274935698</v>
      </c>
      <c r="E83">
        <v>0.61110586517702903</v>
      </c>
      <c r="F83">
        <v>2.5422717692855801</v>
      </c>
      <c r="G83">
        <v>-9.9757938557155192</v>
      </c>
      <c r="H83">
        <v>-8.7381867924663901</v>
      </c>
      <c r="I83">
        <v>1.20255265340244</v>
      </c>
      <c r="J83">
        <v>0.70810973841464797</v>
      </c>
      <c r="K83">
        <v>0.24037786697712399</v>
      </c>
      <c r="L83">
        <v>0</v>
      </c>
      <c r="M83">
        <v>1.2382554563563436E-6</v>
      </c>
      <c r="N83">
        <v>0</v>
      </c>
      <c r="O83" s="1">
        <v>3.4166163945083001E-13</v>
      </c>
      <c r="P83">
        <v>0</v>
      </c>
      <c r="Q83">
        <v>100</v>
      </c>
      <c r="AJ83">
        <v>1</v>
      </c>
    </row>
    <row r="84" spans="1:36" x14ac:dyDescent="0.2">
      <c r="A84">
        <v>89</v>
      </c>
      <c r="B84">
        <v>754</v>
      </c>
      <c r="C84">
        <v>225</v>
      </c>
      <c r="D84">
        <v>0.35395073747748601</v>
      </c>
      <c r="E84">
        <v>1.00913311529111</v>
      </c>
      <c r="F84">
        <v>2.5422717692855801</v>
      </c>
      <c r="G84">
        <v>-16.46928760248543</v>
      </c>
      <c r="H84">
        <v>-14.431906376370492</v>
      </c>
      <c r="I84">
        <v>1.98352842926051</v>
      </c>
      <c r="J84">
        <v>1.1690205107604801</v>
      </c>
      <c r="K84">
        <v>0.39694147867389301</v>
      </c>
      <c r="L84">
        <v>0</v>
      </c>
      <c r="M84">
        <v>1.2382554563563432E-6</v>
      </c>
      <c r="N84">
        <v>0</v>
      </c>
      <c r="O84" s="1">
        <v>5.6419369251939199E-13</v>
      </c>
      <c r="P84">
        <v>0</v>
      </c>
      <c r="Q84">
        <v>100</v>
      </c>
      <c r="AJ84">
        <v>1</v>
      </c>
    </row>
    <row r="85" spans="1:36" x14ac:dyDescent="0.2">
      <c r="A85">
        <v>90</v>
      </c>
      <c r="B85">
        <v>752</v>
      </c>
      <c r="C85">
        <v>225</v>
      </c>
      <c r="D85">
        <v>0.35255377261864101</v>
      </c>
      <c r="E85">
        <v>1.4034386343201399</v>
      </c>
      <c r="F85">
        <v>2.5422717692855801</v>
      </c>
      <c r="G85">
        <v>-22.898931594272387</v>
      </c>
      <c r="H85">
        <v>-20.074235546174929</v>
      </c>
      <c r="I85">
        <v>2.7553977935887</v>
      </c>
      <c r="J85">
        <v>1.6253846310745601</v>
      </c>
      <c r="K85">
        <v>0.55204115125525499</v>
      </c>
      <c r="L85">
        <v>0</v>
      </c>
      <c r="M85">
        <v>1.2382554563563436E-6</v>
      </c>
      <c r="N85">
        <v>0</v>
      </c>
      <c r="O85" s="1">
        <v>7.8464497232660499E-13</v>
      </c>
      <c r="P85">
        <v>0</v>
      </c>
      <c r="Q85">
        <v>100</v>
      </c>
      <c r="AJ85">
        <v>1</v>
      </c>
    </row>
    <row r="86" spans="1:36" x14ac:dyDescent="0.2">
      <c r="A86">
        <v>91</v>
      </c>
      <c r="B86">
        <v>750</v>
      </c>
      <c r="C86">
        <v>225</v>
      </c>
      <c r="D86">
        <v>0.35115134633240402</v>
      </c>
      <c r="E86">
        <v>2.2188748973597701</v>
      </c>
      <c r="F86">
        <v>2.5422717692855801</v>
      </c>
      <c r="G86">
        <v>-36.195129963466393</v>
      </c>
      <c r="H86">
        <v>-31.743054789237771</v>
      </c>
      <c r="I86">
        <v>4.3513416158223297</v>
      </c>
      <c r="J86">
        <v>2.5691181254289002</v>
      </c>
      <c r="K86">
        <v>0.87279217122538599</v>
      </c>
      <c r="L86">
        <v>0</v>
      </c>
      <c r="M86">
        <v>1.2382554563563432E-6</v>
      </c>
      <c r="N86">
        <v>0</v>
      </c>
      <c r="O86" s="1">
        <v>1.2405451794324001E-12</v>
      </c>
      <c r="P86">
        <v>0</v>
      </c>
      <c r="Q86">
        <v>100</v>
      </c>
      <c r="AJ86">
        <v>1</v>
      </c>
    </row>
    <row r="87" spans="1:36" x14ac:dyDescent="0.2">
      <c r="A87">
        <v>92</v>
      </c>
      <c r="B87">
        <v>748</v>
      </c>
      <c r="C87">
        <v>225</v>
      </c>
      <c r="D87">
        <v>0.34974342652891699</v>
      </c>
      <c r="E87">
        <v>3.61627090983731</v>
      </c>
      <c r="F87">
        <v>2.5422717692855801</v>
      </c>
      <c r="G87">
        <v>-58.97580915052108</v>
      </c>
      <c r="H87">
        <v>-51.742468501076118</v>
      </c>
      <c r="I87">
        <v>7.0835241144248799</v>
      </c>
      <c r="J87">
        <v>4.1860097198283901</v>
      </c>
      <c r="K87">
        <v>1.4224564633597501</v>
      </c>
      <c r="L87">
        <v>0</v>
      </c>
      <c r="M87">
        <v>1.2382554563563434E-6</v>
      </c>
      <c r="N87">
        <v>0</v>
      </c>
      <c r="O87" s="1">
        <v>2.0218117975278202E-12</v>
      </c>
      <c r="P87">
        <v>0</v>
      </c>
      <c r="Q87">
        <v>100</v>
      </c>
      <c r="AJ87">
        <v>1</v>
      </c>
    </row>
    <row r="88" spans="1:36" x14ac:dyDescent="0.2">
      <c r="A88">
        <v>93</v>
      </c>
      <c r="B88">
        <v>746</v>
      </c>
      <c r="C88">
        <v>225</v>
      </c>
      <c r="D88">
        <v>0.34832998086640898</v>
      </c>
      <c r="E88">
        <v>20.791985153200301</v>
      </c>
      <c r="F88">
        <v>2.5422717692855801</v>
      </c>
      <c r="G88">
        <v>-339.00384908291124</v>
      </c>
      <c r="H88">
        <v>-297.54482229592691</v>
      </c>
      <c r="I88">
        <v>40.680004697036097</v>
      </c>
      <c r="J88">
        <v>24.061501731160298</v>
      </c>
      <c r="K88">
        <v>8.1785060922275701</v>
      </c>
      <c r="L88">
        <v>0</v>
      </c>
      <c r="M88">
        <v>1.2382554563563432E-6</v>
      </c>
      <c r="N88">
        <v>0</v>
      </c>
      <c r="O88" s="1">
        <v>1.16245386269069E-11</v>
      </c>
      <c r="P88">
        <v>0</v>
      </c>
      <c r="Q88">
        <v>100</v>
      </c>
      <c r="AJ88">
        <v>1</v>
      </c>
    </row>
    <row r="89" spans="1:36" x14ac:dyDescent="0.2">
      <c r="A89">
        <v>94</v>
      </c>
      <c r="B89">
        <v>744</v>
      </c>
      <c r="C89">
        <v>225</v>
      </c>
      <c r="D89">
        <v>0.34691097674876298</v>
      </c>
      <c r="E89">
        <v>27.393903728598701</v>
      </c>
      <c r="F89">
        <v>2.5422717692855801</v>
      </c>
      <c r="G89">
        <v>-446.53799350895406</v>
      </c>
      <c r="H89">
        <v>-392.08532818680811</v>
      </c>
      <c r="I89">
        <v>53.534547826914299</v>
      </c>
      <c r="J89">
        <v>31.693315371557201</v>
      </c>
      <c r="K89">
        <v>10.7753640108652</v>
      </c>
      <c r="L89">
        <v>0</v>
      </c>
      <c r="M89">
        <v>1.2382554563563434E-6</v>
      </c>
      <c r="N89">
        <v>0</v>
      </c>
      <c r="O89" s="1">
        <v>1.5315588660174199E-11</v>
      </c>
      <c r="P89">
        <v>0</v>
      </c>
      <c r="Q89">
        <v>100</v>
      </c>
      <c r="AJ89">
        <v>1</v>
      </c>
    </row>
    <row r="90" spans="1:36" x14ac:dyDescent="0.2">
      <c r="A90">
        <v>95</v>
      </c>
      <c r="B90">
        <v>742</v>
      </c>
      <c r="C90">
        <v>225</v>
      </c>
      <c r="D90">
        <v>0.345486381322956</v>
      </c>
      <c r="E90">
        <v>29.563901123585101</v>
      </c>
      <c r="F90">
        <v>2.5422717692855801</v>
      </c>
      <c r="G90">
        <v>-481.79484318967684</v>
      </c>
      <c r="H90">
        <v>-423.21261331321676</v>
      </c>
      <c r="I90">
        <v>57.707954367787998</v>
      </c>
      <c r="J90">
        <v>34.194947001396898</v>
      </c>
      <c r="K90">
        <v>11.6289302665281</v>
      </c>
      <c r="L90">
        <v>0</v>
      </c>
      <c r="M90">
        <v>1.2382554563563434E-6</v>
      </c>
      <c r="N90">
        <v>0</v>
      </c>
      <c r="O90" s="1">
        <v>1.6528807039873899E-11</v>
      </c>
      <c r="P90">
        <v>0</v>
      </c>
      <c r="Q90">
        <v>100</v>
      </c>
      <c r="AJ90">
        <v>1</v>
      </c>
    </row>
    <row r="91" spans="1:36" x14ac:dyDescent="0.2">
      <c r="A91">
        <v>96</v>
      </c>
      <c r="B91">
        <v>740</v>
      </c>
      <c r="C91">
        <v>225</v>
      </c>
      <c r="D91">
        <v>0.34405616147658602</v>
      </c>
      <c r="E91">
        <v>30.671368062485801</v>
      </c>
      <c r="F91">
        <v>2.5422717692855801</v>
      </c>
      <c r="G91">
        <v>-499.72326074245882</v>
      </c>
      <c r="H91">
        <v>-439.13714613254268</v>
      </c>
      <c r="I91">
        <v>59.799747924706203</v>
      </c>
      <c r="J91">
        <v>35.4665755211605</v>
      </c>
      <c r="K91">
        <v>12.064551254134701</v>
      </c>
      <c r="L91">
        <v>0</v>
      </c>
      <c r="M91">
        <v>1.2382554563563434E-6</v>
      </c>
      <c r="N91">
        <v>0</v>
      </c>
      <c r="O91" s="1">
        <v>1.7147977942239199E-11</v>
      </c>
      <c r="P91">
        <v>0</v>
      </c>
      <c r="Q91">
        <v>100</v>
      </c>
      <c r="AJ91">
        <v>1</v>
      </c>
    </row>
    <row r="92" spans="1:36" x14ac:dyDescent="0.2">
      <c r="A92">
        <v>97</v>
      </c>
      <c r="B92">
        <v>738</v>
      </c>
      <c r="C92">
        <v>225</v>
      </c>
      <c r="D92">
        <v>0.34262028383523802</v>
      </c>
      <c r="E92">
        <v>31.364607282749599</v>
      </c>
      <c r="F92">
        <v>2.5422717692855801</v>
      </c>
      <c r="G92">
        <v>-510.89585561581168</v>
      </c>
      <c r="H92">
        <v>-449.1351217443875</v>
      </c>
      <c r="I92">
        <v>61.079695269172802</v>
      </c>
      <c r="J92">
        <v>36.258626140279503</v>
      </c>
      <c r="K92">
        <v>12.337236192322401</v>
      </c>
      <c r="L92">
        <v>0</v>
      </c>
      <c r="M92">
        <v>1.2382554563563436E-6</v>
      </c>
      <c r="N92">
        <v>0</v>
      </c>
      <c r="O92" s="1">
        <v>1.7535559312380901E-11</v>
      </c>
      <c r="P92">
        <v>0</v>
      </c>
      <c r="Q92">
        <v>100</v>
      </c>
      <c r="AJ92">
        <v>1</v>
      </c>
    </row>
    <row r="93" spans="1:36" x14ac:dyDescent="0.2">
      <c r="A93">
        <v>98</v>
      </c>
      <c r="B93">
        <v>736</v>
      </c>
      <c r="C93">
        <v>225</v>
      </c>
      <c r="D93">
        <v>0.34117871475994799</v>
      </c>
      <c r="E93">
        <v>31.849521443447699</v>
      </c>
      <c r="F93">
        <v>2.5422717692855801</v>
      </c>
      <c r="G93">
        <v>-518.67061269088822</v>
      </c>
      <c r="H93">
        <v>-456.15262757355083</v>
      </c>
      <c r="I93">
        <v>61.951132257184099</v>
      </c>
      <c r="J93">
        <v>36.809442829390598</v>
      </c>
      <c r="K93">
        <v>12.527976681422199</v>
      </c>
      <c r="L93">
        <v>0</v>
      </c>
      <c r="M93">
        <v>1.2382554563563432E-6</v>
      </c>
      <c r="N93">
        <v>0</v>
      </c>
      <c r="O93" s="1">
        <v>1.7806668749514299E-11</v>
      </c>
      <c r="P93">
        <v>0</v>
      </c>
      <c r="Q93">
        <v>100</v>
      </c>
      <c r="AJ93">
        <v>1</v>
      </c>
    </row>
    <row r="94" spans="1:36" x14ac:dyDescent="0.2">
      <c r="A94">
        <v>99</v>
      </c>
      <c r="B94">
        <v>734</v>
      </c>
      <c r="C94">
        <v>225</v>
      </c>
      <c r="D94">
        <v>0.33973142034453802</v>
      </c>
      <c r="E94">
        <v>32.2129286771398</v>
      </c>
      <c r="F94">
        <v>2.5422717692855801</v>
      </c>
      <c r="G94">
        <v>-524.46347050183488</v>
      </c>
      <c r="H94">
        <v>-461.4318380986706</v>
      </c>
      <c r="I94">
        <v>62.584155689980904</v>
      </c>
      <c r="J94">
        <v>37.219526466195397</v>
      </c>
      <c r="K94">
        <v>12.670922545071599</v>
      </c>
      <c r="L94">
        <v>0</v>
      </c>
      <c r="M94">
        <v>1.2382554563563432E-6</v>
      </c>
      <c r="N94">
        <v>0</v>
      </c>
      <c r="O94" s="1">
        <v>1.8009845184771701E-11</v>
      </c>
      <c r="P94">
        <v>0</v>
      </c>
      <c r="Q94">
        <v>100</v>
      </c>
      <c r="AJ94">
        <v>1</v>
      </c>
    </row>
    <row r="95" spans="1:36" x14ac:dyDescent="0.2">
      <c r="A95">
        <v>101</v>
      </c>
      <c r="B95">
        <v>758</v>
      </c>
      <c r="C95">
        <v>210</v>
      </c>
      <c r="D95">
        <v>0.37272996169325601</v>
      </c>
      <c r="E95">
        <v>0.27800921365083497</v>
      </c>
      <c r="F95">
        <v>2.54179961905457</v>
      </c>
      <c r="G95">
        <v>-4.5410039230784331</v>
      </c>
      <c r="H95">
        <v>-3.9762425914377419</v>
      </c>
      <c r="I95">
        <v>0.54770046224185698</v>
      </c>
      <c r="J95">
        <v>0.32222055443910003</v>
      </c>
      <c r="K95">
        <v>0.109374952913967</v>
      </c>
      <c r="L95">
        <v>0</v>
      </c>
      <c r="M95">
        <v>1.2382386510400953E-6</v>
      </c>
      <c r="N95">
        <v>0</v>
      </c>
      <c r="O95" s="1">
        <v>1.5543147125721699E-13</v>
      </c>
      <c r="P95">
        <v>0</v>
      </c>
      <c r="Q95">
        <v>100</v>
      </c>
      <c r="AJ95">
        <v>1</v>
      </c>
    </row>
    <row r="96" spans="1:36" x14ac:dyDescent="0.2">
      <c r="A96">
        <v>102</v>
      </c>
      <c r="B96">
        <v>756</v>
      </c>
      <c r="C96">
        <v>210</v>
      </c>
      <c r="D96">
        <v>0.371374921051355</v>
      </c>
      <c r="E96">
        <v>0.67107256993004005</v>
      </c>
      <c r="F96">
        <v>2.54179961905457</v>
      </c>
      <c r="G96">
        <v>-10.958660178341869</v>
      </c>
      <c r="H96">
        <v>-9.5996089896291377</v>
      </c>
      <c r="I96">
        <v>1.32055695351768</v>
      </c>
      <c r="J96">
        <v>0.77759525644995997</v>
      </c>
      <c r="K96">
        <v>0.26401474172053202</v>
      </c>
      <c r="L96">
        <v>0</v>
      </c>
      <c r="M96">
        <v>1.2382386510400953E-6</v>
      </c>
      <c r="N96">
        <v>0</v>
      </c>
      <c r="O96" s="1">
        <v>3.7518827342028602E-13</v>
      </c>
      <c r="P96">
        <v>0</v>
      </c>
      <c r="Q96">
        <v>100</v>
      </c>
      <c r="AJ96">
        <v>1</v>
      </c>
    </row>
    <row r="97" spans="1:36" x14ac:dyDescent="0.2">
      <c r="A97">
        <v>103</v>
      </c>
      <c r="B97">
        <v>754</v>
      </c>
      <c r="C97">
        <v>210</v>
      </c>
      <c r="D97">
        <v>0.37001460351457899</v>
      </c>
      <c r="E97">
        <v>1.2524897288418999</v>
      </c>
      <c r="F97">
        <v>2.54179961905457</v>
      </c>
      <c r="G97">
        <v>-20.448314915310021</v>
      </c>
      <c r="H97">
        <v>-17.919610802069073</v>
      </c>
      <c r="I97">
        <v>2.4618644922756499</v>
      </c>
      <c r="J97">
        <v>1.45093462928391</v>
      </c>
      <c r="K97">
        <v>0.49275706843790101</v>
      </c>
      <c r="L97">
        <v>0</v>
      </c>
      <c r="M97">
        <v>1.2382386510400953E-6</v>
      </c>
      <c r="N97">
        <v>0</v>
      </c>
      <c r="O97" s="1">
        <v>7.0025132883888598E-13</v>
      </c>
      <c r="P97">
        <v>0</v>
      </c>
      <c r="Q97">
        <v>100</v>
      </c>
      <c r="AJ97">
        <v>1</v>
      </c>
    </row>
    <row r="98" spans="1:36" x14ac:dyDescent="0.2">
      <c r="A98">
        <v>104</v>
      </c>
      <c r="B98">
        <v>752</v>
      </c>
      <c r="C98">
        <v>210</v>
      </c>
      <c r="D98">
        <v>0.36864897819831499</v>
      </c>
      <c r="E98">
        <v>2.6495681304007701</v>
      </c>
      <c r="F98">
        <v>2.54179961905457</v>
      </c>
      <c r="G98">
        <v>-43.246793971223681</v>
      </c>
      <c r="H98">
        <v>-37.914017429316992</v>
      </c>
      <c r="I98">
        <v>5.2019475607537302</v>
      </c>
      <c r="J98">
        <v>3.0685825605938</v>
      </c>
      <c r="K98">
        <v>1.0423985079462199</v>
      </c>
      <c r="L98">
        <v>0</v>
      </c>
      <c r="M98">
        <v>1.2382386510400953E-6</v>
      </c>
      <c r="N98">
        <v>0</v>
      </c>
      <c r="O98" s="1">
        <v>1.4813403746454899E-12</v>
      </c>
      <c r="P98">
        <v>0</v>
      </c>
      <c r="Q98">
        <v>100</v>
      </c>
      <c r="AJ98">
        <v>1</v>
      </c>
    </row>
    <row r="99" spans="1:36" x14ac:dyDescent="0.2">
      <c r="A99">
        <v>105</v>
      </c>
      <c r="B99">
        <v>750</v>
      </c>
      <c r="C99">
        <v>210</v>
      </c>
      <c r="D99">
        <v>0.36727801397644499</v>
      </c>
      <c r="E99">
        <v>4.06369207379859</v>
      </c>
      <c r="F99">
        <v>2.54179961905457</v>
      </c>
      <c r="G99">
        <v>-66.312467295115979</v>
      </c>
      <c r="H99">
        <v>-58.158847359627153</v>
      </c>
      <c r="I99">
        <v>7.9691344724515698</v>
      </c>
      <c r="J99">
        <v>4.7051345595826</v>
      </c>
      <c r="K99">
        <v>1.59874603935541</v>
      </c>
      <c r="L99">
        <v>0</v>
      </c>
      <c r="M99">
        <v>1.2382386510400953E-6</v>
      </c>
      <c r="N99">
        <v>0</v>
      </c>
      <c r="O99" s="1">
        <v>2.2719593695196598E-12</v>
      </c>
      <c r="P99">
        <v>0</v>
      </c>
      <c r="Q99">
        <v>100</v>
      </c>
      <c r="AJ99">
        <v>1</v>
      </c>
    </row>
    <row r="100" spans="1:36" x14ac:dyDescent="0.2">
      <c r="A100">
        <v>106</v>
      </c>
      <c r="B100">
        <v>748</v>
      </c>
      <c r="C100">
        <v>210</v>
      </c>
      <c r="D100">
        <v>0.36590167947901903</v>
      </c>
      <c r="E100">
        <v>23.780975460506099</v>
      </c>
      <c r="F100">
        <v>2.54179961905457</v>
      </c>
      <c r="G100">
        <v>-387.97141124430436</v>
      </c>
      <c r="H100">
        <v>-340.40420713523207</v>
      </c>
      <c r="I100">
        <v>46.581994916586503</v>
      </c>
      <c r="J100">
        <v>27.5276374217101</v>
      </c>
      <c r="K100">
        <v>9.3559599593265705</v>
      </c>
      <c r="L100">
        <v>0</v>
      </c>
      <c r="M100">
        <v>1.2382386510400949E-6</v>
      </c>
      <c r="N100">
        <v>0</v>
      </c>
      <c r="O100" s="1">
        <v>1.3295645691802901E-11</v>
      </c>
      <c r="P100">
        <v>0</v>
      </c>
      <c r="Q100">
        <v>100</v>
      </c>
      <c r="AJ100">
        <v>1</v>
      </c>
    </row>
    <row r="101" spans="1:36" x14ac:dyDescent="0.2">
      <c r="A101">
        <v>107</v>
      </c>
      <c r="B101">
        <v>746</v>
      </c>
      <c r="C101">
        <v>210</v>
      </c>
      <c r="D101">
        <v>0.36451994308983099</v>
      </c>
      <c r="E101">
        <v>28.0579721821099</v>
      </c>
      <c r="F101">
        <v>2.54179961905457</v>
      </c>
      <c r="G101">
        <v>-457.63802259449841</v>
      </c>
      <c r="H101">
        <v>-401.69068463155702</v>
      </c>
      <c r="I101">
        <v>54.896078067940302</v>
      </c>
      <c r="J101">
        <v>32.470057152227803</v>
      </c>
      <c r="K101">
        <v>11.0386247490847</v>
      </c>
      <c r="L101">
        <v>0</v>
      </c>
      <c r="M101">
        <v>1.2382386510400953E-6</v>
      </c>
      <c r="N101">
        <v>0</v>
      </c>
      <c r="O101" s="1">
        <v>1.5686861019781601E-11</v>
      </c>
      <c r="P101">
        <v>0</v>
      </c>
      <c r="Q101">
        <v>100</v>
      </c>
      <c r="AJ101">
        <v>1</v>
      </c>
    </row>
    <row r="102" spans="1:36" x14ac:dyDescent="0.2">
      <c r="A102">
        <v>108</v>
      </c>
      <c r="B102">
        <v>744</v>
      </c>
      <c r="C102">
        <v>210</v>
      </c>
      <c r="D102">
        <v>0.36313277294401303</v>
      </c>
      <c r="E102">
        <v>29.812682945061098</v>
      </c>
      <c r="F102">
        <v>2.54179961905457</v>
      </c>
      <c r="G102">
        <v>-486.14154596355763</v>
      </c>
      <c r="H102">
        <v>-426.88091400521847</v>
      </c>
      <c r="I102">
        <v>58.261448123029197</v>
      </c>
      <c r="J102">
        <v>34.491716551651997</v>
      </c>
      <c r="K102">
        <v>11.7289666429921</v>
      </c>
      <c r="L102">
        <v>0</v>
      </c>
      <c r="M102">
        <v>1.2382386510400953E-6</v>
      </c>
      <c r="N102">
        <v>0</v>
      </c>
      <c r="O102" s="1">
        <v>1.6667897842032101E-11</v>
      </c>
      <c r="P102">
        <v>0</v>
      </c>
      <c r="Q102">
        <v>100</v>
      </c>
      <c r="AJ102">
        <v>1</v>
      </c>
    </row>
    <row r="103" spans="1:36" x14ac:dyDescent="0.2">
      <c r="A103">
        <v>109</v>
      </c>
      <c r="B103">
        <v>742</v>
      </c>
      <c r="C103">
        <v>210</v>
      </c>
      <c r="D103">
        <v>0.361740136925575</v>
      </c>
      <c r="E103">
        <v>30.785825327248499</v>
      </c>
      <c r="F103">
        <v>2.54179961905457</v>
      </c>
      <c r="G103">
        <v>-501.88986953934005</v>
      </c>
      <c r="H103">
        <v>-440.88634065056817</v>
      </c>
      <c r="I103">
        <v>60.093118148817197</v>
      </c>
      <c r="J103">
        <v>35.6082798768293</v>
      </c>
      <c r="K103">
        <v>12.1118223074954</v>
      </c>
      <c r="L103">
        <v>0</v>
      </c>
      <c r="M103">
        <v>1.2382386510400953E-6</v>
      </c>
      <c r="N103">
        <v>0</v>
      </c>
      <c r="O103" s="1">
        <v>1.7211969566202099E-11</v>
      </c>
      <c r="P103">
        <v>0</v>
      </c>
      <c r="Q103">
        <v>100</v>
      </c>
      <c r="AJ103">
        <v>1</v>
      </c>
    </row>
    <row r="104" spans="1:36" x14ac:dyDescent="0.2">
      <c r="A104">
        <v>110</v>
      </c>
      <c r="B104">
        <v>740</v>
      </c>
      <c r="C104">
        <v>210</v>
      </c>
      <c r="D104">
        <v>0.36034200266496003</v>
      </c>
      <c r="E104">
        <v>31.419660159999101</v>
      </c>
      <c r="F104">
        <v>2.54179961905457</v>
      </c>
      <c r="G104">
        <v>-512.10045421392022</v>
      </c>
      <c r="H104">
        <v>-450.03621477144759</v>
      </c>
      <c r="I104">
        <v>61.2586876992277</v>
      </c>
      <c r="J104">
        <v>36.331856721995003</v>
      </c>
      <c r="K104">
        <v>12.3611869025638</v>
      </c>
      <c r="L104">
        <v>0</v>
      </c>
      <c r="M104">
        <v>1.2382386510400953E-6</v>
      </c>
      <c r="N104">
        <v>0</v>
      </c>
      <c r="O104" s="1">
        <v>1.7566338686904099E-11</v>
      </c>
      <c r="P104">
        <v>0</v>
      </c>
      <c r="Q104">
        <v>100</v>
      </c>
      <c r="AJ104">
        <v>1</v>
      </c>
    </row>
    <row r="105" spans="1:36" x14ac:dyDescent="0.2">
      <c r="A105">
        <v>111</v>
      </c>
      <c r="B105">
        <v>738</v>
      </c>
      <c r="C105">
        <v>210</v>
      </c>
      <c r="D105">
        <v>0.35893833753646798</v>
      </c>
      <c r="E105">
        <v>31.8735926436322</v>
      </c>
      <c r="F105">
        <v>2.54179961905457</v>
      </c>
      <c r="G105">
        <v>-519.37476107367911</v>
      </c>
      <c r="H105">
        <v>-456.61177300106129</v>
      </c>
      <c r="I105">
        <v>62.070897564770497</v>
      </c>
      <c r="J105">
        <v>36.8470317193689</v>
      </c>
      <c r="K105">
        <v>12.5397739478329</v>
      </c>
      <c r="L105">
        <v>0</v>
      </c>
      <c r="M105">
        <v>1.2382386510400953E-6</v>
      </c>
      <c r="N105">
        <v>0</v>
      </c>
      <c r="O105" s="1">
        <v>1.7820126656216301E-11</v>
      </c>
      <c r="P105">
        <v>0</v>
      </c>
      <c r="Q105">
        <v>100</v>
      </c>
      <c r="AJ105">
        <v>1</v>
      </c>
    </row>
    <row r="106" spans="1:36" x14ac:dyDescent="0.2">
      <c r="A106">
        <v>112</v>
      </c>
      <c r="B106">
        <v>736</v>
      </c>
      <c r="C106">
        <v>210</v>
      </c>
      <c r="D106">
        <v>0.35752910865580001</v>
      </c>
      <c r="E106">
        <v>32.219116791848002</v>
      </c>
      <c r="F106">
        <v>2.54179961905457</v>
      </c>
      <c r="G106">
        <v>-524.87960435909588</v>
      </c>
      <c r="H106">
        <v>-461.63613403998716</v>
      </c>
      <c r="I106">
        <v>62.6700394580674</v>
      </c>
      <c r="J106">
        <v>37.236595208150902</v>
      </c>
      <c r="K106">
        <v>12.6757107642623</v>
      </c>
      <c r="L106">
        <v>0</v>
      </c>
      <c r="M106">
        <v>1.2382386510400953E-6</v>
      </c>
      <c r="N106">
        <v>0</v>
      </c>
      <c r="O106" s="1">
        <v>1.80133048822427E-11</v>
      </c>
      <c r="P106">
        <v>0</v>
      </c>
      <c r="Q106">
        <v>100</v>
      </c>
      <c r="AJ106">
        <v>1</v>
      </c>
    </row>
    <row r="107" spans="1:36" x14ac:dyDescent="0.2">
      <c r="A107">
        <v>115</v>
      </c>
      <c r="B107">
        <v>758</v>
      </c>
      <c r="C107">
        <v>195</v>
      </c>
      <c r="D107">
        <v>0.38873151335887302</v>
      </c>
      <c r="E107">
        <v>0.46289317261316998</v>
      </c>
      <c r="F107">
        <v>2.54132756292374</v>
      </c>
      <c r="G107">
        <v>-7.5636313973357243</v>
      </c>
      <c r="H107">
        <v>-6.6232878700858224</v>
      </c>
      <c r="I107">
        <v>0.91193669907375297</v>
      </c>
      <c r="J107">
        <v>0.53650630051714299</v>
      </c>
      <c r="K107">
        <v>0.182146205537006</v>
      </c>
      <c r="L107">
        <v>0</v>
      </c>
      <c r="M107">
        <v>1.238221812380692E-6</v>
      </c>
      <c r="N107">
        <v>0</v>
      </c>
      <c r="O107" s="1">
        <v>2.5879777835186902E-13</v>
      </c>
      <c r="P107">
        <v>0</v>
      </c>
      <c r="Q107">
        <v>100</v>
      </c>
      <c r="AJ107">
        <v>1</v>
      </c>
    </row>
    <row r="108" spans="1:36" x14ac:dyDescent="0.2">
      <c r="A108">
        <v>116</v>
      </c>
      <c r="B108">
        <v>756</v>
      </c>
      <c r="C108">
        <v>195</v>
      </c>
      <c r="D108">
        <v>0.38740756935335302</v>
      </c>
      <c r="E108">
        <v>1.86186304805309</v>
      </c>
      <c r="F108">
        <v>2.54132756292374</v>
      </c>
      <c r="G108">
        <v>-30.41533722428899</v>
      </c>
      <c r="H108">
        <v>-26.644705995924728</v>
      </c>
      <c r="I108">
        <v>3.6638305673266802</v>
      </c>
      <c r="J108">
        <v>2.1574058294119798</v>
      </c>
      <c r="K108">
        <v>0.73263402766979802</v>
      </c>
      <c r="L108">
        <v>0</v>
      </c>
      <c r="M108">
        <v>1.2382218123806922E-6</v>
      </c>
      <c r="N108">
        <v>0</v>
      </c>
      <c r="O108" s="1">
        <v>1.0409443235280699E-12</v>
      </c>
      <c r="P108">
        <v>0</v>
      </c>
      <c r="Q108">
        <v>100</v>
      </c>
      <c r="AJ108">
        <v>1</v>
      </c>
    </row>
    <row r="109" spans="1:36" x14ac:dyDescent="0.2">
      <c r="A109">
        <v>117</v>
      </c>
      <c r="B109">
        <v>754</v>
      </c>
      <c r="C109">
        <v>195</v>
      </c>
      <c r="D109">
        <v>0.38607846955167302</v>
      </c>
      <c r="E109">
        <v>3.26677179594114</v>
      </c>
      <c r="F109">
        <v>2.54132756292374</v>
      </c>
      <c r="G109">
        <v>-53.353033575414436</v>
      </c>
      <c r="H109">
        <v>-46.757610804918748</v>
      </c>
      <c r="I109">
        <v>6.4210901723172702</v>
      </c>
      <c r="J109">
        <v>3.7843602350987999</v>
      </c>
      <c r="K109">
        <v>1.28545876714247</v>
      </c>
      <c r="L109">
        <v>0</v>
      </c>
      <c r="M109">
        <v>1.2382218123806922E-6</v>
      </c>
      <c r="N109">
        <v>0</v>
      </c>
      <c r="O109" s="1">
        <v>1.82641121794774E-12</v>
      </c>
      <c r="P109">
        <v>0</v>
      </c>
      <c r="Q109">
        <v>100</v>
      </c>
      <c r="AJ109">
        <v>1</v>
      </c>
    </row>
    <row r="110" spans="1:36" x14ac:dyDescent="0.2">
      <c r="A110">
        <v>118</v>
      </c>
      <c r="B110">
        <v>752</v>
      </c>
      <c r="C110">
        <v>195</v>
      </c>
      <c r="D110">
        <v>0.38474418377798603</v>
      </c>
      <c r="E110">
        <v>15.067841366942201</v>
      </c>
      <c r="F110">
        <v>2.54132756292374</v>
      </c>
      <c r="G110">
        <v>-246.02932305046519</v>
      </c>
      <c r="H110">
        <v>-215.70233124495661</v>
      </c>
      <c r="I110">
        <v>29.582979861979702</v>
      </c>
      <c r="J110">
        <v>17.450736485647202</v>
      </c>
      <c r="K110">
        <v>5.9291220804322604</v>
      </c>
      <c r="L110">
        <v>0</v>
      </c>
      <c r="M110">
        <v>1.2382218123806917E-6</v>
      </c>
      <c r="N110">
        <v>0</v>
      </c>
      <c r="O110" s="1">
        <v>8.4242414903401502E-12</v>
      </c>
      <c r="P110">
        <v>0</v>
      </c>
      <c r="Q110">
        <v>100</v>
      </c>
      <c r="AJ110">
        <v>1</v>
      </c>
    </row>
    <row r="111" spans="1:36" x14ac:dyDescent="0.2">
      <c r="A111">
        <v>119</v>
      </c>
      <c r="B111">
        <v>750</v>
      </c>
      <c r="C111">
        <v>195</v>
      </c>
      <c r="D111">
        <v>0.38340468162048602</v>
      </c>
      <c r="E111">
        <v>25.931868263120901</v>
      </c>
      <c r="F111">
        <v>2.54132756292374</v>
      </c>
      <c r="G111">
        <v>-423.31654802829797</v>
      </c>
      <c r="H111">
        <v>-371.28539158365925</v>
      </c>
      <c r="I111">
        <v>50.853888916228001</v>
      </c>
      <c r="J111">
        <v>30.025141507658599</v>
      </c>
      <c r="K111">
        <v>10.2040636718577</v>
      </c>
      <c r="L111">
        <v>0</v>
      </c>
      <c r="M111">
        <v>1.238221812380692E-6</v>
      </c>
      <c r="N111">
        <v>0</v>
      </c>
      <c r="O111" s="1">
        <v>1.44981829330573E-11</v>
      </c>
      <c r="P111">
        <v>0</v>
      </c>
      <c r="Q111">
        <v>100</v>
      </c>
      <c r="AJ111">
        <v>1</v>
      </c>
    </row>
    <row r="112" spans="1:36" x14ac:dyDescent="0.2">
      <c r="A112">
        <v>120</v>
      </c>
      <c r="B112">
        <v>748</v>
      </c>
      <c r="C112">
        <v>195</v>
      </c>
      <c r="D112">
        <v>0.382059932429125</v>
      </c>
      <c r="E112">
        <v>28.734270021658801</v>
      </c>
      <c r="F112">
        <v>2.54132756292374</v>
      </c>
      <c r="G112">
        <v>-468.95083150021543</v>
      </c>
      <c r="H112">
        <v>-411.47594409219687</v>
      </c>
      <c r="I112">
        <v>56.284470849550502</v>
      </c>
      <c r="J112">
        <v>33.261317141820101</v>
      </c>
      <c r="K112">
        <v>11.306795094371999</v>
      </c>
      <c r="L112">
        <v>0</v>
      </c>
      <c r="M112">
        <v>1.238221812380692E-6</v>
      </c>
      <c r="N112">
        <v>0</v>
      </c>
      <c r="O112" s="1">
        <v>1.6064970676036301E-11</v>
      </c>
      <c r="P112">
        <v>0</v>
      </c>
      <c r="Q112">
        <v>100</v>
      </c>
      <c r="AJ112">
        <v>1</v>
      </c>
    </row>
    <row r="113" spans="1:36" x14ac:dyDescent="0.2">
      <c r="A113">
        <v>121</v>
      </c>
      <c r="B113">
        <v>746</v>
      </c>
      <c r="C113">
        <v>195</v>
      </c>
      <c r="D113">
        <v>0.38070990531325299</v>
      </c>
      <c r="E113">
        <v>30.1151980706506</v>
      </c>
      <c r="F113">
        <v>2.54132756292374</v>
      </c>
      <c r="G113">
        <v>-491.3700293193059</v>
      </c>
      <c r="H113">
        <v>-431.32060189297533</v>
      </c>
      <c r="I113">
        <v>58.921088580023103</v>
      </c>
      <c r="J113">
        <v>34.850779527401897</v>
      </c>
      <c r="K113">
        <v>11.8501835458014</v>
      </c>
      <c r="L113">
        <v>0</v>
      </c>
      <c r="M113">
        <v>1.2382218123806922E-6</v>
      </c>
      <c r="N113">
        <v>0</v>
      </c>
      <c r="O113" s="1">
        <v>1.68370302618914E-11</v>
      </c>
      <c r="P113">
        <v>0</v>
      </c>
      <c r="Q113">
        <v>100</v>
      </c>
      <c r="AJ113">
        <v>1</v>
      </c>
    </row>
    <row r="114" spans="1:36" x14ac:dyDescent="0.2">
      <c r="A114">
        <v>122</v>
      </c>
      <c r="B114">
        <v>744</v>
      </c>
      <c r="C114">
        <v>195</v>
      </c>
      <c r="D114">
        <v>0.37935456913926302</v>
      </c>
      <c r="E114">
        <v>30.945913908981399</v>
      </c>
      <c r="F114">
        <v>2.54132756292374</v>
      </c>
      <c r="G114">
        <v>-504.80325491752461</v>
      </c>
      <c r="H114">
        <v>-443.29002519063067</v>
      </c>
      <c r="I114">
        <v>60.476065208567</v>
      </c>
      <c r="J114">
        <v>35.802805569273197</v>
      </c>
      <c r="K114">
        <v>12.1770661761441</v>
      </c>
      <c r="L114">
        <v>0</v>
      </c>
      <c r="M114">
        <v>1.238221812380692E-6</v>
      </c>
      <c r="N114">
        <v>0</v>
      </c>
      <c r="O114" s="1">
        <v>1.7301473088274099E-11</v>
      </c>
      <c r="P114">
        <v>0</v>
      </c>
      <c r="Q114">
        <v>100</v>
      </c>
      <c r="AJ114">
        <v>1</v>
      </c>
    </row>
    <row r="115" spans="1:36" x14ac:dyDescent="0.2">
      <c r="A115">
        <v>123</v>
      </c>
      <c r="B115">
        <v>742</v>
      </c>
      <c r="C115">
        <v>195</v>
      </c>
      <c r="D115">
        <v>0.37799389252819798</v>
      </c>
      <c r="E115">
        <v>31.510983993610601</v>
      </c>
      <c r="F115">
        <v>2.54132756292374</v>
      </c>
      <c r="G115">
        <v>-513.89783579630193</v>
      </c>
      <c r="H115">
        <v>-451.45737165625371</v>
      </c>
      <c r="I115">
        <v>61.508608717970901</v>
      </c>
      <c r="J115">
        <v>36.447031233093</v>
      </c>
      <c r="K115">
        <v>12.3994184981639</v>
      </c>
      <c r="L115">
        <v>0</v>
      </c>
      <c r="M115">
        <v>1.238221812380692E-6</v>
      </c>
      <c r="N115">
        <v>0</v>
      </c>
      <c r="O115" s="1">
        <v>1.7617396699092501E-11</v>
      </c>
      <c r="P115">
        <v>0</v>
      </c>
      <c r="Q115">
        <v>100</v>
      </c>
      <c r="AJ115">
        <v>1</v>
      </c>
    </row>
    <row r="116" spans="1:36" x14ac:dyDescent="0.2">
      <c r="A116">
        <v>124</v>
      </c>
      <c r="B116">
        <v>740</v>
      </c>
      <c r="C116">
        <v>195</v>
      </c>
      <c r="D116">
        <v>0.37662784385333098</v>
      </c>
      <c r="E116">
        <v>31.926716189786301</v>
      </c>
      <c r="F116">
        <v>2.54132756292374</v>
      </c>
      <c r="G116">
        <v>-520.5532494762756</v>
      </c>
      <c r="H116">
        <v>-457.487406366443</v>
      </c>
      <c r="I116">
        <v>62.247291230156101</v>
      </c>
      <c r="J116">
        <v>36.918186648239903</v>
      </c>
      <c r="K116">
        <v>12.563007089513199</v>
      </c>
      <c r="L116">
        <v>0</v>
      </c>
      <c r="M116">
        <v>1.2382218123806922E-6</v>
      </c>
      <c r="N116">
        <v>0</v>
      </c>
      <c r="O116" s="1">
        <v>1.7849827365875199E-11</v>
      </c>
      <c r="P116">
        <v>0</v>
      </c>
      <c r="Q116">
        <v>100</v>
      </c>
      <c r="AJ116">
        <v>1</v>
      </c>
    </row>
    <row r="117" spans="1:36" x14ac:dyDescent="0.2">
      <c r="A117">
        <v>125</v>
      </c>
      <c r="B117">
        <v>738</v>
      </c>
      <c r="C117">
        <v>195</v>
      </c>
      <c r="D117">
        <v>0.37525639123770199</v>
      </c>
      <c r="E117">
        <v>32.249007370972201</v>
      </c>
      <c r="F117">
        <v>2.54132756292374</v>
      </c>
      <c r="G117">
        <v>-525.68240981798886</v>
      </c>
      <c r="H117">
        <v>-462.18018439871355</v>
      </c>
      <c r="I117">
        <v>62.801983305419903</v>
      </c>
      <c r="J117">
        <v>37.281024790714099</v>
      </c>
      <c r="K117">
        <v>12.689827097247701</v>
      </c>
      <c r="L117">
        <v>0</v>
      </c>
      <c r="M117">
        <v>1.238221812380692E-6</v>
      </c>
      <c r="N117">
        <v>0</v>
      </c>
      <c r="O117" s="1">
        <v>1.8030016330863399E-11</v>
      </c>
      <c r="P117">
        <v>0</v>
      </c>
      <c r="Q117">
        <v>100</v>
      </c>
      <c r="AJ117">
        <v>1</v>
      </c>
    </row>
    <row r="118" spans="1:36" x14ac:dyDescent="0.2">
      <c r="A118">
        <v>128</v>
      </c>
      <c r="B118">
        <v>760</v>
      </c>
      <c r="C118">
        <v>180</v>
      </c>
      <c r="D118">
        <v>0.40602090693510101</v>
      </c>
      <c r="E118">
        <v>1.3097723576167299</v>
      </c>
      <c r="F118">
        <v>2.5408556008859402</v>
      </c>
      <c r="G118">
        <v>-21.414453740885804</v>
      </c>
      <c r="H118">
        <v>-18.745518806539625</v>
      </c>
      <c r="I118">
        <v>2.5832985862132101</v>
      </c>
      <c r="J118">
        <v>1.5184458366673901</v>
      </c>
      <c r="K118">
        <v>0.51548476708398605</v>
      </c>
      <c r="L118">
        <v>0</v>
      </c>
      <c r="M118">
        <v>1.2382049403983212E-6</v>
      </c>
      <c r="N118">
        <v>0</v>
      </c>
      <c r="O118" s="1">
        <v>7.3227732952796603E-13</v>
      </c>
      <c r="P118">
        <v>0</v>
      </c>
      <c r="Q118">
        <v>100</v>
      </c>
      <c r="AJ118">
        <v>1</v>
      </c>
    </row>
    <row r="119" spans="1:36" x14ac:dyDescent="0.2">
      <c r="A119">
        <v>129</v>
      </c>
      <c r="B119">
        <v>758</v>
      </c>
      <c r="C119">
        <v>180</v>
      </c>
      <c r="D119">
        <v>0.40473306502448703</v>
      </c>
      <c r="E119">
        <v>2.7095516275048102</v>
      </c>
      <c r="F119">
        <v>2.5408556008859402</v>
      </c>
      <c r="G119">
        <v>-44.289816055199964</v>
      </c>
      <c r="H119">
        <v>-38.785502132637916</v>
      </c>
      <c r="I119">
        <v>5.3380341585240201</v>
      </c>
      <c r="J119">
        <v>3.1404470960897699</v>
      </c>
      <c r="K119">
        <v>1.06639339384735</v>
      </c>
      <c r="L119">
        <v>0</v>
      </c>
      <c r="M119">
        <v>1.2382049403983215E-6</v>
      </c>
      <c r="N119">
        <v>0</v>
      </c>
      <c r="O119" s="1">
        <v>1.5148763970082001E-12</v>
      </c>
      <c r="P119">
        <v>0</v>
      </c>
      <c r="Q119">
        <v>100</v>
      </c>
      <c r="AJ119">
        <v>1</v>
      </c>
    </row>
    <row r="120" spans="1:36" x14ac:dyDescent="0.2">
      <c r="A120">
        <v>130</v>
      </c>
      <c r="B120">
        <v>756</v>
      </c>
      <c r="C120">
        <v>180</v>
      </c>
      <c r="D120">
        <v>0.40344021765534699</v>
      </c>
      <c r="E120">
        <v>4.1400801969348997</v>
      </c>
      <c r="F120">
        <v>2.5408556008859402</v>
      </c>
      <c r="G120">
        <v>-67.656660964928705</v>
      </c>
      <c r="H120">
        <v>-59.27220127289123</v>
      </c>
      <c r="I120">
        <v>8.1469753602851505</v>
      </c>
      <c r="J120">
        <v>4.7972557167619199</v>
      </c>
      <c r="K120">
        <v>1.6294039675026499</v>
      </c>
      <c r="L120">
        <v>0</v>
      </c>
      <c r="M120">
        <v>1.238204940398321E-6</v>
      </c>
      <c r="N120">
        <v>0</v>
      </c>
      <c r="O120" s="1">
        <v>2.31466701294534E-12</v>
      </c>
      <c r="P120">
        <v>0</v>
      </c>
      <c r="Q120">
        <v>100</v>
      </c>
      <c r="AJ120">
        <v>1</v>
      </c>
    </row>
    <row r="121" spans="1:36" x14ac:dyDescent="0.2">
      <c r="A121">
        <v>131</v>
      </c>
      <c r="B121">
        <v>754</v>
      </c>
      <c r="C121">
        <v>180</v>
      </c>
      <c r="D121">
        <v>0.402142335588766</v>
      </c>
      <c r="E121">
        <v>23.0033937270181</v>
      </c>
      <c r="F121">
        <v>2.5408556008859402</v>
      </c>
      <c r="G121">
        <v>-375.82803589061626</v>
      </c>
      <c r="H121">
        <v>-329.38551824235066</v>
      </c>
      <c r="I121">
        <v>45.214932238003698</v>
      </c>
      <c r="J121">
        <v>26.648059286237601</v>
      </c>
      <c r="K121">
        <v>9.0534045771815208</v>
      </c>
      <c r="L121">
        <v>0</v>
      </c>
      <c r="M121">
        <v>1.238204940398321E-6</v>
      </c>
      <c r="N121">
        <v>0</v>
      </c>
      <c r="O121" s="1">
        <v>1.28609094783097E-11</v>
      </c>
      <c r="P121">
        <v>0</v>
      </c>
      <c r="Q121">
        <v>100</v>
      </c>
      <c r="AJ121">
        <v>1</v>
      </c>
    </row>
    <row r="122" spans="1:36" x14ac:dyDescent="0.2">
      <c r="A122">
        <v>132</v>
      </c>
      <c r="B122">
        <v>752</v>
      </c>
      <c r="C122">
        <v>180</v>
      </c>
      <c r="D122">
        <v>0.40083938935765601</v>
      </c>
      <c r="E122">
        <v>27.560660946339901</v>
      </c>
      <c r="F122">
        <v>2.5408556008859402</v>
      </c>
      <c r="G122">
        <v>-450.17610524010274</v>
      </c>
      <c r="H122">
        <v>-394.70485900653102</v>
      </c>
      <c r="I122">
        <v>54.110370417569698</v>
      </c>
      <c r="J122">
        <v>31.919225842131901</v>
      </c>
      <c r="K122">
        <v>10.847000095845701</v>
      </c>
      <c r="L122">
        <v>0</v>
      </c>
      <c r="M122">
        <v>1.2382049403983212E-6</v>
      </c>
      <c r="N122">
        <v>0</v>
      </c>
      <c r="O122" s="1">
        <v>1.5408820533161101E-11</v>
      </c>
      <c r="P122">
        <v>0</v>
      </c>
      <c r="Q122">
        <v>100</v>
      </c>
      <c r="AJ122">
        <v>1</v>
      </c>
    </row>
    <row r="123" spans="1:36" x14ac:dyDescent="0.2">
      <c r="A123">
        <v>133</v>
      </c>
      <c r="B123">
        <v>750</v>
      </c>
      <c r="C123">
        <v>180</v>
      </c>
      <c r="D123">
        <v>0.39953134926452799</v>
      </c>
      <c r="E123">
        <v>29.405869306659199</v>
      </c>
      <c r="F123">
        <v>2.5408556008859402</v>
      </c>
      <c r="G123">
        <v>-480.20035690305855</v>
      </c>
      <c r="H123">
        <v>-421.19876971462952</v>
      </c>
      <c r="I123">
        <v>57.666605276283001</v>
      </c>
      <c r="J123">
        <v>34.0475039487918</v>
      </c>
      <c r="K123">
        <v>11.5732154540407</v>
      </c>
      <c r="L123">
        <v>0</v>
      </c>
      <c r="M123">
        <v>1.2382049403983212E-6</v>
      </c>
      <c r="N123">
        <v>0</v>
      </c>
      <c r="O123" s="1">
        <v>1.6440453429259101E-11</v>
      </c>
      <c r="P123">
        <v>0</v>
      </c>
      <c r="Q123">
        <v>100</v>
      </c>
      <c r="AJ123">
        <v>1</v>
      </c>
    </row>
    <row r="124" spans="1:36" x14ac:dyDescent="0.2">
      <c r="A124">
        <v>134</v>
      </c>
      <c r="B124">
        <v>748</v>
      </c>
      <c r="C124">
        <v>180</v>
      </c>
      <c r="D124">
        <v>0.39821818537923098</v>
      </c>
      <c r="E124">
        <v>30.464512666215601</v>
      </c>
      <c r="F124">
        <v>2.5408556008859402</v>
      </c>
      <c r="G124">
        <v>-497.36867702532021</v>
      </c>
      <c r="H124">
        <v>-436.43292211972818</v>
      </c>
      <c r="I124">
        <v>59.673657058798398</v>
      </c>
      <c r="J124">
        <v>35.264157279729602</v>
      </c>
      <c r="K124">
        <v>11.989863829960701</v>
      </c>
      <c r="L124">
        <v>0</v>
      </c>
      <c r="M124">
        <v>1.2382049403983212E-6</v>
      </c>
      <c r="N124">
        <v>0</v>
      </c>
      <c r="O124" s="1">
        <v>1.7032327679582301E-11</v>
      </c>
      <c r="P124">
        <v>0</v>
      </c>
      <c r="Q124">
        <v>100</v>
      </c>
      <c r="AJ124">
        <v>1</v>
      </c>
    </row>
    <row r="125" spans="1:36" x14ac:dyDescent="0.2">
      <c r="A125">
        <v>135</v>
      </c>
      <c r="B125">
        <v>746</v>
      </c>
      <c r="C125">
        <v>180</v>
      </c>
      <c r="D125">
        <v>0.396899867536674</v>
      </c>
      <c r="E125">
        <v>31.152100403081299</v>
      </c>
      <c r="F125">
        <v>2.5408556008859402</v>
      </c>
      <c r="G125">
        <v>-508.47237791286966</v>
      </c>
      <c r="H125">
        <v>-446.35537679124371</v>
      </c>
      <c r="I125">
        <v>60.949812217657701</v>
      </c>
      <c r="J125">
        <v>36.050733600232903</v>
      </c>
      <c r="K125">
        <v>12.2604765072911</v>
      </c>
      <c r="L125">
        <v>0</v>
      </c>
      <c r="M125">
        <v>1.238204940398321E-6</v>
      </c>
      <c r="N125">
        <v>0</v>
      </c>
      <c r="O125" s="1">
        <v>1.7416749376100901E-11</v>
      </c>
      <c r="P125">
        <v>0</v>
      </c>
      <c r="Q125">
        <v>100</v>
      </c>
      <c r="AJ125">
        <v>1</v>
      </c>
    </row>
    <row r="126" spans="1:36" x14ac:dyDescent="0.2">
      <c r="A126">
        <v>136</v>
      </c>
      <c r="B126">
        <v>744</v>
      </c>
      <c r="C126">
        <v>180</v>
      </c>
      <c r="D126">
        <v>0.39557636533451601</v>
      </c>
      <c r="E126">
        <v>31.6417533201647</v>
      </c>
      <c r="F126">
        <v>2.5408556008859402</v>
      </c>
      <c r="G126">
        <v>-516.3408715907849</v>
      </c>
      <c r="H126">
        <v>-453.44447607085488</v>
      </c>
      <c r="I126">
        <v>61.835909669104801</v>
      </c>
      <c r="J126">
        <v>36.607855412664698</v>
      </c>
      <c r="K126">
        <v>12.453188331179399</v>
      </c>
      <c r="L126">
        <v>0</v>
      </c>
      <c r="M126">
        <v>1.238204940398321E-6</v>
      </c>
      <c r="N126">
        <v>0</v>
      </c>
      <c r="O126" s="1">
        <v>1.7690508192609899E-11</v>
      </c>
      <c r="P126">
        <v>0</v>
      </c>
      <c r="Q126">
        <v>100</v>
      </c>
      <c r="AJ126">
        <v>1</v>
      </c>
    </row>
    <row r="127" spans="1:36" x14ac:dyDescent="0.2">
      <c r="A127">
        <v>137</v>
      </c>
      <c r="B127">
        <v>742</v>
      </c>
      <c r="C127">
        <v>180</v>
      </c>
      <c r="D127">
        <v>0.39424764813081797</v>
      </c>
      <c r="E127">
        <v>32.0129228954602</v>
      </c>
      <c r="F127">
        <v>2.5408556008859402</v>
      </c>
      <c r="G127">
        <v>-522.27269304646506</v>
      </c>
      <c r="H127">
        <v>-458.83761388557878</v>
      </c>
      <c r="I127">
        <v>62.488380200843501</v>
      </c>
      <c r="J127">
        <v>37.027596500001998</v>
      </c>
      <c r="K127">
        <v>12.599268877892101</v>
      </c>
      <c r="L127">
        <v>0</v>
      </c>
      <c r="M127">
        <v>1.238204940398321E-6</v>
      </c>
      <c r="N127">
        <v>0</v>
      </c>
      <c r="O127" s="1">
        <v>1.7898024455889399E-11</v>
      </c>
      <c r="P127">
        <v>0</v>
      </c>
      <c r="Q127">
        <v>100</v>
      </c>
      <c r="AJ127">
        <v>1</v>
      </c>
    </row>
    <row r="128" spans="1:36" x14ac:dyDescent="0.2">
      <c r="A128">
        <v>138</v>
      </c>
      <c r="B128">
        <v>740</v>
      </c>
      <c r="C128">
        <v>180</v>
      </c>
      <c r="D128">
        <v>0.39291368504170499</v>
      </c>
      <c r="E128">
        <v>32.306763382611102</v>
      </c>
      <c r="F128">
        <v>2.5408556008859402</v>
      </c>
      <c r="G128">
        <v>-526.94048381749587</v>
      </c>
      <c r="H128">
        <v>-463.12392157655859</v>
      </c>
      <c r="I128">
        <v>62.988266535988998</v>
      </c>
      <c r="J128">
        <v>37.357650986396102</v>
      </c>
      <c r="K128">
        <v>12.714915153520099</v>
      </c>
      <c r="L128">
        <v>0</v>
      </c>
      <c r="M128">
        <v>1.238204940398321E-6</v>
      </c>
      <c r="N128">
        <v>0</v>
      </c>
      <c r="O128" s="1">
        <v>1.80623069939861E-11</v>
      </c>
      <c r="P128">
        <v>0</v>
      </c>
      <c r="Q128">
        <v>100</v>
      </c>
      <c r="AJ128">
        <v>1</v>
      </c>
    </row>
    <row r="129" spans="1:36" x14ac:dyDescent="0.2">
      <c r="A129">
        <v>142</v>
      </c>
      <c r="B129">
        <v>764</v>
      </c>
      <c r="C129">
        <v>165</v>
      </c>
      <c r="D129">
        <v>0.424490671551851</v>
      </c>
      <c r="E129">
        <v>1.0667927499774801</v>
      </c>
      <c r="F129">
        <v>2.5403837329339898</v>
      </c>
      <c r="G129">
        <v>-17.456521559393465</v>
      </c>
      <c r="H129">
        <v>-15.269334282409902</v>
      </c>
      <c r="I129">
        <v>2.1088437323275899</v>
      </c>
      <c r="J129">
        <v>1.2373737894899901</v>
      </c>
      <c r="K129">
        <v>0.41993370377371803</v>
      </c>
      <c r="L129">
        <v>0</v>
      </c>
      <c r="M129">
        <v>1.2381880351131634E-6</v>
      </c>
      <c r="N129">
        <v>0</v>
      </c>
      <c r="O129" s="1">
        <v>5.9643047249428705E-13</v>
      </c>
      <c r="P129">
        <v>0</v>
      </c>
      <c r="Q129">
        <v>100</v>
      </c>
      <c r="AJ129">
        <v>1</v>
      </c>
    </row>
    <row r="130" spans="1:36" x14ac:dyDescent="0.2">
      <c r="A130">
        <v>143</v>
      </c>
      <c r="B130">
        <v>762</v>
      </c>
      <c r="C130">
        <v>165</v>
      </c>
      <c r="D130">
        <v>0.42324349128146099</v>
      </c>
      <c r="E130">
        <v>2.46185110678136</v>
      </c>
      <c r="F130">
        <v>2.5403837329339898</v>
      </c>
      <c r="G130">
        <v>-40.27490764389114</v>
      </c>
      <c r="H130">
        <v>-35.242945927274889</v>
      </c>
      <c r="I130">
        <v>4.86109425360213</v>
      </c>
      <c r="J130">
        <v>2.85479023050106</v>
      </c>
      <c r="K130">
        <v>0.96908631356179498</v>
      </c>
      <c r="L130">
        <v>0</v>
      </c>
      <c r="M130">
        <v>1.2381880351131634E-6</v>
      </c>
      <c r="N130">
        <v>0</v>
      </c>
      <c r="O130" s="1">
        <v>1.3763901365651199E-12</v>
      </c>
      <c r="P130">
        <v>0</v>
      </c>
      <c r="Q130">
        <v>100</v>
      </c>
      <c r="AJ130">
        <v>1</v>
      </c>
    </row>
    <row r="131" spans="1:36" x14ac:dyDescent="0.2">
      <c r="A131">
        <v>144</v>
      </c>
      <c r="B131">
        <v>760</v>
      </c>
      <c r="C131">
        <v>165</v>
      </c>
      <c r="D131">
        <v>0.42199148235977502</v>
      </c>
      <c r="E131">
        <v>3.8858758922202399</v>
      </c>
      <c r="F131">
        <v>2.5403837329339898</v>
      </c>
      <c r="G131">
        <v>-63.556051164597854</v>
      </c>
      <c r="H131">
        <v>-55.63776684674005</v>
      </c>
      <c r="I131">
        <v>7.6642155716573601</v>
      </c>
      <c r="J131">
        <v>4.50497526233075</v>
      </c>
      <c r="K131">
        <v>1.5296413064857199</v>
      </c>
      <c r="L131">
        <v>0</v>
      </c>
      <c r="M131">
        <v>1.2381880351131634E-6</v>
      </c>
      <c r="N131">
        <v>0</v>
      </c>
      <c r="O131" s="1">
        <v>2.1725445682865801E-12</v>
      </c>
      <c r="P131">
        <v>0</v>
      </c>
      <c r="Q131">
        <v>100</v>
      </c>
      <c r="AJ131">
        <v>1</v>
      </c>
    </row>
    <row r="132" spans="1:36" x14ac:dyDescent="0.2">
      <c r="A132">
        <v>145</v>
      </c>
      <c r="B132">
        <v>758</v>
      </c>
      <c r="C132">
        <v>165</v>
      </c>
      <c r="D132">
        <v>0.42073461669010398</v>
      </c>
      <c r="E132">
        <v>20.113029195515999</v>
      </c>
      <c r="F132">
        <v>2.5403837329339898</v>
      </c>
      <c r="G132">
        <v>-328.88250226986008</v>
      </c>
      <c r="H132">
        <v>-288.02392422987441</v>
      </c>
      <c r="I132">
        <v>39.624281666087001</v>
      </c>
      <c r="J132">
        <v>23.3115706264633</v>
      </c>
      <c r="K132">
        <v>7.9173193147031302</v>
      </c>
      <c r="L132">
        <v>0</v>
      </c>
      <c r="M132">
        <v>1.2381880351131634E-6</v>
      </c>
      <c r="N132">
        <v>0</v>
      </c>
      <c r="O132" s="1">
        <v>1.12449428500767E-11</v>
      </c>
      <c r="P132">
        <v>0</v>
      </c>
      <c r="Q132">
        <v>100</v>
      </c>
      <c r="AJ132">
        <v>1</v>
      </c>
    </row>
    <row r="133" spans="1:36" x14ac:dyDescent="0.2">
      <c r="A133">
        <v>146</v>
      </c>
      <c r="B133">
        <v>756</v>
      </c>
      <c r="C133">
        <v>165</v>
      </c>
      <c r="D133">
        <v>0.41947286595734501</v>
      </c>
      <c r="E133">
        <v>26.5437302180583</v>
      </c>
      <c r="F133">
        <v>2.5403837329339898</v>
      </c>
      <c r="G133">
        <v>-433.93095973797614</v>
      </c>
      <c r="H133">
        <v>-380.17479427664176</v>
      </c>
      <c r="I133">
        <v>52.233557267001302</v>
      </c>
      <c r="J133">
        <v>30.757148527470498</v>
      </c>
      <c r="K133">
        <v>10.448708938708901</v>
      </c>
      <c r="L133">
        <v>0</v>
      </c>
      <c r="M133">
        <v>1.2381880351131634E-6</v>
      </c>
      <c r="N133">
        <v>0</v>
      </c>
      <c r="O133" s="1">
        <v>1.4840267292828499E-11</v>
      </c>
      <c r="P133">
        <v>0</v>
      </c>
      <c r="Q133">
        <v>100</v>
      </c>
      <c r="AJ133">
        <v>1</v>
      </c>
    </row>
    <row r="134" spans="1:36" x14ac:dyDescent="0.2">
      <c r="A134">
        <v>147</v>
      </c>
      <c r="B134">
        <v>754</v>
      </c>
      <c r="C134">
        <v>165</v>
      </c>
      <c r="D134">
        <v>0.41820620162585598</v>
      </c>
      <c r="E134">
        <v>28.838279955612801</v>
      </c>
      <c r="F134">
        <v>2.5403837329339898</v>
      </c>
      <c r="G134">
        <v>-471.32831249982763</v>
      </c>
      <c r="H134">
        <v>-413.10549800219542</v>
      </c>
      <c r="I134">
        <v>56.683848023786297</v>
      </c>
      <c r="J134">
        <v>33.407426881872802</v>
      </c>
      <c r="K134">
        <v>11.3519385208415</v>
      </c>
      <c r="L134">
        <v>0</v>
      </c>
      <c r="M134">
        <v>1.2381880351131634E-6</v>
      </c>
      <c r="N134">
        <v>0</v>
      </c>
      <c r="O134" s="1">
        <v>1.61231213281228E-11</v>
      </c>
      <c r="P134">
        <v>0</v>
      </c>
      <c r="Q134">
        <v>100</v>
      </c>
      <c r="AJ134">
        <v>1</v>
      </c>
    </row>
    <row r="135" spans="1:36" x14ac:dyDescent="0.2">
      <c r="A135">
        <v>148</v>
      </c>
      <c r="B135">
        <v>752</v>
      </c>
      <c r="C135">
        <v>165</v>
      </c>
      <c r="D135">
        <v>0.41693459493732699</v>
      </c>
      <c r="E135">
        <v>30.055946255888301</v>
      </c>
      <c r="F135">
        <v>2.5403837329339898</v>
      </c>
      <c r="G135">
        <v>-491.11157232675527</v>
      </c>
      <c r="H135">
        <v>-430.61807404710726</v>
      </c>
      <c r="I135">
        <v>59.0094115784499</v>
      </c>
      <c r="J135">
        <v>34.809126613782503</v>
      </c>
      <c r="K135">
        <v>11.831262287755001</v>
      </c>
      <c r="L135">
        <v>0</v>
      </c>
      <c r="M135">
        <v>1.2381880351131636E-6</v>
      </c>
      <c r="N135">
        <v>0</v>
      </c>
      <c r="O135" s="1">
        <v>1.68039033139668E-11</v>
      </c>
      <c r="P135">
        <v>0</v>
      </c>
      <c r="Q135">
        <v>100</v>
      </c>
      <c r="AJ135">
        <v>1</v>
      </c>
    </row>
    <row r="136" spans="1:36" x14ac:dyDescent="0.2">
      <c r="A136">
        <v>149</v>
      </c>
      <c r="B136">
        <v>750</v>
      </c>
      <c r="C136">
        <v>165</v>
      </c>
      <c r="D136">
        <v>0.41565801690856902</v>
      </c>
      <c r="E136">
        <v>30.848670501674999</v>
      </c>
      <c r="F136">
        <v>2.5403837329339898</v>
      </c>
      <c r="G136">
        <v>-503.94355638159095</v>
      </c>
      <c r="H136">
        <v>-442.04705186847599</v>
      </c>
      <c r="I136">
        <v>60.496021612779103</v>
      </c>
      <c r="J136">
        <v>35.718047297547699</v>
      </c>
      <c r="K136">
        <v>12.1433113044093</v>
      </c>
      <c r="L136">
        <v>0</v>
      </c>
      <c r="M136">
        <v>1.2381880351131636E-6</v>
      </c>
      <c r="N136">
        <v>0</v>
      </c>
      <c r="O136" s="1">
        <v>1.72471055165336E-11</v>
      </c>
      <c r="P136">
        <v>0</v>
      </c>
      <c r="Q136">
        <v>100</v>
      </c>
      <c r="AJ136">
        <v>1</v>
      </c>
    </row>
    <row r="137" spans="1:36" x14ac:dyDescent="0.2">
      <c r="A137">
        <v>150</v>
      </c>
      <c r="B137">
        <v>748</v>
      </c>
      <c r="C137">
        <v>165</v>
      </c>
      <c r="D137">
        <v>0.41437643832933801</v>
      </c>
      <c r="E137">
        <v>31.400475820954199</v>
      </c>
      <c r="F137">
        <v>2.5403837329339898</v>
      </c>
      <c r="G137">
        <v>-512.83475708667606</v>
      </c>
      <c r="H137">
        <v>-450.0268691185039</v>
      </c>
      <c r="I137">
        <v>61.507014609187898</v>
      </c>
      <c r="J137">
        <v>36.347580220328197</v>
      </c>
      <c r="K137">
        <v>12.360524677383401</v>
      </c>
      <c r="L137">
        <v>0</v>
      </c>
      <c r="M137">
        <v>1.2381880351131634E-6</v>
      </c>
      <c r="N137">
        <v>0</v>
      </c>
      <c r="O137" s="1">
        <v>1.7555612963091898E-11</v>
      </c>
      <c r="P137">
        <v>0</v>
      </c>
      <c r="Q137">
        <v>100</v>
      </c>
      <c r="AJ137">
        <v>1</v>
      </c>
    </row>
    <row r="138" spans="1:36" x14ac:dyDescent="0.2">
      <c r="A138">
        <v>151</v>
      </c>
      <c r="B138">
        <v>746</v>
      </c>
      <c r="C138">
        <v>165</v>
      </c>
      <c r="D138">
        <v>0.41308982976009601</v>
      </c>
      <c r="E138">
        <v>31.8121536370261</v>
      </c>
      <c r="F138">
        <v>2.5403837329339898</v>
      </c>
      <c r="G138">
        <v>-519.43375318990593</v>
      </c>
      <c r="H138">
        <v>-456.00061200251332</v>
      </c>
      <c r="I138">
        <v>62.241221790112</v>
      </c>
      <c r="J138">
        <v>36.814579472293701</v>
      </c>
      <c r="K138">
        <v>12.5225780753543</v>
      </c>
      <c r="L138">
        <v>0</v>
      </c>
      <c r="M138">
        <v>1.2381880351131634E-6</v>
      </c>
      <c r="N138">
        <v>0</v>
      </c>
      <c r="O138" s="1">
        <v>1.77857768767109E-11</v>
      </c>
      <c r="P138">
        <v>0</v>
      </c>
      <c r="Q138">
        <v>100</v>
      </c>
      <c r="AJ138">
        <v>1</v>
      </c>
    </row>
    <row r="139" spans="1:36" x14ac:dyDescent="0.2">
      <c r="A139">
        <v>152</v>
      </c>
      <c r="B139">
        <v>744</v>
      </c>
      <c r="C139">
        <v>165</v>
      </c>
      <c r="D139">
        <v>0.411798161529766</v>
      </c>
      <c r="E139">
        <v>32.134334025420003</v>
      </c>
      <c r="F139">
        <v>2.5403837329339898</v>
      </c>
      <c r="G139">
        <v>-524.56869415221627</v>
      </c>
      <c r="H139">
        <v>-460.69316354613176</v>
      </c>
      <c r="I139">
        <v>62.798535718512099</v>
      </c>
      <c r="J139">
        <v>37.177745552904298</v>
      </c>
      <c r="K139">
        <v>12.649401587966601</v>
      </c>
      <c r="L139">
        <v>0</v>
      </c>
      <c r="M139">
        <v>1.2381880351131634E-6</v>
      </c>
      <c r="N139">
        <v>0</v>
      </c>
      <c r="O139" s="1">
        <v>1.79659038988361E-11</v>
      </c>
      <c r="P139">
        <v>0</v>
      </c>
      <c r="Q139">
        <v>100</v>
      </c>
      <c r="AJ139">
        <v>1</v>
      </c>
    </row>
    <row r="140" spans="1:36" x14ac:dyDescent="0.2">
      <c r="A140">
        <v>157</v>
      </c>
      <c r="B140">
        <v>768</v>
      </c>
      <c r="C140">
        <v>150</v>
      </c>
      <c r="D140">
        <v>0.442818517984921</v>
      </c>
      <c r="E140">
        <v>1.2256889147957699</v>
      </c>
      <c r="F140">
        <v>2.53991195906073</v>
      </c>
      <c r="G140">
        <v>-20.073568306440354</v>
      </c>
      <c r="H140">
        <v>-17.545213966469177</v>
      </c>
      <c r="I140">
        <v>2.4284246650061601</v>
      </c>
      <c r="J140">
        <v>1.4223828827557801</v>
      </c>
      <c r="K140">
        <v>0.482571417652222</v>
      </c>
      <c r="L140">
        <v>0</v>
      </c>
      <c r="M140">
        <v>1.2381710965453891E-6</v>
      </c>
      <c r="N140">
        <v>0</v>
      </c>
      <c r="O140" s="1">
        <v>6.8526732919593196E-13</v>
      </c>
      <c r="P140">
        <v>0</v>
      </c>
      <c r="Q140">
        <v>100</v>
      </c>
      <c r="AJ140">
        <v>1</v>
      </c>
    </row>
    <row r="141" spans="1:36" x14ac:dyDescent="0.2">
      <c r="A141">
        <v>158</v>
      </c>
      <c r="B141">
        <v>766</v>
      </c>
      <c r="C141">
        <v>150</v>
      </c>
      <c r="D141">
        <v>0.44161141317423203</v>
      </c>
      <c r="E141">
        <v>2.6170134985267501</v>
      </c>
      <c r="F141">
        <v>2.53991195906073</v>
      </c>
      <c r="G141">
        <v>-42.849450053634797</v>
      </c>
      <c r="H141">
        <v>-37.467505090881595</v>
      </c>
      <c r="I141">
        <v>5.1791800632759397</v>
      </c>
      <c r="J141">
        <v>3.0362306863253599</v>
      </c>
      <c r="K141">
        <v>1.0303559889904701</v>
      </c>
      <c r="L141">
        <v>0</v>
      </c>
      <c r="M141">
        <v>1.2381710965453893E-6</v>
      </c>
      <c r="N141">
        <v>0</v>
      </c>
      <c r="O141" s="1">
        <v>1.46313948748076E-12</v>
      </c>
      <c r="P141">
        <v>0</v>
      </c>
      <c r="Q141">
        <v>100</v>
      </c>
      <c r="AJ141">
        <v>1</v>
      </c>
    </row>
    <row r="142" spans="1:36" x14ac:dyDescent="0.2">
      <c r="A142">
        <v>159</v>
      </c>
      <c r="B142">
        <v>764</v>
      </c>
      <c r="C142">
        <v>150</v>
      </c>
      <c r="D142">
        <v>0.44039965289495597</v>
      </c>
      <c r="E142">
        <v>4.0472501775936696</v>
      </c>
      <c r="F142">
        <v>2.53991195906073</v>
      </c>
      <c r="G142">
        <v>-66.251299516099465</v>
      </c>
      <c r="H142">
        <v>-57.953442134345401</v>
      </c>
      <c r="I142">
        <v>8.0006338347915502</v>
      </c>
      <c r="J142">
        <v>4.6944088149913297</v>
      </c>
      <c r="K142">
        <v>1.5934608139292901</v>
      </c>
      <c r="L142">
        <v>0</v>
      </c>
      <c r="M142">
        <v>1.2381710965453891E-6</v>
      </c>
      <c r="N142">
        <v>0</v>
      </c>
      <c r="O142" s="1">
        <v>2.2627669111697E-12</v>
      </c>
      <c r="P142">
        <v>0</v>
      </c>
      <c r="Q142">
        <v>100</v>
      </c>
      <c r="AJ142">
        <v>1</v>
      </c>
    </row>
    <row r="143" spans="1:36" x14ac:dyDescent="0.2">
      <c r="A143">
        <v>160</v>
      </c>
      <c r="B143">
        <v>762</v>
      </c>
      <c r="C143">
        <v>150</v>
      </c>
      <c r="D143">
        <v>0.439183210162781</v>
      </c>
      <c r="E143">
        <v>19.686338051607098</v>
      </c>
      <c r="F143">
        <v>2.53991195906073</v>
      </c>
      <c r="G143">
        <v>-322.17693331564936</v>
      </c>
      <c r="H143">
        <v>-281.93855369017899</v>
      </c>
      <c r="I143">
        <v>38.872027846660202</v>
      </c>
      <c r="J143">
        <v>22.828499005996299</v>
      </c>
      <c r="K143">
        <v>7.7507954483930801</v>
      </c>
      <c r="L143">
        <v>0</v>
      </c>
      <c r="M143">
        <v>1.2381710965453893E-6</v>
      </c>
      <c r="N143">
        <v>0</v>
      </c>
      <c r="O143" s="1">
        <v>1.10063851727996E-11</v>
      </c>
      <c r="P143">
        <v>0</v>
      </c>
      <c r="Q143">
        <v>100</v>
      </c>
      <c r="AJ143">
        <v>1</v>
      </c>
    </row>
    <row r="144" spans="1:36" x14ac:dyDescent="0.2">
      <c r="A144">
        <v>161</v>
      </c>
      <c r="B144">
        <v>760</v>
      </c>
      <c r="C144">
        <v>150</v>
      </c>
      <c r="D144">
        <v>0.43796205778444602</v>
      </c>
      <c r="E144">
        <v>26.213283927325101</v>
      </c>
      <c r="F144">
        <v>2.53991195906073</v>
      </c>
      <c r="G144">
        <v>-428.89026062274655</v>
      </c>
      <c r="H144">
        <v>-375.47521577871311</v>
      </c>
      <c r="I144">
        <v>51.701151666295701</v>
      </c>
      <c r="J144">
        <v>30.389595270779399</v>
      </c>
      <c r="K144">
        <v>10.3205482512153</v>
      </c>
      <c r="L144">
        <v>0</v>
      </c>
      <c r="M144">
        <v>1.2381710965453893E-6</v>
      </c>
      <c r="N144">
        <v>0</v>
      </c>
      <c r="O144" s="1">
        <v>1.46555189081773E-11</v>
      </c>
      <c r="P144">
        <v>0</v>
      </c>
      <c r="Q144">
        <v>100</v>
      </c>
      <c r="AJ144">
        <v>1</v>
      </c>
    </row>
    <row r="145" spans="1:36" x14ac:dyDescent="0.2">
      <c r="A145">
        <v>162</v>
      </c>
      <c r="B145">
        <v>758</v>
      </c>
      <c r="C145">
        <v>150</v>
      </c>
      <c r="D145">
        <v>0.43673616835572199</v>
      </c>
      <c r="E145">
        <v>28.598552641259602</v>
      </c>
      <c r="F145">
        <v>2.53991195906073</v>
      </c>
      <c r="G145">
        <v>-467.80423455892145</v>
      </c>
      <c r="H145">
        <v>-409.70775473160387</v>
      </c>
      <c r="I145">
        <v>56.341443851347996</v>
      </c>
      <c r="J145">
        <v>33.146532689366403</v>
      </c>
      <c r="K145">
        <v>11.259662973450199</v>
      </c>
      <c r="L145">
        <v>0</v>
      </c>
      <c r="M145">
        <v>1.2381710965453889E-6</v>
      </c>
      <c r="N145">
        <v>0</v>
      </c>
      <c r="O145" s="1">
        <v>1.5989092787553401E-11</v>
      </c>
      <c r="P145">
        <v>0</v>
      </c>
      <c r="Q145">
        <v>100</v>
      </c>
      <c r="AJ145">
        <v>1</v>
      </c>
    </row>
    <row r="146" spans="1:36" x14ac:dyDescent="0.2">
      <c r="A146">
        <v>163</v>
      </c>
      <c r="B146">
        <v>756</v>
      </c>
      <c r="C146">
        <v>150</v>
      </c>
      <c r="D146">
        <v>0.43550551425934297</v>
      </c>
      <c r="E146">
        <v>29.8665703118103</v>
      </c>
      <c r="F146">
        <v>2.53991195906073</v>
      </c>
      <c r="G146">
        <v>-488.42837288523305</v>
      </c>
      <c r="H146">
        <v>-427.94281632423429</v>
      </c>
      <c r="I146">
        <v>58.772342769274402</v>
      </c>
      <c r="J146">
        <v>34.607439555030602</v>
      </c>
      <c r="K146">
        <v>11.7588998332269</v>
      </c>
      <c r="L146">
        <v>0</v>
      </c>
      <c r="M146">
        <v>1.2381710965453891E-6</v>
      </c>
      <c r="N146">
        <v>0</v>
      </c>
      <c r="O146" s="1">
        <v>1.6698025594224301E-11</v>
      </c>
      <c r="P146">
        <v>0</v>
      </c>
      <c r="Q146">
        <v>100</v>
      </c>
      <c r="AJ146">
        <v>1</v>
      </c>
    </row>
    <row r="147" spans="1:36" x14ac:dyDescent="0.2">
      <c r="A147">
        <v>164</v>
      </c>
      <c r="B147">
        <v>754</v>
      </c>
      <c r="C147">
        <v>150</v>
      </c>
      <c r="D147">
        <v>0.43427006766295001</v>
      </c>
      <c r="E147">
        <v>30.671368992300302</v>
      </c>
      <c r="F147">
        <v>2.53991195906073</v>
      </c>
      <c r="G147">
        <v>-501.46915103518603</v>
      </c>
      <c r="H147">
        <v>-439.54543609879767</v>
      </c>
      <c r="I147">
        <v>60.286924924683198</v>
      </c>
      <c r="J147">
        <v>35.530951171648702</v>
      </c>
      <c r="K147">
        <v>12.0757606903991</v>
      </c>
      <c r="L147">
        <v>0</v>
      </c>
      <c r="M147">
        <v>1.2381710965453893E-6</v>
      </c>
      <c r="N147">
        <v>0</v>
      </c>
      <c r="O147" s="1">
        <v>1.71479784620869E-11</v>
      </c>
      <c r="P147">
        <v>0</v>
      </c>
      <c r="Q147">
        <v>100</v>
      </c>
      <c r="AJ147">
        <v>1</v>
      </c>
    </row>
    <row r="148" spans="1:36" x14ac:dyDescent="0.2">
      <c r="A148">
        <v>165</v>
      </c>
      <c r="B148">
        <v>752</v>
      </c>
      <c r="C148">
        <v>150</v>
      </c>
      <c r="D148">
        <v>0.43302980051699702</v>
      </c>
      <c r="E148">
        <v>31.253446702984899</v>
      </c>
      <c r="F148">
        <v>2.53991195906073</v>
      </c>
      <c r="G148">
        <v>-510.86318331791358</v>
      </c>
      <c r="H148">
        <v>-447.95948006186677</v>
      </c>
      <c r="I148">
        <v>61.3604870078006</v>
      </c>
      <c r="J148">
        <v>36.196005081296398</v>
      </c>
      <c r="K148">
        <v>12.304933086949401</v>
      </c>
      <c r="L148">
        <v>0</v>
      </c>
      <c r="M148">
        <v>1.2381710965453891E-6</v>
      </c>
      <c r="N148">
        <v>0</v>
      </c>
      <c r="O148" s="1">
        <v>1.7473410823732901E-11</v>
      </c>
      <c r="P148">
        <v>0</v>
      </c>
      <c r="Q148">
        <v>100</v>
      </c>
      <c r="AJ148">
        <v>1</v>
      </c>
    </row>
    <row r="149" spans="1:36" x14ac:dyDescent="0.2">
      <c r="A149">
        <v>166</v>
      </c>
      <c r="B149">
        <v>750</v>
      </c>
      <c r="C149">
        <v>150</v>
      </c>
      <c r="D149">
        <v>0.43178468455260599</v>
      </c>
      <c r="E149">
        <v>31.683494415258501</v>
      </c>
      <c r="F149">
        <v>2.53991195906073</v>
      </c>
      <c r="G149">
        <v>-517.76832740182772</v>
      </c>
      <c r="H149">
        <v>-454.19678531677044</v>
      </c>
      <c r="I149">
        <v>62.133159443930303</v>
      </c>
      <c r="J149">
        <v>36.684645842819798</v>
      </c>
      <c r="K149">
        <v>12.474249078686601</v>
      </c>
      <c r="L149">
        <v>0</v>
      </c>
      <c r="M149">
        <v>1.2381710965453891E-6</v>
      </c>
      <c r="N149">
        <v>0</v>
      </c>
      <c r="O149" s="1">
        <v>1.77138451163655E-11</v>
      </c>
      <c r="P149">
        <v>0</v>
      </c>
      <c r="Q149">
        <v>100</v>
      </c>
      <c r="AJ149">
        <v>1</v>
      </c>
    </row>
    <row r="150" spans="1:36" x14ac:dyDescent="0.2">
      <c r="A150">
        <v>167</v>
      </c>
      <c r="B150">
        <v>748</v>
      </c>
      <c r="C150">
        <v>150</v>
      </c>
      <c r="D150">
        <v>0.43053469127944</v>
      </c>
      <c r="E150">
        <v>32.019214467086002</v>
      </c>
      <c r="F150">
        <v>2.53991195906073</v>
      </c>
      <c r="G150">
        <v>-523.12911857408812</v>
      </c>
      <c r="H150">
        <v>-459.08361663505099</v>
      </c>
      <c r="I150">
        <v>62.7189951907527</v>
      </c>
      <c r="J150">
        <v>37.063800340810602</v>
      </c>
      <c r="K150">
        <v>12.606426908957401</v>
      </c>
      <c r="L150">
        <v>0</v>
      </c>
      <c r="M150">
        <v>1.2381710965453893E-6</v>
      </c>
      <c r="N150">
        <v>0</v>
      </c>
      <c r="O150" s="1">
        <v>1.7901541994828101E-11</v>
      </c>
      <c r="P150">
        <v>0</v>
      </c>
      <c r="Q150">
        <v>100</v>
      </c>
      <c r="AJ150">
        <v>1</v>
      </c>
    </row>
    <row r="151" spans="1:36" x14ac:dyDescent="0.2">
      <c r="A151">
        <v>173</v>
      </c>
      <c r="B151">
        <v>774</v>
      </c>
      <c r="C151">
        <v>135</v>
      </c>
      <c r="D151">
        <v>0.46216922121950399</v>
      </c>
      <c r="E151">
        <v>0.529481483486275</v>
      </c>
      <c r="F151">
        <v>2.5394402792589501</v>
      </c>
      <c r="G151">
        <v>-8.6809495270677193</v>
      </c>
      <c r="H151">
        <v>-7.5787407667242093</v>
      </c>
      <c r="I151">
        <v>1.05257963075348</v>
      </c>
      <c r="J151">
        <v>0.61490284547247198</v>
      </c>
      <c r="K151">
        <v>0.208503223253899</v>
      </c>
      <c r="L151">
        <v>0</v>
      </c>
      <c r="M151">
        <v>1.238154124715161E-6</v>
      </c>
      <c r="N151">
        <v>0</v>
      </c>
      <c r="O151" s="1">
        <v>2.9602646941438399E-13</v>
      </c>
      <c r="P151">
        <v>0</v>
      </c>
      <c r="Q151">
        <v>100</v>
      </c>
      <c r="AJ151">
        <v>1</v>
      </c>
    </row>
    <row r="152" spans="1:36" x14ac:dyDescent="0.2">
      <c r="A152">
        <v>174</v>
      </c>
      <c r="B152">
        <v>772</v>
      </c>
      <c r="C152">
        <v>135</v>
      </c>
      <c r="D152">
        <v>0.46100607568291702</v>
      </c>
      <c r="E152">
        <v>1.9053999659760501</v>
      </c>
      <c r="F152">
        <v>2.5394402792589501</v>
      </c>
      <c r="G152">
        <v>-31.231823053097031</v>
      </c>
      <c r="H152">
        <v>-27.277394650200375</v>
      </c>
      <c r="I152">
        <v>3.7835989120189901</v>
      </c>
      <c r="J152">
        <v>2.21225848983832</v>
      </c>
      <c r="K152">
        <v>0.75032280992726097</v>
      </c>
      <c r="L152">
        <v>0</v>
      </c>
      <c r="M152">
        <v>1.2381541247151614E-6</v>
      </c>
      <c r="N152">
        <v>0</v>
      </c>
      <c r="O152" s="1">
        <v>1.0652852693474701E-12</v>
      </c>
      <c r="P152">
        <v>0</v>
      </c>
      <c r="Q152">
        <v>100</v>
      </c>
      <c r="AJ152">
        <v>1</v>
      </c>
    </row>
    <row r="153" spans="1:36" x14ac:dyDescent="0.2">
      <c r="A153">
        <v>175</v>
      </c>
      <c r="B153">
        <v>770</v>
      </c>
      <c r="C153">
        <v>135</v>
      </c>
      <c r="D153">
        <v>0.45983847001869499</v>
      </c>
      <c r="E153">
        <v>3.3039668085434202</v>
      </c>
      <c r="F153">
        <v>2.5394402792589501</v>
      </c>
      <c r="G153">
        <v>-54.142920543812089</v>
      </c>
      <c r="H153">
        <v>-47.306720281253291</v>
      </c>
      <c r="I153">
        <v>6.55342018171768</v>
      </c>
      <c r="J153">
        <v>3.8351195386360599</v>
      </c>
      <c r="K153">
        <v>1.3010610391308599</v>
      </c>
      <c r="L153">
        <v>0</v>
      </c>
      <c r="M153">
        <v>1.2381541247151614E-6</v>
      </c>
      <c r="N153">
        <v>0</v>
      </c>
      <c r="O153" s="1">
        <v>1.8472064838897599E-12</v>
      </c>
      <c r="P153">
        <v>0</v>
      </c>
      <c r="Q153">
        <v>100</v>
      </c>
      <c r="AJ153">
        <v>1</v>
      </c>
    </row>
    <row r="154" spans="1:36" x14ac:dyDescent="0.2">
      <c r="A154">
        <v>176</v>
      </c>
      <c r="B154">
        <v>768</v>
      </c>
      <c r="C154">
        <v>135</v>
      </c>
      <c r="D154">
        <v>0.45866637852374798</v>
      </c>
      <c r="E154">
        <v>4.9165620093624103</v>
      </c>
      <c r="F154">
        <v>2.5394402792589501</v>
      </c>
      <c r="G154">
        <v>-80.54942353280012</v>
      </c>
      <c r="H154">
        <v>-70.407526397196065</v>
      </c>
      <c r="I154">
        <v>9.7410528123748108</v>
      </c>
      <c r="J154">
        <v>5.7055534725870602</v>
      </c>
      <c r="K154">
        <v>1.93608097403146</v>
      </c>
      <c r="L154">
        <v>0</v>
      </c>
      <c r="M154">
        <v>1.2381541247151614E-6</v>
      </c>
      <c r="N154">
        <v>0</v>
      </c>
      <c r="O154" s="1">
        <v>2.7487882743423101E-12</v>
      </c>
      <c r="P154">
        <v>0</v>
      </c>
      <c r="Q154">
        <v>100</v>
      </c>
      <c r="AJ154">
        <v>1</v>
      </c>
    </row>
    <row r="155" spans="1:36" x14ac:dyDescent="0.2">
      <c r="A155">
        <v>177</v>
      </c>
      <c r="B155">
        <v>766</v>
      </c>
      <c r="C155">
        <v>135</v>
      </c>
      <c r="D155">
        <v>0.45748977529712298</v>
      </c>
      <c r="E155">
        <v>22.348708293336099</v>
      </c>
      <c r="F155">
        <v>2.5394402792589501</v>
      </c>
      <c r="G155">
        <v>-366.05668991646286</v>
      </c>
      <c r="H155">
        <v>-320.09608708003407</v>
      </c>
      <c r="I155">
        <v>44.229036074126697</v>
      </c>
      <c r="J155">
        <v>25.928729048650599</v>
      </c>
      <c r="K155">
        <v>8.8006433842412903</v>
      </c>
      <c r="L155">
        <v>0</v>
      </c>
      <c r="M155">
        <v>1.2381541247151612E-6</v>
      </c>
      <c r="N155">
        <v>0</v>
      </c>
      <c r="O155" s="1">
        <v>1.2494883047633E-11</v>
      </c>
      <c r="P155">
        <v>0</v>
      </c>
      <c r="Q155">
        <v>100</v>
      </c>
      <c r="AJ155">
        <v>1</v>
      </c>
    </row>
    <row r="156" spans="1:36" x14ac:dyDescent="0.2">
      <c r="A156">
        <v>178</v>
      </c>
      <c r="B156">
        <v>764</v>
      </c>
      <c r="C156">
        <v>135</v>
      </c>
      <c r="D156">
        <v>0.45630863423805901</v>
      </c>
      <c r="E156">
        <v>26.8742259322865</v>
      </c>
      <c r="F156">
        <v>2.5394402792589501</v>
      </c>
      <c r="G156">
        <v>-440.07529023188675</v>
      </c>
      <c r="H156">
        <v>-384.97652335414068</v>
      </c>
      <c r="I156">
        <v>53.125166926429202</v>
      </c>
      <c r="J156">
        <v>31.1714367970213</v>
      </c>
      <c r="K156">
        <v>10.5827359484621</v>
      </c>
      <c r="L156">
        <v>0</v>
      </c>
      <c r="M156">
        <v>1.2381541247151612E-6</v>
      </c>
      <c r="N156">
        <v>0</v>
      </c>
      <c r="O156" s="1">
        <v>1.5025043309537099E-11</v>
      </c>
      <c r="P156">
        <v>0</v>
      </c>
      <c r="Q156">
        <v>100</v>
      </c>
      <c r="AJ156">
        <v>1</v>
      </c>
    </row>
    <row r="157" spans="1:36" x14ac:dyDescent="0.2">
      <c r="A157">
        <v>179</v>
      </c>
      <c r="B157">
        <v>762</v>
      </c>
      <c r="C157">
        <v>135</v>
      </c>
      <c r="D157">
        <v>0.45512292904410101</v>
      </c>
      <c r="E157">
        <v>28.844401896174499</v>
      </c>
      <c r="F157">
        <v>2.5394402792589501</v>
      </c>
      <c r="G157">
        <v>-472.22366796614762</v>
      </c>
      <c r="H157">
        <v>-413.26643627961988</v>
      </c>
      <c r="I157">
        <v>56.955254491163302</v>
      </c>
      <c r="J157">
        <v>33.448292835834103</v>
      </c>
      <c r="K157">
        <v>11.3585667407747</v>
      </c>
      <c r="L157">
        <v>0</v>
      </c>
      <c r="M157">
        <v>1.2381541247151612E-6</v>
      </c>
      <c r="N157">
        <v>0</v>
      </c>
      <c r="O157" s="1">
        <v>1.6126544028456899E-11</v>
      </c>
      <c r="P157">
        <v>0</v>
      </c>
      <c r="Q157">
        <v>100</v>
      </c>
      <c r="AJ157">
        <v>1</v>
      </c>
    </row>
    <row r="158" spans="1:36" x14ac:dyDescent="0.2">
      <c r="A158">
        <v>180</v>
      </c>
      <c r="B158">
        <v>760</v>
      </c>
      <c r="C158">
        <v>135</v>
      </c>
      <c r="D158">
        <v>0.45393263320911997</v>
      </c>
      <c r="E158">
        <v>29.969645436698599</v>
      </c>
      <c r="F158">
        <v>2.5394402792589501</v>
      </c>
      <c r="G158">
        <v>-490.52720964718668</v>
      </c>
      <c r="H158">
        <v>-429.45779311016474</v>
      </c>
      <c r="I158">
        <v>59.109922602741001</v>
      </c>
      <c r="J158">
        <v>34.744421864695703</v>
      </c>
      <c r="K158">
        <v>11.801673652842901</v>
      </c>
      <c r="L158">
        <v>0</v>
      </c>
      <c r="M158">
        <v>1.2381541247151612E-6</v>
      </c>
      <c r="N158">
        <v>0</v>
      </c>
      <c r="O158" s="1">
        <v>1.67556536062639E-11</v>
      </c>
      <c r="P158">
        <v>0</v>
      </c>
      <c r="Q158">
        <v>100</v>
      </c>
      <c r="AJ158">
        <v>1</v>
      </c>
    </row>
    <row r="159" spans="1:36" x14ac:dyDescent="0.2">
      <c r="A159">
        <v>181</v>
      </c>
      <c r="B159">
        <v>758</v>
      </c>
      <c r="C159">
        <v>135</v>
      </c>
      <c r="D159">
        <v>0.452737720021335</v>
      </c>
      <c r="E159">
        <v>30.711143184478502</v>
      </c>
      <c r="F159">
        <v>2.5394402792589501</v>
      </c>
      <c r="G159">
        <v>-502.54257439726638</v>
      </c>
      <c r="H159">
        <v>-440.15447619970899</v>
      </c>
      <c r="I159">
        <v>60.503416765317702</v>
      </c>
      <c r="J159">
        <v>35.5950849772548</v>
      </c>
      <c r="K159">
        <v>12.0936662442168</v>
      </c>
      <c r="L159">
        <v>0</v>
      </c>
      <c r="M159">
        <v>1.238154124715161E-6</v>
      </c>
      <c r="N159">
        <v>0</v>
      </c>
      <c r="O159" s="1">
        <v>1.7170215715043901E-11</v>
      </c>
      <c r="P159">
        <v>0</v>
      </c>
      <c r="Q159">
        <v>100</v>
      </c>
      <c r="AJ159">
        <v>1</v>
      </c>
    </row>
    <row r="160" spans="1:36" x14ac:dyDescent="0.2">
      <c r="A160">
        <v>182</v>
      </c>
      <c r="B160">
        <v>756</v>
      </c>
      <c r="C160">
        <v>135</v>
      </c>
      <c r="D160">
        <v>0.451538162561337</v>
      </c>
      <c r="E160">
        <v>31.244002652576999</v>
      </c>
      <c r="F160">
        <v>2.5394402792589501</v>
      </c>
      <c r="G160">
        <v>-511.13899777895392</v>
      </c>
      <c r="H160">
        <v>-447.86387546311363</v>
      </c>
      <c r="I160">
        <v>61.482895900345099</v>
      </c>
      <c r="J160">
        <v>36.203518581733498</v>
      </c>
      <c r="K160">
        <v>12.303499675800399</v>
      </c>
      <c r="L160">
        <v>0</v>
      </c>
      <c r="M160">
        <v>1.2381541247151612E-6</v>
      </c>
      <c r="N160">
        <v>0</v>
      </c>
      <c r="O160" s="1">
        <v>1.7468130773369701E-11</v>
      </c>
      <c r="P160">
        <v>0</v>
      </c>
      <c r="Q160">
        <v>100</v>
      </c>
      <c r="AJ160">
        <v>1</v>
      </c>
    </row>
    <row r="161" spans="1:36" x14ac:dyDescent="0.2">
      <c r="A161">
        <v>183</v>
      </c>
      <c r="B161">
        <v>754</v>
      </c>
      <c r="C161">
        <v>135</v>
      </c>
      <c r="D161">
        <v>0.45033393370004399</v>
      </c>
      <c r="E161">
        <v>31.665013089551199</v>
      </c>
      <c r="F161">
        <v>2.5394402792589501</v>
      </c>
      <c r="G161">
        <v>-517.90200349357031</v>
      </c>
      <c r="H161">
        <v>-453.97217876006664</v>
      </c>
      <c r="I161">
        <v>62.240008502656501</v>
      </c>
      <c r="J161">
        <v>36.682028579060201</v>
      </c>
      <c r="K161">
        <v>12.469288349947499</v>
      </c>
      <c r="L161">
        <v>0</v>
      </c>
      <c r="M161">
        <v>1.2381541247151612E-6</v>
      </c>
      <c r="N161">
        <v>0</v>
      </c>
      <c r="O161" s="1">
        <v>1.7703512438510201E-11</v>
      </c>
      <c r="P161">
        <v>0</v>
      </c>
      <c r="Q161">
        <v>100</v>
      </c>
      <c r="AJ161">
        <v>1</v>
      </c>
    </row>
    <row r="162" spans="1:36" x14ac:dyDescent="0.2">
      <c r="A162">
        <v>184</v>
      </c>
      <c r="B162">
        <v>752</v>
      </c>
      <c r="C162">
        <v>135</v>
      </c>
      <c r="D162">
        <v>0.449125006096672</v>
      </c>
      <c r="E162">
        <v>31.991402668207201</v>
      </c>
      <c r="F162">
        <v>2.5394402792589501</v>
      </c>
      <c r="G162">
        <v>-523.11462766530735</v>
      </c>
      <c r="H162">
        <v>-458.72564300994736</v>
      </c>
      <c r="I162">
        <v>62.809330005716198</v>
      </c>
      <c r="J162">
        <v>37.050664668791001</v>
      </c>
      <c r="K162">
        <v>12.597816506849499</v>
      </c>
      <c r="L162">
        <v>0</v>
      </c>
      <c r="M162">
        <v>1.2381541247151614E-6</v>
      </c>
      <c r="N162">
        <v>0</v>
      </c>
      <c r="O162" s="1">
        <v>1.7885992766220599E-11</v>
      </c>
      <c r="P162">
        <v>0</v>
      </c>
      <c r="Q162">
        <v>100</v>
      </c>
      <c r="AJ162">
        <v>1</v>
      </c>
    </row>
    <row r="163" spans="1:36" x14ac:dyDescent="0.2">
      <c r="A163">
        <v>191</v>
      </c>
      <c r="B163">
        <v>780</v>
      </c>
      <c r="C163">
        <v>120</v>
      </c>
      <c r="D163">
        <v>0.48129943502824801</v>
      </c>
      <c r="E163">
        <v>0.52638992757918301</v>
      </c>
      <c r="F163">
        <v>2.5389686935214599</v>
      </c>
      <c r="G163">
        <v>-8.6396615498452984</v>
      </c>
      <c r="H163">
        <v>-7.5339301035793618</v>
      </c>
      <c r="I163">
        <v>1.04992778451876</v>
      </c>
      <c r="J163">
        <v>0.61175633757107095</v>
      </c>
      <c r="K163">
        <v>0.20732430806348301</v>
      </c>
      <c r="L163">
        <v>0</v>
      </c>
      <c r="M163">
        <v>1.2381371196426334E-6</v>
      </c>
      <c r="N163">
        <v>0</v>
      </c>
      <c r="O163" s="1">
        <v>2.94298019206554E-13</v>
      </c>
      <c r="P163">
        <v>0</v>
      </c>
      <c r="Q163">
        <v>100</v>
      </c>
      <c r="AJ163">
        <v>1</v>
      </c>
    </row>
    <row r="164" spans="1:36" x14ac:dyDescent="0.2">
      <c r="A164">
        <v>192</v>
      </c>
      <c r="B164">
        <v>778</v>
      </c>
      <c r="C164">
        <v>120</v>
      </c>
      <c r="D164">
        <v>0.48017932740332298</v>
      </c>
      <c r="E164">
        <v>1.8901626834265099</v>
      </c>
      <c r="F164">
        <v>2.5389686935214599</v>
      </c>
      <c r="G164">
        <v>-31.015789117657732</v>
      </c>
      <c r="H164">
        <v>-27.057253862340726</v>
      </c>
      <c r="I164">
        <v>3.76590900948199</v>
      </c>
      <c r="J164">
        <v>2.19616771129003</v>
      </c>
      <c r="K164">
        <v>0.74446080735439302</v>
      </c>
      <c r="L164">
        <v>0</v>
      </c>
      <c r="M164">
        <v>1.2381371196426334E-6</v>
      </c>
      <c r="N164">
        <v>0</v>
      </c>
      <c r="O164" s="1">
        <v>1.0567662954129899E-12</v>
      </c>
      <c r="P164">
        <v>0</v>
      </c>
      <c r="Q164">
        <v>100</v>
      </c>
      <c r="AJ164">
        <v>1</v>
      </c>
    </row>
    <row r="165" spans="1:36" x14ac:dyDescent="0.2">
      <c r="A165">
        <v>193</v>
      </c>
      <c r="B165">
        <v>776</v>
      </c>
      <c r="C165">
        <v>120</v>
      </c>
      <c r="D165">
        <v>0.47905494924462999</v>
      </c>
      <c r="E165">
        <v>3.2791971982366599</v>
      </c>
      <c r="F165">
        <v>2.5389686935214599</v>
      </c>
      <c r="G165">
        <v>-53.795477532597154</v>
      </c>
      <c r="H165">
        <v>-46.948589890585836</v>
      </c>
      <c r="I165">
        <v>6.5261284296919602</v>
      </c>
      <c r="J165">
        <v>3.8091562909804</v>
      </c>
      <c r="K165">
        <v>1.2915469208438799</v>
      </c>
      <c r="L165">
        <v>0</v>
      </c>
      <c r="M165">
        <v>1.2381371196426337E-6</v>
      </c>
      <c r="N165">
        <v>0</v>
      </c>
      <c r="O165" s="1">
        <v>1.8333581048310699E-12</v>
      </c>
      <c r="P165">
        <v>0</v>
      </c>
      <c r="Q165">
        <v>100</v>
      </c>
      <c r="AJ165">
        <v>1</v>
      </c>
    </row>
    <row r="166" spans="1:36" x14ac:dyDescent="0.2">
      <c r="A166">
        <v>194</v>
      </c>
      <c r="B166">
        <v>774</v>
      </c>
      <c r="C166">
        <v>120</v>
      </c>
      <c r="D166">
        <v>0.47792627608270499</v>
      </c>
      <c r="E166">
        <v>4.7460224408407603</v>
      </c>
      <c r="F166">
        <v>2.5389686935214599</v>
      </c>
      <c r="G166">
        <v>-77.839976168775024</v>
      </c>
      <c r="H166">
        <v>-67.960296379713682</v>
      </c>
      <c r="I166">
        <v>9.4348276646720493</v>
      </c>
      <c r="J166">
        <v>5.5116992653527603</v>
      </c>
      <c r="K166">
        <v>1.8692717452369101</v>
      </c>
      <c r="L166">
        <v>0</v>
      </c>
      <c r="M166">
        <v>1.2381371196426337E-6</v>
      </c>
      <c r="N166">
        <v>0</v>
      </c>
      <c r="O166" s="1">
        <v>2.6534417363812199E-12</v>
      </c>
      <c r="P166">
        <v>0</v>
      </c>
      <c r="Q166">
        <v>100</v>
      </c>
      <c r="AJ166">
        <v>1</v>
      </c>
    </row>
    <row r="167" spans="1:36" x14ac:dyDescent="0.2">
      <c r="A167">
        <v>195</v>
      </c>
      <c r="B167">
        <v>772</v>
      </c>
      <c r="C167">
        <v>120</v>
      </c>
      <c r="D167">
        <v>0.47679328326077502</v>
      </c>
      <c r="E167">
        <v>19.778533779696701</v>
      </c>
      <c r="F167">
        <v>2.5389686935214599</v>
      </c>
      <c r="G167">
        <v>-324.31106499408378</v>
      </c>
      <c r="H167">
        <v>-283.26309756325679</v>
      </c>
      <c r="I167">
        <v>39.274714089678</v>
      </c>
      <c r="J167">
        <v>22.963802903331299</v>
      </c>
      <c r="K167">
        <v>7.7899872614280303</v>
      </c>
      <c r="L167">
        <v>0</v>
      </c>
      <c r="M167">
        <v>1.2381371196426334E-6</v>
      </c>
      <c r="N167">
        <v>0</v>
      </c>
      <c r="O167" s="1">
        <v>1.1057930650276501E-11</v>
      </c>
      <c r="P167">
        <v>0</v>
      </c>
      <c r="Q167">
        <v>100</v>
      </c>
      <c r="AJ167">
        <v>1</v>
      </c>
    </row>
    <row r="168" spans="1:36" x14ac:dyDescent="0.2">
      <c r="A168">
        <v>196</v>
      </c>
      <c r="B168">
        <v>770</v>
      </c>
      <c r="C168">
        <v>120</v>
      </c>
      <c r="D168">
        <v>0.47565594593299199</v>
      </c>
      <c r="E168">
        <v>25.755812763453701</v>
      </c>
      <c r="F168">
        <v>2.5389686935214599</v>
      </c>
      <c r="G168">
        <v>-422.21901725311625</v>
      </c>
      <c r="H168">
        <v>-368.92795708851366</v>
      </c>
      <c r="I168">
        <v>51.086670339455097</v>
      </c>
      <c r="J168">
        <v>29.8963719935551</v>
      </c>
      <c r="K168">
        <v>10.1442025768861</v>
      </c>
      <c r="L168">
        <v>0</v>
      </c>
      <c r="M168">
        <v>1.2381371196426337E-6</v>
      </c>
      <c r="N168">
        <v>0</v>
      </c>
      <c r="O168" s="1">
        <v>1.4399752507040701E-11</v>
      </c>
      <c r="P168">
        <v>0</v>
      </c>
      <c r="Q168">
        <v>100</v>
      </c>
      <c r="AJ168">
        <v>1</v>
      </c>
    </row>
    <row r="169" spans="1:36" x14ac:dyDescent="0.2">
      <c r="A169">
        <v>197</v>
      </c>
      <c r="B169">
        <v>768</v>
      </c>
      <c r="C169">
        <v>120</v>
      </c>
      <c r="D169">
        <v>0.474514239062578</v>
      </c>
      <c r="E169">
        <v>28.187662589888401</v>
      </c>
      <c r="F169">
        <v>2.5389686935214599</v>
      </c>
      <c r="G169">
        <v>-461.97294939171832</v>
      </c>
      <c r="H169">
        <v>-403.82736433952539</v>
      </c>
      <c r="I169">
        <v>55.8474619912528</v>
      </c>
      <c r="J169">
        <v>32.711113145241498</v>
      </c>
      <c r="K169">
        <v>11.102012664359799</v>
      </c>
      <c r="L169">
        <v>0</v>
      </c>
      <c r="M169">
        <v>1.2381371196426337E-6</v>
      </c>
      <c r="N169">
        <v>0</v>
      </c>
      <c r="O169" s="1">
        <v>1.5759369303317402E-11</v>
      </c>
      <c r="P169">
        <v>0</v>
      </c>
      <c r="Q169">
        <v>100</v>
      </c>
      <c r="AJ169">
        <v>1</v>
      </c>
    </row>
    <row r="170" spans="1:36" x14ac:dyDescent="0.2">
      <c r="A170">
        <v>198</v>
      </c>
      <c r="B170">
        <v>766</v>
      </c>
      <c r="C170">
        <v>120</v>
      </c>
      <c r="D170">
        <v>0.47336813742000999</v>
      </c>
      <c r="E170">
        <v>29.5158679540951</v>
      </c>
      <c r="F170">
        <v>2.5389686935214599</v>
      </c>
      <c r="G170">
        <v>-483.62426690116365</v>
      </c>
      <c r="H170">
        <v>-422.92424493098417</v>
      </c>
      <c r="I170">
        <v>58.4131472551407</v>
      </c>
      <c r="J170">
        <v>34.243989977965498</v>
      </c>
      <c r="K170">
        <v>11.6251405656985</v>
      </c>
      <c r="L170">
        <v>0</v>
      </c>
      <c r="M170">
        <v>1.2381371196426339E-6</v>
      </c>
      <c r="N170">
        <v>0</v>
      </c>
      <c r="O170" s="1">
        <v>1.6501952296087E-11</v>
      </c>
      <c r="P170">
        <v>0</v>
      </c>
      <c r="Q170">
        <v>100</v>
      </c>
      <c r="AJ170">
        <v>1</v>
      </c>
    </row>
    <row r="171" spans="1:36" x14ac:dyDescent="0.2">
      <c r="A171">
        <v>199</v>
      </c>
      <c r="B171">
        <v>764</v>
      </c>
      <c r="C171">
        <v>120</v>
      </c>
      <c r="D171">
        <v>0.47221761558116099</v>
      </c>
      <c r="E171">
        <v>30.366660119986999</v>
      </c>
      <c r="F171">
        <v>2.5389686935214599</v>
      </c>
      <c r="G171">
        <v>-497.44456574132164</v>
      </c>
      <c r="H171">
        <v>-435.18545059424008</v>
      </c>
      <c r="I171">
        <v>60.029036443216</v>
      </c>
      <c r="J171">
        <v>35.2223140882951</v>
      </c>
      <c r="K171">
        <v>11.960234168098101</v>
      </c>
      <c r="L171">
        <v>0</v>
      </c>
      <c r="M171">
        <v>1.2381371196426337E-6</v>
      </c>
      <c r="N171">
        <v>0</v>
      </c>
      <c r="O171" s="1">
        <v>1.6977619545895501E-11</v>
      </c>
      <c r="P171">
        <v>0</v>
      </c>
      <c r="Q171">
        <v>100</v>
      </c>
      <c r="AJ171">
        <v>1</v>
      </c>
    </row>
    <row r="172" spans="1:36" x14ac:dyDescent="0.2">
      <c r="A172">
        <v>200</v>
      </c>
      <c r="B172">
        <v>762</v>
      </c>
      <c r="C172">
        <v>120</v>
      </c>
      <c r="D172">
        <v>0.47106264792542502</v>
      </c>
      <c r="E172">
        <v>30.966441510728401</v>
      </c>
      <c r="F172">
        <v>2.5389686935214599</v>
      </c>
      <c r="G172">
        <v>-507.14738868799208</v>
      </c>
      <c r="H172">
        <v>-443.85276142454865</v>
      </c>
      <c r="I172">
        <v>61.145367592564703</v>
      </c>
      <c r="J172">
        <v>35.909033838276301</v>
      </c>
      <c r="K172">
        <v>12.196464489595201</v>
      </c>
      <c r="L172">
        <v>0</v>
      </c>
      <c r="M172">
        <v>1.2381371196426337E-6</v>
      </c>
      <c r="N172">
        <v>0</v>
      </c>
      <c r="O172" s="1">
        <v>1.7312949813448102E-11</v>
      </c>
      <c r="P172">
        <v>0</v>
      </c>
      <c r="Q172">
        <v>100</v>
      </c>
      <c r="AJ172">
        <v>1</v>
      </c>
    </row>
    <row r="173" spans="1:36" x14ac:dyDescent="0.2">
      <c r="A173">
        <v>201</v>
      </c>
      <c r="B173">
        <v>760</v>
      </c>
      <c r="C173">
        <v>120</v>
      </c>
      <c r="D173">
        <v>0.46990320863379098</v>
      </c>
      <c r="E173">
        <v>31.416829770803002</v>
      </c>
      <c r="F173">
        <v>2.5389686935214599</v>
      </c>
      <c r="G173">
        <v>-514.39954336673009</v>
      </c>
      <c r="H173">
        <v>-450.38118627277197</v>
      </c>
      <c r="I173">
        <v>61.964242456524197</v>
      </c>
      <c r="J173">
        <v>36.422172211335898</v>
      </c>
      <c r="K173">
        <v>12.3738547273023</v>
      </c>
      <c r="L173">
        <v>0</v>
      </c>
      <c r="M173">
        <v>1.2381371196426337E-6</v>
      </c>
      <c r="N173">
        <v>0</v>
      </c>
      <c r="O173" s="1">
        <v>1.7564756251735101E-11</v>
      </c>
      <c r="P173">
        <v>0</v>
      </c>
      <c r="Q173">
        <v>100</v>
      </c>
      <c r="AJ173">
        <v>1</v>
      </c>
    </row>
    <row r="174" spans="1:36" x14ac:dyDescent="0.2">
      <c r="A174">
        <v>202</v>
      </c>
      <c r="B174">
        <v>758</v>
      </c>
      <c r="C174">
        <v>120</v>
      </c>
      <c r="D174">
        <v>0.46873927168695301</v>
      </c>
      <c r="E174">
        <v>31.770425532016699</v>
      </c>
      <c r="F174">
        <v>2.5389686935214599</v>
      </c>
      <c r="G174">
        <v>-520.06384749922961</v>
      </c>
      <c r="H174">
        <v>-455.52387202637254</v>
      </c>
      <c r="I174">
        <v>62.590288001606901</v>
      </c>
      <c r="J174">
        <v>36.822823226822301</v>
      </c>
      <c r="K174">
        <v>12.513122203154101</v>
      </c>
      <c r="L174">
        <v>0</v>
      </c>
      <c r="M174">
        <v>1.2381371196426337E-6</v>
      </c>
      <c r="N174">
        <v>0</v>
      </c>
      <c r="O174" s="1">
        <v>1.7762447215548901E-11</v>
      </c>
      <c r="P174">
        <v>0</v>
      </c>
      <c r="Q174">
        <v>100</v>
      </c>
      <c r="AJ174">
        <v>1</v>
      </c>
    </row>
    <row r="175" spans="1:36" x14ac:dyDescent="0.2">
      <c r="A175">
        <v>203</v>
      </c>
      <c r="B175">
        <v>756</v>
      </c>
      <c r="C175">
        <v>120</v>
      </c>
      <c r="D175">
        <v>0.46757081086333502</v>
      </c>
      <c r="E175">
        <v>32.071824339473501</v>
      </c>
      <c r="F175">
        <v>2.5389686935214599</v>
      </c>
      <c r="G175">
        <v>-524.87127904359795</v>
      </c>
      <c r="H175">
        <v>-459.91965839057173</v>
      </c>
      <c r="I175">
        <v>63.111908519677598</v>
      </c>
      <c r="J175">
        <v>37.162744522057999</v>
      </c>
      <c r="K175">
        <v>12.6318313499923</v>
      </c>
      <c r="L175">
        <v>0</v>
      </c>
      <c r="M175">
        <v>1.2381371196426334E-6</v>
      </c>
      <c r="N175">
        <v>0</v>
      </c>
      <c r="O175" s="1">
        <v>1.7930955515914201E-11</v>
      </c>
      <c r="P175">
        <v>0</v>
      </c>
      <c r="Q175">
        <v>100</v>
      </c>
      <c r="AJ175">
        <v>1</v>
      </c>
    </row>
    <row r="176" spans="1:36" x14ac:dyDescent="0.2">
      <c r="A176">
        <v>211</v>
      </c>
      <c r="B176">
        <v>788</v>
      </c>
      <c r="C176">
        <v>105</v>
      </c>
      <c r="D176">
        <v>0.50128681147811704</v>
      </c>
      <c r="E176">
        <v>6.7562453519193502E-2</v>
      </c>
      <c r="F176">
        <v>2.5384972018410301</v>
      </c>
      <c r="G176">
        <v>-1.110385228764206</v>
      </c>
      <c r="H176">
        <v>-0.96675504846798421</v>
      </c>
      <c r="I176">
        <v>0.13535332450287099</v>
      </c>
      <c r="J176">
        <v>7.8594117245061504E-2</v>
      </c>
      <c r="K176">
        <v>2.6615138070742901E-2</v>
      </c>
      <c r="L176">
        <v>0</v>
      </c>
      <c r="M176">
        <v>1.2381200813479522E-6</v>
      </c>
      <c r="N176">
        <v>0</v>
      </c>
      <c r="O176" s="1">
        <v>3.7773322021710898E-14</v>
      </c>
      <c r="P176">
        <v>0</v>
      </c>
      <c r="Q176">
        <v>100</v>
      </c>
      <c r="AJ176">
        <v>1</v>
      </c>
    </row>
    <row r="177" spans="1:36" x14ac:dyDescent="0.2">
      <c r="A177">
        <v>212</v>
      </c>
      <c r="B177">
        <v>786</v>
      </c>
      <c r="C177">
        <v>105</v>
      </c>
      <c r="D177">
        <v>0.50021290657603101</v>
      </c>
      <c r="E177">
        <v>1.4141784842516201</v>
      </c>
      <c r="F177">
        <v>2.5384972018410301</v>
      </c>
      <c r="G177">
        <v>-23.236282876882132</v>
      </c>
      <c r="H177">
        <v>-20.238851370954126</v>
      </c>
      <c r="I177">
        <v>2.83003493927017</v>
      </c>
      <c r="J177">
        <v>1.6446978032406601</v>
      </c>
      <c r="K177">
        <v>0.55709278829458697</v>
      </c>
      <c r="L177">
        <v>0</v>
      </c>
      <c r="M177">
        <v>1.238120081347952E-6</v>
      </c>
      <c r="N177">
        <v>0</v>
      </c>
      <c r="O177" s="1">
        <v>7.9064948798279497E-13</v>
      </c>
      <c r="P177">
        <v>0</v>
      </c>
      <c r="Q177">
        <v>100</v>
      </c>
      <c r="AJ177">
        <v>1</v>
      </c>
    </row>
    <row r="178" spans="1:36" x14ac:dyDescent="0.2">
      <c r="A178">
        <v>213</v>
      </c>
      <c r="B178">
        <v>784</v>
      </c>
      <c r="C178">
        <v>105</v>
      </c>
      <c r="D178">
        <v>0.49913493827744299</v>
      </c>
      <c r="E178">
        <v>2.7776907432923701</v>
      </c>
      <c r="F178">
        <v>2.5384972018410301</v>
      </c>
      <c r="G178">
        <v>-45.628960758434253</v>
      </c>
      <c r="H178">
        <v>-39.759059109691407</v>
      </c>
      <c r="I178">
        <v>5.5525721503503203</v>
      </c>
      <c r="J178">
        <v>3.2297029479289399</v>
      </c>
      <c r="K178">
        <v>1.09422643494657</v>
      </c>
      <c r="L178">
        <v>0</v>
      </c>
      <c r="M178">
        <v>1.238120081347952E-6</v>
      </c>
      <c r="N178">
        <v>0</v>
      </c>
      <c r="O178" s="1">
        <v>1.55297212368555E-12</v>
      </c>
      <c r="P178">
        <v>0</v>
      </c>
      <c r="Q178">
        <v>100</v>
      </c>
      <c r="AJ178">
        <v>1</v>
      </c>
    </row>
    <row r="179" spans="1:36" x14ac:dyDescent="0.2">
      <c r="A179">
        <v>214</v>
      </c>
      <c r="B179">
        <v>782</v>
      </c>
      <c r="C179">
        <v>105</v>
      </c>
      <c r="D179">
        <v>0.49805288347628701</v>
      </c>
      <c r="E179">
        <v>4.1972415211560898</v>
      </c>
      <c r="F179">
        <v>2.5384972018410301</v>
      </c>
      <c r="G179">
        <v>-68.931065782709524</v>
      </c>
      <c r="H179">
        <v>-60.087856286403451</v>
      </c>
      <c r="I179">
        <v>8.3809974850078905</v>
      </c>
      <c r="J179">
        <v>4.8790918042604403</v>
      </c>
      <c r="K179">
        <v>1.6534355515980299</v>
      </c>
      <c r="L179">
        <v>0</v>
      </c>
      <c r="M179">
        <v>1.238120081347952E-6</v>
      </c>
      <c r="N179">
        <v>0</v>
      </c>
      <c r="O179" s="1">
        <v>2.3466251937769701E-12</v>
      </c>
      <c r="P179">
        <v>0</v>
      </c>
      <c r="Q179">
        <v>100</v>
      </c>
      <c r="AJ179">
        <v>1</v>
      </c>
    </row>
    <row r="180" spans="1:36" x14ac:dyDescent="0.2">
      <c r="A180">
        <v>215</v>
      </c>
      <c r="B180">
        <v>780</v>
      </c>
      <c r="C180">
        <v>105</v>
      </c>
      <c r="D180">
        <v>0.49696671889094501</v>
      </c>
      <c r="E180">
        <v>11.4472431478735</v>
      </c>
      <c r="F180">
        <v>2.5384972018410301</v>
      </c>
      <c r="G180">
        <v>-187.95175206683953</v>
      </c>
      <c r="H180">
        <v>-163.9057434741845</v>
      </c>
      <c r="I180">
        <v>22.8324631749086</v>
      </c>
      <c r="J180">
        <v>13.3036807441101</v>
      </c>
      <c r="K180">
        <v>4.5094566736459401</v>
      </c>
      <c r="L180">
        <v>0</v>
      </c>
      <c r="M180">
        <v>1.2381200813479518E-6</v>
      </c>
      <c r="N180">
        <v>0</v>
      </c>
      <c r="O180" s="1">
        <v>6.4000103483899403E-12</v>
      </c>
      <c r="P180">
        <v>0</v>
      </c>
      <c r="Q180">
        <v>100</v>
      </c>
      <c r="AJ180">
        <v>1</v>
      </c>
    </row>
    <row r="181" spans="1:36" x14ac:dyDescent="0.2">
      <c r="A181">
        <v>216</v>
      </c>
      <c r="B181">
        <v>778</v>
      </c>
      <c r="C181">
        <v>105</v>
      </c>
      <c r="D181">
        <v>0.49587642106264601</v>
      </c>
      <c r="E181">
        <v>22.0445435654139</v>
      </c>
      <c r="F181">
        <v>2.5384972018410301</v>
      </c>
      <c r="G181">
        <v>-361.86044342022603</v>
      </c>
      <c r="H181">
        <v>-315.69293431838031</v>
      </c>
      <c r="I181">
        <v>43.920952387238401</v>
      </c>
      <c r="J181">
        <v>25.6134115930825</v>
      </c>
      <c r="K181">
        <v>8.6840921271948908</v>
      </c>
      <c r="L181">
        <v>0</v>
      </c>
      <c r="M181">
        <v>1.238120081347952E-6</v>
      </c>
      <c r="N181">
        <v>0</v>
      </c>
      <c r="O181" s="1">
        <v>1.2324828355759101E-11</v>
      </c>
      <c r="P181">
        <v>0</v>
      </c>
      <c r="Q181">
        <v>100</v>
      </c>
      <c r="AJ181">
        <v>1</v>
      </c>
    </row>
    <row r="182" spans="1:36" x14ac:dyDescent="0.2">
      <c r="A182">
        <v>217</v>
      </c>
      <c r="B182">
        <v>776</v>
      </c>
      <c r="C182">
        <v>105</v>
      </c>
      <c r="D182">
        <v>0.49478196635371602</v>
      </c>
      <c r="E182">
        <v>26.373404872954399</v>
      </c>
      <c r="F182">
        <v>2.5384972018410301</v>
      </c>
      <c r="G182">
        <v>-432.81352364555806</v>
      </c>
      <c r="H182">
        <v>-377.74646637937889</v>
      </c>
      <c r="I182">
        <v>52.487306168020901</v>
      </c>
      <c r="J182">
        <v>30.635675445321901</v>
      </c>
      <c r="K182">
        <v>10.389377169227201</v>
      </c>
      <c r="L182">
        <v>0</v>
      </c>
      <c r="M182">
        <v>1.2381200813479522E-6</v>
      </c>
      <c r="N182">
        <v>0</v>
      </c>
      <c r="O182" s="1">
        <v>1.4745040524498699E-11</v>
      </c>
      <c r="P182">
        <v>0</v>
      </c>
      <c r="Q182">
        <v>100</v>
      </c>
      <c r="AJ182">
        <v>1</v>
      </c>
    </row>
    <row r="183" spans="1:36" x14ac:dyDescent="0.2">
      <c r="A183">
        <v>218</v>
      </c>
      <c r="B183">
        <v>774</v>
      </c>
      <c r="C183">
        <v>105</v>
      </c>
      <c r="D183">
        <v>0.493683330945906</v>
      </c>
      <c r="E183">
        <v>28.409401487721802</v>
      </c>
      <c r="F183">
        <v>2.5384972018410301</v>
      </c>
      <c r="G183">
        <v>-466.11321579177087</v>
      </c>
      <c r="H183">
        <v>-406.97405385223055</v>
      </c>
      <c r="I183">
        <v>56.4763041966674</v>
      </c>
      <c r="J183">
        <v>32.9926963601227</v>
      </c>
      <c r="K183">
        <v>11.1914251735704</v>
      </c>
      <c r="L183">
        <v>0</v>
      </c>
      <c r="M183">
        <v>1.238120081347952E-6</v>
      </c>
      <c r="N183">
        <v>0</v>
      </c>
      <c r="O183" s="1">
        <v>1.5883340745387998E-11</v>
      </c>
      <c r="P183">
        <v>0</v>
      </c>
      <c r="Q183">
        <v>100</v>
      </c>
      <c r="AJ183">
        <v>1</v>
      </c>
    </row>
    <row r="184" spans="1:36" x14ac:dyDescent="0.2">
      <c r="A184">
        <v>219</v>
      </c>
      <c r="B184">
        <v>772</v>
      </c>
      <c r="C184">
        <v>105</v>
      </c>
      <c r="D184">
        <v>0.49258049083863298</v>
      </c>
      <c r="E184">
        <v>29.598480103359702</v>
      </c>
      <c r="F184">
        <v>2.5384972018410301</v>
      </c>
      <c r="G184">
        <v>-485.50482100505246</v>
      </c>
      <c r="H184">
        <v>-424.07673635441574</v>
      </c>
      <c r="I184">
        <v>58.774419605450603</v>
      </c>
      <c r="J184">
        <v>34.365219935031398</v>
      </c>
      <c r="K184">
        <v>11.659843501853601</v>
      </c>
      <c r="L184">
        <v>0</v>
      </c>
      <c r="M184">
        <v>1.2381200813479518E-6</v>
      </c>
      <c r="N184">
        <v>0</v>
      </c>
      <c r="O184" s="1">
        <v>1.6548139714609201E-11</v>
      </c>
      <c r="P184">
        <v>0</v>
      </c>
      <c r="Q184">
        <v>100</v>
      </c>
      <c r="AJ184">
        <v>1</v>
      </c>
    </row>
    <row r="185" spans="1:36" x14ac:dyDescent="0.2">
      <c r="A185">
        <v>220</v>
      </c>
      <c r="B185">
        <v>770</v>
      </c>
      <c r="C185">
        <v>105</v>
      </c>
      <c r="D185">
        <v>0.49147342184729198</v>
      </c>
      <c r="E185">
        <v>30.388131646441099</v>
      </c>
      <c r="F185">
        <v>2.5384972018410301</v>
      </c>
      <c r="G185">
        <v>-498.33688331464151</v>
      </c>
      <c r="H185">
        <v>-435.46114467135413</v>
      </c>
      <c r="I185">
        <v>60.274877671751199</v>
      </c>
      <c r="J185">
        <v>35.273392310889903</v>
      </c>
      <c r="K185">
        <v>11.9709139818638</v>
      </c>
      <c r="L185">
        <v>0</v>
      </c>
      <c r="M185">
        <v>1.238120081347952E-6</v>
      </c>
      <c r="N185">
        <v>0</v>
      </c>
      <c r="O185" s="1">
        <v>1.69896240075573E-11</v>
      </c>
      <c r="P185">
        <v>0</v>
      </c>
      <c r="Q185">
        <v>100</v>
      </c>
      <c r="AJ185">
        <v>1</v>
      </c>
    </row>
    <row r="186" spans="1:36" x14ac:dyDescent="0.2">
      <c r="A186">
        <v>221</v>
      </c>
      <c r="B186">
        <v>768</v>
      </c>
      <c r="C186">
        <v>105</v>
      </c>
      <c r="D186">
        <v>0.49036209960140498</v>
      </c>
      <c r="E186">
        <v>30.957154003627</v>
      </c>
      <c r="F186">
        <v>2.5384972018410301</v>
      </c>
      <c r="G186">
        <v>-507.54557862660238</v>
      </c>
      <c r="H186">
        <v>-443.6870793504886</v>
      </c>
      <c r="I186">
        <v>61.334581257372797</v>
      </c>
      <c r="J186">
        <v>35.925042171839003</v>
      </c>
      <c r="K186">
        <v>12.195071155160401</v>
      </c>
      <c r="L186">
        <v>0</v>
      </c>
      <c r="M186">
        <v>1.238120081347952E-6</v>
      </c>
      <c r="N186">
        <v>0</v>
      </c>
      <c r="O186" s="1">
        <v>1.7307757284487899E-11</v>
      </c>
      <c r="P186">
        <v>0</v>
      </c>
      <c r="Q186">
        <v>100</v>
      </c>
      <c r="AJ186">
        <v>1</v>
      </c>
    </row>
    <row r="187" spans="1:36" x14ac:dyDescent="0.2">
      <c r="A187">
        <v>222</v>
      </c>
      <c r="B187">
        <v>766</v>
      </c>
      <c r="C187">
        <v>105</v>
      </c>
      <c r="D187">
        <v>0.4892464995429</v>
      </c>
      <c r="E187">
        <v>31.390689073749702</v>
      </c>
      <c r="F187">
        <v>2.5384972018410301</v>
      </c>
      <c r="G187">
        <v>-514.52911160726933</v>
      </c>
      <c r="H187">
        <v>-449.97347938262646</v>
      </c>
      <c r="I187">
        <v>62.123497305146302</v>
      </c>
      <c r="J187">
        <v>36.419137113458298</v>
      </c>
      <c r="K187">
        <v>12.365855298553701</v>
      </c>
      <c r="L187">
        <v>0</v>
      </c>
      <c r="M187">
        <v>1.2381200813479518E-6</v>
      </c>
      <c r="N187">
        <v>0</v>
      </c>
      <c r="O187" s="1">
        <v>1.7550141315239502E-11</v>
      </c>
      <c r="P187">
        <v>0</v>
      </c>
      <c r="Q187">
        <v>100</v>
      </c>
      <c r="AJ187">
        <v>1</v>
      </c>
    </row>
    <row r="188" spans="1:36" x14ac:dyDescent="0.2">
      <c r="A188">
        <v>223</v>
      </c>
      <c r="B188">
        <v>764</v>
      </c>
      <c r="C188">
        <v>105</v>
      </c>
      <c r="D188">
        <v>0.48812659692426702</v>
      </c>
      <c r="E188">
        <v>31.734540778779699</v>
      </c>
      <c r="F188">
        <v>2.5384972018410301</v>
      </c>
      <c r="G188">
        <v>-520.03969521498163</v>
      </c>
      <c r="H188">
        <v>-454.97608859248783</v>
      </c>
      <c r="I188">
        <v>62.733072961956999</v>
      </c>
      <c r="J188">
        <v>36.808919991246903</v>
      </c>
      <c r="K188">
        <v>12.501310127804899</v>
      </c>
      <c r="L188">
        <v>0</v>
      </c>
      <c r="M188">
        <v>1.2381200813479518E-6</v>
      </c>
      <c r="N188">
        <v>0</v>
      </c>
      <c r="O188" s="1">
        <v>1.77423844992163E-11</v>
      </c>
      <c r="P188">
        <v>0</v>
      </c>
      <c r="Q188">
        <v>100</v>
      </c>
      <c r="AJ188">
        <v>1</v>
      </c>
    </row>
    <row r="189" spans="1:36" x14ac:dyDescent="0.2">
      <c r="A189">
        <v>224</v>
      </c>
      <c r="B189">
        <v>762</v>
      </c>
      <c r="C189">
        <v>105</v>
      </c>
      <c r="D189">
        <v>0.48700236680674502</v>
      </c>
      <c r="E189">
        <v>32.015633719375202</v>
      </c>
      <c r="F189">
        <v>2.5384972018410301</v>
      </c>
      <c r="G189">
        <v>-524.51951056018652</v>
      </c>
      <c r="H189">
        <v>-459.0803608222767</v>
      </c>
      <c r="I189">
        <v>63.217069736665998</v>
      </c>
      <c r="J189">
        <v>37.125688923107397</v>
      </c>
      <c r="K189">
        <v>12.6120421547662</v>
      </c>
      <c r="L189">
        <v>0</v>
      </c>
      <c r="M189">
        <v>1.238120081347952E-6</v>
      </c>
      <c r="N189">
        <v>0</v>
      </c>
      <c r="O189" s="1">
        <v>1.78995400436065E-11</v>
      </c>
      <c r="P189">
        <v>0</v>
      </c>
      <c r="Q189">
        <v>100</v>
      </c>
      <c r="AJ189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5E748-5BE5-43EA-99FD-B5FD3228702D}">
  <sheetPr codeName="Sheet13"/>
  <dimension ref="A1:AJ226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760</v>
      </c>
      <c r="C2">
        <v>300</v>
      </c>
      <c r="D2">
        <v>0.27825630353772701</v>
      </c>
      <c r="E2">
        <v>3.8692925733162502</v>
      </c>
      <c r="F2">
        <v>0.57755233730724798</v>
      </c>
      <c r="G2">
        <v>-83.774936899819068</v>
      </c>
      <c r="H2">
        <v>-49.244392244761336</v>
      </c>
      <c r="I2">
        <v>33.424729131171603</v>
      </c>
      <c r="J2">
        <v>14.7881423401564</v>
      </c>
      <c r="K2">
        <v>6.6994665649804901</v>
      </c>
      <c r="L2">
        <v>1.1159856656337461E-3</v>
      </c>
      <c r="M2">
        <v>1.6872488244912802E-4</v>
      </c>
      <c r="N2" s="1">
        <v>4.8352050419734703E-6</v>
      </c>
      <c r="O2" s="1">
        <v>8.1607293310886605E-7</v>
      </c>
      <c r="P2" s="1">
        <v>-3.2817022494353401E-6</v>
      </c>
      <c r="AE2">
        <v>100</v>
      </c>
      <c r="AJ2">
        <v>1</v>
      </c>
    </row>
    <row r="3" spans="1:36" x14ac:dyDescent="0.2">
      <c r="A3">
        <v>2</v>
      </c>
      <c r="B3">
        <v>758</v>
      </c>
      <c r="C3">
        <v>300</v>
      </c>
      <c r="D3">
        <v>0.27672065169955901</v>
      </c>
      <c r="E3">
        <v>3.88069018983269</v>
      </c>
      <c r="F3">
        <v>0.57884346008014098</v>
      </c>
      <c r="G3">
        <v>-83.954691660591806</v>
      </c>
      <c r="H3">
        <v>-49.419123990559562</v>
      </c>
      <c r="I3">
        <v>33.4944367349663</v>
      </c>
      <c r="J3">
        <v>14.8428493443053</v>
      </c>
      <c r="K3">
        <v>6.70421358702992</v>
      </c>
      <c r="L3">
        <v>1.1170241678359536E-3</v>
      </c>
      <c r="M3">
        <v>1.6812079328550449E-4</v>
      </c>
      <c r="N3" s="1">
        <v>4.9138661746535096E-6</v>
      </c>
      <c r="O3" s="1">
        <v>8.1284593694284101E-7</v>
      </c>
      <c r="P3" s="1">
        <v>-3.2872864610869202E-6</v>
      </c>
      <c r="AE3">
        <v>100</v>
      </c>
      <c r="AJ3">
        <v>1</v>
      </c>
    </row>
    <row r="4" spans="1:36" x14ac:dyDescent="0.2">
      <c r="A4">
        <v>3</v>
      </c>
      <c r="B4">
        <v>756</v>
      </c>
      <c r="C4">
        <v>300</v>
      </c>
      <c r="D4">
        <v>0.27517903123937498</v>
      </c>
      <c r="E4">
        <v>3.9068925600346298</v>
      </c>
      <c r="F4">
        <v>0.58013866374805401</v>
      </c>
      <c r="G4">
        <v>-84.454140485682245</v>
      </c>
      <c r="H4">
        <v>-49.782698607688275</v>
      </c>
      <c r="I4">
        <v>33.691568422316898</v>
      </c>
      <c r="J4">
        <v>14.954254089070201</v>
      </c>
      <c r="K4">
        <v>6.7344116228932203</v>
      </c>
      <c r="L4">
        <v>1.118044762222764E-3</v>
      </c>
      <c r="M4">
        <v>1.6751474484224941E-4</v>
      </c>
      <c r="N4" s="1">
        <v>5.0120028077533801E-6</v>
      </c>
      <c r="O4" s="1">
        <v>8.1266531701196004E-7</v>
      </c>
      <c r="P4" s="1">
        <v>-3.3052423447498101E-6</v>
      </c>
      <c r="AE4">
        <v>100</v>
      </c>
      <c r="AJ4">
        <v>1</v>
      </c>
    </row>
    <row r="5" spans="1:36" x14ac:dyDescent="0.2">
      <c r="A5">
        <v>4</v>
      </c>
      <c r="B5">
        <v>754</v>
      </c>
      <c r="C5">
        <v>300</v>
      </c>
      <c r="D5">
        <v>0.27363140729202201</v>
      </c>
      <c r="E5">
        <v>3.9327653043181701</v>
      </c>
      <c r="F5">
        <v>0.58143794183976405</v>
      </c>
      <c r="G5">
        <v>-84.94562385319125</v>
      </c>
      <c r="H5">
        <v>-50.142494026903471</v>
      </c>
      <c r="I5">
        <v>33.885392003207201</v>
      </c>
      <c r="J5">
        <v>15.064509380982599</v>
      </c>
      <c r="K5">
        <v>6.76386080322564</v>
      </c>
      <c r="L5">
        <v>1.1190472461558231E-3</v>
      </c>
      <c r="M5">
        <v>1.6690676151603708E-4</v>
      </c>
      <c r="N5" s="1">
        <v>5.1106786806924704E-6</v>
      </c>
      <c r="O5" s="1">
        <v>8.1234089199752797E-7</v>
      </c>
      <c r="P5" s="1">
        <v>-3.3227318058658702E-6</v>
      </c>
      <c r="AE5">
        <v>100</v>
      </c>
      <c r="AJ5">
        <v>1</v>
      </c>
    </row>
    <row r="6" spans="1:36" x14ac:dyDescent="0.2">
      <c r="A6">
        <v>5</v>
      </c>
      <c r="B6">
        <v>752</v>
      </c>
      <c r="C6">
        <v>300</v>
      </c>
      <c r="D6">
        <v>0.27207774472028401</v>
      </c>
      <c r="E6">
        <v>3.9583133165484301</v>
      </c>
      <c r="F6">
        <v>0.58274128751843002</v>
      </c>
      <c r="G6">
        <v>-85.42926574512056</v>
      </c>
      <c r="H6">
        <v>-50.498565477504926</v>
      </c>
      <c r="I6">
        <v>34.075955184669198</v>
      </c>
      <c r="J6">
        <v>15.1736292186479</v>
      </c>
      <c r="K6">
        <v>6.7925739969526999</v>
      </c>
      <c r="L6">
        <v>1.1200314181014448E-3</v>
      </c>
      <c r="M6">
        <v>1.6629686818048778E-4</v>
      </c>
      <c r="N6" s="1">
        <v>5.2098760444014604E-6</v>
      </c>
      <c r="O6" s="1">
        <v>8.11875491763594E-7</v>
      </c>
      <c r="P6" s="1">
        <v>-3.3397570397854798E-6</v>
      </c>
      <c r="AE6">
        <v>100</v>
      </c>
      <c r="AJ6">
        <v>1</v>
      </c>
    </row>
    <row r="7" spans="1:36" x14ac:dyDescent="0.2">
      <c r="A7">
        <v>6</v>
      </c>
      <c r="B7">
        <v>750</v>
      </c>
      <c r="C7">
        <v>300</v>
      </c>
      <c r="D7">
        <v>0.270518008112205</v>
      </c>
      <c r="E7">
        <v>3.9835413691648598</v>
      </c>
      <c r="F7">
        <v>0.58404869357908595</v>
      </c>
      <c r="G7">
        <v>-85.905187163123529</v>
      </c>
      <c r="H7">
        <v>-50.850966773225679</v>
      </c>
      <c r="I7">
        <v>34.2633045173109</v>
      </c>
      <c r="J7">
        <v>15.281627174213501</v>
      </c>
      <c r="K7">
        <v>6.8205637868196796</v>
      </c>
      <c r="L7">
        <v>1.1209970776875702E-3</v>
      </c>
      <c r="M7">
        <v>1.6568509018277563E-4</v>
      </c>
      <c r="N7" s="1">
        <v>5.3095769368872799E-6</v>
      </c>
      <c r="O7" s="1">
        <v>8.1127190643514096E-7</v>
      </c>
      <c r="P7" s="1">
        <v>-3.35632020460451E-6</v>
      </c>
      <c r="AE7">
        <v>100</v>
      </c>
      <c r="AJ7">
        <v>1</v>
      </c>
    </row>
    <row r="8" spans="1:36" x14ac:dyDescent="0.2">
      <c r="A8">
        <v>7</v>
      </c>
      <c r="B8">
        <v>748</v>
      </c>
      <c r="C8">
        <v>300</v>
      </c>
      <c r="D8">
        <v>0.26895216177838999</v>
      </c>
      <c r="E8">
        <v>4.0084541157879103</v>
      </c>
      <c r="F8">
        <v>0.58536015244613604</v>
      </c>
      <c r="G8">
        <v>-86.373506195726577</v>
      </c>
      <c r="H8">
        <v>-51.199750341122524</v>
      </c>
      <c r="I8">
        <v>34.447485421530999</v>
      </c>
      <c r="J8">
        <v>15.3885164022839</v>
      </c>
      <c r="K8">
        <v>6.8478424761869299</v>
      </c>
      <c r="L8">
        <v>1.1219440257605906E-3</v>
      </c>
      <c r="M8">
        <v>1.6507145334001015E-4</v>
      </c>
      <c r="N8" s="1">
        <v>5.4097631864128696E-6</v>
      </c>
      <c r="O8" s="1">
        <v>8.1053288748416603E-7</v>
      </c>
      <c r="P8" s="1">
        <v>-3.3724234243336399E-6</v>
      </c>
      <c r="AE8">
        <v>100</v>
      </c>
      <c r="AJ8">
        <v>1</v>
      </c>
    </row>
    <row r="9" spans="1:36" x14ac:dyDescent="0.2">
      <c r="A9">
        <v>8</v>
      </c>
      <c r="B9">
        <v>746</v>
      </c>
      <c r="C9">
        <v>300</v>
      </c>
      <c r="D9">
        <v>0.26738016974930101</v>
      </c>
      <c r="E9">
        <v>4.0330560941400897</v>
      </c>
      <c r="F9">
        <v>0.58667565617094397</v>
      </c>
      <c r="G9">
        <v>-86.834338092028815</v>
      </c>
      <c r="H9">
        <v>-51.544967254596578</v>
      </c>
      <c r="I9">
        <v>34.6285422163443</v>
      </c>
      <c r="J9">
        <v>15.4943096500979</v>
      </c>
      <c r="K9">
        <v>6.8744220962953104</v>
      </c>
      <c r="L9">
        <v>1.1228720644420381E-3</v>
      </c>
      <c r="M9">
        <v>1.644559839353467E-4</v>
      </c>
      <c r="N9" s="1">
        <v>5.5104164153777104E-6</v>
      </c>
      <c r="O9" s="1">
        <v>8.0966114885143704E-7</v>
      </c>
      <c r="P9" s="1">
        <v>-3.38806879231746E-6</v>
      </c>
      <c r="AE9">
        <v>100</v>
      </c>
      <c r="AJ9">
        <v>1</v>
      </c>
    </row>
    <row r="10" spans="1:36" x14ac:dyDescent="0.2">
      <c r="A10">
        <v>9</v>
      </c>
      <c r="B10">
        <v>744</v>
      </c>
      <c r="C10">
        <v>300</v>
      </c>
      <c r="D10">
        <v>0.26580199577250502</v>
      </c>
      <c r="E10">
        <v>4.05735172857844</v>
      </c>
      <c r="F10">
        <v>0.58799519642945897</v>
      </c>
      <c r="G10">
        <v>-87.287795326715312</v>
      </c>
      <c r="H10">
        <v>-51.886667261570011</v>
      </c>
      <c r="I10">
        <v>34.806518144771502</v>
      </c>
      <c r="J10">
        <v>15.5990192662623</v>
      </c>
      <c r="K10">
        <v>6.9003144127984397</v>
      </c>
      <c r="L10">
        <v>1.1237809971851975E-3</v>
      </c>
      <c r="M10">
        <v>1.6383870871392441E-4</v>
      </c>
      <c r="N10" s="1">
        <v>5.6115180439812799E-6</v>
      </c>
      <c r="O10" s="1">
        <v>8.0865936796150095E-7</v>
      </c>
      <c r="P10" s="1">
        <v>-3.4032583743113901E-6</v>
      </c>
      <c r="AE10">
        <v>100</v>
      </c>
      <c r="AJ10">
        <v>1</v>
      </c>
    </row>
    <row r="11" spans="1:36" x14ac:dyDescent="0.2">
      <c r="A11">
        <v>10</v>
      </c>
      <c r="B11">
        <v>742</v>
      </c>
      <c r="C11">
        <v>300</v>
      </c>
      <c r="D11">
        <v>0.264217603309855</v>
      </c>
      <c r="E11">
        <v>4.0813453326257303</v>
      </c>
      <c r="F11">
        <v>0.58931876451991005</v>
      </c>
      <c r="G11">
        <v>-87.733987664759425</v>
      </c>
      <c r="H11">
        <v>-52.224898812753679</v>
      </c>
      <c r="I11">
        <v>34.981455399131498</v>
      </c>
      <c r="J11">
        <v>15.7026572095319</v>
      </c>
      <c r="K11">
        <v>6.9255309322291998</v>
      </c>
      <c r="L11">
        <v>1.12467062883161E-3</v>
      </c>
      <c r="M11">
        <v>1.6321965487853319E-4</v>
      </c>
      <c r="N11" s="1">
        <v>5.7130492941394899E-6</v>
      </c>
      <c r="O11" s="1">
        <v>8.0753018671036695E-7</v>
      </c>
      <c r="P11" s="1">
        <v>-3.4179942115379502E-6</v>
      </c>
      <c r="AE11">
        <v>100</v>
      </c>
      <c r="AJ11">
        <v>1</v>
      </c>
    </row>
    <row r="12" spans="1:36" x14ac:dyDescent="0.2">
      <c r="A12">
        <v>11</v>
      </c>
      <c r="B12">
        <v>740</v>
      </c>
      <c r="C12">
        <v>300</v>
      </c>
      <c r="D12">
        <v>0.26262695553471999</v>
      </c>
      <c r="E12">
        <v>4.1050411112872904</v>
      </c>
      <c r="F12">
        <v>0.59064635136056898</v>
      </c>
      <c r="G12">
        <v>-88.173022221239506</v>
      </c>
      <c r="H12">
        <v>-52.559709087281277</v>
      </c>
      <c r="I12">
        <v>35.153395144411398</v>
      </c>
      <c r="J12">
        <v>15.805235056810099</v>
      </c>
      <c r="K12">
        <v>6.9500829080400202</v>
      </c>
      <c r="L12">
        <v>1.1255407656673808E-3</v>
      </c>
      <c r="M12">
        <v>1.6259885008507538E-4</v>
      </c>
      <c r="N12" s="1">
        <v>5.8149911933894098E-6</v>
      </c>
      <c r="O12" s="1">
        <v>8.0627621238481703E-7</v>
      </c>
      <c r="P12" s="1">
        <v>-3.43227832354644E-6</v>
      </c>
      <c r="AE12">
        <v>100</v>
      </c>
      <c r="AJ12">
        <v>1</v>
      </c>
    </row>
    <row r="13" spans="1:36" x14ac:dyDescent="0.2">
      <c r="A13">
        <v>12</v>
      </c>
      <c r="B13">
        <v>738</v>
      </c>
      <c r="C13">
        <v>300</v>
      </c>
      <c r="D13">
        <v>0.26103001532908299</v>
      </c>
      <c r="E13">
        <v>4.1284431634321104</v>
      </c>
      <c r="F13">
        <v>0.59197794748758203</v>
      </c>
      <c r="G13">
        <v>-88.605003522272654</v>
      </c>
      <c r="H13">
        <v>-52.891144019263436</v>
      </c>
      <c r="I13">
        <v>35.3223775421082</v>
      </c>
      <c r="J13">
        <v>15.9067640114451</v>
      </c>
      <c r="K13">
        <v>6.9739813466931899</v>
      </c>
      <c r="L13">
        <v>1.1263912154793017E-3</v>
      </c>
      <c r="M13">
        <v>1.6197632243779078E-4</v>
      </c>
      <c r="N13" s="1">
        <v>5.9173245791227702E-6</v>
      </c>
      <c r="O13" s="1">
        <v>8.0490001856930596E-7</v>
      </c>
      <c r="P13" s="1">
        <v>-3.4461127111050299E-6</v>
      </c>
      <c r="AE13">
        <v>100</v>
      </c>
      <c r="AJ13">
        <v>1</v>
      </c>
    </row>
    <row r="14" spans="1:36" x14ac:dyDescent="0.2">
      <c r="A14">
        <v>13</v>
      </c>
      <c r="B14">
        <v>736</v>
      </c>
      <c r="C14">
        <v>300</v>
      </c>
      <c r="D14">
        <v>0.25942674528068399</v>
      </c>
      <c r="E14">
        <v>4.17824489392628</v>
      </c>
      <c r="F14">
        <v>0.59331354305285799</v>
      </c>
      <c r="G14">
        <v>-89.602387483427137</v>
      </c>
      <c r="H14">
        <v>-53.561382816120783</v>
      </c>
      <c r="I14">
        <v>35.716588926926903</v>
      </c>
      <c r="J14">
        <v>16.110161927259799</v>
      </c>
      <c r="K14">
        <v>7.0422206653624997</v>
      </c>
      <c r="L14">
        <v>1.1272217876108106E-3</v>
      </c>
      <c r="M14">
        <v>1.6135210048428211E-4</v>
      </c>
      <c r="N14" s="1">
        <v>6.0587315128888299E-6</v>
      </c>
      <c r="O14" s="1">
        <v>8.0856904928676897E-7</v>
      </c>
      <c r="P14" s="1">
        <v>-3.4817396967674E-6</v>
      </c>
      <c r="AE14">
        <v>100</v>
      </c>
      <c r="AJ14">
        <v>1</v>
      </c>
    </row>
    <row r="15" spans="1:36" x14ac:dyDescent="0.2">
      <c r="A15">
        <v>14</v>
      </c>
      <c r="B15">
        <v>734</v>
      </c>
      <c r="C15">
        <v>300</v>
      </c>
      <c r="D15">
        <v>0.25781710768008598</v>
      </c>
      <c r="E15">
        <v>8.3892161950844706</v>
      </c>
      <c r="F15">
        <v>0.59465312782199797</v>
      </c>
      <c r="G15">
        <v>-179.76323049103883</v>
      </c>
      <c r="H15">
        <v>-107.60700510718614</v>
      </c>
      <c r="I15">
        <v>71.648737733720296</v>
      </c>
      <c r="J15">
        <v>32.369520220248397</v>
      </c>
      <c r="K15">
        <v>14.1077475297425</v>
      </c>
      <c r="L15">
        <v>1.1280322930175455E-3</v>
      </c>
      <c r="M15">
        <v>1.6072621321029814E-4</v>
      </c>
      <c r="N15" s="1">
        <v>1.230551286324E-5</v>
      </c>
      <c r="O15" s="1">
        <v>1.6113520429679399E-6</v>
      </c>
      <c r="P15" s="1">
        <v>-6.9785305034381502E-6</v>
      </c>
      <c r="AE15">
        <v>100</v>
      </c>
      <c r="AJ15">
        <v>1</v>
      </c>
    </row>
    <row r="16" spans="1:36" x14ac:dyDescent="0.2">
      <c r="A16">
        <v>15</v>
      </c>
      <c r="B16">
        <v>732</v>
      </c>
      <c r="C16">
        <v>300</v>
      </c>
      <c r="D16">
        <v>0.256201064517732</v>
      </c>
      <c r="E16">
        <v>9.4817596767697392</v>
      </c>
      <c r="F16">
        <v>0.59599669117238396</v>
      </c>
      <c r="G16">
        <v>-203.01224911084958</v>
      </c>
      <c r="H16">
        <v>-121.69406480870295</v>
      </c>
      <c r="I16">
        <v>80.906939608297606</v>
      </c>
      <c r="J16">
        <v>36.610952120955403</v>
      </c>
      <c r="K16">
        <v>15.909081069088099</v>
      </c>
      <c r="L16">
        <v>1.1288225443230099E-3</v>
      </c>
      <c r="M16">
        <v>1.6009869003430548E-4</v>
      </c>
      <c r="N16" s="1">
        <v>1.4066956236177799E-5</v>
      </c>
      <c r="O16" s="1">
        <v>1.80751527500168E-6</v>
      </c>
      <c r="P16" s="1">
        <v>-7.8732231362255703E-6</v>
      </c>
      <c r="AE16">
        <v>100</v>
      </c>
      <c r="AJ16">
        <v>1</v>
      </c>
    </row>
    <row r="17" spans="1:36" x14ac:dyDescent="0.2">
      <c r="A17">
        <v>16</v>
      </c>
      <c r="B17">
        <v>730</v>
      </c>
      <c r="C17">
        <v>300</v>
      </c>
      <c r="D17">
        <v>0.25457857748093798</v>
      </c>
      <c r="E17">
        <v>9.8499609002286093</v>
      </c>
      <c r="F17">
        <v>0.59734422209120597</v>
      </c>
      <c r="G17">
        <v>-210.72771741977874</v>
      </c>
      <c r="H17">
        <v>-126.49585181620091</v>
      </c>
      <c r="I17">
        <v>83.972987445608098</v>
      </c>
      <c r="J17">
        <v>38.059414391633503</v>
      </c>
      <c r="K17">
        <v>16.4895893120812</v>
      </c>
      <c r="L17">
        <v>1.1295923558735388E-3</v>
      </c>
      <c r="M17">
        <v>1.5946956080186586E-4</v>
      </c>
      <c r="N17" s="1">
        <v>1.4778197091470401E-5</v>
      </c>
      <c r="O17" s="1">
        <v>1.8635009348158899E-6</v>
      </c>
      <c r="P17" s="1">
        <v>-8.1639412551870801E-6</v>
      </c>
      <c r="AE17">
        <v>100</v>
      </c>
      <c r="AJ17">
        <v>1</v>
      </c>
    </row>
    <row r="18" spans="1:36" x14ac:dyDescent="0.2">
      <c r="A18">
        <v>17</v>
      </c>
      <c r="B18">
        <v>728</v>
      </c>
      <c r="C18">
        <v>300</v>
      </c>
      <c r="D18">
        <v>0.25294960795086002</v>
      </c>
      <c r="E18">
        <v>10.045798900508499</v>
      </c>
      <c r="F18">
        <v>0.59869570917367299</v>
      </c>
      <c r="G18">
        <v>-214.74622131564675</v>
      </c>
      <c r="H18">
        <v>-129.08851559786351</v>
      </c>
      <c r="I18">
        <v>85.565054727859803</v>
      </c>
      <c r="J18">
        <v>38.843277687662102</v>
      </c>
      <c r="K18">
        <v>16.779473690188698</v>
      </c>
      <c r="L18">
        <v>1.1303415437932047E-3</v>
      </c>
      <c r="M18">
        <v>1.5883885577976824E-4</v>
      </c>
      <c r="N18" s="1">
        <v>1.52401981310131E-5</v>
      </c>
      <c r="O18" s="1">
        <v>1.8860781677572099E-6</v>
      </c>
      <c r="P18" s="1">
        <v>-8.3105967830581094E-6</v>
      </c>
      <c r="AE18">
        <v>100</v>
      </c>
      <c r="AJ18">
        <v>1</v>
      </c>
    </row>
    <row r="19" spans="1:36" x14ac:dyDescent="0.2">
      <c r="A19">
        <v>18</v>
      </c>
      <c r="B19">
        <v>726</v>
      </c>
      <c r="C19">
        <v>300</v>
      </c>
      <c r="D19">
        <v>0.251314116999449</v>
      </c>
      <c r="E19">
        <v>10.170586370467101</v>
      </c>
      <c r="F19">
        <v>0.60005114062123599</v>
      </c>
      <c r="G19">
        <v>-217.24059077797116</v>
      </c>
      <c r="H19">
        <v>-130.77071353325286</v>
      </c>
      <c r="I19">
        <v>86.549264353485398</v>
      </c>
      <c r="J19">
        <v>39.353142994822399</v>
      </c>
      <c r="K19">
        <v>16.949532601400399</v>
      </c>
      <c r="L19">
        <v>1.1310699260382569E-3</v>
      </c>
      <c r="M19">
        <v>1.5820660564996687E-4</v>
      </c>
      <c r="N19" s="1">
        <v>1.5599664703028998E-5</v>
      </c>
      <c r="O19" s="1">
        <v>1.89486929327079E-6</v>
      </c>
      <c r="P19" s="1">
        <v>-8.3976274631554907E-6</v>
      </c>
      <c r="AE19">
        <v>100</v>
      </c>
      <c r="AJ19">
        <v>1</v>
      </c>
    </row>
    <row r="20" spans="1:36" x14ac:dyDescent="0.2">
      <c r="A20">
        <v>19</v>
      </c>
      <c r="B20">
        <v>724</v>
      </c>
      <c r="C20">
        <v>300</v>
      </c>
      <c r="D20">
        <v>0.249672065386352</v>
      </c>
      <c r="E20">
        <v>10.2584763003587</v>
      </c>
      <c r="F20">
        <v>0.60141050423989995</v>
      </c>
      <c r="G20">
        <v>-218.94337774892838</v>
      </c>
      <c r="H20">
        <v>-131.98019294937632</v>
      </c>
      <c r="I20">
        <v>87.217625562486802</v>
      </c>
      <c r="J20">
        <v>39.7206684453786</v>
      </c>
      <c r="K20">
        <v>17.057361366383301</v>
      </c>
      <c r="L20">
        <v>1.1317773224516824E-3</v>
      </c>
      <c r="M20">
        <v>1.5757284150336493E-4</v>
      </c>
      <c r="N20" s="1">
        <v>1.5905954401195499E-5</v>
      </c>
      <c r="O20" s="1">
        <v>1.8964966432191401E-6</v>
      </c>
      <c r="P20" s="1">
        <v>-8.4535040109310099E-6</v>
      </c>
      <c r="AE20">
        <v>100</v>
      </c>
      <c r="AJ20">
        <v>1</v>
      </c>
    </row>
    <row r="21" spans="1:36" x14ac:dyDescent="0.2">
      <c r="A21">
        <v>20</v>
      </c>
      <c r="B21">
        <v>760</v>
      </c>
      <c r="C21">
        <v>285</v>
      </c>
      <c r="D21">
        <v>0.29422687896239802</v>
      </c>
      <c r="E21">
        <v>4.1203881159953699</v>
      </c>
      <c r="F21">
        <v>0.56249676447811703</v>
      </c>
      <c r="G21">
        <v>-89.319882546393487</v>
      </c>
      <c r="H21">
        <v>-52.42086977885031</v>
      </c>
      <c r="I21">
        <v>35.717340857226802</v>
      </c>
      <c r="J21">
        <v>15.8300665522172</v>
      </c>
      <c r="K21">
        <v>7.32517656313677</v>
      </c>
      <c r="L21">
        <v>1.16333709900694E-3</v>
      </c>
      <c r="M21">
        <v>1.8384245366813071E-4</v>
      </c>
      <c r="N21" s="1">
        <v>5.4645509201119498E-6</v>
      </c>
      <c r="O21" s="1">
        <v>1.0442048733237901E-6</v>
      </c>
      <c r="P21" s="1">
        <v>-3.9864161227289501E-6</v>
      </c>
      <c r="AE21">
        <v>100</v>
      </c>
      <c r="AJ21">
        <v>1</v>
      </c>
    </row>
    <row r="22" spans="1:36" x14ac:dyDescent="0.2">
      <c r="A22">
        <v>21</v>
      </c>
      <c r="B22">
        <v>758</v>
      </c>
      <c r="C22">
        <v>285</v>
      </c>
      <c r="D22">
        <v>0.29272220336517601</v>
      </c>
      <c r="E22">
        <v>4.1308463705705201</v>
      </c>
      <c r="F22">
        <v>0.56380771605316704</v>
      </c>
      <c r="G22">
        <v>-89.475006544276624</v>
      </c>
      <c r="H22">
        <v>-52.585676322878363</v>
      </c>
      <c r="I22">
        <v>35.777233327211803</v>
      </c>
      <c r="J22">
        <v>15.883097078592399</v>
      </c>
      <c r="K22">
        <v>7.3266935746955699</v>
      </c>
      <c r="L22">
        <v>1.1645419768419251E-3</v>
      </c>
      <c r="M22">
        <v>1.8318053292815898E-4</v>
      </c>
      <c r="N22" s="1">
        <v>5.5584553397413801E-6</v>
      </c>
      <c r="O22" s="1">
        <v>1.0396565095133499E-6</v>
      </c>
      <c r="P22" s="1">
        <v>-3.99233838490944E-6</v>
      </c>
      <c r="AE22">
        <v>100</v>
      </c>
      <c r="AJ22">
        <v>1</v>
      </c>
    </row>
    <row r="23" spans="1:36" x14ac:dyDescent="0.2">
      <c r="A23">
        <v>22</v>
      </c>
      <c r="B23">
        <v>756</v>
      </c>
      <c r="C23">
        <v>285</v>
      </c>
      <c r="D23">
        <v>0.29121167954136901</v>
      </c>
      <c r="E23">
        <v>4.1563512580096802</v>
      </c>
      <c r="F23">
        <v>0.56512307354332403</v>
      </c>
      <c r="G23">
        <v>-89.955482566684381</v>
      </c>
      <c r="H23">
        <v>-52.942328776316387</v>
      </c>
      <c r="I23">
        <v>35.967091589940203</v>
      </c>
      <c r="J23">
        <v>15.9940537081223</v>
      </c>
      <c r="K23">
        <v>7.3547718233292798</v>
      </c>
      <c r="L23">
        <v>1.1657270169384284E-3</v>
      </c>
      <c r="M23">
        <v>1.8251613585505518E-4</v>
      </c>
      <c r="N23" s="1">
        <v>5.6734687799938004E-6</v>
      </c>
      <c r="O23" s="1">
        <v>1.0388285764146301E-6</v>
      </c>
      <c r="P23" s="1">
        <v>-4.0125946108785503E-6</v>
      </c>
      <c r="AE23">
        <v>100</v>
      </c>
      <c r="AJ23">
        <v>1</v>
      </c>
    </row>
    <row r="24" spans="1:36" x14ac:dyDescent="0.2">
      <c r="A24">
        <v>23</v>
      </c>
      <c r="B24">
        <v>754</v>
      </c>
      <c r="C24">
        <v>285</v>
      </c>
      <c r="D24">
        <v>0.28969527332911499</v>
      </c>
      <c r="E24">
        <v>4.1815511990225396</v>
      </c>
      <c r="F24">
        <v>0.56644283090958403</v>
      </c>
      <c r="G24">
        <v>-90.428543276155779</v>
      </c>
      <c r="H24">
        <v>-53.295512888459058</v>
      </c>
      <c r="I24">
        <v>36.153846398354098</v>
      </c>
      <c r="J24">
        <v>16.1039523637107</v>
      </c>
      <c r="K24">
        <v>7.3821239688176101</v>
      </c>
      <c r="L24">
        <v>1.1668919746115113E-3</v>
      </c>
      <c r="M24">
        <v>1.8184929005932279E-4</v>
      </c>
      <c r="N24" s="1">
        <v>5.7892038215433697E-6</v>
      </c>
      <c r="O24" s="1">
        <v>1.0378326495098101E-6</v>
      </c>
      <c r="P24" s="1">
        <v>-4.0323292516450603E-6</v>
      </c>
      <c r="AE24">
        <v>100</v>
      </c>
      <c r="AJ24">
        <v>1</v>
      </c>
    </row>
    <row r="25" spans="1:36" x14ac:dyDescent="0.2">
      <c r="A25">
        <v>24</v>
      </c>
      <c r="B25">
        <v>752</v>
      </c>
      <c r="C25">
        <v>285</v>
      </c>
      <c r="D25">
        <v>0.28817295029995899</v>
      </c>
      <c r="E25">
        <v>4.2064509114525004</v>
      </c>
      <c r="F25">
        <v>0.56776698169481299</v>
      </c>
      <c r="G25">
        <v>-90.894307747493798</v>
      </c>
      <c r="H25">
        <v>-53.645282165483259</v>
      </c>
      <c r="I25">
        <v>36.337543551214701</v>
      </c>
      <c r="J25">
        <v>16.2128061668923</v>
      </c>
      <c r="K25">
        <v>7.4087628324141503</v>
      </c>
      <c r="L25">
        <v>1.1680366065288008E-3</v>
      </c>
      <c r="M25">
        <v>1.8118002380282527E-4</v>
      </c>
      <c r="N25" s="1">
        <v>5.90563874797773E-6</v>
      </c>
      <c r="O25" s="1">
        <v>1.0366719450902401E-6</v>
      </c>
      <c r="P25" s="1">
        <v>-4.0515438344260403E-6</v>
      </c>
      <c r="AE25">
        <v>100</v>
      </c>
      <c r="AJ25">
        <v>1</v>
      </c>
    </row>
    <row r="26" spans="1:36" x14ac:dyDescent="0.2">
      <c r="A26">
        <v>25</v>
      </c>
      <c r="B26">
        <v>750</v>
      </c>
      <c r="C26">
        <v>285</v>
      </c>
      <c r="D26">
        <v>0.28664467575624197</v>
      </c>
      <c r="E26">
        <v>4.2310550048259801</v>
      </c>
      <c r="F26">
        <v>0.56909551902069699</v>
      </c>
      <c r="G26">
        <v>-91.352892368117367</v>
      </c>
      <c r="H26">
        <v>-53.991688860572637</v>
      </c>
      <c r="I26">
        <v>36.518227803386601</v>
      </c>
      <c r="J26">
        <v>16.320627858695701</v>
      </c>
      <c r="K26">
        <v>7.4347009656776004</v>
      </c>
      <c r="L26">
        <v>1.1691606707893393E-3</v>
      </c>
      <c r="M26">
        <v>1.8050836599545238E-4</v>
      </c>
      <c r="N26" s="1">
        <v>6.0227515392173197E-6</v>
      </c>
      <c r="O26" s="1">
        <v>1.0353496404933299E-6</v>
      </c>
      <c r="P26" s="1">
        <v>-4.07023986324928E-6</v>
      </c>
      <c r="AE26">
        <v>100</v>
      </c>
      <c r="AJ26">
        <v>1</v>
      </c>
    </row>
    <row r="27" spans="1:36" x14ac:dyDescent="0.2">
      <c r="A27">
        <v>26</v>
      </c>
      <c r="B27">
        <v>748</v>
      </c>
      <c r="C27">
        <v>285</v>
      </c>
      <c r="D27">
        <v>0.28511041472849202</v>
      </c>
      <c r="E27">
        <v>4.2553679830992301</v>
      </c>
      <c r="F27">
        <v>0.57042843558468004</v>
      </c>
      <c r="G27">
        <v>-91.804410907262479</v>
      </c>
      <c r="H27">
        <v>-54.334784005067277</v>
      </c>
      <c r="I27">
        <v>36.695942892880197</v>
      </c>
      <c r="J27">
        <v>16.427429809354699</v>
      </c>
      <c r="K27">
        <v>7.4599506575045504</v>
      </c>
      <c r="L27">
        <v>1.1702639270016893E-3</v>
      </c>
      <c r="M27">
        <v>1.7983434619134173E-4</v>
      </c>
      <c r="N27" s="1">
        <v>6.1405198775448903E-6</v>
      </c>
      <c r="O27" s="1">
        <v>1.0338688753341901E-6</v>
      </c>
      <c r="P27" s="1">
        <v>-4.0884188231620602E-6</v>
      </c>
      <c r="AE27">
        <v>100</v>
      </c>
      <c r="AJ27">
        <v>1</v>
      </c>
    </row>
    <row r="28" spans="1:36" x14ac:dyDescent="0.2">
      <c r="A28">
        <v>27</v>
      </c>
      <c r="B28">
        <v>746</v>
      </c>
      <c r="C28">
        <v>285</v>
      </c>
      <c r="D28">
        <v>0.28357013197272302</v>
      </c>
      <c r="E28">
        <v>4.2793942472803801</v>
      </c>
      <c r="F28">
        <v>0.57176572365704104</v>
      </c>
      <c r="G28">
        <v>-92.248974582188424</v>
      </c>
      <c r="H28">
        <v>-54.674617438138441</v>
      </c>
      <c r="I28">
        <v>36.870731566720501</v>
      </c>
      <c r="J28">
        <v>16.533224027600699</v>
      </c>
      <c r="K28">
        <v>7.4845239408706803</v>
      </c>
      <c r="L28">
        <v>1.1713461363626202E-3</v>
      </c>
      <c r="M28">
        <v>1.791579945848153E-4</v>
      </c>
      <c r="N28" s="1">
        <v>6.25892115389027E-6</v>
      </c>
      <c r="O28" s="1">
        <v>1.03223275267075E-6</v>
      </c>
      <c r="P28" s="1">
        <v>-4.1060821843013101E-6</v>
      </c>
      <c r="AE28">
        <v>100</v>
      </c>
      <c r="AJ28">
        <v>1</v>
      </c>
    </row>
    <row r="29" spans="1:36" x14ac:dyDescent="0.2">
      <c r="A29">
        <v>28</v>
      </c>
      <c r="B29">
        <v>744</v>
      </c>
      <c r="C29">
        <v>285</v>
      </c>
      <c r="D29">
        <v>0.28202379196775501</v>
      </c>
      <c r="E29">
        <v>4.3031380979364799</v>
      </c>
      <c r="F29">
        <v>0.57310737507804999</v>
      </c>
      <c r="G29">
        <v>-92.686692121616687</v>
      </c>
      <c r="H29">
        <v>-55.011237835108055</v>
      </c>
      <c r="I29">
        <v>37.042635605732897</v>
      </c>
      <c r="J29">
        <v>16.638022169556201</v>
      </c>
      <c r="K29">
        <v>7.5084325993020897</v>
      </c>
      <c r="L29">
        <v>1.1724070617349191E-3</v>
      </c>
      <c r="M29">
        <v>1.7847934200589018E-4</v>
      </c>
      <c r="N29" s="1">
        <v>6.3779324743826897E-6</v>
      </c>
      <c r="O29" s="1">
        <v>1.03044434010495E-6</v>
      </c>
      <c r="P29" s="1">
        <v>-4.1232314058282399E-6</v>
      </c>
      <c r="AE29">
        <v>100</v>
      </c>
      <c r="AJ29">
        <v>1</v>
      </c>
    </row>
    <row r="30" spans="1:36" x14ac:dyDescent="0.2">
      <c r="A30">
        <v>29</v>
      </c>
      <c r="B30">
        <v>742</v>
      </c>
      <c r="C30">
        <v>285</v>
      </c>
      <c r="D30">
        <v>0.28047135891247499</v>
      </c>
      <c r="E30">
        <v>4.3266037375545503</v>
      </c>
      <c r="F30">
        <v>0.574453381255147</v>
      </c>
      <c r="G30">
        <v>-93.117669825745708</v>
      </c>
      <c r="H30">
        <v>-55.344692734006216</v>
      </c>
      <c r="I30">
        <v>37.211695847984998</v>
      </c>
      <c r="J30">
        <v>16.741835547117301</v>
      </c>
      <c r="K30">
        <v>7.5316881730266303</v>
      </c>
      <c r="L30">
        <v>1.1734464677254943E-3</v>
      </c>
      <c r="M30">
        <v>1.7779841991552814E-4</v>
      </c>
      <c r="N30" s="1">
        <v>6.4975306670760199E-6</v>
      </c>
      <c r="O30" s="1">
        <v>1.0285066708155001E-6</v>
      </c>
      <c r="P30" s="1">
        <v>-4.1398679396982599E-6</v>
      </c>
      <c r="AE30">
        <v>100</v>
      </c>
      <c r="AJ30">
        <v>1</v>
      </c>
    </row>
    <row r="31" spans="1:36" x14ac:dyDescent="0.2">
      <c r="A31">
        <v>30</v>
      </c>
      <c r="B31">
        <v>740</v>
      </c>
      <c r="C31">
        <v>285</v>
      </c>
      <c r="D31">
        <v>0.27891279672309399</v>
      </c>
      <c r="E31">
        <v>4.3497952731058902</v>
      </c>
      <c r="F31">
        <v>0.575803733160276</v>
      </c>
      <c r="G31">
        <v>-93.542011630376635</v>
      </c>
      <c r="H31">
        <v>-55.675028564836367</v>
      </c>
      <c r="I31">
        <v>37.3779522138909</v>
      </c>
      <c r="J31">
        <v>16.8446751371694</v>
      </c>
      <c r="K31">
        <v>7.5543019654148704</v>
      </c>
      <c r="L31">
        <v>1.1744641207628466E-3</v>
      </c>
      <c r="M31">
        <v>1.7711526040043471E-4</v>
      </c>
      <c r="N31" s="1">
        <v>6.61769228938841E-6</v>
      </c>
      <c r="O31" s="1">
        <v>1.0264227446043201E-6</v>
      </c>
      <c r="P31" s="1">
        <v>-4.1559932345953197E-6</v>
      </c>
      <c r="AE31">
        <v>100</v>
      </c>
      <c r="AJ31">
        <v>1</v>
      </c>
    </row>
    <row r="32" spans="1:36" x14ac:dyDescent="0.2">
      <c r="A32">
        <v>31</v>
      </c>
      <c r="B32">
        <v>738</v>
      </c>
      <c r="C32">
        <v>285</v>
      </c>
      <c r="D32">
        <v>0.277348069030313</v>
      </c>
      <c r="E32">
        <v>4.3727167180884203</v>
      </c>
      <c r="F32">
        <v>0.57715842132727202</v>
      </c>
      <c r="G32">
        <v>-93.959819159535456</v>
      </c>
      <c r="H32">
        <v>-56.002290672263094</v>
      </c>
      <c r="I32">
        <v>37.541443726740802</v>
      </c>
      <c r="J32">
        <v>16.946551588833099</v>
      </c>
      <c r="K32">
        <v>7.5762850484493001</v>
      </c>
      <c r="L32">
        <v>1.1754597891744107E-3</v>
      </c>
      <c r="M32">
        <v>1.7642989616756491E-4</v>
      </c>
      <c r="N32" s="1">
        <v>6.7383936351327796E-6</v>
      </c>
      <c r="O32" s="1">
        <v>1.02419552878586E-6</v>
      </c>
      <c r="P32" s="1">
        <v>-4.1716087393346302E-6</v>
      </c>
      <c r="AE32">
        <v>100</v>
      </c>
      <c r="AJ32">
        <v>1</v>
      </c>
    </row>
    <row r="33" spans="1:36" x14ac:dyDescent="0.2">
      <c r="A33">
        <v>32</v>
      </c>
      <c r="B33">
        <v>736</v>
      </c>
      <c r="C33">
        <v>285</v>
      </c>
      <c r="D33">
        <v>0.27577713917653601</v>
      </c>
      <c r="E33">
        <v>8.7095585419227994</v>
      </c>
      <c r="F33">
        <v>0.57851743584934201</v>
      </c>
      <c r="G33">
        <v>-186.99928481047073</v>
      </c>
      <c r="H33">
        <v>-111.61265828804996</v>
      </c>
      <c r="I33">
        <v>74.708032172270293</v>
      </c>
      <c r="J33">
        <v>33.780072243636504</v>
      </c>
      <c r="K33">
        <v>15.0549629141876</v>
      </c>
      <c r="L33">
        <v>1.1764332432632652E-3</v>
      </c>
      <c r="M33">
        <v>1.7574236053825843E-4</v>
      </c>
      <c r="N33" s="1">
        <v>1.3592519906228999E-5</v>
      </c>
      <c r="O33" s="1">
        <v>2.0247820753473601E-6</v>
      </c>
      <c r="P33" s="1">
        <v>-8.2961003821285906E-6</v>
      </c>
      <c r="AE33">
        <v>100</v>
      </c>
      <c r="AJ33">
        <v>1</v>
      </c>
    </row>
    <row r="34" spans="1:36" x14ac:dyDescent="0.2">
      <c r="A34">
        <v>33</v>
      </c>
      <c r="B34">
        <v>734</v>
      </c>
      <c r="C34">
        <v>285</v>
      </c>
      <c r="D34">
        <v>0.27419997021297599</v>
      </c>
      <c r="E34">
        <v>9.5921249244878997</v>
      </c>
      <c r="F34">
        <v>0.57988076637659802</v>
      </c>
      <c r="G34">
        <v>-205.78401502998045</v>
      </c>
      <c r="H34">
        <v>-122.99714734402318</v>
      </c>
      <c r="I34">
        <v>82.204594041466507</v>
      </c>
      <c r="J34">
        <v>37.231618986740997</v>
      </c>
      <c r="K34">
        <v>16.541546953565199</v>
      </c>
      <c r="L34">
        <v>1.1773842553849197E-3</v>
      </c>
      <c r="M34">
        <v>1.7505268744207029E-4</v>
      </c>
      <c r="N34" s="1">
        <v>1.51582731976726E-5</v>
      </c>
      <c r="O34" s="1">
        <v>2.2132171188047201E-6</v>
      </c>
      <c r="P34" s="1">
        <v>-9.1221580087002403E-6</v>
      </c>
      <c r="AE34">
        <v>100</v>
      </c>
      <c r="AJ34">
        <v>1</v>
      </c>
    </row>
    <row r="35" spans="1:36" x14ac:dyDescent="0.2">
      <c r="A35">
        <v>34</v>
      </c>
      <c r="B35">
        <v>732</v>
      </c>
      <c r="C35">
        <v>285</v>
      </c>
      <c r="D35">
        <v>0.27261652489678301</v>
      </c>
      <c r="E35">
        <v>9.9158281064518992</v>
      </c>
      <c r="F35">
        <v>0.58124840211378004</v>
      </c>
      <c r="G35">
        <v>-212.55867877979594</v>
      </c>
      <c r="H35">
        <v>-127.22490861035786</v>
      </c>
      <c r="I35">
        <v>84.902198293968198</v>
      </c>
      <c r="J35">
        <v>38.517397926715397</v>
      </c>
      <c r="K35">
        <v>17.059536112945398</v>
      </c>
      <c r="L35">
        <v>1.1783126000229952E-3</v>
      </c>
      <c r="M35">
        <v>1.743609114101601E-4</v>
      </c>
      <c r="N35" s="1">
        <v>1.5864557364893401E-5</v>
      </c>
      <c r="O35" s="1">
        <v>2.2706049536369802E-6</v>
      </c>
      <c r="P35" s="1">
        <v>-9.4144684178116205E-6</v>
      </c>
      <c r="AE35">
        <v>100</v>
      </c>
      <c r="AJ35">
        <v>1</v>
      </c>
    </row>
    <row r="36" spans="1:36" x14ac:dyDescent="0.2">
      <c r="A36">
        <v>35</v>
      </c>
      <c r="B36">
        <v>730</v>
      </c>
      <c r="C36">
        <v>285</v>
      </c>
      <c r="D36">
        <v>0.27102676568808798</v>
      </c>
      <c r="E36">
        <v>10.0932279757534</v>
      </c>
      <c r="F36">
        <v>0.58262033181794304</v>
      </c>
      <c r="G36">
        <v>-216.18871161390601</v>
      </c>
      <c r="H36">
        <v>-129.57947814670524</v>
      </c>
      <c r="I36">
        <v>86.343028891036894</v>
      </c>
      <c r="J36">
        <v>39.236209466669898</v>
      </c>
      <c r="K36">
        <v>17.323851270791799</v>
      </c>
      <c r="L36">
        <v>1.1792180538648673E-3</v>
      </c>
      <c r="M36">
        <v>1.7366706756844768E-4</v>
      </c>
      <c r="N36" s="1">
        <v>1.6346577003373801E-5</v>
      </c>
      <c r="O36" s="1">
        <v>2.2936245613356601E-6</v>
      </c>
      <c r="P36" s="1">
        <v>-9.5666514126633307E-6</v>
      </c>
      <c r="AE36">
        <v>100</v>
      </c>
      <c r="AJ36">
        <v>1</v>
      </c>
    </row>
    <row r="37" spans="1:36" x14ac:dyDescent="0.2">
      <c r="A37">
        <v>36</v>
      </c>
      <c r="B37">
        <v>728</v>
      </c>
      <c r="C37">
        <v>285</v>
      </c>
      <c r="D37">
        <v>0.26943065474704297</v>
      </c>
      <c r="E37">
        <v>10.208085774592901</v>
      </c>
      <c r="F37">
        <v>0.58399654379633303</v>
      </c>
      <c r="G37">
        <v>-218.47430000896205</v>
      </c>
      <c r="H37">
        <v>-131.13344769125615</v>
      </c>
      <c r="I37">
        <v>87.246360696433499</v>
      </c>
      <c r="J37">
        <v>39.712607406995403</v>
      </c>
      <c r="K37">
        <v>17.4797023767198</v>
      </c>
      <c r="L37">
        <v>1.1801003958765192E-3</v>
      </c>
      <c r="M37">
        <v>1.7297119163035989E-4</v>
      </c>
      <c r="N37" s="1">
        <v>1.6732977231205799E-5</v>
      </c>
      <c r="O37" s="1">
        <v>2.3019314622171499E-6</v>
      </c>
      <c r="P37" s="1">
        <v>-9.6586427262686792E-6</v>
      </c>
      <c r="AE37">
        <v>100</v>
      </c>
      <c r="AJ37">
        <v>1</v>
      </c>
    </row>
    <row r="38" spans="1:36" x14ac:dyDescent="0.2">
      <c r="A38">
        <v>37</v>
      </c>
      <c r="B38">
        <v>726</v>
      </c>
      <c r="C38">
        <v>285</v>
      </c>
      <c r="D38">
        <v>0.26782815393083897</v>
      </c>
      <c r="E38">
        <v>10.2897945092939</v>
      </c>
      <c r="F38">
        <v>0.58537702590431695</v>
      </c>
      <c r="G38">
        <v>-220.04722776498446</v>
      </c>
      <c r="H38">
        <v>-132.26317209408057</v>
      </c>
      <c r="I38">
        <v>87.864629057887001</v>
      </c>
      <c r="J38">
        <v>40.0604669639565</v>
      </c>
      <c r="K38">
        <v>17.5780634598663</v>
      </c>
      <c r="L38">
        <v>1.1809594073769207E-3</v>
      </c>
      <c r="M38">
        <v>1.722733198892685E-4</v>
      </c>
      <c r="N38" s="1">
        <v>1.7068794350682501E-5</v>
      </c>
      <c r="O38" s="1">
        <v>2.3024314089789098E-6</v>
      </c>
      <c r="P38" s="1">
        <v>-9.7184981752708304E-6</v>
      </c>
      <c r="AE38">
        <v>100</v>
      </c>
      <c r="AJ38">
        <v>1</v>
      </c>
    </row>
    <row r="39" spans="1:36" x14ac:dyDescent="0.2">
      <c r="A39">
        <v>38</v>
      </c>
      <c r="B39">
        <v>760</v>
      </c>
      <c r="C39">
        <v>270</v>
      </c>
      <c r="D39">
        <v>0.31019745438706797</v>
      </c>
      <c r="E39">
        <v>4.3660947249755804</v>
      </c>
      <c r="F39">
        <v>0.54649111306141895</v>
      </c>
      <c r="G39">
        <v>-94.764298209750365</v>
      </c>
      <c r="H39">
        <v>-55.519848157273124</v>
      </c>
      <c r="I39">
        <v>37.9876577457172</v>
      </c>
      <c r="J39">
        <v>16.866216599813299</v>
      </c>
      <c r="K39">
        <v>7.9893242920583001</v>
      </c>
      <c r="L39">
        <v>1.2152499243538633E-3</v>
      </c>
      <c r="M39">
        <v>2.0153019672638673E-4</v>
      </c>
      <c r="N39" s="1">
        <v>6.0978086335884098E-6</v>
      </c>
      <c r="O39" s="1">
        <v>1.3452193957590099E-6</v>
      </c>
      <c r="P39" s="1">
        <v>-4.8518330275524598E-6</v>
      </c>
      <c r="AE39">
        <v>100</v>
      </c>
      <c r="AJ39">
        <v>1</v>
      </c>
    </row>
    <row r="40" spans="1:36" x14ac:dyDescent="0.2">
      <c r="A40">
        <v>39</v>
      </c>
      <c r="B40">
        <v>758</v>
      </c>
      <c r="C40">
        <v>270</v>
      </c>
      <c r="D40">
        <v>0.30872375503079302</v>
      </c>
      <c r="E40">
        <v>4.3760153946751004</v>
      </c>
      <c r="F40">
        <v>0.54782175295253999</v>
      </c>
      <c r="G40">
        <v>-94.90350709123588</v>
      </c>
      <c r="H40">
        <v>-55.679824674815023</v>
      </c>
      <c r="I40">
        <v>38.041203162631803</v>
      </c>
      <c r="J40">
        <v>16.919399050289201</v>
      </c>
      <c r="K40">
        <v>7.9880278048290796</v>
      </c>
      <c r="L40">
        <v>1.2166662064434914E-3</v>
      </c>
      <c r="M40">
        <v>2.0080384397672485E-4</v>
      </c>
      <c r="N40" s="1">
        <v>6.2115516739209902E-6</v>
      </c>
      <c r="O40" s="1">
        <v>1.3390591293280699E-6</v>
      </c>
      <c r="P40" s="1">
        <v>-4.8589700518586003E-6</v>
      </c>
      <c r="AE40">
        <v>100</v>
      </c>
      <c r="AJ40">
        <v>1</v>
      </c>
    </row>
    <row r="41" spans="1:36" x14ac:dyDescent="0.2">
      <c r="A41">
        <v>40</v>
      </c>
      <c r="B41">
        <v>756</v>
      </c>
      <c r="C41">
        <v>270</v>
      </c>
      <c r="D41">
        <v>0.30724432784336703</v>
      </c>
      <c r="E41">
        <v>4.4007183226788396</v>
      </c>
      <c r="F41">
        <v>0.54915717626411698</v>
      </c>
      <c r="G41">
        <v>-95.362765488270611</v>
      </c>
      <c r="H41">
        <v>-56.028186097164735</v>
      </c>
      <c r="I41">
        <v>38.222900211208398</v>
      </c>
      <c r="J41">
        <v>17.029808541639198</v>
      </c>
      <c r="K41">
        <v>8.0135861150293106</v>
      </c>
      <c r="L41">
        <v>1.2180604992606512E-3</v>
      </c>
      <c r="M41">
        <v>2.0007432545528041E-4</v>
      </c>
      <c r="N41" s="1">
        <v>6.3473432276140002E-6</v>
      </c>
      <c r="O41" s="1">
        <v>1.3373384495018801E-6</v>
      </c>
      <c r="P41" s="1">
        <v>-4.8822637755289198E-6</v>
      </c>
      <c r="AE41">
        <v>100</v>
      </c>
      <c r="AJ41">
        <v>1</v>
      </c>
    </row>
    <row r="42" spans="1:36" x14ac:dyDescent="0.2">
      <c r="A42">
        <v>41</v>
      </c>
      <c r="B42">
        <v>754</v>
      </c>
      <c r="C42">
        <v>270</v>
      </c>
      <c r="D42">
        <v>0.30575913936620902</v>
      </c>
      <c r="E42">
        <v>4.4251394876735999</v>
      </c>
      <c r="F42">
        <v>0.55049737779592001</v>
      </c>
      <c r="G42">
        <v>-95.815130975316677</v>
      </c>
      <c r="H42">
        <v>-56.373370173636253</v>
      </c>
      <c r="I42">
        <v>38.401687327293899</v>
      </c>
      <c r="J42">
        <v>17.139247357287399</v>
      </c>
      <c r="K42">
        <v>8.0384388121719308</v>
      </c>
      <c r="L42">
        <v>1.2194325003927456E-3</v>
      </c>
      <c r="M42">
        <v>1.9934167156227366E-4</v>
      </c>
      <c r="N42" s="1">
        <v>6.4841117219785797E-6</v>
      </c>
      <c r="O42" s="1">
        <v>1.3354183101624301E-6</v>
      </c>
      <c r="P42" s="1">
        <v>-4.9049695379754698E-6</v>
      </c>
      <c r="AE42">
        <v>100</v>
      </c>
      <c r="AJ42">
        <v>1</v>
      </c>
    </row>
    <row r="43" spans="1:36" x14ac:dyDescent="0.2">
      <c r="A43">
        <v>42</v>
      </c>
      <c r="B43">
        <v>752</v>
      </c>
      <c r="C43">
        <v>270</v>
      </c>
      <c r="D43">
        <v>0.30426815587962902</v>
      </c>
      <c r="E43">
        <v>4.4492833915351504</v>
      </c>
      <c r="F43">
        <v>0.551842351863845</v>
      </c>
      <c r="G43">
        <v>-96.260716918973642</v>
      </c>
      <c r="H43">
        <v>-56.715428144746596</v>
      </c>
      <c r="I43">
        <v>38.577608084086201</v>
      </c>
      <c r="J43">
        <v>17.247727492823302</v>
      </c>
      <c r="K43">
        <v>8.0625986325763392</v>
      </c>
      <c r="L43">
        <v>1.220781908984002E-3</v>
      </c>
      <c r="M43">
        <v>1.9860591359772381E-4</v>
      </c>
      <c r="N43" s="1">
        <v>6.6218303634802897E-6</v>
      </c>
      <c r="O43" s="1">
        <v>1.33330235888308E-6</v>
      </c>
      <c r="P43" s="1">
        <v>-4.9270877064440501E-6</v>
      </c>
      <c r="AE43">
        <v>100</v>
      </c>
      <c r="AJ43">
        <v>1</v>
      </c>
    </row>
    <row r="44" spans="1:36" x14ac:dyDescent="0.2">
      <c r="A44">
        <v>43</v>
      </c>
      <c r="B44">
        <v>750</v>
      </c>
      <c r="C44">
        <v>270</v>
      </c>
      <c r="D44">
        <v>0.302771343400284</v>
      </c>
      <c r="E44">
        <v>4.4731544394129399</v>
      </c>
      <c r="F44">
        <v>0.55319209229598998</v>
      </c>
      <c r="G44">
        <v>-96.69963426187266</v>
      </c>
      <c r="H44">
        <v>-57.054410139789866</v>
      </c>
      <c r="I44">
        <v>38.750705112384402</v>
      </c>
      <c r="J44">
        <v>17.3552606019088</v>
      </c>
      <c r="K44">
        <v>8.0860780580709104</v>
      </c>
      <c r="L44">
        <v>1.2221084258471327E-3</v>
      </c>
      <c r="M44">
        <v>1.9786708375920002E-4</v>
      </c>
      <c r="N44" s="1">
        <v>6.76047189092706E-6</v>
      </c>
      <c r="O44" s="1">
        <v>1.3309942073700599E-6</v>
      </c>
      <c r="P44" s="1">
        <v>-4.9486186393651897E-6</v>
      </c>
      <c r="AE44">
        <v>100</v>
      </c>
      <c r="AJ44">
        <v>1</v>
      </c>
    </row>
    <row r="45" spans="1:36" x14ac:dyDescent="0.2">
      <c r="A45">
        <v>44</v>
      </c>
      <c r="B45">
        <v>748</v>
      </c>
      <c r="C45">
        <v>270</v>
      </c>
      <c r="D45">
        <v>0.301268667678598</v>
      </c>
      <c r="E45">
        <v>4.4967569423046996</v>
      </c>
      <c r="F45">
        <v>0.55454659242874105</v>
      </c>
      <c r="G45">
        <v>-97.131991587237479</v>
      </c>
      <c r="H45">
        <v>-57.390365206195</v>
      </c>
      <c r="I45">
        <v>38.921020125835902</v>
      </c>
      <c r="J45">
        <v>17.461858005641702</v>
      </c>
      <c r="K45">
        <v>8.1088893227353598</v>
      </c>
      <c r="L45">
        <v>1.223411753574968E-3</v>
      </c>
      <c r="M45">
        <v>1.9712521513907521E-4</v>
      </c>
      <c r="N45" s="1">
        <v>6.9000085842164997E-6</v>
      </c>
      <c r="O45" s="1">
        <v>1.3284974328372699E-6</v>
      </c>
      <c r="P45" s="1">
        <v>-4.96956269185818E-6</v>
      </c>
      <c r="AE45">
        <v>100</v>
      </c>
      <c r="AJ45">
        <v>1</v>
      </c>
    </row>
    <row r="46" spans="1:36" x14ac:dyDescent="0.2">
      <c r="A46">
        <v>45</v>
      </c>
      <c r="B46">
        <v>746</v>
      </c>
      <c r="C46">
        <v>270</v>
      </c>
      <c r="D46">
        <v>0.29976009419614502</v>
      </c>
      <c r="E46">
        <v>4.5200951194470598</v>
      </c>
      <c r="F46">
        <v>0.555905845103005</v>
      </c>
      <c r="G46">
        <v>-97.55789517918987</v>
      </c>
      <c r="H46">
        <v>-57.723341336646591</v>
      </c>
      <c r="I46">
        <v>39.088593944499102</v>
      </c>
      <c r="J46">
        <v>17.567530701269</v>
      </c>
      <c r="K46">
        <v>8.1310444192388793</v>
      </c>
      <c r="L46">
        <v>1.224691596652274E-3</v>
      </c>
      <c r="M46">
        <v>1.963803417212201E-4</v>
      </c>
      <c r="N46" s="1">
        <v>7.0404122734560598E-6</v>
      </c>
      <c r="O46" s="1">
        <v>1.3258155792789099E-6</v>
      </c>
      <c r="P46" s="1">
        <v>-4.9899202210099796E-6</v>
      </c>
      <c r="AE46">
        <v>100</v>
      </c>
      <c r="AJ46">
        <v>1</v>
      </c>
    </row>
    <row r="47" spans="1:36" x14ac:dyDescent="0.2">
      <c r="A47">
        <v>46</v>
      </c>
      <c r="B47">
        <v>744</v>
      </c>
      <c r="C47">
        <v>270</v>
      </c>
      <c r="D47">
        <v>0.298245588163005</v>
      </c>
      <c r="E47">
        <v>4.5431731008031599</v>
      </c>
      <c r="F47">
        <v>0.55726984266055302</v>
      </c>
      <c r="G47">
        <v>-97.977449084878813</v>
      </c>
      <c r="H47">
        <v>-58.053385497549385</v>
      </c>
      <c r="I47">
        <v>39.253466519156902</v>
      </c>
      <c r="J47">
        <v>17.672289371324698</v>
      </c>
      <c r="K47">
        <v>8.1525551052840992</v>
      </c>
      <c r="L47">
        <v>1.2259476615671071E-3</v>
      </c>
      <c r="M47">
        <v>1.9563249837714169E-4</v>
      </c>
      <c r="N47" s="1">
        <v>7.18165434891686E-6</v>
      </c>
      <c r="O47" s="1">
        <v>1.32295215872469E-6</v>
      </c>
      <c r="P47" s="1">
        <v>-5.0096915912382002E-6</v>
      </c>
      <c r="AE47">
        <v>100</v>
      </c>
      <c r="AJ47">
        <v>1</v>
      </c>
    </row>
    <row r="48" spans="1:36" x14ac:dyDescent="0.2">
      <c r="A48">
        <v>47</v>
      </c>
      <c r="B48">
        <v>742</v>
      </c>
      <c r="C48">
        <v>270</v>
      </c>
      <c r="D48">
        <v>0.29672511451509398</v>
      </c>
      <c r="E48">
        <v>4.5659949292455302</v>
      </c>
      <c r="F48">
        <v>0.55863857694044605</v>
      </c>
      <c r="G48">
        <v>-98.390755169769832</v>
      </c>
      <c r="H48">
        <v>-58.380543653705644</v>
      </c>
      <c r="I48">
        <v>39.415676952910303</v>
      </c>
      <c r="J48">
        <v>17.776144391640599</v>
      </c>
      <c r="K48">
        <v>8.1734329094359701</v>
      </c>
      <c r="L48">
        <v>1.2271796569220902E-3</v>
      </c>
      <c r="M48">
        <v>1.9488172086156509E-4</v>
      </c>
      <c r="N48" s="1">
        <v>7.32370577113068E-6</v>
      </c>
      <c r="O48" s="1">
        <v>1.31991065235973E-6</v>
      </c>
      <c r="P48" s="1">
        <v>-5.0288771792853397E-6</v>
      </c>
      <c r="AE48">
        <v>100</v>
      </c>
      <c r="AJ48">
        <v>1</v>
      </c>
    </row>
    <row r="49" spans="1:36" x14ac:dyDescent="0.2">
      <c r="A49">
        <v>48</v>
      </c>
      <c r="B49">
        <v>740</v>
      </c>
      <c r="C49">
        <v>270</v>
      </c>
      <c r="D49">
        <v>0.295198637911468</v>
      </c>
      <c r="E49">
        <v>4.58856456289418</v>
      </c>
      <c r="F49">
        <v>0.56001203927560295</v>
      </c>
      <c r="G49">
        <v>-98.797913176030363</v>
      </c>
      <c r="H49">
        <v>-58.704860795073927</v>
      </c>
      <c r="I49">
        <v>39.5752635240285</v>
      </c>
      <c r="J49">
        <v>17.879105840008801</v>
      </c>
      <c r="K49">
        <v>8.1936891371650997</v>
      </c>
      <c r="L49">
        <v>1.2283872935455922E-3</v>
      </c>
      <c r="M49">
        <v>1.9412804580752182E-4</v>
      </c>
      <c r="N49" s="1">
        <v>7.4665370818711502E-6</v>
      </c>
      <c r="O49" s="1">
        <v>1.31669451164594E-6</v>
      </c>
      <c r="P49" s="1">
        <v>-5.0474773793536004E-6</v>
      </c>
      <c r="AE49">
        <v>100</v>
      </c>
      <c r="AJ49">
        <v>1</v>
      </c>
    </row>
    <row r="50" spans="1:36" x14ac:dyDescent="0.2">
      <c r="A50">
        <v>49</v>
      </c>
      <c r="B50">
        <v>738</v>
      </c>
      <c r="C50">
        <v>270</v>
      </c>
      <c r="D50">
        <v>0.29366612273154402</v>
      </c>
      <c r="E50">
        <v>8.9701742703325404</v>
      </c>
      <c r="F50">
        <v>0.56139022048947096</v>
      </c>
      <c r="G50">
        <v>-192.98515025056966</v>
      </c>
      <c r="H50">
        <v>-114.83192988568831</v>
      </c>
      <c r="I50">
        <v>77.296497700074795</v>
      </c>
      <c r="J50">
        <v>34.981206196063603</v>
      </c>
      <c r="K50">
        <v>15.978501126206799</v>
      </c>
      <c r="L50">
        <v>1.2295702846020194E-3</v>
      </c>
      <c r="M50">
        <v>1.9337151072077472E-4</v>
      </c>
      <c r="N50" s="1">
        <v>1.48049832985261E-5</v>
      </c>
      <c r="O50" s="1">
        <v>2.5549524328637601E-6</v>
      </c>
      <c r="P50" s="1">
        <v>-9.8545816722006105E-6</v>
      </c>
      <c r="AE50">
        <v>100</v>
      </c>
      <c r="AJ50">
        <v>1</v>
      </c>
    </row>
    <row r="51" spans="1:36" x14ac:dyDescent="0.2">
      <c r="A51">
        <v>50</v>
      </c>
      <c r="B51">
        <v>736</v>
      </c>
      <c r="C51">
        <v>270</v>
      </c>
      <c r="D51">
        <v>0.29212753307238798</v>
      </c>
      <c r="E51">
        <v>9.6899028923356099</v>
      </c>
      <c r="F51">
        <v>0.562773110892823</v>
      </c>
      <c r="G51">
        <v>-208.30253563083645</v>
      </c>
      <c r="H51">
        <v>-124.12116293976023</v>
      </c>
      <c r="I51">
        <v>83.423591981905005</v>
      </c>
      <c r="J51">
        <v>37.819552109887098</v>
      </c>
      <c r="K51">
        <v>17.2181341019702</v>
      </c>
      <c r="L51">
        <v>1.230728345702312E-3</v>
      </c>
      <c r="M51">
        <v>1.9261215397383576E-4</v>
      </c>
      <c r="N51" s="1">
        <v>1.62184712974306E-5</v>
      </c>
      <c r="O51" s="1">
        <v>2.7393636668129899E-6</v>
      </c>
      <c r="P51" s="1">
        <v>-1.06310015443995E-5</v>
      </c>
      <c r="AE51">
        <v>100</v>
      </c>
      <c r="AJ51">
        <v>1</v>
      </c>
    </row>
    <row r="52" spans="1:36" x14ac:dyDescent="0.2">
      <c r="A52">
        <v>51</v>
      </c>
      <c r="B52">
        <v>734</v>
      </c>
      <c r="C52">
        <v>270</v>
      </c>
      <c r="D52">
        <v>0.29058283274586499</v>
      </c>
      <c r="E52">
        <v>9.9757906167480108</v>
      </c>
      <c r="F52">
        <v>0.56416070028064202</v>
      </c>
      <c r="G52">
        <v>-214.27653293424277</v>
      </c>
      <c r="H52">
        <v>-127.86109626780231</v>
      </c>
      <c r="I52">
        <v>85.807620936717498</v>
      </c>
      <c r="J52">
        <v>38.967756364300797</v>
      </c>
      <c r="K52">
        <v>17.682533738676799</v>
      </c>
      <c r="L52">
        <v>1.2318611950129692E-3</v>
      </c>
      <c r="M52">
        <v>1.9185001479927259E-4</v>
      </c>
      <c r="N52" s="1">
        <v>1.6929380476792501E-5</v>
      </c>
      <c r="O52" s="1">
        <v>2.7989836884910198E-6</v>
      </c>
      <c r="P52" s="1">
        <v>-1.09294173855361E-5</v>
      </c>
      <c r="AE52">
        <v>100</v>
      </c>
      <c r="AJ52">
        <v>1</v>
      </c>
    </row>
    <row r="53" spans="1:36" x14ac:dyDescent="0.2">
      <c r="A53">
        <v>52</v>
      </c>
      <c r="B53">
        <v>732</v>
      </c>
      <c r="C53">
        <v>270</v>
      </c>
      <c r="D53">
        <v>0.28903198527583002</v>
      </c>
      <c r="E53">
        <v>10.136954727653601</v>
      </c>
      <c r="F53">
        <v>0.565552977929207</v>
      </c>
      <c r="G53">
        <v>-217.56397323822139</v>
      </c>
      <c r="H53">
        <v>-130.00598648623776</v>
      </c>
      <c r="I53">
        <v>87.115144744524798</v>
      </c>
      <c r="J53">
        <v>39.630059455413701</v>
      </c>
      <c r="K53">
        <v>17.923970208362199</v>
      </c>
      <c r="L53">
        <v>1.2329685533655518E-3</v>
      </c>
      <c r="M53">
        <v>1.9108513328260567E-4</v>
      </c>
      <c r="N53" s="1">
        <v>1.7439148341050201E-5</v>
      </c>
      <c r="O53" s="1">
        <v>2.8226540670509901E-6</v>
      </c>
      <c r="P53" s="1">
        <v>-1.10899460458971E-5</v>
      </c>
      <c r="AE53">
        <v>100</v>
      </c>
      <c r="AJ53">
        <v>1</v>
      </c>
    </row>
    <row r="54" spans="1:36" x14ac:dyDescent="0.2">
      <c r="A54">
        <v>53</v>
      </c>
      <c r="B54">
        <v>730</v>
      </c>
      <c r="C54">
        <v>270</v>
      </c>
      <c r="D54">
        <v>0.28747495389523398</v>
      </c>
      <c r="E54">
        <v>10.242900942645999</v>
      </c>
      <c r="F54">
        <v>0.56694993259319904</v>
      </c>
      <c r="G54">
        <v>-219.66186801138772</v>
      </c>
      <c r="H54">
        <v>-131.4448633813403</v>
      </c>
      <c r="I54">
        <v>87.945836860841297</v>
      </c>
      <c r="J54">
        <v>40.077194277495501</v>
      </c>
      <c r="K54">
        <v>18.066676356755998</v>
      </c>
      <c r="L54">
        <v>1.234050144364382E-3</v>
      </c>
      <c r="M54">
        <v>1.9031755035455901E-4</v>
      </c>
      <c r="N54" s="1">
        <v>1.7860206881877899E-5</v>
      </c>
      <c r="O54" s="1">
        <v>2.8303780310114702E-6</v>
      </c>
      <c r="P54" s="1">
        <v>-1.1189077320632501E-5</v>
      </c>
      <c r="AE54">
        <v>100</v>
      </c>
      <c r="AJ54">
        <v>1</v>
      </c>
    </row>
    <row r="55" spans="1:36" x14ac:dyDescent="0.2">
      <c r="A55">
        <v>54</v>
      </c>
      <c r="B55">
        <v>728</v>
      </c>
      <c r="C55">
        <v>270</v>
      </c>
      <c r="D55">
        <v>0.28591170154322698</v>
      </c>
      <c r="E55">
        <v>10.318995388983099</v>
      </c>
      <c r="F55">
        <v>0.56835155250302305</v>
      </c>
      <c r="G55">
        <v>-221.11661683990607</v>
      </c>
      <c r="H55">
        <v>-132.50214934511069</v>
      </c>
      <c r="I55">
        <v>88.518576294876695</v>
      </c>
      <c r="J55">
        <v>40.407949542525003</v>
      </c>
      <c r="K55">
        <v>18.156008096640502</v>
      </c>
      <c r="L55">
        <v>1.2351056944940831E-3</v>
      </c>
      <c r="M55">
        <v>1.8954730778279646E-4</v>
      </c>
      <c r="N55" s="1">
        <v>1.8233469691335501E-5</v>
      </c>
      <c r="O55" s="1">
        <v>2.8294649417195799E-6</v>
      </c>
      <c r="P55" s="1">
        <v>-1.1254729511170801E-5</v>
      </c>
      <c r="AE55">
        <v>100</v>
      </c>
      <c r="AJ55">
        <v>1</v>
      </c>
    </row>
    <row r="56" spans="1:36" x14ac:dyDescent="0.2">
      <c r="A56">
        <v>55</v>
      </c>
      <c r="B56">
        <v>760</v>
      </c>
      <c r="C56">
        <v>255</v>
      </c>
      <c r="D56">
        <v>0.32616802981174298</v>
      </c>
      <c r="E56">
        <v>4.6076405835861802</v>
      </c>
      <c r="F56">
        <v>0.52941222262725796</v>
      </c>
      <c r="G56">
        <v>-100.13541760711458</v>
      </c>
      <c r="H56">
        <v>-58.554808745741461</v>
      </c>
      <c r="I56">
        <v>40.248991565848698</v>
      </c>
      <c r="J56">
        <v>17.901133553981101</v>
      </c>
      <c r="K56">
        <v>8.70331357428873</v>
      </c>
      <c r="L56">
        <v>1.2722106074365411E-3</v>
      </c>
      <c r="M56">
        <v>2.2240278677549441E-4</v>
      </c>
      <c r="N56" s="1">
        <v>6.6896973588255103E-6</v>
      </c>
      <c r="O56" s="1">
        <v>1.74830161024343E-6</v>
      </c>
      <c r="P56" s="1">
        <v>-5.9229738131048496E-6</v>
      </c>
      <c r="AE56">
        <v>100</v>
      </c>
      <c r="AJ56">
        <v>1</v>
      </c>
    </row>
    <row r="57" spans="1:36" x14ac:dyDescent="0.2">
      <c r="A57">
        <v>56</v>
      </c>
      <c r="B57">
        <v>758</v>
      </c>
      <c r="C57">
        <v>255</v>
      </c>
      <c r="D57">
        <v>0.32472530669640698</v>
      </c>
      <c r="E57">
        <v>4.6175825204949099</v>
      </c>
      <c r="F57">
        <v>0.530761883422461</v>
      </c>
      <c r="G57">
        <v>-100.27084355520714</v>
      </c>
      <c r="H57">
        <v>-58.717049633399839</v>
      </c>
      <c r="I57">
        <v>40.301058416406399</v>
      </c>
      <c r="J57">
        <v>17.9570183940093</v>
      </c>
      <c r="K57">
        <v>8.6999135859564696</v>
      </c>
      <c r="L57">
        <v>1.2738983518574426E-3</v>
      </c>
      <c r="M57">
        <v>2.2160553453442377E-4</v>
      </c>
      <c r="N57" s="1">
        <v>6.8293139810541396E-6</v>
      </c>
      <c r="O57" s="1">
        <v>1.7402529423318199E-6</v>
      </c>
      <c r="P57" s="1">
        <v>-5.9329358078494999E-6</v>
      </c>
      <c r="AE57">
        <v>100</v>
      </c>
      <c r="AJ57">
        <v>1</v>
      </c>
    </row>
    <row r="58" spans="1:36" x14ac:dyDescent="0.2">
      <c r="A58">
        <v>57</v>
      </c>
      <c r="B58">
        <v>756</v>
      </c>
      <c r="C58">
        <v>255</v>
      </c>
      <c r="D58">
        <v>0.32327697614536499</v>
      </c>
      <c r="E58">
        <v>4.6413835178180998</v>
      </c>
      <c r="F58">
        <v>0.53211676824283005</v>
      </c>
      <c r="G58">
        <v>-100.70669988157641</v>
      </c>
      <c r="H58">
        <v>-59.055818908418203</v>
      </c>
      <c r="I58">
        <v>40.473727889831999</v>
      </c>
      <c r="J58">
        <v>18.066876801021401</v>
      </c>
      <c r="K58">
        <v>8.7224906163829399</v>
      </c>
      <c r="L58">
        <v>1.2755618021488772E-3</v>
      </c>
      <c r="M58">
        <v>2.2080419518490647E-4</v>
      </c>
      <c r="N58" s="1">
        <v>6.9908151799307496E-6</v>
      </c>
      <c r="O58" s="1">
        <v>1.7373178934240599E-6</v>
      </c>
      <c r="P58" s="1">
        <v>-5.9603884145817298E-6</v>
      </c>
      <c r="AE58">
        <v>100</v>
      </c>
      <c r="AJ58">
        <v>1</v>
      </c>
    </row>
    <row r="59" spans="1:36" x14ac:dyDescent="0.2">
      <c r="A59">
        <v>58</v>
      </c>
      <c r="B59">
        <v>754</v>
      </c>
      <c r="C59">
        <v>255</v>
      </c>
      <c r="D59">
        <v>0.321823005403299</v>
      </c>
      <c r="E59">
        <v>4.6649247683395396</v>
      </c>
      <c r="F59">
        <v>0.53347687339181105</v>
      </c>
      <c r="G59">
        <v>-101.13616488857699</v>
      </c>
      <c r="H59">
        <v>-59.391686343854523</v>
      </c>
      <c r="I59">
        <v>40.643672395593697</v>
      </c>
      <c r="J59">
        <v>18.175849903338399</v>
      </c>
      <c r="K59">
        <v>8.7443804989713101</v>
      </c>
      <c r="L59">
        <v>1.2772005760462294E-3</v>
      </c>
      <c r="M59">
        <v>2.1999880049450819E-4</v>
      </c>
      <c r="N59" s="1">
        <v>7.1536638204151904E-6</v>
      </c>
      <c r="O59" s="1">
        <v>1.7341417742057701E-6</v>
      </c>
      <c r="P59" s="1">
        <v>-5.9871752330309399E-6</v>
      </c>
      <c r="AE59">
        <v>100</v>
      </c>
      <c r="AJ59">
        <v>1</v>
      </c>
    </row>
    <row r="60" spans="1:36" x14ac:dyDescent="0.2">
      <c r="A60">
        <v>59</v>
      </c>
      <c r="B60">
        <v>752</v>
      </c>
      <c r="C60">
        <v>255</v>
      </c>
      <c r="D60">
        <v>0.3203633614593</v>
      </c>
      <c r="E60">
        <v>4.68821052889533</v>
      </c>
      <c r="F60">
        <v>0.53484219460739701</v>
      </c>
      <c r="G60">
        <v>-101.55934564960262</v>
      </c>
      <c r="H60">
        <v>-59.724700521144712</v>
      </c>
      <c r="I60">
        <v>40.810933044346299</v>
      </c>
      <c r="J60">
        <v>18.283948337029301</v>
      </c>
      <c r="K60">
        <v>8.76559586391034</v>
      </c>
      <c r="L60">
        <v>1.2788142928664818E-3</v>
      </c>
      <c r="M60">
        <v>2.1918938347915531E-4</v>
      </c>
      <c r="N60" s="1">
        <v>7.31782699551425E-6</v>
      </c>
      <c r="O60" s="1">
        <v>1.7307286875705201E-6</v>
      </c>
      <c r="P60" s="1">
        <v>-6.0132947151786402E-6</v>
      </c>
      <c r="AE60">
        <v>100</v>
      </c>
      <c r="AJ60">
        <v>1</v>
      </c>
    </row>
    <row r="61" spans="1:36" x14ac:dyDescent="0.2">
      <c r="A61">
        <v>60</v>
      </c>
      <c r="B61">
        <v>750</v>
      </c>
      <c r="C61">
        <v>255</v>
      </c>
      <c r="D61">
        <v>0.31889801104432502</v>
      </c>
      <c r="E61">
        <v>4.7112449699622498</v>
      </c>
      <c r="F61">
        <v>0.53621272705675704</v>
      </c>
      <c r="G61">
        <v>-101.97634705352149</v>
      </c>
      <c r="H61">
        <v>-60.054909035482829</v>
      </c>
      <c r="I61">
        <v>40.975550096969201</v>
      </c>
      <c r="J61">
        <v>18.391182427280601</v>
      </c>
      <c r="K61">
        <v>8.7861491013501603</v>
      </c>
      <c r="L61">
        <v>1.2804025736697032E-3</v>
      </c>
      <c r="M61">
        <v>2.183759784046197E-4</v>
      </c>
      <c r="N61" s="1">
        <v>7.4832710473899499E-6</v>
      </c>
      <c r="O61" s="1">
        <v>1.72708270722793E-6</v>
      </c>
      <c r="P61" s="1">
        <v>-6.0387453140310304E-6</v>
      </c>
      <c r="AE61">
        <v>100</v>
      </c>
      <c r="AJ61">
        <v>1</v>
      </c>
    </row>
    <row r="62" spans="1:36" x14ac:dyDescent="0.2">
      <c r="A62">
        <v>61</v>
      </c>
      <c r="B62">
        <v>748</v>
      </c>
      <c r="C62">
        <v>255</v>
      </c>
      <c r="D62">
        <v>0.31742692062870498</v>
      </c>
      <c r="E62">
        <v>4.7340321781196</v>
      </c>
      <c r="F62">
        <v>0.537588465330889</v>
      </c>
      <c r="G62">
        <v>-102.38727186597386</v>
      </c>
      <c r="H62">
        <v>-60.382358524093156</v>
      </c>
      <c r="I62">
        <v>41.137562988587199</v>
      </c>
      <c r="J62">
        <v>18.497562197712799</v>
      </c>
      <c r="K62">
        <v>8.8060523679684302</v>
      </c>
      <c r="L62">
        <v>1.281965041421023E-3</v>
      </c>
      <c r="M62">
        <v>2.1755862078722164E-4</v>
      </c>
      <c r="N62" s="1">
        <v>7.6499615783482108E-6</v>
      </c>
      <c r="O62" s="1">
        <v>1.7232078793740201E-6</v>
      </c>
      <c r="P62" s="1">
        <v>-6.0635254912954204E-6</v>
      </c>
      <c r="AE62">
        <v>100</v>
      </c>
      <c r="AJ62">
        <v>1</v>
      </c>
    </row>
    <row r="63" spans="1:36" x14ac:dyDescent="0.2">
      <c r="A63">
        <v>62</v>
      </c>
      <c r="B63">
        <v>746</v>
      </c>
      <c r="C63">
        <v>255</v>
      </c>
      <c r="D63">
        <v>0.31595005641956603</v>
      </c>
      <c r="E63">
        <v>4.7565761581637904</v>
      </c>
      <c r="F63">
        <v>0.53896940343949995</v>
      </c>
      <c r="G63">
        <v>-102.79222078289034</v>
      </c>
      <c r="H63">
        <v>-60.707094690177705</v>
      </c>
      <c r="I63">
        <v>41.2970103494849</v>
      </c>
      <c r="J63">
        <v>18.603097378411402</v>
      </c>
      <c r="K63">
        <v>8.8253175928153098</v>
      </c>
      <c r="L63">
        <v>1.2835013211531974E-3</v>
      </c>
      <c r="M63">
        <v>2.1673734739369369E-4</v>
      </c>
      <c r="N63" s="1">
        <v>7.8178634623420505E-6</v>
      </c>
      <c r="O63" s="1">
        <v>1.7191082241709501E-6</v>
      </c>
      <c r="P63" s="1">
        <v>-6.0876337246096502E-6</v>
      </c>
      <c r="AE63">
        <v>100</v>
      </c>
      <c r="AJ63">
        <v>1</v>
      </c>
    </row>
    <row r="64" spans="1:36" x14ac:dyDescent="0.2">
      <c r="A64">
        <v>63</v>
      </c>
      <c r="B64">
        <v>744</v>
      </c>
      <c r="C64">
        <v>255</v>
      </c>
      <c r="D64">
        <v>0.31446738435825899</v>
      </c>
      <c r="E64">
        <v>4.8105223506252903</v>
      </c>
      <c r="F64">
        <v>0.54035553480597098</v>
      </c>
      <c r="G64">
        <v>-103.87453380807067</v>
      </c>
      <c r="H64">
        <v>-61.433243375710219</v>
      </c>
      <c r="I64">
        <v>41.728401227596102</v>
      </c>
      <c r="J64">
        <v>18.831663875727699</v>
      </c>
      <c r="K64">
        <v>8.9025133282897499</v>
      </c>
      <c r="L64">
        <v>1.2850110401293163E-3</v>
      </c>
      <c r="M64">
        <v>2.159121962402235E-4</v>
      </c>
      <c r="N64" s="1">
        <v>8.0398233044931404E-6</v>
      </c>
      <c r="O64" s="1">
        <v>1.72614154247642E-6</v>
      </c>
      <c r="P64" s="1">
        <v>-6.1515305968338302E-6</v>
      </c>
      <c r="AE64">
        <v>100</v>
      </c>
      <c r="AJ64">
        <v>1</v>
      </c>
    </row>
    <row r="65" spans="1:36" x14ac:dyDescent="0.2">
      <c r="A65">
        <v>64</v>
      </c>
      <c r="B65">
        <v>742</v>
      </c>
      <c r="C65">
        <v>255</v>
      </c>
      <c r="D65">
        <v>0.31297887011771702</v>
      </c>
      <c r="E65">
        <v>5.4075381914687703</v>
      </c>
      <c r="F65">
        <v>0.54174685226250696</v>
      </c>
      <c r="G65">
        <v>-116.67223897090054</v>
      </c>
      <c r="H65">
        <v>-69.09984949840252</v>
      </c>
      <c r="I65">
        <v>46.865472095662703</v>
      </c>
      <c r="J65">
        <v>21.188479514333</v>
      </c>
      <c r="K65">
        <v>9.9816697944532002</v>
      </c>
      <c r="L65">
        <v>1.2864938280053803E-3</v>
      </c>
      <c r="M65">
        <v>2.1508320659058901E-4</v>
      </c>
      <c r="N65" s="1">
        <v>9.1877938071795892E-6</v>
      </c>
      <c r="O65" s="1">
        <v>1.92633628654849E-6</v>
      </c>
      <c r="P65" s="1">
        <v>-6.9088224001004901E-6</v>
      </c>
      <c r="AE65">
        <v>100</v>
      </c>
      <c r="AJ65">
        <v>1</v>
      </c>
    </row>
    <row r="66" spans="1:36" x14ac:dyDescent="0.2">
      <c r="A66">
        <v>65</v>
      </c>
      <c r="B66">
        <v>740</v>
      </c>
      <c r="C66">
        <v>255</v>
      </c>
      <c r="D66">
        <v>0.31148447909983901</v>
      </c>
      <c r="E66">
        <v>9.1972150840019697</v>
      </c>
      <c r="F66">
        <v>0.54314334804540298</v>
      </c>
      <c r="G66">
        <v>-198.27839560888165</v>
      </c>
      <c r="H66">
        <v>-117.59807995580852</v>
      </c>
      <c r="I66">
        <v>79.638334762195001</v>
      </c>
      <c r="J66">
        <v>36.071011292899598</v>
      </c>
      <c r="K66">
        <v>16.933310731135201</v>
      </c>
      <c r="L66">
        <v>1.2879493169939194E-3</v>
      </c>
      <c r="M66">
        <v>2.1425041895364164E-4</v>
      </c>
      <c r="N66" s="1">
        <v>1.5882677250676799E-5</v>
      </c>
      <c r="O66" s="1">
        <v>3.2524450346319002E-6</v>
      </c>
      <c r="P66" s="1">
        <v>-1.1739527175941E-5</v>
      </c>
      <c r="AE66">
        <v>100</v>
      </c>
      <c r="AJ66">
        <v>1</v>
      </c>
    </row>
    <row r="67" spans="1:36" x14ac:dyDescent="0.2">
      <c r="A67">
        <v>66</v>
      </c>
      <c r="B67">
        <v>738</v>
      </c>
      <c r="C67">
        <v>255</v>
      </c>
      <c r="D67">
        <v>0.30998417643277698</v>
      </c>
      <c r="E67">
        <v>9.7819541015483598</v>
      </c>
      <c r="F67">
        <v>0.54454501379051501</v>
      </c>
      <c r="G67">
        <v>-210.71517928058745</v>
      </c>
      <c r="H67">
        <v>-125.15147522006771</v>
      </c>
      <c r="I67">
        <v>84.625725060908294</v>
      </c>
      <c r="J67">
        <v>38.399658471881899</v>
      </c>
      <c r="K67">
        <v>17.963536262057101</v>
      </c>
      <c r="L67">
        <v>1.2893771420261883E-3</v>
      </c>
      <c r="M67">
        <v>2.1341387507966403E-4</v>
      </c>
      <c r="N67" s="1">
        <v>1.71651895732757E-5</v>
      </c>
      <c r="O67" s="1">
        <v>3.4337839192677E-6</v>
      </c>
      <c r="P67" s="1">
        <v>-1.2473427894636501E-5</v>
      </c>
      <c r="AE67">
        <v>100</v>
      </c>
      <c r="AJ67">
        <v>1</v>
      </c>
    </row>
    <row r="68" spans="1:36" x14ac:dyDescent="0.2">
      <c r="A68">
        <v>67</v>
      </c>
      <c r="B68">
        <v>736</v>
      </c>
      <c r="C68">
        <v>255</v>
      </c>
      <c r="D68">
        <v>0.308477926968244</v>
      </c>
      <c r="E68">
        <v>10.0333003540697</v>
      </c>
      <c r="F68">
        <v>0.54595184052885004</v>
      </c>
      <c r="G68">
        <v>-215.95596065052453</v>
      </c>
      <c r="H68">
        <v>-128.44603761565307</v>
      </c>
      <c r="I68">
        <v>86.722156969181299</v>
      </c>
      <c r="J68">
        <v>39.422417884647302</v>
      </c>
      <c r="K68">
        <v>18.377628957804699</v>
      </c>
      <c r="L68">
        <v>1.2907769409150926E-3</v>
      </c>
      <c r="M68">
        <v>2.1257361795610941E-4</v>
      </c>
      <c r="N68" s="1">
        <v>1.7886435196685598E-5</v>
      </c>
      <c r="O68" s="1">
        <v>3.4958864539045301E-6</v>
      </c>
      <c r="P68" s="1">
        <v>-1.2780440509367699E-5</v>
      </c>
      <c r="AE68">
        <v>100</v>
      </c>
      <c r="AJ68">
        <v>1</v>
      </c>
    </row>
    <row r="69" spans="1:36" x14ac:dyDescent="0.2">
      <c r="A69">
        <v>68</v>
      </c>
      <c r="B69">
        <v>734</v>
      </c>
      <c r="C69">
        <v>255</v>
      </c>
      <c r="D69">
        <v>0.306965695278758</v>
      </c>
      <c r="E69">
        <v>10.1791708780435</v>
      </c>
      <c r="F69">
        <v>0.54736381868231598</v>
      </c>
      <c r="G69">
        <v>-218.91977961762686</v>
      </c>
      <c r="H69">
        <v>-130.39349569435765</v>
      </c>
      <c r="I69">
        <v>87.903598341774597</v>
      </c>
      <c r="J69">
        <v>40.032013911025103</v>
      </c>
      <c r="K69">
        <v>18.596718545533601</v>
      </c>
      <c r="L69">
        <v>1.2921483545168938E-3</v>
      </c>
      <c r="M69">
        <v>2.1172969180227962E-4</v>
      </c>
      <c r="N69" s="1">
        <v>1.8431139902125299E-5</v>
      </c>
      <c r="O69" s="1">
        <v>3.5201758477880099E-6</v>
      </c>
      <c r="P69" s="1">
        <v>-1.2951851705295E-5</v>
      </c>
      <c r="AE69">
        <v>100</v>
      </c>
      <c r="AJ69">
        <v>1</v>
      </c>
    </row>
    <row r="70" spans="1:36" x14ac:dyDescent="0.2">
      <c r="A70">
        <v>69</v>
      </c>
      <c r="B70">
        <v>732</v>
      </c>
      <c r="C70">
        <v>255</v>
      </c>
      <c r="D70">
        <v>0.30544744565487703</v>
      </c>
      <c r="E70">
        <v>10.2765987103055</v>
      </c>
      <c r="F70">
        <v>0.54878093805971895</v>
      </c>
      <c r="G70">
        <v>-220.83771552065843</v>
      </c>
      <c r="H70">
        <v>-131.72239711597416</v>
      </c>
      <c r="I70">
        <v>88.664576735334805</v>
      </c>
      <c r="J70">
        <v>40.451800772522603</v>
      </c>
      <c r="K70">
        <v>18.7262311745734</v>
      </c>
      <c r="L70">
        <v>1.293491026893161E-3</v>
      </c>
      <c r="M70">
        <v>2.1088214206327487E-4</v>
      </c>
      <c r="N70" s="1">
        <v>1.88952740108192E-5</v>
      </c>
      <c r="O70" s="1">
        <v>3.5270525557055501E-6</v>
      </c>
      <c r="P70" s="1">
        <v>-1.30605574536972E-5</v>
      </c>
      <c r="AE70">
        <v>100</v>
      </c>
      <c r="AJ70">
        <v>1</v>
      </c>
    </row>
    <row r="71" spans="1:36" x14ac:dyDescent="0.2">
      <c r="A71">
        <v>70</v>
      </c>
      <c r="B71">
        <v>730</v>
      </c>
      <c r="C71">
        <v>255</v>
      </c>
      <c r="D71">
        <v>0.30392314210237997</v>
      </c>
      <c r="E71">
        <v>10.347282803388</v>
      </c>
      <c r="F71">
        <v>0.55020318785279498</v>
      </c>
      <c r="G71">
        <v>-222.17820499339524</v>
      </c>
      <c r="H71">
        <v>-132.70990168141154</v>
      </c>
      <c r="I71">
        <v>89.193265875093203</v>
      </c>
      <c r="J71">
        <v>40.766741139398803</v>
      </c>
      <c r="K71">
        <v>18.806293805328401</v>
      </c>
      <c r="L71">
        <v>1.2948046054712223E-3</v>
      </c>
      <c r="M71">
        <v>2.100310154029773E-4</v>
      </c>
      <c r="N71" s="1">
        <v>1.9315219426753599E-5</v>
      </c>
      <c r="O71" s="1">
        <v>3.52428813825972E-6</v>
      </c>
      <c r="P71" s="1">
        <v>-1.3134292228984201E-5</v>
      </c>
      <c r="AE71">
        <v>100</v>
      </c>
      <c r="AJ71">
        <v>1</v>
      </c>
    </row>
    <row r="72" spans="1:36" x14ac:dyDescent="0.2">
      <c r="A72">
        <v>71</v>
      </c>
      <c r="B72">
        <v>760</v>
      </c>
      <c r="C72">
        <v>240</v>
      </c>
      <c r="D72">
        <v>0.34213860523641398</v>
      </c>
      <c r="E72">
        <v>4.8462765843111004</v>
      </c>
      <c r="F72">
        <v>0.51111706220977304</v>
      </c>
      <c r="G72">
        <v>-105.46127844356636</v>
      </c>
      <c r="H72">
        <v>-61.5390540634465</v>
      </c>
      <c r="I72">
        <v>42.515605398225702</v>
      </c>
      <c r="J72">
        <v>18.938503613761</v>
      </c>
      <c r="K72">
        <v>9.48173509089799</v>
      </c>
      <c r="L72">
        <v>1.3346634856921684E-3</v>
      </c>
      <c r="M72">
        <v>2.472544059161152E-4</v>
      </c>
      <c r="N72" s="1">
        <v>7.1598492948756702E-6</v>
      </c>
      <c r="O72" s="1">
        <v>2.2965857098922699E-6</v>
      </c>
      <c r="P72" s="1">
        <v>-7.2579855456983501E-6</v>
      </c>
      <c r="AE72">
        <v>100</v>
      </c>
      <c r="AJ72">
        <v>1</v>
      </c>
    </row>
    <row r="73" spans="1:36" x14ac:dyDescent="0.2">
      <c r="A73">
        <v>72</v>
      </c>
      <c r="B73">
        <v>758</v>
      </c>
      <c r="C73">
        <v>240</v>
      </c>
      <c r="D73">
        <v>0.34072685836202499</v>
      </c>
      <c r="E73">
        <v>4.8569664526445502</v>
      </c>
      <c r="F73">
        <v>0.51248427067487601</v>
      </c>
      <c r="G73">
        <v>-105.60872188242863</v>
      </c>
      <c r="H73">
        <v>-61.712777024464309</v>
      </c>
      <c r="I73">
        <v>42.572588190292798</v>
      </c>
      <c r="J73">
        <v>19.000446215794501</v>
      </c>
      <c r="K73">
        <v>9.4772985837176105</v>
      </c>
      <c r="L73">
        <v>1.336702774164914E-3</v>
      </c>
      <c r="M73">
        <v>2.4638080121033759E-4</v>
      </c>
      <c r="N73" s="1">
        <v>7.3329026767932596E-6</v>
      </c>
      <c r="O73" s="1">
        <v>2.2864711377956399E-6</v>
      </c>
      <c r="P73" s="1">
        <v>-7.2735565839258899E-6</v>
      </c>
      <c r="AE73">
        <v>100</v>
      </c>
      <c r="AJ73">
        <v>1</v>
      </c>
    </row>
    <row r="74" spans="1:36" x14ac:dyDescent="0.2">
      <c r="A74">
        <v>73</v>
      </c>
      <c r="B74">
        <v>756</v>
      </c>
      <c r="C74">
        <v>240</v>
      </c>
      <c r="D74">
        <v>0.33930962444735902</v>
      </c>
      <c r="E74">
        <v>4.8797680451695404</v>
      </c>
      <c r="F74">
        <v>0.513857218530266</v>
      </c>
      <c r="G74">
        <v>-106.01900644289451</v>
      </c>
      <c r="H74">
        <v>-62.040694330273588</v>
      </c>
      <c r="I74">
        <v>42.7353686202676</v>
      </c>
      <c r="J74">
        <v>19.1098595691195</v>
      </c>
      <c r="K74">
        <v>9.4963500933715501</v>
      </c>
      <c r="L74">
        <v>1.3387154848615219E-3</v>
      </c>
      <c r="M74">
        <v>2.4550188116323523E-4</v>
      </c>
      <c r="N74" s="1">
        <v>7.5261460123800902E-6</v>
      </c>
      <c r="O74" s="1">
        <v>2.2819097304590801E-6</v>
      </c>
      <c r="P74" s="1">
        <v>-7.3068823441815003E-6</v>
      </c>
      <c r="AE74">
        <v>100</v>
      </c>
      <c r="AJ74">
        <v>1</v>
      </c>
    </row>
    <row r="75" spans="1:36" x14ac:dyDescent="0.2">
      <c r="A75">
        <v>74</v>
      </c>
      <c r="B75">
        <v>754</v>
      </c>
      <c r="C75">
        <v>240</v>
      </c>
      <c r="D75">
        <v>0.33788687144039198</v>
      </c>
      <c r="E75">
        <v>4.9023309882134596</v>
      </c>
      <c r="F75">
        <v>0.51523590465179603</v>
      </c>
      <c r="G75">
        <v>-106.42338574592723</v>
      </c>
      <c r="H75">
        <v>-62.365973161686341</v>
      </c>
      <c r="I75">
        <v>42.895602394070899</v>
      </c>
      <c r="J75">
        <v>19.218473751314999</v>
      </c>
      <c r="K75">
        <v>9.5147309105457794</v>
      </c>
      <c r="L75">
        <v>1.3407011251952076E-3</v>
      </c>
      <c r="M75">
        <v>2.4461767559829566E-4</v>
      </c>
      <c r="N75" s="1">
        <v>7.7212887339210592E-6</v>
      </c>
      <c r="O75" s="1">
        <v>2.2770514269326701E-6</v>
      </c>
      <c r="P75" s="1">
        <v>-7.3394557112979004E-6</v>
      </c>
      <c r="AE75">
        <v>100</v>
      </c>
      <c r="AJ75">
        <v>1</v>
      </c>
    </row>
    <row r="76" spans="1:36" x14ac:dyDescent="0.2">
      <c r="A76">
        <v>75</v>
      </c>
      <c r="B76">
        <v>752</v>
      </c>
      <c r="C76">
        <v>240</v>
      </c>
      <c r="D76">
        <v>0.33645856703896998</v>
      </c>
      <c r="E76">
        <v>4.9246592728531802</v>
      </c>
      <c r="F76">
        <v>0.51662032725108598</v>
      </c>
      <c r="G76">
        <v>-106.82196015301682</v>
      </c>
      <c r="H76">
        <v>-62.688659164465122</v>
      </c>
      <c r="I76">
        <v>43.053327982242898</v>
      </c>
      <c r="J76">
        <v>19.326297809553001</v>
      </c>
      <c r="K76">
        <v>9.5324535506705104</v>
      </c>
      <c r="L76">
        <v>1.3426592037241709E-3</v>
      </c>
      <c r="M76">
        <v>2.4372821606076148E-4</v>
      </c>
      <c r="N76" s="1">
        <v>7.9182913961844302E-6</v>
      </c>
      <c r="O76" s="1">
        <v>2.2719007524233801E-6</v>
      </c>
      <c r="P76" s="1">
        <v>-7.3712720831926404E-6</v>
      </c>
      <c r="AE76">
        <v>100</v>
      </c>
      <c r="AJ76">
        <v>1</v>
      </c>
    </row>
    <row r="77" spans="1:36" x14ac:dyDescent="0.2">
      <c r="A77">
        <v>76</v>
      </c>
      <c r="B77">
        <v>750</v>
      </c>
      <c r="C77">
        <v>240</v>
      </c>
      <c r="D77">
        <v>0.335024678688366</v>
      </c>
      <c r="E77">
        <v>4.9467568133264699</v>
      </c>
      <c r="F77">
        <v>0.51801048386774795</v>
      </c>
      <c r="G77">
        <v>-107.21482806416056</v>
      </c>
      <c r="H77">
        <v>-63.008797111310813</v>
      </c>
      <c r="I77">
        <v>43.208583092277699</v>
      </c>
      <c r="J77">
        <v>19.433340502870099</v>
      </c>
      <c r="K77">
        <v>9.5495303036944001</v>
      </c>
      <c r="L77">
        <v>1.3445892303850034E-3</v>
      </c>
      <c r="M77">
        <v>2.4283353582802005E-4</v>
      </c>
      <c r="N77" s="1">
        <v>8.1171133306785298E-6</v>
      </c>
      <c r="O77" s="1">
        <v>2.2664622147472802E-6</v>
      </c>
      <c r="P77" s="1">
        <v>-7.4023268522885899E-6</v>
      </c>
      <c r="AE77">
        <v>100</v>
      </c>
      <c r="AJ77">
        <v>1</v>
      </c>
    </row>
    <row r="78" spans="1:36" x14ac:dyDescent="0.2">
      <c r="A78">
        <v>77</v>
      </c>
      <c r="B78">
        <v>748</v>
      </c>
      <c r="C78">
        <v>240</v>
      </c>
      <c r="D78">
        <v>0.33358517357881101</v>
      </c>
      <c r="E78">
        <v>4.9686274493143996</v>
      </c>
      <c r="F78">
        <v>0.51940637136170698</v>
      </c>
      <c r="G78">
        <v>-107.60208597451044</v>
      </c>
      <c r="H78">
        <v>-63.326430928153215</v>
      </c>
      <c r="I78">
        <v>43.3614046908802</v>
      </c>
      <c r="J78">
        <v>19.5396103112516</v>
      </c>
      <c r="K78">
        <v>9.5659732403519495</v>
      </c>
      <c r="L78">
        <v>1.3464907167278107E-3</v>
      </c>
      <c r="M78">
        <v>2.4193366991879213E-4</v>
      </c>
      <c r="N78" s="1">
        <v>8.3177126557878997E-6</v>
      </c>
      <c r="O78" s="1">
        <v>2.2607403065496601E-6</v>
      </c>
      <c r="P78" s="1">
        <v>-7.4326154164312099E-6</v>
      </c>
      <c r="AE78">
        <v>100</v>
      </c>
      <c r="AJ78">
        <v>1</v>
      </c>
    </row>
    <row r="79" spans="1:36" x14ac:dyDescent="0.2">
      <c r="A79">
        <v>78</v>
      </c>
      <c r="B79">
        <v>746</v>
      </c>
      <c r="C79">
        <v>240</v>
      </c>
      <c r="D79">
        <v>0.33214001864298798</v>
      </c>
      <c r="E79">
        <v>5.1591076784664702</v>
      </c>
      <c r="F79">
        <v>0.52080798590573996</v>
      </c>
      <c r="G79">
        <v>-111.63717524654247</v>
      </c>
      <c r="H79">
        <v>-65.79474875255994</v>
      </c>
      <c r="I79">
        <v>44.9839364688236</v>
      </c>
      <c r="J79">
        <v>20.309755872616201</v>
      </c>
      <c r="K79">
        <v>9.9059688370450694</v>
      </c>
      <c r="L79">
        <v>1.3483631761540098E-3</v>
      </c>
      <c r="M79">
        <v>2.4102865510126123E-4</v>
      </c>
      <c r="N79" s="1">
        <v>8.8082994794925297E-6</v>
      </c>
      <c r="O79" s="1">
        <v>2.3310226443389099E-6</v>
      </c>
      <c r="P79" s="1">
        <v>-7.7145946941027707E-6</v>
      </c>
      <c r="AE79">
        <v>100</v>
      </c>
      <c r="AJ79">
        <v>1</v>
      </c>
    </row>
    <row r="80" spans="1:36" x14ac:dyDescent="0.2">
      <c r="A80">
        <v>79</v>
      </c>
      <c r="B80">
        <v>744</v>
      </c>
      <c r="C80">
        <v>240</v>
      </c>
      <c r="D80">
        <v>0.33068918055350899</v>
      </c>
      <c r="E80">
        <v>7.5144693234218698</v>
      </c>
      <c r="F80">
        <v>0.52221532297820195</v>
      </c>
      <c r="G80">
        <v>-162.47351673219021</v>
      </c>
      <c r="H80">
        <v>-95.892166609257416</v>
      </c>
      <c r="I80">
        <v>65.462960589609096</v>
      </c>
      <c r="J80">
        <v>29.612637828701502</v>
      </c>
      <c r="K80">
        <v>14.3895994483017</v>
      </c>
      <c r="L80">
        <v>1.3502061241548516E-3</v>
      </c>
      <c r="M80">
        <v>2.4011852989985869E-4</v>
      </c>
      <c r="N80" s="1">
        <v>1.3080734430242E-5</v>
      </c>
      <c r="O80" s="1">
        <v>3.3713122819043599E-6</v>
      </c>
      <c r="P80" s="1">
        <v>-1.12317020633523E-5</v>
      </c>
      <c r="AE80">
        <v>100</v>
      </c>
      <c r="AJ80">
        <v>1</v>
      </c>
    </row>
    <row r="81" spans="1:36" x14ac:dyDescent="0.2">
      <c r="A81">
        <v>80</v>
      </c>
      <c r="B81">
        <v>742</v>
      </c>
      <c r="C81">
        <v>240</v>
      </c>
      <c r="D81">
        <v>0.32923262572033701</v>
      </c>
      <c r="E81">
        <v>9.4044273074617593</v>
      </c>
      <c r="F81">
        <v>0.52362837735591505</v>
      </c>
      <c r="G81">
        <v>-203.17331492252396</v>
      </c>
      <c r="H81">
        <v>-120.08408550390055</v>
      </c>
      <c r="I81">
        <v>81.854515302592404</v>
      </c>
      <c r="J81">
        <v>37.098620586989597</v>
      </c>
      <c r="K81">
        <v>17.960117736456201</v>
      </c>
      <c r="L81">
        <v>1.3520190785521603E-3</v>
      </c>
      <c r="M81">
        <v>2.392033346009271E-4</v>
      </c>
      <c r="N81" s="1">
        <v>1.66859702041691E-5</v>
      </c>
      <c r="O81" s="1">
        <v>4.1892152257970302E-6</v>
      </c>
      <c r="P81" s="1">
        <v>-1.40495842670494E-5</v>
      </c>
      <c r="AE81">
        <v>100</v>
      </c>
      <c r="AJ81">
        <v>1</v>
      </c>
    </row>
    <row r="82" spans="1:36" x14ac:dyDescent="0.2">
      <c r="A82">
        <v>81</v>
      </c>
      <c r="B82">
        <v>740</v>
      </c>
      <c r="C82">
        <v>240</v>
      </c>
      <c r="D82">
        <v>0.32777032028821201</v>
      </c>
      <c r="E82">
        <v>9.8727450580578093</v>
      </c>
      <c r="F82">
        <v>0.52504714310728295</v>
      </c>
      <c r="G82">
        <v>-213.11907042301769</v>
      </c>
      <c r="H82">
        <v>-126.14191472755454</v>
      </c>
      <c r="I82">
        <v>85.853827652806899</v>
      </c>
      <c r="J82">
        <v>38.985926358430902</v>
      </c>
      <c r="K82">
        <v>18.803540191895699</v>
      </c>
      <c r="L82">
        <v>1.3538015597400594E-3</v>
      </c>
      <c r="M82">
        <v>2.3828311125710029E-4</v>
      </c>
      <c r="N82" s="1">
        <v>1.7848996526789099E-5</v>
      </c>
      <c r="O82" s="1">
        <v>4.3662496003996701E-6</v>
      </c>
      <c r="P82" s="1">
        <v>-1.47410259491211E-5</v>
      </c>
      <c r="AE82">
        <v>100</v>
      </c>
      <c r="AJ82">
        <v>1</v>
      </c>
    </row>
    <row r="83" spans="1:36" x14ac:dyDescent="0.2">
      <c r="A83">
        <v>82</v>
      </c>
      <c r="B83">
        <v>738</v>
      </c>
      <c r="C83">
        <v>240</v>
      </c>
      <c r="D83">
        <v>0.326302230134007</v>
      </c>
      <c r="E83">
        <v>10.0909147418553</v>
      </c>
      <c r="F83">
        <v>0.52647161358561101</v>
      </c>
      <c r="G83">
        <v>-217.65319036664948</v>
      </c>
      <c r="H83">
        <v>-129.00915681507064</v>
      </c>
      <c r="I83">
        <v>87.672262466149704</v>
      </c>
      <c r="J83">
        <v>39.888052974348298</v>
      </c>
      <c r="K83">
        <v>19.1670632973536</v>
      </c>
      <c r="L83">
        <v>1.3555530909276615E-3</v>
      </c>
      <c r="M83">
        <v>2.3735790369039085E-4</v>
      </c>
      <c r="N83" s="1">
        <v>1.8583908799149699E-5</v>
      </c>
      <c r="O83" s="1">
        <v>4.4303897757926499E-6</v>
      </c>
      <c r="P83" s="1">
        <v>-1.5057521376107299E-5</v>
      </c>
      <c r="AE83">
        <v>100</v>
      </c>
      <c r="AJ83">
        <v>1</v>
      </c>
    </row>
    <row r="84" spans="1:36" x14ac:dyDescent="0.2">
      <c r="A84">
        <v>83</v>
      </c>
      <c r="B84">
        <v>736</v>
      </c>
      <c r="C84">
        <v>240</v>
      </c>
      <c r="D84">
        <v>0.32482832086409602</v>
      </c>
      <c r="E84">
        <v>10.2216175954105</v>
      </c>
      <c r="F84">
        <v>0.52790178142262401</v>
      </c>
      <c r="G84">
        <v>-220.2948136804155</v>
      </c>
      <c r="H84">
        <v>-130.76100190876957</v>
      </c>
      <c r="I84">
        <v>88.727801822239698</v>
      </c>
      <c r="J84">
        <v>40.445673586172497</v>
      </c>
      <c r="K84">
        <v>19.362726088676201</v>
      </c>
      <c r="L84">
        <v>1.3572731983825816E-3</v>
      </c>
      <c r="M84">
        <v>2.3642775749401155E-4</v>
      </c>
      <c r="N84" s="1">
        <v>1.91704791867879E-5</v>
      </c>
      <c r="O84" s="1">
        <v>4.4549416685525004E-6</v>
      </c>
      <c r="P84" s="1">
        <v>-1.52422797702776E-5</v>
      </c>
      <c r="AE84">
        <v>100</v>
      </c>
      <c r="AJ84">
        <v>1</v>
      </c>
    </row>
    <row r="85" spans="1:36" x14ac:dyDescent="0.2">
      <c r="A85">
        <v>84</v>
      </c>
      <c r="B85">
        <v>734</v>
      </c>
      <c r="C85">
        <v>240</v>
      </c>
      <c r="D85">
        <v>0.32334855781164801</v>
      </c>
      <c r="E85">
        <v>10.310476740290101</v>
      </c>
      <c r="F85">
        <v>0.52933763852220495</v>
      </c>
      <c r="G85">
        <v>-222.03097569359738</v>
      </c>
      <c r="H85">
        <v>-131.97937659341591</v>
      </c>
      <c r="I85">
        <v>89.418159547344501</v>
      </c>
      <c r="J85">
        <v>40.8384309586624</v>
      </c>
      <c r="K85">
        <v>19.478072198067601</v>
      </c>
      <c r="L85">
        <v>1.3589614116746496E-3</v>
      </c>
      <c r="M85">
        <v>2.3549272003279656E-4</v>
      </c>
      <c r="N85" s="1">
        <v>1.96868962370614E-5</v>
      </c>
      <c r="O85" s="1">
        <v>4.4604856898854501E-6</v>
      </c>
      <c r="P85" s="1">
        <v>-1.53635037853529E-5</v>
      </c>
      <c r="AE85">
        <v>100</v>
      </c>
      <c r="AJ85">
        <v>1</v>
      </c>
    </row>
    <row r="86" spans="1:36" x14ac:dyDescent="0.2">
      <c r="A86">
        <v>85</v>
      </c>
      <c r="B86">
        <v>732</v>
      </c>
      <c r="C86">
        <v>240</v>
      </c>
      <c r="D86">
        <v>0.32186290603392398</v>
      </c>
      <c r="E86">
        <v>10.375680762163199</v>
      </c>
      <c r="F86">
        <v>0.53077917605439895</v>
      </c>
      <c r="G86">
        <v>-223.25522619473949</v>
      </c>
      <c r="H86">
        <v>-132.89625608257441</v>
      </c>
      <c r="I86">
        <v>89.9019128625946</v>
      </c>
      <c r="J86">
        <v>41.137928072257701</v>
      </c>
      <c r="K86">
        <v>19.548017763793698</v>
      </c>
      <c r="L86">
        <v>1.3606172639205796E-3</v>
      </c>
      <c r="M86">
        <v>2.3455284044239131E-4</v>
      </c>
      <c r="N86" s="1">
        <v>2.0164187384932399E-5</v>
      </c>
      <c r="O86" s="1">
        <v>4.4552371275407601E-6</v>
      </c>
      <c r="P86" s="1">
        <v>-1.54483793506651E-5</v>
      </c>
      <c r="AE86">
        <v>100</v>
      </c>
      <c r="AJ86">
        <v>1</v>
      </c>
    </row>
    <row r="87" spans="1:36" x14ac:dyDescent="0.2">
      <c r="A87">
        <v>86</v>
      </c>
      <c r="B87">
        <v>760</v>
      </c>
      <c r="C87">
        <v>225</v>
      </c>
      <c r="D87">
        <v>0.35810918066108399</v>
      </c>
      <c r="E87">
        <v>5.0833107442442298</v>
      </c>
      <c r="F87">
        <v>0.49144061549942297</v>
      </c>
      <c r="G87">
        <v>-110.77154250412573</v>
      </c>
      <c r="H87">
        <v>-64.486014628558678</v>
      </c>
      <c r="I87">
        <v>44.803210432295302</v>
      </c>
      <c r="J87">
        <v>19.9805555444871</v>
      </c>
      <c r="K87">
        <v>10.3436927757351</v>
      </c>
      <c r="L87">
        <v>1.4029199985897739E-3</v>
      </c>
      <c r="M87">
        <v>2.7711513706788111E-4</v>
      </c>
      <c r="N87" s="1">
        <v>7.3719359959799798E-6</v>
      </c>
      <c r="O87" s="1">
        <v>3.0548612057369199E-6</v>
      </c>
      <c r="P87" s="1">
        <v>-8.9311637275618899E-6</v>
      </c>
      <c r="AE87">
        <v>100</v>
      </c>
      <c r="AJ87">
        <v>1</v>
      </c>
    </row>
    <row r="88" spans="1:36" x14ac:dyDescent="0.2">
      <c r="A88">
        <v>87</v>
      </c>
      <c r="B88">
        <v>758</v>
      </c>
      <c r="C88">
        <v>225</v>
      </c>
      <c r="D88">
        <v>0.356728410027642</v>
      </c>
      <c r="E88">
        <v>5.0956556737229803</v>
      </c>
      <c r="F88">
        <v>0.49282268840091997</v>
      </c>
      <c r="G88">
        <v>-110.95076835889971</v>
      </c>
      <c r="H88">
        <v>-64.682702196456574</v>
      </c>
      <c r="I88">
        <v>44.873182572398498</v>
      </c>
      <c r="J88">
        <v>20.052808362426099</v>
      </c>
      <c r="K88">
        <v>10.339734337834599</v>
      </c>
      <c r="L88">
        <v>1.4054169480793059E-3</v>
      </c>
      <c r="M88">
        <v>2.7616232173905726E-4</v>
      </c>
      <c r="N88" s="1">
        <v>7.5871594406340899E-6</v>
      </c>
      <c r="O88" s="1">
        <v>3.04278343790663E-6</v>
      </c>
      <c r="P88" s="1">
        <v>-8.9569683949644701E-6</v>
      </c>
      <c r="AE88">
        <v>100</v>
      </c>
      <c r="AJ88">
        <v>1</v>
      </c>
    </row>
    <row r="89" spans="1:36" x14ac:dyDescent="0.2">
      <c r="A89">
        <v>88</v>
      </c>
      <c r="B89">
        <v>756</v>
      </c>
      <c r="C89">
        <v>225</v>
      </c>
      <c r="D89">
        <v>0.35534227274935698</v>
      </c>
      <c r="E89">
        <v>5.11736128258433</v>
      </c>
      <c r="F89">
        <v>0.49421110210605501</v>
      </c>
      <c r="G89">
        <v>-111.33328805287023</v>
      </c>
      <c r="H89">
        <v>-64.998526833928238</v>
      </c>
      <c r="I89">
        <v>45.025204962648601</v>
      </c>
      <c r="J89">
        <v>20.1620111651484</v>
      </c>
      <c r="K89">
        <v>10.354606079824901</v>
      </c>
      <c r="L89">
        <v>1.4078854248212131E-3</v>
      </c>
      <c r="M89">
        <v>2.7520256945572124E-4</v>
      </c>
      <c r="N89" s="1">
        <v>7.8190561645353105E-6</v>
      </c>
      <c r="O89" s="1">
        <v>3.0360872508029099E-6</v>
      </c>
      <c r="P89" s="1">
        <v>-8.9987804530247108E-6</v>
      </c>
      <c r="AE89">
        <v>100</v>
      </c>
      <c r="AJ89">
        <v>1</v>
      </c>
    </row>
    <row r="90" spans="1:36" x14ac:dyDescent="0.2">
      <c r="A90">
        <v>89</v>
      </c>
      <c r="B90">
        <v>754</v>
      </c>
      <c r="C90">
        <v>225</v>
      </c>
      <c r="D90">
        <v>0.35395073747748601</v>
      </c>
      <c r="E90">
        <v>5.1388485953316296</v>
      </c>
      <c r="F90">
        <v>0.49560585974538901</v>
      </c>
      <c r="G90">
        <v>-111.71037679252693</v>
      </c>
      <c r="H90">
        <v>-65.311966642281902</v>
      </c>
      <c r="I90">
        <v>45.174853638682499</v>
      </c>
      <c r="J90">
        <v>20.2705053112435</v>
      </c>
      <c r="K90">
        <v>10.368821300804701</v>
      </c>
      <c r="L90">
        <v>1.4103247859760767E-3</v>
      </c>
      <c r="M90">
        <v>2.7423590143348011E-4</v>
      </c>
      <c r="N90" s="1">
        <v>8.0536864983518503E-6</v>
      </c>
      <c r="O90" s="1">
        <v>3.0290185915309498E-6</v>
      </c>
      <c r="P90" s="1">
        <v>-9.0397541769631807E-6</v>
      </c>
      <c r="AE90">
        <v>100</v>
      </c>
      <c r="AJ90">
        <v>1</v>
      </c>
    </row>
    <row r="91" spans="1:36" x14ac:dyDescent="0.2">
      <c r="A91">
        <v>90</v>
      </c>
      <c r="B91">
        <v>752</v>
      </c>
      <c r="C91">
        <v>225</v>
      </c>
      <c r="D91">
        <v>0.35255377261864101</v>
      </c>
      <c r="E91">
        <v>5.1601213231004097</v>
      </c>
      <c r="F91">
        <v>0.49700696367191499</v>
      </c>
      <c r="G91">
        <v>-112.08212794008961</v>
      </c>
      <c r="H91">
        <v>-65.623064149626217</v>
      </c>
      <c r="I91">
        <v>45.322164296690403</v>
      </c>
      <c r="J91">
        <v>20.378298035268799</v>
      </c>
      <c r="K91">
        <v>10.3823924014608</v>
      </c>
      <c r="L91">
        <v>1.4127343884097433E-3</v>
      </c>
      <c r="M91">
        <v>2.7326234121145604E-4</v>
      </c>
      <c r="N91" s="1">
        <v>8.2910059342071398E-6</v>
      </c>
      <c r="O91" s="1">
        <v>3.0215822476084302E-6</v>
      </c>
      <c r="P91" s="1">
        <v>-9.0798802736506492E-6</v>
      </c>
      <c r="AE91">
        <v>100</v>
      </c>
      <c r="AJ91">
        <v>1</v>
      </c>
    </row>
    <row r="92" spans="1:36" x14ac:dyDescent="0.2">
      <c r="A92">
        <v>91</v>
      </c>
      <c r="B92">
        <v>750</v>
      </c>
      <c r="C92">
        <v>225</v>
      </c>
      <c r="D92">
        <v>0.35115134633240402</v>
      </c>
      <c r="E92">
        <v>5.2714444578284096</v>
      </c>
      <c r="F92">
        <v>0.49841441544936699</v>
      </c>
      <c r="G92">
        <v>-114.40759982880192</v>
      </c>
      <c r="H92">
        <v>-67.08045953087445</v>
      </c>
      <c r="I92">
        <v>46.2592551846259</v>
      </c>
      <c r="J92">
        <v>20.842272217316101</v>
      </c>
      <c r="K92">
        <v>10.5764285591051</v>
      </c>
      <c r="L92">
        <v>1.4151135890225653E-3</v>
      </c>
      <c r="M92">
        <v>2.7228191468116428E-4</v>
      </c>
      <c r="N92" s="1">
        <v>8.6795859094894092E-6</v>
      </c>
      <c r="O92" s="1">
        <v>3.0662860959822599E-6</v>
      </c>
      <c r="P92" s="1">
        <v>-9.2780140226849602E-6</v>
      </c>
      <c r="AE92">
        <v>100</v>
      </c>
      <c r="AJ92">
        <v>1</v>
      </c>
    </row>
    <row r="93" spans="1:36" x14ac:dyDescent="0.2">
      <c r="A93">
        <v>92</v>
      </c>
      <c r="B93">
        <v>748</v>
      </c>
      <c r="C93">
        <v>225</v>
      </c>
      <c r="D93">
        <v>0.34974342652891699</v>
      </c>
      <c r="E93">
        <v>5.5103866684919298</v>
      </c>
      <c r="F93">
        <v>0.49982821584070197</v>
      </c>
      <c r="G93">
        <v>-119.49675840816012</v>
      </c>
      <c r="H93">
        <v>-70.164658787537562</v>
      </c>
      <c r="I93">
        <v>48.313424082897399</v>
      </c>
      <c r="J93">
        <v>21.8123796497954</v>
      </c>
      <c r="K93">
        <v>11.0245610268791</v>
      </c>
      <c r="L93">
        <v>1.4174617450838844E-3</v>
      </c>
      <c r="M93">
        <v>2.7129465011387977E-4</v>
      </c>
      <c r="N93" s="1">
        <v>9.2935720740000394E-6</v>
      </c>
      <c r="O93" s="1">
        <v>3.1837831755899402E-6</v>
      </c>
      <c r="P93" s="1">
        <v>-9.7003631778143604E-6</v>
      </c>
      <c r="AE93">
        <v>100</v>
      </c>
      <c r="AJ93">
        <v>1</v>
      </c>
    </row>
    <row r="94" spans="1:36" x14ac:dyDescent="0.2">
      <c r="A94">
        <v>93</v>
      </c>
      <c r="B94">
        <v>746</v>
      </c>
      <c r="C94">
        <v>225</v>
      </c>
      <c r="D94">
        <v>0.34832998086640898</v>
      </c>
      <c r="E94">
        <v>8.4683741785985198</v>
      </c>
      <c r="F94">
        <v>0.50124836479679802</v>
      </c>
      <c r="G94">
        <v>-183.49444676200383</v>
      </c>
      <c r="H94">
        <v>-107.89628127563694</v>
      </c>
      <c r="I94">
        <v>74.182418299651303</v>
      </c>
      <c r="J94">
        <v>33.560204132484898</v>
      </c>
      <c r="K94">
        <v>16.8945671913194</v>
      </c>
      <c r="L94">
        <v>1.4197782145724301E-3</v>
      </c>
      <c r="M94">
        <v>2.7030057818655594E-4</v>
      </c>
      <c r="N94" s="1">
        <v>1.4623328445607401E-5</v>
      </c>
      <c r="O94" s="1">
        <v>4.8596988438598701E-6</v>
      </c>
      <c r="P94" s="1">
        <v>-1.49094430438879E-5</v>
      </c>
      <c r="AE94">
        <v>100</v>
      </c>
      <c r="AJ94">
        <v>1</v>
      </c>
    </row>
    <row r="95" spans="1:36" x14ac:dyDescent="0.2">
      <c r="A95">
        <v>94</v>
      </c>
      <c r="B95">
        <v>744</v>
      </c>
      <c r="C95">
        <v>225</v>
      </c>
      <c r="D95">
        <v>0.34691097674876298</v>
      </c>
      <c r="E95">
        <v>9.5979087964856902</v>
      </c>
      <c r="F95">
        <v>0.502674861445363</v>
      </c>
      <c r="G95">
        <v>-207.80135220391023</v>
      </c>
      <c r="H95">
        <v>-122.3638957432172</v>
      </c>
      <c r="I95">
        <v>84.002309367827294</v>
      </c>
      <c r="J95">
        <v>38.080506426301802</v>
      </c>
      <c r="K95">
        <v>19.0936717401948</v>
      </c>
      <c r="L95">
        <v>1.4220623565214818E-3</v>
      </c>
      <c r="M95">
        <v>2.6929973200613396E-4</v>
      </c>
      <c r="N95" s="1">
        <v>1.69624154265131E-5</v>
      </c>
      <c r="O95" s="1">
        <v>5.47019850224049E-6</v>
      </c>
      <c r="P95" s="1">
        <v>-1.6899271200952299E-5</v>
      </c>
      <c r="AE95">
        <v>100</v>
      </c>
      <c r="AJ95">
        <v>1</v>
      </c>
    </row>
    <row r="96" spans="1:36" x14ac:dyDescent="0.2">
      <c r="A96">
        <v>95</v>
      </c>
      <c r="B96">
        <v>742</v>
      </c>
      <c r="C96">
        <v>225</v>
      </c>
      <c r="D96">
        <v>0.345486381322956</v>
      </c>
      <c r="E96">
        <v>9.9648042584570593</v>
      </c>
      <c r="F96">
        <v>0.50410770408007599</v>
      </c>
      <c r="G96">
        <v>-215.57054322933575</v>
      </c>
      <c r="H96">
        <v>-127.12056987566825</v>
      </c>
      <c r="I96">
        <v>87.135571912104794</v>
      </c>
      <c r="J96">
        <v>39.581686590099203</v>
      </c>
      <c r="K96">
        <v>19.767212795609598</v>
      </c>
      <c r="L96">
        <v>1.4243135313688996E-3</v>
      </c>
      <c r="M96">
        <v>2.6829214713221033E-4</v>
      </c>
      <c r="N96" s="1">
        <v>1.80164262129645E-5</v>
      </c>
      <c r="O96" s="1">
        <v>5.6400289728831698E-6</v>
      </c>
      <c r="P96" s="1">
        <v>-1.7545437587628901E-5</v>
      </c>
      <c r="AE96">
        <v>100</v>
      </c>
      <c r="AJ96">
        <v>1</v>
      </c>
    </row>
    <row r="97" spans="1:36" x14ac:dyDescent="0.2">
      <c r="A97">
        <v>96</v>
      </c>
      <c r="B97">
        <v>740</v>
      </c>
      <c r="C97">
        <v>225</v>
      </c>
      <c r="D97">
        <v>0.34405616147658602</v>
      </c>
      <c r="E97">
        <v>10.150408931971601</v>
      </c>
      <c r="F97">
        <v>0.50554689014998</v>
      </c>
      <c r="G97">
        <v>-219.40832752498997</v>
      </c>
      <c r="H97">
        <v>-129.56900462297057</v>
      </c>
      <c r="I97">
        <v>88.679002703762293</v>
      </c>
      <c r="J97">
        <v>40.365124703079601</v>
      </c>
      <c r="K97">
        <v>20.078076098856599</v>
      </c>
      <c r="L97">
        <v>1.4265311013117604E-3</v>
      </c>
      <c r="M97">
        <v>2.6727786159799646E-4</v>
      </c>
      <c r="N97" s="1">
        <v>1.8767244416793701E-5</v>
      </c>
      <c r="O97" s="1">
        <v>5.7049369520319802E-6</v>
      </c>
      <c r="P97" s="1">
        <v>-1.7871324157508201E-5</v>
      </c>
      <c r="AE97">
        <v>100</v>
      </c>
      <c r="AJ97">
        <v>1</v>
      </c>
    </row>
    <row r="98" spans="1:36" x14ac:dyDescent="0.2">
      <c r="A98">
        <v>97</v>
      </c>
      <c r="B98">
        <v>738</v>
      </c>
      <c r="C98">
        <v>225</v>
      </c>
      <c r="D98">
        <v>0.34262028383523802</v>
      </c>
      <c r="E98">
        <v>10.265638235300299</v>
      </c>
      <c r="F98">
        <v>0.50699241624911995</v>
      </c>
      <c r="G98">
        <v>-221.71980035353099</v>
      </c>
      <c r="H98">
        <v>-131.12158901513317</v>
      </c>
      <c r="I98">
        <v>89.604990324856303</v>
      </c>
      <c r="J98">
        <v>40.869910203506599</v>
      </c>
      <c r="K98">
        <v>20.248110043240001</v>
      </c>
      <c r="L98">
        <v>1.4287144306649412E-3</v>
      </c>
      <c r="M98">
        <v>2.6625691592953857E-4</v>
      </c>
      <c r="N98" s="1">
        <v>1.9402266341517798E-5</v>
      </c>
      <c r="O98" s="1">
        <v>5.7289677014392901E-6</v>
      </c>
      <c r="P98" s="1">
        <v>-1.80721650828745E-5</v>
      </c>
      <c r="AE98">
        <v>100</v>
      </c>
      <c r="AJ98">
        <v>1</v>
      </c>
    </row>
    <row r="99" spans="1:36" x14ac:dyDescent="0.2">
      <c r="A99">
        <v>98</v>
      </c>
      <c r="B99">
        <v>736</v>
      </c>
      <c r="C99">
        <v>225</v>
      </c>
      <c r="D99">
        <v>0.34117871475994799</v>
      </c>
      <c r="E99">
        <v>10.3455999450891</v>
      </c>
      <c r="F99">
        <v>0.50844427810646098</v>
      </c>
      <c r="G99">
        <v>-223.26630885031153</v>
      </c>
      <c r="H99">
        <v>-132.22535225436002</v>
      </c>
      <c r="I99">
        <v>90.221351616243993</v>
      </c>
      <c r="J99">
        <v>41.235003327270398</v>
      </c>
      <c r="K99">
        <v>20.347558996274</v>
      </c>
      <c r="L99">
        <v>1.4308628862234806E-3</v>
      </c>
      <c r="M99">
        <v>2.6522935316308452E-4</v>
      </c>
      <c r="N99" s="1">
        <v>1.9980579705552E-5</v>
      </c>
      <c r="O99" s="1">
        <v>5.7324104615312498E-6</v>
      </c>
      <c r="P99" s="1">
        <v>-1.8209742861899102E-5</v>
      </c>
      <c r="AE99">
        <v>100</v>
      </c>
      <c r="AJ99">
        <v>1</v>
      </c>
    </row>
    <row r="100" spans="1:36" x14ac:dyDescent="0.2">
      <c r="A100">
        <v>99</v>
      </c>
      <c r="B100">
        <v>734</v>
      </c>
      <c r="C100">
        <v>225</v>
      </c>
      <c r="D100">
        <v>0.33973142034453802</v>
      </c>
      <c r="E100">
        <v>10.405063369887401</v>
      </c>
      <c r="F100">
        <v>0.50990247057604698</v>
      </c>
      <c r="G100">
        <v>-224.36817948838569</v>
      </c>
      <c r="H100">
        <v>-133.06833505462535</v>
      </c>
      <c r="I100">
        <v>90.6575970311916</v>
      </c>
      <c r="J100">
        <v>41.518847417505398</v>
      </c>
      <c r="K100">
        <v>20.405987360941001</v>
      </c>
      <c r="L100">
        <v>1.4329758376280071E-3</v>
      </c>
      <c r="M100">
        <v>2.6419521886052676E-4</v>
      </c>
      <c r="N100" s="1">
        <v>2.0526887831886802E-5</v>
      </c>
      <c r="O100" s="1">
        <v>5.7238111604977801E-6</v>
      </c>
      <c r="P100" s="1">
        <v>-1.8310037171849101E-5</v>
      </c>
      <c r="AE100">
        <v>100</v>
      </c>
      <c r="AJ100">
        <v>1</v>
      </c>
    </row>
    <row r="101" spans="1:36" x14ac:dyDescent="0.2">
      <c r="A101">
        <v>100</v>
      </c>
      <c r="B101">
        <v>760</v>
      </c>
      <c r="C101">
        <v>210</v>
      </c>
      <c r="D101">
        <v>0.374079756085759</v>
      </c>
      <c r="E101">
        <v>5.3201484684118201</v>
      </c>
      <c r="F101">
        <v>0.47019496186147802</v>
      </c>
      <c r="G101">
        <v>-116.098476273416</v>
      </c>
      <c r="H101">
        <v>-67.409598731120468</v>
      </c>
      <c r="I101">
        <v>47.129576593857301</v>
      </c>
      <c r="J101">
        <v>21.027058789778099</v>
      </c>
      <c r="K101">
        <v>11.3147713181562</v>
      </c>
      <c r="L101">
        <v>1.4770021716131714E-3</v>
      </c>
      <c r="M101">
        <v>3.1332272475201295E-4</v>
      </c>
      <c r="N101" s="1">
        <v>7.1036567863820796E-6</v>
      </c>
      <c r="O101" s="1">
        <v>4.1220927622634998E-6</v>
      </c>
      <c r="P101" s="1">
        <v>-1.10356793109578E-5</v>
      </c>
      <c r="AE101">
        <v>100</v>
      </c>
      <c r="AJ101">
        <v>1</v>
      </c>
    </row>
    <row r="102" spans="1:36" x14ac:dyDescent="0.2">
      <c r="A102">
        <v>101</v>
      </c>
      <c r="B102">
        <v>758</v>
      </c>
      <c r="C102">
        <v>210</v>
      </c>
      <c r="D102">
        <v>0.37272996169325601</v>
      </c>
      <c r="E102">
        <v>5.3352502474817198</v>
      </c>
      <c r="F102">
        <v>0.47158743425339</v>
      </c>
      <c r="G102">
        <v>-116.33354767847928</v>
      </c>
      <c r="H102">
        <v>-67.643149299959191</v>
      </c>
      <c r="I102">
        <v>47.222471547624998</v>
      </c>
      <c r="J102">
        <v>21.114859498552399</v>
      </c>
      <c r="K102">
        <v>11.3133850903563</v>
      </c>
      <c r="L102">
        <v>1.4800952363028799E-3</v>
      </c>
      <c r="M102">
        <v>3.1229309759566023E-4</v>
      </c>
      <c r="N102" s="1">
        <v>7.3695483450862803E-6</v>
      </c>
      <c r="O102" s="1">
        <v>4.1088017333816203E-6</v>
      </c>
      <c r="P102" s="1">
        <v>-1.10791459737219E-5</v>
      </c>
      <c r="AE102">
        <v>100</v>
      </c>
      <c r="AJ102">
        <v>1</v>
      </c>
    </row>
    <row r="103" spans="1:36" x14ac:dyDescent="0.2">
      <c r="A103">
        <v>102</v>
      </c>
      <c r="B103">
        <v>756</v>
      </c>
      <c r="C103">
        <v>210</v>
      </c>
      <c r="D103">
        <v>0.371374921051355</v>
      </c>
      <c r="E103">
        <v>5.3557630484130296</v>
      </c>
      <c r="F103">
        <v>0.47298694258706397</v>
      </c>
      <c r="G103">
        <v>-116.68605630709489</v>
      </c>
      <c r="H103">
        <v>-67.945641812826921</v>
      </c>
      <c r="I103">
        <v>47.362852247744001</v>
      </c>
      <c r="J103">
        <v>21.224231002852498</v>
      </c>
      <c r="K103">
        <v>11.323278860763001</v>
      </c>
      <c r="L103">
        <v>1.4831590164800178E-3</v>
      </c>
      <c r="M103">
        <v>3.1125443691024167E-4</v>
      </c>
      <c r="N103" s="1">
        <v>7.6469682034459406E-6</v>
      </c>
      <c r="O103" s="1">
        <v>4.09938047506633E-6</v>
      </c>
      <c r="P103" s="1">
        <v>-1.11333716305963E-5</v>
      </c>
      <c r="AE103">
        <v>100</v>
      </c>
      <c r="AJ103">
        <v>1</v>
      </c>
    </row>
    <row r="104" spans="1:36" x14ac:dyDescent="0.2">
      <c r="A104">
        <v>103</v>
      </c>
      <c r="B104">
        <v>754</v>
      </c>
      <c r="C104">
        <v>210</v>
      </c>
      <c r="D104">
        <v>0.37001460351457899</v>
      </c>
      <c r="E104">
        <v>5.4143275071330601</v>
      </c>
      <c r="F104">
        <v>0.47439349681874099</v>
      </c>
      <c r="G104">
        <v>-117.86628090757658</v>
      </c>
      <c r="H104">
        <v>-68.731558224623711</v>
      </c>
      <c r="I104">
        <v>47.8389924486494</v>
      </c>
      <c r="J104">
        <v>21.4847760394237</v>
      </c>
      <c r="K104">
        <v>11.413157101522801</v>
      </c>
      <c r="L104">
        <v>1.4861926717360549E-3</v>
      </c>
      <c r="M104">
        <v>3.1020674312885711E-4</v>
      </c>
      <c r="N104" s="1">
        <v>7.9847907828885308E-6</v>
      </c>
      <c r="O104" s="1">
        <v>4.1185808148807897E-6</v>
      </c>
      <c r="P104" s="1">
        <v>-1.1266289272894299E-5</v>
      </c>
      <c r="AE104">
        <v>100</v>
      </c>
      <c r="AJ104">
        <v>1</v>
      </c>
    </row>
    <row r="105" spans="1:36" x14ac:dyDescent="0.2">
      <c r="A105">
        <v>104</v>
      </c>
      <c r="B105">
        <v>752</v>
      </c>
      <c r="C105">
        <v>210</v>
      </c>
      <c r="D105">
        <v>0.36864897819831499</v>
      </c>
      <c r="E105">
        <v>5.6386472787823401</v>
      </c>
      <c r="F105">
        <v>0.47580710601133502</v>
      </c>
      <c r="G105">
        <v>-122.64997360409018</v>
      </c>
      <c r="H105">
        <v>-71.623939201468588</v>
      </c>
      <c r="I105">
        <v>49.777360564646202</v>
      </c>
      <c r="J105">
        <v>22.404504073516399</v>
      </c>
      <c r="K105">
        <v>11.8507000159178</v>
      </c>
      <c r="L105">
        <v>1.4891953579815116E-3</v>
      </c>
      <c r="M105">
        <v>3.0915001967357094E-4</v>
      </c>
      <c r="N105" s="1">
        <v>8.5827870347223992E-6</v>
      </c>
      <c r="O105" s="1">
        <v>4.2623932893797898E-6</v>
      </c>
      <c r="P105" s="1">
        <v>-1.17440789124766E-5</v>
      </c>
      <c r="AE105">
        <v>100</v>
      </c>
      <c r="AJ105">
        <v>1</v>
      </c>
    </row>
    <row r="106" spans="1:36" x14ac:dyDescent="0.2">
      <c r="A106">
        <v>105</v>
      </c>
      <c r="B106">
        <v>750</v>
      </c>
      <c r="C106">
        <v>210</v>
      </c>
      <c r="D106">
        <v>0.36727801397644499</v>
      </c>
      <c r="E106">
        <v>5.8707583088000197</v>
      </c>
      <c r="F106">
        <v>0.47722777831664998</v>
      </c>
      <c r="G106">
        <v>-127.59516799365744</v>
      </c>
      <c r="H106">
        <v>-74.618973621517739</v>
      </c>
      <c r="I106">
        <v>51.780827816595597</v>
      </c>
      <c r="J106">
        <v>23.357535183540602</v>
      </c>
      <c r="K106">
        <v>12.3017950243974</v>
      </c>
      <c r="L106">
        <v>1.4921662278820486E-3</v>
      </c>
      <c r="M106">
        <v>3.0808427301878377E-4</v>
      </c>
      <c r="N106" s="1">
        <v>9.2167603523966297E-6</v>
      </c>
      <c r="O106" s="1">
        <v>4.40978331664345E-6</v>
      </c>
      <c r="P106" s="1">
        <v>-1.22383252414551E-5</v>
      </c>
      <c r="AE106">
        <v>100</v>
      </c>
      <c r="AJ106">
        <v>1</v>
      </c>
    </row>
    <row r="107" spans="1:36" x14ac:dyDescent="0.2">
      <c r="A107">
        <v>106</v>
      </c>
      <c r="B107">
        <v>748</v>
      </c>
      <c r="C107">
        <v>210</v>
      </c>
      <c r="D107">
        <v>0.36590167947901903</v>
      </c>
      <c r="E107">
        <v>9.08927116711304</v>
      </c>
      <c r="F107">
        <v>0.47865552095770603</v>
      </c>
      <c r="G107">
        <v>-197.38611880030163</v>
      </c>
      <c r="H107">
        <v>-115.59954181679485</v>
      </c>
      <c r="I107">
        <v>80.097711817670003</v>
      </c>
      <c r="J107">
        <v>36.210330255122102</v>
      </c>
      <c r="K107">
        <v>18.989170226067699</v>
      </c>
      <c r="L107">
        <v>1.4951044313070263E-3</v>
      </c>
      <c r="M107">
        <v>3.070095127530958E-4</v>
      </c>
      <c r="N107" s="1">
        <v>1.47079508814141E-5</v>
      </c>
      <c r="O107" s="1">
        <v>6.7836762836591598E-6</v>
      </c>
      <c r="P107" s="1">
        <v>-1.89633986007805E-5</v>
      </c>
      <c r="AE107">
        <v>100</v>
      </c>
      <c r="AJ107">
        <v>1</v>
      </c>
    </row>
    <row r="108" spans="1:36" x14ac:dyDescent="0.2">
      <c r="A108">
        <v>107</v>
      </c>
      <c r="B108">
        <v>746</v>
      </c>
      <c r="C108">
        <v>210</v>
      </c>
      <c r="D108">
        <v>0.36451994308983099</v>
      </c>
      <c r="E108">
        <v>9.7791468372356807</v>
      </c>
      <c r="F108">
        <v>0.480090340211281</v>
      </c>
      <c r="G108">
        <v>-212.19544709907262</v>
      </c>
      <c r="H108">
        <v>-124.45151535319688</v>
      </c>
      <c r="I108">
        <v>86.100699577299096</v>
      </c>
      <c r="J108">
        <v>39.009746269452499</v>
      </c>
      <c r="K108">
        <v>20.369388879876201</v>
      </c>
      <c r="L108">
        <v>1.4980091157911029E-3</v>
      </c>
      <c r="M108">
        <v>3.0592575163970308E-4</v>
      </c>
      <c r="N108" s="1">
        <v>1.62998116201528E-5</v>
      </c>
      <c r="O108" s="1">
        <v>7.2513386778339598E-6</v>
      </c>
      <c r="P108" s="1">
        <v>-2.0418434364020799E-5</v>
      </c>
      <c r="AE108">
        <v>100</v>
      </c>
      <c r="AJ108">
        <v>1</v>
      </c>
    </row>
    <row r="109" spans="1:36" x14ac:dyDescent="0.2">
      <c r="A109">
        <v>108</v>
      </c>
      <c r="B109">
        <v>744</v>
      </c>
      <c r="C109">
        <v>210</v>
      </c>
      <c r="D109">
        <v>0.36313277294401303</v>
      </c>
      <c r="E109">
        <v>10.0589485877779</v>
      </c>
      <c r="F109">
        <v>0.48153224139066297</v>
      </c>
      <c r="G109">
        <v>-218.08975100733224</v>
      </c>
      <c r="H109">
        <v>-128.09263651821604</v>
      </c>
      <c r="I109">
        <v>88.485347133842893</v>
      </c>
      <c r="J109">
        <v>40.178294912938803</v>
      </c>
      <c r="K109">
        <v>20.889460192172699</v>
      </c>
      <c r="L109">
        <v>1.5008794270078194E-3</v>
      </c>
      <c r="M109">
        <v>3.0483300567506059E-4</v>
      </c>
      <c r="N109" s="1">
        <v>1.7259275905778701E-5</v>
      </c>
      <c r="O109" s="1">
        <v>7.4100092814885901E-6</v>
      </c>
      <c r="P109" s="1">
        <v>-2.1017590000694699E-5</v>
      </c>
      <c r="AE109">
        <v>100</v>
      </c>
      <c r="AJ109">
        <v>1</v>
      </c>
    </row>
    <row r="110" spans="1:36" x14ac:dyDescent="0.2">
      <c r="A110">
        <v>109</v>
      </c>
      <c r="B110">
        <v>742</v>
      </c>
      <c r="C110">
        <v>210</v>
      </c>
      <c r="D110">
        <v>0.361740136925575</v>
      </c>
      <c r="E110">
        <v>10.212770712310601</v>
      </c>
      <c r="F110">
        <v>0.482981228828602</v>
      </c>
      <c r="G110">
        <v>-221.24519763722472</v>
      </c>
      <c r="H110">
        <v>-130.13307631424385</v>
      </c>
      <c r="I110">
        <v>89.758130027600302</v>
      </c>
      <c r="J110">
        <v>40.845778558541902</v>
      </c>
      <c r="K110">
        <v>21.145274604315802</v>
      </c>
      <c r="L110">
        <v>1.503714509255503E-3</v>
      </c>
      <c r="M110">
        <v>3.037312941458507E-4</v>
      </c>
      <c r="N110" s="1">
        <v>1.80277460594754E-5</v>
      </c>
      <c r="O110" s="1">
        <v>7.4735350229150699E-6</v>
      </c>
      <c r="P110" s="1">
        <v>-2.135289325576E-5</v>
      </c>
      <c r="AE110">
        <v>100</v>
      </c>
      <c r="AJ110">
        <v>1</v>
      </c>
    </row>
    <row r="111" spans="1:36" x14ac:dyDescent="0.2">
      <c r="A111">
        <v>110</v>
      </c>
      <c r="B111">
        <v>740</v>
      </c>
      <c r="C111">
        <v>210</v>
      </c>
      <c r="D111">
        <v>0.36034200266496003</v>
      </c>
      <c r="E111">
        <v>10.312156595316001</v>
      </c>
      <c r="F111">
        <v>0.484437305860552</v>
      </c>
      <c r="G111">
        <v>-223.2170699976904</v>
      </c>
      <c r="H111">
        <v>-131.48201024946246</v>
      </c>
      <c r="I111">
        <v>90.550225531728501</v>
      </c>
      <c r="J111">
        <v>41.296724987110402</v>
      </c>
      <c r="K111">
        <v>21.286875454394501</v>
      </c>
      <c r="L111">
        <v>1.5065135059545247E-3</v>
      </c>
      <c r="M111">
        <v>3.0262063968391968E-4</v>
      </c>
      <c r="N111" s="1">
        <v>1.8716459776325301E-5</v>
      </c>
      <c r="O111" s="1">
        <v>7.4957539674456103E-6</v>
      </c>
      <c r="P111" s="1">
        <v>-2.1573414882477001E-5</v>
      </c>
      <c r="AE111">
        <v>100</v>
      </c>
      <c r="AJ111">
        <v>1</v>
      </c>
    </row>
    <row r="112" spans="1:36" x14ac:dyDescent="0.2">
      <c r="A112">
        <v>111</v>
      </c>
      <c r="B112">
        <v>738</v>
      </c>
      <c r="C112">
        <v>210</v>
      </c>
      <c r="D112">
        <v>0.35893833753646798</v>
      </c>
      <c r="E112">
        <v>10.382786024653999</v>
      </c>
      <c r="F112">
        <v>0.48590047480814802</v>
      </c>
      <c r="G112">
        <v>-224.56365683951728</v>
      </c>
      <c r="H112">
        <v>-132.46576210839578</v>
      </c>
      <c r="I112">
        <v>91.088202936123096</v>
      </c>
      <c r="J112">
        <v>41.633245526378097</v>
      </c>
      <c r="K112">
        <v>21.368133111525701</v>
      </c>
      <c r="L112">
        <v>1.5092755601557779E-3</v>
      </c>
      <c r="M112">
        <v>3.0150106831923137E-4</v>
      </c>
      <c r="N112" s="1">
        <v>1.93651710591071E-5</v>
      </c>
      <c r="O112" s="1">
        <v>7.4960017288585799E-6</v>
      </c>
      <c r="P112" s="1">
        <v>-2.1732637854552899E-5</v>
      </c>
      <c r="AE112">
        <v>100</v>
      </c>
      <c r="AJ112">
        <v>1</v>
      </c>
    </row>
    <row r="113" spans="1:36" x14ac:dyDescent="0.2">
      <c r="A113">
        <v>112</v>
      </c>
      <c r="B113">
        <v>736</v>
      </c>
      <c r="C113">
        <v>210</v>
      </c>
      <c r="D113">
        <v>0.35752910865580001</v>
      </c>
      <c r="E113">
        <v>10.4361482334876</v>
      </c>
      <c r="F113">
        <v>0.48737073696300098</v>
      </c>
      <c r="G113">
        <v>-225.53476932200675</v>
      </c>
      <c r="H113">
        <v>-133.23031661914595</v>
      </c>
      <c r="I113">
        <v>91.473442905150804</v>
      </c>
      <c r="J113">
        <v>41.901010329255598</v>
      </c>
      <c r="K113">
        <v>21.413161361552699</v>
      </c>
      <c r="L113">
        <v>1.5119998150599345E-3</v>
      </c>
      <c r="M113">
        <v>3.0037260953062208E-4</v>
      </c>
      <c r="N113" s="1">
        <v>1.9991510344128999E-5</v>
      </c>
      <c r="O113" s="1">
        <v>7.4829389161159598E-6</v>
      </c>
      <c r="P113" s="1">
        <v>-2.18544701550396E-5</v>
      </c>
      <c r="AE113">
        <v>100</v>
      </c>
      <c r="AJ113">
        <v>1</v>
      </c>
    </row>
    <row r="114" spans="1:36" x14ac:dyDescent="0.2">
      <c r="A114">
        <v>113</v>
      </c>
      <c r="B114">
        <v>762</v>
      </c>
      <c r="C114">
        <v>195</v>
      </c>
      <c r="D114">
        <v>0.39136405351881698</v>
      </c>
      <c r="E114">
        <v>5.5566580008270297</v>
      </c>
      <c r="F114">
        <v>0.44578296558609498</v>
      </c>
      <c r="G114">
        <v>-121.5404196517982</v>
      </c>
      <c r="H114">
        <v>-70.259219477087598</v>
      </c>
      <c r="I114">
        <v>49.542945501266999</v>
      </c>
      <c r="J114">
        <v>22.033718696225801</v>
      </c>
      <c r="K114">
        <v>12.4649401834396</v>
      </c>
      <c r="L114">
        <v>1.5524979899906154E-3</v>
      </c>
      <c r="M114">
        <v>3.5869371759654088E-4</v>
      </c>
      <c r="N114" s="1">
        <v>5.7106187182406399E-6</v>
      </c>
      <c r="O114" s="1">
        <v>5.6820271603408302E-6</v>
      </c>
      <c r="P114" s="1">
        <v>-1.3655049620076E-5</v>
      </c>
      <c r="AE114">
        <v>100</v>
      </c>
      <c r="AJ114">
        <v>1</v>
      </c>
    </row>
    <row r="115" spans="1:36" x14ac:dyDescent="0.2">
      <c r="A115">
        <v>114</v>
      </c>
      <c r="B115">
        <v>760</v>
      </c>
      <c r="C115">
        <v>195</v>
      </c>
      <c r="D115">
        <v>0.39005033151043</v>
      </c>
      <c r="E115">
        <v>5.5583409971052902</v>
      </c>
      <c r="F115">
        <v>0.44717101301297602</v>
      </c>
      <c r="G115">
        <v>-121.47815845097742</v>
      </c>
      <c r="H115">
        <v>-70.324613693673541</v>
      </c>
      <c r="I115">
        <v>49.515293598551601</v>
      </c>
      <c r="J115">
        <v>22.0737676739382</v>
      </c>
      <c r="K115">
        <v>12.4300118642618</v>
      </c>
      <c r="L115">
        <v>1.5563892040219205E-3</v>
      </c>
      <c r="M115">
        <v>3.5761072435080092E-4</v>
      </c>
      <c r="N115" s="1">
        <v>6.0078872361504199E-6</v>
      </c>
      <c r="O115" s="1">
        <v>5.6521805380752099E-6</v>
      </c>
      <c r="P115" s="1">
        <v>-1.36851122050002E-5</v>
      </c>
      <c r="AE115">
        <v>100</v>
      </c>
      <c r="AJ115">
        <v>1</v>
      </c>
    </row>
    <row r="116" spans="1:36" x14ac:dyDescent="0.2">
      <c r="A116">
        <v>115</v>
      </c>
      <c r="B116">
        <v>758</v>
      </c>
      <c r="C116">
        <v>195</v>
      </c>
      <c r="D116">
        <v>0.38873151335887302</v>
      </c>
      <c r="E116">
        <v>5.5926316572826398</v>
      </c>
      <c r="F116">
        <v>0.44856686145323699</v>
      </c>
      <c r="G116">
        <v>-122.12798614398694</v>
      </c>
      <c r="H116">
        <v>-70.80291558635885</v>
      </c>
      <c r="I116">
        <v>49.777695781301702</v>
      </c>
      <c r="J116">
        <v>22.243532652534999</v>
      </c>
      <c r="K116">
        <v>12.467777131739</v>
      </c>
      <c r="L116">
        <v>1.5602536752947849E-3</v>
      </c>
      <c r="M116">
        <v>3.5651613474174546E-4</v>
      </c>
      <c r="N116" s="1">
        <v>6.3463440992062598E-6</v>
      </c>
      <c r="O116" s="1">
        <v>5.65508002790307E-6</v>
      </c>
      <c r="P116" s="1">
        <v>-1.37950589354457E-5</v>
      </c>
      <c r="AE116">
        <v>100</v>
      </c>
      <c r="AJ116">
        <v>1</v>
      </c>
    </row>
    <row r="117" spans="1:36" x14ac:dyDescent="0.2">
      <c r="A117">
        <v>116</v>
      </c>
      <c r="B117">
        <v>756</v>
      </c>
      <c r="C117">
        <v>195</v>
      </c>
      <c r="D117">
        <v>0.38740756935335302</v>
      </c>
      <c r="E117">
        <v>5.8039371656438998</v>
      </c>
      <c r="F117">
        <v>0.44997053239551899</v>
      </c>
      <c r="G117">
        <v>-126.63905627957848</v>
      </c>
      <c r="H117">
        <v>-73.524253602889715</v>
      </c>
      <c r="I117">
        <v>51.613587956991203</v>
      </c>
      <c r="J117">
        <v>23.118812219485999</v>
      </c>
      <c r="K117">
        <v>12.8984827845177</v>
      </c>
      <c r="L117">
        <v>1.5640903323792695E-3</v>
      </c>
      <c r="M117">
        <v>3.5540990479693155E-4</v>
      </c>
      <c r="N117" s="1">
        <v>6.9030554115437199E-6</v>
      </c>
      <c r="O117" s="1">
        <v>5.8353507439343898E-6</v>
      </c>
      <c r="P117" s="1">
        <v>-1.43421475655577E-5</v>
      </c>
      <c r="AE117">
        <v>100</v>
      </c>
      <c r="AJ117">
        <v>1</v>
      </c>
    </row>
    <row r="118" spans="1:36" x14ac:dyDescent="0.2">
      <c r="A118">
        <v>117</v>
      </c>
      <c r="B118">
        <v>754</v>
      </c>
      <c r="C118">
        <v>195</v>
      </c>
      <c r="D118">
        <v>0.38607846955167302</v>
      </c>
      <c r="E118">
        <v>6.0205696064288103</v>
      </c>
      <c r="F118">
        <v>0.45138204637499801</v>
      </c>
      <c r="G118">
        <v>-131.25883618085575</v>
      </c>
      <c r="H118">
        <v>-76.316552125668764</v>
      </c>
      <c r="I118">
        <v>53.493384018713002</v>
      </c>
      <c r="J118">
        <v>24.017873975201901</v>
      </c>
      <c r="K118">
        <v>13.3380794712137</v>
      </c>
      <c r="L118">
        <v>1.5678980929386644E-3</v>
      </c>
      <c r="M118">
        <v>3.5429199391792552E-4</v>
      </c>
      <c r="N118" s="1">
        <v>7.4937330153054502E-6</v>
      </c>
      <c r="O118" s="1">
        <v>6.0182900855249402E-6</v>
      </c>
      <c r="P118" s="1">
        <v>-1.49036465172677E-5</v>
      </c>
      <c r="AE118">
        <v>100</v>
      </c>
      <c r="AJ118">
        <v>1</v>
      </c>
    </row>
    <row r="119" spans="1:36" x14ac:dyDescent="0.2">
      <c r="A119">
        <v>118</v>
      </c>
      <c r="B119">
        <v>752</v>
      </c>
      <c r="C119">
        <v>195</v>
      </c>
      <c r="D119">
        <v>0.38474418377798603</v>
      </c>
      <c r="E119">
        <v>7.84998794771204</v>
      </c>
      <c r="F119">
        <v>0.45280142294654702</v>
      </c>
      <c r="G119">
        <v>-171.00388701546873</v>
      </c>
      <c r="H119">
        <v>-99.56888090740307</v>
      </c>
      <c r="I119">
        <v>69.686873485064396</v>
      </c>
      <c r="J119">
        <v>31.363095122588899</v>
      </c>
      <c r="K119">
        <v>17.336491340131499</v>
      </c>
      <c r="L119">
        <v>1.5716758642066043E-3</v>
      </c>
      <c r="M119">
        <v>3.5316236500003418E-4</v>
      </c>
      <c r="N119" s="1">
        <v>1.0210501544267299E-5</v>
      </c>
      <c r="O119" s="1">
        <v>7.8012620240131693E-6</v>
      </c>
      <c r="P119" s="1">
        <v>-1.94655246317547E-5</v>
      </c>
      <c r="AE119">
        <v>100</v>
      </c>
      <c r="AJ119">
        <v>1</v>
      </c>
    </row>
    <row r="120" spans="1:36" x14ac:dyDescent="0.2">
      <c r="A120">
        <v>119</v>
      </c>
      <c r="B120">
        <v>750</v>
      </c>
      <c r="C120">
        <v>195</v>
      </c>
      <c r="D120">
        <v>0.38340468162048602</v>
      </c>
      <c r="E120">
        <v>9.5221192889170592</v>
      </c>
      <c r="F120">
        <v>0.45422868065796301</v>
      </c>
      <c r="G120">
        <v>-207.26055526796702</v>
      </c>
      <c r="H120">
        <v>-120.85426149888325</v>
      </c>
      <c r="I120">
        <v>84.456573239960903</v>
      </c>
      <c r="J120">
        <v>38.1008930431952</v>
      </c>
      <c r="K120">
        <v>20.963271793238501</v>
      </c>
      <c r="L120">
        <v>1.5754225434902237E-3</v>
      </c>
      <c r="M120">
        <v>3.5202098455202176E-4</v>
      </c>
      <c r="N120" s="1">
        <v>1.29254191464091E-5</v>
      </c>
      <c r="O120" s="1">
        <v>9.4071575358146205E-6</v>
      </c>
      <c r="P120" s="1">
        <v>-2.3651078097538101E-5</v>
      </c>
      <c r="AE120">
        <v>100</v>
      </c>
      <c r="AJ120">
        <v>1</v>
      </c>
    </row>
    <row r="121" spans="1:36" x14ac:dyDescent="0.2">
      <c r="A121">
        <v>120</v>
      </c>
      <c r="B121">
        <v>748</v>
      </c>
      <c r="C121">
        <v>195</v>
      </c>
      <c r="D121">
        <v>0.382059932429125</v>
      </c>
      <c r="E121">
        <v>9.9472847452788198</v>
      </c>
      <c r="F121">
        <v>0.45566383702316599</v>
      </c>
      <c r="G121">
        <v>-216.33842338556573</v>
      </c>
      <c r="H121">
        <v>-126.33010405170306</v>
      </c>
      <c r="I121">
        <v>88.149646752217706</v>
      </c>
      <c r="J121">
        <v>39.861739861893</v>
      </c>
      <c r="K121">
        <v>21.830314229595199</v>
      </c>
      <c r="L121">
        <v>1.579137018698397E-3</v>
      </c>
      <c r="M121">
        <v>3.5086782281552431E-4</v>
      </c>
      <c r="N121" s="1">
        <v>1.4073427415568899E-5</v>
      </c>
      <c r="O121" s="1">
        <v>9.7684660671054298E-6</v>
      </c>
      <c r="P121" s="1">
        <v>-2.4746823237711799E-5</v>
      </c>
      <c r="AE121">
        <v>100</v>
      </c>
      <c r="AJ121">
        <v>1</v>
      </c>
    </row>
    <row r="122" spans="1:36" x14ac:dyDescent="0.2">
      <c r="A122">
        <v>121</v>
      </c>
      <c r="B122">
        <v>746</v>
      </c>
      <c r="C122">
        <v>195</v>
      </c>
      <c r="D122">
        <v>0.38070990531325299</v>
      </c>
      <c r="E122">
        <v>10.1545488940395</v>
      </c>
      <c r="F122">
        <v>0.45710690849545899</v>
      </c>
      <c r="G122">
        <v>-220.66621274475128</v>
      </c>
      <c r="H122">
        <v>-129.04379559800512</v>
      </c>
      <c r="I122">
        <v>89.906518376278299</v>
      </c>
      <c r="J122">
        <v>40.753126592943197</v>
      </c>
      <c r="K122">
        <v>22.214822627517599</v>
      </c>
      <c r="L122">
        <v>1.5828181688954011E-3</v>
      </c>
      <c r="M122">
        <v>3.4970285388390989E-4</v>
      </c>
      <c r="N122" s="1">
        <v>1.49562932957879E-5</v>
      </c>
      <c r="O122" s="1">
        <v>9.9116758759258495E-6</v>
      </c>
      <c r="P122" s="1">
        <v>-2.5301708183854299E-5</v>
      </c>
      <c r="AE122">
        <v>100</v>
      </c>
      <c r="AJ122">
        <v>1</v>
      </c>
    </row>
    <row r="123" spans="1:36" x14ac:dyDescent="0.2">
      <c r="A123">
        <v>122</v>
      </c>
      <c r="B123">
        <v>744</v>
      </c>
      <c r="C123">
        <v>195</v>
      </c>
      <c r="D123">
        <v>0.37935456913926302</v>
      </c>
      <c r="E123">
        <v>10.278179210738299</v>
      </c>
      <c r="F123">
        <v>0.45855791044087901</v>
      </c>
      <c r="G123">
        <v>-223.17087408987354</v>
      </c>
      <c r="H123">
        <v>-130.69744716796416</v>
      </c>
      <c r="I123">
        <v>90.920030209119901</v>
      </c>
      <c r="J123">
        <v>41.310780388232999</v>
      </c>
      <c r="K123">
        <v>22.414135655966302</v>
      </c>
      <c r="L123">
        <v>1.5864648648802383E-3</v>
      </c>
      <c r="M123">
        <v>3.4852605582053753E-4</v>
      </c>
      <c r="N123" s="1">
        <v>1.5742019064596201E-5</v>
      </c>
      <c r="O123" s="1">
        <v>9.9709008594814395E-6</v>
      </c>
      <c r="P123" s="1">
        <v>-2.56481324296816E-5</v>
      </c>
      <c r="AE123">
        <v>100</v>
      </c>
      <c r="AJ123">
        <v>1</v>
      </c>
    </row>
    <row r="124" spans="1:36" x14ac:dyDescent="0.2">
      <c r="A124">
        <v>123</v>
      </c>
      <c r="B124">
        <v>742</v>
      </c>
      <c r="C124">
        <v>195</v>
      </c>
      <c r="D124">
        <v>0.37799389252819798</v>
      </c>
      <c r="E124">
        <v>10.3616236177293</v>
      </c>
      <c r="F124">
        <v>0.460016857111616</v>
      </c>
      <c r="G124">
        <v>-224.79947437666146</v>
      </c>
      <c r="H124">
        <v>-131.84188147895082</v>
      </c>
      <c r="I124">
        <v>91.576143875310294</v>
      </c>
      <c r="J124">
        <v>41.708074368419901</v>
      </c>
      <c r="K124">
        <v>22.5244433058139</v>
      </c>
      <c r="L124">
        <v>1.5900759697907636E-3</v>
      </c>
      <c r="M124">
        <v>3.4733741077598698E-4</v>
      </c>
      <c r="N124" s="1">
        <v>1.6485128190348299E-5</v>
      </c>
      <c r="O124" s="1">
        <v>9.9895151640182698E-6</v>
      </c>
      <c r="P124" s="1">
        <v>-2.5893640305396399E-5</v>
      </c>
      <c r="AE124">
        <v>100</v>
      </c>
      <c r="AJ124">
        <v>1</v>
      </c>
    </row>
    <row r="125" spans="1:36" x14ac:dyDescent="0.2">
      <c r="A125">
        <v>124</v>
      </c>
      <c r="B125">
        <v>740</v>
      </c>
      <c r="C125">
        <v>195</v>
      </c>
      <c r="D125">
        <v>0.37662784385333098</v>
      </c>
      <c r="E125">
        <v>10.4225602367869</v>
      </c>
      <c r="F125">
        <v>0.46148376161962301</v>
      </c>
      <c r="G125">
        <v>-225.93737149002618</v>
      </c>
      <c r="H125">
        <v>-132.70121136001234</v>
      </c>
      <c r="I125">
        <v>92.0319050081428</v>
      </c>
      <c r="J125">
        <v>42.015538332493797</v>
      </c>
      <c r="K125">
        <v>22.584890528342498</v>
      </c>
      <c r="L125">
        <v>1.5936503397333756E-3</v>
      </c>
      <c r="M125">
        <v>3.461369051042012E-4</v>
      </c>
      <c r="N125" s="1">
        <v>1.7207690956683301E-5</v>
      </c>
      <c r="O125" s="1">
        <v>9.9851716236318E-6</v>
      </c>
      <c r="P125" s="1">
        <v>-2.6081955903662899E-5</v>
      </c>
      <c r="AE125">
        <v>100</v>
      </c>
      <c r="AJ125">
        <v>1</v>
      </c>
    </row>
    <row r="126" spans="1:36" x14ac:dyDescent="0.2">
      <c r="A126">
        <v>125</v>
      </c>
      <c r="B126">
        <v>738</v>
      </c>
      <c r="C126">
        <v>195</v>
      </c>
      <c r="D126">
        <v>0.37525639123770199</v>
      </c>
      <c r="E126">
        <v>10.469463536307099</v>
      </c>
      <c r="F126">
        <v>0.46295863591035202</v>
      </c>
      <c r="G126">
        <v>-226.76931949562882</v>
      </c>
      <c r="H126">
        <v>-133.38286105701968</v>
      </c>
      <c r="I126">
        <v>92.3626066444576</v>
      </c>
      <c r="J126">
        <v>42.266968246488197</v>
      </c>
      <c r="K126">
        <v>22.614252601034501</v>
      </c>
      <c r="L126">
        <v>1.5971868244370854E-3</v>
      </c>
      <c r="M126">
        <v>3.4492452947719026E-4</v>
      </c>
      <c r="N126" s="1">
        <v>1.79201477722691E-5</v>
      </c>
      <c r="O126" s="1">
        <v>9.9663403298139494E-6</v>
      </c>
      <c r="P126" s="1">
        <v>-2.6234007913665599E-5</v>
      </c>
      <c r="AE126">
        <v>100</v>
      </c>
      <c r="AJ126">
        <v>1</v>
      </c>
    </row>
    <row r="127" spans="1:36" x14ac:dyDescent="0.2">
      <c r="A127">
        <v>126</v>
      </c>
      <c r="B127">
        <v>764</v>
      </c>
      <c r="C127">
        <v>180</v>
      </c>
      <c r="D127">
        <v>0.40858169020874802</v>
      </c>
      <c r="E127">
        <v>5.79692993706258</v>
      </c>
      <c r="F127">
        <v>0.41939386807347301</v>
      </c>
      <c r="G127">
        <v>-127.10059165558442</v>
      </c>
      <c r="H127">
        <v>-73.120773640868663</v>
      </c>
      <c r="I127">
        <v>52.049496576192396</v>
      </c>
      <c r="J127">
        <v>23.019935461685499</v>
      </c>
      <c r="K127">
        <v>13.8221618825552</v>
      </c>
      <c r="L127">
        <v>1.6298838109191597E-3</v>
      </c>
      <c r="M127">
        <v>4.1443282257927374E-4</v>
      </c>
      <c r="N127" s="1">
        <v>2.88219213367142E-6</v>
      </c>
      <c r="O127" s="1">
        <v>7.9650387343994405E-6</v>
      </c>
      <c r="P127" s="1">
        <v>-1.6911429852817899E-5</v>
      </c>
      <c r="AE127">
        <v>100</v>
      </c>
      <c r="AJ127">
        <v>1</v>
      </c>
    </row>
    <row r="128" spans="1:36" x14ac:dyDescent="0.2">
      <c r="A128">
        <v>127</v>
      </c>
      <c r="B128">
        <v>762</v>
      </c>
      <c r="C128">
        <v>180</v>
      </c>
      <c r="D128">
        <v>0.40730377240013699</v>
      </c>
      <c r="E128">
        <v>5.8214842924071002</v>
      </c>
      <c r="F128">
        <v>0.42076528275571701</v>
      </c>
      <c r="G128">
        <v>-127.53446289445569</v>
      </c>
      <c r="H128">
        <v>-73.476769801748716</v>
      </c>
      <c r="I128">
        <v>52.225305031637099</v>
      </c>
      <c r="J128">
        <v>23.157296378056099</v>
      </c>
      <c r="K128">
        <v>13.8354672569002</v>
      </c>
      <c r="L128">
        <v>1.63477044451666E-3</v>
      </c>
      <c r="M128">
        <v>4.1332959918505074E-4</v>
      </c>
      <c r="N128" s="1">
        <v>3.2367837411920299E-6</v>
      </c>
      <c r="O128" s="1">
        <v>7.9590673570469093E-6</v>
      </c>
      <c r="P128" s="1">
        <v>-1.7030197150726301E-5</v>
      </c>
      <c r="AE128">
        <v>100</v>
      </c>
      <c r="AJ128">
        <v>1</v>
      </c>
    </row>
    <row r="129" spans="1:36" x14ac:dyDescent="0.2">
      <c r="A129">
        <v>128</v>
      </c>
      <c r="B129">
        <v>760</v>
      </c>
      <c r="C129">
        <v>180</v>
      </c>
      <c r="D129">
        <v>0.40602090693510101</v>
      </c>
      <c r="E129">
        <v>6.0113418089873596</v>
      </c>
      <c r="F129">
        <v>0.42214529949238699</v>
      </c>
      <c r="G129">
        <v>-131.58596525821505</v>
      </c>
      <c r="H129">
        <v>-75.920952268154096</v>
      </c>
      <c r="I129">
        <v>53.882256254157397</v>
      </c>
      <c r="J129">
        <v>23.953760627032899</v>
      </c>
      <c r="K129">
        <v>14.2399828121164</v>
      </c>
      <c r="L129">
        <v>1.6396374881098249E-3</v>
      </c>
      <c r="M129">
        <v>4.1221194414539734E-4</v>
      </c>
      <c r="N129" s="1">
        <v>3.70241572263202E-6</v>
      </c>
      <c r="O129" s="1">
        <v>8.1773172201202395E-6</v>
      </c>
      <c r="P129" s="1">
        <v>-1.76338448198675E-5</v>
      </c>
      <c r="AE129">
        <v>100</v>
      </c>
      <c r="AJ129">
        <v>1</v>
      </c>
    </row>
    <row r="130" spans="1:36" x14ac:dyDescent="0.2">
      <c r="A130">
        <v>129</v>
      </c>
      <c r="B130">
        <v>758</v>
      </c>
      <c r="C130">
        <v>180</v>
      </c>
      <c r="D130">
        <v>0.40473306502448703</v>
      </c>
      <c r="E130">
        <v>6.2144005958337596</v>
      </c>
      <c r="F130">
        <v>0.42353395632138902</v>
      </c>
      <c r="G130">
        <v>-135.91948745077786</v>
      </c>
      <c r="H130">
        <v>-78.535075714901012</v>
      </c>
      <c r="I130">
        <v>55.654335448291398</v>
      </c>
      <c r="J130">
        <v>24.8055947479087</v>
      </c>
      <c r="K130">
        <v>14.6727328543124</v>
      </c>
      <c r="L130">
        <v>1.6444836482412848E-3</v>
      </c>
      <c r="M130">
        <v>4.1107973994203729E-4</v>
      </c>
      <c r="N130" s="1">
        <v>4.2064627386692903E-6</v>
      </c>
      <c r="O130" s="1">
        <v>8.4104931416909305E-6</v>
      </c>
      <c r="P130" s="1">
        <v>-1.82788874712606E-5</v>
      </c>
      <c r="AE130">
        <v>100</v>
      </c>
      <c r="AJ130">
        <v>1</v>
      </c>
    </row>
    <row r="131" spans="1:36" x14ac:dyDescent="0.2">
      <c r="A131">
        <v>130</v>
      </c>
      <c r="B131">
        <v>756</v>
      </c>
      <c r="C131">
        <v>180</v>
      </c>
      <c r="D131">
        <v>0.40344021765534699</v>
      </c>
      <c r="E131">
        <v>6.4258428186884098</v>
      </c>
      <c r="F131">
        <v>0.42493129038043198</v>
      </c>
      <c r="G131">
        <v>-140.42904161312069</v>
      </c>
      <c r="H131">
        <v>-81.258540208814878</v>
      </c>
      <c r="I131">
        <v>57.498108794790397</v>
      </c>
      <c r="J131">
        <v>25.693806117419399</v>
      </c>
      <c r="K131">
        <v>15.1220749428348</v>
      </c>
      <c r="L131">
        <v>1.6493076086517139E-3</v>
      </c>
      <c r="M131">
        <v>4.0993287200160016E-4</v>
      </c>
      <c r="N131" s="1">
        <v>4.74844506314644E-6</v>
      </c>
      <c r="O131" s="1">
        <v>8.6517981182402601E-6</v>
      </c>
      <c r="P131" s="1">
        <v>-1.8951347520500399E-5</v>
      </c>
      <c r="AE131">
        <v>100</v>
      </c>
      <c r="AJ131">
        <v>1</v>
      </c>
    </row>
    <row r="132" spans="1:36" x14ac:dyDescent="0.2">
      <c r="A132">
        <v>131</v>
      </c>
      <c r="B132">
        <v>754</v>
      </c>
      <c r="C132">
        <v>180</v>
      </c>
      <c r="D132">
        <v>0.402142335588766</v>
      </c>
      <c r="E132">
        <v>9.1822936206683305</v>
      </c>
      <c r="F132">
        <v>0.42633733786946298</v>
      </c>
      <c r="G132">
        <v>-200.50369411937351</v>
      </c>
      <c r="H132">
        <v>-116.18896680397948</v>
      </c>
      <c r="I132">
        <v>82.091205751507701</v>
      </c>
      <c r="J132">
        <v>36.778766909868203</v>
      </c>
      <c r="K132">
        <v>21.537624798604298</v>
      </c>
      <c r="L132">
        <v>1.6541080306075968E-3</v>
      </c>
      <c r="M132">
        <v>4.0877122888368126E-4</v>
      </c>
      <c r="N132" s="1">
        <v>7.3652841878454701E-6</v>
      </c>
      <c r="O132" s="1">
        <v>1.22985024365908E-5</v>
      </c>
      <c r="P132" s="1">
        <v>-2.7152166731079E-5</v>
      </c>
      <c r="AE132">
        <v>100</v>
      </c>
      <c r="AJ132">
        <v>1</v>
      </c>
    </row>
    <row r="133" spans="1:36" x14ac:dyDescent="0.2">
      <c r="A133">
        <v>132</v>
      </c>
      <c r="B133">
        <v>752</v>
      </c>
      <c r="C133">
        <v>180</v>
      </c>
      <c r="D133">
        <v>0.40083938935765601</v>
      </c>
      <c r="E133">
        <v>9.8382510821571394</v>
      </c>
      <c r="F133">
        <v>0.42775213401262102</v>
      </c>
      <c r="G133">
        <v>-214.6512848199184</v>
      </c>
      <c r="H133">
        <v>-124.56806285097289</v>
      </c>
      <c r="I133">
        <v>87.878702648736805</v>
      </c>
      <c r="J133">
        <v>39.473996581628299</v>
      </c>
      <c r="K133">
        <v>22.999887785169602</v>
      </c>
      <c r="L133">
        <v>1.6588835532679212E-3</v>
      </c>
      <c r="M133">
        <v>4.0759470247218323E-4</v>
      </c>
      <c r="N133" s="1">
        <v>8.5234747582411206E-6</v>
      </c>
      <c r="O133" s="1">
        <v>1.31073194145811E-5</v>
      </c>
      <c r="P133" s="1">
        <v>-2.9167394216835699E-5</v>
      </c>
      <c r="AE133">
        <v>100</v>
      </c>
      <c r="AJ133">
        <v>1</v>
      </c>
    </row>
    <row r="134" spans="1:36" x14ac:dyDescent="0.2">
      <c r="A134">
        <v>133</v>
      </c>
      <c r="B134">
        <v>750</v>
      </c>
      <c r="C134">
        <v>180</v>
      </c>
      <c r="D134">
        <v>0.39953134926452799</v>
      </c>
      <c r="E134">
        <v>10.1008055174005</v>
      </c>
      <c r="F134">
        <v>0.42917571301981799</v>
      </c>
      <c r="G134">
        <v>-220.19933740190854</v>
      </c>
      <c r="H134">
        <v>-127.97354837925977</v>
      </c>
      <c r="I134">
        <v>90.144719077189293</v>
      </c>
      <c r="J134">
        <v>40.597177852884997</v>
      </c>
      <c r="K134">
        <v>23.5353614171873</v>
      </c>
      <c r="L134">
        <v>1.6636327940927867E-3</v>
      </c>
      <c r="M134">
        <v>4.0640318817016419E-4</v>
      </c>
      <c r="N134" s="1">
        <v>9.4107839861812006E-6</v>
      </c>
      <c r="O134" s="1">
        <v>1.3384941983409201E-5</v>
      </c>
      <c r="P134" s="1">
        <v>-3.00223370256114E-5</v>
      </c>
      <c r="AE134">
        <v>100</v>
      </c>
      <c r="AJ134">
        <v>1</v>
      </c>
    </row>
    <row r="135" spans="1:36" x14ac:dyDescent="0.2">
      <c r="A135">
        <v>134</v>
      </c>
      <c r="B135">
        <v>748</v>
      </c>
      <c r="C135">
        <v>180</v>
      </c>
      <c r="D135">
        <v>0.39821818537923098</v>
      </c>
      <c r="E135">
        <v>10.249953412221799</v>
      </c>
      <c r="F135">
        <v>0.43060810804793997</v>
      </c>
      <c r="G135">
        <v>-223.26791679632609</v>
      </c>
      <c r="H135">
        <v>-129.94566227733588</v>
      </c>
      <c r="I135">
        <v>91.395113520787206</v>
      </c>
      <c r="J135">
        <v>41.2674520906154</v>
      </c>
      <c r="K135">
        <v>23.803438023235501</v>
      </c>
      <c r="L135">
        <v>1.6683543492933236E-3</v>
      </c>
      <c r="M135">
        <v>4.05196585097596E-4</v>
      </c>
      <c r="N135" s="1">
        <v>1.0230399004940399E-5</v>
      </c>
      <c r="O135" s="1">
        <v>1.3508772181022E-5</v>
      </c>
      <c r="P135" s="1">
        <v>-3.0542228048878203E-5</v>
      </c>
      <c r="AE135">
        <v>100</v>
      </c>
      <c r="AJ135">
        <v>1</v>
      </c>
    </row>
    <row r="136" spans="1:36" x14ac:dyDescent="0.2">
      <c r="A136">
        <v>135</v>
      </c>
      <c r="B136">
        <v>746</v>
      </c>
      <c r="C136">
        <v>180</v>
      </c>
      <c r="D136">
        <v>0.396899867536674</v>
      </c>
      <c r="E136">
        <v>10.346051225774699</v>
      </c>
      <c r="F136">
        <v>0.43204935116170301</v>
      </c>
      <c r="G136">
        <v>-225.17672926121713</v>
      </c>
      <c r="H136">
        <v>-131.24734013815691</v>
      </c>
      <c r="I136">
        <v>92.170249491136602</v>
      </c>
      <c r="J136">
        <v>41.725876595212199</v>
      </c>
      <c r="K136">
        <v>23.946457037734401</v>
      </c>
      <c r="L136">
        <v>1.6730467943248191E-3</v>
      </c>
      <c r="M136">
        <v>4.0397479629204904E-4</v>
      </c>
      <c r="N136" s="1">
        <v>1.10244834959251E-5</v>
      </c>
      <c r="O136" s="1">
        <v>1.35603383927426E-5</v>
      </c>
      <c r="P136" s="1">
        <v>-3.09047041640079E-5</v>
      </c>
      <c r="AE136">
        <v>100</v>
      </c>
      <c r="AJ136">
        <v>1</v>
      </c>
    </row>
    <row r="137" spans="1:36" x14ac:dyDescent="0.2">
      <c r="A137">
        <v>136</v>
      </c>
      <c r="B137">
        <v>744</v>
      </c>
      <c r="C137">
        <v>180</v>
      </c>
      <c r="D137">
        <v>0.39557636533451601</v>
      </c>
      <c r="E137">
        <v>10.413978072540401</v>
      </c>
      <c r="F137">
        <v>0.43349947329421301</v>
      </c>
      <c r="G137">
        <v>-226.4696554954499</v>
      </c>
      <c r="H137">
        <v>-132.19311428680851</v>
      </c>
      <c r="I137">
        <v>92.692818882550299</v>
      </c>
      <c r="J137">
        <v>42.071848479340098</v>
      </c>
      <c r="K137">
        <v>24.023046656558499</v>
      </c>
      <c r="L137">
        <v>1.677708684423718E-3</v>
      </c>
      <c r="M137">
        <v>4.0273772891197962E-4</v>
      </c>
      <c r="N137" s="1">
        <v>1.18107717940728E-5</v>
      </c>
      <c r="O137" s="1">
        <v>1.3573201677535E-5</v>
      </c>
      <c r="P137" s="1">
        <v>-3.1182992161259597E-5</v>
      </c>
      <c r="AE137">
        <v>100</v>
      </c>
      <c r="AJ137">
        <v>1</v>
      </c>
    </row>
    <row r="138" spans="1:36" x14ac:dyDescent="0.2">
      <c r="A138">
        <v>137</v>
      </c>
      <c r="B138">
        <v>742</v>
      </c>
      <c r="C138">
        <v>180</v>
      </c>
      <c r="D138">
        <v>0.39424764813081797</v>
      </c>
      <c r="E138">
        <v>10.465103419907701</v>
      </c>
      <c r="F138">
        <v>0.43495850420724302</v>
      </c>
      <c r="G138">
        <v>-227.39525056145405</v>
      </c>
      <c r="H138">
        <v>-132.9267191747978</v>
      </c>
      <c r="I138">
        <v>93.064591598743107</v>
      </c>
      <c r="J138">
        <v>42.350780096522897</v>
      </c>
      <c r="K138">
        <v>24.060004158285</v>
      </c>
      <c r="L138">
        <v>1.6823385551888914E-3</v>
      </c>
      <c r="M138">
        <v>4.0148529444228705E-4</v>
      </c>
      <c r="N138" s="1">
        <v>1.2597311105549E-5</v>
      </c>
      <c r="O138" s="1">
        <v>1.3562699336684401E-5</v>
      </c>
      <c r="P138" s="1">
        <v>-3.1410513193665798E-5</v>
      </c>
      <c r="AE138">
        <v>100</v>
      </c>
      <c r="AJ138">
        <v>1</v>
      </c>
    </row>
    <row r="139" spans="1:36" x14ac:dyDescent="0.2">
      <c r="A139">
        <v>138</v>
      </c>
      <c r="B139">
        <v>740</v>
      </c>
      <c r="C139">
        <v>180</v>
      </c>
      <c r="D139">
        <v>0.39291368504170499</v>
      </c>
      <c r="E139">
        <v>10.505301517307601</v>
      </c>
      <c r="F139">
        <v>0.436426472451306</v>
      </c>
      <c r="G139">
        <v>-228.08195097552283</v>
      </c>
      <c r="H139">
        <v>-133.52241105153408</v>
      </c>
      <c r="I139">
        <v>93.338154964828803</v>
      </c>
      <c r="J139">
        <v>42.5861211930903</v>
      </c>
      <c r="K139">
        <v>24.071183075356998</v>
      </c>
      <c r="L139">
        <v>1.6869349232087711E-3</v>
      </c>
      <c r="M139">
        <v>4.0021740890200245E-4</v>
      </c>
      <c r="N139" s="1">
        <v>1.33881671192679E-5</v>
      </c>
      <c r="O139" s="1">
        <v>1.35367597474721E-5</v>
      </c>
      <c r="P139" s="1">
        <v>-3.1604492608642297E-5</v>
      </c>
      <c r="AE139">
        <v>100</v>
      </c>
      <c r="AJ139">
        <v>1</v>
      </c>
    </row>
    <row r="140" spans="1:36" x14ac:dyDescent="0.2">
      <c r="A140">
        <v>139</v>
      </c>
      <c r="B140">
        <v>770</v>
      </c>
      <c r="C140">
        <v>165</v>
      </c>
      <c r="D140">
        <v>0.428203518190098</v>
      </c>
      <c r="E140">
        <v>6.0415167626182003</v>
      </c>
      <c r="F140">
        <v>0.38820509420539301</v>
      </c>
      <c r="G140">
        <v>-133.01470948504425</v>
      </c>
      <c r="H140">
        <v>-75.898527899247483</v>
      </c>
      <c r="I140">
        <v>54.756879559679703</v>
      </c>
      <c r="J140">
        <v>23.864332550945701</v>
      </c>
      <c r="K140">
        <v>15.5626931557516</v>
      </c>
      <c r="L140">
        <v>1.6934859353215411E-3</v>
      </c>
      <c r="M140">
        <v>4.8531295594346957E-4</v>
      </c>
      <c r="N140" s="1">
        <v>-2.7273777978418201E-6</v>
      </c>
      <c r="O140" s="1">
        <v>1.1466936549195399E-5</v>
      </c>
      <c r="P140" s="1">
        <v>-2.0771433699271901E-5</v>
      </c>
      <c r="AE140">
        <v>100</v>
      </c>
      <c r="AJ140">
        <v>1</v>
      </c>
    </row>
    <row r="141" spans="1:36" x14ac:dyDescent="0.2">
      <c r="A141">
        <v>140</v>
      </c>
      <c r="B141">
        <v>768</v>
      </c>
      <c r="C141">
        <v>165</v>
      </c>
      <c r="D141">
        <v>0.42697065744609403</v>
      </c>
      <c r="E141">
        <v>6.0636984183602998</v>
      </c>
      <c r="F141">
        <v>0.38952453362070399</v>
      </c>
      <c r="G141">
        <v>-133.39320812611857</v>
      </c>
      <c r="H141">
        <v>-76.225142705163051</v>
      </c>
      <c r="I141">
        <v>54.911910331406801</v>
      </c>
      <c r="J141">
        <v>23.998591320971499</v>
      </c>
      <c r="K141">
        <v>15.566922991979601</v>
      </c>
      <c r="L141">
        <v>1.6995712101089033E-3</v>
      </c>
      <c r="M141">
        <v>4.8427906171913848E-4</v>
      </c>
      <c r="N141" s="1">
        <v>-2.3891916016731598E-6</v>
      </c>
      <c r="O141" s="1">
        <v>1.14607376425802E-5</v>
      </c>
      <c r="P141" s="1">
        <v>-2.09243761514661E-5</v>
      </c>
      <c r="AE141">
        <v>100</v>
      </c>
      <c r="AJ141">
        <v>1</v>
      </c>
    </row>
    <row r="142" spans="1:36" x14ac:dyDescent="0.2">
      <c r="A142">
        <v>141</v>
      </c>
      <c r="B142">
        <v>766</v>
      </c>
      <c r="C142">
        <v>165</v>
      </c>
      <c r="D142">
        <v>0.42573305105134501</v>
      </c>
      <c r="E142">
        <v>6.11228065967126</v>
      </c>
      <c r="F142">
        <v>0.39085321339378198</v>
      </c>
      <c r="G142">
        <v>-134.35129488301303</v>
      </c>
      <c r="H142">
        <v>-76.884286073880773</v>
      </c>
      <c r="I142">
        <v>55.305303980621403</v>
      </c>
      <c r="J142">
        <v>24.238078087637199</v>
      </c>
      <c r="K142">
        <v>15.638302181523001</v>
      </c>
      <c r="L142">
        <v>1.7056535806377268E-3</v>
      </c>
      <c r="M142">
        <v>4.8322852376433267E-4</v>
      </c>
      <c r="N142" s="1">
        <v>-2.04836863979672E-6</v>
      </c>
      <c r="O142" s="1">
        <v>1.1503469453841799E-5</v>
      </c>
      <c r="P142" s="1">
        <v>-2.11693747764494E-5</v>
      </c>
      <c r="AE142">
        <v>100</v>
      </c>
      <c r="AJ142">
        <v>1</v>
      </c>
    </row>
    <row r="143" spans="1:36" x14ac:dyDescent="0.2">
      <c r="A143">
        <v>142</v>
      </c>
      <c r="B143">
        <v>764</v>
      </c>
      <c r="C143">
        <v>165</v>
      </c>
      <c r="D143">
        <v>0.424490671551851</v>
      </c>
      <c r="E143">
        <v>6.2671102638949101</v>
      </c>
      <c r="F143">
        <v>0.39219119463420299</v>
      </c>
      <c r="G143">
        <v>-137.64117026582412</v>
      </c>
      <c r="H143">
        <v>-78.881587335377446</v>
      </c>
      <c r="I143">
        <v>56.658313026837298</v>
      </c>
      <c r="J143">
        <v>24.900652425814901</v>
      </c>
      <c r="K143">
        <v>15.979732206227199</v>
      </c>
      <c r="L143">
        <v>1.7117317115112462E-3</v>
      </c>
      <c r="M143">
        <v>4.8216111918115344E-4</v>
      </c>
      <c r="N143" s="1">
        <v>-1.72185998709765E-6</v>
      </c>
      <c r="O143" s="1">
        <v>1.17441058106851E-5</v>
      </c>
      <c r="P143" s="1">
        <v>-2.17849535402328E-5</v>
      </c>
      <c r="AE143">
        <v>100</v>
      </c>
      <c r="AJ143">
        <v>1</v>
      </c>
    </row>
    <row r="144" spans="1:36" x14ac:dyDescent="0.2">
      <c r="A144">
        <v>143</v>
      </c>
      <c r="B144">
        <v>762</v>
      </c>
      <c r="C144">
        <v>165</v>
      </c>
      <c r="D144">
        <v>0.42324349128146099</v>
      </c>
      <c r="E144">
        <v>6.45766450563268</v>
      </c>
      <c r="F144">
        <v>0.39353853790562299</v>
      </c>
      <c r="G144">
        <v>-141.7094980097105</v>
      </c>
      <c r="H144">
        <v>-81.331382441697343</v>
      </c>
      <c r="I144">
        <v>58.331460213678497</v>
      </c>
      <c r="J144">
        <v>25.708041993957099</v>
      </c>
      <c r="K144">
        <v>16.4092303132491</v>
      </c>
      <c r="L144">
        <v>1.7178042291873753E-3</v>
      </c>
      <c r="M144">
        <v>4.8107662554678938E-4</v>
      </c>
      <c r="N144" s="1">
        <v>-1.3746085931579899E-6</v>
      </c>
      <c r="O144" s="1">
        <v>1.2048447658845799E-5</v>
      </c>
      <c r="P144" s="1">
        <v>-2.2529077898851599E-5</v>
      </c>
      <c r="AE144">
        <v>100</v>
      </c>
      <c r="AJ144">
        <v>1</v>
      </c>
    </row>
    <row r="145" spans="1:36" x14ac:dyDescent="0.2">
      <c r="A145">
        <v>144</v>
      </c>
      <c r="B145">
        <v>760</v>
      </c>
      <c r="C145">
        <v>165</v>
      </c>
      <c r="D145">
        <v>0.42199148235977502</v>
      </c>
      <c r="E145">
        <v>6.65558286673203</v>
      </c>
      <c r="F145">
        <v>0.39489530318156502</v>
      </c>
      <c r="G145">
        <v>-145.9325081790264</v>
      </c>
      <c r="H145">
        <v>-83.877119149034769</v>
      </c>
      <c r="I145">
        <v>60.067945374057501</v>
      </c>
      <c r="J145">
        <v>26.547965903319302</v>
      </c>
      <c r="K145">
        <v>16.854044130456298</v>
      </c>
      <c r="L145">
        <v>1.7238697217054071E-3</v>
      </c>
      <c r="M145">
        <v>4.7997482112403377E-4</v>
      </c>
      <c r="N145" s="1">
        <v>-9.9477622607499602E-7</v>
      </c>
      <c r="O145" s="1">
        <v>1.23628921002382E-5</v>
      </c>
      <c r="P145" s="1">
        <v>-2.3303763533245801E-5</v>
      </c>
      <c r="AE145">
        <v>100</v>
      </c>
      <c r="AJ145">
        <v>1</v>
      </c>
    </row>
    <row r="146" spans="1:36" x14ac:dyDescent="0.2">
      <c r="A146">
        <v>145</v>
      </c>
      <c r="B146">
        <v>758</v>
      </c>
      <c r="C146">
        <v>165</v>
      </c>
      <c r="D146">
        <v>0.42073461669010398</v>
      </c>
      <c r="E146">
        <v>8.8937986205615296</v>
      </c>
      <c r="F146">
        <v>0.396261549799999</v>
      </c>
      <c r="G146">
        <v>-194.84789824612514</v>
      </c>
      <c r="H146">
        <v>-112.15530029326806</v>
      </c>
      <c r="I146">
        <v>80.199473918023102</v>
      </c>
      <c r="J146">
        <v>35.545567168734998</v>
      </c>
      <c r="K146">
        <v>22.444263454403799</v>
      </c>
      <c r="L146">
        <v>1.7299267384512389E-3</v>
      </c>
      <c r="M146">
        <v>4.7885548508087568E-4</v>
      </c>
      <c r="N146" s="1">
        <v>-7.5179953064351003E-7</v>
      </c>
      <c r="O146" s="1">
        <v>1.6446535849562999E-5</v>
      </c>
      <c r="P146" s="1">
        <v>-3.1253019724147399E-5</v>
      </c>
      <c r="AE146">
        <v>100</v>
      </c>
      <c r="AJ146">
        <v>1</v>
      </c>
    </row>
    <row r="147" spans="1:36" x14ac:dyDescent="0.2">
      <c r="A147">
        <v>146</v>
      </c>
      <c r="B147">
        <v>756</v>
      </c>
      <c r="C147">
        <v>165</v>
      </c>
      <c r="D147">
        <v>0.41947286595734501</v>
      </c>
      <c r="E147">
        <v>9.7686216128816401</v>
      </c>
      <c r="F147">
        <v>0.39763733641677101</v>
      </c>
      <c r="G147">
        <v>-213.83767149478837</v>
      </c>
      <c r="H147">
        <v>-123.26542154609196</v>
      </c>
      <c r="I147">
        <v>88.012282129762696</v>
      </c>
      <c r="J147">
        <v>39.118813355045098</v>
      </c>
      <c r="K147">
        <v>24.566660919996998</v>
      </c>
      <c r="L147">
        <v>1.7359737899651166E-3</v>
      </c>
      <c r="M147">
        <v>4.7771839771953821E-4</v>
      </c>
      <c r="N147" s="1">
        <v>-1.7629858938765101E-7</v>
      </c>
      <c r="O147" s="1">
        <v>1.7982405982025899E-5</v>
      </c>
      <c r="P147" s="1">
        <v>-3.44504324186341E-5</v>
      </c>
      <c r="AE147">
        <v>100</v>
      </c>
      <c r="AJ147">
        <v>1</v>
      </c>
    </row>
    <row r="148" spans="1:36" x14ac:dyDescent="0.2">
      <c r="A148">
        <v>147</v>
      </c>
      <c r="B148">
        <v>754</v>
      </c>
      <c r="C148">
        <v>165</v>
      </c>
      <c r="D148">
        <v>0.41820620162585598</v>
      </c>
      <c r="E148">
        <v>10.076691021344899</v>
      </c>
      <c r="F148">
        <v>0.39902272095790298</v>
      </c>
      <c r="G148">
        <v>-220.39989382308184</v>
      </c>
      <c r="H148">
        <v>-127.23358206139687</v>
      </c>
      <c r="I148">
        <v>90.709320219117998</v>
      </c>
      <c r="J148">
        <v>40.432038643177599</v>
      </c>
      <c r="K148">
        <v>25.253426664914201</v>
      </c>
      <c r="L148">
        <v>1.7420093477943047E-3</v>
      </c>
      <c r="M148">
        <v>4.765633407149943E-4</v>
      </c>
      <c r="N148" s="1">
        <v>5.0382357852346099E-7</v>
      </c>
      <c r="O148" s="1">
        <v>1.8464324540870399E-5</v>
      </c>
      <c r="P148" s="1">
        <v>-3.56637704482031E-5</v>
      </c>
      <c r="AE148">
        <v>100</v>
      </c>
      <c r="AJ148">
        <v>1</v>
      </c>
    </row>
    <row r="149" spans="1:36" x14ac:dyDescent="0.2">
      <c r="A149">
        <v>148</v>
      </c>
      <c r="B149">
        <v>752</v>
      </c>
      <c r="C149">
        <v>165</v>
      </c>
      <c r="D149">
        <v>0.41693459493732699</v>
      </c>
      <c r="E149">
        <v>10.238584295894899</v>
      </c>
      <c r="F149">
        <v>0.40041776057068901</v>
      </c>
      <c r="G149">
        <v>-223.7566105776533</v>
      </c>
      <c r="H149">
        <v>-129.35997567926492</v>
      </c>
      <c r="I149">
        <v>92.086518114464795</v>
      </c>
      <c r="J149">
        <v>41.162700475953898</v>
      </c>
      <c r="K149">
        <v>25.569755650455001</v>
      </c>
      <c r="L149">
        <v>1.7480318443923882E-3</v>
      </c>
      <c r="M149">
        <v>4.7539009736277693E-4</v>
      </c>
      <c r="N149" s="1">
        <v>1.2247526355099599E-6</v>
      </c>
      <c r="O149" s="1">
        <v>1.86736561942775E-5</v>
      </c>
      <c r="P149" s="1">
        <v>-3.6365336683553299E-5</v>
      </c>
      <c r="AE149">
        <v>100</v>
      </c>
      <c r="AJ149">
        <v>1</v>
      </c>
    </row>
    <row r="150" spans="1:36" x14ac:dyDescent="0.2">
      <c r="A150">
        <v>149</v>
      </c>
      <c r="B150">
        <v>750</v>
      </c>
      <c r="C150">
        <v>165</v>
      </c>
      <c r="D150">
        <v>0.41565801690856902</v>
      </c>
      <c r="E150">
        <v>10.3430343423219</v>
      </c>
      <c r="F150">
        <v>0.401822511573727</v>
      </c>
      <c r="G150">
        <v>-225.8533176415026</v>
      </c>
      <c r="H150">
        <v>-130.76290308682115</v>
      </c>
      <c r="I150">
        <v>92.944664491098195</v>
      </c>
      <c r="J150">
        <v>41.664766714212597</v>
      </c>
      <c r="K150">
        <v>25.740305842531502</v>
      </c>
      <c r="L150">
        <v>1.7540396730693405E-3</v>
      </c>
      <c r="M150">
        <v>4.7419845283640184E-4</v>
      </c>
      <c r="N150" s="1">
        <v>1.9737793106545199E-6</v>
      </c>
      <c r="O150" s="1">
        <v>1.87751644498774E-5</v>
      </c>
      <c r="P150" s="1">
        <v>-3.6865806549491698E-5</v>
      </c>
      <c r="AE150">
        <v>100</v>
      </c>
      <c r="AJ150">
        <v>1</v>
      </c>
    </row>
    <row r="151" spans="1:36" x14ac:dyDescent="0.2">
      <c r="A151">
        <v>150</v>
      </c>
      <c r="B151">
        <v>748</v>
      </c>
      <c r="C151">
        <v>165</v>
      </c>
      <c r="D151">
        <v>0.41437643832933801</v>
      </c>
      <c r="E151">
        <v>10.4152009936649</v>
      </c>
      <c r="F151">
        <v>0.40323702940579398</v>
      </c>
      <c r="G151">
        <v>-227.24206409623221</v>
      </c>
      <c r="H151">
        <v>-131.75927144379531</v>
      </c>
      <c r="I151">
        <v>93.510995319014796</v>
      </c>
      <c r="J151">
        <v>42.038413400363297</v>
      </c>
      <c r="K151">
        <v>25.828979568202399</v>
      </c>
      <c r="L151">
        <v>1.760031187994168E-3</v>
      </c>
      <c r="M151">
        <v>4.729881944542482E-4</v>
      </c>
      <c r="N151" s="1">
        <v>2.7458775586023598E-6</v>
      </c>
      <c r="O151" s="1">
        <v>1.8815748760922299E-5</v>
      </c>
      <c r="P151" s="1">
        <v>-3.7252924921592097E-5</v>
      </c>
      <c r="AE151">
        <v>100</v>
      </c>
      <c r="AJ151">
        <v>1</v>
      </c>
    </row>
    <row r="152" spans="1:36" x14ac:dyDescent="0.2">
      <c r="A152">
        <v>151</v>
      </c>
      <c r="B152">
        <v>746</v>
      </c>
      <c r="C152">
        <v>165</v>
      </c>
      <c r="D152">
        <v>0.41308982976009601</v>
      </c>
      <c r="E152">
        <v>10.4686631043893</v>
      </c>
      <c r="F152">
        <v>0.40466136857365498</v>
      </c>
      <c r="G152">
        <v>-228.22061777548805</v>
      </c>
      <c r="H152">
        <v>-132.52019490924727</v>
      </c>
      <c r="I152">
        <v>93.908074059872106</v>
      </c>
      <c r="J152">
        <v>42.337775454996198</v>
      </c>
      <c r="K152">
        <v>25.870181631839898</v>
      </c>
      <c r="L152">
        <v>1.7660047042531962E-3</v>
      </c>
      <c r="M152">
        <v>4.7175911195581065E-4</v>
      </c>
      <c r="N152" s="1">
        <v>3.5390368627333201E-6</v>
      </c>
      <c r="O152" s="1">
        <v>1.8820632948236002E-5</v>
      </c>
      <c r="P152" s="1">
        <v>-3.7574131242315399E-5</v>
      </c>
      <c r="AE152">
        <v>100</v>
      </c>
      <c r="AJ152">
        <v>1</v>
      </c>
    </row>
    <row r="153" spans="1:36" x14ac:dyDescent="0.2">
      <c r="A153">
        <v>152</v>
      </c>
      <c r="B153">
        <v>744</v>
      </c>
      <c r="C153">
        <v>165</v>
      </c>
      <c r="D153">
        <v>0.411798161529766</v>
      </c>
      <c r="E153">
        <v>10.510221328259799</v>
      </c>
      <c r="F153">
        <v>0.40609558259880402</v>
      </c>
      <c r="G153">
        <v>-228.93812377878248</v>
      </c>
      <c r="H153">
        <v>-133.13136586498987</v>
      </c>
      <c r="I153">
        <v>94.197289001463005</v>
      </c>
      <c r="J153">
        <v>42.589950834044203</v>
      </c>
      <c r="K153">
        <v>25.881151577664902</v>
      </c>
      <c r="L153">
        <v>1.7719584979668348E-3</v>
      </c>
      <c r="M153">
        <v>4.7051099778743025E-4</v>
      </c>
      <c r="N153" s="1">
        <v>4.3522486073346401E-6</v>
      </c>
      <c r="O153" s="1">
        <v>1.88024497594366E-5</v>
      </c>
      <c r="P153" s="1">
        <v>-3.7853130113051103E-5</v>
      </c>
      <c r="AE153">
        <v>100</v>
      </c>
      <c r="AJ153">
        <v>1</v>
      </c>
    </row>
    <row r="154" spans="1:36" x14ac:dyDescent="0.2">
      <c r="A154">
        <v>153</v>
      </c>
      <c r="B154">
        <v>776</v>
      </c>
      <c r="C154">
        <v>150</v>
      </c>
      <c r="D154">
        <v>0.447600915026452</v>
      </c>
      <c r="E154">
        <v>6.2964255424740703</v>
      </c>
      <c r="F154">
        <v>0.35500396313718702</v>
      </c>
      <c r="G154">
        <v>-139.22531026274135</v>
      </c>
      <c r="H154">
        <v>-78.748896324324988</v>
      </c>
      <c r="I154">
        <v>57.646682685751799</v>
      </c>
      <c r="J154">
        <v>24.6135964632822</v>
      </c>
      <c r="K154">
        <v>17.7362119758671</v>
      </c>
      <c r="L154">
        <v>1.7449668098908988E-3</v>
      </c>
      <c r="M154">
        <v>5.7201298255247102E-4</v>
      </c>
      <c r="N154" s="1">
        <v>-1.0961177450042E-5</v>
      </c>
      <c r="O154" s="1">
        <v>1.6811491449313701E-5</v>
      </c>
      <c r="P154" s="1">
        <v>-2.5398240574037701E-5</v>
      </c>
      <c r="AE154">
        <v>100</v>
      </c>
      <c r="AJ154">
        <v>1</v>
      </c>
    </row>
    <row r="155" spans="1:36" x14ac:dyDescent="0.2">
      <c r="A155">
        <v>154</v>
      </c>
      <c r="B155">
        <v>774</v>
      </c>
      <c r="C155">
        <v>150</v>
      </c>
      <c r="D155">
        <v>0.44641216635630598</v>
      </c>
      <c r="E155">
        <v>6.3298900740836102</v>
      </c>
      <c r="F155">
        <v>0.35624768027248299</v>
      </c>
      <c r="G155">
        <v>-139.8494124374682</v>
      </c>
      <c r="H155">
        <v>-79.216976660493316</v>
      </c>
      <c r="I155">
        <v>57.905799674139402</v>
      </c>
      <c r="J155">
        <v>24.797731791955101</v>
      </c>
      <c r="K155">
        <v>17.7682281867549</v>
      </c>
      <c r="L155">
        <v>1.7523037160198554E-3</v>
      </c>
      <c r="M155">
        <v>5.7113666056184315E-4</v>
      </c>
      <c r="N155" s="1">
        <v>-1.07201299485514E-5</v>
      </c>
      <c r="O155" s="1">
        <v>1.6842470061081699E-5</v>
      </c>
      <c r="P155" s="1">
        <v>-2.56448539134178E-5</v>
      </c>
      <c r="AE155">
        <v>100</v>
      </c>
      <c r="AJ155">
        <v>1</v>
      </c>
    </row>
    <row r="156" spans="1:36" x14ac:dyDescent="0.2">
      <c r="A156">
        <v>155</v>
      </c>
      <c r="B156">
        <v>772</v>
      </c>
      <c r="C156">
        <v>150</v>
      </c>
      <c r="D156">
        <v>0.44521886810505501</v>
      </c>
      <c r="E156">
        <v>6.3739157944656997</v>
      </c>
      <c r="F156">
        <v>0.35750100822311298</v>
      </c>
      <c r="G156">
        <v>-140.7055252570305</v>
      </c>
      <c r="H156">
        <v>-79.817941839146187</v>
      </c>
      <c r="I156">
        <v>58.260757751428201</v>
      </c>
      <c r="J156">
        <v>25.024254348782598</v>
      </c>
      <c r="K156">
        <v>17.829084807749101</v>
      </c>
      <c r="L156">
        <v>1.7596620566039769E-3</v>
      </c>
      <c r="M156">
        <v>5.7024290048188772E-4</v>
      </c>
      <c r="N156" s="1">
        <v>-1.04824373979013E-5</v>
      </c>
      <c r="O156" s="1">
        <v>1.6900372677633498E-5</v>
      </c>
      <c r="P156" s="1">
        <v>-2.59364813394221E-5</v>
      </c>
      <c r="AE156">
        <v>100</v>
      </c>
      <c r="AJ156">
        <v>1</v>
      </c>
    </row>
    <row r="157" spans="1:36" x14ac:dyDescent="0.2">
      <c r="A157">
        <v>156</v>
      </c>
      <c r="B157">
        <v>770</v>
      </c>
      <c r="C157">
        <v>150</v>
      </c>
      <c r="D157">
        <v>0.44402099410439499</v>
      </c>
      <c r="E157">
        <v>6.4180049429017201</v>
      </c>
      <c r="F157">
        <v>0.35876403269776902</v>
      </c>
      <c r="G157">
        <v>-141.56152321127072</v>
      </c>
      <c r="H157">
        <v>-80.420501644235884</v>
      </c>
      <c r="I157">
        <v>58.615438185854202</v>
      </c>
      <c r="J157">
        <v>25.2521322256963</v>
      </c>
      <c r="K157">
        <v>17.889209502526601</v>
      </c>
      <c r="L157">
        <v>1.7670407512394338E-3</v>
      </c>
      <c r="M157">
        <v>5.6933137529686646E-4</v>
      </c>
      <c r="N157" s="1">
        <v>-1.0229348468557E-5</v>
      </c>
      <c r="O157" s="1">
        <v>1.6957147441876701E-5</v>
      </c>
      <c r="P157" s="1">
        <v>-2.6230779624971699E-5</v>
      </c>
      <c r="AE157">
        <v>100</v>
      </c>
      <c r="AJ157">
        <v>1</v>
      </c>
    </row>
    <row r="158" spans="1:36" x14ac:dyDescent="0.2">
      <c r="A158">
        <v>157</v>
      </c>
      <c r="B158">
        <v>768</v>
      </c>
      <c r="C158">
        <v>150</v>
      </c>
      <c r="D158">
        <v>0.442818517984921</v>
      </c>
      <c r="E158">
        <v>6.5783063380710898</v>
      </c>
      <c r="F158">
        <v>0.36003683949936299</v>
      </c>
      <c r="G158">
        <v>-144.97717155933645</v>
      </c>
      <c r="H158">
        <v>-82.480972705910247</v>
      </c>
      <c r="I158">
        <v>60.0297395805283</v>
      </c>
      <c r="J158">
        <v>25.939364590985502</v>
      </c>
      <c r="K158">
        <v>18.2712034335661</v>
      </c>
      <c r="L158">
        <v>1.774438670789342E-3</v>
      </c>
      <c r="M158">
        <v>5.6840175416322618E-4</v>
      </c>
      <c r="N158" s="1">
        <v>-1.01394035070236E-5</v>
      </c>
      <c r="O158" s="1">
        <v>1.7318553262775599E-5</v>
      </c>
      <c r="P158" s="1">
        <v>-2.7004550255078299E-5</v>
      </c>
      <c r="AE158">
        <v>100</v>
      </c>
      <c r="AJ158">
        <v>1</v>
      </c>
    </row>
    <row r="159" spans="1:36" x14ac:dyDescent="0.2">
      <c r="A159">
        <v>158</v>
      </c>
      <c r="B159">
        <v>766</v>
      </c>
      <c r="C159">
        <v>150</v>
      </c>
      <c r="D159">
        <v>0.44161141317423203</v>
      </c>
      <c r="E159">
        <v>6.7572763716455801</v>
      </c>
      <c r="F159">
        <v>0.36131951448594002</v>
      </c>
      <c r="G159">
        <v>-148.79815982794409</v>
      </c>
      <c r="H159">
        <v>-84.778306471984308</v>
      </c>
      <c r="I159">
        <v>61.6116251594514</v>
      </c>
      <c r="J159">
        <v>26.703494366075599</v>
      </c>
      <c r="K159">
        <v>18.701664595280299</v>
      </c>
      <c r="L159">
        <v>1.7818546362032702E-3</v>
      </c>
      <c r="M159">
        <v>5.6745370252813743E-4</v>
      </c>
      <c r="N159" s="1">
        <v>-1.0048130655112E-5</v>
      </c>
      <c r="O159" s="1">
        <v>1.7725376125728501E-5</v>
      </c>
      <c r="P159" s="1">
        <v>-2.7861920632053901E-5</v>
      </c>
      <c r="AE159">
        <v>100</v>
      </c>
      <c r="AJ159">
        <v>1</v>
      </c>
    </row>
    <row r="160" spans="1:36" x14ac:dyDescent="0.2">
      <c r="A160">
        <v>159</v>
      </c>
      <c r="B160">
        <v>764</v>
      </c>
      <c r="C160">
        <v>150</v>
      </c>
      <c r="D160">
        <v>0.44039965289495597</v>
      </c>
      <c r="E160">
        <v>6.9442108185095703</v>
      </c>
      <c r="F160">
        <v>0.36261214352975601</v>
      </c>
      <c r="G160">
        <v>-152.78795828798519</v>
      </c>
      <c r="H160">
        <v>-87.178572810243352</v>
      </c>
      <c r="I160">
        <v>63.263133955161301</v>
      </c>
      <c r="J160">
        <v>27.5026357658476</v>
      </c>
      <c r="K160">
        <v>19.15051920466</v>
      </c>
      <c r="L160">
        <v>1.7892874173430714E-3</v>
      </c>
      <c r="M160">
        <v>5.6648688226013013E-4</v>
      </c>
      <c r="N160" s="1">
        <v>-9.93593117194229E-6</v>
      </c>
      <c r="O160" s="1">
        <v>1.81490515902353E-5</v>
      </c>
      <c r="P160" s="1">
        <v>-2.8759616456607702E-5</v>
      </c>
      <c r="AE160">
        <v>100</v>
      </c>
      <c r="AJ160">
        <v>1</v>
      </c>
    </row>
    <row r="161" spans="1:36" x14ac:dyDescent="0.2">
      <c r="A161">
        <v>160</v>
      </c>
      <c r="B161">
        <v>762</v>
      </c>
      <c r="C161">
        <v>150</v>
      </c>
      <c r="D161">
        <v>0.439183210162781</v>
      </c>
      <c r="E161">
        <v>8.9692464617775691</v>
      </c>
      <c r="F161">
        <v>0.363914812474528</v>
      </c>
      <c r="G161">
        <v>-197.17985543968442</v>
      </c>
      <c r="H161">
        <v>-112.67227142329152</v>
      </c>
      <c r="I161">
        <v>81.642966497602401</v>
      </c>
      <c r="J161">
        <v>35.6013199512591</v>
      </c>
      <c r="K161">
        <v>24.646555057182098</v>
      </c>
      <c r="L161">
        <v>1.7967357318186277E-3</v>
      </c>
      <c r="M161">
        <v>5.6550095179265546E-4</v>
      </c>
      <c r="N161" s="1">
        <v>-1.23124553031933E-5</v>
      </c>
      <c r="O161" s="1">
        <v>2.33547242449904E-5</v>
      </c>
      <c r="P161" s="1">
        <v>-3.7311332584975797E-5</v>
      </c>
      <c r="AE161">
        <v>100</v>
      </c>
      <c r="AJ161">
        <v>1</v>
      </c>
    </row>
    <row r="162" spans="1:36" x14ac:dyDescent="0.2">
      <c r="A162">
        <v>161</v>
      </c>
      <c r="B162">
        <v>760</v>
      </c>
      <c r="C162">
        <v>150</v>
      </c>
      <c r="D162">
        <v>0.43796205778444602</v>
      </c>
      <c r="E162">
        <v>9.8023721190556596</v>
      </c>
      <c r="F162">
        <v>0.365227607090785</v>
      </c>
      <c r="G162">
        <v>-215.31690664784207</v>
      </c>
      <c r="H162">
        <v>-123.21595407598468</v>
      </c>
      <c r="I162">
        <v>89.151199817179005</v>
      </c>
      <c r="J162">
        <v>38.994525938712897</v>
      </c>
      <c r="K162">
        <v>26.8390776840127</v>
      </c>
      <c r="L162">
        <v>1.804198243836138E-3</v>
      </c>
      <c r="M162">
        <v>5.6449556628087628E-4</v>
      </c>
      <c r="N162" s="1">
        <v>-1.2867852731432501E-5</v>
      </c>
      <c r="O162" s="1">
        <v>2.5428320689886499E-5</v>
      </c>
      <c r="P162" s="1">
        <v>-4.0958480189807598E-5</v>
      </c>
      <c r="AE162">
        <v>100</v>
      </c>
      <c r="AJ162">
        <v>1</v>
      </c>
    </row>
    <row r="163" spans="1:36" x14ac:dyDescent="0.2">
      <c r="A163">
        <v>162</v>
      </c>
      <c r="B163">
        <v>758</v>
      </c>
      <c r="C163">
        <v>150</v>
      </c>
      <c r="D163">
        <v>0.43673616835572199</v>
      </c>
      <c r="E163">
        <v>10.1027350332184</v>
      </c>
      <c r="F163">
        <v>0.36655061302928899</v>
      </c>
      <c r="G163">
        <v>-221.73092914835641</v>
      </c>
      <c r="H163">
        <v>-127.07198825951907</v>
      </c>
      <c r="I163">
        <v>91.804996648598404</v>
      </c>
      <c r="J163">
        <v>40.278863691284201</v>
      </c>
      <c r="K163">
        <v>27.561637258566499</v>
      </c>
      <c r="L163">
        <v>1.811673563062476E-3</v>
      </c>
      <c r="M163">
        <v>5.6347037777246917E-4</v>
      </c>
      <c r="N163" s="1">
        <v>-1.26359540985428E-5</v>
      </c>
      <c r="O163" s="1">
        <v>2.6107938777878699E-5</v>
      </c>
      <c r="P163" s="1">
        <v>-4.2401587664740698E-5</v>
      </c>
      <c r="AE163">
        <v>100</v>
      </c>
      <c r="AJ163">
        <v>1</v>
      </c>
    </row>
    <row r="164" spans="1:36" x14ac:dyDescent="0.2">
      <c r="A164">
        <v>163</v>
      </c>
      <c r="B164">
        <v>756</v>
      </c>
      <c r="C164">
        <v>150</v>
      </c>
      <c r="D164">
        <v>0.43550551425934297</v>
      </c>
      <c r="E164">
        <v>10.2608438590348</v>
      </c>
      <c r="F164">
        <v>0.36788391577249802</v>
      </c>
      <c r="G164">
        <v>-225.01463658092831</v>
      </c>
      <c r="H164">
        <v>-129.14258750670044</v>
      </c>
      <c r="I164">
        <v>93.162241616063696</v>
      </c>
      <c r="J164">
        <v>41.0006227977793</v>
      </c>
      <c r="K164">
        <v>27.891526155713098</v>
      </c>
      <c r="L164">
        <v>1.8191602435088765E-3</v>
      </c>
      <c r="M164">
        <v>5.6242503539277288E-4</v>
      </c>
      <c r="N164" s="1">
        <v>-1.21771187822553E-5</v>
      </c>
      <c r="O164" s="1">
        <v>2.6414518101479401E-5</v>
      </c>
      <c r="P164" s="1">
        <v>-4.3257239763436802E-5</v>
      </c>
      <c r="AE164">
        <v>100</v>
      </c>
      <c r="AJ164">
        <v>1</v>
      </c>
    </row>
    <row r="165" spans="1:36" x14ac:dyDescent="0.2">
      <c r="A165">
        <v>164</v>
      </c>
      <c r="B165">
        <v>754</v>
      </c>
      <c r="C165">
        <v>150</v>
      </c>
      <c r="D165">
        <v>0.43427006766295001</v>
      </c>
      <c r="E165">
        <v>10.360336616598801</v>
      </c>
      <c r="F165">
        <v>0.36922760058402998</v>
      </c>
      <c r="G165">
        <v>-227.00840719566517</v>
      </c>
      <c r="H165">
        <v>-130.47768860311601</v>
      </c>
      <c r="I165">
        <v>93.984955861713203</v>
      </c>
      <c r="J165">
        <v>41.490968519661699</v>
      </c>
      <c r="K165">
        <v>28.059485802825201</v>
      </c>
      <c r="L165">
        <v>1.8266567824380484E-3</v>
      </c>
      <c r="M165">
        <v>5.6135918554508959E-4</v>
      </c>
      <c r="N165" s="1">
        <v>-1.1611055281171199E-5</v>
      </c>
      <c r="O165" s="1">
        <v>2.65667089719693E-5</v>
      </c>
      <c r="P165" s="1">
        <v>-4.3871612312444198E-5</v>
      </c>
      <c r="AE165">
        <v>100</v>
      </c>
      <c r="AJ165">
        <v>1</v>
      </c>
    </row>
    <row r="166" spans="1:36" x14ac:dyDescent="0.2">
      <c r="A166">
        <v>165</v>
      </c>
      <c r="B166">
        <v>752</v>
      </c>
      <c r="C166">
        <v>150</v>
      </c>
      <c r="D166">
        <v>0.43302980051699702</v>
      </c>
      <c r="E166">
        <v>10.431722046190799</v>
      </c>
      <c r="F166">
        <v>0.37058175245608199</v>
      </c>
      <c r="G166">
        <v>-228.38337089289669</v>
      </c>
      <c r="H166">
        <v>-131.46036156551637</v>
      </c>
      <c r="I166">
        <v>94.551020825553493</v>
      </c>
      <c r="J166">
        <v>41.870785493062201</v>
      </c>
      <c r="K166">
        <v>28.149583666905201</v>
      </c>
      <c r="L166">
        <v>1.8341616192980006E-3</v>
      </c>
      <c r="M166">
        <v>5.6027247212644591E-4</v>
      </c>
      <c r="N166" s="1">
        <v>-1.09804951290695E-5</v>
      </c>
      <c r="O166" s="1">
        <v>2.6644150428010402E-5</v>
      </c>
      <c r="P166" s="1">
        <v>-4.4371133339987502E-5</v>
      </c>
      <c r="AE166">
        <v>100</v>
      </c>
      <c r="AJ166">
        <v>1</v>
      </c>
    </row>
    <row r="167" spans="1:36" x14ac:dyDescent="0.2">
      <c r="A167">
        <v>166</v>
      </c>
      <c r="B167">
        <v>750</v>
      </c>
      <c r="C167">
        <v>150</v>
      </c>
      <c r="D167">
        <v>0.43178468455260599</v>
      </c>
      <c r="E167">
        <v>10.484101015285701</v>
      </c>
      <c r="F167">
        <v>0.37194645605480398</v>
      </c>
      <c r="G167">
        <v>-229.3401427654621</v>
      </c>
      <c r="H167">
        <v>-132.20469719832835</v>
      </c>
      <c r="I167">
        <v>94.943503116387802</v>
      </c>
      <c r="J167">
        <v>42.175924495222503</v>
      </c>
      <c r="K167">
        <v>28.187124368624101</v>
      </c>
      <c r="L167">
        <v>1.8416731346872896E-3</v>
      </c>
      <c r="M167">
        <v>5.5916453675955837E-4</v>
      </c>
      <c r="N167" s="1">
        <v>-1.0299294358015201E-5</v>
      </c>
      <c r="O167" s="1">
        <v>2.6670805869514E-5</v>
      </c>
      <c r="P167" s="1">
        <v>-4.4793046241477E-5</v>
      </c>
      <c r="AE167">
        <v>100</v>
      </c>
      <c r="AJ167">
        <v>1</v>
      </c>
    </row>
    <row r="168" spans="1:36" x14ac:dyDescent="0.2">
      <c r="A168">
        <v>167</v>
      </c>
      <c r="B168">
        <v>748</v>
      </c>
      <c r="C168">
        <v>150</v>
      </c>
      <c r="D168">
        <v>0.43053469127944</v>
      </c>
      <c r="E168">
        <v>10.524721578668</v>
      </c>
      <c r="F168">
        <v>0.373321795663561</v>
      </c>
      <c r="G168">
        <v>-230.03817942450752</v>
      </c>
      <c r="H168">
        <v>-132.80169755632451</v>
      </c>
      <c r="I168">
        <v>95.228423601000998</v>
      </c>
      <c r="J168">
        <v>42.435088204086298</v>
      </c>
      <c r="K168">
        <v>28.192089775955399</v>
      </c>
      <c r="L168">
        <v>1.8491896493556148E-3</v>
      </c>
      <c r="M168">
        <v>5.58035019041471E-4</v>
      </c>
      <c r="N168" s="1">
        <v>-9.5773417992573103E-6</v>
      </c>
      <c r="O168" s="1">
        <v>2.66655839549258E-5</v>
      </c>
      <c r="P168" s="1">
        <v>-4.5167317297505303E-5</v>
      </c>
      <c r="AE168">
        <v>100</v>
      </c>
      <c r="AJ168">
        <v>1</v>
      </c>
    </row>
    <row r="169" spans="1:36" x14ac:dyDescent="0.2">
      <c r="A169">
        <v>168</v>
      </c>
      <c r="B169">
        <v>784</v>
      </c>
      <c r="C169">
        <v>135</v>
      </c>
      <c r="D169">
        <v>0.467918932980182</v>
      </c>
      <c r="E169">
        <v>6.5647794690878403</v>
      </c>
      <c r="F169">
        <v>0.31878575334848802</v>
      </c>
      <c r="G169">
        <v>-145.93518243123583</v>
      </c>
      <c r="H169">
        <v>-81.652293773590486</v>
      </c>
      <c r="I169">
        <v>60.8112807336529</v>
      </c>
      <c r="J169">
        <v>25.173315881815999</v>
      </c>
      <c r="K169">
        <v>20.593076698478999</v>
      </c>
      <c r="L169">
        <v>1.7688134784889513E-3</v>
      </c>
      <c r="M169">
        <v>6.7861446625114481E-4</v>
      </c>
      <c r="N169" s="1">
        <v>-2.21331240019423E-5</v>
      </c>
      <c r="O169" s="1">
        <v>2.5264713893796899E-5</v>
      </c>
      <c r="P169" s="1">
        <v>-3.0823663145764998E-5</v>
      </c>
      <c r="AE169">
        <v>100</v>
      </c>
      <c r="AJ169">
        <v>1</v>
      </c>
    </row>
    <row r="170" spans="1:36" x14ac:dyDescent="0.2">
      <c r="A170">
        <v>169</v>
      </c>
      <c r="B170">
        <v>782</v>
      </c>
      <c r="C170">
        <v>135</v>
      </c>
      <c r="D170">
        <v>0.466777709330429</v>
      </c>
      <c r="E170">
        <v>6.5832369343875099</v>
      </c>
      <c r="F170">
        <v>0.319918190564426</v>
      </c>
      <c r="G170">
        <v>-146.22357557518032</v>
      </c>
      <c r="H170">
        <v>-81.932412575039265</v>
      </c>
      <c r="I170">
        <v>60.934398268086902</v>
      </c>
      <c r="J170">
        <v>25.302062608557101</v>
      </c>
      <c r="K170">
        <v>20.577876246339098</v>
      </c>
      <c r="L170">
        <v>1.7772461497032586E-3</v>
      </c>
      <c r="M170">
        <v>6.7801388064372633E-4</v>
      </c>
      <c r="N170" s="1">
        <v>-2.2029632545155302E-5</v>
      </c>
      <c r="O170" s="1">
        <v>2.5265526601187399E-5</v>
      </c>
      <c r="P170" s="1">
        <v>-3.10552871869956E-5</v>
      </c>
      <c r="AE170">
        <v>100</v>
      </c>
      <c r="AJ170">
        <v>1</v>
      </c>
    </row>
    <row r="171" spans="1:36" x14ac:dyDescent="0.2">
      <c r="A171">
        <v>170</v>
      </c>
      <c r="B171">
        <v>780</v>
      </c>
      <c r="C171">
        <v>135</v>
      </c>
      <c r="D171">
        <v>0.46563215116555001</v>
      </c>
      <c r="E171">
        <v>6.6227639394846101</v>
      </c>
      <c r="F171">
        <v>0.32106008177037698</v>
      </c>
      <c r="G171">
        <v>-146.97897749421361</v>
      </c>
      <c r="H171">
        <v>-82.475317073271341</v>
      </c>
      <c r="I171">
        <v>61.251911288185603</v>
      </c>
      <c r="J171">
        <v>25.512838380020099</v>
      </c>
      <c r="K171">
        <v>20.6278024442204</v>
      </c>
      <c r="L171">
        <v>1.7857299560989912E-3</v>
      </c>
      <c r="M171">
        <v>6.7739769591905431E-4</v>
      </c>
      <c r="N171" s="1">
        <v>-2.1984824536840801E-5</v>
      </c>
      <c r="O171" s="1">
        <v>2.53461429633596E-5</v>
      </c>
      <c r="P171" s="1">
        <v>-3.1389412028809597E-5</v>
      </c>
      <c r="AE171">
        <v>100</v>
      </c>
      <c r="AJ171">
        <v>1</v>
      </c>
    </row>
    <row r="172" spans="1:36" x14ac:dyDescent="0.2">
      <c r="A172">
        <v>171</v>
      </c>
      <c r="B172">
        <v>778</v>
      </c>
      <c r="C172">
        <v>135</v>
      </c>
      <c r="D172">
        <v>0.464482233743996</v>
      </c>
      <c r="E172">
        <v>6.6623451876073201</v>
      </c>
      <c r="F172">
        <v>0.32221153223094401</v>
      </c>
      <c r="G172">
        <v>-147.73421683518725</v>
      </c>
      <c r="H172">
        <v>-83.01962483100526</v>
      </c>
      <c r="I172">
        <v>61.5691429455484</v>
      </c>
      <c r="J172">
        <v>25.725069928639801</v>
      </c>
      <c r="K172">
        <v>20.6769296600846</v>
      </c>
      <c r="L172">
        <v>1.7942644703398598E-3</v>
      </c>
      <c r="M172">
        <v>6.7676553425711095E-4</v>
      </c>
      <c r="N172" s="1">
        <v>-2.1927315138817899E-5</v>
      </c>
      <c r="O172" s="1">
        <v>2.5425662825139001E-5</v>
      </c>
      <c r="P172" s="1">
        <v>-3.1727413451619197E-5</v>
      </c>
      <c r="AE172">
        <v>100</v>
      </c>
      <c r="AJ172">
        <v>1</v>
      </c>
    </row>
    <row r="173" spans="1:36" x14ac:dyDescent="0.2">
      <c r="A173">
        <v>172</v>
      </c>
      <c r="B173">
        <v>776</v>
      </c>
      <c r="C173">
        <v>135</v>
      </c>
      <c r="D173">
        <v>0.46332793213554102</v>
      </c>
      <c r="E173">
        <v>6.7019383278940499</v>
      </c>
      <c r="F173">
        <v>0.32337264813697397</v>
      </c>
      <c r="G173">
        <v>-148.48835441494043</v>
      </c>
      <c r="H173">
        <v>-83.564812256056129</v>
      </c>
      <c r="I173">
        <v>61.885695486385799</v>
      </c>
      <c r="J173">
        <v>25.938605190778102</v>
      </c>
      <c r="K173">
        <v>20.725124300108501</v>
      </c>
      <c r="L173">
        <v>1.8028492217158315E-3</v>
      </c>
      <c r="M173">
        <v>6.7611700948418845E-4</v>
      </c>
      <c r="N173" s="1">
        <v>-2.1856417674235901E-5</v>
      </c>
      <c r="O173" s="1">
        <v>2.5503901992963999E-5</v>
      </c>
      <c r="P173" s="1">
        <v>-3.2069137248000997E-5</v>
      </c>
      <c r="AE173">
        <v>100</v>
      </c>
      <c r="AJ173">
        <v>1</v>
      </c>
    </row>
    <row r="174" spans="1:36" x14ac:dyDescent="0.2">
      <c r="A174">
        <v>173</v>
      </c>
      <c r="B174">
        <v>774</v>
      </c>
      <c r="C174">
        <v>135</v>
      </c>
      <c r="D174">
        <v>0.46216922121950399</v>
      </c>
      <c r="E174">
        <v>6.7887272831037198</v>
      </c>
      <c r="F174">
        <v>0.32454353658910101</v>
      </c>
      <c r="G174">
        <v>-150.28592915988366</v>
      </c>
      <c r="H174">
        <v>-84.699573199145789</v>
      </c>
      <c r="I174">
        <v>62.636910554710198</v>
      </c>
      <c r="J174">
        <v>26.336502141819299</v>
      </c>
      <c r="K174">
        <v>20.917770707906001</v>
      </c>
      <c r="L174">
        <v>1.8114836943278288E-3</v>
      </c>
      <c r="M174">
        <v>6.7545172697530762E-4</v>
      </c>
      <c r="N174" s="1">
        <v>-2.1923949423480999E-5</v>
      </c>
      <c r="O174" s="1">
        <v>2.57598778021617E-5</v>
      </c>
      <c r="P174" s="1">
        <v>-3.2641497485028502E-5</v>
      </c>
      <c r="AE174">
        <v>100</v>
      </c>
      <c r="AJ174">
        <v>1</v>
      </c>
    </row>
    <row r="175" spans="1:36" x14ac:dyDescent="0.2">
      <c r="A175">
        <v>174</v>
      </c>
      <c r="B175">
        <v>772</v>
      </c>
      <c r="C175">
        <v>135</v>
      </c>
      <c r="D175">
        <v>0.46100607568291702</v>
      </c>
      <c r="E175">
        <v>6.9527760127187301</v>
      </c>
      <c r="F175">
        <v>0.32572430557959597</v>
      </c>
      <c r="G175">
        <v>-153.78932002837772</v>
      </c>
      <c r="H175">
        <v>-86.800337400433378</v>
      </c>
      <c r="I175">
        <v>64.098896266878597</v>
      </c>
      <c r="J175">
        <v>27.036983821423501</v>
      </c>
      <c r="K175">
        <v>21.3455854955217</v>
      </c>
      <c r="L175">
        <v>1.8201673252235084E-3</v>
      </c>
      <c r="M175">
        <v>6.7476928356274553E-4</v>
      </c>
      <c r="N175" s="1">
        <v>-2.2220669747532001E-5</v>
      </c>
      <c r="O175" s="1">
        <v>2.6305754047645199E-5</v>
      </c>
      <c r="P175" s="1">
        <v>-3.3593110503182602E-5</v>
      </c>
      <c r="AE175">
        <v>100</v>
      </c>
      <c r="AJ175">
        <v>1</v>
      </c>
    </row>
    <row r="176" spans="1:36" x14ac:dyDescent="0.2">
      <c r="A176">
        <v>175</v>
      </c>
      <c r="B176">
        <v>770</v>
      </c>
      <c r="C176">
        <v>135</v>
      </c>
      <c r="D176">
        <v>0.45983847001869499</v>
      </c>
      <c r="E176">
        <v>7.1220408559581303</v>
      </c>
      <c r="F176">
        <v>0.326915063972468</v>
      </c>
      <c r="G176">
        <v>-157.40204452764641</v>
      </c>
      <c r="H176">
        <v>-88.968942015488409</v>
      </c>
      <c r="I176">
        <v>65.6062677287822</v>
      </c>
      <c r="J176">
        <v>27.7614030261993</v>
      </c>
      <c r="K176">
        <v>21.7856001170931</v>
      </c>
      <c r="L176">
        <v>1.8288995024846628E-3</v>
      </c>
      <c r="M176">
        <v>6.7406926745141324E-4</v>
      </c>
      <c r="N176" s="1">
        <v>-2.25098303528067E-5</v>
      </c>
      <c r="O176" s="1">
        <v>2.6867147585275901E-5</v>
      </c>
      <c r="P176" s="1">
        <v>-3.4579757968550001E-5</v>
      </c>
      <c r="AE176">
        <v>100</v>
      </c>
      <c r="AJ176">
        <v>1</v>
      </c>
    </row>
    <row r="177" spans="1:36" x14ac:dyDescent="0.2">
      <c r="A177">
        <v>176</v>
      </c>
      <c r="B177">
        <v>768</v>
      </c>
      <c r="C177">
        <v>135</v>
      </c>
      <c r="D177">
        <v>0.45866637852374798</v>
      </c>
      <c r="E177">
        <v>7.3197305172055298</v>
      </c>
      <c r="F177">
        <v>0.32811592148170499</v>
      </c>
      <c r="G177">
        <v>-161.63632332977502</v>
      </c>
      <c r="H177">
        <v>-91.495625098421314</v>
      </c>
      <c r="I177">
        <v>67.3725083135365</v>
      </c>
      <c r="J177">
        <v>28.6006305391216</v>
      </c>
      <c r="K177">
        <v>22.308367372576999</v>
      </c>
      <c r="L177">
        <v>1.837679563265876E-3</v>
      </c>
      <c r="M177">
        <v>6.733512581415602E-4</v>
      </c>
      <c r="N177" s="1">
        <v>-2.2862017620886299E-5</v>
      </c>
      <c r="O177" s="1">
        <v>2.75311226278877E-5</v>
      </c>
      <c r="P177" s="1">
        <v>-3.5715204909767701E-5</v>
      </c>
      <c r="AE177">
        <v>100</v>
      </c>
      <c r="AJ177">
        <v>1</v>
      </c>
    </row>
    <row r="178" spans="1:36" x14ac:dyDescent="0.2">
      <c r="A178">
        <v>177</v>
      </c>
      <c r="B178">
        <v>766</v>
      </c>
      <c r="C178">
        <v>135</v>
      </c>
      <c r="D178">
        <v>0.45748977529712298</v>
      </c>
      <c r="E178">
        <v>9.4225965104240093</v>
      </c>
      <c r="F178">
        <v>0.32932698864760901</v>
      </c>
      <c r="G178">
        <v>-207.89900981945647</v>
      </c>
      <c r="H178">
        <v>-117.85488436025584</v>
      </c>
      <c r="I178">
        <v>86.656900012065194</v>
      </c>
      <c r="J178">
        <v>36.9063612232598</v>
      </c>
      <c r="K178">
        <v>28.6116742181324</v>
      </c>
      <c r="L178">
        <v>1.8465067917861834E-3</v>
      </c>
      <c r="M178">
        <v>6.7261482635988144E-4</v>
      </c>
      <c r="N178" s="1">
        <v>-2.90606699049164E-5</v>
      </c>
      <c r="O178" s="1">
        <v>3.5334416495002302E-5</v>
      </c>
      <c r="P178" s="1">
        <v>-4.6204477751356102E-5</v>
      </c>
      <c r="AE178">
        <v>100</v>
      </c>
      <c r="AJ178">
        <v>1</v>
      </c>
    </row>
    <row r="179" spans="1:36" x14ac:dyDescent="0.2">
      <c r="A179">
        <v>178</v>
      </c>
      <c r="B179">
        <v>764</v>
      </c>
      <c r="C179">
        <v>135</v>
      </c>
      <c r="D179">
        <v>0.45630863423805901</v>
      </c>
      <c r="E179">
        <v>9.9590809410283399</v>
      </c>
      <c r="F179">
        <v>0.330548376811101</v>
      </c>
      <c r="G179">
        <v>-219.55282987444681</v>
      </c>
      <c r="H179">
        <v>-124.64317370050678</v>
      </c>
      <c r="I179">
        <v>91.515552592789902</v>
      </c>
      <c r="J179">
        <v>39.102677675040397</v>
      </c>
      <c r="K179">
        <v>30.128966407599901</v>
      </c>
      <c r="L179">
        <v>1.8553804172737336E-3</v>
      </c>
      <c r="M179">
        <v>6.7185953399954501E-4</v>
      </c>
      <c r="N179" s="1">
        <v>-3.03049179916025E-5</v>
      </c>
      <c r="O179" s="1">
        <v>3.7233295737477998E-5</v>
      </c>
      <c r="P179" s="1">
        <v>-4.9079799286410301E-5</v>
      </c>
      <c r="AE179">
        <v>100</v>
      </c>
      <c r="AJ179">
        <v>1</v>
      </c>
    </row>
    <row r="180" spans="1:36" x14ac:dyDescent="0.2">
      <c r="A180">
        <v>179</v>
      </c>
      <c r="B180">
        <v>762</v>
      </c>
      <c r="C180">
        <v>135</v>
      </c>
      <c r="D180">
        <v>0.45512292904410101</v>
      </c>
      <c r="E180">
        <v>10.1898493847892</v>
      </c>
      <c r="F180">
        <v>0.33178019808592801</v>
      </c>
      <c r="G180">
        <v>-224.45303856292915</v>
      </c>
      <c r="H180">
        <v>-127.61147843520075</v>
      </c>
      <c r="I180">
        <v>93.558799580036506</v>
      </c>
      <c r="J180">
        <v>40.106800033298498</v>
      </c>
      <c r="K180">
        <v>30.7126508561254</v>
      </c>
      <c r="L180">
        <v>1.8642996118646889E-3</v>
      </c>
      <c r="M180">
        <v>6.7108493407006377E-4</v>
      </c>
      <c r="N180" s="1">
        <v>-3.0566188396464599E-5</v>
      </c>
      <c r="O180" s="1">
        <v>3.7979641271582802E-5</v>
      </c>
      <c r="P180" s="1">
        <v>-5.0470278886072503E-5</v>
      </c>
      <c r="AE180">
        <v>100</v>
      </c>
      <c r="AJ180">
        <v>1</v>
      </c>
    </row>
    <row r="181" spans="1:36" x14ac:dyDescent="0.2">
      <c r="A181">
        <v>180</v>
      </c>
      <c r="B181">
        <v>760</v>
      </c>
      <c r="C181">
        <v>135</v>
      </c>
      <c r="D181">
        <v>0.45393263320911997</v>
      </c>
      <c r="E181">
        <v>10.3204263360716</v>
      </c>
      <c r="F181">
        <v>0.33302256532868701</v>
      </c>
      <c r="G181">
        <v>-227.13983597764533</v>
      </c>
      <c r="H181">
        <v>-129.32808627724569</v>
      </c>
      <c r="I181">
        <v>94.679045329425406</v>
      </c>
      <c r="J181">
        <v>40.720886871989201</v>
      </c>
      <c r="K181">
        <v>30.990171269281799</v>
      </c>
      <c r="L181">
        <v>1.8732634884581858E-3</v>
      </c>
      <c r="M181">
        <v>6.7029057065802727E-4</v>
      </c>
      <c r="N181" s="1">
        <v>-3.04892841741446E-5</v>
      </c>
      <c r="O181" s="1">
        <v>3.83475109788255E-5</v>
      </c>
      <c r="P181" s="1">
        <v>-5.1376452160740698E-5</v>
      </c>
      <c r="AE181">
        <v>100</v>
      </c>
      <c r="AJ181">
        <v>1</v>
      </c>
    </row>
    <row r="182" spans="1:36" x14ac:dyDescent="0.2">
      <c r="A182">
        <v>181</v>
      </c>
      <c r="B182">
        <v>758</v>
      </c>
      <c r="C182">
        <v>135</v>
      </c>
      <c r="D182">
        <v>0.452737720021335</v>
      </c>
      <c r="E182">
        <v>10.405765850035801</v>
      </c>
      <c r="F182">
        <v>0.33427559210655</v>
      </c>
      <c r="G182">
        <v>-228.82720897591622</v>
      </c>
      <c r="H182">
        <v>-130.47971596291853</v>
      </c>
      <c r="I182">
        <v>95.382289512878103</v>
      </c>
      <c r="J182">
        <v>41.1594180301514</v>
      </c>
      <c r="K182">
        <v>31.1293019764333</v>
      </c>
      <c r="L182">
        <v>1.8822710985279688E-3</v>
      </c>
      <c r="M182">
        <v>6.6947597889935003E-4</v>
      </c>
      <c r="N182" s="1">
        <v>-3.0246099162653801E-5</v>
      </c>
      <c r="O182" s="1">
        <v>3.85438579886531E-5</v>
      </c>
      <c r="P182" s="1">
        <v>-5.2065838554139901E-5</v>
      </c>
      <c r="AE182">
        <v>100</v>
      </c>
      <c r="AJ182">
        <v>1</v>
      </c>
    </row>
    <row r="183" spans="1:36" x14ac:dyDescent="0.2">
      <c r="A183">
        <v>182</v>
      </c>
      <c r="B183">
        <v>756</v>
      </c>
      <c r="C183">
        <v>135</v>
      </c>
      <c r="D183">
        <v>0.451538162561337</v>
      </c>
      <c r="E183">
        <v>10.466625811596099</v>
      </c>
      <c r="F183">
        <v>0.33553939266260802</v>
      </c>
      <c r="G183">
        <v>-229.97374548792115</v>
      </c>
      <c r="H183">
        <v>-131.32575305394906</v>
      </c>
      <c r="I183">
        <v>95.859672623024693</v>
      </c>
      <c r="J183">
        <v>41.503394149762599</v>
      </c>
      <c r="K183">
        <v>31.193433738257099</v>
      </c>
      <c r="L183">
        <v>1.8913214298931827E-3</v>
      </c>
      <c r="M183">
        <v>6.6864068496420848E-4</v>
      </c>
      <c r="N183" s="1">
        <v>-2.9901163878666399E-5</v>
      </c>
      <c r="O183" s="1">
        <v>3.8646851597056398E-5</v>
      </c>
      <c r="P183" s="1">
        <v>-5.2639451617668699E-5</v>
      </c>
      <c r="AE183">
        <v>100</v>
      </c>
      <c r="AJ183">
        <v>1</v>
      </c>
    </row>
    <row r="184" spans="1:36" x14ac:dyDescent="0.2">
      <c r="A184">
        <v>183</v>
      </c>
      <c r="B184">
        <v>754</v>
      </c>
      <c r="C184">
        <v>135</v>
      </c>
      <c r="D184">
        <v>0.45033393370004399</v>
      </c>
      <c r="E184">
        <v>10.5143905550054</v>
      </c>
      <c r="F184">
        <v>0.33681408187876399</v>
      </c>
      <c r="G184">
        <v>-230.83072407262082</v>
      </c>
      <c r="H184">
        <v>-132.00855186146919</v>
      </c>
      <c r="I184">
        <v>96.215926779033893</v>
      </c>
      <c r="J184">
        <v>41.7973568327319</v>
      </c>
      <c r="K184">
        <v>31.2171940566014</v>
      </c>
      <c r="L184">
        <v>1.9004134044504422E-3</v>
      </c>
      <c r="M184">
        <v>6.6778420605568905E-4</v>
      </c>
      <c r="N184" s="1">
        <v>-2.9488973190564701E-5</v>
      </c>
      <c r="O184" s="1">
        <v>3.8699205458714098E-5</v>
      </c>
      <c r="P184" s="1">
        <v>-5.3152996243598402E-5</v>
      </c>
      <c r="AE184">
        <v>100</v>
      </c>
      <c r="AJ184">
        <v>1</v>
      </c>
    </row>
    <row r="185" spans="1:36" x14ac:dyDescent="0.2">
      <c r="A185">
        <v>184</v>
      </c>
      <c r="B185">
        <v>752</v>
      </c>
      <c r="C185">
        <v>135</v>
      </c>
      <c r="D185">
        <v>0.449125006096672</v>
      </c>
      <c r="E185">
        <v>10.551180080660901</v>
      </c>
      <c r="F185">
        <v>0.33809977523602103</v>
      </c>
      <c r="G185">
        <v>-231.44537022441267</v>
      </c>
      <c r="H185">
        <v>-132.55443851597923</v>
      </c>
      <c r="I185">
        <v>96.470730860451894</v>
      </c>
      <c r="J185">
        <v>42.049370757742899</v>
      </c>
      <c r="K185">
        <v>31.2072969385896</v>
      </c>
      <c r="L185">
        <v>1.90954587586877E-3</v>
      </c>
      <c r="M185">
        <v>6.6690605042296581E-4</v>
      </c>
      <c r="N185" s="1">
        <v>-2.9016377906321401E-5</v>
      </c>
      <c r="O185" s="1">
        <v>3.8709116285647302E-5</v>
      </c>
      <c r="P185" s="1">
        <v>-5.3616251079218E-5</v>
      </c>
      <c r="AE185">
        <v>100</v>
      </c>
      <c r="AJ185">
        <v>1</v>
      </c>
    </row>
    <row r="186" spans="1:36" x14ac:dyDescent="0.2">
      <c r="A186">
        <v>185</v>
      </c>
      <c r="B186">
        <v>792</v>
      </c>
      <c r="C186">
        <v>120</v>
      </c>
      <c r="D186">
        <v>0.48793174670234402</v>
      </c>
      <c r="E186">
        <v>6.8503732843800202</v>
      </c>
      <c r="F186">
        <v>0.28122827198497002</v>
      </c>
      <c r="G186">
        <v>-153.13760998903999</v>
      </c>
      <c r="H186">
        <v>-84.696134257244836</v>
      </c>
      <c r="I186">
        <v>64.258926851663603</v>
      </c>
      <c r="J186">
        <v>25.5631500175915</v>
      </c>
      <c r="K186">
        <v>24.358764629276401</v>
      </c>
      <c r="L186">
        <v>1.7647498461571473E-3</v>
      </c>
      <c r="M186">
        <v>8.0830698742375686E-4</v>
      </c>
      <c r="N186" s="1">
        <v>-3.5442030306735397E-5</v>
      </c>
      <c r="O186" s="1">
        <v>3.90016359888221E-5</v>
      </c>
      <c r="P186" s="1">
        <v>-3.74745389125457E-5</v>
      </c>
      <c r="AE186">
        <v>100</v>
      </c>
      <c r="AJ186">
        <v>1</v>
      </c>
    </row>
    <row r="187" spans="1:36" x14ac:dyDescent="0.2">
      <c r="A187">
        <v>186</v>
      </c>
      <c r="B187">
        <v>790</v>
      </c>
      <c r="C187">
        <v>120</v>
      </c>
      <c r="D187">
        <v>0.486836758688802</v>
      </c>
      <c r="E187">
        <v>6.8745290534920303</v>
      </c>
      <c r="F187">
        <v>0.28222520732211198</v>
      </c>
      <c r="G187">
        <v>-153.54868064877149</v>
      </c>
      <c r="H187">
        <v>-85.046156082652615</v>
      </c>
      <c r="I187">
        <v>64.437246478660299</v>
      </c>
      <c r="J187">
        <v>25.713351902502701</v>
      </c>
      <c r="K187">
        <v>24.3583098714705</v>
      </c>
      <c r="L187">
        <v>1.7739275471855152E-3</v>
      </c>
      <c r="M187">
        <v>8.0807754322329884E-4</v>
      </c>
      <c r="N187" s="1">
        <v>-3.5601503092201003E-5</v>
      </c>
      <c r="O187" s="1">
        <v>3.9051793615058397E-5</v>
      </c>
      <c r="P187" s="1">
        <v>-3.7778784296001397E-5</v>
      </c>
      <c r="AE187">
        <v>100</v>
      </c>
      <c r="AJ187">
        <v>1</v>
      </c>
    </row>
    <row r="188" spans="1:36" x14ac:dyDescent="0.2">
      <c r="A188">
        <v>187</v>
      </c>
      <c r="B188">
        <v>788</v>
      </c>
      <c r="C188">
        <v>120</v>
      </c>
      <c r="D188">
        <v>0.48573764312303003</v>
      </c>
      <c r="E188">
        <v>6.9097282877059598</v>
      </c>
      <c r="F188">
        <v>0.283230897658583</v>
      </c>
      <c r="G188">
        <v>-154.20540097370781</v>
      </c>
      <c r="H188">
        <v>-85.533363720891558</v>
      </c>
      <c r="I188">
        <v>64.718457733259498</v>
      </c>
      <c r="J188">
        <v>25.9060676526104</v>
      </c>
      <c r="K188">
        <v>24.396096417542601</v>
      </c>
      <c r="L188">
        <v>1.7831835650669375E-3</v>
      </c>
      <c r="M188">
        <v>8.0783691589447076E-4</v>
      </c>
      <c r="N188" s="1">
        <v>-3.5811389580787497E-5</v>
      </c>
      <c r="O188" s="1">
        <v>3.9163588448036701E-5</v>
      </c>
      <c r="P188" s="1">
        <v>-3.8147871652377703E-5</v>
      </c>
      <c r="AE188">
        <v>100</v>
      </c>
      <c r="AJ188">
        <v>1</v>
      </c>
    </row>
    <row r="189" spans="1:36" x14ac:dyDescent="0.2">
      <c r="A189">
        <v>188</v>
      </c>
      <c r="B189">
        <v>786</v>
      </c>
      <c r="C189">
        <v>120</v>
      </c>
      <c r="D189">
        <v>0.48463437662276798</v>
      </c>
      <c r="E189">
        <v>6.9449489849645296</v>
      </c>
      <c r="F189">
        <v>0.28424545597738199</v>
      </c>
      <c r="G189">
        <v>-154.86137880075756</v>
      </c>
      <c r="H189">
        <v>-86.021487893435719</v>
      </c>
      <c r="I189">
        <v>64.999164644856407</v>
      </c>
      <c r="J189">
        <v>26.100184555877298</v>
      </c>
      <c r="K189">
        <v>24.432928790661599</v>
      </c>
      <c r="L189">
        <v>1.7925183159377028E-3</v>
      </c>
      <c r="M189">
        <v>8.0758476349095457E-4</v>
      </c>
      <c r="N189" s="1">
        <v>-3.6014222837773398E-5</v>
      </c>
      <c r="O189" s="1">
        <v>3.9274251887555299E-5</v>
      </c>
      <c r="P189" s="1">
        <v>-3.85215961241697E-5</v>
      </c>
      <c r="AE189">
        <v>100</v>
      </c>
      <c r="AJ189">
        <v>1</v>
      </c>
    </row>
    <row r="190" spans="1:36" x14ac:dyDescent="0.2">
      <c r="A190">
        <v>189</v>
      </c>
      <c r="B190">
        <v>784</v>
      </c>
      <c r="C190">
        <v>120</v>
      </c>
      <c r="D190">
        <v>0.48352693562881199</v>
      </c>
      <c r="E190">
        <v>6.9801560092406802</v>
      </c>
      <c r="F190">
        <v>0.28526899686889101</v>
      </c>
      <c r="G190">
        <v>-155.51583201897438</v>
      </c>
      <c r="H190">
        <v>-86.510096905855505</v>
      </c>
      <c r="I190">
        <v>65.279032859119297</v>
      </c>
      <c r="J190">
        <v>26.295587792936701</v>
      </c>
      <c r="K190">
        <v>24.468680739424101</v>
      </c>
      <c r="L190">
        <v>1.801932194714001E-3</v>
      </c>
      <c r="M190">
        <v>8.0732073379517842E-4</v>
      </c>
      <c r="N190" s="1">
        <v>-3.62093591686735E-5</v>
      </c>
      <c r="O190" s="1">
        <v>3.9383568658863398E-5</v>
      </c>
      <c r="P190" s="1">
        <v>-3.8899853726604799E-5</v>
      </c>
      <c r="AE190">
        <v>100</v>
      </c>
      <c r="AJ190">
        <v>1</v>
      </c>
    </row>
    <row r="191" spans="1:36" x14ac:dyDescent="0.2">
      <c r="A191">
        <v>190</v>
      </c>
      <c r="B191">
        <v>782</v>
      </c>
      <c r="C191">
        <v>120</v>
      </c>
      <c r="D191">
        <v>0.48241529640335601</v>
      </c>
      <c r="E191">
        <v>7.0153152199933997</v>
      </c>
      <c r="F191">
        <v>0.28630163654437002</v>
      </c>
      <c r="G191">
        <v>-156.16800332033856</v>
      </c>
      <c r="H191">
        <v>-86.998770392276484</v>
      </c>
      <c r="I191">
        <v>65.557738257328893</v>
      </c>
      <c r="J191">
        <v>26.492165084395001</v>
      </c>
      <c r="K191">
        <v>24.503231293636599</v>
      </c>
      <c r="L191">
        <v>1.811425573531809E-3</v>
      </c>
      <c r="M191">
        <v>8.0704446402858306E-4</v>
      </c>
      <c r="N191" s="1">
        <v>-3.6396139818377703E-5</v>
      </c>
      <c r="O191" s="1">
        <v>3.9491330228920901E-5</v>
      </c>
      <c r="P191" s="1">
        <v>-3.9282543794928501E-5</v>
      </c>
      <c r="AE191">
        <v>100</v>
      </c>
      <c r="AJ191">
        <v>1</v>
      </c>
    </row>
    <row r="192" spans="1:36" x14ac:dyDescent="0.2">
      <c r="A192">
        <v>191</v>
      </c>
      <c r="B192">
        <v>780</v>
      </c>
      <c r="C192">
        <v>120</v>
      </c>
      <c r="D192">
        <v>0.48129943502824801</v>
      </c>
      <c r="E192">
        <v>7.0944600833037397</v>
      </c>
      <c r="F192">
        <v>0.28734349284878202</v>
      </c>
      <c r="G192">
        <v>-157.79730409542026</v>
      </c>
      <c r="H192">
        <v>-88.033914216244085</v>
      </c>
      <c r="I192">
        <v>66.246450899573205</v>
      </c>
      <c r="J192">
        <v>26.856624234517</v>
      </c>
      <c r="K192">
        <v>24.689823364252302</v>
      </c>
      <c r="L192">
        <v>1.8209988001114381E-3</v>
      </c>
      <c r="M192">
        <v>8.0675558055645928E-4</v>
      </c>
      <c r="N192" s="1">
        <v>-3.6802486065573503E-5</v>
      </c>
      <c r="O192" s="1">
        <v>3.9844827348914903E-5</v>
      </c>
      <c r="P192" s="1">
        <v>-3.99175130464261E-5</v>
      </c>
      <c r="AE192">
        <v>100</v>
      </c>
      <c r="AJ192">
        <v>1</v>
      </c>
    </row>
    <row r="193" spans="1:36" x14ac:dyDescent="0.2">
      <c r="A193">
        <v>192</v>
      </c>
      <c r="B193">
        <v>778</v>
      </c>
      <c r="C193">
        <v>120</v>
      </c>
      <c r="D193">
        <v>0.48017932740332298</v>
      </c>
      <c r="E193">
        <v>7.2452249587774498</v>
      </c>
      <c r="F193">
        <v>0.28839468527284501</v>
      </c>
      <c r="G193">
        <v>-161.0154094645498</v>
      </c>
      <c r="H193">
        <v>-89.959651500526888</v>
      </c>
      <c r="I193">
        <v>67.602058818105903</v>
      </c>
      <c r="J193">
        <v>27.495086202461199</v>
      </c>
      <c r="K193">
        <v>25.1226022141249</v>
      </c>
      <c r="L193">
        <v>1.8306521960434056E-3</v>
      </c>
      <c r="M193">
        <v>8.0645369858738602E-4</v>
      </c>
      <c r="N193" s="1">
        <v>-3.7570926859177402E-5</v>
      </c>
      <c r="O193" s="1">
        <v>4.0597165884842E-5</v>
      </c>
      <c r="P193" s="1">
        <v>-4.0964724240749E-5</v>
      </c>
      <c r="AE193">
        <v>100</v>
      </c>
      <c r="AJ193">
        <v>1</v>
      </c>
    </row>
    <row r="194" spans="1:36" x14ac:dyDescent="0.2">
      <c r="A194">
        <v>193</v>
      </c>
      <c r="B194">
        <v>776</v>
      </c>
      <c r="C194">
        <v>120</v>
      </c>
      <c r="D194">
        <v>0.47905494924462999</v>
      </c>
      <c r="E194">
        <v>7.4009175700130001</v>
      </c>
      <c r="F194">
        <v>0.289455334964271</v>
      </c>
      <c r="G194">
        <v>-164.33741297670616</v>
      </c>
      <c r="H194">
        <v>-91.949035793533568</v>
      </c>
      <c r="I194">
        <v>69.001203300457107</v>
      </c>
      <c r="J194">
        <v>28.155890393344901</v>
      </c>
      <c r="K194">
        <v>25.5684268902023</v>
      </c>
      <c r="L194">
        <v>1.8403860549930135E-3</v>
      </c>
      <c r="M194">
        <v>8.0613842186747875E-4</v>
      </c>
      <c r="N194" s="1">
        <v>-3.8354421555736498E-5</v>
      </c>
      <c r="O194" s="1">
        <v>4.1372682643065599E-5</v>
      </c>
      <c r="P194" s="1">
        <v>-4.2051380827086E-5</v>
      </c>
      <c r="AE194">
        <v>100</v>
      </c>
      <c r="AJ194">
        <v>1</v>
      </c>
    </row>
    <row r="195" spans="1:36" x14ac:dyDescent="0.2">
      <c r="A195">
        <v>194</v>
      </c>
      <c r="B195">
        <v>774</v>
      </c>
      <c r="C195">
        <v>120</v>
      </c>
      <c r="D195">
        <v>0.47792627608270499</v>
      </c>
      <c r="E195">
        <v>7.5675498422700702</v>
      </c>
      <c r="F195">
        <v>0.29052556473809499</v>
      </c>
      <c r="G195">
        <v>-167.89642886603704</v>
      </c>
      <c r="H195">
        <v>-94.076927802082821</v>
      </c>
      <c r="I195">
        <v>70.499767636608595</v>
      </c>
      <c r="J195">
        <v>28.862161053348899</v>
      </c>
      <c r="K195">
        <v>26.047793243572599</v>
      </c>
      <c r="L195">
        <v>1.8502006408207328E-3</v>
      </c>
      <c r="M195">
        <v>8.0580934236973141E-4</v>
      </c>
      <c r="N195" s="1">
        <v>-3.9182973280042801E-5</v>
      </c>
      <c r="O195" s="1">
        <v>4.2204670818020203E-5</v>
      </c>
      <c r="P195" s="1">
        <v>-4.3212479232299798E-5</v>
      </c>
      <c r="AE195">
        <v>100</v>
      </c>
      <c r="AJ195">
        <v>1</v>
      </c>
    </row>
    <row r="196" spans="1:36" x14ac:dyDescent="0.2">
      <c r="A196">
        <v>195</v>
      </c>
      <c r="B196">
        <v>772</v>
      </c>
      <c r="C196">
        <v>120</v>
      </c>
      <c r="D196">
        <v>0.47679328326077502</v>
      </c>
      <c r="E196">
        <v>9.2517930434713396</v>
      </c>
      <c r="F196">
        <v>0.291605499086037</v>
      </c>
      <c r="G196">
        <v>-205.09135152033093</v>
      </c>
      <c r="H196">
        <v>-115.08546534911585</v>
      </c>
      <c r="I196">
        <v>86.122738951652593</v>
      </c>
      <c r="J196">
        <v>35.375184009164599</v>
      </c>
      <c r="K196">
        <v>31.7270870147123</v>
      </c>
      <c r="L196">
        <v>1.8600961856152847E-3</v>
      </c>
      <c r="M196">
        <v>8.0546603997860443E-4</v>
      </c>
      <c r="N196" s="1">
        <v>-4.7847265379561802E-5</v>
      </c>
      <c r="O196" s="1">
        <v>5.1475537337326697E-5</v>
      </c>
      <c r="P196" s="1">
        <v>-5.3096003171149298E-5</v>
      </c>
      <c r="AE196">
        <v>100</v>
      </c>
      <c r="AJ196">
        <v>1</v>
      </c>
    </row>
    <row r="197" spans="1:36" x14ac:dyDescent="0.2">
      <c r="A197">
        <v>196</v>
      </c>
      <c r="B197">
        <v>770</v>
      </c>
      <c r="C197">
        <v>120</v>
      </c>
      <c r="D197">
        <v>0.47565594593299199</v>
      </c>
      <c r="E197">
        <v>9.9115495985285005</v>
      </c>
      <c r="F197">
        <v>0.29269526418479702</v>
      </c>
      <c r="G197">
        <v>-219.53220804157428</v>
      </c>
      <c r="H197">
        <v>-123.36824146849014</v>
      </c>
      <c r="I197">
        <v>92.191572228733406</v>
      </c>
      <c r="J197">
        <v>37.994698074484198</v>
      </c>
      <c r="K197">
        <v>33.863033712327798</v>
      </c>
      <c r="L197">
        <v>1.8700728876367518E-3</v>
      </c>
      <c r="M197">
        <v>8.05108082170286E-4</v>
      </c>
      <c r="N197" s="1">
        <v>-5.1183850627027597E-5</v>
      </c>
      <c r="O197" s="1">
        <v>5.5014696513833302E-5</v>
      </c>
      <c r="P197" s="1">
        <v>-5.7171881744449697E-5</v>
      </c>
      <c r="AE197">
        <v>100</v>
      </c>
      <c r="AJ197">
        <v>1</v>
      </c>
    </row>
    <row r="198" spans="1:36" x14ac:dyDescent="0.2">
      <c r="A198">
        <v>197</v>
      </c>
      <c r="B198">
        <v>768</v>
      </c>
      <c r="C198">
        <v>120</v>
      </c>
      <c r="D198">
        <v>0.474514239062578</v>
      </c>
      <c r="E198">
        <v>10.1763569630197</v>
      </c>
      <c r="F198">
        <v>0.29379498790320202</v>
      </c>
      <c r="G198">
        <v>-225.20822656875276</v>
      </c>
      <c r="H198">
        <v>-126.74239690363565</v>
      </c>
      <c r="I198">
        <v>94.579698603919894</v>
      </c>
      <c r="J198">
        <v>39.110360603906003</v>
      </c>
      <c r="K198">
        <v>34.637612559859498</v>
      </c>
      <c r="L198">
        <v>1.8801309091662601E-3</v>
      </c>
      <c r="M198">
        <v>8.0473502368881621E-4</v>
      </c>
      <c r="N198" s="1">
        <v>-5.2457650471542897E-5</v>
      </c>
      <c r="O198" s="1">
        <v>5.6348698946453601E-5</v>
      </c>
      <c r="P198" s="1">
        <v>-5.9001273988242799E-5</v>
      </c>
      <c r="AE198">
        <v>100</v>
      </c>
      <c r="AJ198">
        <v>1</v>
      </c>
    </row>
    <row r="199" spans="1:36" x14ac:dyDescent="0.2">
      <c r="A199">
        <v>198</v>
      </c>
      <c r="B199">
        <v>766</v>
      </c>
      <c r="C199">
        <v>120</v>
      </c>
      <c r="D199">
        <v>0.47336813742000999</v>
      </c>
      <c r="E199">
        <v>10.319576509027501</v>
      </c>
      <c r="F199">
        <v>0.29490479980812401</v>
      </c>
      <c r="G199">
        <v>-228.18600650249573</v>
      </c>
      <c r="H199">
        <v>-128.60556272614215</v>
      </c>
      <c r="I199">
        <v>95.834431286846495</v>
      </c>
      <c r="J199">
        <v>39.763886387363002</v>
      </c>
      <c r="K199">
        <v>34.992907934159703</v>
      </c>
      <c r="L199">
        <v>1.8902703742597713E-3</v>
      </c>
      <c r="M199">
        <v>8.0434640621856806E-4</v>
      </c>
      <c r="N199" s="1">
        <v>-5.3083786950897398E-5</v>
      </c>
      <c r="O199" s="1">
        <v>5.7003276574404298E-5</v>
      </c>
      <c r="P199" s="1">
        <v>-6.0142615866661801E-5</v>
      </c>
      <c r="AE199">
        <v>100</v>
      </c>
      <c r="AJ199">
        <v>1</v>
      </c>
    </row>
    <row r="200" spans="1:36" x14ac:dyDescent="0.2">
      <c r="A200">
        <v>199</v>
      </c>
      <c r="B200">
        <v>764</v>
      </c>
      <c r="C200">
        <v>120</v>
      </c>
      <c r="D200">
        <v>0.47221761558116099</v>
      </c>
      <c r="E200">
        <v>10.410551356661101</v>
      </c>
      <c r="F200">
        <v>0.29602483116904899</v>
      </c>
      <c r="G200">
        <v>-230.00435695149761</v>
      </c>
      <c r="H200">
        <v>-129.81965155332412</v>
      </c>
      <c r="I200">
        <v>96.601902285051096</v>
      </c>
      <c r="J200">
        <v>40.219582280604698</v>
      </c>
      <c r="K200">
        <v>35.167831413156101</v>
      </c>
      <c r="L200">
        <v>1.9004913664025886E-3</v>
      </c>
      <c r="M200">
        <v>8.0394175805349592E-4</v>
      </c>
      <c r="N200" s="1">
        <v>-5.3420604098603497E-5</v>
      </c>
      <c r="O200" s="1">
        <v>5.7365371431580497E-5</v>
      </c>
      <c r="P200" s="1">
        <v>-6.09914452202358E-5</v>
      </c>
      <c r="AE200">
        <v>100</v>
      </c>
      <c r="AJ200">
        <v>1</v>
      </c>
    </row>
    <row r="201" spans="1:36" x14ac:dyDescent="0.2">
      <c r="A201">
        <v>200</v>
      </c>
      <c r="B201">
        <v>762</v>
      </c>
      <c r="C201">
        <v>120</v>
      </c>
      <c r="D201">
        <v>0.47106264792542502</v>
      </c>
      <c r="E201">
        <v>10.4741968786904</v>
      </c>
      <c r="F201">
        <v>0.29715521496122199</v>
      </c>
      <c r="G201">
        <v>-231.21619538751213</v>
      </c>
      <c r="H201">
        <v>-130.69434936589946</v>
      </c>
      <c r="I201">
        <v>97.1142732939729</v>
      </c>
      <c r="J201">
        <v>40.572413681078999</v>
      </c>
      <c r="K201">
        <v>35.248235101838297</v>
      </c>
      <c r="L201">
        <v>1.9107939260616976E-3</v>
      </c>
      <c r="M201">
        <v>8.0352059376355368E-4</v>
      </c>
      <c r="N201" s="1">
        <v>-5.3596330059708798E-5</v>
      </c>
      <c r="O201" s="1">
        <v>5.75740060562554E-5</v>
      </c>
      <c r="P201" s="1">
        <v>-6.1689913686776898E-5</v>
      </c>
      <c r="AE201">
        <v>100</v>
      </c>
      <c r="AJ201">
        <v>1</v>
      </c>
    </row>
    <row r="202" spans="1:36" x14ac:dyDescent="0.2">
      <c r="A202">
        <v>201</v>
      </c>
      <c r="B202">
        <v>760</v>
      </c>
      <c r="C202">
        <v>120</v>
      </c>
      <c r="D202">
        <v>0.46990320863379098</v>
      </c>
      <c r="E202">
        <v>10.5216468885332</v>
      </c>
      <c r="F202">
        <v>0.29829608586723999</v>
      </c>
      <c r="G202">
        <v>-232.06861707830907</v>
      </c>
      <c r="H202">
        <v>-131.36803928373536</v>
      </c>
      <c r="I202">
        <v>97.475292965229102</v>
      </c>
      <c r="J202">
        <v>40.8648139773697</v>
      </c>
      <c r="K202">
        <v>35.272493964992798</v>
      </c>
      <c r="L202">
        <v>1.9211780481333367E-3</v>
      </c>
      <c r="M202">
        <v>8.0308241385901975E-4</v>
      </c>
      <c r="N202" s="1">
        <v>-5.3667795673969399E-5</v>
      </c>
      <c r="O202" s="1">
        <v>5.7691299414618099E-5</v>
      </c>
      <c r="P202" s="1">
        <v>-6.2301566228137103E-5</v>
      </c>
      <c r="AE202">
        <v>100</v>
      </c>
      <c r="AJ202">
        <v>1</v>
      </c>
    </row>
    <row r="203" spans="1:36" x14ac:dyDescent="0.2">
      <c r="A203">
        <v>202</v>
      </c>
      <c r="B203">
        <v>758</v>
      </c>
      <c r="C203">
        <v>120</v>
      </c>
      <c r="D203">
        <v>0.46873927168695301</v>
      </c>
      <c r="E203">
        <v>10.558644316462599</v>
      </c>
      <c r="F203">
        <v>0.29944758027699497</v>
      </c>
      <c r="G203">
        <v>-232.68908692102949</v>
      </c>
      <c r="H203">
        <v>-131.91209770951352</v>
      </c>
      <c r="I203">
        <v>97.738477928690102</v>
      </c>
      <c r="J203">
        <v>41.1186689915912</v>
      </c>
      <c r="K203">
        <v>35.260409540446801</v>
      </c>
      <c r="L203">
        <v>1.9316436792822347E-3</v>
      </c>
      <c r="M203">
        <v>8.0262670445306345E-4</v>
      </c>
      <c r="N203" s="1">
        <v>-5.3663887314962897E-5</v>
      </c>
      <c r="O203" s="1">
        <v>5.7749285595911597E-5</v>
      </c>
      <c r="P203" s="1">
        <v>-6.2859203169445503E-5</v>
      </c>
      <c r="AE203">
        <v>100</v>
      </c>
      <c r="AJ203">
        <v>1</v>
      </c>
    </row>
    <row r="204" spans="1:36" x14ac:dyDescent="0.2">
      <c r="A204">
        <v>203</v>
      </c>
      <c r="B204">
        <v>756</v>
      </c>
      <c r="C204">
        <v>120</v>
      </c>
      <c r="D204">
        <v>0.46757081086333502</v>
      </c>
      <c r="E204">
        <v>10.590035034731599</v>
      </c>
      <c r="F204">
        <v>0.30060983628583199</v>
      </c>
      <c r="G204">
        <v>-233.18489069080607</v>
      </c>
      <c r="H204">
        <v>-132.38686404413386</v>
      </c>
      <c r="I204">
        <v>97.948877146209597</v>
      </c>
      <c r="J204">
        <v>41.352592781365303</v>
      </c>
      <c r="K204">
        <v>35.228504714204298</v>
      </c>
      <c r="L204">
        <v>1.9421907151702946E-3</v>
      </c>
      <c r="M204">
        <v>8.021529369234777E-4</v>
      </c>
      <c r="N204" s="1">
        <v>-5.3608635442658303E-5</v>
      </c>
      <c r="O204" s="1">
        <v>5.77747937694803E-5</v>
      </c>
      <c r="P204" s="1">
        <v>-6.3390955619321997E-5</v>
      </c>
      <c r="AE204">
        <v>100</v>
      </c>
      <c r="AJ204">
        <v>1</v>
      </c>
    </row>
    <row r="205" spans="1:36" x14ac:dyDescent="0.2">
      <c r="A205">
        <v>204</v>
      </c>
      <c r="B205">
        <v>802</v>
      </c>
      <c r="C205">
        <v>105</v>
      </c>
      <c r="D205">
        <v>0.50869227549644302</v>
      </c>
      <c r="E205">
        <v>7.1576719261245199</v>
      </c>
      <c r="F205">
        <v>0.242008857056036</v>
      </c>
      <c r="G205">
        <v>-161.09445353308499</v>
      </c>
      <c r="H205">
        <v>-87.876951649488632</v>
      </c>
      <c r="I205">
        <v>68.1036115360683</v>
      </c>
      <c r="J205">
        <v>25.711166669533799</v>
      </c>
      <c r="K205">
        <v>29.5760742527997</v>
      </c>
      <c r="L205">
        <v>1.7187966334941808E-3</v>
      </c>
      <c r="M205">
        <v>9.6704090380412872E-4</v>
      </c>
      <c r="N205" s="1">
        <v>-4.9841573566414903E-5</v>
      </c>
      <c r="O205" s="1">
        <v>6.2536267449013306E-5</v>
      </c>
      <c r="P205" s="1">
        <v>-4.5870326644896501E-5</v>
      </c>
      <c r="AE205">
        <v>100</v>
      </c>
      <c r="AJ205">
        <v>1</v>
      </c>
    </row>
    <row r="206" spans="1:36" x14ac:dyDescent="0.2">
      <c r="A206">
        <v>205</v>
      </c>
      <c r="B206">
        <v>800</v>
      </c>
      <c r="C206">
        <v>105</v>
      </c>
      <c r="D206">
        <v>0.50764618180124099</v>
      </c>
      <c r="E206">
        <v>7.1747430412319</v>
      </c>
      <c r="F206">
        <v>0.24284447759358699</v>
      </c>
      <c r="G206">
        <v>-161.34218125442757</v>
      </c>
      <c r="H206">
        <v>-88.138141645110366</v>
      </c>
      <c r="I206">
        <v>68.217998823896906</v>
      </c>
      <c r="J206">
        <v>25.830272862028</v>
      </c>
      <c r="K206">
        <v>29.5446003645148</v>
      </c>
      <c r="L206">
        <v>1.728122797224769E-3</v>
      </c>
      <c r="M206">
        <v>9.6726117097306196E-4</v>
      </c>
      <c r="N206" s="1">
        <v>-5.0237325007543102E-5</v>
      </c>
      <c r="O206" s="1">
        <v>6.2570209303244406E-5</v>
      </c>
      <c r="P206" s="1">
        <v>-4.6163914694818299E-5</v>
      </c>
      <c r="AE206">
        <v>100</v>
      </c>
      <c r="AJ206">
        <v>1</v>
      </c>
    </row>
    <row r="207" spans="1:36" x14ac:dyDescent="0.2">
      <c r="A207">
        <v>206</v>
      </c>
      <c r="B207">
        <v>798</v>
      </c>
      <c r="C207">
        <v>105</v>
      </c>
      <c r="D207">
        <v>0.50659618167390597</v>
      </c>
      <c r="E207">
        <v>7.2057557017449003</v>
      </c>
      <c r="F207">
        <v>0.243687551865166</v>
      </c>
      <c r="G207">
        <v>-161.90260176827437</v>
      </c>
      <c r="H207">
        <v>-88.571059229994404</v>
      </c>
      <c r="I207">
        <v>68.464422456403398</v>
      </c>
      <c r="J207">
        <v>26.0007134492879</v>
      </c>
      <c r="K207">
        <v>29.569650343616601</v>
      </c>
      <c r="L207">
        <v>1.7375442060946775E-3</v>
      </c>
      <c r="M207">
        <v>9.6747695274853631E-4</v>
      </c>
      <c r="N207" s="1">
        <v>-5.0731078683617801E-5</v>
      </c>
      <c r="O207" s="1">
        <v>6.27248108774503E-5</v>
      </c>
      <c r="P207" s="1">
        <v>-4.65515061241262E-5</v>
      </c>
      <c r="AE207">
        <v>100</v>
      </c>
      <c r="AJ207">
        <v>1</v>
      </c>
    </row>
    <row r="208" spans="1:36" x14ac:dyDescent="0.2">
      <c r="A208">
        <v>207</v>
      </c>
      <c r="B208">
        <v>796</v>
      </c>
      <c r="C208">
        <v>105</v>
      </c>
      <c r="D208">
        <v>0.50554225319178703</v>
      </c>
      <c r="E208">
        <v>7.2367697306407299</v>
      </c>
      <c r="F208">
        <v>0.24453818427626001</v>
      </c>
      <c r="G208">
        <v>-162.46197144833255</v>
      </c>
      <c r="H208">
        <v>-89.004559605478008</v>
      </c>
      <c r="I208">
        <v>68.710240066298397</v>
      </c>
      <c r="J208">
        <v>26.172434055732101</v>
      </c>
      <c r="K208">
        <v>29.593618485631598</v>
      </c>
      <c r="L208">
        <v>1.7470620082410194E-3</v>
      </c>
      <c r="M208">
        <v>9.6768803258872943E-4</v>
      </c>
      <c r="N208" s="1">
        <v>-5.12255481654965E-5</v>
      </c>
      <c r="O208" s="1">
        <v>6.2878270342377001E-5</v>
      </c>
      <c r="P208" s="1">
        <v>-4.6943873632921398E-5</v>
      </c>
      <c r="AE208">
        <v>100</v>
      </c>
      <c r="AJ208">
        <v>1</v>
      </c>
    </row>
    <row r="209" spans="1:36" x14ac:dyDescent="0.2">
      <c r="A209">
        <v>208</v>
      </c>
      <c r="B209">
        <v>794</v>
      </c>
      <c r="C209">
        <v>105</v>
      </c>
      <c r="D209">
        <v>0.50448437426791004</v>
      </c>
      <c r="E209">
        <v>7.2677561069830903</v>
      </c>
      <c r="F209">
        <v>0.245396481079065</v>
      </c>
      <c r="G209">
        <v>-163.01964092319966</v>
      </c>
      <c r="H209">
        <v>-89.438288747846983</v>
      </c>
      <c r="I209">
        <v>68.955171467636603</v>
      </c>
      <c r="J209">
        <v>26.345350098589901</v>
      </c>
      <c r="K209">
        <v>29.616382741207499</v>
      </c>
      <c r="L209">
        <v>1.7566773591970928E-3</v>
      </c>
      <c r="M209">
        <v>9.6789418577189078E-4</v>
      </c>
      <c r="N209" s="1">
        <v>-5.1720297435211903E-5</v>
      </c>
      <c r="O209" s="1">
        <v>6.3030328575543006E-5</v>
      </c>
      <c r="P209" s="1">
        <v>-4.73409402512996E-5</v>
      </c>
      <c r="AE209">
        <v>100</v>
      </c>
      <c r="AJ209">
        <v>1</v>
      </c>
    </row>
    <row r="210" spans="1:36" x14ac:dyDescent="0.2">
      <c r="A210">
        <v>209</v>
      </c>
      <c r="B210">
        <v>792</v>
      </c>
      <c r="C210">
        <v>105</v>
      </c>
      <c r="D210">
        <v>0.50342252264939402</v>
      </c>
      <c r="E210">
        <v>7.2986866799886698</v>
      </c>
      <c r="F210">
        <v>0.24626255040726999</v>
      </c>
      <c r="G210">
        <v>-163.57498253649462</v>
      </c>
      <c r="H210">
        <v>-89.871902553665834</v>
      </c>
      <c r="I210">
        <v>69.198945443869604</v>
      </c>
      <c r="J210">
        <v>26.5193794738572</v>
      </c>
      <c r="K210">
        <v>29.637826246491901</v>
      </c>
      <c r="L210">
        <v>1.7663914213571453E-3</v>
      </c>
      <c r="M210">
        <v>9.680951790843709E-4</v>
      </c>
      <c r="N210" s="1">
        <v>-5.22148778471468E-5</v>
      </c>
      <c r="O210" s="1">
        <v>6.3180735517287797E-5</v>
      </c>
      <c r="P210" s="1">
        <v>-4.7742634586679298E-5</v>
      </c>
      <c r="AE210">
        <v>100</v>
      </c>
      <c r="AJ210">
        <v>1</v>
      </c>
    </row>
    <row r="211" spans="1:36" x14ac:dyDescent="0.2">
      <c r="A211">
        <v>210</v>
      </c>
      <c r="B211">
        <v>790</v>
      </c>
      <c r="C211">
        <v>105</v>
      </c>
      <c r="D211">
        <v>0.50235667591591204</v>
      </c>
      <c r="E211">
        <v>7.32953440488689</v>
      </c>
      <c r="F211">
        <v>0.24713650231133</v>
      </c>
      <c r="G211">
        <v>-164.12739554210418</v>
      </c>
      <c r="H211">
        <v>-90.305069773131237</v>
      </c>
      <c r="I211">
        <v>69.441301959878004</v>
      </c>
      <c r="J211">
        <v>26.694443420994698</v>
      </c>
      <c r="K211">
        <v>29.657838224373201</v>
      </c>
      <c r="L211">
        <v>1.7762053633933943E-3</v>
      </c>
      <c r="M211">
        <v>9.6829077049679301E-4</v>
      </c>
      <c r="N211" s="1">
        <v>-5.27088293424765E-5</v>
      </c>
      <c r="O211" s="1">
        <v>6.3329252125210605E-5</v>
      </c>
      <c r="P211" s="1">
        <v>-4.8148892439256799E-5</v>
      </c>
      <c r="AE211">
        <v>100</v>
      </c>
      <c r="AJ211">
        <v>1</v>
      </c>
    </row>
    <row r="212" spans="1:36" x14ac:dyDescent="0.2">
      <c r="A212">
        <v>211</v>
      </c>
      <c r="B212">
        <v>788</v>
      </c>
      <c r="C212">
        <v>105</v>
      </c>
      <c r="D212">
        <v>0.50128681147811704</v>
      </c>
      <c r="E212">
        <v>7.3655125364453298</v>
      </c>
      <c r="F212">
        <v>0.248018448794184</v>
      </c>
      <c r="G212">
        <v>-164.793525967862</v>
      </c>
      <c r="H212">
        <v>-90.802060839806202</v>
      </c>
      <c r="I212">
        <v>69.731593202302605</v>
      </c>
      <c r="J212">
        <v>26.889593488313398</v>
      </c>
      <c r="K212">
        <v>29.697438123070899</v>
      </c>
      <c r="L212">
        <v>1.7861203596223425E-3</v>
      </c>
      <c r="M212">
        <v>9.6848070882796179E-4</v>
      </c>
      <c r="N212" s="1">
        <v>-5.3239550038680397E-5</v>
      </c>
      <c r="O212" s="1">
        <v>6.3520833540275595E-5</v>
      </c>
      <c r="P212" s="1">
        <v>-4.8594222662154003E-5</v>
      </c>
      <c r="AE212">
        <v>100</v>
      </c>
      <c r="AJ212">
        <v>1</v>
      </c>
    </row>
    <row r="213" spans="1:36" x14ac:dyDescent="0.2">
      <c r="A213">
        <v>212</v>
      </c>
      <c r="B213">
        <v>786</v>
      </c>
      <c r="C213">
        <v>105</v>
      </c>
      <c r="D213">
        <v>0.50021290657603101</v>
      </c>
      <c r="E213">
        <v>7.5015667946194897</v>
      </c>
      <c r="F213">
        <v>0.24890850384743399</v>
      </c>
      <c r="G213">
        <v>-167.69557102421436</v>
      </c>
      <c r="H213">
        <v>-92.53417674258263</v>
      </c>
      <c r="I213">
        <v>70.967933851485199</v>
      </c>
      <c r="J213">
        <v>27.4524468618615</v>
      </c>
      <c r="K213">
        <v>30.1378485614838</v>
      </c>
      <c r="L213">
        <v>1.7961375893173041E-3</v>
      </c>
      <c r="M213">
        <v>9.6866473339608458E-4</v>
      </c>
      <c r="N213" s="1">
        <v>-5.4497068026948498E-5</v>
      </c>
      <c r="O213" s="1">
        <v>6.4572501544126899E-5</v>
      </c>
      <c r="P213" s="1">
        <v>-4.9708341714468102E-5</v>
      </c>
      <c r="AE213">
        <v>100</v>
      </c>
      <c r="AJ213">
        <v>1</v>
      </c>
    </row>
    <row r="214" spans="1:36" x14ac:dyDescent="0.2">
      <c r="A214">
        <v>213</v>
      </c>
      <c r="B214">
        <v>784</v>
      </c>
      <c r="C214">
        <v>105</v>
      </c>
      <c r="D214">
        <v>0.49913493827744299</v>
      </c>
      <c r="E214">
        <v>7.6411100421185498</v>
      </c>
      <c r="F214">
        <v>0.24980678348795199</v>
      </c>
      <c r="G214">
        <v>-170.67050069887668</v>
      </c>
      <c r="H214">
        <v>-94.311480767275441</v>
      </c>
      <c r="I214">
        <v>72.235153614894003</v>
      </c>
      <c r="J214">
        <v>28.0313800962881</v>
      </c>
      <c r="K214">
        <v>30.588080657493599</v>
      </c>
      <c r="L214">
        <v>1.8062582359639381E-3</v>
      </c>
      <c r="M214">
        <v>9.6884257365698035E-4</v>
      </c>
      <c r="N214" s="1">
        <v>-5.57867385187333E-5</v>
      </c>
      <c r="O214" s="1">
        <v>6.5649528547764903E-5</v>
      </c>
      <c r="P214" s="1">
        <v>-5.0857339145898998E-5</v>
      </c>
      <c r="AE214">
        <v>100</v>
      </c>
      <c r="AJ214">
        <v>1</v>
      </c>
    </row>
    <row r="215" spans="1:36" x14ac:dyDescent="0.2">
      <c r="A215">
        <v>214</v>
      </c>
      <c r="B215">
        <v>782</v>
      </c>
      <c r="C215">
        <v>105</v>
      </c>
      <c r="D215">
        <v>0.49805288347628701</v>
      </c>
      <c r="E215">
        <v>7.7882164783414298</v>
      </c>
      <c r="F215">
        <v>0.25071340579489598</v>
      </c>
      <c r="G215">
        <v>-173.80904687747616</v>
      </c>
      <c r="H215">
        <v>-96.184375166781038</v>
      </c>
      <c r="I215">
        <v>73.571651998687599</v>
      </c>
      <c r="J215">
        <v>28.6415302172264</v>
      </c>
      <c r="K215">
        <v>31.0642203341643</v>
      </c>
      <c r="L215">
        <v>1.8164834864550341E-3</v>
      </c>
      <c r="M215">
        <v>9.6901394882864848E-4</v>
      </c>
      <c r="N215" s="1">
        <v>-5.7138349724067801E-5</v>
      </c>
      <c r="O215" s="1">
        <v>6.6786663418815997E-5</v>
      </c>
      <c r="P215" s="1">
        <v>-5.20690582760042E-5</v>
      </c>
      <c r="AE215">
        <v>100</v>
      </c>
      <c r="AJ215">
        <v>1</v>
      </c>
    </row>
    <row r="216" spans="1:36" x14ac:dyDescent="0.2">
      <c r="A216">
        <v>215</v>
      </c>
      <c r="B216">
        <v>780</v>
      </c>
      <c r="C216">
        <v>105</v>
      </c>
      <c r="D216">
        <v>0.49696671889094501</v>
      </c>
      <c r="E216">
        <v>8.5393223232141509</v>
      </c>
      <c r="F216">
        <v>0.25162849094712503</v>
      </c>
      <c r="G216">
        <v>-190.41014566941314</v>
      </c>
      <c r="H216">
        <v>-105.52340851195147</v>
      </c>
      <c r="I216">
        <v>80.607343571257104</v>
      </c>
      <c r="J216">
        <v>31.482057768096698</v>
      </c>
      <c r="K216">
        <v>33.936229920039203</v>
      </c>
      <c r="L216">
        <v>1.8268145302212345E-3</v>
      </c>
      <c r="M216">
        <v>9.6917856750195017E-4</v>
      </c>
      <c r="N216" s="1">
        <v>-6.2948901236755601E-5</v>
      </c>
      <c r="O216" s="1">
        <v>7.3088440788425795E-5</v>
      </c>
      <c r="P216" s="1">
        <v>-5.7350165722113703E-5</v>
      </c>
      <c r="AE216">
        <v>100</v>
      </c>
      <c r="AJ216">
        <v>1</v>
      </c>
    </row>
    <row r="217" spans="1:36" x14ac:dyDescent="0.2">
      <c r="A217">
        <v>216</v>
      </c>
      <c r="B217">
        <v>778</v>
      </c>
      <c r="C217">
        <v>105</v>
      </c>
      <c r="D217">
        <v>0.49587642106264601</v>
      </c>
      <c r="E217">
        <v>9.6237486234433192</v>
      </c>
      <c r="F217">
        <v>0.25255216126097602</v>
      </c>
      <c r="G217">
        <v>-214.40910584807025</v>
      </c>
      <c r="H217">
        <v>-118.9950948711096</v>
      </c>
      <c r="I217">
        <v>90.776310019396703</v>
      </c>
      <c r="J217">
        <v>35.569429487973501</v>
      </c>
      <c r="K217">
        <v>38.105984028774699</v>
      </c>
      <c r="L217">
        <v>1.8372525582936693E-3</v>
      </c>
      <c r="M217">
        <v>9.6933612723685669E-4</v>
      </c>
      <c r="N217" s="1">
        <v>-7.1275785776569501E-5</v>
      </c>
      <c r="O217" s="1">
        <v>8.2212912188191998E-5</v>
      </c>
      <c r="P217" s="1">
        <v>-6.4930766703210905E-5</v>
      </c>
      <c r="AE217">
        <v>100</v>
      </c>
      <c r="AJ217">
        <v>1</v>
      </c>
    </row>
    <row r="218" spans="1:36" x14ac:dyDescent="0.2">
      <c r="A218">
        <v>217</v>
      </c>
      <c r="B218">
        <v>776</v>
      </c>
      <c r="C218">
        <v>105</v>
      </c>
      <c r="D218">
        <v>0.49478196635371602</v>
      </c>
      <c r="E218">
        <v>10.0606287314406</v>
      </c>
      <c r="F218">
        <v>0.25348454122838898</v>
      </c>
      <c r="G218">
        <v>-223.95270733752051</v>
      </c>
      <c r="H218">
        <v>-124.47146409378846</v>
      </c>
      <c r="I218">
        <v>94.826288474751493</v>
      </c>
      <c r="J218">
        <v>37.278823034232602</v>
      </c>
      <c r="K218">
        <v>39.689318657014098</v>
      </c>
      <c r="L218">
        <v>1.8477987622944757E-3</v>
      </c>
      <c r="M218">
        <v>9.6948631414384167E-4</v>
      </c>
      <c r="N218" s="1">
        <v>-7.4853431344041306E-5</v>
      </c>
      <c r="O218" s="1">
        <v>8.5780425627838701E-5</v>
      </c>
      <c r="P218" s="1">
        <v>-6.8194947527967998E-5</v>
      </c>
      <c r="AE218">
        <v>100</v>
      </c>
      <c r="AJ218">
        <v>1</v>
      </c>
    </row>
    <row r="219" spans="1:36" x14ac:dyDescent="0.2">
      <c r="A219">
        <v>218</v>
      </c>
      <c r="B219">
        <v>774</v>
      </c>
      <c r="C219">
        <v>105</v>
      </c>
      <c r="D219">
        <v>0.493683330945906</v>
      </c>
      <c r="E219">
        <v>10.263667238176</v>
      </c>
      <c r="F219">
        <v>0.25442575755534103</v>
      </c>
      <c r="G219">
        <v>-228.27899985581283</v>
      </c>
      <c r="H219">
        <v>-127.05964403225575</v>
      </c>
      <c r="I219">
        <v>96.6673631516135</v>
      </c>
      <c r="J219">
        <v>38.129023696699697</v>
      </c>
      <c r="K219">
        <v>40.340519516557002</v>
      </c>
      <c r="L219">
        <v>1.8584543333510621E-3</v>
      </c>
      <c r="M219">
        <v>9.6962880245000363E-4</v>
      </c>
      <c r="N219" s="1">
        <v>-7.6706413798349895E-5</v>
      </c>
      <c r="O219" s="1">
        <v>8.73433239573071E-5</v>
      </c>
      <c r="P219" s="1">
        <v>-6.9899921125175297E-5</v>
      </c>
      <c r="AE219">
        <v>100</v>
      </c>
      <c r="AJ219">
        <v>1</v>
      </c>
    </row>
    <row r="220" spans="1:36" x14ac:dyDescent="0.2">
      <c r="A220">
        <v>219</v>
      </c>
      <c r="B220">
        <v>772</v>
      </c>
      <c r="C220">
        <v>105</v>
      </c>
      <c r="D220">
        <v>0.49258049083863298</v>
      </c>
      <c r="E220">
        <v>10.381160621587499</v>
      </c>
      <c r="F220">
        <v>0.25537593920055801</v>
      </c>
      <c r="G220">
        <v>-230.69675072093409</v>
      </c>
      <c r="H220">
        <v>-128.59139102930922</v>
      </c>
      <c r="I220">
        <v>97.700139146733804</v>
      </c>
      <c r="J220">
        <v>38.665781202484702</v>
      </c>
      <c r="K220">
        <v>40.650503935825803</v>
      </c>
      <c r="L220">
        <v>1.8692204609294413E-3</v>
      </c>
      <c r="M220">
        <v>9.697632540493483E-4</v>
      </c>
      <c r="N220" s="1">
        <v>-7.7923589249932803E-5</v>
      </c>
      <c r="O220" s="1">
        <v>8.81726364657175E-5</v>
      </c>
      <c r="P220" s="1">
        <v>-7.1038488668437102E-5</v>
      </c>
      <c r="AE220">
        <v>100</v>
      </c>
      <c r="AJ220">
        <v>1</v>
      </c>
    </row>
    <row r="221" spans="1:36" x14ac:dyDescent="0.2">
      <c r="A221">
        <v>220</v>
      </c>
      <c r="B221">
        <v>770</v>
      </c>
      <c r="C221">
        <v>105</v>
      </c>
      <c r="D221">
        <v>0.49147342184729198</v>
      </c>
      <c r="E221">
        <v>10.4585636525324</v>
      </c>
      <c r="F221">
        <v>0.25633521741448001</v>
      </c>
      <c r="G221">
        <v>-232.22006753218869</v>
      </c>
      <c r="H221">
        <v>-129.62819231286795</v>
      </c>
      <c r="I221">
        <v>98.353889902384097</v>
      </c>
      <c r="J221">
        <v>39.056423831108702</v>
      </c>
      <c r="K221">
        <v>40.800338548961399</v>
      </c>
      <c r="L221">
        <v>1.8800983315823163E-3</v>
      </c>
      <c r="M221">
        <v>9.698893180369667E-4</v>
      </c>
      <c r="N221" s="1">
        <v>-7.8838437896638105E-5</v>
      </c>
      <c r="O221" s="1">
        <v>8.8657876805059996E-5</v>
      </c>
      <c r="P221" s="1">
        <v>-7.1915179785620898E-5</v>
      </c>
      <c r="AE221">
        <v>100</v>
      </c>
      <c r="AJ221">
        <v>1</v>
      </c>
    </row>
    <row r="222" spans="1:36" x14ac:dyDescent="0.2">
      <c r="A222">
        <v>221</v>
      </c>
      <c r="B222">
        <v>768</v>
      </c>
      <c r="C222">
        <v>105</v>
      </c>
      <c r="D222">
        <v>0.49036209960140498</v>
      </c>
      <c r="E222">
        <v>10.513931243039201</v>
      </c>
      <c r="F222">
        <v>0.25730372577841498</v>
      </c>
      <c r="G222">
        <v>-233.25176580291085</v>
      </c>
      <c r="H222">
        <v>-130.39307378616979</v>
      </c>
      <c r="I222">
        <v>98.7991247503507</v>
      </c>
      <c r="J222">
        <v>39.367424484773402</v>
      </c>
      <c r="K222">
        <v>40.861947145271998</v>
      </c>
      <c r="L222">
        <v>1.8910891276064984E-3</v>
      </c>
      <c r="M222">
        <v>9.7000663022642479E-4</v>
      </c>
      <c r="N222" s="1">
        <v>-7.9583040515798494E-5</v>
      </c>
      <c r="O222" s="1">
        <v>8.8953757193809796E-5</v>
      </c>
      <c r="P222" s="1">
        <v>-7.2651040533194903E-5</v>
      </c>
      <c r="AE222">
        <v>100</v>
      </c>
      <c r="AJ222">
        <v>1</v>
      </c>
    </row>
    <row r="223" spans="1:36" x14ac:dyDescent="0.2">
      <c r="A223">
        <v>222</v>
      </c>
      <c r="B223">
        <v>766</v>
      </c>
      <c r="C223">
        <v>105</v>
      </c>
      <c r="D223">
        <v>0.4892464995429</v>
      </c>
      <c r="E223">
        <v>10.5558238625232</v>
      </c>
      <c r="F223">
        <v>0.25828160024386998</v>
      </c>
      <c r="G223">
        <v>-233.98284483132275</v>
      </c>
      <c r="H223">
        <v>-130.99177761705872</v>
      </c>
      <c r="I223">
        <v>99.116689510542301</v>
      </c>
      <c r="J223">
        <v>39.630305561621299</v>
      </c>
      <c r="K223">
        <v>40.869438057362302</v>
      </c>
      <c r="L223">
        <v>1.9021940256050346E-3</v>
      </c>
      <c r="M223">
        <v>9.7011481265012948E-4</v>
      </c>
      <c r="N223" s="1">
        <v>-8.0219661769230302E-5</v>
      </c>
      <c r="O223" s="1">
        <v>8.9133631838876306E-5</v>
      </c>
      <c r="P223" s="1">
        <v>-7.3303530320758606E-5</v>
      </c>
      <c r="AE223">
        <v>100</v>
      </c>
      <c r="AJ223">
        <v>1</v>
      </c>
    </row>
    <row r="224" spans="1:36" x14ac:dyDescent="0.2">
      <c r="A224">
        <v>223</v>
      </c>
      <c r="B224">
        <v>764</v>
      </c>
      <c r="C224">
        <v>105</v>
      </c>
      <c r="D224">
        <v>0.48812659692426702</v>
      </c>
      <c r="E224">
        <v>10.5888307021548</v>
      </c>
      <c r="F224">
        <v>0.259268979171976</v>
      </c>
      <c r="G224">
        <v>-234.51570550835007</v>
      </c>
      <c r="H224">
        <v>-131.48098970894688</v>
      </c>
      <c r="I224">
        <v>99.349925640996602</v>
      </c>
      <c r="J224">
        <v>39.8619710934571</v>
      </c>
      <c r="K224">
        <v>40.841101530820197</v>
      </c>
      <c r="L224">
        <v>1.9134141949482262E-3</v>
      </c>
      <c r="M224">
        <v>9.7021347304206021E-4</v>
      </c>
      <c r="N224" s="1">
        <v>-8.0781348609625797E-5</v>
      </c>
      <c r="O224" s="1">
        <v>8.9236823499759104E-5</v>
      </c>
      <c r="P224" s="1">
        <v>-7.3903515446223193E-5</v>
      </c>
      <c r="AE224">
        <v>100</v>
      </c>
      <c r="AJ224">
        <v>1</v>
      </c>
    </row>
    <row r="225" spans="1:36" x14ac:dyDescent="0.2">
      <c r="A225">
        <v>224</v>
      </c>
      <c r="B225">
        <v>762</v>
      </c>
      <c r="C225">
        <v>105</v>
      </c>
      <c r="D225">
        <v>0.48700236680674502</v>
      </c>
      <c r="E225">
        <v>10.615641292207799</v>
      </c>
      <c r="F225">
        <v>0.260266003372987</v>
      </c>
      <c r="G225">
        <v>-234.91036621142456</v>
      </c>
      <c r="H225">
        <v>-131.8939304825312</v>
      </c>
      <c r="I225">
        <v>99.524233831537302</v>
      </c>
      <c r="J225">
        <v>40.072333098069201</v>
      </c>
      <c r="K225">
        <v>40.787660142436998</v>
      </c>
      <c r="L225">
        <v>1.9247507961281118E-3</v>
      </c>
      <c r="M225">
        <v>9.7030220430251613E-4</v>
      </c>
      <c r="N225" s="1">
        <v>-8.1287157653282095E-5</v>
      </c>
      <c r="O225" s="1">
        <v>8.9286374259550894E-5</v>
      </c>
      <c r="P225" s="1">
        <v>-7.4469145344446705E-5</v>
      </c>
      <c r="AE225">
        <v>100</v>
      </c>
      <c r="AJ225">
        <v>1</v>
      </c>
    </row>
    <row r="226" spans="1:36" x14ac:dyDescent="0.2">
      <c r="A226">
        <v>225</v>
      </c>
      <c r="B226">
        <v>814</v>
      </c>
      <c r="C226">
        <v>90</v>
      </c>
      <c r="D226">
        <v>0.53006530837511401</v>
      </c>
      <c r="E226">
        <v>7.49121086830759</v>
      </c>
      <c r="F226">
        <v>0.20227187523995299</v>
      </c>
      <c r="G226">
        <v>-169.97070889133514</v>
      </c>
      <c r="H226">
        <v>-91.244513909088823</v>
      </c>
      <c r="I226">
        <v>72.419152750878993</v>
      </c>
      <c r="J226">
        <v>25.6341804934581</v>
      </c>
      <c r="K226">
        <v>37.035355802287398</v>
      </c>
      <c r="L226">
        <v>1.6302807506163568E-3</v>
      </c>
      <c r="M226">
        <v>1.1635649851336812E-3</v>
      </c>
      <c r="N226" s="1">
        <v>-6.3531979401948403E-5</v>
      </c>
      <c r="O226">
        <v>1.05613066851046E-4</v>
      </c>
      <c r="P226" s="1">
        <v>-5.7579698927544298E-5</v>
      </c>
      <c r="AE226">
        <v>100</v>
      </c>
      <c r="AJ226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3C4CB-360D-47C7-AF35-6225D1476B59}">
  <sheetPr codeName="Sheet14"/>
  <dimension ref="A1:AU226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760</v>
      </c>
      <c r="C2">
        <v>300</v>
      </c>
      <c r="D2">
        <v>0.27825630353772701</v>
      </c>
      <c r="E2">
        <v>215.6462531920815</v>
      </c>
      <c r="F2">
        <v>57.573473492488411</v>
      </c>
      <c r="G2">
        <v>70.859009341737888</v>
      </c>
      <c r="H2">
        <v>66.267640192716541</v>
      </c>
      <c r="J2">
        <v>45.82850139729053</v>
      </c>
      <c r="L2">
        <v>3.9906511159212643</v>
      </c>
      <c r="M2">
        <v>13.790051714320029</v>
      </c>
      <c r="N2">
        <v>2.6743146340428909</v>
      </c>
      <c r="O2">
        <v>16.11995049588193</v>
      </c>
      <c r="P2">
        <v>10.152095294191771</v>
      </c>
      <c r="Q2">
        <v>1.6333520549352616</v>
      </c>
      <c r="R2">
        <v>11.548936400321406</v>
      </c>
      <c r="S2">
        <v>37.338697231692976</v>
      </c>
      <c r="U2">
        <v>2.635026818697435</v>
      </c>
      <c r="V2">
        <v>47.601301584931804</v>
      </c>
      <c r="W2">
        <v>21.727335451024647</v>
      </c>
      <c r="X2">
        <v>51.722490408433558</v>
      </c>
      <c r="Y2">
        <v>6.293559839583768</v>
      </c>
      <c r="Z2">
        <v>28.12972523289336</v>
      </c>
      <c r="AA2">
        <v>2.882642823648661</v>
      </c>
      <c r="AB2">
        <v>33.514197082195047</v>
      </c>
      <c r="AC2">
        <v>1.1715670677815771E-2</v>
      </c>
      <c r="AD2">
        <v>5.9113773464426398</v>
      </c>
      <c r="AE2">
        <v>11.506537082941863</v>
      </c>
      <c r="AF2">
        <v>13.493288881254294</v>
      </c>
      <c r="AG2">
        <v>19.019898055630826</v>
      </c>
      <c r="AH2">
        <v>5.1503483765225742</v>
      </c>
      <c r="AI2">
        <v>2.6264084342857652</v>
      </c>
      <c r="AK2">
        <v>42.782587010367941</v>
      </c>
    </row>
    <row r="3" spans="1:47" x14ac:dyDescent="0.2">
      <c r="A3">
        <v>2</v>
      </c>
      <c r="B3">
        <v>758</v>
      </c>
      <c r="C3">
        <v>300</v>
      </c>
      <c r="D3">
        <v>0.27672065169955901</v>
      </c>
      <c r="E3">
        <v>215.42496959171365</v>
      </c>
      <c r="F3">
        <v>56.899451572707065</v>
      </c>
      <c r="G3">
        <v>70.746678661744753</v>
      </c>
      <c r="H3">
        <v>66.15047622215765</v>
      </c>
      <c r="J3">
        <v>45.732471947627609</v>
      </c>
      <c r="L3">
        <v>3.8404200375912514</v>
      </c>
      <c r="M3">
        <v>13.67315656185249</v>
      </c>
      <c r="N3">
        <v>2.6661650700989132</v>
      </c>
      <c r="O3">
        <v>15.409736497599239</v>
      </c>
      <c r="P3">
        <v>9.9622435310607003</v>
      </c>
      <c r="Q3">
        <v>1.5220736761979523</v>
      </c>
      <c r="R3">
        <v>11.168976431411908</v>
      </c>
      <c r="S3">
        <v>36.573350841292594</v>
      </c>
      <c r="U3">
        <v>2.4918480342244282</v>
      </c>
      <c r="V3">
        <v>47.410268315613813</v>
      </c>
      <c r="W3">
        <v>21.357410469500817</v>
      </c>
      <c r="X3">
        <v>51.36424815864153</v>
      </c>
      <c r="Y3">
        <v>6.1373456753421545</v>
      </c>
      <c r="Z3">
        <v>27.762578525587578</v>
      </c>
      <c r="AA3">
        <v>2.7269440083837546</v>
      </c>
      <c r="AB3">
        <v>33.252736477495255</v>
      </c>
      <c r="AD3">
        <v>5.7038792315874423</v>
      </c>
      <c r="AE3">
        <v>11.339749172104183</v>
      </c>
      <c r="AF3">
        <v>13.362066228839941</v>
      </c>
      <c r="AG3">
        <v>18.716279309972052</v>
      </c>
      <c r="AH3">
        <v>4.9169429559903177</v>
      </c>
      <c r="AI3">
        <v>2.6176865434181829</v>
      </c>
      <c r="AK3">
        <v>42.793942927471534</v>
      </c>
    </row>
    <row r="4" spans="1:47" x14ac:dyDescent="0.2">
      <c r="A4">
        <v>3</v>
      </c>
      <c r="B4">
        <v>756</v>
      </c>
      <c r="C4">
        <v>300</v>
      </c>
      <c r="D4">
        <v>0.27517903123937498</v>
      </c>
      <c r="E4">
        <v>215.17625162888928</v>
      </c>
      <c r="F4">
        <v>56.131008478553412</v>
      </c>
      <c r="G4">
        <v>70.620323825056147</v>
      </c>
      <c r="H4">
        <v>66.019340043334694</v>
      </c>
      <c r="J4">
        <v>45.586854841665804</v>
      </c>
      <c r="L4">
        <v>3.674965492364092</v>
      </c>
      <c r="M4">
        <v>13.51673043306643</v>
      </c>
      <c r="N4">
        <v>2.6701071648429697</v>
      </c>
      <c r="O4">
        <v>14.659309449363992</v>
      </c>
      <c r="P4">
        <v>9.7564659377511997</v>
      </c>
      <c r="Q4">
        <v>1.3805967034318227</v>
      </c>
      <c r="R4">
        <v>10.72595940174952</v>
      </c>
      <c r="S4">
        <v>35.612891785868221</v>
      </c>
      <c r="U4">
        <v>2.3150949806455605</v>
      </c>
      <c r="V4">
        <v>47.154969107367371</v>
      </c>
      <c r="W4">
        <v>20.913372188717595</v>
      </c>
      <c r="X4">
        <v>50.892076369530692</v>
      </c>
      <c r="Y4">
        <v>5.9598921903657249</v>
      </c>
      <c r="Z4">
        <v>27.339743243501346</v>
      </c>
      <c r="AA4">
        <v>2.5561821398194007</v>
      </c>
      <c r="AB4">
        <v>32.922466783711535</v>
      </c>
      <c r="AD4">
        <v>5.4602898674302711</v>
      </c>
      <c r="AE4">
        <v>11.151270855663121</v>
      </c>
      <c r="AF4">
        <v>13.203405376840054</v>
      </c>
      <c r="AG4">
        <v>18.355953172091958</v>
      </c>
      <c r="AH4">
        <v>4.6386709785742424</v>
      </c>
      <c r="AI4">
        <v>2.6210530023345111</v>
      </c>
      <c r="AK4">
        <v>42.787804325578911</v>
      </c>
    </row>
    <row r="5" spans="1:47" x14ac:dyDescent="0.2">
      <c r="A5">
        <v>4</v>
      </c>
      <c r="B5">
        <v>754</v>
      </c>
      <c r="C5">
        <v>300</v>
      </c>
      <c r="D5">
        <v>0.27363140729202201</v>
      </c>
      <c r="E5">
        <v>214.92819293120704</v>
      </c>
      <c r="F5">
        <v>55.365455452799239</v>
      </c>
      <c r="G5">
        <v>70.494316693624668</v>
      </c>
      <c r="H5">
        <v>65.888603684425078</v>
      </c>
      <c r="J5">
        <v>45.443726335022539</v>
      </c>
      <c r="L5">
        <v>3.5101516922406661</v>
      </c>
      <c r="M5">
        <v>13.360913776743512</v>
      </c>
      <c r="N5">
        <v>2.6740487446640135</v>
      </c>
      <c r="O5">
        <v>13.911420234723476</v>
      </c>
      <c r="P5">
        <v>9.5514142454768276</v>
      </c>
      <c r="Q5">
        <v>1.2396486620380092</v>
      </c>
      <c r="R5">
        <v>10.284433414069628</v>
      </c>
      <c r="S5">
        <v>34.656311046566593</v>
      </c>
      <c r="U5">
        <v>2.1386664266100488</v>
      </c>
      <c r="V5">
        <v>46.900553240452041</v>
      </c>
      <c r="W5">
        <v>20.470492641545317</v>
      </c>
      <c r="X5">
        <v>50.421731248953634</v>
      </c>
      <c r="Y5">
        <v>5.7830754452970776</v>
      </c>
      <c r="Z5">
        <v>26.91810635961901</v>
      </c>
      <c r="AA5">
        <v>2.3861111868438893</v>
      </c>
      <c r="AB5">
        <v>32.593317723969541</v>
      </c>
      <c r="AD5">
        <v>5.2172050320494616</v>
      </c>
      <c r="AE5">
        <v>10.963294633185269</v>
      </c>
      <c r="AF5">
        <v>13.045354645160392</v>
      </c>
      <c r="AG5">
        <v>17.996757238735778</v>
      </c>
      <c r="AH5">
        <v>4.3613530480555216</v>
      </c>
      <c r="AI5">
        <v>2.6244156227155573</v>
      </c>
      <c r="AK5">
        <v>42.782975984973085</v>
      </c>
    </row>
    <row r="6" spans="1:47" x14ac:dyDescent="0.2">
      <c r="A6">
        <v>5</v>
      </c>
      <c r="B6">
        <v>752</v>
      </c>
      <c r="C6">
        <v>300</v>
      </c>
      <c r="D6">
        <v>0.27207774472028401</v>
      </c>
      <c r="E6">
        <v>214.68079004403137</v>
      </c>
      <c r="F6">
        <v>54.602777235767014</v>
      </c>
      <c r="G6">
        <v>70.368655868710803</v>
      </c>
      <c r="H6">
        <v>65.758265913560379</v>
      </c>
      <c r="J6">
        <v>45.30308251843482</v>
      </c>
      <c r="L6">
        <v>3.3460650174953042</v>
      </c>
      <c r="M6">
        <v>13.205702453294352</v>
      </c>
      <c r="N6">
        <v>2.6779898140769802</v>
      </c>
      <c r="O6">
        <v>13.166056910928639</v>
      </c>
      <c r="P6">
        <v>9.3470858432067558</v>
      </c>
      <c r="Q6">
        <v>1.0991747016674771</v>
      </c>
      <c r="R6">
        <v>9.8443885174276478</v>
      </c>
      <c r="S6">
        <v>33.703584432246856</v>
      </c>
      <c r="U6">
        <v>1.9625592480726142</v>
      </c>
      <c r="V6">
        <v>46.647014605912972</v>
      </c>
      <c r="W6">
        <v>20.028763321045385</v>
      </c>
      <c r="X6">
        <v>49.953200349514297</v>
      </c>
      <c r="Y6">
        <v>5.6068918823179015</v>
      </c>
      <c r="Z6">
        <v>26.497658672200672</v>
      </c>
      <c r="AA6">
        <v>2.2167276201059867</v>
      </c>
      <c r="AB6">
        <v>32.265280818234743</v>
      </c>
      <c r="AD6">
        <v>4.9746225644121358</v>
      </c>
      <c r="AE6">
        <v>10.7758160903809</v>
      </c>
      <c r="AF6">
        <v>12.887909943664576</v>
      </c>
      <c r="AG6">
        <v>17.638683081916636</v>
      </c>
      <c r="AH6">
        <v>4.0849854732073094</v>
      </c>
      <c r="AI6">
        <v>2.6277743943648528</v>
      </c>
      <c r="AK6">
        <v>42.779457236286433</v>
      </c>
    </row>
    <row r="7" spans="1:47" x14ac:dyDescent="0.2">
      <c r="A7">
        <v>6</v>
      </c>
      <c r="B7">
        <v>750</v>
      </c>
      <c r="C7">
        <v>300</v>
      </c>
      <c r="D7">
        <v>0.270518008112205</v>
      </c>
      <c r="E7">
        <v>214.43403960207749</v>
      </c>
      <c r="F7">
        <v>53.842958940515203</v>
      </c>
      <c r="G7">
        <v>70.243339996103998</v>
      </c>
      <c r="H7">
        <v>65.628325544052629</v>
      </c>
      <c r="J7">
        <v>45.164919669709285</v>
      </c>
      <c r="L7">
        <v>3.1826635000107526</v>
      </c>
      <c r="M7">
        <v>13.051092398874742</v>
      </c>
      <c r="N7">
        <v>2.6819303776525674</v>
      </c>
      <c r="O7">
        <v>12.423207825518595</v>
      </c>
      <c r="P7">
        <v>9.1434782100293575</v>
      </c>
      <c r="Q7">
        <v>0.95926089122148184</v>
      </c>
      <c r="R7">
        <v>9.4058149766822474</v>
      </c>
      <c r="S7">
        <v>32.754688214986601</v>
      </c>
      <c r="U7">
        <v>1.7867704052310867</v>
      </c>
      <c r="V7">
        <v>46.394347117920994</v>
      </c>
      <c r="W7">
        <v>19.588175866914803</v>
      </c>
      <c r="X7">
        <v>49.486471470087565</v>
      </c>
      <c r="Y7">
        <v>5.4313380403240412</v>
      </c>
      <c r="Z7">
        <v>26.078391119458878</v>
      </c>
      <c r="AA7">
        <v>2.0480279798555276</v>
      </c>
      <c r="AB7">
        <v>31.938347720562096</v>
      </c>
      <c r="AD7">
        <v>4.732540354009922</v>
      </c>
      <c r="AE7">
        <v>10.588830871570169</v>
      </c>
      <c r="AF7">
        <v>12.731067258221922</v>
      </c>
      <c r="AG7">
        <v>17.281722408094549</v>
      </c>
      <c r="AH7">
        <v>3.8095646932708545</v>
      </c>
      <c r="AI7">
        <v>2.6311293071381998</v>
      </c>
      <c r="AK7">
        <v>42.777247507915085</v>
      </c>
    </row>
    <row r="8" spans="1:47" x14ac:dyDescent="0.2">
      <c r="A8">
        <v>7</v>
      </c>
      <c r="B8">
        <v>748</v>
      </c>
      <c r="C8">
        <v>300</v>
      </c>
      <c r="D8">
        <v>0.26895216177838999</v>
      </c>
      <c r="E8">
        <v>214.18793832859808</v>
      </c>
      <c r="F8">
        <v>53.08598604784104</v>
      </c>
      <c r="G8">
        <v>70.118367765681</v>
      </c>
      <c r="H8">
        <v>65.498781433955415</v>
      </c>
      <c r="J8">
        <v>45.029234252236726</v>
      </c>
      <c r="L8">
        <v>3.019890451082778</v>
      </c>
      <c r="M8">
        <v>12.897079624284801</v>
      </c>
      <c r="N8">
        <v>2.6858704399194484</v>
      </c>
      <c r="O8">
        <v>11.682861612027622</v>
      </c>
      <c r="P8">
        <v>8.9405889141892132</v>
      </c>
      <c r="Q8">
        <v>0.8198584884148068</v>
      </c>
      <c r="R8">
        <v>8.9687032699875413</v>
      </c>
      <c r="S8">
        <v>31.809599123667599</v>
      </c>
      <c r="U8">
        <v>1.611296941664363</v>
      </c>
      <c r="V8">
        <v>46.142544706862438</v>
      </c>
      <c r="W8">
        <v>19.148722062892812</v>
      </c>
      <c r="X8">
        <v>49.021532653058308</v>
      </c>
      <c r="Y8">
        <v>5.2564105541422155</v>
      </c>
      <c r="Z8">
        <v>25.660294776014332</v>
      </c>
      <c r="AA8">
        <v>1.8800088734218299</v>
      </c>
      <c r="AB8">
        <v>31.612510216195219</v>
      </c>
      <c r="AD8">
        <v>4.4909563401592401</v>
      </c>
      <c r="AE8">
        <v>10.402334677818825</v>
      </c>
      <c r="AF8">
        <v>12.574822649504412</v>
      </c>
      <c r="AG8">
        <v>16.92586705518222</v>
      </c>
      <c r="AH8">
        <v>3.5350872618211557</v>
      </c>
      <c r="AI8">
        <v>2.634480350845648</v>
      </c>
      <c r="AK8">
        <v>42.776346325412582</v>
      </c>
    </row>
    <row r="9" spans="1:47" x14ac:dyDescent="0.2">
      <c r="A9">
        <v>8</v>
      </c>
      <c r="B9">
        <v>746</v>
      </c>
      <c r="C9">
        <v>300</v>
      </c>
      <c r="D9">
        <v>0.26738016974930101</v>
      </c>
      <c r="E9">
        <v>213.94248303396105</v>
      </c>
      <c r="F9">
        <v>52.331844399444194</v>
      </c>
      <c r="G9">
        <v>69.993737910721237</v>
      </c>
      <c r="H9">
        <v>65.369632485385765</v>
      </c>
      <c r="J9">
        <v>44.896022912481214</v>
      </c>
      <c r="L9">
        <v>2.8578391665644305</v>
      </c>
      <c r="M9">
        <v>12.743660213223933</v>
      </c>
      <c r="N9">
        <v>2.6898100054080416</v>
      </c>
      <c r="O9">
        <v>10.945007184994374</v>
      </c>
      <c r="P9">
        <v>8.7384156117683585</v>
      </c>
      <c r="Q9">
        <v>0.68096205550904232</v>
      </c>
      <c r="R9">
        <v>8.5330440851332181</v>
      </c>
      <c r="S9">
        <v>30.8682943343332</v>
      </c>
      <c r="U9">
        <v>1.4361359829271487</v>
      </c>
      <c r="V9">
        <v>45.89160131080839</v>
      </c>
      <c r="W9">
        <v>18.710393833099815</v>
      </c>
      <c r="X9">
        <v>48.558372179402852</v>
      </c>
      <c r="Y9">
        <v>5.0821061533540739</v>
      </c>
      <c r="Z9">
        <v>25.24336084872488</v>
      </c>
      <c r="AA9">
        <v>1.7126669730359281</v>
      </c>
      <c r="AB9">
        <v>31.287760217775908</v>
      </c>
      <c r="AD9">
        <v>4.2498685107896614</v>
      </c>
      <c r="AE9">
        <v>10.216323264899325</v>
      </c>
      <c r="AF9">
        <v>12.419172251292622</v>
      </c>
      <c r="AG9">
        <v>16.571108988802063</v>
      </c>
      <c r="AH9">
        <v>3.2615498764130049</v>
      </c>
      <c r="AI9">
        <v>2.6378275152973645</v>
      </c>
      <c r="AK9">
        <v>42.776753310353683</v>
      </c>
    </row>
    <row r="10" spans="1:47" x14ac:dyDescent="0.2">
      <c r="A10">
        <v>9</v>
      </c>
      <c r="B10">
        <v>744</v>
      </c>
      <c r="C10">
        <v>300</v>
      </c>
      <c r="D10">
        <v>0.26580199577250502</v>
      </c>
      <c r="E10">
        <v>213.69767061463853</v>
      </c>
      <c r="F10">
        <v>51.580520192286599</v>
      </c>
      <c r="G10">
        <v>69.869449207362862</v>
      </c>
      <c r="H10">
        <v>65.240877643979758</v>
      </c>
      <c r="J10">
        <v>44.765282478171137</v>
      </c>
      <c r="L10">
        <v>2.696412599796211</v>
      </c>
      <c r="M10">
        <v>12.590830320783697</v>
      </c>
      <c r="N10">
        <v>2.6937490787110474</v>
      </c>
      <c r="O10">
        <v>10.209633735554505</v>
      </c>
      <c r="P10">
        <v>8.5369560456581031</v>
      </c>
      <c r="Q10">
        <v>0.54256625643365075</v>
      </c>
      <c r="R10">
        <v>8.0988283165303692</v>
      </c>
      <c r="S10">
        <v>29.9307514619526</v>
      </c>
      <c r="U10">
        <v>1.2612847353786818</v>
      </c>
      <c r="V10">
        <v>45.641510867031087</v>
      </c>
      <c r="W10">
        <v>18.273183238636825</v>
      </c>
      <c r="X10">
        <v>48.096978565263754</v>
      </c>
      <c r="Y10">
        <v>4.9084216613714329</v>
      </c>
      <c r="Z10">
        <v>24.827580672525986</v>
      </c>
      <c r="AA10">
        <v>1.5459990148460783</v>
      </c>
      <c r="AB10">
        <v>30.964089761691717</v>
      </c>
      <c r="AD10">
        <v>4.009274901246564</v>
      </c>
      <c r="AE10">
        <v>10.030792441172188</v>
      </c>
      <c r="AF10">
        <v>12.264112269025411</v>
      </c>
      <c r="AG10">
        <v>16.217440298694068</v>
      </c>
      <c r="AH10">
        <v>2.9889493267820795</v>
      </c>
      <c r="AI10">
        <v>2.6411707903633541</v>
      </c>
      <c r="AK10">
        <v>42.778468179691778</v>
      </c>
    </row>
    <row r="11" spans="1:47" x14ac:dyDescent="0.2">
      <c r="A11">
        <v>10</v>
      </c>
      <c r="B11">
        <v>742</v>
      </c>
      <c r="C11">
        <v>300</v>
      </c>
      <c r="D11">
        <v>0.264217603309855</v>
      </c>
      <c r="E11">
        <v>213.45349805221406</v>
      </c>
      <c r="F11">
        <v>50.831999973235774</v>
      </c>
      <c r="G11">
        <v>69.745500474116341</v>
      </c>
      <c r="H11">
        <v>65.112515898414003</v>
      </c>
      <c r="J11">
        <v>44.637009956592635</v>
      </c>
      <c r="L11">
        <v>2.535704145669337</v>
      </c>
      <c r="M11">
        <v>12.438586172216143</v>
      </c>
      <c r="N11">
        <v>2.6976876644046364</v>
      </c>
      <c r="O11">
        <v>9.4767307271989978</v>
      </c>
      <c r="P11">
        <v>8.3362080445243389</v>
      </c>
      <c r="Q11">
        <v>0.40462109491405773</v>
      </c>
      <c r="R11">
        <v>7.6660470624777419</v>
      </c>
      <c r="S11">
        <v>28.996948553495926</v>
      </c>
      <c r="U11">
        <v>1.0867404852435967</v>
      </c>
      <c r="V11">
        <v>45.392267303323038</v>
      </c>
      <c r="W11">
        <v>17.837082474892618</v>
      </c>
      <c r="X11">
        <v>47.637340558153014</v>
      </c>
      <c r="Y11">
        <v>4.7353539945909935</v>
      </c>
      <c r="Z11">
        <v>24.412945706929847</v>
      </c>
      <c r="AA11">
        <v>1.3800017991975693</v>
      </c>
      <c r="AB11">
        <v>30.641491005131591</v>
      </c>
      <c r="AD11">
        <v>3.7691735934037753</v>
      </c>
      <c r="AE11">
        <v>9.8457380658039018</v>
      </c>
      <c r="AF11">
        <v>12.109638978495141</v>
      </c>
      <c r="AG11">
        <v>15.86485319569835</v>
      </c>
      <c r="AH11">
        <v>2.7172825280533681</v>
      </c>
      <c r="AI11">
        <v>2.6445101658968575</v>
      </c>
      <c r="AK11">
        <v>42.781490744971869</v>
      </c>
    </row>
    <row r="12" spans="1:47" x14ac:dyDescent="0.2">
      <c r="A12">
        <v>11</v>
      </c>
      <c r="B12">
        <v>740</v>
      </c>
      <c r="C12">
        <v>300</v>
      </c>
      <c r="D12">
        <v>0.26262695553471999</v>
      </c>
      <c r="E12">
        <v>213.2099624125172</v>
      </c>
      <c r="F12">
        <v>50.086270633958868</v>
      </c>
      <c r="G12">
        <v>69.621890571403952</v>
      </c>
      <c r="H12">
        <v>64.984546279946045</v>
      </c>
      <c r="J12">
        <v>44.51120253311403</v>
      </c>
      <c r="L12">
        <v>2.3756091181514964</v>
      </c>
      <c r="M12">
        <v>12.286924061626696</v>
      </c>
      <c r="N12">
        <v>2.7016257670563633</v>
      </c>
      <c r="O12">
        <v>8.7462878917409572</v>
      </c>
      <c r="P12">
        <v>8.1361695218957646</v>
      </c>
      <c r="Q12">
        <v>0.26720314484116442</v>
      </c>
      <c r="R12">
        <v>7.2346916224948821</v>
      </c>
      <c r="S12">
        <v>28.066864080770252</v>
      </c>
      <c r="U12">
        <v>0.9125005976182563</v>
      </c>
      <c r="V12">
        <v>45.143864528777556</v>
      </c>
      <c r="W12">
        <v>17.402083868514115</v>
      </c>
      <c r="X12">
        <v>47.179447134054563</v>
      </c>
      <c r="Y12">
        <v>4.5629001616070912</v>
      </c>
      <c r="Z12">
        <v>23.999447532166574</v>
      </c>
      <c r="AA12">
        <v>1.2146721925292441</v>
      </c>
      <c r="AB12">
        <v>30.319956222792939</v>
      </c>
      <c r="AD12">
        <v>3.5295627145533457</v>
      </c>
      <c r="AE12">
        <v>9.6611560467749502</v>
      </c>
      <c r="AF12">
        <v>11.955748724541735</v>
      </c>
      <c r="AG12">
        <v>15.513340008464295</v>
      </c>
      <c r="AH12">
        <v>2.4465465091907639</v>
      </c>
      <c r="AI12">
        <v>2.6478456317406365</v>
      </c>
      <c r="AK12">
        <v>42.785820911806276</v>
      </c>
    </row>
    <row r="13" spans="1:47" x14ac:dyDescent="0.2">
      <c r="A13">
        <v>12</v>
      </c>
      <c r="B13">
        <v>738</v>
      </c>
      <c r="C13">
        <v>300</v>
      </c>
      <c r="D13">
        <v>0.26103001532908299</v>
      </c>
      <c r="E13">
        <v>212.96706084458427</v>
      </c>
      <c r="F13">
        <v>49.343319405407073</v>
      </c>
      <c r="G13">
        <v>69.498618401030598</v>
      </c>
      <c r="H13">
        <v>64.856967861892258</v>
      </c>
      <c r="J13">
        <v>44.387857569409128</v>
      </c>
      <c r="L13">
        <v>2.2161799973436063</v>
      </c>
      <c r="M13">
        <v>12.135840350515938</v>
      </c>
      <c r="N13">
        <v>2.7055633912600929</v>
      </c>
      <c r="O13">
        <v>8.0182952251420936</v>
      </c>
      <c r="P13">
        <v>7.9368384751482797</v>
      </c>
      <c r="Q13">
        <v>0.13026884582913409</v>
      </c>
      <c r="R13">
        <v>6.8047534943837045</v>
      </c>
      <c r="S13">
        <v>27.140476932546999</v>
      </c>
      <c r="U13">
        <v>0.73856251537097073</v>
      </c>
      <c r="V13">
        <v>44.896296423695212</v>
      </c>
      <c r="W13">
        <v>16.968179874216155</v>
      </c>
      <c r="X13">
        <v>46.723287493409195</v>
      </c>
      <c r="Y13">
        <v>4.3910572623249848</v>
      </c>
      <c r="Z13">
        <v>23.587077845249009</v>
      </c>
      <c r="AA13">
        <v>1.0500071310752392</v>
      </c>
      <c r="AB13">
        <v>29.999477803440382</v>
      </c>
      <c r="AD13">
        <v>3.2904404361652673</v>
      </c>
      <c r="AE13">
        <v>9.4770423389021428</v>
      </c>
      <c r="AF13">
        <v>11.802437919637292</v>
      </c>
      <c r="AG13">
        <v>15.162893180061021</v>
      </c>
      <c r="AH13">
        <v>2.1767384306621089</v>
      </c>
      <c r="AI13">
        <v>2.6511771777644642</v>
      </c>
      <c r="AK13">
        <v>42.791458679175207</v>
      </c>
    </row>
    <row r="14" spans="1:47" x14ac:dyDescent="0.2">
      <c r="A14">
        <v>13</v>
      </c>
      <c r="B14">
        <v>736</v>
      </c>
      <c r="C14">
        <v>300</v>
      </c>
      <c r="D14">
        <v>0.25942674528068399</v>
      </c>
      <c r="E14">
        <v>212.71252308523356</v>
      </c>
      <c r="F14">
        <v>48.492599379977563</v>
      </c>
      <c r="G14">
        <v>69.362509730373461</v>
      </c>
      <c r="H14">
        <v>64.716606583817835</v>
      </c>
      <c r="J14">
        <v>44.198305773401543</v>
      </c>
      <c r="L14">
        <v>2.0285579981988411</v>
      </c>
      <c r="M14">
        <v>11.969383256119473</v>
      </c>
      <c r="N14">
        <v>2.7095000987828031</v>
      </c>
      <c r="O14">
        <v>7.1910390966933022</v>
      </c>
      <c r="P14">
        <v>7.7118661910420014</v>
      </c>
      <c r="R14">
        <v>6.3158055987331254</v>
      </c>
      <c r="S14">
        <v>26.091385742397442</v>
      </c>
      <c r="U14">
        <v>0.5579936797203815</v>
      </c>
      <c r="V14">
        <v>44.620946028139052</v>
      </c>
      <c r="W14">
        <v>16.536499212823063</v>
      </c>
      <c r="X14">
        <v>46.247176368753365</v>
      </c>
      <c r="Y14">
        <v>4.1921913859736284</v>
      </c>
      <c r="Z14">
        <v>23.077593526847757</v>
      </c>
      <c r="AA14">
        <v>0.85719057960050848</v>
      </c>
      <c r="AB14">
        <v>29.610699353396047</v>
      </c>
      <c r="AD14">
        <v>2.9974108370484478</v>
      </c>
      <c r="AE14">
        <v>9.2469138699973854</v>
      </c>
      <c r="AF14">
        <v>11.633754389370193</v>
      </c>
      <c r="AG14">
        <v>14.744155928604197</v>
      </c>
      <c r="AH14">
        <v>1.8618425419844957</v>
      </c>
      <c r="AI14">
        <v>2.6545043510121547</v>
      </c>
      <c r="AK14">
        <v>42.760249674557912</v>
      </c>
    </row>
    <row r="15" spans="1:47" x14ac:dyDescent="0.2">
      <c r="A15">
        <v>14</v>
      </c>
      <c r="B15">
        <v>734</v>
      </c>
      <c r="C15">
        <v>300</v>
      </c>
      <c r="D15">
        <v>0.25781710768008598</v>
      </c>
      <c r="E15">
        <v>212.92806104963927</v>
      </c>
      <c r="F15">
        <v>45.788437530392201</v>
      </c>
      <c r="G15">
        <v>69.315014342087295</v>
      </c>
      <c r="H15">
        <v>64.664912401249595</v>
      </c>
      <c r="J15">
        <v>32.841521575248308</v>
      </c>
      <c r="L15">
        <v>1.6933042612882563</v>
      </c>
      <c r="M15">
        <v>10.919959719391562</v>
      </c>
      <c r="N15">
        <v>2.713489044433079</v>
      </c>
      <c r="O15">
        <v>5.1928089694855526</v>
      </c>
      <c r="P15">
        <v>7.6642055810027694</v>
      </c>
      <c r="R15">
        <v>5.3579157093792418</v>
      </c>
      <c r="S15">
        <v>26.792545005007817</v>
      </c>
      <c r="U15">
        <v>0.31869014490686814</v>
      </c>
      <c r="V15">
        <v>46.249964721637951</v>
      </c>
      <c r="W15">
        <v>15.44032567058947</v>
      </c>
      <c r="X15">
        <v>45.615293692921654</v>
      </c>
      <c r="Y15">
        <v>3.8451991808094439</v>
      </c>
      <c r="Z15">
        <v>17.157561415748749</v>
      </c>
      <c r="AB15">
        <v>27.800016457247168</v>
      </c>
      <c r="AD15">
        <v>3.2772204470877968E-2</v>
      </c>
      <c r="AE15">
        <v>5.9572178577416519</v>
      </c>
      <c r="AF15">
        <v>10.5821582763012</v>
      </c>
      <c r="AG15">
        <v>12.903577043840549</v>
      </c>
      <c r="AI15">
        <v>2.6578802915698301</v>
      </c>
      <c r="AK15">
        <v>34.738176911335664</v>
      </c>
    </row>
    <row r="16" spans="1:47" x14ac:dyDescent="0.2">
      <c r="A16">
        <v>15</v>
      </c>
      <c r="B16">
        <v>732</v>
      </c>
      <c r="C16">
        <v>300</v>
      </c>
      <c r="D16">
        <v>0.256201064517732</v>
      </c>
      <c r="E16">
        <v>213.2925721727278</v>
      </c>
      <c r="F16">
        <v>47.063314291066838</v>
      </c>
      <c r="G16">
        <v>69.237012068225283</v>
      </c>
      <c r="H16">
        <v>64.582765319798824</v>
      </c>
      <c r="J16">
        <v>26.709860675864011</v>
      </c>
      <c r="L16">
        <v>1.7323216066017266</v>
      </c>
      <c r="M16">
        <v>9.8378486732738235</v>
      </c>
      <c r="N16">
        <v>2.7174675067117957</v>
      </c>
      <c r="O16">
        <v>5.2910478238018772</v>
      </c>
      <c r="P16">
        <v>7.5555537800275889</v>
      </c>
      <c r="R16">
        <v>4.5730805979752605</v>
      </c>
      <c r="S16">
        <v>28.190742461700143</v>
      </c>
      <c r="U16">
        <v>0.24083098626047292</v>
      </c>
      <c r="V16">
        <v>47.835184245695089</v>
      </c>
      <c r="W16">
        <v>14.229266421453572</v>
      </c>
      <c r="X16">
        <v>45.459156335557104</v>
      </c>
      <c r="Y16">
        <v>3.7191325891409819</v>
      </c>
      <c r="Z16">
        <v>18.014090759903503</v>
      </c>
      <c r="AB16">
        <v>29.500493162013441</v>
      </c>
      <c r="AE16">
        <v>6.4401255445480512</v>
      </c>
      <c r="AF16">
        <v>9.4978658388784023</v>
      </c>
      <c r="AG16">
        <v>14.574157901967991</v>
      </c>
      <c r="AI16">
        <v>2.6612422632177646</v>
      </c>
      <c r="AK16">
        <v>30.286534727919154</v>
      </c>
    </row>
    <row r="17" spans="1:37" x14ac:dyDescent="0.2">
      <c r="A17">
        <v>16</v>
      </c>
      <c r="B17">
        <v>730</v>
      </c>
      <c r="C17">
        <v>300</v>
      </c>
      <c r="D17">
        <v>0.25457857748093798</v>
      </c>
      <c r="E17">
        <v>213.59307640709395</v>
      </c>
      <c r="F17">
        <v>47.896075137250008</v>
      </c>
      <c r="G17">
        <v>69.201238335784751</v>
      </c>
      <c r="H17">
        <v>64.542900940711363</v>
      </c>
      <c r="J17">
        <v>23.723797776520605</v>
      </c>
      <c r="L17">
        <v>1.7632424705644589</v>
      </c>
      <c r="M17">
        <v>9.0162016242558671</v>
      </c>
      <c r="N17">
        <v>2.7214370243318333</v>
      </c>
      <c r="O17">
        <v>5.2915921256052432</v>
      </c>
      <c r="P17">
        <v>7.5313833743009626</v>
      </c>
      <c r="R17">
        <v>3.9689009665025115</v>
      </c>
      <c r="S17">
        <v>29.079431430526885</v>
      </c>
      <c r="U17">
        <v>0.18648680396199913</v>
      </c>
      <c r="V17">
        <v>48.964140025254821</v>
      </c>
      <c r="W17">
        <v>13.267374273345409</v>
      </c>
      <c r="X17">
        <v>45.371377576919066</v>
      </c>
      <c r="Y17">
        <v>3.6562428106934575</v>
      </c>
      <c r="Z17">
        <v>18.113063452412185</v>
      </c>
      <c r="AB17">
        <v>30.382665049182801</v>
      </c>
      <c r="AE17">
        <v>6.482232871208474</v>
      </c>
      <c r="AF17">
        <v>8.6740301695217621</v>
      </c>
      <c r="AG17">
        <v>15.426435674193662</v>
      </c>
      <c r="AI17">
        <v>2.6645917899514973</v>
      </c>
      <c r="AK17">
        <v>28.057659762246786</v>
      </c>
    </row>
    <row r="18" spans="1:37" x14ac:dyDescent="0.2">
      <c r="A18">
        <v>17</v>
      </c>
      <c r="B18">
        <v>728</v>
      </c>
      <c r="C18">
        <v>300</v>
      </c>
      <c r="D18">
        <v>0.25294960795086002</v>
      </c>
      <c r="E18">
        <v>213.83610954022981</v>
      </c>
      <c r="F18">
        <v>48.601945838466634</v>
      </c>
      <c r="G18">
        <v>69.164937128227791</v>
      </c>
      <c r="H18">
        <v>64.50256342239318</v>
      </c>
      <c r="J18">
        <v>21.802001828579847</v>
      </c>
      <c r="L18">
        <v>1.7883625416762043</v>
      </c>
      <c r="M18">
        <v>8.3202759993884268</v>
      </c>
      <c r="N18">
        <v>2.7254000989046734</v>
      </c>
      <c r="O18">
        <v>5.2827229820611183</v>
      </c>
      <c r="P18">
        <v>7.5061850269271169</v>
      </c>
      <c r="R18">
        <v>3.4395986895604387</v>
      </c>
      <c r="S18">
        <v>29.785078458355311</v>
      </c>
      <c r="U18">
        <v>0.13772865650744989</v>
      </c>
      <c r="V18">
        <v>49.89027970805958</v>
      </c>
      <c r="W18">
        <v>12.428476901625411</v>
      </c>
      <c r="X18">
        <v>45.300440654649769</v>
      </c>
      <c r="Y18">
        <v>3.606262418670787</v>
      </c>
      <c r="Z18">
        <v>18.192407894428822</v>
      </c>
      <c r="AB18">
        <v>31.099858945382842</v>
      </c>
      <c r="AE18">
        <v>6.5139568059127955</v>
      </c>
      <c r="AF18">
        <v>7.9759112443256361</v>
      </c>
      <c r="AG18">
        <v>16.113739740091724</v>
      </c>
      <c r="AI18">
        <v>2.6679313586680773</v>
      </c>
      <c r="AK18">
        <v>26.589694423983129</v>
      </c>
    </row>
    <row r="19" spans="1:37" x14ac:dyDescent="0.2">
      <c r="A19">
        <v>18</v>
      </c>
      <c r="B19">
        <v>726</v>
      </c>
      <c r="C19">
        <v>300</v>
      </c>
      <c r="D19">
        <v>0.251314116999449</v>
      </c>
      <c r="E19">
        <v>214.0412547353944</v>
      </c>
      <c r="F19">
        <v>49.224280640749143</v>
      </c>
      <c r="G19">
        <v>69.128216947675583</v>
      </c>
      <c r="H19">
        <v>64.461861442608182</v>
      </c>
      <c r="J19">
        <v>20.416792547005116</v>
      </c>
      <c r="L19">
        <v>1.8101092084887169</v>
      </c>
      <c r="M19">
        <v>7.704232894712125</v>
      </c>
      <c r="N19">
        <v>2.7293587411679781</v>
      </c>
      <c r="O19">
        <v>5.2683124347022652</v>
      </c>
      <c r="P19">
        <v>7.4801779485598523</v>
      </c>
      <c r="R19">
        <v>2.960606416943754</v>
      </c>
      <c r="S19">
        <v>30.386473460451246</v>
      </c>
      <c r="U19">
        <v>9.1142658507637031E-2</v>
      </c>
      <c r="V19">
        <v>50.692218561808538</v>
      </c>
      <c r="W19">
        <v>11.668385413553693</v>
      </c>
      <c r="X19">
        <v>45.236527084520461</v>
      </c>
      <c r="Y19">
        <v>3.564333368228322</v>
      </c>
      <c r="Z19">
        <v>18.259310665951034</v>
      </c>
      <c r="AB19">
        <v>31.71891141923339</v>
      </c>
      <c r="AE19">
        <v>6.5391554656783288</v>
      </c>
      <c r="AF19">
        <v>7.3576722177118636</v>
      </c>
      <c r="AG19">
        <v>16.702908730693974</v>
      </c>
      <c r="AI19">
        <v>2.6712629653943458</v>
      </c>
      <c r="AK19">
        <v>25.509858929137032</v>
      </c>
    </row>
    <row r="20" spans="1:37" x14ac:dyDescent="0.2">
      <c r="A20">
        <v>19</v>
      </c>
      <c r="B20">
        <v>724</v>
      </c>
      <c r="C20">
        <v>300</v>
      </c>
      <c r="D20">
        <v>0.249672065386352</v>
      </c>
      <c r="E20">
        <v>214.21913694334347</v>
      </c>
      <c r="F20">
        <v>49.78660020420898</v>
      </c>
      <c r="G20">
        <v>69.091183037039386</v>
      </c>
      <c r="H20">
        <v>64.420900420612668</v>
      </c>
      <c r="J20">
        <v>19.352782677026674</v>
      </c>
      <c r="L20">
        <v>1.8296371629243295</v>
      </c>
      <c r="M20">
        <v>7.1447478571089373</v>
      </c>
      <c r="N20">
        <v>2.733313987681329</v>
      </c>
      <c r="O20">
        <v>5.2506288290870353</v>
      </c>
      <c r="P20">
        <v>7.4535738583647237</v>
      </c>
      <c r="R20">
        <v>2.5184706614135783</v>
      </c>
      <c r="S20">
        <v>30.918543628564205</v>
      </c>
      <c r="U20">
        <v>4.559760219141424E-2</v>
      </c>
      <c r="V20">
        <v>51.407700872741053</v>
      </c>
      <c r="W20">
        <v>10.964328836114914</v>
      </c>
      <c r="X20">
        <v>45.176380449471161</v>
      </c>
      <c r="Y20">
        <v>3.5280529467101598</v>
      </c>
      <c r="Z20">
        <v>18.317467996162545</v>
      </c>
      <c r="AB20">
        <v>32.270850233549801</v>
      </c>
      <c r="AE20">
        <v>6.5597815306870206</v>
      </c>
      <c r="AF20">
        <v>6.7959897209783593</v>
      </c>
      <c r="AG20">
        <v>17.224971497379123</v>
      </c>
      <c r="AI20">
        <v>2.6745876319841839</v>
      </c>
      <c r="AK20">
        <v>24.664870293244984</v>
      </c>
    </row>
    <row r="21" spans="1:37" x14ac:dyDescent="0.2">
      <c r="A21">
        <v>20</v>
      </c>
      <c r="B21">
        <v>760</v>
      </c>
      <c r="C21">
        <v>285</v>
      </c>
      <c r="D21">
        <v>0.29422687896239802</v>
      </c>
      <c r="E21">
        <v>206.90111969270455</v>
      </c>
      <c r="F21">
        <v>57.298027761454847</v>
      </c>
      <c r="G21">
        <v>70.863004707147979</v>
      </c>
      <c r="H21">
        <v>66.270946116184035</v>
      </c>
      <c r="J21">
        <v>45.547700115636395</v>
      </c>
      <c r="L21">
        <v>3.9428331255010707</v>
      </c>
      <c r="M21">
        <v>13.777974188624478</v>
      </c>
      <c r="N21">
        <v>2.6199366882356094</v>
      </c>
      <c r="O21">
        <v>16.193125589762349</v>
      </c>
      <c r="P21">
        <v>10.021017868889981</v>
      </c>
      <c r="Q21">
        <v>1.5015040069379337</v>
      </c>
      <c r="R21">
        <v>11.585580528094757</v>
      </c>
      <c r="S21">
        <v>37.076226565218526</v>
      </c>
      <c r="U21">
        <v>2.5385835910240617</v>
      </c>
      <c r="V21">
        <v>47.294172904644874</v>
      </c>
      <c r="W21">
        <v>22.033033262383487</v>
      </c>
      <c r="X21">
        <v>50.846344791228248</v>
      </c>
      <c r="Y21">
        <v>6.1824976444837523</v>
      </c>
      <c r="Z21">
        <v>28.132383290953669</v>
      </c>
      <c r="AA21">
        <v>2.8503767066773436</v>
      </c>
      <c r="AB21">
        <v>33.540586691050869</v>
      </c>
      <c r="AC21">
        <v>1.2284549474248084E-2</v>
      </c>
      <c r="AD21">
        <v>5.9049102391414197</v>
      </c>
      <c r="AE21">
        <v>11.618981010383585</v>
      </c>
      <c r="AF21">
        <v>13.473078670637131</v>
      </c>
      <c r="AG21">
        <v>19.056690656904223</v>
      </c>
      <c r="AH21">
        <v>4.8680107363126144</v>
      </c>
      <c r="AI21">
        <v>2.5700606361501825</v>
      </c>
      <c r="AK21">
        <v>42.569710955226959</v>
      </c>
    </row>
    <row r="22" spans="1:37" x14ac:dyDescent="0.2">
      <c r="A22">
        <v>21</v>
      </c>
      <c r="B22">
        <v>758</v>
      </c>
      <c r="C22">
        <v>285</v>
      </c>
      <c r="D22">
        <v>0.29272220336517601</v>
      </c>
      <c r="E22">
        <v>206.68150098071274</v>
      </c>
      <c r="F22">
        <v>56.630372081714128</v>
      </c>
      <c r="G22">
        <v>70.751463535822509</v>
      </c>
      <c r="H22">
        <v>66.15455944854817</v>
      </c>
      <c r="J22">
        <v>45.453806178516913</v>
      </c>
      <c r="L22">
        <v>3.7937328938549979</v>
      </c>
      <c r="M22">
        <v>13.663627864215117</v>
      </c>
      <c r="N22">
        <v>2.6112291983893243</v>
      </c>
      <c r="O22">
        <v>15.485396968540305</v>
      </c>
      <c r="P22">
        <v>9.8321753686175679</v>
      </c>
      <c r="Q22">
        <v>1.3927695837782759</v>
      </c>
      <c r="R22">
        <v>11.209809396905948</v>
      </c>
      <c r="S22">
        <v>36.322435262863088</v>
      </c>
      <c r="U22">
        <v>2.3970302052094974</v>
      </c>
      <c r="V22">
        <v>47.107203714704866</v>
      </c>
      <c r="W22">
        <v>21.667413575665911</v>
      </c>
      <c r="X22">
        <v>50.495507348592987</v>
      </c>
      <c r="Y22">
        <v>6.0274984507867275</v>
      </c>
      <c r="Z22">
        <v>27.769888681649444</v>
      </c>
      <c r="AA22">
        <v>2.6958471042411256</v>
      </c>
      <c r="AB22">
        <v>33.283835042923073</v>
      </c>
      <c r="AD22">
        <v>5.7003593127514049</v>
      </c>
      <c r="AE22">
        <v>11.454081198392444</v>
      </c>
      <c r="AF22">
        <v>13.343842693708515</v>
      </c>
      <c r="AG22">
        <v>18.757262401524557</v>
      </c>
      <c r="AH22">
        <v>4.6372012686783153</v>
      </c>
      <c r="AI22">
        <v>2.5607821726812849</v>
      </c>
      <c r="AK22">
        <v>42.581904731628654</v>
      </c>
    </row>
    <row r="23" spans="1:37" x14ac:dyDescent="0.2">
      <c r="A23">
        <v>22</v>
      </c>
      <c r="B23">
        <v>756</v>
      </c>
      <c r="C23">
        <v>285</v>
      </c>
      <c r="D23">
        <v>0.29121167954136901</v>
      </c>
      <c r="E23">
        <v>206.43295264119715</v>
      </c>
      <c r="F23">
        <v>55.863871558177898</v>
      </c>
      <c r="G23">
        <v>70.625220731665905</v>
      </c>
      <c r="H23">
        <v>66.023523102195995</v>
      </c>
      <c r="J23">
        <v>45.30745247999279</v>
      </c>
      <c r="L23">
        <v>3.6287412059553934</v>
      </c>
      <c r="M23">
        <v>13.507910044237097</v>
      </c>
      <c r="N23">
        <v>2.6151741564115278</v>
      </c>
      <c r="O23">
        <v>14.735857542298318</v>
      </c>
      <c r="P23">
        <v>9.6266128677081557</v>
      </c>
      <c r="Q23">
        <v>1.252633492016499</v>
      </c>
      <c r="R23">
        <v>10.7680192517889</v>
      </c>
      <c r="S23">
        <v>35.364443882899913</v>
      </c>
      <c r="U23">
        <v>2.2201611270396979</v>
      </c>
      <c r="V23">
        <v>46.852761989702117</v>
      </c>
      <c r="W23">
        <v>21.224355032622874</v>
      </c>
      <c r="X23">
        <v>50.024877958357621</v>
      </c>
      <c r="Y23">
        <v>5.8502973804044425</v>
      </c>
      <c r="Z23">
        <v>27.350008776815965</v>
      </c>
      <c r="AA23">
        <v>2.5255999347423712</v>
      </c>
      <c r="AB23">
        <v>32.955566729008531</v>
      </c>
      <c r="AD23">
        <v>5.4584693811830451</v>
      </c>
      <c r="AE23">
        <v>11.266968671022807</v>
      </c>
      <c r="AF23">
        <v>13.185888801605813</v>
      </c>
      <c r="AG23">
        <v>18.398979966400287</v>
      </c>
      <c r="AH23">
        <v>4.3595180650188148</v>
      </c>
      <c r="AI23">
        <v>2.5641528481765183</v>
      </c>
      <c r="AK23">
        <v>42.575417227099827</v>
      </c>
    </row>
    <row r="24" spans="1:37" x14ac:dyDescent="0.2">
      <c r="A24">
        <v>23</v>
      </c>
      <c r="B24">
        <v>754</v>
      </c>
      <c r="C24">
        <v>285</v>
      </c>
      <c r="D24">
        <v>0.28969527332911499</v>
      </c>
      <c r="E24">
        <v>206.18504578736335</v>
      </c>
      <c r="F24">
        <v>55.100209535102273</v>
      </c>
      <c r="G24">
        <v>70.499318643254881</v>
      </c>
      <c r="H24">
        <v>65.892879591928519</v>
      </c>
      <c r="J24">
        <v>45.163546441809217</v>
      </c>
      <c r="L24">
        <v>3.4643713834487282</v>
      </c>
      <c r="M24">
        <v>13.352791322886301</v>
      </c>
      <c r="N24">
        <v>2.6191186032016662</v>
      </c>
      <c r="O24">
        <v>13.988818967242478</v>
      </c>
      <c r="P24">
        <v>9.421762285147425</v>
      </c>
      <c r="Q24">
        <v>1.1130261853976999</v>
      </c>
      <c r="R24">
        <v>10.327689619403849</v>
      </c>
      <c r="S24">
        <v>34.410259042494928</v>
      </c>
      <c r="U24">
        <v>2.0435981148637099</v>
      </c>
      <c r="V24">
        <v>46.599182379305297</v>
      </c>
      <c r="W24">
        <v>20.782442080607584</v>
      </c>
      <c r="X24">
        <v>49.556028058186634</v>
      </c>
      <c r="Y24">
        <v>5.6737186469733336</v>
      </c>
      <c r="Z24">
        <v>26.931330016702983</v>
      </c>
      <c r="AA24">
        <v>2.3560319077580063</v>
      </c>
      <c r="AB24">
        <v>32.628413457192096</v>
      </c>
      <c r="AD24">
        <v>5.2170792614422785</v>
      </c>
      <c r="AE24">
        <v>11.080363169223661</v>
      </c>
      <c r="AF24">
        <v>13.02853467416125</v>
      </c>
      <c r="AG24">
        <v>18.041822147547599</v>
      </c>
      <c r="AH24">
        <v>4.0827717985163661</v>
      </c>
      <c r="AI24">
        <v>2.5675196888277672</v>
      </c>
      <c r="AK24">
        <v>42.570215721910991</v>
      </c>
    </row>
    <row r="25" spans="1:37" x14ac:dyDescent="0.2">
      <c r="A25">
        <v>24</v>
      </c>
      <c r="B25">
        <v>752</v>
      </c>
      <c r="C25">
        <v>285</v>
      </c>
      <c r="D25">
        <v>0.28817295029995899</v>
      </c>
      <c r="E25">
        <v>205.93777692994689</v>
      </c>
      <c r="F25">
        <v>54.339371137830803</v>
      </c>
      <c r="G25">
        <v>70.373755881714487</v>
      </c>
      <c r="H25">
        <v>65.762627695741458</v>
      </c>
      <c r="J25">
        <v>45.022083942494731</v>
      </c>
      <c r="L25">
        <v>3.3007219899946358</v>
      </c>
      <c r="M25">
        <v>13.1982676835964</v>
      </c>
      <c r="N25">
        <v>2.6230625433388202</v>
      </c>
      <c r="O25">
        <v>13.244269674683759</v>
      </c>
      <c r="P25">
        <v>9.2176210297123831</v>
      </c>
      <c r="Q25">
        <v>0.97388267882238233</v>
      </c>
      <c r="R25">
        <v>9.8888107537663288</v>
      </c>
      <c r="S25">
        <v>33.459857059107577</v>
      </c>
      <c r="U25">
        <v>1.867338084486136</v>
      </c>
      <c r="V25">
        <v>46.346458832539454</v>
      </c>
      <c r="W25">
        <v>20.34166662395641</v>
      </c>
      <c r="X25">
        <v>49.088945263515512</v>
      </c>
      <c r="Y25">
        <v>5.4977587299544464</v>
      </c>
      <c r="Z25">
        <v>26.513843995947841</v>
      </c>
      <c r="AA25">
        <v>2.1871395807893279</v>
      </c>
      <c r="AB25">
        <v>32.302367287372554</v>
      </c>
      <c r="AD25">
        <v>4.9761872592427148</v>
      </c>
      <c r="AE25">
        <v>10.894260703261603</v>
      </c>
      <c r="AF25">
        <v>12.87177634432576</v>
      </c>
      <c r="AG25">
        <v>17.685781056976978</v>
      </c>
      <c r="AH25">
        <v>3.8069589074506203</v>
      </c>
      <c r="AI25">
        <v>2.5708826845021253</v>
      </c>
      <c r="AK25">
        <v>42.566299360258689</v>
      </c>
    </row>
    <row r="26" spans="1:37" x14ac:dyDescent="0.2">
      <c r="A26">
        <v>25</v>
      </c>
      <c r="B26">
        <v>750</v>
      </c>
      <c r="C26">
        <v>285</v>
      </c>
      <c r="D26">
        <v>0.28664467575624197</v>
      </c>
      <c r="E26">
        <v>205.69114266110495</v>
      </c>
      <c r="F26">
        <v>53.581341844021949</v>
      </c>
      <c r="G26">
        <v>70.248531099523518</v>
      </c>
      <c r="H26">
        <v>65.63276623363663</v>
      </c>
      <c r="J26">
        <v>44.883061027745306</v>
      </c>
      <c r="L26">
        <v>3.1377458598800114</v>
      </c>
      <c r="M26">
        <v>13.04433518214389</v>
      </c>
      <c r="N26">
        <v>2.627005981412081</v>
      </c>
      <c r="O26">
        <v>12.502198371763866</v>
      </c>
      <c r="P26">
        <v>9.0141865939068708</v>
      </c>
      <c r="Q26">
        <v>0.83530568647704417</v>
      </c>
      <c r="R26">
        <v>9.4513731129777234</v>
      </c>
      <c r="S26">
        <v>32.513214685989524</v>
      </c>
      <c r="U26">
        <v>1.691378029534051</v>
      </c>
      <c r="V26">
        <v>46.094585315045038</v>
      </c>
      <c r="W26">
        <v>19.902020710813588</v>
      </c>
      <c r="X26">
        <v>48.62361741714458</v>
      </c>
      <c r="Y26">
        <v>5.3224141995824006</v>
      </c>
      <c r="Z26">
        <v>26.097542456308172</v>
      </c>
      <c r="AA26">
        <v>2.0189195779394504</v>
      </c>
      <c r="AB26">
        <v>31.97742041502319</v>
      </c>
      <c r="AD26">
        <v>4.7357917308381143</v>
      </c>
      <c r="AE26">
        <v>10.708657347067968</v>
      </c>
      <c r="AF26">
        <v>12.715609917606123</v>
      </c>
      <c r="AG26">
        <v>17.330848942584925</v>
      </c>
      <c r="AH26">
        <v>3.5320759466278364</v>
      </c>
      <c r="AI26">
        <v>2.5742418250740204</v>
      </c>
      <c r="AK26">
        <v>42.563667372023872</v>
      </c>
    </row>
    <row r="27" spans="1:37" x14ac:dyDescent="0.2">
      <c r="A27">
        <v>26</v>
      </c>
      <c r="B27">
        <v>748</v>
      </c>
      <c r="C27">
        <v>285</v>
      </c>
      <c r="D27">
        <v>0.28511041472849202</v>
      </c>
      <c r="E27">
        <v>205.44513965311626</v>
      </c>
      <c r="F27">
        <v>52.826107477568463</v>
      </c>
      <c r="G27">
        <v>70.123642989894122</v>
      </c>
      <c r="H27">
        <v>65.503294067004447</v>
      </c>
      <c r="J27">
        <v>44.746473907914535</v>
      </c>
      <c r="L27">
        <v>2.9753792475812917</v>
      </c>
      <c r="M27">
        <v>12.890989945180294</v>
      </c>
      <c r="N27">
        <v>2.6309489220186904</v>
      </c>
      <c r="O27">
        <v>11.762594036774978</v>
      </c>
      <c r="P27">
        <v>8.8114565527303501</v>
      </c>
      <c r="Q27">
        <v>0.69724238037267061</v>
      </c>
      <c r="R27">
        <v>9.0153673559967622</v>
      </c>
      <c r="S27">
        <v>31.570309103737554</v>
      </c>
      <c r="U27">
        <v>1.5157150201955323</v>
      </c>
      <c r="V27">
        <v>45.843555801448353</v>
      </c>
      <c r="W27">
        <v>19.463496530095821</v>
      </c>
      <c r="X27">
        <v>48.160032584747036</v>
      </c>
      <c r="Y27">
        <v>5.1476817157841577</v>
      </c>
      <c r="Z27">
        <v>25.682417283344783</v>
      </c>
      <c r="AA27">
        <v>1.851368587991179</v>
      </c>
      <c r="AB27">
        <v>31.653565168099092</v>
      </c>
      <c r="AD27">
        <v>4.4958910824764855</v>
      </c>
      <c r="AE27">
        <v>10.523549236603557</v>
      </c>
      <c r="AF27">
        <v>12.560031570596047</v>
      </c>
      <c r="AG27">
        <v>16.977018185064068</v>
      </c>
      <c r="AH27">
        <v>3.2581195853584144</v>
      </c>
      <c r="AI27">
        <v>2.5775971004221887</v>
      </c>
      <c r="AK27">
        <v>42.562319071597599</v>
      </c>
    </row>
    <row r="28" spans="1:37" x14ac:dyDescent="0.2">
      <c r="A28">
        <v>27</v>
      </c>
      <c r="B28">
        <v>746</v>
      </c>
      <c r="C28">
        <v>285</v>
      </c>
      <c r="D28">
        <v>0.28357013197272302</v>
      </c>
      <c r="E28">
        <v>205.19976465713805</v>
      </c>
      <c r="F28">
        <v>52.073654202634366</v>
      </c>
      <c r="G28">
        <v>69.999090286151741</v>
      </c>
      <c r="H28">
        <v>65.374210098004667</v>
      </c>
      <c r="J28">
        <v>44.612318955602007</v>
      </c>
      <c r="L28">
        <v>2.8137285955316109</v>
      </c>
      <c r="M28">
        <v>12.738228168738351</v>
      </c>
      <c r="N28">
        <v>2.6348913698080429</v>
      </c>
      <c r="O28">
        <v>11.025445914671282</v>
      </c>
      <c r="P28">
        <v>8.6094285624888407</v>
      </c>
      <c r="Q28">
        <v>0.55962661159994609</v>
      </c>
      <c r="R28">
        <v>8.5807843394791163</v>
      </c>
      <c r="S28">
        <v>30.631117911815601</v>
      </c>
      <c r="U28">
        <v>1.3403462019453192</v>
      </c>
      <c r="V28">
        <v>45.593364267278993</v>
      </c>
      <c r="W28">
        <v>19.026086408330077</v>
      </c>
      <c r="X28">
        <v>47.698179050825381</v>
      </c>
      <c r="Y28">
        <v>4.9735580271350299</v>
      </c>
      <c r="Z28">
        <v>25.268460502987182</v>
      </c>
      <c r="AA28">
        <v>1.6844833633447924</v>
      </c>
      <c r="AB28">
        <v>31.330794003817804</v>
      </c>
      <c r="AD28">
        <v>4.2564837697253726</v>
      </c>
      <c r="AE28">
        <v>10.338932568160363</v>
      </c>
      <c r="AF28">
        <v>12.405037549527483</v>
      </c>
      <c r="AG28">
        <v>16.624281294731766</v>
      </c>
      <c r="AH28">
        <v>2.9850866063529078</v>
      </c>
      <c r="AI28">
        <v>2.5809485004754236</v>
      </c>
      <c r="AK28">
        <v>42.56225385677461</v>
      </c>
    </row>
    <row r="29" spans="1:37" x14ac:dyDescent="0.2">
      <c r="A29">
        <v>28</v>
      </c>
      <c r="B29">
        <v>744</v>
      </c>
      <c r="C29">
        <v>285</v>
      </c>
      <c r="D29">
        <v>0.28202379196775501</v>
      </c>
      <c r="E29">
        <v>204.95501450213956</v>
      </c>
      <c r="F29">
        <v>51.323968518537598</v>
      </c>
      <c r="G29">
        <v>69.874871761256841</v>
      </c>
      <c r="H29">
        <v>65.245513269098964</v>
      </c>
      <c r="J29">
        <v>44.48059270365696</v>
      </c>
      <c r="L29">
        <v>2.6526841502028109</v>
      </c>
      <c r="M29">
        <v>12.586046117148172</v>
      </c>
      <c r="N29">
        <v>2.6388333293602666</v>
      </c>
      <c r="O29">
        <v>10.290743512934283</v>
      </c>
      <c r="P29">
        <v>8.4081003597243615</v>
      </c>
      <c r="Q29">
        <v>0.42256280636982502</v>
      </c>
      <c r="R29">
        <v>8.1476151151718863</v>
      </c>
      <c r="S29">
        <v>29.695619122090392</v>
      </c>
      <c r="U29">
        <v>1.1652687946214189</v>
      </c>
      <c r="V29">
        <v>45.344004681006339</v>
      </c>
      <c r="W29">
        <v>18.58978280737729</v>
      </c>
      <c r="X29">
        <v>47.238045315621278</v>
      </c>
      <c r="Y29">
        <v>4.8000399699940948</v>
      </c>
      <c r="Z29">
        <v>24.855664278865792</v>
      </c>
      <c r="AA29">
        <v>1.5181753876703514</v>
      </c>
      <c r="AB29">
        <v>31.009099506314694</v>
      </c>
      <c r="AD29">
        <v>4.0175682971851598</v>
      </c>
      <c r="AE29">
        <v>10.154803597008355</v>
      </c>
      <c r="AF29">
        <v>12.250624169065503</v>
      </c>
      <c r="AG29">
        <v>16.272630909063032</v>
      </c>
      <c r="AH29">
        <v>2.7129739114540086</v>
      </c>
      <c r="AI29">
        <v>2.5842960150915064</v>
      </c>
      <c r="AK29">
        <v>42.563471207745565</v>
      </c>
    </row>
    <row r="30" spans="1:37" x14ac:dyDescent="0.2">
      <c r="A30">
        <v>29</v>
      </c>
      <c r="B30">
        <v>742</v>
      </c>
      <c r="C30">
        <v>285</v>
      </c>
      <c r="D30">
        <v>0.28047135891247499</v>
      </c>
      <c r="E30">
        <v>204.71088609378043</v>
      </c>
      <c r="F30">
        <v>50.57703725406634</v>
      </c>
      <c r="G30">
        <v>69.750986227186303</v>
      </c>
      <c r="H30">
        <v>65.117202562427991</v>
      </c>
      <c r="J30">
        <v>44.351291842918087</v>
      </c>
      <c r="L30">
        <v>2.4923015566047577</v>
      </c>
      <c r="M30">
        <v>12.434440121446775</v>
      </c>
      <c r="N30">
        <v>2.6427748053421038</v>
      </c>
      <c r="O30">
        <v>9.5584765973468802</v>
      </c>
      <c r="P30">
        <v>8.2074697601406559</v>
      </c>
      <c r="Q30">
        <v>0.28594374650685767</v>
      </c>
      <c r="R30">
        <v>7.7158509268189066</v>
      </c>
      <c r="S30">
        <v>28.763791150059138</v>
      </c>
      <c r="U30">
        <v>0.99048009109083557</v>
      </c>
      <c r="V30">
        <v>45.095470994886902</v>
      </c>
      <c r="W30">
        <v>18.154578320984328</v>
      </c>
      <c r="X30">
        <v>46.779620090724364</v>
      </c>
      <c r="Y30">
        <v>4.6271244675100558</v>
      </c>
      <c r="Z30">
        <v>24.444020908526898</v>
      </c>
      <c r="AA30">
        <v>1.3526118465189212</v>
      </c>
      <c r="AB30">
        <v>30.688474383060438</v>
      </c>
      <c r="AD30">
        <v>3.7791432174939588</v>
      </c>
      <c r="AE30">
        <v>9.9711586355110757</v>
      </c>
      <c r="AF30">
        <v>12.096787810877546</v>
      </c>
      <c r="AG30">
        <v>15.922059789270509</v>
      </c>
      <c r="AH30">
        <v>2.441778500570901</v>
      </c>
      <c r="AI30">
        <v>2.5876396342141326</v>
      </c>
      <c r="AK30">
        <v>42.565970686214243</v>
      </c>
    </row>
    <row r="31" spans="1:37" x14ac:dyDescent="0.2">
      <c r="A31">
        <v>30</v>
      </c>
      <c r="B31">
        <v>740</v>
      </c>
      <c r="C31">
        <v>285</v>
      </c>
      <c r="D31">
        <v>0.27891279672309399</v>
      </c>
      <c r="E31">
        <v>204.46737641311091</v>
      </c>
      <c r="F31">
        <v>49.832847561803305</v>
      </c>
      <c r="G31">
        <v>69.62743253439541</v>
      </c>
      <c r="H31">
        <v>64.989276999283732</v>
      </c>
      <c r="J31">
        <v>44.224413219870357</v>
      </c>
      <c r="L31">
        <v>2.3326151440423675</v>
      </c>
      <c r="M31">
        <v>12.283406578138507</v>
      </c>
      <c r="N31">
        <v>2.6467158023954971</v>
      </c>
      <c r="O31">
        <v>8.8286351877202272</v>
      </c>
      <c r="P31">
        <v>8.0075346574208677</v>
      </c>
      <c r="Q31">
        <v>0.14986050874466947</v>
      </c>
      <c r="R31">
        <v>7.2854832072170623</v>
      </c>
      <c r="S31">
        <v>27.835612807690758</v>
      </c>
      <c r="U31">
        <v>0.81597745620525941</v>
      </c>
      <c r="V31">
        <v>44.847757135606301</v>
      </c>
      <c r="W31">
        <v>17.720465672353175</v>
      </c>
      <c r="X31">
        <v>46.322892295004593</v>
      </c>
      <c r="Y31">
        <v>4.4548085286518981</v>
      </c>
      <c r="Z31">
        <v>24.033522820837725</v>
      </c>
      <c r="AA31">
        <v>1.1877048216367694</v>
      </c>
      <c r="AB31">
        <v>30.368911462463988</v>
      </c>
      <c r="AD31">
        <v>3.5412071309177411</v>
      </c>
      <c r="AE31">
        <v>9.7879940518691573</v>
      </c>
      <c r="AF31">
        <v>11.94352492227789</v>
      </c>
      <c r="AG31">
        <v>15.572560817789638</v>
      </c>
      <c r="AH31">
        <v>2.1714974911638931</v>
      </c>
      <c r="AI31">
        <v>2.59097934776057</v>
      </c>
      <c r="AK31">
        <v>42.569751934138324</v>
      </c>
    </row>
    <row r="32" spans="1:37" x14ac:dyDescent="0.2">
      <c r="A32">
        <v>31</v>
      </c>
      <c r="B32">
        <v>738</v>
      </c>
      <c r="C32">
        <v>285</v>
      </c>
      <c r="D32">
        <v>0.277348069030313</v>
      </c>
      <c r="E32">
        <v>204.2244825158073</v>
      </c>
      <c r="F32">
        <v>49.091386913735775</v>
      </c>
      <c r="G32">
        <v>69.504209571375227</v>
      </c>
      <c r="H32">
        <v>64.861735639667771</v>
      </c>
      <c r="J32">
        <v>44.099953835095363</v>
      </c>
      <c r="L32">
        <v>2.1735322513917201</v>
      </c>
      <c r="M32">
        <v>12.132941948061376</v>
      </c>
      <c r="N32">
        <v>2.6506563251757798</v>
      </c>
      <c r="O32">
        <v>8.1012095543314491</v>
      </c>
      <c r="P32">
        <v>7.8082930223935518</v>
      </c>
      <c r="Q32">
        <v>1.4214324607502021E-2</v>
      </c>
      <c r="R32">
        <v>6.8565035759305024</v>
      </c>
      <c r="S32">
        <v>26.911063295869784</v>
      </c>
      <c r="U32">
        <v>0.64175832585730774</v>
      </c>
      <c r="V32">
        <v>44.600856994795542</v>
      </c>
      <c r="W32">
        <v>17.287437711522397</v>
      </c>
      <c r="X32">
        <v>45.867851052277189</v>
      </c>
      <c r="Y32">
        <v>4.2830892474945381</v>
      </c>
      <c r="Z32">
        <v>23.624162572820161</v>
      </c>
      <c r="AA32">
        <v>1.0234513373162191</v>
      </c>
      <c r="AB32">
        <v>30.050403691055571</v>
      </c>
      <c r="AD32">
        <v>3.3037586846436811</v>
      </c>
      <c r="AE32">
        <v>9.6053062684757293</v>
      </c>
      <c r="AF32">
        <v>11.790832015136598</v>
      </c>
      <c r="AG32">
        <v>15.224126995515665</v>
      </c>
      <c r="AH32">
        <v>1.9021281010781907</v>
      </c>
      <c r="AI32">
        <v>2.5943151456618252</v>
      </c>
      <c r="AK32">
        <v>42.57481467315295</v>
      </c>
    </row>
    <row r="33" spans="1:37" x14ac:dyDescent="0.2">
      <c r="A33">
        <v>32</v>
      </c>
      <c r="B33">
        <v>736</v>
      </c>
      <c r="C33">
        <v>285</v>
      </c>
      <c r="D33">
        <v>0.27577713917653601</v>
      </c>
      <c r="E33">
        <v>204.55128277438311</v>
      </c>
      <c r="F33">
        <v>46.373740766248787</v>
      </c>
      <c r="G33">
        <v>69.453618633029009</v>
      </c>
      <c r="H33">
        <v>64.806879950672339</v>
      </c>
      <c r="J33">
        <v>31.606145501156224</v>
      </c>
      <c r="L33">
        <v>1.6844883283631098</v>
      </c>
      <c r="M33">
        <v>11.021070295455658</v>
      </c>
      <c r="N33">
        <v>2.654650315947475</v>
      </c>
      <c r="O33">
        <v>5.3213580456487044</v>
      </c>
      <c r="P33">
        <v>7.7544015773815085</v>
      </c>
      <c r="R33">
        <v>5.7248010143585786</v>
      </c>
      <c r="S33">
        <v>27.542497382140674</v>
      </c>
      <c r="U33">
        <v>0.48452072614707964</v>
      </c>
      <c r="V33">
        <v>46.47314316977733</v>
      </c>
      <c r="W33">
        <v>16.063240124567422</v>
      </c>
      <c r="X33">
        <v>45.484551801137066</v>
      </c>
      <c r="Y33">
        <v>3.8109219459468662</v>
      </c>
      <c r="Z33">
        <v>17.310688518030961</v>
      </c>
      <c r="AB33">
        <v>28.17532049961769</v>
      </c>
      <c r="AD33">
        <v>0.12419183327880391</v>
      </c>
      <c r="AE33">
        <v>6.0890119621688665</v>
      </c>
      <c r="AF33">
        <v>10.676787142544383</v>
      </c>
      <c r="AG33">
        <v>13.319181745523004</v>
      </c>
      <c r="AI33">
        <v>2.5977009554593762</v>
      </c>
      <c r="AK33">
        <v>33.741145108649732</v>
      </c>
    </row>
    <row r="34" spans="1:37" x14ac:dyDescent="0.2">
      <c r="A34">
        <v>33</v>
      </c>
      <c r="B34">
        <v>734</v>
      </c>
      <c r="C34">
        <v>285</v>
      </c>
      <c r="D34">
        <v>0.27419997021297599</v>
      </c>
      <c r="E34">
        <v>204.92324719033184</v>
      </c>
      <c r="F34">
        <v>47.575891524278219</v>
      </c>
      <c r="G34">
        <v>69.388920427843075</v>
      </c>
      <c r="H34">
        <v>64.737970813655366</v>
      </c>
      <c r="J34">
        <v>26.110078082327242</v>
      </c>
      <c r="L34">
        <v>1.7216461265998915</v>
      </c>
      <c r="M34">
        <v>9.9793924819268476</v>
      </c>
      <c r="N34">
        <v>2.6586294687372702</v>
      </c>
      <c r="O34">
        <v>5.3853376619472417</v>
      </c>
      <c r="P34">
        <v>7.6723136247092594</v>
      </c>
      <c r="R34">
        <v>4.9575221810658654</v>
      </c>
      <c r="S34">
        <v>28.759147593670104</v>
      </c>
      <c r="U34">
        <v>0.42066269386474009</v>
      </c>
      <c r="V34">
        <v>47.951527063216353</v>
      </c>
      <c r="W34">
        <v>14.884735602269133</v>
      </c>
      <c r="X34">
        <v>45.36965200617864</v>
      </c>
      <c r="Y34">
        <v>3.6984558193676764</v>
      </c>
      <c r="Z34">
        <v>17.948924918542396</v>
      </c>
      <c r="AB34">
        <v>29.636300776745976</v>
      </c>
      <c r="AE34">
        <v>6.4445077542702363</v>
      </c>
      <c r="AF34">
        <v>9.6329229069322739</v>
      </c>
      <c r="AG34">
        <v>14.750295700785349</v>
      </c>
      <c r="AI34">
        <v>2.6010684564574458</v>
      </c>
      <c r="AK34">
        <v>29.75107905706135</v>
      </c>
    </row>
    <row r="35" spans="1:37" x14ac:dyDescent="0.2">
      <c r="A35">
        <v>34</v>
      </c>
      <c r="B35">
        <v>732</v>
      </c>
      <c r="C35">
        <v>285</v>
      </c>
      <c r="D35">
        <v>0.27261652489678301</v>
      </c>
      <c r="E35">
        <v>205.21954024856879</v>
      </c>
      <c r="F35">
        <v>48.399404366069135</v>
      </c>
      <c r="G35">
        <v>69.353098929534411</v>
      </c>
      <c r="H35">
        <v>64.697992375891857</v>
      </c>
      <c r="J35">
        <v>23.303017416963563</v>
      </c>
      <c r="L35">
        <v>1.7511227328229906</v>
      </c>
      <c r="M35">
        <v>9.1741430063969585</v>
      </c>
      <c r="N35">
        <v>2.6626002092304142</v>
      </c>
      <c r="O35">
        <v>5.3762108606113364</v>
      </c>
      <c r="P35">
        <v>7.6480037298997807</v>
      </c>
      <c r="R35">
        <v>4.356532113372916</v>
      </c>
      <c r="S35">
        <v>29.587628411229023</v>
      </c>
      <c r="U35">
        <v>0.37006586818049797</v>
      </c>
      <c r="V35">
        <v>49.043095391450656</v>
      </c>
      <c r="W35">
        <v>13.936110236959774</v>
      </c>
      <c r="X35">
        <v>45.293655979984798</v>
      </c>
      <c r="Y35">
        <v>3.6353314186053618</v>
      </c>
      <c r="Z35">
        <v>18.046756156771458</v>
      </c>
      <c r="AB35">
        <v>30.47981453762398</v>
      </c>
      <c r="AE35">
        <v>6.4860648116873509</v>
      </c>
      <c r="AF35">
        <v>8.8254802799118526</v>
      </c>
      <c r="AG35">
        <v>15.563945352848263</v>
      </c>
      <c r="AI35">
        <v>2.6044240596207993</v>
      </c>
      <c r="AK35">
        <v>27.654725878179317</v>
      </c>
    </row>
    <row r="36" spans="1:37" x14ac:dyDescent="0.2">
      <c r="A36">
        <v>35</v>
      </c>
      <c r="B36">
        <v>730</v>
      </c>
      <c r="C36">
        <v>285</v>
      </c>
      <c r="D36">
        <v>0.27102676568808798</v>
      </c>
      <c r="E36">
        <v>205.45963370070899</v>
      </c>
      <c r="F36">
        <v>49.09866446111387</v>
      </c>
      <c r="G36">
        <v>69.316652671136652</v>
      </c>
      <c r="H36">
        <v>64.657443344664046</v>
      </c>
      <c r="J36">
        <v>21.46336082728714</v>
      </c>
      <c r="L36">
        <v>1.7752604721431344</v>
      </c>
      <c r="M36">
        <v>8.4874953705810547</v>
      </c>
      <c r="N36">
        <v>2.6665650710893902</v>
      </c>
      <c r="O36">
        <v>5.3582079941544478</v>
      </c>
      <c r="P36">
        <v>7.6224716861743165</v>
      </c>
      <c r="R36">
        <v>3.8290387192403315</v>
      </c>
      <c r="S36">
        <v>30.259998444684459</v>
      </c>
      <c r="U36">
        <v>0.32287764391142354</v>
      </c>
      <c r="V36">
        <v>49.949831051575458</v>
      </c>
      <c r="W36">
        <v>13.10437259907707</v>
      </c>
      <c r="X36">
        <v>45.228251397280296</v>
      </c>
      <c r="Y36">
        <v>3.5845986226778352</v>
      </c>
      <c r="Z36">
        <v>18.125555899016295</v>
      </c>
      <c r="AB36">
        <v>31.176720649453895</v>
      </c>
      <c r="AE36">
        <v>6.5176238634082422</v>
      </c>
      <c r="AF36">
        <v>8.1366353440783694</v>
      </c>
      <c r="AG36">
        <v>16.230992153582271</v>
      </c>
      <c r="AI36">
        <v>2.607770283894228</v>
      </c>
      <c r="AK36">
        <v>26.248710786667903</v>
      </c>
    </row>
    <row r="37" spans="1:37" x14ac:dyDescent="0.2">
      <c r="A37">
        <v>36</v>
      </c>
      <c r="B37">
        <v>728</v>
      </c>
      <c r="C37">
        <v>285</v>
      </c>
      <c r="D37">
        <v>0.26943065474704297</v>
      </c>
      <c r="E37">
        <v>205.66266491470768</v>
      </c>
      <c r="F37">
        <v>49.71611711807445</v>
      </c>
      <c r="G37">
        <v>69.279759057165478</v>
      </c>
      <c r="H37">
        <v>64.616501299430951</v>
      </c>
      <c r="J37">
        <v>20.123662490594203</v>
      </c>
      <c r="L37">
        <v>1.7963385246198778</v>
      </c>
      <c r="M37">
        <v>7.8773299525622296</v>
      </c>
      <c r="N37">
        <v>2.6705258015070119</v>
      </c>
      <c r="O37">
        <v>5.3351185816903257</v>
      </c>
      <c r="P37">
        <v>7.5960742443436171</v>
      </c>
      <c r="R37">
        <v>3.3509012282399069</v>
      </c>
      <c r="S37">
        <v>30.839391789950881</v>
      </c>
      <c r="U37">
        <v>0.27701856629378713</v>
      </c>
      <c r="V37">
        <v>50.740169650575915</v>
      </c>
      <c r="W37">
        <v>12.348432409434881</v>
      </c>
      <c r="X37">
        <v>45.167455722081819</v>
      </c>
      <c r="Y37">
        <v>3.5417446655228662</v>
      </c>
      <c r="Z37">
        <v>18.192180275403381</v>
      </c>
      <c r="AB37">
        <v>31.783279333223671</v>
      </c>
      <c r="AE37">
        <v>6.5428195015072301</v>
      </c>
      <c r="AF37">
        <v>7.5242702721409209</v>
      </c>
      <c r="AG37">
        <v>16.807698122504043</v>
      </c>
      <c r="AI37">
        <v>2.6111088617565814</v>
      </c>
      <c r="AK37">
        <v>25.203861330802805</v>
      </c>
    </row>
    <row r="38" spans="1:37" x14ac:dyDescent="0.2">
      <c r="A38">
        <v>37</v>
      </c>
      <c r="B38">
        <v>726</v>
      </c>
      <c r="C38">
        <v>285</v>
      </c>
      <c r="D38">
        <v>0.26782815393083897</v>
      </c>
      <c r="E38">
        <v>205.83895025859951</v>
      </c>
      <c r="F38">
        <v>50.274633366867789</v>
      </c>
      <c r="G38">
        <v>69.242540720661992</v>
      </c>
      <c r="H38">
        <v>64.575289048877437</v>
      </c>
      <c r="J38">
        <v>19.087559216987287</v>
      </c>
      <c r="L38">
        <v>1.8153397661665331</v>
      </c>
      <c r="M38">
        <v>7.3218188173940844</v>
      </c>
      <c r="N38">
        <v>2.674483323944211</v>
      </c>
      <c r="O38">
        <v>5.3090803217871247</v>
      </c>
      <c r="P38">
        <v>7.569057789638368</v>
      </c>
      <c r="R38">
        <v>2.9090109538871483</v>
      </c>
      <c r="S38">
        <v>31.35538198179928</v>
      </c>
      <c r="U38">
        <v>0.23177642032878376</v>
      </c>
      <c r="V38">
        <v>51.448202815450728</v>
      </c>
      <c r="W38">
        <v>11.64681937076263</v>
      </c>
      <c r="X38">
        <v>45.109217099672577</v>
      </c>
      <c r="Y38">
        <v>3.504477319678057</v>
      </c>
      <c r="Z38">
        <v>18.250190346710728</v>
      </c>
      <c r="AB38">
        <v>32.326827066826716</v>
      </c>
      <c r="AE38">
        <v>6.5635199991298316</v>
      </c>
      <c r="AF38">
        <v>6.9665581002557291</v>
      </c>
      <c r="AG38">
        <v>17.321400712640834</v>
      </c>
      <c r="AI38">
        <v>2.6144407019575033</v>
      </c>
      <c r="AK38">
        <v>24.380779561698699</v>
      </c>
    </row>
    <row r="39" spans="1:37" x14ac:dyDescent="0.2">
      <c r="A39">
        <v>38</v>
      </c>
      <c r="B39">
        <v>760</v>
      </c>
      <c r="C39">
        <v>270</v>
      </c>
      <c r="D39">
        <v>0.31019745438706797</v>
      </c>
      <c r="E39">
        <v>198.15637410644388</v>
      </c>
      <c r="F39">
        <v>57.022429354216122</v>
      </c>
      <c r="G39">
        <v>70.867362022563967</v>
      </c>
      <c r="H39">
        <v>66.274617772381902</v>
      </c>
      <c r="J39">
        <v>45.27504114989776</v>
      </c>
      <c r="L39">
        <v>3.8942444558742246</v>
      </c>
      <c r="M39">
        <v>13.766405318615556</v>
      </c>
      <c r="N39">
        <v>2.5651664922378385</v>
      </c>
      <c r="O39">
        <v>16.275935700522162</v>
      </c>
      <c r="P39">
        <v>9.8902713414386412</v>
      </c>
      <c r="Q39">
        <v>1.3647123326614474</v>
      </c>
      <c r="R39">
        <v>11.622070712761269</v>
      </c>
      <c r="S39">
        <v>36.825702857544542</v>
      </c>
      <c r="U39">
        <v>2.452315447060788</v>
      </c>
      <c r="V39">
        <v>46.98670694791597</v>
      </c>
      <c r="W39">
        <v>22.351158099528348</v>
      </c>
      <c r="X39">
        <v>49.970243230998335</v>
      </c>
      <c r="Y39">
        <v>6.0712649459875978</v>
      </c>
      <c r="Z39">
        <v>28.130721264653179</v>
      </c>
      <c r="AA39">
        <v>2.8173669020431698</v>
      </c>
      <c r="AB39">
        <v>33.565654854799</v>
      </c>
      <c r="AC39">
        <v>1.2461007317657136E-2</v>
      </c>
      <c r="AD39">
        <v>5.8965606038573206</v>
      </c>
      <c r="AE39">
        <v>11.730005962460311</v>
      </c>
      <c r="AF39">
        <v>13.452988106985027</v>
      </c>
      <c r="AG39">
        <v>19.091761317756113</v>
      </c>
      <c r="AH39">
        <v>4.5851500028488372</v>
      </c>
      <c r="AI39">
        <v>2.5133419576267606</v>
      </c>
      <c r="AK39">
        <v>42.357812694636337</v>
      </c>
    </row>
    <row r="40" spans="1:37" x14ac:dyDescent="0.2">
      <c r="A40">
        <v>39</v>
      </c>
      <c r="B40">
        <v>758</v>
      </c>
      <c r="C40">
        <v>270</v>
      </c>
      <c r="D40">
        <v>0.30872375503079302</v>
      </c>
      <c r="E40">
        <v>197.93765495046046</v>
      </c>
      <c r="F40">
        <v>56.358333659259515</v>
      </c>
      <c r="G40">
        <v>70.756188387601668</v>
      </c>
      <c r="H40">
        <v>66.158586435365052</v>
      </c>
      <c r="J40">
        <v>45.181858180627223</v>
      </c>
      <c r="L40">
        <v>3.7458313682487896</v>
      </c>
      <c r="M40">
        <v>13.653385673815214</v>
      </c>
      <c r="N40">
        <v>2.5562939311430108</v>
      </c>
      <c r="O40">
        <v>15.569434028485386</v>
      </c>
      <c r="P40">
        <v>9.7019870514113276</v>
      </c>
      <c r="Q40">
        <v>1.2575269586644344</v>
      </c>
      <c r="R40">
        <v>11.248601974979236</v>
      </c>
      <c r="S40">
        <v>36.077424667754222</v>
      </c>
      <c r="U40">
        <v>2.3113932931789933</v>
      </c>
      <c r="V40">
        <v>46.801886041108745</v>
      </c>
      <c r="W40">
        <v>21.987448345119546</v>
      </c>
      <c r="X40">
        <v>49.623480425538418</v>
      </c>
      <c r="Y40">
        <v>5.9168491858891299</v>
      </c>
      <c r="Z40">
        <v>27.770951481028337</v>
      </c>
      <c r="AA40">
        <v>2.6634793564238572</v>
      </c>
      <c r="AB40">
        <v>33.311342103877649</v>
      </c>
      <c r="AD40">
        <v>5.6937642984928791</v>
      </c>
      <c r="AE40">
        <v>11.566198866396919</v>
      </c>
      <c r="AF40">
        <v>13.324909511745821</v>
      </c>
      <c r="AG40">
        <v>18.794646347944017</v>
      </c>
      <c r="AH40">
        <v>4.355548010964184</v>
      </c>
      <c r="AI40">
        <v>2.5038997762101953</v>
      </c>
      <c r="AK40">
        <v>42.370412406438199</v>
      </c>
    </row>
    <row r="41" spans="1:37" x14ac:dyDescent="0.2">
      <c r="A41">
        <v>40</v>
      </c>
      <c r="B41">
        <v>756</v>
      </c>
      <c r="C41">
        <v>270</v>
      </c>
      <c r="D41">
        <v>0.30724432784336703</v>
      </c>
      <c r="E41">
        <v>197.68943072990004</v>
      </c>
      <c r="F41">
        <v>55.594152055282059</v>
      </c>
      <c r="G41">
        <v>70.63010574388403</v>
      </c>
      <c r="H41">
        <v>66.027698049390622</v>
      </c>
      <c r="J41">
        <v>45.035052240339546</v>
      </c>
      <c r="L41">
        <v>3.5813271526315913</v>
      </c>
      <c r="M41">
        <v>13.498461553616973</v>
      </c>
      <c r="N41">
        <v>2.5602417593413183</v>
      </c>
      <c r="O41">
        <v>14.820926388078794</v>
      </c>
      <c r="P41">
        <v>9.4967359429204912</v>
      </c>
      <c r="Q41">
        <v>1.118749430734254</v>
      </c>
      <c r="R41">
        <v>10.808258637676081</v>
      </c>
      <c r="S41">
        <v>35.12234822017632</v>
      </c>
      <c r="U41">
        <v>2.1345204283811672</v>
      </c>
      <c r="V41">
        <v>46.548510272220277</v>
      </c>
      <c r="W41">
        <v>21.545423426820783</v>
      </c>
      <c r="X41">
        <v>49.154840421915942</v>
      </c>
      <c r="Y41">
        <v>5.739984248765345</v>
      </c>
      <c r="Z41">
        <v>27.353942992314611</v>
      </c>
      <c r="AA41">
        <v>2.4938197721131581</v>
      </c>
      <c r="AB41">
        <v>32.985077964698277</v>
      </c>
      <c r="AD41">
        <v>5.4535693498908762</v>
      </c>
      <c r="AE41">
        <v>11.380375088233393</v>
      </c>
      <c r="AF41">
        <v>13.167747977410817</v>
      </c>
      <c r="AG41">
        <v>18.438410417340322</v>
      </c>
      <c r="AH41">
        <v>4.0785575555898568</v>
      </c>
      <c r="AI41">
        <v>2.507274675182408</v>
      </c>
      <c r="AK41">
        <v>42.363765110281463</v>
      </c>
    </row>
    <row r="42" spans="1:37" x14ac:dyDescent="0.2">
      <c r="A42">
        <v>41</v>
      </c>
      <c r="B42">
        <v>754</v>
      </c>
      <c r="C42">
        <v>270</v>
      </c>
      <c r="D42">
        <v>0.30575913936620902</v>
      </c>
      <c r="E42">
        <v>197.44183114880909</v>
      </c>
      <c r="F42">
        <v>54.832757156635317</v>
      </c>
      <c r="G42">
        <v>70.504357071215466</v>
      </c>
      <c r="H42">
        <v>65.897195760487293</v>
      </c>
      <c r="J42">
        <v>44.890656091460841</v>
      </c>
      <c r="L42">
        <v>3.417530056906442</v>
      </c>
      <c r="M42">
        <v>13.344125791039142</v>
      </c>
      <c r="N42">
        <v>2.5641890798519418</v>
      </c>
      <c r="O42">
        <v>14.074881507947115</v>
      </c>
      <c r="P42">
        <v>9.2921832595459062</v>
      </c>
      <c r="Q42">
        <v>0.98054782304110177</v>
      </c>
      <c r="R42">
        <v>10.369345284309563</v>
      </c>
      <c r="S42">
        <v>34.171005693079628</v>
      </c>
      <c r="U42">
        <v>1.9579354210510456</v>
      </c>
      <c r="V42">
        <v>46.295975778243445</v>
      </c>
      <c r="W42">
        <v>21.104529147786323</v>
      </c>
      <c r="X42">
        <v>48.687934191396671</v>
      </c>
      <c r="Y42">
        <v>5.5637275091702927</v>
      </c>
      <c r="Z42">
        <v>26.93813340134124</v>
      </c>
      <c r="AA42">
        <v>2.3248274357319243</v>
      </c>
      <c r="AB42">
        <v>32.659920137647156</v>
      </c>
      <c r="AD42">
        <v>5.2138666307024977</v>
      </c>
      <c r="AE42">
        <v>11.195060439405623</v>
      </c>
      <c r="AF42">
        <v>13.011175484753817</v>
      </c>
      <c r="AG42">
        <v>18.083290376582276</v>
      </c>
      <c r="AH42">
        <v>3.8024866771118417</v>
      </c>
      <c r="AI42">
        <v>2.5106457428550164</v>
      </c>
      <c r="AK42">
        <v>42.358381672735497</v>
      </c>
    </row>
    <row r="43" spans="1:37" x14ac:dyDescent="0.2">
      <c r="A43">
        <v>42</v>
      </c>
      <c r="B43">
        <v>752</v>
      </c>
      <c r="C43">
        <v>270</v>
      </c>
      <c r="D43">
        <v>0.30426815587962902</v>
      </c>
      <c r="E43">
        <v>197.19485272890134</v>
      </c>
      <c r="F43">
        <v>54.074134555494553</v>
      </c>
      <c r="G43">
        <v>70.378941006849004</v>
      </c>
      <c r="H43">
        <v>65.767078372778329</v>
      </c>
      <c r="J43">
        <v>44.748665523844302</v>
      </c>
      <c r="L43">
        <v>3.2543949837301516</v>
      </c>
      <c r="M43">
        <v>13.190374502556219</v>
      </c>
      <c r="N43">
        <v>2.5681358972822501</v>
      </c>
      <c r="O43">
        <v>13.331288237724658</v>
      </c>
      <c r="P43">
        <v>9.088326462362069</v>
      </c>
      <c r="Q43">
        <v>0.84281401776308484</v>
      </c>
      <c r="R43">
        <v>9.9318524234056831</v>
      </c>
      <c r="S43">
        <v>33.223374015837365</v>
      </c>
      <c r="U43">
        <v>1.7816352650680471</v>
      </c>
      <c r="V43">
        <v>46.044276607206825</v>
      </c>
      <c r="W43">
        <v>20.664757815899389</v>
      </c>
      <c r="X43">
        <v>48.222749513323606</v>
      </c>
      <c r="Y43">
        <v>5.388075512802275</v>
      </c>
      <c r="Z43">
        <v>26.523514999256466</v>
      </c>
      <c r="AA43">
        <v>2.1564990205279901</v>
      </c>
      <c r="AB43">
        <v>32.335861175865482</v>
      </c>
      <c r="AD43">
        <v>4.9746548821561154</v>
      </c>
      <c r="AE43">
        <v>11.010251296619428</v>
      </c>
      <c r="AF43">
        <v>12.855188199794521</v>
      </c>
      <c r="AG43">
        <v>17.729278830951412</v>
      </c>
      <c r="AH43">
        <v>3.5273319617361527</v>
      </c>
      <c r="AI43">
        <v>2.5140129691234043</v>
      </c>
      <c r="AK43">
        <v>42.354261128977114</v>
      </c>
    </row>
    <row r="44" spans="1:37" x14ac:dyDescent="0.2">
      <c r="A44">
        <v>43</v>
      </c>
      <c r="B44">
        <v>750</v>
      </c>
      <c r="C44">
        <v>270</v>
      </c>
      <c r="D44">
        <v>0.302771343400284</v>
      </c>
      <c r="E44">
        <v>196.94849206650829</v>
      </c>
      <c r="F44">
        <v>53.318270176848998</v>
      </c>
      <c r="G44">
        <v>70.25385622655574</v>
      </c>
      <c r="H44">
        <v>65.637344729558762</v>
      </c>
      <c r="J44">
        <v>44.609076478001661</v>
      </c>
      <c r="L44">
        <v>3.0918675843351231</v>
      </c>
      <c r="M44">
        <v>13.03720387334242</v>
      </c>
      <c r="N44">
        <v>2.5720822162890888</v>
      </c>
      <c r="O44">
        <v>12.59013568861671</v>
      </c>
      <c r="P44">
        <v>8.8851630905420915</v>
      </c>
      <c r="Q44">
        <v>0.70560018220025356</v>
      </c>
      <c r="R44">
        <v>9.4957707563665181</v>
      </c>
      <c r="S44">
        <v>32.279430530456857</v>
      </c>
      <c r="U44">
        <v>1.6056170264051031</v>
      </c>
      <c r="V44">
        <v>45.793406817833102</v>
      </c>
      <c r="W44">
        <v>20.226101878481046</v>
      </c>
      <c r="X44">
        <v>47.759274377107104</v>
      </c>
      <c r="Y44">
        <v>5.2130248907650554</v>
      </c>
      <c r="Z44">
        <v>26.110080226988046</v>
      </c>
      <c r="AA44">
        <v>1.9888312641946759</v>
      </c>
      <c r="AB44">
        <v>32.01289376678978</v>
      </c>
      <c r="AD44">
        <v>4.7359328933705429</v>
      </c>
      <c r="AE44">
        <v>10.825944102769729</v>
      </c>
      <c r="AF44">
        <v>12.69978235750612</v>
      </c>
      <c r="AG44">
        <v>17.376368520375909</v>
      </c>
      <c r="AH44">
        <v>3.2530901083420325</v>
      </c>
      <c r="AI44">
        <v>2.5173763439297527</v>
      </c>
      <c r="AK44">
        <v>42.35140259012411</v>
      </c>
    </row>
    <row r="45" spans="1:37" x14ac:dyDescent="0.2">
      <c r="A45">
        <v>44</v>
      </c>
      <c r="B45">
        <v>748</v>
      </c>
      <c r="C45">
        <v>270</v>
      </c>
      <c r="D45">
        <v>0.301268667678598</v>
      </c>
      <c r="E45">
        <v>196.70274583130728</v>
      </c>
      <c r="F45">
        <v>52.565150272858936</v>
      </c>
      <c r="G45">
        <v>70.129101444047635</v>
      </c>
      <c r="H45">
        <v>65.507993712717877</v>
      </c>
      <c r="J45">
        <v>44.47188504257862</v>
      </c>
      <c r="L45">
        <v>2.9300373294426025</v>
      </c>
      <c r="M45">
        <v>12.88461015602625</v>
      </c>
      <c r="N45">
        <v>2.5760280415178958</v>
      </c>
      <c r="O45">
        <v>11.85141322900674</v>
      </c>
      <c r="P45">
        <v>8.6826907601488479</v>
      </c>
      <c r="Q45">
        <v>0.56890631711685369</v>
      </c>
      <c r="R45">
        <v>9.061091174523316</v>
      </c>
      <c r="S45">
        <v>31.339152976444062</v>
      </c>
      <c r="U45">
        <v>1.4298778420206679</v>
      </c>
      <c r="V45">
        <v>45.543360472228372</v>
      </c>
      <c r="W45">
        <v>19.788553919828967</v>
      </c>
      <c r="X45">
        <v>47.297496978291804</v>
      </c>
      <c r="Y45">
        <v>5.0385723585488975</v>
      </c>
      <c r="Z45">
        <v>25.697821672692339</v>
      </c>
      <c r="AA45">
        <v>1.8218209673323509</v>
      </c>
      <c r="AB45">
        <v>31.691010729697147</v>
      </c>
      <c r="AD45">
        <v>4.497699501398567</v>
      </c>
      <c r="AE45">
        <v>10.642135365695587</v>
      </c>
      <c r="AF45">
        <v>12.544954260506795</v>
      </c>
      <c r="AG45">
        <v>17.024552316917678</v>
      </c>
      <c r="AH45">
        <v>2.9797579221513719</v>
      </c>
      <c r="AI45">
        <v>2.5207358572011098</v>
      </c>
      <c r="AK45">
        <v>42.349805241946314</v>
      </c>
    </row>
    <row r="46" spans="1:37" x14ac:dyDescent="0.2">
      <c r="A46">
        <v>45</v>
      </c>
      <c r="B46">
        <v>746</v>
      </c>
      <c r="C46">
        <v>270</v>
      </c>
      <c r="D46">
        <v>0.29976009419614502</v>
      </c>
      <c r="E46">
        <v>196.45761076515916</v>
      </c>
      <c r="F46">
        <v>51.814761417454008</v>
      </c>
      <c r="G46">
        <v>70.00467541040166</v>
      </c>
      <c r="H46">
        <v>65.379024242168398</v>
      </c>
      <c r="J46">
        <v>44.337087451952044</v>
      </c>
      <c r="L46">
        <v>2.7688137357999656</v>
      </c>
      <c r="M46">
        <v>12.732589669362687</v>
      </c>
      <c r="N46">
        <v>2.5799733776352949</v>
      </c>
      <c r="O46">
        <v>11.115110480316799</v>
      </c>
      <c r="P46">
        <v>8.4809071630255293</v>
      </c>
      <c r="Q46">
        <v>0.43267033780435121</v>
      </c>
      <c r="R46">
        <v>8.6278047562906348</v>
      </c>
      <c r="S46">
        <v>30.402519488310894</v>
      </c>
      <c r="U46">
        <v>1.2544149186643978</v>
      </c>
      <c r="V46">
        <v>45.294131628098036</v>
      </c>
      <c r="W46">
        <v>19.352106658413199</v>
      </c>
      <c r="X46">
        <v>46.837405714816846</v>
      </c>
      <c r="Y46">
        <v>4.8647147150634726</v>
      </c>
      <c r="Z46">
        <v>25.28673206889566</v>
      </c>
      <c r="AA46">
        <v>1.6554649927854408</v>
      </c>
      <c r="AB46">
        <v>31.370205012935529</v>
      </c>
      <c r="AD46">
        <v>4.2599535910263704</v>
      </c>
      <c r="AE46">
        <v>10.458821656756928</v>
      </c>
      <c r="AF46">
        <v>12.390700277768198</v>
      </c>
      <c r="AG46">
        <v>16.673823222042166</v>
      </c>
      <c r="AH46">
        <v>2.7073323153495057</v>
      </c>
      <c r="AI46">
        <v>2.5240914988832666</v>
      </c>
      <c r="AK46">
        <v>42.349468343732127</v>
      </c>
    </row>
    <row r="47" spans="1:37" x14ac:dyDescent="0.2">
      <c r="A47">
        <v>46</v>
      </c>
      <c r="B47">
        <v>744</v>
      </c>
      <c r="C47">
        <v>270</v>
      </c>
      <c r="D47">
        <v>0.298245588163005</v>
      </c>
      <c r="E47">
        <v>196.21308368075805</v>
      </c>
      <c r="F47">
        <v>51.06709050054652</v>
      </c>
      <c r="G47">
        <v>69.880576913445964</v>
      </c>
      <c r="H47">
        <v>65.250435275237308</v>
      </c>
      <c r="J47">
        <v>44.20468008359996</v>
      </c>
      <c r="L47">
        <v>2.6082784583184075</v>
      </c>
      <c r="M47">
        <v>12.581138796852247</v>
      </c>
      <c r="N47">
        <v>2.5839182293289822</v>
      </c>
      <c r="O47">
        <v>10.381217312676005</v>
      </c>
      <c r="P47">
        <v>8.2798100655709614</v>
      </c>
      <c r="Q47">
        <v>0.29696801612453239</v>
      </c>
      <c r="R47">
        <v>8.1959027640814668</v>
      </c>
      <c r="S47">
        <v>29.469508586206118</v>
      </c>
      <c r="U47">
        <v>1.0792255316650317</v>
      </c>
      <c r="V47">
        <v>45.04571433027607</v>
      </c>
      <c r="W47">
        <v>18.916752944161541</v>
      </c>
      <c r="X47">
        <v>46.378989183007064</v>
      </c>
      <c r="Y47">
        <v>4.6914488415805664</v>
      </c>
      <c r="Z47">
        <v>24.876804289824342</v>
      </c>
      <c r="AA47">
        <v>1.4897602659066398</v>
      </c>
      <c r="AB47">
        <v>31.050469691264993</v>
      </c>
      <c r="AD47">
        <v>4.0226940945640646</v>
      </c>
      <c r="AE47">
        <v>10.275999609554313</v>
      </c>
      <c r="AF47">
        <v>12.23701684323361</v>
      </c>
      <c r="AG47">
        <v>16.324174363956431</v>
      </c>
      <c r="AH47">
        <v>2.4358103074807151</v>
      </c>
      <c r="AI47">
        <v>2.5274432589418039</v>
      </c>
      <c r="AK47">
        <v>42.350391226982886</v>
      </c>
    </row>
    <row r="48" spans="1:37" x14ac:dyDescent="0.2">
      <c r="A48">
        <v>47</v>
      </c>
      <c r="B48">
        <v>742</v>
      </c>
      <c r="C48">
        <v>270</v>
      </c>
      <c r="D48">
        <v>0.29672511451509398</v>
      </c>
      <c r="E48">
        <v>195.96916146065706</v>
      </c>
      <c r="F48">
        <v>50.322124723330269</v>
      </c>
      <c r="G48">
        <v>69.756804777275448</v>
      </c>
      <c r="H48">
        <v>65.122225806186123</v>
      </c>
      <c r="J48">
        <v>44.074659456037161</v>
      </c>
      <c r="L48">
        <v>2.4483429807708235</v>
      </c>
      <c r="M48">
        <v>12.430253985648783</v>
      </c>
      <c r="N48">
        <v>2.5878626012884003</v>
      </c>
      <c r="O48">
        <v>9.64972384117719</v>
      </c>
      <c r="P48">
        <v>8.0793973077635766</v>
      </c>
      <c r="Q48">
        <v>0.25430749088681226</v>
      </c>
      <c r="R48">
        <v>7.7653766418795058</v>
      </c>
      <c r="S48">
        <v>28.540099169450666</v>
      </c>
      <c r="U48">
        <v>0.9043070239492339</v>
      </c>
      <c r="V48">
        <v>44.798102602341572</v>
      </c>
      <c r="W48">
        <v>18.482485756141141</v>
      </c>
      <c r="X48">
        <v>45.922236173825112</v>
      </c>
      <c r="Y48">
        <v>4.5187717009176041</v>
      </c>
      <c r="Z48">
        <v>24.468031348912479</v>
      </c>
      <c r="AA48">
        <v>1.3247037762611362</v>
      </c>
      <c r="AB48">
        <v>30.731797963508953</v>
      </c>
      <c r="AD48">
        <v>3.7859199917147035</v>
      </c>
      <c r="AE48">
        <v>10.093665918663739</v>
      </c>
      <c r="AF48">
        <v>12.083900454709656</v>
      </c>
      <c r="AG48">
        <v>15.975598995248202</v>
      </c>
      <c r="AH48">
        <v>2.1651890183015627</v>
      </c>
      <c r="AI48">
        <v>2.5307911273428858</v>
      </c>
      <c r="AK48">
        <v>42.352573294427437</v>
      </c>
    </row>
    <row r="49" spans="1:37" x14ac:dyDescent="0.2">
      <c r="A49">
        <v>48</v>
      </c>
      <c r="B49">
        <v>740</v>
      </c>
      <c r="C49">
        <v>270</v>
      </c>
      <c r="D49">
        <v>0.295198637911468</v>
      </c>
      <c r="E49">
        <v>195.7258410559879</v>
      </c>
      <c r="F49">
        <v>49.579851592775327</v>
      </c>
      <c r="G49">
        <v>69.633357861677325</v>
      </c>
      <c r="H49">
        <v>64.994394865636409</v>
      </c>
      <c r="J49">
        <v>43.947022226314758</v>
      </c>
      <c r="L49">
        <v>2.2890978787129788</v>
      </c>
      <c r="M49">
        <v>12.279931745239105</v>
      </c>
      <c r="N49">
        <v>2.5918064982072968</v>
      </c>
      <c r="O49">
        <v>8.9206204217963201</v>
      </c>
      <c r="P49">
        <v>7.8796668020193747</v>
      </c>
      <c r="Q49">
        <v>0.11861713315345765</v>
      </c>
      <c r="R49">
        <v>7.3362180123113001</v>
      </c>
      <c r="S49">
        <v>27.614270508903324</v>
      </c>
      <c r="U49">
        <v>0.72965680487855766</v>
      </c>
      <c r="V49">
        <v>44.55129043721471</v>
      </c>
      <c r="W49">
        <v>18.049298199946708</v>
      </c>
      <c r="X49">
        <v>45.467135669225598</v>
      </c>
      <c r="Y49">
        <v>4.3466803364505804</v>
      </c>
      <c r="Z49">
        <v>24.060406396266128</v>
      </c>
      <c r="AA49">
        <v>1.1602925806691564</v>
      </c>
      <c r="AB49">
        <v>30.414183150016786</v>
      </c>
      <c r="AD49">
        <v>3.5496303093027231</v>
      </c>
      <c r="AE49">
        <v>9.9118173384157835</v>
      </c>
      <c r="AF49">
        <v>11.9313476725443</v>
      </c>
      <c r="AG49">
        <v>15.628090490346889</v>
      </c>
      <c r="AH49">
        <v>1.8954656729521668</v>
      </c>
      <c r="AI49">
        <v>2.5341350940557019</v>
      </c>
      <c r="AK49">
        <v>42.356014018769564</v>
      </c>
    </row>
    <row r="50" spans="1:37" x14ac:dyDescent="0.2">
      <c r="A50">
        <v>49</v>
      </c>
      <c r="B50">
        <v>738</v>
      </c>
      <c r="C50">
        <v>270</v>
      </c>
      <c r="D50">
        <v>0.29366612273154402</v>
      </c>
      <c r="E50">
        <v>196.18171242093041</v>
      </c>
      <c r="F50">
        <v>46.977453095334944</v>
      </c>
      <c r="G50">
        <v>69.59271294285594</v>
      </c>
      <c r="H50">
        <v>64.949419401304382</v>
      </c>
      <c r="J50">
        <v>30.501676723570743</v>
      </c>
      <c r="L50">
        <v>1.6746702318995013</v>
      </c>
      <c r="M50">
        <v>11.122011452093517</v>
      </c>
      <c r="N50">
        <v>2.5958049878971838</v>
      </c>
      <c r="O50">
        <v>5.4704339618178217</v>
      </c>
      <c r="P50">
        <v>7.8456273577628215</v>
      </c>
      <c r="R50">
        <v>6.0818031685886931</v>
      </c>
      <c r="S50">
        <v>28.257321257022141</v>
      </c>
      <c r="U50">
        <v>0.66722693370293562</v>
      </c>
      <c r="V50">
        <v>46.675965185395192</v>
      </c>
      <c r="W50">
        <v>16.698180762898243</v>
      </c>
      <c r="X50">
        <v>45.371120590607106</v>
      </c>
      <c r="Y50">
        <v>3.7755679430854925</v>
      </c>
      <c r="Z50">
        <v>17.46787446888008</v>
      </c>
      <c r="AB50">
        <v>28.52464059634352</v>
      </c>
      <c r="AD50">
        <v>0.21728484225901643</v>
      </c>
      <c r="AE50">
        <v>6.2229152192088231</v>
      </c>
      <c r="AF50">
        <v>10.771252987397238</v>
      </c>
      <c r="AG50">
        <v>13.70871931232616</v>
      </c>
      <c r="AI50">
        <v>2.5375302121674363</v>
      </c>
      <c r="AK50">
        <v>32.83578315492462</v>
      </c>
    </row>
    <row r="51" spans="1:37" x14ac:dyDescent="0.2">
      <c r="A51">
        <v>50</v>
      </c>
      <c r="B51">
        <v>736</v>
      </c>
      <c r="C51">
        <v>270</v>
      </c>
      <c r="D51">
        <v>0.29212753307238798</v>
      </c>
      <c r="E51">
        <v>196.55648801078092</v>
      </c>
      <c r="F51">
        <v>48.095132527821363</v>
      </c>
      <c r="G51">
        <v>69.541096948296243</v>
      </c>
      <c r="H51">
        <v>64.893526512863531</v>
      </c>
      <c r="J51">
        <v>25.566533411474726</v>
      </c>
      <c r="L51">
        <v>1.7103566530300123</v>
      </c>
      <c r="M51">
        <v>10.121201610749377</v>
      </c>
      <c r="N51">
        <v>2.5997850655707384</v>
      </c>
      <c r="O51">
        <v>5.4992908347451364</v>
      </c>
      <c r="P51">
        <v>7.7896600154455058</v>
      </c>
      <c r="R51">
        <v>5.3385490749469513</v>
      </c>
      <c r="S51">
        <v>29.32592209445896</v>
      </c>
      <c r="U51">
        <v>0.61316301799321538</v>
      </c>
      <c r="V51">
        <v>48.06151150658215</v>
      </c>
      <c r="W51">
        <v>15.554369579905476</v>
      </c>
      <c r="X51">
        <v>45.285456856508681</v>
      </c>
      <c r="Y51">
        <v>3.6761744958059923</v>
      </c>
      <c r="Z51">
        <v>17.884717497811398</v>
      </c>
      <c r="AB51">
        <v>29.763808193235274</v>
      </c>
      <c r="AE51">
        <v>6.449202909101631</v>
      </c>
      <c r="AF51">
        <v>9.7682519456039643</v>
      </c>
      <c r="AG51">
        <v>14.918050397174305</v>
      </c>
      <c r="AI51">
        <v>2.5409034621677216</v>
      </c>
      <c r="AK51">
        <v>29.251047720737983</v>
      </c>
    </row>
    <row r="52" spans="1:37" x14ac:dyDescent="0.2">
      <c r="A52">
        <v>51</v>
      </c>
      <c r="B52">
        <v>734</v>
      </c>
      <c r="C52">
        <v>270</v>
      </c>
      <c r="D52">
        <v>0.29058283274586499</v>
      </c>
      <c r="E52">
        <v>196.84778832427438</v>
      </c>
      <c r="F52">
        <v>48.907620511365955</v>
      </c>
      <c r="G52">
        <v>69.505172972417512</v>
      </c>
      <c r="H52">
        <v>64.853379467604739</v>
      </c>
      <c r="J52">
        <v>22.922886188819835</v>
      </c>
      <c r="L52">
        <v>1.7383580281785616</v>
      </c>
      <c r="M52">
        <v>9.3322520238969169</v>
      </c>
      <c r="N52">
        <v>2.6037571807565385</v>
      </c>
      <c r="O52">
        <v>5.480446774872715</v>
      </c>
      <c r="P52">
        <v>7.7651016047758494</v>
      </c>
      <c r="R52">
        <v>4.7419359016040472</v>
      </c>
      <c r="S52">
        <v>30.101100594821688</v>
      </c>
      <c r="U52">
        <v>0.56550955501378919</v>
      </c>
      <c r="V52">
        <v>49.118575607018307</v>
      </c>
      <c r="W52">
        <v>14.619148157788333</v>
      </c>
      <c r="X52">
        <v>45.219024506980723</v>
      </c>
      <c r="Y52">
        <v>3.6128954512868261</v>
      </c>
      <c r="Z52">
        <v>17.981253122917199</v>
      </c>
      <c r="AB52">
        <v>30.572609983142314</v>
      </c>
      <c r="AE52">
        <v>6.4901595823243428</v>
      </c>
      <c r="AF52">
        <v>8.977104846181664</v>
      </c>
      <c r="AG52">
        <v>15.697018287220143</v>
      </c>
      <c r="AI52">
        <v>2.5442652788627877</v>
      </c>
      <c r="AK52">
        <v>27.275519095869971</v>
      </c>
    </row>
    <row r="53" spans="1:37" x14ac:dyDescent="0.2">
      <c r="A53">
        <v>52</v>
      </c>
      <c r="B53">
        <v>732</v>
      </c>
      <c r="C53">
        <v>270</v>
      </c>
      <c r="D53">
        <v>0.28903198527583002</v>
      </c>
      <c r="E53">
        <v>197.08459690584652</v>
      </c>
      <c r="F53">
        <v>49.599485208280285</v>
      </c>
      <c r="G53">
        <v>69.468561780442556</v>
      </c>
      <c r="H53">
        <v>64.812599204308441</v>
      </c>
      <c r="J53">
        <v>21.159626915520672</v>
      </c>
      <c r="L53">
        <v>1.7616506639552971</v>
      </c>
      <c r="M53">
        <v>8.6549652130133587</v>
      </c>
      <c r="N53">
        <v>2.6077239271169419</v>
      </c>
      <c r="O53">
        <v>5.4533689746821938</v>
      </c>
      <c r="P53">
        <v>7.7391964422791446</v>
      </c>
      <c r="R53">
        <v>4.2168029026365001</v>
      </c>
      <c r="S53">
        <v>30.742683238303549</v>
      </c>
      <c r="U53">
        <v>0.51957570558970845</v>
      </c>
      <c r="V53">
        <v>50.006807955417649</v>
      </c>
      <c r="W53">
        <v>13.794684503308099</v>
      </c>
      <c r="X53">
        <v>45.158339467326982</v>
      </c>
      <c r="Y53">
        <v>3.5614967003464657</v>
      </c>
      <c r="Z53">
        <v>18.059421345999052</v>
      </c>
      <c r="AB53">
        <v>31.250608385356458</v>
      </c>
      <c r="AE53">
        <v>6.5215185603398291</v>
      </c>
      <c r="AF53">
        <v>8.2976168512746984</v>
      </c>
      <c r="AG53">
        <v>16.345188046095064</v>
      </c>
      <c r="AI53">
        <v>2.5476182411941592</v>
      </c>
      <c r="AK53">
        <v>25.927181840813962</v>
      </c>
    </row>
    <row r="54" spans="1:37" x14ac:dyDescent="0.2">
      <c r="A54">
        <v>53</v>
      </c>
      <c r="B54">
        <v>730</v>
      </c>
      <c r="C54">
        <v>270</v>
      </c>
      <c r="D54">
        <v>0.28747495389523398</v>
      </c>
      <c r="E54">
        <v>197.2852946985455</v>
      </c>
      <c r="F54">
        <v>50.211561443166005</v>
      </c>
      <c r="G54">
        <v>69.431485674584835</v>
      </c>
      <c r="H54">
        <v>64.771408199437047</v>
      </c>
      <c r="J54">
        <v>19.862695821149075</v>
      </c>
      <c r="L54">
        <v>1.7819963092771687</v>
      </c>
      <c r="M54">
        <v>8.0508270928787589</v>
      </c>
      <c r="N54">
        <v>2.6116868168436711</v>
      </c>
      <c r="O54">
        <v>5.4216592972094633</v>
      </c>
      <c r="P54">
        <v>7.7123908380837101</v>
      </c>
      <c r="R54">
        <v>3.7398834540422219</v>
      </c>
      <c r="S54">
        <v>31.301164999832842</v>
      </c>
      <c r="U54">
        <v>0.47427518387190881</v>
      </c>
      <c r="V54">
        <v>50.785835707125493</v>
      </c>
      <c r="W54">
        <v>13.043017623609639</v>
      </c>
      <c r="X54">
        <v>45.100273596732109</v>
      </c>
      <c r="Y54">
        <v>3.5177970894388935</v>
      </c>
      <c r="Z54">
        <v>18.125704864834567</v>
      </c>
      <c r="AB54">
        <v>31.845249599697382</v>
      </c>
      <c r="AE54">
        <v>6.5466825797810619</v>
      </c>
      <c r="AF54">
        <v>7.6912754350733712</v>
      </c>
      <c r="AG54">
        <v>16.910007436816215</v>
      </c>
      <c r="AI54">
        <v>2.5509638466364497</v>
      </c>
      <c r="AK54">
        <v>24.915314999771557</v>
      </c>
    </row>
    <row r="55" spans="1:37" x14ac:dyDescent="0.2">
      <c r="A55">
        <v>54</v>
      </c>
      <c r="B55">
        <v>728</v>
      </c>
      <c r="C55">
        <v>270</v>
      </c>
      <c r="D55">
        <v>0.28591170154322698</v>
      </c>
      <c r="E55">
        <v>197.45981824810863</v>
      </c>
      <c r="F55">
        <v>50.76590798068316</v>
      </c>
      <c r="G55">
        <v>69.394078794810554</v>
      </c>
      <c r="H55">
        <v>64.729940767901113</v>
      </c>
      <c r="J55">
        <v>18.852996808990607</v>
      </c>
      <c r="L55">
        <v>1.8004581629315288</v>
      </c>
      <c r="M55">
        <v>7.499462749484695</v>
      </c>
      <c r="N55">
        <v>2.6156466713542739</v>
      </c>
      <c r="O55">
        <v>5.3873101853227885</v>
      </c>
      <c r="P55">
        <v>7.6849540881399649</v>
      </c>
      <c r="R55">
        <v>3.2985195754099101</v>
      </c>
      <c r="S55">
        <v>31.801571519738147</v>
      </c>
      <c r="U55">
        <v>0.42922818147925568</v>
      </c>
      <c r="V55">
        <v>51.486465930604133</v>
      </c>
      <c r="W55">
        <v>12.343970112071149</v>
      </c>
      <c r="X55">
        <v>45.043730429433801</v>
      </c>
      <c r="Y55">
        <v>3.479614815242102</v>
      </c>
      <c r="Z55">
        <v>18.183518209147042</v>
      </c>
      <c r="AB55">
        <v>32.380650258504168</v>
      </c>
      <c r="AE55">
        <v>6.5674329783524321</v>
      </c>
      <c r="AF55">
        <v>7.1377065524177796</v>
      </c>
      <c r="AG55">
        <v>17.415593964477871</v>
      </c>
      <c r="AI55">
        <v>2.5543029018925427</v>
      </c>
      <c r="AK55">
        <v>24.113076350487091</v>
      </c>
    </row>
    <row r="56" spans="1:37" x14ac:dyDescent="0.2">
      <c r="A56">
        <v>55</v>
      </c>
      <c r="B56">
        <v>760</v>
      </c>
      <c r="C56">
        <v>255</v>
      </c>
      <c r="D56">
        <v>0.32616802981174298</v>
      </c>
      <c r="E56">
        <v>189.41065785657489</v>
      </c>
      <c r="F56">
        <v>56.74315387483329</v>
      </c>
      <c r="G56">
        <v>70.871735673076842</v>
      </c>
      <c r="H56">
        <v>66.278309552157666</v>
      </c>
      <c r="J56">
        <v>45.008755572315074</v>
      </c>
      <c r="L56">
        <v>3.844064405049743</v>
      </c>
      <c r="M56">
        <v>13.754734761576932</v>
      </c>
      <c r="N56">
        <v>2.5098317957629028</v>
      </c>
      <c r="O56">
        <v>16.367423873704531</v>
      </c>
      <c r="P56">
        <v>9.7589922708247201</v>
      </c>
      <c r="Q56">
        <v>1.2213876836577406</v>
      </c>
      <c r="R56">
        <v>11.6564281840344</v>
      </c>
      <c r="S56">
        <v>36.584555761628543</v>
      </c>
      <c r="U56">
        <v>2.3762019116994901</v>
      </c>
      <c r="V56">
        <v>46.677215456296757</v>
      </c>
      <c r="W56">
        <v>22.682266568831054</v>
      </c>
      <c r="X56">
        <v>49.090411181403098</v>
      </c>
      <c r="Y56">
        <v>5.9591373528100178</v>
      </c>
      <c r="Z56">
        <v>28.125210464886486</v>
      </c>
      <c r="AA56">
        <v>2.7827407343624802</v>
      </c>
      <c r="AB56">
        <v>33.589536385340928</v>
      </c>
      <c r="AC56">
        <v>1.2072884580148047E-2</v>
      </c>
      <c r="AD56">
        <v>5.8863673798239082</v>
      </c>
      <c r="AE56">
        <v>11.84018581330451</v>
      </c>
      <c r="AF56">
        <v>13.432234705765419</v>
      </c>
      <c r="AG56">
        <v>19.125072701797905</v>
      </c>
      <c r="AH56">
        <v>4.3009573198337661</v>
      </c>
      <c r="AI56">
        <v>2.4560801814217399</v>
      </c>
      <c r="AK56">
        <v>42.145290256596333</v>
      </c>
    </row>
    <row r="57" spans="1:37" x14ac:dyDescent="0.2">
      <c r="A57">
        <v>56</v>
      </c>
      <c r="B57">
        <v>758</v>
      </c>
      <c r="C57">
        <v>255</v>
      </c>
      <c r="D57">
        <v>0.32472530669640698</v>
      </c>
      <c r="E57">
        <v>189.19165509215711</v>
      </c>
      <c r="F57">
        <v>56.07847141602744</v>
      </c>
      <c r="G57">
        <v>70.760304127428711</v>
      </c>
      <c r="H57">
        <v>66.162008098710828</v>
      </c>
      <c r="J57">
        <v>44.914060594928742</v>
      </c>
      <c r="L57">
        <v>3.6956850334588309</v>
      </c>
      <c r="M57">
        <v>13.641260268412594</v>
      </c>
      <c r="N57">
        <v>2.5013591503400989</v>
      </c>
      <c r="O57">
        <v>15.660348258403094</v>
      </c>
      <c r="P57">
        <v>9.5705803212667941</v>
      </c>
      <c r="Q57">
        <v>1.1704913629535083</v>
      </c>
      <c r="R57">
        <v>11.282479777162683</v>
      </c>
      <c r="S57">
        <v>35.832974051390757</v>
      </c>
      <c r="U57">
        <v>2.2344163962670769</v>
      </c>
      <c r="V57">
        <v>46.491689622355992</v>
      </c>
      <c r="W57">
        <v>22.317032269395426</v>
      </c>
      <c r="X57">
        <v>48.742708569416465</v>
      </c>
      <c r="Y57">
        <v>5.8043751132849577</v>
      </c>
      <c r="Z57">
        <v>27.765576104405103</v>
      </c>
      <c r="AA57">
        <v>2.6290164456632046</v>
      </c>
      <c r="AB57">
        <v>33.334486637672022</v>
      </c>
      <c r="AD57">
        <v>5.6836873688990606</v>
      </c>
      <c r="AE57">
        <v>11.676437380729135</v>
      </c>
      <c r="AF57">
        <v>13.304096951163755</v>
      </c>
      <c r="AG57">
        <v>18.827660110519123</v>
      </c>
      <c r="AH57">
        <v>4.0705485115953808</v>
      </c>
      <c r="AI57">
        <v>2.4470392689780733</v>
      </c>
      <c r="AK57">
        <v>42.157557991100639</v>
      </c>
    </row>
    <row r="58" spans="1:37" x14ac:dyDescent="0.2">
      <c r="A58">
        <v>57</v>
      </c>
      <c r="B58">
        <v>756</v>
      </c>
      <c r="C58">
        <v>255</v>
      </c>
      <c r="D58">
        <v>0.32327697614536499</v>
      </c>
      <c r="E58">
        <v>188.94391412521924</v>
      </c>
      <c r="F58">
        <v>55.317014313424153</v>
      </c>
      <c r="G58">
        <v>70.634431451016852</v>
      </c>
      <c r="H58">
        <v>66.031317479980459</v>
      </c>
      <c r="J58">
        <v>44.767082409858851</v>
      </c>
      <c r="L58">
        <v>3.5317975913083428</v>
      </c>
      <c r="M58">
        <v>13.487224153500808</v>
      </c>
      <c r="N58">
        <v>2.5053098561816221</v>
      </c>
      <c r="O58">
        <v>14.91303135705537</v>
      </c>
      <c r="P58">
        <v>9.3657402637659484</v>
      </c>
      <c r="Q58">
        <v>1.0316080081105445</v>
      </c>
      <c r="R58">
        <v>10.843820267690123</v>
      </c>
      <c r="S58">
        <v>34.881295303764794</v>
      </c>
      <c r="U58">
        <v>2.057653978536977</v>
      </c>
      <c r="V58">
        <v>46.239600587093314</v>
      </c>
      <c r="W58">
        <v>21.876107020141795</v>
      </c>
      <c r="X58">
        <v>48.276527476650443</v>
      </c>
      <c r="Y58">
        <v>5.6279351430209426</v>
      </c>
      <c r="Z58">
        <v>27.351386379271602</v>
      </c>
      <c r="AA58">
        <v>2.4600260367834852</v>
      </c>
      <c r="AB58">
        <v>33.010252590817245</v>
      </c>
      <c r="AD58">
        <v>5.4452018601443219</v>
      </c>
      <c r="AE58">
        <v>11.491840228716503</v>
      </c>
      <c r="AF58">
        <v>13.147822087570006</v>
      </c>
      <c r="AG58">
        <v>18.473496609492319</v>
      </c>
      <c r="AH58">
        <v>3.7943652701438837</v>
      </c>
      <c r="AI58">
        <v>2.4504183988943766</v>
      </c>
      <c r="AK58">
        <v>42.150938280060124</v>
      </c>
    </row>
    <row r="59" spans="1:37" x14ac:dyDescent="0.2">
      <c r="A59">
        <v>58</v>
      </c>
      <c r="B59">
        <v>754</v>
      </c>
      <c r="C59">
        <v>255</v>
      </c>
      <c r="D59">
        <v>0.321823005403299</v>
      </c>
      <c r="E59">
        <v>188.69678160470261</v>
      </c>
      <c r="F59">
        <v>54.558291280681182</v>
      </c>
      <c r="G59">
        <v>70.508886144486084</v>
      </c>
      <c r="H59">
        <v>65.90100636283664</v>
      </c>
      <c r="J59">
        <v>44.622478518494667</v>
      </c>
      <c r="L59">
        <v>3.3686108352793163</v>
      </c>
      <c r="M59">
        <v>13.333765188094985</v>
      </c>
      <c r="N59">
        <v>2.5092600577431701</v>
      </c>
      <c r="O59">
        <v>14.168137690192083</v>
      </c>
      <c r="P59">
        <v>9.1615854250377211</v>
      </c>
      <c r="Q59">
        <v>0.89299936961005744</v>
      </c>
      <c r="R59">
        <v>10.406559876519911</v>
      </c>
      <c r="S59">
        <v>33.933276262952681</v>
      </c>
      <c r="U59">
        <v>1.8811611387452081</v>
      </c>
      <c r="V59">
        <v>45.988332080391068</v>
      </c>
      <c r="W59">
        <v>21.436295586040249</v>
      </c>
      <c r="X59">
        <v>47.812035223243875</v>
      </c>
      <c r="Y59">
        <v>5.4520893287919279</v>
      </c>
      <c r="Z59">
        <v>26.938388732472465</v>
      </c>
      <c r="AA59">
        <v>2.2916906671109971</v>
      </c>
      <c r="AB59">
        <v>32.687113134519279</v>
      </c>
      <c r="AD59">
        <v>5.2071982209023897</v>
      </c>
      <c r="AE59">
        <v>11.307751732825892</v>
      </c>
      <c r="AF59">
        <v>12.992125075430286</v>
      </c>
      <c r="AG59">
        <v>18.120437280147197</v>
      </c>
      <c r="AH59">
        <v>3.5190838534249873</v>
      </c>
      <c r="AI59">
        <v>2.4537937009187849</v>
      </c>
      <c r="AK59">
        <v>42.145561980212271</v>
      </c>
    </row>
    <row r="60" spans="1:37" x14ac:dyDescent="0.2">
      <c r="A60">
        <v>59</v>
      </c>
      <c r="B60">
        <v>752</v>
      </c>
      <c r="C60">
        <v>255</v>
      </c>
      <c r="D60">
        <v>0.3203633614593</v>
      </c>
      <c r="E60">
        <v>188.45025409976606</v>
      </c>
      <c r="F60">
        <v>53.802288445660757</v>
      </c>
      <c r="G60">
        <v>70.383666884621206</v>
      </c>
      <c r="H60">
        <v>65.77107359093435</v>
      </c>
      <c r="J60">
        <v>44.480244721984867</v>
      </c>
      <c r="L60">
        <v>3.2060738268552234</v>
      </c>
      <c r="M60">
        <v>13.180879630303298</v>
      </c>
      <c r="N60">
        <v>2.5132097596586549</v>
      </c>
      <c r="O60">
        <v>13.425656567512409</v>
      </c>
      <c r="P60">
        <v>8.958113345261987</v>
      </c>
      <c r="Q60">
        <v>0.58156057318762733</v>
      </c>
      <c r="R60">
        <v>9.9706894088867255</v>
      </c>
      <c r="S60">
        <v>32.98889456324649</v>
      </c>
      <c r="U60">
        <v>1.7049349809255618</v>
      </c>
      <c r="V60">
        <v>45.737878281538755</v>
      </c>
      <c r="W60">
        <v>20.997590675073969</v>
      </c>
      <c r="X60">
        <v>47.349219832793452</v>
      </c>
      <c r="Y60">
        <v>5.2768343072458714</v>
      </c>
      <c r="Z60">
        <v>26.526576074824515</v>
      </c>
      <c r="AA60">
        <v>2.1240071303554142</v>
      </c>
      <c r="AB60">
        <v>32.365061280668563</v>
      </c>
      <c r="AD60">
        <v>4.9696756095212757</v>
      </c>
      <c r="AE60">
        <v>11.124168591908655</v>
      </c>
      <c r="AF60">
        <v>12.837002222424045</v>
      </c>
      <c r="AG60">
        <v>17.768475186542005</v>
      </c>
      <c r="AH60">
        <v>3.2447009927677013</v>
      </c>
      <c r="AI60">
        <v>2.4571651649733406</v>
      </c>
      <c r="AK60">
        <v>42.141428079680715</v>
      </c>
    </row>
    <row r="61" spans="1:37" x14ac:dyDescent="0.2">
      <c r="A61">
        <v>60</v>
      </c>
      <c r="B61">
        <v>750</v>
      </c>
      <c r="C61">
        <v>255</v>
      </c>
      <c r="D61">
        <v>0.31889801104432502</v>
      </c>
      <c r="E61">
        <v>188.20432824839736</v>
      </c>
      <c r="F61">
        <v>53.048992250800971</v>
      </c>
      <c r="G61">
        <v>70.258772384225693</v>
      </c>
      <c r="H61">
        <v>65.641518044600105</v>
      </c>
      <c r="J61">
        <v>44.340376958482665</v>
      </c>
      <c r="L61">
        <v>3.0441249324470157</v>
      </c>
      <c r="M61">
        <v>13.028563803391584</v>
      </c>
      <c r="N61">
        <v>2.5171589666321874</v>
      </c>
      <c r="O61">
        <v>12.685577546465513</v>
      </c>
      <c r="P61">
        <v>8.7553216377367491</v>
      </c>
      <c r="Q61">
        <v>0.43103107538344682</v>
      </c>
      <c r="R61">
        <v>9.5361998524829641</v>
      </c>
      <c r="S61">
        <v>32.048128222636436</v>
      </c>
      <c r="U61">
        <v>1.528972676217184</v>
      </c>
      <c r="V61">
        <v>45.488233375495774</v>
      </c>
      <c r="W61">
        <v>20.559985129657672</v>
      </c>
      <c r="X61">
        <v>46.888069523755519</v>
      </c>
      <c r="Y61">
        <v>5.1021667956404304</v>
      </c>
      <c r="Z61">
        <v>26.115941466609875</v>
      </c>
      <c r="AA61">
        <v>1.9569722825480422</v>
      </c>
      <c r="AB61">
        <v>32.044090172597983</v>
      </c>
      <c r="AD61">
        <v>4.7326332275509246</v>
      </c>
      <c r="AE61">
        <v>10.941087571809543</v>
      </c>
      <c r="AF61">
        <v>12.682449901663134</v>
      </c>
      <c r="AG61">
        <v>17.417603524546703</v>
      </c>
      <c r="AH61">
        <v>2.9712135571085962</v>
      </c>
      <c r="AI61">
        <v>2.4605327810471413</v>
      </c>
      <c r="AK61">
        <v>42.138535634640782</v>
      </c>
    </row>
    <row r="62" spans="1:37" x14ac:dyDescent="0.2">
      <c r="A62">
        <v>61</v>
      </c>
      <c r="B62">
        <v>748</v>
      </c>
      <c r="C62">
        <v>255</v>
      </c>
      <c r="D62">
        <v>0.31742692062870498</v>
      </c>
      <c r="E62">
        <v>187.9590007560675</v>
      </c>
      <c r="F62">
        <v>52.298389447577904</v>
      </c>
      <c r="G62">
        <v>70.134201391549752</v>
      </c>
      <c r="H62">
        <v>65.512338640261419</v>
      </c>
      <c r="J62">
        <v>44.202871300449509</v>
      </c>
      <c r="L62">
        <v>2.8828673527510582</v>
      </c>
      <c r="M62">
        <v>12.876814094603112</v>
      </c>
      <c r="N62">
        <v>2.5211076833480872</v>
      </c>
      <c r="O62">
        <v>11.947890428020299</v>
      </c>
      <c r="P62">
        <v>8.5532079876599862</v>
      </c>
      <c r="Q62">
        <v>0.28082135100999145</v>
      </c>
      <c r="R62">
        <v>9.103082374562069</v>
      </c>
      <c r="S62">
        <v>31.110955635649646</v>
      </c>
      <c r="U62">
        <v>1.3532714618035395</v>
      </c>
      <c r="V62">
        <v>45.239391545654662</v>
      </c>
      <c r="W62">
        <v>20.123471924467832</v>
      </c>
      <c r="X62">
        <v>46.428572705733956</v>
      </c>
      <c r="Y62">
        <v>4.9280835908245999</v>
      </c>
      <c r="Z62">
        <v>25.706478115541941</v>
      </c>
      <c r="AA62">
        <v>1.7905830412363284</v>
      </c>
      <c r="AB62">
        <v>31.724193082997424</v>
      </c>
      <c r="AD62">
        <v>4.4960703202779095</v>
      </c>
      <c r="AE62">
        <v>10.758505504400713</v>
      </c>
      <c r="AF62">
        <v>12.528464550419841</v>
      </c>
      <c r="AG62">
        <v>17.067815619676477</v>
      </c>
      <c r="AH62">
        <v>2.6986185116255257</v>
      </c>
      <c r="AI62">
        <v>2.4638965391065826</v>
      </c>
      <c r="AK62">
        <v>42.136883767850868</v>
      </c>
    </row>
    <row r="63" spans="1:37" x14ac:dyDescent="0.2">
      <c r="A63">
        <v>62</v>
      </c>
      <c r="B63">
        <v>746</v>
      </c>
      <c r="C63">
        <v>255</v>
      </c>
      <c r="D63">
        <v>0.31595005641956603</v>
      </c>
      <c r="E63">
        <v>187.71426839468165</v>
      </c>
      <c r="F63">
        <v>51.550467091608468</v>
      </c>
      <c r="G63">
        <v>70.009952689747081</v>
      </c>
      <c r="H63">
        <v>65.383534329908187</v>
      </c>
      <c r="J63">
        <v>44.067723952371686</v>
      </c>
      <c r="L63">
        <v>2.7221976876326734</v>
      </c>
      <c r="M63">
        <v>12.725626953934134</v>
      </c>
      <c r="N63">
        <v>2.525055914533747</v>
      </c>
      <c r="O63">
        <v>11.212585252822533</v>
      </c>
      <c r="P63">
        <v>8.3517701511021514</v>
      </c>
      <c r="Q63">
        <v>0.3421771307275005</v>
      </c>
      <c r="R63">
        <v>8.6713283193683921</v>
      </c>
      <c r="S63">
        <v>30.177355566093414</v>
      </c>
      <c r="U63">
        <v>1.1778286397768052</v>
      </c>
      <c r="V63">
        <v>44.991346966280744</v>
      </c>
      <c r="W63">
        <v>19.688044163812656</v>
      </c>
      <c r="X63">
        <v>45.970717975919513</v>
      </c>
      <c r="Y63">
        <v>4.7545815683455253</v>
      </c>
      <c r="Z63">
        <v>25.298179374195705</v>
      </c>
      <c r="AA63">
        <v>1.6248363857123478</v>
      </c>
      <c r="AB63">
        <v>31.405363411341408</v>
      </c>
      <c r="AD63">
        <v>4.259986176900421</v>
      </c>
      <c r="AE63">
        <v>10.576419286289031</v>
      </c>
      <c r="AF63">
        <v>12.37504266896717</v>
      </c>
      <c r="AG63">
        <v>16.719104924584844</v>
      </c>
      <c r="AH63">
        <v>2.4269129201114774</v>
      </c>
      <c r="AI63">
        <v>2.4672564291579917</v>
      </c>
      <c r="AK63">
        <v>42.136471667609356</v>
      </c>
    </row>
    <row r="64" spans="1:37" x14ac:dyDescent="0.2">
      <c r="A64">
        <v>63</v>
      </c>
      <c r="B64">
        <v>744</v>
      </c>
      <c r="C64">
        <v>255</v>
      </c>
      <c r="D64">
        <v>0.31446738435825899</v>
      </c>
      <c r="E64">
        <v>187.44879830440601</v>
      </c>
      <c r="F64">
        <v>50.665101605095103</v>
      </c>
      <c r="G64">
        <v>69.861267089562148</v>
      </c>
      <c r="H64">
        <v>65.230346093784661</v>
      </c>
      <c r="J64">
        <v>43.913258900093581</v>
      </c>
      <c r="L64">
        <v>2.5212234438957055</v>
      </c>
      <c r="M64">
        <v>12.59508758654613</v>
      </c>
      <c r="N64">
        <v>2.5290016111066271</v>
      </c>
      <c r="O64">
        <v>10.318820206724077</v>
      </c>
      <c r="P64">
        <v>8.1014878865407862</v>
      </c>
      <c r="R64">
        <v>8.215739665191748</v>
      </c>
      <c r="S64">
        <v>29.300832790799721</v>
      </c>
      <c r="U64">
        <v>1.015893111980197</v>
      </c>
      <c r="V64">
        <v>44.793853834279254</v>
      </c>
      <c r="W64">
        <v>19.251018948040503</v>
      </c>
      <c r="X64">
        <v>45.556081501634253</v>
      </c>
      <c r="Y64">
        <v>4.5336294987151318</v>
      </c>
      <c r="Z64">
        <v>24.819550362606087</v>
      </c>
      <c r="AA64">
        <v>1.4160968582962086</v>
      </c>
      <c r="AB64">
        <v>31.120719284803922</v>
      </c>
      <c r="AD64">
        <v>3.9791832143452157</v>
      </c>
      <c r="AE64">
        <v>10.371652467211137</v>
      </c>
      <c r="AF64">
        <v>12.242267459139818</v>
      </c>
      <c r="AG64">
        <v>16.404587566119723</v>
      </c>
      <c r="AH64">
        <v>2.0857122302490736</v>
      </c>
      <c r="AI64">
        <v>2.4706103873964804</v>
      </c>
      <c r="AK64">
        <v>42.104085034359429</v>
      </c>
    </row>
    <row r="65" spans="1:37" x14ac:dyDescent="0.2">
      <c r="A65">
        <v>64</v>
      </c>
      <c r="B65">
        <v>742</v>
      </c>
      <c r="C65">
        <v>255</v>
      </c>
      <c r="D65">
        <v>0.31297887011771702</v>
      </c>
      <c r="E65">
        <v>186.8441214287059</v>
      </c>
      <c r="F65">
        <v>47.258510626371383</v>
      </c>
      <c r="G65">
        <v>69.316312181573281</v>
      </c>
      <c r="H65">
        <v>64.680941692633922</v>
      </c>
      <c r="J65">
        <v>42.864250909930796</v>
      </c>
      <c r="L65">
        <v>1.5982521763759505</v>
      </c>
      <c r="M65">
        <v>12.54360649550827</v>
      </c>
      <c r="N65">
        <v>2.5329201382478304</v>
      </c>
      <c r="O65">
        <v>6.7282929319042015</v>
      </c>
      <c r="P65">
        <v>7.0586719274297467</v>
      </c>
      <c r="R65">
        <v>6.9009687292015141</v>
      </c>
      <c r="S65">
        <v>27.766146411926854</v>
      </c>
      <c r="U65">
        <v>0.94909593559490224</v>
      </c>
      <c r="V65">
        <v>44.84128725568462</v>
      </c>
      <c r="W65">
        <v>18.79881325249951</v>
      </c>
      <c r="X65">
        <v>45.437686965633439</v>
      </c>
      <c r="Y65">
        <v>3.5273972946875043</v>
      </c>
      <c r="Z65">
        <v>22.705368803412455</v>
      </c>
      <c r="AA65">
        <v>0.46177787543484011</v>
      </c>
      <c r="AB65">
        <v>30.538229292383267</v>
      </c>
      <c r="AD65">
        <v>2.7244170176786149</v>
      </c>
      <c r="AE65">
        <v>9.5129070366268405</v>
      </c>
      <c r="AF65">
        <v>12.188524835151741</v>
      </c>
      <c r="AG65">
        <v>15.792207547537624</v>
      </c>
      <c r="AH65">
        <v>0.54700784068656239</v>
      </c>
      <c r="AI65">
        <v>2.4739337642803392</v>
      </c>
      <c r="AK65">
        <v>41.356493608309144</v>
      </c>
    </row>
    <row r="66" spans="1:37" x14ac:dyDescent="0.2">
      <c r="A66">
        <v>65</v>
      </c>
      <c r="B66">
        <v>740</v>
      </c>
      <c r="C66">
        <v>255</v>
      </c>
      <c r="D66">
        <v>0.31148447909983901</v>
      </c>
      <c r="E66">
        <v>187.82476089843982</v>
      </c>
      <c r="F66">
        <v>47.600463157341018</v>
      </c>
      <c r="G66">
        <v>69.73377271209462</v>
      </c>
      <c r="H66">
        <v>65.094006043605887</v>
      </c>
      <c r="J66">
        <v>29.438773207151801</v>
      </c>
      <c r="L66">
        <v>1.6645729707507344</v>
      </c>
      <c r="M66">
        <v>11.211485789541655</v>
      </c>
      <c r="N66">
        <v>2.5369536003323008</v>
      </c>
      <c r="O66">
        <v>5.6401365003702004</v>
      </c>
      <c r="P66">
        <v>7.9408340589343638</v>
      </c>
      <c r="R66">
        <v>6.4248879154053284</v>
      </c>
      <c r="S66">
        <v>28.963631210949057</v>
      </c>
      <c r="U66">
        <v>0.86644247253524231</v>
      </c>
      <c r="V66">
        <v>46.880256857916002</v>
      </c>
      <c r="W66">
        <v>17.336355806027662</v>
      </c>
      <c r="X66">
        <v>45.270100863876351</v>
      </c>
      <c r="Y66">
        <v>3.7391197756124042</v>
      </c>
      <c r="Z66">
        <v>17.604609482731064</v>
      </c>
      <c r="AB66">
        <v>28.852749105524818</v>
      </c>
      <c r="AD66">
        <v>0.29977401189492886</v>
      </c>
      <c r="AE66">
        <v>6.3445670254042064</v>
      </c>
      <c r="AF66">
        <v>10.854259056265574</v>
      </c>
      <c r="AG66">
        <v>14.076962694044093</v>
      </c>
      <c r="AI66">
        <v>2.4773686494594878</v>
      </c>
      <c r="AK66">
        <v>31.955542173705279</v>
      </c>
    </row>
    <row r="67" spans="1:37" x14ac:dyDescent="0.2">
      <c r="A67">
        <v>66</v>
      </c>
      <c r="B67">
        <v>738</v>
      </c>
      <c r="C67">
        <v>255</v>
      </c>
      <c r="D67">
        <v>0.30998417643277698</v>
      </c>
      <c r="E67">
        <v>188.1968843422614</v>
      </c>
      <c r="F67">
        <v>48.631049623364483</v>
      </c>
      <c r="G67">
        <v>69.693566826281753</v>
      </c>
      <c r="H67">
        <v>65.049457463367062</v>
      </c>
      <c r="J67">
        <v>25.031470408803351</v>
      </c>
      <c r="L67">
        <v>1.6986823388964549</v>
      </c>
      <c r="M67">
        <v>10.253417291608434</v>
      </c>
      <c r="N67">
        <v>2.5409346414207583</v>
      </c>
      <c r="O67">
        <v>5.6363772267009296</v>
      </c>
      <c r="P67">
        <v>7.9076434046458726</v>
      </c>
      <c r="R67">
        <v>5.7094668762486087</v>
      </c>
      <c r="S67">
        <v>29.907058055297497</v>
      </c>
      <c r="U67">
        <v>0.81929998170791452</v>
      </c>
      <c r="V67">
        <v>48.180116549020411</v>
      </c>
      <c r="W67">
        <v>16.230260348529271</v>
      </c>
      <c r="X67">
        <v>45.205523258536985</v>
      </c>
      <c r="Y67">
        <v>3.651348114492142</v>
      </c>
      <c r="Z67">
        <v>17.822882266962246</v>
      </c>
      <c r="AB67">
        <v>29.89542216624281</v>
      </c>
      <c r="AE67">
        <v>6.4549676145494601</v>
      </c>
      <c r="AF67">
        <v>9.8939946358826525</v>
      </c>
      <c r="AG67">
        <v>15.089829141422973</v>
      </c>
      <c r="AI67">
        <v>2.4807476722707844</v>
      </c>
      <c r="AK67">
        <v>28.750114054287078</v>
      </c>
    </row>
    <row r="68" spans="1:37" x14ac:dyDescent="0.2">
      <c r="A68">
        <v>67</v>
      </c>
      <c r="B68">
        <v>736</v>
      </c>
      <c r="C68">
        <v>255</v>
      </c>
      <c r="D68">
        <v>0.308477926968244</v>
      </c>
      <c r="E68">
        <v>188.4817949286745</v>
      </c>
      <c r="F68">
        <v>49.429375513064109</v>
      </c>
      <c r="G68">
        <v>69.65748551173931</v>
      </c>
      <c r="H68">
        <v>65.009087111711537</v>
      </c>
      <c r="J68">
        <v>22.551774579593477</v>
      </c>
      <c r="L68">
        <v>1.7252645199689396</v>
      </c>
      <c r="M68">
        <v>9.4822772744812749</v>
      </c>
      <c r="N68">
        <v>2.5449082056229471</v>
      </c>
      <c r="O68">
        <v>5.6077092249883922</v>
      </c>
      <c r="P68">
        <v>7.8827270741705329</v>
      </c>
      <c r="R68">
        <v>5.1192055353986872</v>
      </c>
      <c r="S68">
        <v>30.632582761666857</v>
      </c>
      <c r="U68">
        <v>0.77396804713930334</v>
      </c>
      <c r="V68">
        <v>49.202583943000612</v>
      </c>
      <c r="W68">
        <v>15.310100915820055</v>
      </c>
      <c r="X68">
        <v>45.146974692393663</v>
      </c>
      <c r="Y68">
        <v>3.5881647075929726</v>
      </c>
      <c r="Z68">
        <v>17.917732334239972</v>
      </c>
      <c r="AB68">
        <v>30.670817341035779</v>
      </c>
      <c r="AE68">
        <v>6.4951448393592299</v>
      </c>
      <c r="AF68">
        <v>9.120652837470498</v>
      </c>
      <c r="AG68">
        <v>15.835420750309579</v>
      </c>
      <c r="AI68">
        <v>2.4841157621006951</v>
      </c>
      <c r="AK68">
        <v>26.895305246888892</v>
      </c>
    </row>
    <row r="69" spans="1:37" x14ac:dyDescent="0.2">
      <c r="A69">
        <v>68</v>
      </c>
      <c r="B69">
        <v>734</v>
      </c>
      <c r="C69">
        <v>255</v>
      </c>
      <c r="D69">
        <v>0.306965695278758</v>
      </c>
      <c r="E69">
        <v>188.71449965608869</v>
      </c>
      <c r="F69">
        <v>50.112014556644851</v>
      </c>
      <c r="G69">
        <v>69.620684823846972</v>
      </c>
      <c r="H69">
        <v>64.968051216889705</v>
      </c>
      <c r="J69">
        <v>20.867066197574143</v>
      </c>
      <c r="L69">
        <v>1.7476190702695531</v>
      </c>
      <c r="M69">
        <v>8.815495450216595</v>
      </c>
      <c r="N69">
        <v>2.5488768815434439</v>
      </c>
      <c r="O69">
        <v>5.5715515248105394</v>
      </c>
      <c r="P69">
        <v>7.8563999582266648</v>
      </c>
      <c r="R69">
        <v>4.5976131689479445</v>
      </c>
      <c r="S69">
        <v>31.244219002346167</v>
      </c>
      <c r="U69">
        <v>0.72902906586771787</v>
      </c>
      <c r="V69">
        <v>50.071462612002328</v>
      </c>
      <c r="W69">
        <v>14.494050531986352</v>
      </c>
      <c r="X69">
        <v>45.090372660329777</v>
      </c>
      <c r="Y69">
        <v>3.5362910650223642</v>
      </c>
      <c r="Z69">
        <v>17.995023775727567</v>
      </c>
      <c r="AB69">
        <v>31.329835560597559</v>
      </c>
      <c r="AE69">
        <v>6.5261848227577435</v>
      </c>
      <c r="AF69">
        <v>8.4516660084885924</v>
      </c>
      <c r="AG69">
        <v>16.464641090354281</v>
      </c>
      <c r="AI69">
        <v>2.4874754928312166</v>
      </c>
      <c r="AK69">
        <v>25.606097481851705</v>
      </c>
    </row>
    <row r="70" spans="1:37" x14ac:dyDescent="0.2">
      <c r="A70">
        <v>69</v>
      </c>
      <c r="B70">
        <v>732</v>
      </c>
      <c r="C70">
        <v>255</v>
      </c>
      <c r="D70">
        <v>0.30544744565487703</v>
      </c>
      <c r="E70">
        <v>188.91228941479281</v>
      </c>
      <c r="F70">
        <v>50.717437443086773</v>
      </c>
      <c r="G70">
        <v>69.583412522462623</v>
      </c>
      <c r="H70">
        <v>64.9265977123179</v>
      </c>
      <c r="J70">
        <v>19.614779367687913</v>
      </c>
      <c r="L70">
        <v>1.7672621169539524</v>
      </c>
      <c r="M70">
        <v>8.2182919979682296</v>
      </c>
      <c r="N70">
        <v>2.5528419633801138</v>
      </c>
      <c r="O70">
        <v>5.531233962277418</v>
      </c>
      <c r="P70">
        <v>7.8291590631628356</v>
      </c>
      <c r="R70">
        <v>4.1227564382333064</v>
      </c>
      <c r="S70">
        <v>31.781832372060737</v>
      </c>
      <c r="U70">
        <v>0.68414172056223554</v>
      </c>
      <c r="V70">
        <v>50.838270720993364</v>
      </c>
      <c r="W70">
        <v>13.747513363074285</v>
      </c>
      <c r="X70">
        <v>45.034729707795194</v>
      </c>
      <c r="Y70">
        <v>3.4918961156726884</v>
      </c>
      <c r="Z70">
        <v>18.060792065073485</v>
      </c>
      <c r="AB70">
        <v>31.91217352533884</v>
      </c>
      <c r="AE70">
        <v>6.551230336193127</v>
      </c>
      <c r="AF70">
        <v>7.852255669293303</v>
      </c>
      <c r="AG70">
        <v>17.017188206841801</v>
      </c>
      <c r="AI70">
        <v>2.4908281439398454</v>
      </c>
      <c r="AK70">
        <v>24.628595630194305</v>
      </c>
    </row>
    <row r="71" spans="1:37" x14ac:dyDescent="0.2">
      <c r="A71">
        <v>70</v>
      </c>
      <c r="B71">
        <v>730</v>
      </c>
      <c r="C71">
        <v>255</v>
      </c>
      <c r="D71">
        <v>0.30392314210237997</v>
      </c>
      <c r="E71">
        <v>189.08461080803156</v>
      </c>
      <c r="F71">
        <v>51.266641512892576</v>
      </c>
      <c r="G71">
        <v>69.545808819567981</v>
      </c>
      <c r="H71">
        <v>64.884866984226463</v>
      </c>
      <c r="J71">
        <v>18.632983476790692</v>
      </c>
      <c r="L71">
        <v>1.7851519405809269</v>
      </c>
      <c r="M71">
        <v>7.6718213708070175</v>
      </c>
      <c r="N71">
        <v>2.5568041762422014</v>
      </c>
      <c r="O71">
        <v>5.4885860275490987</v>
      </c>
      <c r="P71">
        <v>7.801285731575561</v>
      </c>
      <c r="R71">
        <v>3.6825794768188129</v>
      </c>
      <c r="S71">
        <v>32.266408299325391</v>
      </c>
      <c r="U71">
        <v>0.63919248963408315</v>
      </c>
      <c r="V71">
        <v>51.530654539305729</v>
      </c>
      <c r="W71">
        <v>13.051708889206298</v>
      </c>
      <c r="X71">
        <v>44.979714526294394</v>
      </c>
      <c r="Y71">
        <v>3.4529220962666844</v>
      </c>
      <c r="Z71">
        <v>18.118275907454532</v>
      </c>
      <c r="AB71">
        <v>32.438970748404586</v>
      </c>
      <c r="AE71">
        <v>6.5719631566654586</v>
      </c>
      <c r="AF71">
        <v>7.3035770452828848</v>
      </c>
      <c r="AG71">
        <v>17.514202389032445</v>
      </c>
      <c r="AI71">
        <v>2.4941744258183696</v>
      </c>
      <c r="AK71">
        <v>23.848360336137251</v>
      </c>
    </row>
    <row r="72" spans="1:37" x14ac:dyDescent="0.2">
      <c r="A72">
        <v>71</v>
      </c>
      <c r="B72">
        <v>760</v>
      </c>
      <c r="C72">
        <v>240</v>
      </c>
      <c r="D72">
        <v>0.34213860523641398</v>
      </c>
      <c r="E72">
        <v>180.66244895986318</v>
      </c>
      <c r="F72">
        <v>56.45621562326761</v>
      </c>
      <c r="G72">
        <v>70.875749067068682</v>
      </c>
      <c r="H72">
        <v>66.281644869649895</v>
      </c>
      <c r="J72">
        <v>44.746999787537291</v>
      </c>
      <c r="L72">
        <v>3.791350990750507</v>
      </c>
      <c r="M72">
        <v>13.742276622182059</v>
      </c>
      <c r="N72">
        <v>2.4537241614738443</v>
      </c>
      <c r="O72">
        <v>16.466595839613362</v>
      </c>
      <c r="P72">
        <v>9.6262190754417976</v>
      </c>
      <c r="Q72">
        <v>0.91412539749092914</v>
      </c>
      <c r="R72">
        <v>11.686408747428604</v>
      </c>
      <c r="S72">
        <v>36.35004557941447</v>
      </c>
      <c r="U72">
        <v>2.3103377257928841</v>
      </c>
      <c r="V72">
        <v>46.363806288579774</v>
      </c>
      <c r="W72">
        <v>23.027111877844842</v>
      </c>
      <c r="X72">
        <v>48.202600203546986</v>
      </c>
      <c r="Y72">
        <v>5.8452983381435768</v>
      </c>
      <c r="Z72">
        <v>28.116296190459085</v>
      </c>
      <c r="AA72">
        <v>2.7457708748983789</v>
      </c>
      <c r="AB72">
        <v>33.612357451502312</v>
      </c>
      <c r="AC72">
        <v>1.0911834583543917E-2</v>
      </c>
      <c r="AD72">
        <v>5.8743365273906356</v>
      </c>
      <c r="AE72">
        <v>11.950125250187826</v>
      </c>
      <c r="AF72">
        <v>13.409924242786985</v>
      </c>
      <c r="AG72">
        <v>19.156542642514772</v>
      </c>
      <c r="AH72">
        <v>4.0145266988498811</v>
      </c>
      <c r="AI72">
        <v>2.3980669031910793</v>
      </c>
      <c r="AK72">
        <v>41.930377341041499</v>
      </c>
    </row>
    <row r="73" spans="1:37" x14ac:dyDescent="0.2">
      <c r="A73">
        <v>72</v>
      </c>
      <c r="B73">
        <v>758</v>
      </c>
      <c r="C73">
        <v>240</v>
      </c>
      <c r="D73">
        <v>0.34072685836202499</v>
      </c>
      <c r="E73">
        <v>180.44147257846504</v>
      </c>
      <c r="F73">
        <v>55.785192563342086</v>
      </c>
      <c r="G73">
        <v>70.763189474442754</v>
      </c>
      <c r="H73">
        <v>66.164203163481105</v>
      </c>
      <c r="J73">
        <v>44.647600840207829</v>
      </c>
      <c r="L73">
        <v>3.6420458815508754</v>
      </c>
      <c r="M73">
        <v>13.625891553793867</v>
      </c>
      <c r="N73">
        <v>2.4464247366414962</v>
      </c>
      <c r="O73">
        <v>15.75650808098322</v>
      </c>
      <c r="P73">
        <v>9.4367125361519832</v>
      </c>
      <c r="Q73">
        <v>0.79026312010517608</v>
      </c>
      <c r="R73">
        <v>11.308121736001217</v>
      </c>
      <c r="S73">
        <v>35.583004937726422</v>
      </c>
      <c r="U73">
        <v>2.1655874905574302</v>
      </c>
      <c r="V73">
        <v>46.173587580720984</v>
      </c>
      <c r="W73">
        <v>22.655668129653382</v>
      </c>
      <c r="X73">
        <v>47.846901275417565</v>
      </c>
      <c r="Y73">
        <v>5.6889030622728187</v>
      </c>
      <c r="Z73">
        <v>27.753430913889854</v>
      </c>
      <c r="AA73">
        <v>2.5912312465924696</v>
      </c>
      <c r="AB73">
        <v>33.352314509666371</v>
      </c>
      <c r="AD73">
        <v>5.6696079210318366</v>
      </c>
      <c r="AE73">
        <v>11.785125459961252</v>
      </c>
      <c r="AF73">
        <v>13.280044906881324</v>
      </c>
      <c r="AG73">
        <v>18.855349537268363</v>
      </c>
      <c r="AH73">
        <v>3.7805456814295191</v>
      </c>
      <c r="AI73">
        <v>2.3902005646388602</v>
      </c>
      <c r="AK73">
        <v>41.941202046251085</v>
      </c>
    </row>
    <row r="74" spans="1:37" x14ac:dyDescent="0.2">
      <c r="A74">
        <v>73</v>
      </c>
      <c r="B74">
        <v>756</v>
      </c>
      <c r="C74">
        <v>240</v>
      </c>
      <c r="D74">
        <v>0.33930962444735902</v>
      </c>
      <c r="E74">
        <v>180.19438147305607</v>
      </c>
      <c r="F74">
        <v>55.026902849410803</v>
      </c>
      <c r="G74">
        <v>70.637579179481634</v>
      </c>
      <c r="H74">
        <v>66.033762726140708</v>
      </c>
      <c r="J74">
        <v>44.500730325372686</v>
      </c>
      <c r="L74">
        <v>3.4789233288073156</v>
      </c>
      <c r="M74">
        <v>13.472848549715538</v>
      </c>
      <c r="N74">
        <v>2.4503783283919547</v>
      </c>
      <c r="O74">
        <v>15.010558318765529</v>
      </c>
      <c r="P74">
        <v>9.2323884036322337</v>
      </c>
      <c r="Q74">
        <v>0.63937791698171254</v>
      </c>
      <c r="R74">
        <v>10.871404674197519</v>
      </c>
      <c r="S74">
        <v>34.635250917776858</v>
      </c>
      <c r="U74">
        <v>1.9890536074196039</v>
      </c>
      <c r="V74">
        <v>45.923022492243035</v>
      </c>
      <c r="W74">
        <v>22.21592173040094</v>
      </c>
      <c r="X74">
        <v>47.383679707113977</v>
      </c>
      <c r="Y74">
        <v>5.5129836587837717</v>
      </c>
      <c r="Z74">
        <v>27.342038894475195</v>
      </c>
      <c r="AA74">
        <v>2.4229994940299147</v>
      </c>
      <c r="AB74">
        <v>33.030161012489891</v>
      </c>
      <c r="AD74">
        <v>5.4328664176881967</v>
      </c>
      <c r="AE74">
        <v>11.601707346618069</v>
      </c>
      <c r="AF74">
        <v>13.124761827841548</v>
      </c>
      <c r="AG74">
        <v>18.50330893143764</v>
      </c>
      <c r="AH74">
        <v>3.5052968202357118</v>
      </c>
      <c r="AI74">
        <v>2.3935839337649742</v>
      </c>
      <c r="AK74">
        <v>41.934798643563106</v>
      </c>
    </row>
    <row r="75" spans="1:37" x14ac:dyDescent="0.2">
      <c r="A75">
        <v>74</v>
      </c>
      <c r="B75">
        <v>754</v>
      </c>
      <c r="C75">
        <v>240</v>
      </c>
      <c r="D75">
        <v>0.33788687144039198</v>
      </c>
      <c r="E75">
        <v>179.94788304925794</v>
      </c>
      <c r="F75">
        <v>54.271293207609936</v>
      </c>
      <c r="G75">
        <v>70.512289711881934</v>
      </c>
      <c r="H75">
        <v>65.90369525354825</v>
      </c>
      <c r="J75">
        <v>44.356200406342978</v>
      </c>
      <c r="L75">
        <v>3.3164392246613459</v>
      </c>
      <c r="M75">
        <v>13.320370934616136</v>
      </c>
      <c r="N75">
        <v>2.454331419115316</v>
      </c>
      <c r="O75">
        <v>14.266990521118439</v>
      </c>
      <c r="P75">
        <v>9.028736400647837</v>
      </c>
      <c r="Q75">
        <v>0.48882804362949572</v>
      </c>
      <c r="R75">
        <v>10.436055242585377</v>
      </c>
      <c r="S75">
        <v>33.691080140905761</v>
      </c>
      <c r="U75">
        <v>1.812770676671065</v>
      </c>
      <c r="V75">
        <v>45.673257046082092</v>
      </c>
      <c r="W75">
        <v>21.777270374817718</v>
      </c>
      <c r="X75">
        <v>46.922102287098866</v>
      </c>
      <c r="Y75">
        <v>5.3376443245586476</v>
      </c>
      <c r="Z75">
        <v>26.931827879147168</v>
      </c>
      <c r="AA75">
        <v>2.2554101887087161</v>
      </c>
      <c r="AB75">
        <v>32.70908748561105</v>
      </c>
      <c r="AD75">
        <v>5.1965936698878838</v>
      </c>
      <c r="AE75">
        <v>11.418795021814187</v>
      </c>
      <c r="AF75">
        <v>12.970044857463943</v>
      </c>
      <c r="AG75">
        <v>18.15235788028254</v>
      </c>
      <c r="AH75">
        <v>3.2309314409426149</v>
      </c>
      <c r="AI75">
        <v>2.3969634782520708</v>
      </c>
      <c r="AK75">
        <v>41.929619554111902</v>
      </c>
    </row>
    <row r="76" spans="1:37" x14ac:dyDescent="0.2">
      <c r="A76">
        <v>75</v>
      </c>
      <c r="B76">
        <v>752</v>
      </c>
      <c r="C76">
        <v>240</v>
      </c>
      <c r="D76">
        <v>0.33645856703896998</v>
      </c>
      <c r="E76">
        <v>179.70197395291882</v>
      </c>
      <c r="F76">
        <v>53.518350359680745</v>
      </c>
      <c r="G76">
        <v>70.387319799097085</v>
      </c>
      <c r="H76">
        <v>65.77399964003061</v>
      </c>
      <c r="J76">
        <v>44.214006977330484</v>
      </c>
      <c r="L76">
        <v>3.1545383146913335</v>
      </c>
      <c r="M76">
        <v>13.168455115547461</v>
      </c>
      <c r="N76">
        <v>2.4582840135071908</v>
      </c>
      <c r="O76">
        <v>13.525794497340204</v>
      </c>
      <c r="P76">
        <v>8.8257541687980581</v>
      </c>
      <c r="Q76">
        <v>0.33861143425960938</v>
      </c>
      <c r="R76">
        <v>10.002064579256867</v>
      </c>
      <c r="S76">
        <v>32.750471024034908</v>
      </c>
      <c r="U76">
        <v>1.6367359399065986</v>
      </c>
      <c r="V76">
        <v>45.424285577868595</v>
      </c>
      <c r="W76">
        <v>21.339707170707701</v>
      </c>
      <c r="X76">
        <v>46.462157346603043</v>
      </c>
      <c r="Y76">
        <v>5.1628818084620383</v>
      </c>
      <c r="Z76">
        <v>26.522791338852002</v>
      </c>
      <c r="AA76">
        <v>2.088460259047606</v>
      </c>
      <c r="AB76">
        <v>32.389087374259795</v>
      </c>
      <c r="AD76">
        <v>4.9607892458339018</v>
      </c>
      <c r="AE76">
        <v>11.236385472768927</v>
      </c>
      <c r="AF76">
        <v>12.81589045243375</v>
      </c>
      <c r="AG76">
        <v>17.802489881261813</v>
      </c>
      <c r="AH76">
        <v>2.9574464929093258</v>
      </c>
      <c r="AI76">
        <v>2.4003391880840081</v>
      </c>
      <c r="AK76">
        <v>41.925663768951949</v>
      </c>
    </row>
    <row r="77" spans="1:37" x14ac:dyDescent="0.2">
      <c r="A77">
        <v>76</v>
      </c>
      <c r="B77">
        <v>750</v>
      </c>
      <c r="C77">
        <v>240</v>
      </c>
      <c r="D77">
        <v>0.335024678688366</v>
      </c>
      <c r="E77">
        <v>179.45665089361816</v>
      </c>
      <c r="F77">
        <v>52.768061324612376</v>
      </c>
      <c r="G77">
        <v>70.262668202369426</v>
      </c>
      <c r="H77">
        <v>65.644674814351788</v>
      </c>
      <c r="J77">
        <v>44.07414605792367</v>
      </c>
      <c r="L77">
        <v>2.9933126705827964</v>
      </c>
      <c r="M77">
        <v>13.017097561314058</v>
      </c>
      <c r="N77">
        <v>2.4622361162743682</v>
      </c>
      <c r="O77">
        <v>12.786960290995181</v>
      </c>
      <c r="P77">
        <v>8.6234394182759413</v>
      </c>
      <c r="Q77">
        <v>0.18872790736748823</v>
      </c>
      <c r="R77">
        <v>9.5694239949332385</v>
      </c>
      <c r="S77">
        <v>31.813402344308194</v>
      </c>
      <c r="U77">
        <v>1.4609467014397644</v>
      </c>
      <c r="V77">
        <v>45.176102424587675</v>
      </c>
      <c r="W77">
        <v>20.903225355061938</v>
      </c>
      <c r="X77">
        <v>46.003833398642932</v>
      </c>
      <c r="Y77">
        <v>4.9886929356094196</v>
      </c>
      <c r="Z77">
        <v>26.114922891745557</v>
      </c>
      <c r="AA77">
        <v>1.9221466941193066</v>
      </c>
      <c r="AB77">
        <v>32.070154251356691</v>
      </c>
      <c r="AD77">
        <v>4.7254527504555783</v>
      </c>
      <c r="AE77">
        <v>11.054475753373358</v>
      </c>
      <c r="AF77">
        <v>12.662295131403157</v>
      </c>
      <c r="AG77">
        <v>17.453698559836816</v>
      </c>
      <c r="AH77">
        <v>2.6848390222716687</v>
      </c>
      <c r="AI77">
        <v>2.4037110532524446</v>
      </c>
      <c r="AK77">
        <v>41.922930340536112</v>
      </c>
    </row>
    <row r="78" spans="1:37" x14ac:dyDescent="0.2">
      <c r="A78">
        <v>77</v>
      </c>
      <c r="B78">
        <v>748</v>
      </c>
      <c r="C78">
        <v>240</v>
      </c>
      <c r="D78">
        <v>0.33358517357881101</v>
      </c>
      <c r="E78">
        <v>179.21191064322568</v>
      </c>
      <c r="F78">
        <v>52.02041341287913</v>
      </c>
      <c r="G78">
        <v>70.138333716086663</v>
      </c>
      <c r="H78">
        <v>65.515719739076772</v>
      </c>
      <c r="J78">
        <v>43.936613790170583</v>
      </c>
      <c r="L78">
        <v>2.8327194770772621</v>
      </c>
      <c r="M78">
        <v>12.866294801113714</v>
      </c>
      <c r="N78">
        <v>2.4661877321492467</v>
      </c>
      <c r="O78">
        <v>12.050478175721498</v>
      </c>
      <c r="P78">
        <v>8.4217899266156699</v>
      </c>
      <c r="Q78">
        <v>3.9178230844354574E-2</v>
      </c>
      <c r="R78">
        <v>9.1381249698871638</v>
      </c>
      <c r="S78">
        <v>30.879853231059965</v>
      </c>
      <c r="U78">
        <v>1.2854003270915295</v>
      </c>
      <c r="V78">
        <v>44.92870191710071</v>
      </c>
      <c r="W78">
        <v>20.467818291555279</v>
      </c>
      <c r="X78">
        <v>45.547119133040987</v>
      </c>
      <c r="Y78">
        <v>4.8150746062745124</v>
      </c>
      <c r="Z78">
        <v>25.708216301032767</v>
      </c>
      <c r="AA78">
        <v>1.7564665434886628</v>
      </c>
      <c r="AB78">
        <v>31.752281815139888</v>
      </c>
      <c r="AD78">
        <v>4.4905838261491633</v>
      </c>
      <c r="AE78">
        <v>10.873062983193094</v>
      </c>
      <c r="AF78">
        <v>12.509255473648331</v>
      </c>
      <c r="AG78">
        <v>17.10597766711852</v>
      </c>
      <c r="AH78">
        <v>2.4131061730552825</v>
      </c>
      <c r="AI78">
        <v>2.4070790637715072</v>
      </c>
      <c r="AK78">
        <v>41.921418381202209</v>
      </c>
    </row>
    <row r="79" spans="1:37" x14ac:dyDescent="0.2">
      <c r="A79">
        <v>78</v>
      </c>
      <c r="B79">
        <v>746</v>
      </c>
      <c r="C79">
        <v>240</v>
      </c>
      <c r="D79">
        <v>0.33214001864298798</v>
      </c>
      <c r="E79">
        <v>178.8512979882361</v>
      </c>
      <c r="F79">
        <v>50.496889673603839</v>
      </c>
      <c r="G79">
        <v>69.875822527063875</v>
      </c>
      <c r="H79">
        <v>65.248640769856848</v>
      </c>
      <c r="J79">
        <v>43.676800020485246</v>
      </c>
      <c r="L79">
        <v>2.4420562010869764</v>
      </c>
      <c r="M79">
        <v>12.828007690240678</v>
      </c>
      <c r="N79">
        <v>2.470127309299861</v>
      </c>
      <c r="O79">
        <v>10.416231427533019</v>
      </c>
      <c r="P79">
        <v>7.9438067006696214</v>
      </c>
      <c r="R79">
        <v>8.5599612713611215</v>
      </c>
      <c r="S79">
        <v>30.228163504087707</v>
      </c>
      <c r="U79">
        <v>1.1868415299139878</v>
      </c>
      <c r="V79">
        <v>44.950955103855534</v>
      </c>
      <c r="W79">
        <v>20.019189309660991</v>
      </c>
      <c r="X79">
        <v>45.332171253298995</v>
      </c>
      <c r="Y79">
        <v>4.3732502411809779</v>
      </c>
      <c r="Z79">
        <v>24.901851861681422</v>
      </c>
      <c r="AA79">
        <v>1.3470033564716068</v>
      </c>
      <c r="AB79">
        <v>31.608767688805784</v>
      </c>
      <c r="AD79">
        <v>4.0028013747300157</v>
      </c>
      <c r="AE79">
        <v>10.56204492529413</v>
      </c>
      <c r="AF79">
        <v>12.4687208281801</v>
      </c>
      <c r="AG79">
        <v>16.932613322922364</v>
      </c>
      <c r="AH79">
        <v>1.7483180767067474</v>
      </c>
      <c r="AI79">
        <v>2.4104316530888616</v>
      </c>
      <c r="AK79">
        <v>41.736925562701373</v>
      </c>
    </row>
    <row r="80" spans="1:37" x14ac:dyDescent="0.2">
      <c r="A80">
        <v>79</v>
      </c>
      <c r="B80">
        <v>744</v>
      </c>
      <c r="C80">
        <v>240</v>
      </c>
      <c r="D80">
        <v>0.33068918055350899</v>
      </c>
      <c r="E80">
        <v>178.78457179514101</v>
      </c>
      <c r="F80">
        <v>48.262891108740725</v>
      </c>
      <c r="G80">
        <v>69.697487505074008</v>
      </c>
      <c r="H80">
        <v>65.06579094596475</v>
      </c>
      <c r="J80">
        <v>37.545484363572058</v>
      </c>
      <c r="L80">
        <v>1.5846571293416418</v>
      </c>
      <c r="M80">
        <v>12.448746759154879</v>
      </c>
      <c r="N80">
        <v>2.4740877552302178</v>
      </c>
      <c r="O80">
        <v>6.210947248427404</v>
      </c>
      <c r="P80">
        <v>7.634228573574406</v>
      </c>
      <c r="R80">
        <v>7.3772683605614269</v>
      </c>
      <c r="S80">
        <v>28.707033657142215</v>
      </c>
      <c r="U80">
        <v>1.1273972066081572</v>
      </c>
      <c r="V80">
        <v>45.472719228048767</v>
      </c>
      <c r="W80">
        <v>19.290750327808087</v>
      </c>
      <c r="X80">
        <v>45.235482699761789</v>
      </c>
      <c r="Y80">
        <v>3.6474390245434085</v>
      </c>
      <c r="Z80">
        <v>21.482902010135632</v>
      </c>
      <c r="AB80">
        <v>30.292509444718796</v>
      </c>
      <c r="AD80">
        <v>2.2053391626075793</v>
      </c>
      <c r="AE80">
        <v>8.7001801662584892</v>
      </c>
      <c r="AF80">
        <v>12.087234678718387</v>
      </c>
      <c r="AG80">
        <v>15.586536055874411</v>
      </c>
      <c r="AI80">
        <v>2.4138017139858188</v>
      </c>
      <c r="AK80">
        <v>37.511914872169683</v>
      </c>
    </row>
    <row r="81" spans="1:37" x14ac:dyDescent="0.2">
      <c r="A81">
        <v>80</v>
      </c>
      <c r="B81">
        <v>742</v>
      </c>
      <c r="C81">
        <v>240</v>
      </c>
      <c r="D81">
        <v>0.32923262572033701</v>
      </c>
      <c r="E81">
        <v>179.48632653264249</v>
      </c>
      <c r="F81">
        <v>48.247912574269947</v>
      </c>
      <c r="G81">
        <v>69.877859093685515</v>
      </c>
      <c r="H81">
        <v>65.241700881133212</v>
      </c>
      <c r="J81">
        <v>28.354969415483733</v>
      </c>
      <c r="L81">
        <v>1.6548017190385218</v>
      </c>
      <c r="M81">
        <v>11.278271290303014</v>
      </c>
      <c r="N81">
        <v>2.478096540685812</v>
      </c>
      <c r="O81">
        <v>5.8322819349460433</v>
      </c>
      <c r="P81">
        <v>8.0421440903422994</v>
      </c>
      <c r="R81">
        <v>6.7479909056535012</v>
      </c>
      <c r="S81">
        <v>29.681163536520224</v>
      </c>
      <c r="U81">
        <v>1.0830293402058673</v>
      </c>
      <c r="V81">
        <v>47.104474274807373</v>
      </c>
      <c r="W81">
        <v>17.969051195129754</v>
      </c>
      <c r="X81">
        <v>45.179273765590324</v>
      </c>
      <c r="Y81">
        <v>3.7010828098109303</v>
      </c>
      <c r="Z81">
        <v>17.704303797743453</v>
      </c>
      <c r="AB81">
        <v>29.164559988122512</v>
      </c>
      <c r="AD81">
        <v>0.36305847445483341</v>
      </c>
      <c r="AE81">
        <v>6.4441280926210016</v>
      </c>
      <c r="AF81">
        <v>10.914583824419065</v>
      </c>
      <c r="AG81">
        <v>14.42882629104038</v>
      </c>
      <c r="AI81">
        <v>2.4172167024848275</v>
      </c>
      <c r="AK81">
        <v>31.053114917089442</v>
      </c>
    </row>
    <row r="82" spans="1:37" x14ac:dyDescent="0.2">
      <c r="A82">
        <v>81</v>
      </c>
      <c r="B82">
        <v>740</v>
      </c>
      <c r="C82">
        <v>240</v>
      </c>
      <c r="D82">
        <v>0.32777032028821201</v>
      </c>
      <c r="E82">
        <v>179.84944771344391</v>
      </c>
      <c r="F82">
        <v>49.194627099371189</v>
      </c>
      <c r="G82">
        <v>69.846381040364861</v>
      </c>
      <c r="H82">
        <v>65.205814493665372</v>
      </c>
      <c r="J82">
        <v>24.464709108546089</v>
      </c>
      <c r="L82">
        <v>1.6869833464064394</v>
      </c>
      <c r="M82">
        <v>10.365889371407018</v>
      </c>
      <c r="N82">
        <v>2.4820784668739075</v>
      </c>
      <c r="O82">
        <v>5.8004079565055173</v>
      </c>
      <c r="P82">
        <v>8.0263657352928846</v>
      </c>
      <c r="R82">
        <v>6.0628890644955735</v>
      </c>
      <c r="S82">
        <v>30.517009771987748</v>
      </c>
      <c r="U82">
        <v>1.0405851541887938</v>
      </c>
      <c r="V82">
        <v>48.321877114536811</v>
      </c>
      <c r="W82">
        <v>16.904499661363143</v>
      </c>
      <c r="X82">
        <v>45.129518119602182</v>
      </c>
      <c r="Y82">
        <v>3.6229725664350729</v>
      </c>
      <c r="Z82">
        <v>17.764954496968159</v>
      </c>
      <c r="AB82">
        <v>30.042654327876015</v>
      </c>
      <c r="AE82">
        <v>6.4626096017089587</v>
      </c>
      <c r="AF82">
        <v>10.00000120037758</v>
      </c>
      <c r="AG82">
        <v>15.27714388787197</v>
      </c>
      <c r="AI82">
        <v>2.420601405068592</v>
      </c>
      <c r="AK82">
        <v>28.217182552747651</v>
      </c>
    </row>
    <row r="83" spans="1:37" x14ac:dyDescent="0.2">
      <c r="A83">
        <v>82</v>
      </c>
      <c r="B83">
        <v>738</v>
      </c>
      <c r="C83">
        <v>240</v>
      </c>
      <c r="D83">
        <v>0.326302230134007</v>
      </c>
      <c r="E83">
        <v>180.12594667249047</v>
      </c>
      <c r="F83">
        <v>49.974265132615947</v>
      </c>
      <c r="G83">
        <v>69.810080941829284</v>
      </c>
      <c r="H83">
        <v>65.16515955178896</v>
      </c>
      <c r="J83">
        <v>22.160829702809632</v>
      </c>
      <c r="L83">
        <v>1.7120855012790526</v>
      </c>
      <c r="M83">
        <v>9.615431091339353</v>
      </c>
      <c r="N83">
        <v>2.4860535001311703</v>
      </c>
      <c r="O83">
        <v>5.7617476081813406</v>
      </c>
      <c r="P83">
        <v>8.0009688574334188</v>
      </c>
      <c r="R83">
        <v>5.4817704454129359</v>
      </c>
      <c r="S83">
        <v>31.194604572158724</v>
      </c>
      <c r="U83">
        <v>0.9970096991379539</v>
      </c>
      <c r="V83">
        <v>49.307469307207676</v>
      </c>
      <c r="W83">
        <v>16.002390731512051</v>
      </c>
      <c r="X83">
        <v>45.077354554420154</v>
      </c>
      <c r="Y83">
        <v>3.5602887700695449</v>
      </c>
      <c r="Z83">
        <v>17.857504533482608</v>
      </c>
      <c r="AB83">
        <v>30.784170796147862</v>
      </c>
      <c r="AE83">
        <v>6.5017094859221398</v>
      </c>
      <c r="AF83">
        <v>9.2473369081822252</v>
      </c>
      <c r="AG83">
        <v>15.988887194581656</v>
      </c>
      <c r="AI83">
        <v>2.4239757733496856</v>
      </c>
      <c r="AK83">
        <v>26.491097986924686</v>
      </c>
    </row>
    <row r="84" spans="1:37" x14ac:dyDescent="0.2">
      <c r="A84">
        <v>83</v>
      </c>
      <c r="B84">
        <v>736</v>
      </c>
      <c r="C84">
        <v>240</v>
      </c>
      <c r="D84">
        <v>0.32482832086409602</v>
      </c>
      <c r="E84">
        <v>180.35324733429835</v>
      </c>
      <c r="F84">
        <v>50.644782149872412</v>
      </c>
      <c r="G84">
        <v>69.773059379011656</v>
      </c>
      <c r="H84">
        <v>65.123836808625867</v>
      </c>
      <c r="J84">
        <v>20.563178362397306</v>
      </c>
      <c r="L84">
        <v>1.7334376247212822</v>
      </c>
      <c r="M84">
        <v>8.9612764528056363</v>
      </c>
      <c r="N84">
        <v>2.4900241106116834</v>
      </c>
      <c r="O84">
        <v>5.7164505144439302</v>
      </c>
      <c r="P84">
        <v>7.9741572790837623</v>
      </c>
      <c r="R84">
        <v>4.9655456806617373</v>
      </c>
      <c r="S84">
        <v>31.775992382958428</v>
      </c>
      <c r="U84">
        <v>0.95281466473523646</v>
      </c>
      <c r="V84">
        <v>50.154673274165141</v>
      </c>
      <c r="W84">
        <v>15.196853852760286</v>
      </c>
      <c r="X84">
        <v>45.024241345599386</v>
      </c>
      <c r="Y84">
        <v>3.5082367866413846</v>
      </c>
      <c r="Z84">
        <v>17.933514285665908</v>
      </c>
      <c r="AB84">
        <v>31.423000548611242</v>
      </c>
      <c r="AE84">
        <v>6.5322284237079007</v>
      </c>
      <c r="AF84">
        <v>8.5909734672772196</v>
      </c>
      <c r="AG84">
        <v>16.597949887026196</v>
      </c>
      <c r="AI84">
        <v>2.4273422627586791</v>
      </c>
      <c r="AK84">
        <v>25.267062214214587</v>
      </c>
    </row>
    <row r="85" spans="1:37" x14ac:dyDescent="0.2">
      <c r="A85">
        <v>84</v>
      </c>
      <c r="B85">
        <v>734</v>
      </c>
      <c r="C85">
        <v>240</v>
      </c>
      <c r="D85">
        <v>0.32334855781164801</v>
      </c>
      <c r="E85">
        <v>180.54718654511046</v>
      </c>
      <c r="F85">
        <v>51.241461370103664</v>
      </c>
      <c r="G85">
        <v>69.735571562083251</v>
      </c>
      <c r="H85">
        <v>65.082101647218963</v>
      </c>
      <c r="J85">
        <v>19.361427610134012</v>
      </c>
      <c r="L85">
        <v>1.7523862231197744</v>
      </c>
      <c r="M85">
        <v>8.3726496471311123</v>
      </c>
      <c r="N85">
        <v>2.493991386383335</v>
      </c>
      <c r="O85">
        <v>5.6674984790087368</v>
      </c>
      <c r="P85">
        <v>7.9464427000270677</v>
      </c>
      <c r="R85">
        <v>4.4941006034770936</v>
      </c>
      <c r="S85">
        <v>32.291970656571451</v>
      </c>
      <c r="U85">
        <v>0.90819404077112065</v>
      </c>
      <c r="V85">
        <v>50.907265540004943</v>
      </c>
      <c r="W85">
        <v>14.457022359441623</v>
      </c>
      <c r="X85">
        <v>44.97072906457241</v>
      </c>
      <c r="Y85">
        <v>3.4633734504333487</v>
      </c>
      <c r="Z85">
        <v>17.998475718226754</v>
      </c>
      <c r="AB85">
        <v>31.99182520409332</v>
      </c>
      <c r="AE85">
        <v>6.5570078677757566</v>
      </c>
      <c r="AF85">
        <v>8.0001362038537298</v>
      </c>
      <c r="AG85">
        <v>17.137014722451195</v>
      </c>
      <c r="AI85">
        <v>2.4307019466412307</v>
      </c>
      <c r="AK85">
        <v>24.328243697954584</v>
      </c>
    </row>
    <row r="86" spans="1:37" x14ac:dyDescent="0.2">
      <c r="A86">
        <v>85</v>
      </c>
      <c r="B86">
        <v>732</v>
      </c>
      <c r="C86">
        <v>240</v>
      </c>
      <c r="D86">
        <v>0.32186290603392398</v>
      </c>
      <c r="E86">
        <v>180.71657520554683</v>
      </c>
      <c r="F86">
        <v>51.783909573195409</v>
      </c>
      <c r="G86">
        <v>69.697758103376202</v>
      </c>
      <c r="H86">
        <v>65.040094853458399</v>
      </c>
      <c r="J86">
        <v>18.41177356420641</v>
      </c>
      <c r="L86">
        <v>1.7695885092517747</v>
      </c>
      <c r="M86">
        <v>7.8323952431422779</v>
      </c>
      <c r="N86">
        <v>2.4979559590224136</v>
      </c>
      <c r="O86">
        <v>5.6165368739271244</v>
      </c>
      <c r="P86">
        <v>7.9181071689539317</v>
      </c>
      <c r="R86">
        <v>4.0561754796886973</v>
      </c>
      <c r="S86">
        <v>32.759849580108295</v>
      </c>
      <c r="U86">
        <v>0.86324124805330016</v>
      </c>
      <c r="V86">
        <v>51.589711022024588</v>
      </c>
      <c r="W86">
        <v>13.76569924632286</v>
      </c>
      <c r="X86">
        <v>44.917080917134697</v>
      </c>
      <c r="Y86">
        <v>3.4237888645137939</v>
      </c>
      <c r="Z86">
        <v>18.055407569917083</v>
      </c>
      <c r="AB86">
        <v>32.508925795705373</v>
      </c>
      <c r="AE86">
        <v>6.5776094276392989</v>
      </c>
      <c r="AF86">
        <v>7.4576703653210608</v>
      </c>
      <c r="AG86">
        <v>17.624363416220852</v>
      </c>
      <c r="AI86">
        <v>2.4340554418532601</v>
      </c>
      <c r="AK86">
        <v>23.573200362619257</v>
      </c>
    </row>
    <row r="87" spans="1:37" x14ac:dyDescent="0.2">
      <c r="A87">
        <v>86</v>
      </c>
      <c r="B87">
        <v>760</v>
      </c>
      <c r="C87">
        <v>225</v>
      </c>
      <c r="D87">
        <v>0.35810918066108399</v>
      </c>
      <c r="E87">
        <v>171.91000495773568</v>
      </c>
      <c r="F87">
        <v>56.157012690288397</v>
      </c>
      <c r="G87">
        <v>70.878981979445555</v>
      </c>
      <c r="H87">
        <v>66.284203505521177</v>
      </c>
      <c r="J87">
        <v>44.487814841748474</v>
      </c>
      <c r="L87">
        <v>3.7349450042147039</v>
      </c>
      <c r="M87">
        <v>13.728243462740979</v>
      </c>
      <c r="N87">
        <v>2.3965889648288137</v>
      </c>
      <c r="O87">
        <v>16.572411384459304</v>
      </c>
      <c r="P87">
        <v>9.4908567194004547</v>
      </c>
      <c r="Q87">
        <v>0.6647192429591785</v>
      </c>
      <c r="R87">
        <v>11.709414908915907</v>
      </c>
      <c r="S87">
        <v>36.119198105280354</v>
      </c>
      <c r="U87">
        <v>2.2549638568283221</v>
      </c>
      <c r="V87">
        <v>46.0443124718268</v>
      </c>
      <c r="W87">
        <v>23.38670779684314</v>
      </c>
      <c r="X87">
        <v>47.301926042353422</v>
      </c>
      <c r="Y87">
        <v>5.7288080324298694</v>
      </c>
      <c r="Z87">
        <v>28.10440317214492</v>
      </c>
      <c r="AA87">
        <v>2.7053177379213014</v>
      </c>
      <c r="AB87">
        <v>33.634236759646868</v>
      </c>
      <c r="AC87">
        <v>8.7233234448933668E-3</v>
      </c>
      <c r="AD87">
        <v>5.8604352419372541</v>
      </c>
      <c r="AE87">
        <v>12.060476976715153</v>
      </c>
      <c r="AF87">
        <v>13.385014764288831</v>
      </c>
      <c r="AG87">
        <v>19.186035323724465</v>
      </c>
      <c r="AH87">
        <v>3.7248222992835274</v>
      </c>
      <c r="AI87">
        <v>2.3390475313861967</v>
      </c>
      <c r="AK87">
        <v>41.711081229103883</v>
      </c>
    </row>
    <row r="88" spans="1:37" x14ac:dyDescent="0.2">
      <c r="A88">
        <v>87</v>
      </c>
      <c r="B88">
        <v>758</v>
      </c>
      <c r="C88">
        <v>225</v>
      </c>
      <c r="D88">
        <v>0.356728410027642</v>
      </c>
      <c r="E88">
        <v>171.68474541407815</v>
      </c>
      <c r="F88">
        <v>55.471952853645583</v>
      </c>
      <c r="G88">
        <v>70.764127377574226</v>
      </c>
      <c r="H88">
        <v>66.164454584362346</v>
      </c>
      <c r="J88">
        <v>44.379334709228424</v>
      </c>
      <c r="L88">
        <v>3.5836181342287454</v>
      </c>
      <c r="M88">
        <v>13.605672577892964</v>
      </c>
      <c r="N88">
        <v>2.3914905689608315</v>
      </c>
      <c r="O88">
        <v>15.856119340821495</v>
      </c>
      <c r="P88">
        <v>9.2989495117463896</v>
      </c>
      <c r="Q88">
        <v>0.5364069607001295</v>
      </c>
      <c r="R88">
        <v>11.321624752404263</v>
      </c>
      <c r="S88">
        <v>35.320491587475665</v>
      </c>
      <c r="U88">
        <v>2.1044062494769533</v>
      </c>
      <c r="V88">
        <v>45.844028231036582</v>
      </c>
      <c r="W88">
        <v>23.002852477192182</v>
      </c>
      <c r="X88">
        <v>46.928678668650143</v>
      </c>
      <c r="Y88">
        <v>5.5690631905535097</v>
      </c>
      <c r="Z88">
        <v>27.734020392212827</v>
      </c>
      <c r="AA88">
        <v>2.5487747818697897</v>
      </c>
      <c r="AB88">
        <v>33.36364442108021</v>
      </c>
      <c r="AD88">
        <v>5.650865481941131</v>
      </c>
      <c r="AE88">
        <v>11.892594013851841</v>
      </c>
      <c r="AF88">
        <v>13.25114641421653</v>
      </c>
      <c r="AG88">
        <v>18.876533310320312</v>
      </c>
      <c r="AH88">
        <v>3.4835942016992543</v>
      </c>
      <c r="AI88">
        <v>2.3333835750991021</v>
      </c>
      <c r="AK88">
        <v>41.718893528333091</v>
      </c>
    </row>
    <row r="89" spans="1:37" x14ac:dyDescent="0.2">
      <c r="A89">
        <v>88</v>
      </c>
      <c r="B89">
        <v>756</v>
      </c>
      <c r="C89">
        <v>225</v>
      </c>
      <c r="D89">
        <v>0.35534227274935698</v>
      </c>
      <c r="E89">
        <v>171.4384811265229</v>
      </c>
      <c r="F89">
        <v>54.717319330862409</v>
      </c>
      <c r="G89">
        <v>70.638835429122935</v>
      </c>
      <c r="H89">
        <v>66.034320293470088</v>
      </c>
      <c r="J89">
        <v>44.232855524564222</v>
      </c>
      <c r="L89">
        <v>3.4213139577825786</v>
      </c>
      <c r="M89">
        <v>13.45374065896293</v>
      </c>
      <c r="N89">
        <v>2.3954470558589458</v>
      </c>
      <c r="O89">
        <v>15.111733138217344</v>
      </c>
      <c r="P89">
        <v>9.0952532810592146</v>
      </c>
      <c r="Q89">
        <v>0.38639795374496222</v>
      </c>
      <c r="R89">
        <v>10.887135164369587</v>
      </c>
      <c r="S89">
        <v>34.377242630496752</v>
      </c>
      <c r="U89">
        <v>1.9282246905348608</v>
      </c>
      <c r="V89">
        <v>45.595245078657236</v>
      </c>
      <c r="W89">
        <v>22.564378146630187</v>
      </c>
      <c r="X89">
        <v>46.468957240334539</v>
      </c>
      <c r="Y89">
        <v>5.3937684557735599</v>
      </c>
      <c r="Z89">
        <v>27.325437679085361</v>
      </c>
      <c r="AA89">
        <v>2.3814016348147709</v>
      </c>
      <c r="AB89">
        <v>33.043648462550095</v>
      </c>
      <c r="AD89">
        <v>5.4159244617261617</v>
      </c>
      <c r="AE89">
        <v>11.710321915352724</v>
      </c>
      <c r="AF89">
        <v>13.096973103284986</v>
      </c>
      <c r="AG89">
        <v>18.526692597893152</v>
      </c>
      <c r="AH89">
        <v>3.2094218913850758</v>
      </c>
      <c r="AI89">
        <v>2.3367711926738632</v>
      </c>
      <c r="AK89">
        <v>41.712899439771817</v>
      </c>
    </row>
    <row r="90" spans="1:37" x14ac:dyDescent="0.2">
      <c r="A90">
        <v>89</v>
      </c>
      <c r="B90">
        <v>754</v>
      </c>
      <c r="C90">
        <v>225</v>
      </c>
      <c r="D90">
        <v>0.35395073747748601</v>
      </c>
      <c r="E90">
        <v>171.19279401502121</v>
      </c>
      <c r="F90">
        <v>53.965310102327642</v>
      </c>
      <c r="G90">
        <v>70.513857755630326</v>
      </c>
      <c r="H90">
        <v>65.904552420607345</v>
      </c>
      <c r="J90">
        <v>44.088684584401868</v>
      </c>
      <c r="L90">
        <v>3.2596351512432302</v>
      </c>
      <c r="M90">
        <v>13.302361750303364</v>
      </c>
      <c r="N90">
        <v>2.3994030448795796</v>
      </c>
      <c r="O90">
        <v>14.369685600856108</v>
      </c>
      <c r="P90">
        <v>8.8922160707740439</v>
      </c>
      <c r="Q90">
        <v>0.23672486723537475</v>
      </c>
      <c r="R90">
        <v>10.45398087058474</v>
      </c>
      <c r="S90">
        <v>33.437497660570386</v>
      </c>
      <c r="U90">
        <v>1.7522748509707458</v>
      </c>
      <c r="V90">
        <v>45.347240375916066</v>
      </c>
      <c r="W90">
        <v>22.126978061829291</v>
      </c>
      <c r="X90">
        <v>46.010835118515949</v>
      </c>
      <c r="Y90">
        <v>5.2190395391470883</v>
      </c>
      <c r="Z90">
        <v>26.918020879820851</v>
      </c>
      <c r="AA90">
        <v>2.2146578744054861</v>
      </c>
      <c r="AB90">
        <v>32.724715010207689</v>
      </c>
      <c r="AD90">
        <v>5.1814362925937596</v>
      </c>
      <c r="AE90">
        <v>11.528550469000949</v>
      </c>
      <c r="AF90">
        <v>12.943353539938022</v>
      </c>
      <c r="AG90">
        <v>18.177923979180253</v>
      </c>
      <c r="AH90">
        <v>2.9361140682316984</v>
      </c>
      <c r="AI90">
        <v>2.3401549887591075</v>
      </c>
      <c r="AK90">
        <v>41.708111651168366</v>
      </c>
    </row>
    <row r="91" spans="1:37" x14ac:dyDescent="0.2">
      <c r="A91">
        <v>90</v>
      </c>
      <c r="B91">
        <v>752</v>
      </c>
      <c r="C91">
        <v>225</v>
      </c>
      <c r="D91">
        <v>0.35255377261864101</v>
      </c>
      <c r="E91">
        <v>170.94768082578389</v>
      </c>
      <c r="F91">
        <v>53.21591253346871</v>
      </c>
      <c r="G91">
        <v>70.389193144667701</v>
      </c>
      <c r="H91">
        <v>65.77514992021564</v>
      </c>
      <c r="J91">
        <v>43.946817944084991</v>
      </c>
      <c r="L91">
        <v>3.0985181642249118</v>
      </c>
      <c r="M91">
        <v>13.151532414284828</v>
      </c>
      <c r="N91">
        <v>2.4033585407308005</v>
      </c>
      <c r="O91">
        <v>13.629967075299115</v>
      </c>
      <c r="P91">
        <v>8.689835642749502</v>
      </c>
      <c r="Q91">
        <v>8.7332052940218605E-2</v>
      </c>
      <c r="R91">
        <v>10.022153373476533</v>
      </c>
      <c r="S91">
        <v>32.50123594761201</v>
      </c>
      <c r="U91">
        <v>1.576554134012256</v>
      </c>
      <c r="V91">
        <v>45.10000863434162</v>
      </c>
      <c r="W91">
        <v>21.690645732935931</v>
      </c>
      <c r="X91">
        <v>45.554300993235842</v>
      </c>
      <c r="Y91">
        <v>5.0448733203365101</v>
      </c>
      <c r="Z91">
        <v>26.511763979101492</v>
      </c>
      <c r="AA91">
        <v>2.0485405765964897</v>
      </c>
      <c r="AB91">
        <v>32.406837924259797</v>
      </c>
      <c r="AD91">
        <v>4.9474009559866596</v>
      </c>
      <c r="AE91">
        <v>11.347276924605723</v>
      </c>
      <c r="AF91">
        <v>12.790284336193375</v>
      </c>
      <c r="AG91">
        <v>17.830221366631189</v>
      </c>
      <c r="AH91">
        <v>2.6636678911645726</v>
      </c>
      <c r="AI91">
        <v>2.3435349533512659</v>
      </c>
      <c r="AK91">
        <v>41.704529197287911</v>
      </c>
    </row>
    <row r="92" spans="1:37" x14ac:dyDescent="0.2">
      <c r="A92">
        <v>91</v>
      </c>
      <c r="B92">
        <v>750</v>
      </c>
      <c r="C92">
        <v>225</v>
      </c>
      <c r="D92">
        <v>0.35115134633240402</v>
      </c>
      <c r="E92">
        <v>170.63881465554263</v>
      </c>
      <c r="F92">
        <v>52.037750804219073</v>
      </c>
      <c r="G92">
        <v>70.188299625895866</v>
      </c>
      <c r="H92">
        <v>65.569570989480184</v>
      </c>
      <c r="J92">
        <v>43.74160507928292</v>
      </c>
      <c r="L92">
        <v>2.8106747476154887</v>
      </c>
      <c r="M92">
        <v>13.063981925755098</v>
      </c>
      <c r="N92">
        <v>2.4073072999711216</v>
      </c>
      <c r="O92">
        <v>12.393717258764875</v>
      </c>
      <c r="P92">
        <v>8.3350219958858514</v>
      </c>
      <c r="R92">
        <v>9.5117325728783779</v>
      </c>
      <c r="S92">
        <v>31.730330491809525</v>
      </c>
      <c r="U92">
        <v>1.4438976885920418</v>
      </c>
      <c r="V92">
        <v>45.005643480999524</v>
      </c>
      <c r="W92">
        <v>21.246427466011376</v>
      </c>
      <c r="X92">
        <v>45.233600097955488</v>
      </c>
      <c r="Y92">
        <v>4.7225919245790262</v>
      </c>
      <c r="Z92">
        <v>25.883063295009546</v>
      </c>
      <c r="AA92">
        <v>1.7478446330981896</v>
      </c>
      <c r="AB92">
        <v>32.188330559808144</v>
      </c>
      <c r="AD92">
        <v>4.5729866681516276</v>
      </c>
      <c r="AE92">
        <v>11.09341741373647</v>
      </c>
      <c r="AF92">
        <v>12.700488568598777</v>
      </c>
      <c r="AG92">
        <v>17.581891919740105</v>
      </c>
      <c r="AH92">
        <v>2.1744398011073685</v>
      </c>
      <c r="AI92">
        <v>2.3469048282937215</v>
      </c>
      <c r="AK92">
        <v>41.601255269495937</v>
      </c>
    </row>
    <row r="93" spans="1:37" x14ac:dyDescent="0.2">
      <c r="A93">
        <v>92</v>
      </c>
      <c r="B93">
        <v>748</v>
      </c>
      <c r="C93">
        <v>225</v>
      </c>
      <c r="D93">
        <v>0.34974342652891699</v>
      </c>
      <c r="E93">
        <v>170.24145635967599</v>
      </c>
      <c r="F93">
        <v>50.241587605205737</v>
      </c>
      <c r="G93">
        <v>69.875059375188627</v>
      </c>
      <c r="H93">
        <v>65.251697972450728</v>
      </c>
      <c r="J93">
        <v>43.422297009448812</v>
      </c>
      <c r="L93">
        <v>2.3326489104123209</v>
      </c>
      <c r="M93">
        <v>13.065117697591482</v>
      </c>
      <c r="N93">
        <v>2.4112457182331677</v>
      </c>
      <c r="O93">
        <v>10.42964913337406</v>
      </c>
      <c r="P93">
        <v>7.7555360616062616</v>
      </c>
      <c r="R93">
        <v>8.8629638488195859</v>
      </c>
      <c r="S93">
        <v>31.125975267105702</v>
      </c>
      <c r="U93">
        <v>1.3780974360109133</v>
      </c>
      <c r="V93">
        <v>45.102995656074278</v>
      </c>
      <c r="W93">
        <v>20.795403617564709</v>
      </c>
      <c r="X93">
        <v>45.121259529024378</v>
      </c>
      <c r="Y93">
        <v>4.1822887403464968</v>
      </c>
      <c r="Z93">
        <v>24.931703247451033</v>
      </c>
      <c r="AA93">
        <v>1.2485027393138661</v>
      </c>
      <c r="AB93">
        <v>32.080417628621994</v>
      </c>
      <c r="AD93">
        <v>3.9932736113753617</v>
      </c>
      <c r="AE93">
        <v>10.735573342834957</v>
      </c>
      <c r="AF93">
        <v>12.699370091009092</v>
      </c>
      <c r="AG93">
        <v>17.444156794048709</v>
      </c>
      <c r="AH93">
        <v>1.3649806690077182</v>
      </c>
      <c r="AI93">
        <v>2.3502609945010593</v>
      </c>
      <c r="AK93">
        <v>41.350251179473652</v>
      </c>
    </row>
    <row r="94" spans="1:37" x14ac:dyDescent="0.2">
      <c r="A94">
        <v>93</v>
      </c>
      <c r="B94">
        <v>746</v>
      </c>
      <c r="C94">
        <v>225</v>
      </c>
      <c r="D94">
        <v>0.34832998086640898</v>
      </c>
      <c r="E94">
        <v>170.56145497604649</v>
      </c>
      <c r="F94">
        <v>48.678491559224341</v>
      </c>
      <c r="G94">
        <v>69.89711707596885</v>
      </c>
      <c r="H94">
        <v>65.269175721387697</v>
      </c>
      <c r="J94">
        <v>34.097940233301486</v>
      </c>
      <c r="L94">
        <v>1.589447416638941</v>
      </c>
      <c r="M94">
        <v>12.379371630521074</v>
      </c>
      <c r="N94">
        <v>2.4152321177739524</v>
      </c>
      <c r="O94">
        <v>6.3468996314705786</v>
      </c>
      <c r="P94">
        <v>7.8467257140825062</v>
      </c>
      <c r="R94">
        <v>7.6811051219231619</v>
      </c>
      <c r="S94">
        <v>29.641604356867145</v>
      </c>
      <c r="U94">
        <v>1.3514627616176405</v>
      </c>
      <c r="V94">
        <v>45.934582408293942</v>
      </c>
      <c r="W94">
        <v>19.815323732304567</v>
      </c>
      <c r="X94">
        <v>45.119145755669976</v>
      </c>
      <c r="Y94">
        <v>3.6419972856217622</v>
      </c>
      <c r="Z94">
        <v>20.525226401100003</v>
      </c>
      <c r="AB94">
        <v>30.157618929382028</v>
      </c>
      <c r="AD94">
        <v>1.7651501272118573</v>
      </c>
      <c r="AE94">
        <v>8.1700643079033011</v>
      </c>
      <c r="AF94">
        <v>12.011419171957428</v>
      </c>
      <c r="AG94">
        <v>15.491594158946164</v>
      </c>
      <c r="AI94">
        <v>2.3536617595092264</v>
      </c>
      <c r="AK94">
        <v>34.964795615183377</v>
      </c>
    </row>
    <row r="95" spans="1:37" x14ac:dyDescent="0.2">
      <c r="A95">
        <v>94</v>
      </c>
      <c r="B95">
        <v>744</v>
      </c>
      <c r="C95">
        <v>225</v>
      </c>
      <c r="D95">
        <v>0.34691097674876298</v>
      </c>
      <c r="E95">
        <v>171.17222413647167</v>
      </c>
      <c r="F95">
        <v>48.927805276337921</v>
      </c>
      <c r="G95">
        <v>70.025633810146701</v>
      </c>
      <c r="H95">
        <v>65.393165487699179</v>
      </c>
      <c r="J95">
        <v>27.211716044629721</v>
      </c>
      <c r="L95">
        <v>1.6455892582388296</v>
      </c>
      <c r="M95">
        <v>11.311418363045711</v>
      </c>
      <c r="N95">
        <v>2.4192340704215232</v>
      </c>
      <c r="O95">
        <v>6.0501269213929421</v>
      </c>
      <c r="P95">
        <v>8.150880875064912</v>
      </c>
      <c r="R95">
        <v>7.0438913372840632</v>
      </c>
      <c r="S95">
        <v>30.426522868633306</v>
      </c>
      <c r="U95">
        <v>1.3186850680011906</v>
      </c>
      <c r="V95">
        <v>47.365077799513656</v>
      </c>
      <c r="W95">
        <v>18.588160130132984</v>
      </c>
      <c r="X95">
        <v>45.097709701450874</v>
      </c>
      <c r="Y95">
        <v>3.6605655445051082</v>
      </c>
      <c r="Z95">
        <v>17.757675335097737</v>
      </c>
      <c r="AB95">
        <v>29.466858631269854</v>
      </c>
      <c r="AD95">
        <v>0.40194814860893585</v>
      </c>
      <c r="AE95">
        <v>6.5159870079190139</v>
      </c>
      <c r="AF95">
        <v>10.941278067529089</v>
      </c>
      <c r="AG95">
        <v>14.771095804199202</v>
      </c>
      <c r="AI95">
        <v>2.3570746804243892</v>
      </c>
      <c r="AK95">
        <v>30.097744953626975</v>
      </c>
    </row>
    <row r="96" spans="1:37" x14ac:dyDescent="0.2">
      <c r="A96">
        <v>95</v>
      </c>
      <c r="B96">
        <v>742</v>
      </c>
      <c r="C96">
        <v>225</v>
      </c>
      <c r="D96">
        <v>0.345486381322956</v>
      </c>
      <c r="E96">
        <v>171.51954339251228</v>
      </c>
      <c r="F96">
        <v>49.797656365194506</v>
      </c>
      <c r="G96">
        <v>69.999607058255691</v>
      </c>
      <c r="H96">
        <v>65.36266492208442</v>
      </c>
      <c r="J96">
        <v>23.833735388912494</v>
      </c>
      <c r="L96">
        <v>1.6755223484803792</v>
      </c>
      <c r="M96">
        <v>10.448118914799336</v>
      </c>
      <c r="N96">
        <v>2.4232167540528717</v>
      </c>
      <c r="O96">
        <v>5.9956668324131037</v>
      </c>
      <c r="P96">
        <v>8.1459618706446477</v>
      </c>
      <c r="R96">
        <v>6.3907827326998321</v>
      </c>
      <c r="S96">
        <v>31.169654455834788</v>
      </c>
      <c r="U96">
        <v>1.2790777790297954</v>
      </c>
      <c r="V96">
        <v>48.501258547958223</v>
      </c>
      <c r="W96">
        <v>17.569284127644732</v>
      </c>
      <c r="X96">
        <v>45.057572316969924</v>
      </c>
      <c r="Y96">
        <v>3.5899747716762973</v>
      </c>
      <c r="Z96">
        <v>17.712578550310266</v>
      </c>
      <c r="AB96">
        <v>30.21661313475979</v>
      </c>
      <c r="AE96">
        <v>6.4729868912112583</v>
      </c>
      <c r="AF96">
        <v>10.075773021198687</v>
      </c>
      <c r="AG96">
        <v>15.491103357235524</v>
      </c>
      <c r="AI96">
        <v>2.3604649204001436</v>
      </c>
      <c r="AK96">
        <v>27.626241641862531</v>
      </c>
    </row>
    <row r="97" spans="1:37" x14ac:dyDescent="0.2">
      <c r="A97">
        <v>96</v>
      </c>
      <c r="B97">
        <v>740</v>
      </c>
      <c r="C97">
        <v>225</v>
      </c>
      <c r="D97">
        <v>0.34405616147658602</v>
      </c>
      <c r="E97">
        <v>171.7850774919583</v>
      </c>
      <c r="F97">
        <v>50.552896102104484</v>
      </c>
      <c r="G97">
        <v>69.963018790373923</v>
      </c>
      <c r="H97">
        <v>65.321656165457213</v>
      </c>
      <c r="J97">
        <v>21.723960849019786</v>
      </c>
      <c r="L97">
        <v>1.6990493348320996</v>
      </c>
      <c r="M97">
        <v>9.722254674790225</v>
      </c>
      <c r="N97">
        <v>2.4271932421986286</v>
      </c>
      <c r="O97">
        <v>5.9468094218364662</v>
      </c>
      <c r="P97">
        <v>8.1199459027014278</v>
      </c>
      <c r="R97">
        <v>5.8223041493536716</v>
      </c>
      <c r="S97">
        <v>31.800028658072193</v>
      </c>
      <c r="U97">
        <v>1.2366840203979634</v>
      </c>
      <c r="V97">
        <v>49.44620303271703</v>
      </c>
      <c r="W97">
        <v>16.689251210808003</v>
      </c>
      <c r="X97">
        <v>45.010287449725958</v>
      </c>
      <c r="Y97">
        <v>3.5283224048098987</v>
      </c>
      <c r="Z97">
        <v>17.802026021245524</v>
      </c>
      <c r="AB97">
        <v>30.9226651160918</v>
      </c>
      <c r="AE97">
        <v>6.5106134195831986</v>
      </c>
      <c r="AF97">
        <v>9.3476985416730045</v>
      </c>
      <c r="AG97">
        <v>16.167412617212015</v>
      </c>
      <c r="AI97">
        <v>2.3638455382424444</v>
      </c>
      <c r="AK97">
        <v>26.041512497070467</v>
      </c>
    </row>
    <row r="98" spans="1:37" x14ac:dyDescent="0.2">
      <c r="A98">
        <v>97</v>
      </c>
      <c r="B98">
        <v>738</v>
      </c>
      <c r="C98">
        <v>225</v>
      </c>
      <c r="D98">
        <v>0.34262028383523802</v>
      </c>
      <c r="E98">
        <v>172.00522166243292</v>
      </c>
      <c r="F98">
        <v>51.20739019738199</v>
      </c>
      <c r="G98">
        <v>69.925737617579543</v>
      </c>
      <c r="H98">
        <v>65.280008000407605</v>
      </c>
      <c r="J98">
        <v>20.226499152715757</v>
      </c>
      <c r="L98">
        <v>1.7193098379713156</v>
      </c>
      <c r="M98">
        <v>9.0837071797205393</v>
      </c>
      <c r="N98">
        <v>2.431165763168543</v>
      </c>
      <c r="O98">
        <v>5.8922748595052097</v>
      </c>
      <c r="P98">
        <v>8.0925726109565979</v>
      </c>
      <c r="R98">
        <v>5.3138904538234009</v>
      </c>
      <c r="S98">
        <v>32.350122070871706</v>
      </c>
      <c r="U98">
        <v>1.1929593510393517</v>
      </c>
      <c r="V98">
        <v>50.268216347093109</v>
      </c>
      <c r="W98">
        <v>15.897180861282575</v>
      </c>
      <c r="X98">
        <v>44.960024168267452</v>
      </c>
      <c r="Y98">
        <v>3.4764896354191253</v>
      </c>
      <c r="Z98">
        <v>17.876198504741669</v>
      </c>
      <c r="AB98">
        <v>31.539238657748403</v>
      </c>
      <c r="AE98">
        <v>6.5403312947898087</v>
      </c>
      <c r="AF98">
        <v>8.7069384403409007</v>
      </c>
      <c r="AG98">
        <v>16.754249944628537</v>
      </c>
      <c r="AI98">
        <v>2.3672187475370645</v>
      </c>
      <c r="AK98">
        <v>24.892041991195871</v>
      </c>
    </row>
    <row r="99" spans="1:37" x14ac:dyDescent="0.2">
      <c r="A99">
        <v>98</v>
      </c>
      <c r="B99">
        <v>736</v>
      </c>
      <c r="C99">
        <v>225</v>
      </c>
      <c r="D99">
        <v>0.34117871475994799</v>
      </c>
      <c r="E99">
        <v>172.19400293477929</v>
      </c>
      <c r="F99">
        <v>51.792426970671073</v>
      </c>
      <c r="G99">
        <v>69.888009058964116</v>
      </c>
      <c r="H99">
        <v>65.237966118214317</v>
      </c>
      <c r="J99">
        <v>19.084480375153948</v>
      </c>
      <c r="L99">
        <v>1.7374203003314432</v>
      </c>
      <c r="M99">
        <v>8.5059924174186516</v>
      </c>
      <c r="N99">
        <v>2.4351352101795447</v>
      </c>
      <c r="O99">
        <v>5.8346321916417896</v>
      </c>
      <c r="P99">
        <v>8.0643341171224616</v>
      </c>
      <c r="R99">
        <v>4.847712570414072</v>
      </c>
      <c r="S99">
        <v>32.843088325913548</v>
      </c>
      <c r="U99">
        <v>1.1484398036796815</v>
      </c>
      <c r="V99">
        <v>51.003624210007622</v>
      </c>
      <c r="W99">
        <v>15.166314901192271</v>
      </c>
      <c r="X99">
        <v>44.908315769577932</v>
      </c>
      <c r="Y99">
        <v>3.4314641687155101</v>
      </c>
      <c r="Z99">
        <v>17.939943506696853</v>
      </c>
      <c r="AB99">
        <v>32.092642398880173</v>
      </c>
      <c r="AE99">
        <v>6.5646361658000529</v>
      </c>
      <c r="AF99">
        <v>8.1270096448339491</v>
      </c>
      <c r="AG99">
        <v>17.277924921881496</v>
      </c>
      <c r="AI99">
        <v>2.3705854267773057</v>
      </c>
      <c r="AK99">
        <v>23.99864606745378</v>
      </c>
    </row>
    <row r="100" spans="1:37" x14ac:dyDescent="0.2">
      <c r="A100">
        <v>99</v>
      </c>
      <c r="B100">
        <v>734</v>
      </c>
      <c r="C100">
        <v>225</v>
      </c>
      <c r="D100">
        <v>0.33973142034453802</v>
      </c>
      <c r="E100">
        <v>172.35943041811177</v>
      </c>
      <c r="F100">
        <v>52.325847219922252</v>
      </c>
      <c r="G100">
        <v>69.849968103139105</v>
      </c>
      <c r="H100">
        <v>65.195665680361842</v>
      </c>
      <c r="J100">
        <v>18.173631923531914</v>
      </c>
      <c r="L100">
        <v>1.7539386462666917</v>
      </c>
      <c r="M100">
        <v>7.9738455718239001</v>
      </c>
      <c r="N100">
        <v>2.4391021232008208</v>
      </c>
      <c r="O100">
        <v>5.7753206859445729</v>
      </c>
      <c r="P100">
        <v>8.0355011297811512</v>
      </c>
      <c r="R100">
        <v>4.4135243955490076</v>
      </c>
      <c r="S100">
        <v>33.292890796331342</v>
      </c>
      <c r="U100">
        <v>1.1033663419841007</v>
      </c>
      <c r="V100">
        <v>51.673634270750334</v>
      </c>
      <c r="W100">
        <v>14.481267798422492</v>
      </c>
      <c r="X100">
        <v>44.855849272167362</v>
      </c>
      <c r="Y100">
        <v>3.3915134139923087</v>
      </c>
      <c r="Z100">
        <v>17.996006923337841</v>
      </c>
      <c r="AB100">
        <v>32.598375001363536</v>
      </c>
      <c r="AE100">
        <v>6.5849442994486465</v>
      </c>
      <c r="AF100">
        <v>7.5926479258575377</v>
      </c>
      <c r="AG100">
        <v>17.753936801166127</v>
      </c>
      <c r="AI100">
        <v>2.3739461012105894</v>
      </c>
      <c r="AK100">
        <v>23.273782538203758</v>
      </c>
    </row>
    <row r="101" spans="1:37" x14ac:dyDescent="0.2">
      <c r="A101">
        <v>100</v>
      </c>
      <c r="B101">
        <v>760</v>
      </c>
      <c r="C101">
        <v>210</v>
      </c>
      <c r="D101">
        <v>0.374079756085759</v>
      </c>
      <c r="E101">
        <v>163.15128883807435</v>
      </c>
      <c r="F101">
        <v>55.840124651319734</v>
      </c>
      <c r="G101">
        <v>70.880954479902272</v>
      </c>
      <c r="H101">
        <v>66.285505535222342</v>
      </c>
      <c r="J101">
        <v>44.229081483055985</v>
      </c>
      <c r="L101">
        <v>3.6736416543323722</v>
      </c>
      <c r="M101">
        <v>13.711712492193167</v>
      </c>
      <c r="N101">
        <v>2.3381118959617591</v>
      </c>
      <c r="O101">
        <v>16.683782302720733</v>
      </c>
      <c r="P101">
        <v>9.3516310709374331</v>
      </c>
      <c r="Q101">
        <v>0.40648862642403327</v>
      </c>
      <c r="R101">
        <v>11.722380850135153</v>
      </c>
      <c r="S101">
        <v>35.888731263770978</v>
      </c>
      <c r="U101">
        <v>2.2105152942825432</v>
      </c>
      <c r="V101">
        <v>45.716200034310269</v>
      </c>
      <c r="W101">
        <v>23.762422612366382</v>
      </c>
      <c r="X101">
        <v>46.382657756701335</v>
      </c>
      <c r="Y101">
        <v>5.6085625067448106</v>
      </c>
      <c r="Z101">
        <v>28.089939906148306</v>
      </c>
      <c r="AA101">
        <v>2.6601235656083593</v>
      </c>
      <c r="AB101">
        <v>33.655286260167905</v>
      </c>
      <c r="AC101">
        <v>5.1931319568099005E-3</v>
      </c>
      <c r="AD101">
        <v>5.8445827740984635</v>
      </c>
      <c r="AE101">
        <v>12.171962774514926</v>
      </c>
      <c r="AF101">
        <v>13.356269277815169</v>
      </c>
      <c r="AG101">
        <v>19.213348487950007</v>
      </c>
      <c r="AH101">
        <v>3.430635887166245</v>
      </c>
      <c r="AI101">
        <v>2.2787077891338408</v>
      </c>
      <c r="AK101">
        <v>41.48510311470941</v>
      </c>
    </row>
    <row r="102" spans="1:37" x14ac:dyDescent="0.2">
      <c r="A102">
        <v>101</v>
      </c>
      <c r="B102">
        <v>758</v>
      </c>
      <c r="C102">
        <v>210</v>
      </c>
      <c r="D102">
        <v>0.37272996169325601</v>
      </c>
      <c r="E102">
        <v>162.91867288363343</v>
      </c>
      <c r="F102">
        <v>55.130964398151185</v>
      </c>
      <c r="G102">
        <v>70.762274463285806</v>
      </c>
      <c r="H102">
        <v>66.16191899357375</v>
      </c>
      <c r="J102">
        <v>44.105680527943825</v>
      </c>
      <c r="L102">
        <v>3.5186790254656373</v>
      </c>
      <c r="M102">
        <v>13.578675239458516</v>
      </c>
      <c r="N102">
        <v>2.3365565237203305</v>
      </c>
      <c r="O102">
        <v>15.957196385789757</v>
      </c>
      <c r="P102">
        <v>9.1556044161729151</v>
      </c>
      <c r="Q102">
        <v>0.27069350583264778</v>
      </c>
      <c r="R102">
        <v>11.318326093695521</v>
      </c>
      <c r="S102">
        <v>35.037191100436758</v>
      </c>
      <c r="U102">
        <v>2.0503944558780471</v>
      </c>
      <c r="V102">
        <v>45.498772869349487</v>
      </c>
      <c r="W102">
        <v>23.358096341129102</v>
      </c>
      <c r="X102">
        <v>45.979233066750538</v>
      </c>
      <c r="Y102">
        <v>5.4432285566420875</v>
      </c>
      <c r="Z102">
        <v>27.706652921314092</v>
      </c>
      <c r="AA102">
        <v>2.5000346349269091</v>
      </c>
      <c r="AB102">
        <v>33.36700925588476</v>
      </c>
      <c r="AD102">
        <v>5.6266242882149928</v>
      </c>
      <c r="AE102">
        <v>11.999186723430649</v>
      </c>
      <c r="AF102">
        <v>13.215473356812417</v>
      </c>
      <c r="AG102">
        <v>18.889744292065348</v>
      </c>
      <c r="AH102">
        <v>3.1773742705171366</v>
      </c>
      <c r="AI102">
        <v>2.2765882097742911</v>
      </c>
      <c r="AK102">
        <v>41.487766063536668</v>
      </c>
    </row>
    <row r="103" spans="1:37" x14ac:dyDescent="0.2">
      <c r="A103">
        <v>102</v>
      </c>
      <c r="B103">
        <v>756</v>
      </c>
      <c r="C103">
        <v>210</v>
      </c>
      <c r="D103">
        <v>0.371374921051355</v>
      </c>
      <c r="E103">
        <v>162.67342557950892</v>
      </c>
      <c r="F103">
        <v>54.380530809900414</v>
      </c>
      <c r="G103">
        <v>70.637361320741604</v>
      </c>
      <c r="H103">
        <v>66.032151308527347</v>
      </c>
      <c r="J103">
        <v>43.959883274485442</v>
      </c>
      <c r="L103">
        <v>3.3573084534537738</v>
      </c>
      <c r="M103">
        <v>13.427987472181275</v>
      </c>
      <c r="N103">
        <v>2.3405159163123987</v>
      </c>
      <c r="O103">
        <v>15.214592448204865</v>
      </c>
      <c r="P103">
        <v>8.9526570542207828</v>
      </c>
      <c r="Q103">
        <v>0.1217776793540213</v>
      </c>
      <c r="R103">
        <v>10.886380431377923</v>
      </c>
      <c r="S103">
        <v>34.099089860607556</v>
      </c>
      <c r="U103">
        <v>1.8746965539591274</v>
      </c>
      <c r="V103">
        <v>45.252054892166768</v>
      </c>
      <c r="W103">
        <v>22.921001974399726</v>
      </c>
      <c r="X103">
        <v>45.523601503225265</v>
      </c>
      <c r="Y103">
        <v>5.2686728816315505</v>
      </c>
      <c r="Z103">
        <v>27.300925634215769</v>
      </c>
      <c r="AA103">
        <v>2.3336323751914461</v>
      </c>
      <c r="AB103">
        <v>33.049276931754861</v>
      </c>
      <c r="AD103">
        <v>5.3935646403447706</v>
      </c>
      <c r="AE103">
        <v>11.818042652716635</v>
      </c>
      <c r="AF103">
        <v>13.062542891038502</v>
      </c>
      <c r="AG103">
        <v>18.542209579340497</v>
      </c>
      <c r="AH103">
        <v>2.9044382454008075</v>
      </c>
      <c r="AI103">
        <v>2.2799800863438811</v>
      </c>
      <c r="AK103">
        <v>41.482381300740101</v>
      </c>
    </row>
    <row r="104" spans="1:37" x14ac:dyDescent="0.2">
      <c r="A104">
        <v>103</v>
      </c>
      <c r="B104">
        <v>754</v>
      </c>
      <c r="C104">
        <v>210</v>
      </c>
      <c r="D104">
        <v>0.37001460351457899</v>
      </c>
      <c r="E104">
        <v>162.40056766003514</v>
      </c>
      <c r="F104">
        <v>53.442821208600797</v>
      </c>
      <c r="G104">
        <v>70.479125596045193</v>
      </c>
      <c r="H104">
        <v>65.869113190082047</v>
      </c>
      <c r="J104">
        <v>43.788526373670258</v>
      </c>
      <c r="L104">
        <v>3.1405330730780734</v>
      </c>
      <c r="M104">
        <v>13.305680829178838</v>
      </c>
      <c r="N104">
        <v>2.3444721197160385</v>
      </c>
      <c r="O104">
        <v>14.254556116634205</v>
      </c>
      <c r="P104">
        <v>8.6830922996245974</v>
      </c>
      <c r="R104">
        <v>10.421113957469595</v>
      </c>
      <c r="S104">
        <v>33.237691136871362</v>
      </c>
      <c r="U104">
        <v>1.7182413322775714</v>
      </c>
      <c r="V104">
        <v>45.073846080137102</v>
      </c>
      <c r="W104">
        <v>22.480635582664458</v>
      </c>
      <c r="X104">
        <v>45.129237346288384</v>
      </c>
      <c r="Y104">
        <v>5.0292917729549345</v>
      </c>
      <c r="Z104">
        <v>26.797246610265645</v>
      </c>
      <c r="AA104">
        <v>2.1083861259202168</v>
      </c>
      <c r="AB104">
        <v>32.776252727792908</v>
      </c>
      <c r="AD104">
        <v>5.0987267105345371</v>
      </c>
      <c r="AE104">
        <v>11.604790443087703</v>
      </c>
      <c r="AF104">
        <v>12.937991610026137</v>
      </c>
      <c r="AG104">
        <v>18.239389883000957</v>
      </c>
      <c r="AH104">
        <v>2.5367517523045162</v>
      </c>
      <c r="AI104">
        <v>2.2833654501131226</v>
      </c>
      <c r="AK104">
        <v>41.434206470835186</v>
      </c>
    </row>
    <row r="105" spans="1:37" x14ac:dyDescent="0.2">
      <c r="A105">
        <v>104</v>
      </c>
      <c r="B105">
        <v>752</v>
      </c>
      <c r="C105">
        <v>210</v>
      </c>
      <c r="D105">
        <v>0.36864897819831499</v>
      </c>
      <c r="E105">
        <v>162.00756860081808</v>
      </c>
      <c r="F105">
        <v>51.676316993035286</v>
      </c>
      <c r="G105">
        <v>70.17184205590938</v>
      </c>
      <c r="H105">
        <v>65.557079571822243</v>
      </c>
      <c r="J105">
        <v>43.48173059692347</v>
      </c>
      <c r="L105">
        <v>2.6732214733637409</v>
      </c>
      <c r="M105">
        <v>13.304740688619731</v>
      </c>
      <c r="N105">
        <v>2.3484153368941367</v>
      </c>
      <c r="O105">
        <v>12.324413232596257</v>
      </c>
      <c r="P105">
        <v>8.1154500707993815</v>
      </c>
      <c r="R105">
        <v>9.786947588787168</v>
      </c>
      <c r="S105">
        <v>32.650403187265574</v>
      </c>
      <c r="U105">
        <v>1.6495697366046222</v>
      </c>
      <c r="V105">
        <v>45.173152985432857</v>
      </c>
      <c r="W105">
        <v>22.026428600142069</v>
      </c>
      <c r="X105">
        <v>45.009573856951434</v>
      </c>
      <c r="Y105">
        <v>4.5003389318040954</v>
      </c>
      <c r="Z105">
        <v>25.859569603064564</v>
      </c>
      <c r="AA105">
        <v>1.6195454314933959</v>
      </c>
      <c r="AB105">
        <v>32.672810604031739</v>
      </c>
      <c r="AD105">
        <v>4.5296069079057464</v>
      </c>
      <c r="AE105">
        <v>11.250167584979684</v>
      </c>
      <c r="AF105">
        <v>12.934795139843978</v>
      </c>
      <c r="AG105">
        <v>18.106149413575039</v>
      </c>
      <c r="AH105">
        <v>1.7448260208607789</v>
      </c>
      <c r="AI105">
        <v>2.2867344893329169</v>
      </c>
      <c r="AK105">
        <v>41.191947051311082</v>
      </c>
    </row>
    <row r="106" spans="1:37" x14ac:dyDescent="0.2">
      <c r="A106">
        <v>105</v>
      </c>
      <c r="B106">
        <v>750</v>
      </c>
      <c r="C106">
        <v>210</v>
      </c>
      <c r="D106">
        <v>0.36727801397644499</v>
      </c>
      <c r="E106">
        <v>161.61235432164793</v>
      </c>
      <c r="F106">
        <v>49.857086775500242</v>
      </c>
      <c r="G106">
        <v>69.851601443040025</v>
      </c>
      <c r="H106">
        <v>65.232141363976353</v>
      </c>
      <c r="J106">
        <v>43.132948393909231</v>
      </c>
      <c r="L106">
        <v>2.1797471265093771</v>
      </c>
      <c r="M106">
        <v>13.307922854389124</v>
      </c>
      <c r="N106">
        <v>2.3523560350588744</v>
      </c>
      <c r="O106">
        <v>10.315112950593857</v>
      </c>
      <c r="P106">
        <v>7.5219225034055741</v>
      </c>
      <c r="R106">
        <v>9.1064714452343196</v>
      </c>
      <c r="S106">
        <v>31.971836789460944</v>
      </c>
      <c r="U106">
        <v>1.5933558147206719</v>
      </c>
      <c r="V106">
        <v>45.247141962797777</v>
      </c>
      <c r="W106">
        <v>21.579276010953709</v>
      </c>
      <c r="X106">
        <v>44.926883363227347</v>
      </c>
      <c r="Y106">
        <v>3.9464080302841156</v>
      </c>
      <c r="Z106">
        <v>24.88893516419294</v>
      </c>
      <c r="AA106">
        <v>1.1072591044825968</v>
      </c>
      <c r="AB106">
        <v>32.528885224309128</v>
      </c>
      <c r="AD106">
        <v>3.9372404545319064</v>
      </c>
      <c r="AE106">
        <v>10.886097435764627</v>
      </c>
      <c r="AF106">
        <v>12.935719796731746</v>
      </c>
      <c r="AG106">
        <v>17.932433349945903</v>
      </c>
      <c r="AH106">
        <v>0.91455502524029619</v>
      </c>
      <c r="AI106">
        <v>2.2900976565006643</v>
      </c>
      <c r="AK106">
        <v>40.93189793604629</v>
      </c>
    </row>
    <row r="107" spans="1:37" x14ac:dyDescent="0.2">
      <c r="A107">
        <v>106</v>
      </c>
      <c r="B107">
        <v>748</v>
      </c>
      <c r="C107">
        <v>210</v>
      </c>
      <c r="D107">
        <v>0.36590167947901903</v>
      </c>
      <c r="E107">
        <v>162.36222434160453</v>
      </c>
      <c r="F107">
        <v>49.263586235510566</v>
      </c>
      <c r="G107">
        <v>70.087876142131464</v>
      </c>
      <c r="H107">
        <v>65.463771119416535</v>
      </c>
      <c r="J107">
        <v>31.151055710447924</v>
      </c>
      <c r="L107">
        <v>1.5915516349206518</v>
      </c>
      <c r="M107">
        <v>12.269492096352677</v>
      </c>
      <c r="N107">
        <v>2.3563690443666543</v>
      </c>
      <c r="O107">
        <v>6.5428224239910504</v>
      </c>
      <c r="P107">
        <v>8.0415293810438406</v>
      </c>
      <c r="R107">
        <v>7.9247503124999614</v>
      </c>
      <c r="S107">
        <v>30.545601101869835</v>
      </c>
      <c r="U107">
        <v>1.6057821157068806</v>
      </c>
      <c r="V107">
        <v>46.407069447232182</v>
      </c>
      <c r="W107">
        <v>20.318614188474896</v>
      </c>
      <c r="X107">
        <v>45.036764090795025</v>
      </c>
      <c r="Y107">
        <v>3.6207634445187939</v>
      </c>
      <c r="Z107">
        <v>19.815014390114889</v>
      </c>
      <c r="AB107">
        <v>30.151897334356171</v>
      </c>
      <c r="AD107">
        <v>1.4372118195728292</v>
      </c>
      <c r="AE107">
        <v>7.7878695678636554</v>
      </c>
      <c r="AF107">
        <v>11.895105226056319</v>
      </c>
      <c r="AG107">
        <v>15.525737316142623</v>
      </c>
      <c r="AI107">
        <v>2.2935297670546109</v>
      </c>
      <c r="AK107">
        <v>32.749241604411232</v>
      </c>
    </row>
    <row r="108" spans="1:37" x14ac:dyDescent="0.2">
      <c r="A108">
        <v>107</v>
      </c>
      <c r="B108">
        <v>746</v>
      </c>
      <c r="C108">
        <v>210</v>
      </c>
      <c r="D108">
        <v>0.36451994308983099</v>
      </c>
      <c r="E108">
        <v>162.88787341478167</v>
      </c>
      <c r="F108">
        <v>49.650181072692767</v>
      </c>
      <c r="G108">
        <v>70.177378618369531</v>
      </c>
      <c r="H108">
        <v>65.548681472163835</v>
      </c>
      <c r="J108">
        <v>25.991625134266624</v>
      </c>
      <c r="L108">
        <v>1.6371832191670328</v>
      </c>
      <c r="M108">
        <v>11.300343133886157</v>
      </c>
      <c r="N108">
        <v>2.3603663502793082</v>
      </c>
      <c r="O108">
        <v>6.2983066469522813</v>
      </c>
      <c r="P108">
        <v>8.2676078046342525</v>
      </c>
      <c r="R108">
        <v>7.3046874357826317</v>
      </c>
      <c r="S108">
        <v>31.215643249837264</v>
      </c>
      <c r="U108">
        <v>1.575786539874324</v>
      </c>
      <c r="V108">
        <v>47.677393013579682</v>
      </c>
      <c r="W108">
        <v>19.186584246699994</v>
      </c>
      <c r="X108">
        <v>45.024956988870571</v>
      </c>
      <c r="Y108">
        <v>3.6163579473626126</v>
      </c>
      <c r="Z108">
        <v>17.762215313390932</v>
      </c>
      <c r="AB108">
        <v>29.769307770598292</v>
      </c>
      <c r="AD108">
        <v>0.41442662206111053</v>
      </c>
      <c r="AE108">
        <v>6.558498549948693</v>
      </c>
      <c r="AF108">
        <v>10.923758178203725</v>
      </c>
      <c r="AG108">
        <v>15.113434182501717</v>
      </c>
      <c r="AI108">
        <v>2.2969427917356393</v>
      </c>
      <c r="AK108">
        <v>29.072907544981891</v>
      </c>
    </row>
    <row r="109" spans="1:37" x14ac:dyDescent="0.2">
      <c r="A109">
        <v>108</v>
      </c>
      <c r="B109">
        <v>744</v>
      </c>
      <c r="C109">
        <v>210</v>
      </c>
      <c r="D109">
        <v>0.36313277294401303</v>
      </c>
      <c r="E109">
        <v>163.21277690211534</v>
      </c>
      <c r="F109">
        <v>50.452470300092507</v>
      </c>
      <c r="G109">
        <v>70.153319866762004</v>
      </c>
      <c r="H109">
        <v>65.520083586726301</v>
      </c>
      <c r="J109">
        <v>23.115066527677612</v>
      </c>
      <c r="L109">
        <v>1.6645149583173806</v>
      </c>
      <c r="M109">
        <v>10.48932107690004</v>
      </c>
      <c r="N109">
        <v>2.3643496650948577</v>
      </c>
      <c r="O109">
        <v>6.2271037079930007</v>
      </c>
      <c r="P109">
        <v>8.2665816626098358</v>
      </c>
      <c r="R109">
        <v>6.6845624460901032</v>
      </c>
      <c r="S109">
        <v>31.87908224220061</v>
      </c>
      <c r="U109">
        <v>1.5374383291530547</v>
      </c>
      <c r="V109">
        <v>48.732809585871358</v>
      </c>
      <c r="W109">
        <v>18.217188876719916</v>
      </c>
      <c r="X109">
        <v>44.990071714310375</v>
      </c>
      <c r="Y109">
        <v>3.5512247594721478</v>
      </c>
      <c r="Z109">
        <v>17.667475872563539</v>
      </c>
      <c r="AB109">
        <v>30.428302479131688</v>
      </c>
      <c r="AE109">
        <v>6.4869960055067342</v>
      </c>
      <c r="AF109">
        <v>10.110525521138566</v>
      </c>
      <c r="AG109">
        <v>15.742711656177732</v>
      </c>
      <c r="AI109">
        <v>2.3003384281196553</v>
      </c>
      <c r="AK109">
        <v>26.957110833663705</v>
      </c>
    </row>
    <row r="110" spans="1:37" x14ac:dyDescent="0.2">
      <c r="A110">
        <v>109</v>
      </c>
      <c r="B110">
        <v>742</v>
      </c>
      <c r="C110">
        <v>210</v>
      </c>
      <c r="D110">
        <v>0.361740136925575</v>
      </c>
      <c r="E110">
        <v>163.46445643583769</v>
      </c>
      <c r="F110">
        <v>51.17684975032919</v>
      </c>
      <c r="G110">
        <v>70.116369314435971</v>
      </c>
      <c r="H110">
        <v>65.478647060395303</v>
      </c>
      <c r="J110">
        <v>21.218805115463358</v>
      </c>
      <c r="L110">
        <v>1.6863597632894125</v>
      </c>
      <c r="M110">
        <v>9.7925818141051906</v>
      </c>
      <c r="N110">
        <v>2.3683275780571682</v>
      </c>
      <c r="O110">
        <v>6.1678529973775875</v>
      </c>
      <c r="P110">
        <v>8.2397985856285434</v>
      </c>
      <c r="R110">
        <v>6.1326870124696162</v>
      </c>
      <c r="S110">
        <v>32.462528167809388</v>
      </c>
      <c r="U110">
        <v>1.495622080883922</v>
      </c>
      <c r="V110">
        <v>49.632503728029967</v>
      </c>
      <c r="W110">
        <v>17.363879285630599</v>
      </c>
      <c r="X110">
        <v>44.946097558764173</v>
      </c>
      <c r="Y110">
        <v>3.4912240827942869</v>
      </c>
      <c r="Z110">
        <v>17.75289570670186</v>
      </c>
      <c r="AB110">
        <v>31.096731277955538</v>
      </c>
      <c r="AE110">
        <v>6.5226887829837059</v>
      </c>
      <c r="AF110">
        <v>9.4115717787790274</v>
      </c>
      <c r="AG110">
        <v>16.38142819348824</v>
      </c>
      <c r="AI110">
        <v>2.3037252507272465</v>
      </c>
      <c r="AK110">
        <v>25.527291611273061</v>
      </c>
    </row>
    <row r="111" spans="1:37" x14ac:dyDescent="0.2">
      <c r="A111">
        <v>110</v>
      </c>
      <c r="B111">
        <v>740</v>
      </c>
      <c r="C111">
        <v>210</v>
      </c>
      <c r="D111">
        <v>0.36034200266496003</v>
      </c>
      <c r="E111">
        <v>163.67532038363549</v>
      </c>
      <c r="F111">
        <v>51.810594271493059</v>
      </c>
      <c r="G111">
        <v>70.078783776102568</v>
      </c>
      <c r="H111">
        <v>65.436628878719176</v>
      </c>
      <c r="J111">
        <v>19.837096021907868</v>
      </c>
      <c r="L111">
        <v>1.7054261845825385</v>
      </c>
      <c r="M111">
        <v>9.1732895464704196</v>
      </c>
      <c r="N111">
        <v>2.3723019665244225</v>
      </c>
      <c r="O111">
        <v>6.1039679610088831</v>
      </c>
      <c r="P111">
        <v>8.2117742686832162</v>
      </c>
      <c r="R111">
        <v>5.6350471420336659</v>
      </c>
      <c r="S111">
        <v>32.979869279100519</v>
      </c>
      <c r="U111">
        <v>1.4520555815943443</v>
      </c>
      <c r="V111">
        <v>50.424935564255058</v>
      </c>
      <c r="W111">
        <v>16.588896273933763</v>
      </c>
      <c r="X111">
        <v>44.897957393633277</v>
      </c>
      <c r="Y111">
        <v>3.4400951170804523</v>
      </c>
      <c r="Z111">
        <v>17.824549957595742</v>
      </c>
      <c r="AB111">
        <v>31.688396759244458</v>
      </c>
      <c r="AE111">
        <v>6.5512605346127097</v>
      </c>
      <c r="AF111">
        <v>8.7900630756193863</v>
      </c>
      <c r="AG111">
        <v>16.943388313351747</v>
      </c>
      <c r="AI111">
        <v>2.3071051221920365</v>
      </c>
      <c r="AK111">
        <v>24.463580196772924</v>
      </c>
    </row>
    <row r="112" spans="1:37" x14ac:dyDescent="0.2">
      <c r="A112">
        <v>111</v>
      </c>
      <c r="B112">
        <v>738</v>
      </c>
      <c r="C112">
        <v>210</v>
      </c>
      <c r="D112">
        <v>0.35893833753646798</v>
      </c>
      <c r="E112">
        <v>163.85730333950559</v>
      </c>
      <c r="F112">
        <v>52.380351362866726</v>
      </c>
      <c r="G112">
        <v>70.040784002083115</v>
      </c>
      <c r="H112">
        <v>65.394249963529177</v>
      </c>
      <c r="J112">
        <v>18.766296653119905</v>
      </c>
      <c r="L112">
        <v>1.7226111761207248</v>
      </c>
      <c r="M112">
        <v>8.6094308094007683</v>
      </c>
      <c r="N112">
        <v>2.3762735438325531</v>
      </c>
      <c r="O112">
        <v>6.037562115016879</v>
      </c>
      <c r="P112">
        <v>8.1829511150195788</v>
      </c>
      <c r="R112">
        <v>5.176463885210608</v>
      </c>
      <c r="S112">
        <v>33.448024281577936</v>
      </c>
      <c r="U112">
        <v>1.4074402507244947</v>
      </c>
      <c r="V112">
        <v>51.13937367067048</v>
      </c>
      <c r="W112">
        <v>15.869857046210329</v>
      </c>
      <c r="X112">
        <v>44.84765982845731</v>
      </c>
      <c r="Y112">
        <v>3.3952898209588636</v>
      </c>
      <c r="Z112">
        <v>17.886559630565998</v>
      </c>
      <c r="AB112">
        <v>32.223917582371811</v>
      </c>
      <c r="AE112">
        <v>6.5748256305901016</v>
      </c>
      <c r="AF112">
        <v>8.2239867067787369</v>
      </c>
      <c r="AG112">
        <v>17.449211438186779</v>
      </c>
      <c r="AI112">
        <v>2.3104787411256318</v>
      </c>
      <c r="AK112">
        <v>23.624047033334378</v>
      </c>
    </row>
    <row r="113" spans="1:37" x14ac:dyDescent="0.2">
      <c r="A113">
        <v>112</v>
      </c>
      <c r="B113">
        <v>736</v>
      </c>
      <c r="C113">
        <v>210</v>
      </c>
      <c r="D113">
        <v>0.35752910865580001</v>
      </c>
      <c r="E113">
        <v>164.01745252957781</v>
      </c>
      <c r="F113">
        <v>52.901832817256363</v>
      </c>
      <c r="G113">
        <v>70.002493385459189</v>
      </c>
      <c r="H113">
        <v>65.351633880095463</v>
      </c>
      <c r="J113">
        <v>17.902843118588354</v>
      </c>
      <c r="L113">
        <v>1.738370568049515</v>
      </c>
      <c r="M113">
        <v>8.0878177510609586</v>
      </c>
      <c r="N113">
        <v>2.3802427610149128</v>
      </c>
      <c r="O113">
        <v>5.9698506440882513</v>
      </c>
      <c r="P113">
        <v>8.1535765521654202</v>
      </c>
      <c r="R113">
        <v>4.7479123308714426</v>
      </c>
      <c r="S113">
        <v>33.877965816111377</v>
      </c>
      <c r="U113">
        <v>1.3621041363638331</v>
      </c>
      <c r="V113">
        <v>51.793718164568652</v>
      </c>
      <c r="W113">
        <v>15.193403506532608</v>
      </c>
      <c r="X113">
        <v>44.796142026443192</v>
      </c>
      <c r="Y113">
        <v>3.3552820368977474</v>
      </c>
      <c r="Z113">
        <v>17.941345438306197</v>
      </c>
      <c r="AB113">
        <v>32.716106601642522</v>
      </c>
      <c r="AE113">
        <v>6.5946300648718754</v>
      </c>
      <c r="AF113">
        <v>7.7001553180404896</v>
      </c>
      <c r="AG113">
        <v>17.911710923358413</v>
      </c>
      <c r="AI113">
        <v>2.3138465438382223</v>
      </c>
      <c r="AK113">
        <v>22.935794261496746</v>
      </c>
    </row>
    <row r="114" spans="1:37" x14ac:dyDescent="0.2">
      <c r="A114">
        <v>113</v>
      </c>
      <c r="B114">
        <v>762</v>
      </c>
      <c r="C114">
        <v>195</v>
      </c>
      <c r="D114">
        <v>0.39136405351881698</v>
      </c>
      <c r="E114">
        <v>154.58505290969359</v>
      </c>
      <c r="F114">
        <v>56.10449378238355</v>
      </c>
      <c r="G114">
        <v>70.984508267526607</v>
      </c>
      <c r="H114">
        <v>66.393363217004662</v>
      </c>
      <c r="J114">
        <v>44.035478343882076</v>
      </c>
      <c r="L114">
        <v>3.7440359882329068</v>
      </c>
      <c r="M114">
        <v>13.781783490915627</v>
      </c>
      <c r="N114">
        <v>2.2921372695512656</v>
      </c>
      <c r="O114">
        <v>17.484149403822258</v>
      </c>
      <c r="P114">
        <v>9.3852233266217073</v>
      </c>
      <c r="Q114">
        <v>0.24027694691459067</v>
      </c>
      <c r="R114">
        <v>12.056525385032007</v>
      </c>
      <c r="S114">
        <v>36.296185441264278</v>
      </c>
      <c r="U114">
        <v>2.300674301916446</v>
      </c>
      <c r="V114">
        <v>45.522643503399728</v>
      </c>
      <c r="W114">
        <v>24.482085164540507</v>
      </c>
      <c r="X114">
        <v>45.713337607540481</v>
      </c>
      <c r="Y114">
        <v>5.6256259672258997</v>
      </c>
      <c r="Z114">
        <v>28.401384510845677</v>
      </c>
      <c r="AA114">
        <v>2.7521382321149797</v>
      </c>
      <c r="AB114">
        <v>33.892765493992556</v>
      </c>
      <c r="AC114">
        <v>1.8128287546667541E-2</v>
      </c>
      <c r="AD114">
        <v>6.0076583475930789</v>
      </c>
      <c r="AE114">
        <v>12.437673533165368</v>
      </c>
      <c r="AF114">
        <v>13.43284068447694</v>
      </c>
      <c r="AG114">
        <v>19.503328443789695</v>
      </c>
      <c r="AH114">
        <v>3.3358728043077392</v>
      </c>
      <c r="AI114">
        <v>2.2314515837215403</v>
      </c>
      <c r="AK114">
        <v>41.225611909955887</v>
      </c>
    </row>
    <row r="115" spans="1:37" x14ac:dyDescent="0.2">
      <c r="A115">
        <v>114</v>
      </c>
      <c r="B115">
        <v>760</v>
      </c>
      <c r="C115">
        <v>195</v>
      </c>
      <c r="D115">
        <v>0.39005033151043</v>
      </c>
      <c r="E115">
        <v>154.38387169201698</v>
      </c>
      <c r="F115">
        <v>55.499045281100017</v>
      </c>
      <c r="G115">
        <v>70.881106230791872</v>
      </c>
      <c r="H115">
        <v>66.284990626862026</v>
      </c>
      <c r="J115">
        <v>43.968472346278141</v>
      </c>
      <c r="L115">
        <v>3.6058010639532729</v>
      </c>
      <c r="M115">
        <v>13.691581049356216</v>
      </c>
      <c r="N115">
        <v>2.2779006174981768</v>
      </c>
      <c r="O115">
        <v>16.799584500559909</v>
      </c>
      <c r="P115">
        <v>9.2070291559758299</v>
      </c>
      <c r="Q115">
        <v>0.13692459048191052</v>
      </c>
      <c r="R115">
        <v>11.721620176747473</v>
      </c>
      <c r="S115">
        <v>35.654975880385102</v>
      </c>
      <c r="U115">
        <v>2.1776948100383424</v>
      </c>
      <c r="V115">
        <v>45.376446809317919</v>
      </c>
      <c r="W115">
        <v>24.15611941373977</v>
      </c>
      <c r="X115">
        <v>45.437939829029887</v>
      </c>
      <c r="Y115">
        <v>5.4832400444132983</v>
      </c>
      <c r="Z115">
        <v>28.073301162604416</v>
      </c>
      <c r="AA115">
        <v>2.6086630783955989</v>
      </c>
      <c r="AB115">
        <v>33.675611109759032</v>
      </c>
      <c r="AD115">
        <v>5.8266361586889808</v>
      </c>
      <c r="AE115">
        <v>12.285399695058942</v>
      </c>
      <c r="AF115">
        <v>13.32219289327988</v>
      </c>
      <c r="AG115">
        <v>19.23819505650744</v>
      </c>
      <c r="AH115">
        <v>3.130531256155467</v>
      </c>
      <c r="AI115">
        <v>2.2166553720526574</v>
      </c>
      <c r="AK115">
        <v>41.249734502314737</v>
      </c>
    </row>
    <row r="116" spans="1:37" x14ac:dyDescent="0.2">
      <c r="A116">
        <v>115</v>
      </c>
      <c r="B116">
        <v>758</v>
      </c>
      <c r="C116">
        <v>195</v>
      </c>
      <c r="D116">
        <v>0.38873151335887302</v>
      </c>
      <c r="E116">
        <v>154.12835684434515</v>
      </c>
      <c r="F116">
        <v>54.674656959426741</v>
      </c>
      <c r="G116">
        <v>70.742781173914906</v>
      </c>
      <c r="H116">
        <v>66.141746839209233</v>
      </c>
      <c r="J116">
        <v>43.811296764597444</v>
      </c>
      <c r="L116">
        <v>3.4221233766891928</v>
      </c>
      <c r="M116">
        <v>13.554091340594763</v>
      </c>
      <c r="N116">
        <v>2.2816213806834611</v>
      </c>
      <c r="O116">
        <v>15.966930895811839</v>
      </c>
      <c r="P116">
        <v>8.9769769525250371</v>
      </c>
      <c r="R116">
        <v>11.278359377753818</v>
      </c>
      <c r="S116">
        <v>34.753797355761272</v>
      </c>
      <c r="U116">
        <v>2.0110582493126796</v>
      </c>
      <c r="V116">
        <v>45.16069627910548</v>
      </c>
      <c r="W116">
        <v>23.719064650829473</v>
      </c>
      <c r="X116">
        <v>45.012806183236997</v>
      </c>
      <c r="Y116">
        <v>5.2825124691448853</v>
      </c>
      <c r="Z116">
        <v>27.629311135352147</v>
      </c>
      <c r="AA116">
        <v>2.4185630477014346</v>
      </c>
      <c r="AB116">
        <v>33.378487979123442</v>
      </c>
      <c r="AD116">
        <v>5.5701020785806241</v>
      </c>
      <c r="AE116">
        <v>12.091680521613808</v>
      </c>
      <c r="AF116">
        <v>13.182216425006438</v>
      </c>
      <c r="AG116">
        <v>18.911060329306252</v>
      </c>
      <c r="AH116">
        <v>2.8197518087449405</v>
      </c>
      <c r="AI116">
        <v>2.2198132814205791</v>
      </c>
      <c r="AK116">
        <v>41.226439407347854</v>
      </c>
    </row>
    <row r="117" spans="1:37" x14ac:dyDescent="0.2">
      <c r="A117">
        <v>116</v>
      </c>
      <c r="B117">
        <v>756</v>
      </c>
      <c r="C117">
        <v>195</v>
      </c>
      <c r="D117">
        <v>0.38740756935335302</v>
      </c>
      <c r="E117">
        <v>153.73928724083842</v>
      </c>
      <c r="F117">
        <v>52.929447049051674</v>
      </c>
      <c r="G117">
        <v>70.439460022960105</v>
      </c>
      <c r="H117">
        <v>65.833558945690527</v>
      </c>
      <c r="J117">
        <v>43.510444821585438</v>
      </c>
      <c r="L117">
        <v>2.9616059442819278</v>
      </c>
      <c r="M117">
        <v>13.551755248580196</v>
      </c>
      <c r="N117">
        <v>2.2855690972404061</v>
      </c>
      <c r="O117">
        <v>14.058422953986057</v>
      </c>
      <c r="P117">
        <v>8.4171902865641606</v>
      </c>
      <c r="R117">
        <v>10.652035839763949</v>
      </c>
      <c r="S117">
        <v>34.170665339036454</v>
      </c>
      <c r="U117">
        <v>1.9413480062293451</v>
      </c>
      <c r="V117">
        <v>45.25854202534849</v>
      </c>
      <c r="W117">
        <v>23.262686115001152</v>
      </c>
      <c r="X117">
        <v>44.89133257026802</v>
      </c>
      <c r="Y117">
        <v>4.7610985087582947</v>
      </c>
      <c r="Z117">
        <v>26.700210667207326</v>
      </c>
      <c r="AA117">
        <v>1.9366613936590364</v>
      </c>
      <c r="AB117">
        <v>33.273856307967868</v>
      </c>
      <c r="AD117">
        <v>5.008120499506111</v>
      </c>
      <c r="AE117">
        <v>11.738756394068602</v>
      </c>
      <c r="AF117">
        <v>13.177621746272004</v>
      </c>
      <c r="AG117">
        <v>18.776654053129334</v>
      </c>
      <c r="AH117">
        <v>2.0395628596552706</v>
      </c>
      <c r="AI117">
        <v>2.2231948352560376</v>
      </c>
      <c r="AK117">
        <v>40.989985688838331</v>
      </c>
    </row>
    <row r="118" spans="1:37" x14ac:dyDescent="0.2">
      <c r="A118">
        <v>117</v>
      </c>
      <c r="B118">
        <v>754</v>
      </c>
      <c r="C118">
        <v>195</v>
      </c>
      <c r="D118">
        <v>0.38607846955167302</v>
      </c>
      <c r="E118">
        <v>153.34932538805276</v>
      </c>
      <c r="F118">
        <v>51.143603659456282</v>
      </c>
      <c r="G118">
        <v>70.125407869099789</v>
      </c>
      <c r="H118">
        <v>65.51469220370349</v>
      </c>
      <c r="J118">
        <v>43.174667997745246</v>
      </c>
      <c r="L118">
        <v>2.4791242287212043</v>
      </c>
      <c r="M118">
        <v>13.553200551844736</v>
      </c>
      <c r="N118">
        <v>2.289514522160577</v>
      </c>
      <c r="O118">
        <v>12.085151021865645</v>
      </c>
      <c r="P118">
        <v>7.8359702764631001</v>
      </c>
      <c r="R118">
        <v>9.9858678973678572</v>
      </c>
      <c r="S118">
        <v>33.50834238207235</v>
      </c>
      <c r="U118">
        <v>1.883022930559753</v>
      </c>
      <c r="V118">
        <v>45.333613660211569</v>
      </c>
      <c r="W118">
        <v>22.813261024450128</v>
      </c>
      <c r="X118">
        <v>44.803700508646841</v>
      </c>
      <c r="Y118">
        <v>4.2190484271512823</v>
      </c>
      <c r="Z118">
        <v>25.745679839087082</v>
      </c>
      <c r="AA118">
        <v>1.435412932821353</v>
      </c>
      <c r="AB118">
        <v>33.134102727091481</v>
      </c>
      <c r="AD118">
        <v>4.4275677423431459</v>
      </c>
      <c r="AE118">
        <v>11.37915337592143</v>
      </c>
      <c r="AF118">
        <v>13.176807435337142</v>
      </c>
      <c r="AG118">
        <v>18.607133661000837</v>
      </c>
      <c r="AH118">
        <v>1.227585453494068</v>
      </c>
      <c r="AI118">
        <v>2.2265707738426852</v>
      </c>
      <c r="AK118">
        <v>40.739584065633984</v>
      </c>
    </row>
    <row r="119" spans="1:37" x14ac:dyDescent="0.2">
      <c r="A119">
        <v>118</v>
      </c>
      <c r="B119">
        <v>752</v>
      </c>
      <c r="C119">
        <v>195</v>
      </c>
      <c r="D119">
        <v>0.38474418377798603</v>
      </c>
      <c r="E119">
        <v>153.45792244076546</v>
      </c>
      <c r="F119">
        <v>50.109062683734265</v>
      </c>
      <c r="G119">
        <v>70.089775754006851</v>
      </c>
      <c r="H119">
        <v>65.474297821791197</v>
      </c>
      <c r="J119">
        <v>37.62457203964447</v>
      </c>
      <c r="L119">
        <v>1.5315034816904154</v>
      </c>
      <c r="M119">
        <v>13.22950582718483</v>
      </c>
      <c r="N119">
        <v>2.2934877760486452</v>
      </c>
      <c r="O119">
        <v>7.1592304311622845</v>
      </c>
      <c r="P119">
        <v>7.8116493082121439</v>
      </c>
      <c r="R119">
        <v>8.7839215594248437</v>
      </c>
      <c r="S119">
        <v>31.054690640262287</v>
      </c>
      <c r="U119">
        <v>1.8820602937335129</v>
      </c>
      <c r="V119">
        <v>45.564433939212861</v>
      </c>
      <c r="W119">
        <v>22.103507052386995</v>
      </c>
      <c r="X119">
        <v>44.879996067601184</v>
      </c>
      <c r="Y119">
        <v>3.5409984064484745</v>
      </c>
      <c r="Z119">
        <v>23.289592962508735</v>
      </c>
      <c r="AB119">
        <v>31.891579467137888</v>
      </c>
      <c r="AD119">
        <v>3.1333522827874765</v>
      </c>
      <c r="AE119">
        <v>9.938391433417225</v>
      </c>
      <c r="AF119">
        <v>12.850882234540917</v>
      </c>
      <c r="AG119">
        <v>17.334881551700956</v>
      </c>
      <c r="AI119">
        <v>2.2299712030734407</v>
      </c>
      <c r="AK119">
        <v>37.020018076104279</v>
      </c>
    </row>
    <row r="120" spans="1:37" x14ac:dyDescent="0.2">
      <c r="A120">
        <v>119</v>
      </c>
      <c r="B120">
        <v>750</v>
      </c>
      <c r="C120">
        <v>195</v>
      </c>
      <c r="D120">
        <v>0.38340468162048602</v>
      </c>
      <c r="E120">
        <v>154.18988145325079</v>
      </c>
      <c r="F120">
        <v>49.976744739336112</v>
      </c>
      <c r="G120">
        <v>70.273229783288713</v>
      </c>
      <c r="H120">
        <v>65.653042073083625</v>
      </c>
      <c r="J120">
        <v>28.546316574407886</v>
      </c>
      <c r="L120">
        <v>1.5922886660652367</v>
      </c>
      <c r="M120">
        <v>12.109866812156104</v>
      </c>
      <c r="N120">
        <v>2.2974992920720623</v>
      </c>
      <c r="O120">
        <v>6.793984525439229</v>
      </c>
      <c r="P120">
        <v>8.2255702092452481</v>
      </c>
      <c r="R120">
        <v>8.1117376286035814</v>
      </c>
      <c r="S120">
        <v>31.47584486325351</v>
      </c>
      <c r="U120">
        <v>1.8885414000085801</v>
      </c>
      <c r="V120">
        <v>46.922975177097968</v>
      </c>
      <c r="W120">
        <v>20.798278927152687</v>
      </c>
      <c r="X120">
        <v>44.973842941249316</v>
      </c>
      <c r="Y120">
        <v>3.5859771028295579</v>
      </c>
      <c r="Z120">
        <v>19.257063898778274</v>
      </c>
      <c r="AB120">
        <v>30.25218621168526</v>
      </c>
      <c r="AD120">
        <v>1.1761390731837333</v>
      </c>
      <c r="AE120">
        <v>7.4957656394981429</v>
      </c>
      <c r="AF120">
        <v>11.729052359747605</v>
      </c>
      <c r="AG120">
        <v>15.665807889810377</v>
      </c>
      <c r="AI120">
        <v>2.2334065414007429</v>
      </c>
      <c r="AK120">
        <v>30.746522957103515</v>
      </c>
    </row>
    <row r="121" spans="1:37" x14ac:dyDescent="0.2">
      <c r="A121">
        <v>120</v>
      </c>
      <c r="B121">
        <v>748</v>
      </c>
      <c r="C121">
        <v>195</v>
      </c>
      <c r="D121">
        <v>0.382059932429125</v>
      </c>
      <c r="E121">
        <v>154.63818936802147</v>
      </c>
      <c r="F121">
        <v>50.426405092002277</v>
      </c>
      <c r="G121">
        <v>70.333052294184512</v>
      </c>
      <c r="H121">
        <v>65.708207462997706</v>
      </c>
      <c r="J121">
        <v>24.694677060880231</v>
      </c>
      <c r="L121">
        <v>1.6297083184328984</v>
      </c>
      <c r="M121">
        <v>11.234839655667127</v>
      </c>
      <c r="N121">
        <v>2.3014934636596864</v>
      </c>
      <c r="O121">
        <v>6.5829068928816028</v>
      </c>
      <c r="P121">
        <v>8.392242231543241</v>
      </c>
      <c r="R121">
        <v>7.5220530080935983</v>
      </c>
      <c r="S121">
        <v>32.065405335403199</v>
      </c>
      <c r="U121">
        <v>1.8574073986250361</v>
      </c>
      <c r="V121">
        <v>48.056151653665012</v>
      </c>
      <c r="W121">
        <v>19.758579432239177</v>
      </c>
      <c r="X121">
        <v>44.960584736728293</v>
      </c>
      <c r="Y121">
        <v>3.5670315638803647</v>
      </c>
      <c r="Z121">
        <v>17.721001248904852</v>
      </c>
      <c r="AB121">
        <v>30.084557953280939</v>
      </c>
      <c r="AD121">
        <v>0.40110134089991989</v>
      </c>
      <c r="AE121">
        <v>6.5733213217639257</v>
      </c>
      <c r="AF121">
        <v>10.851818398640388</v>
      </c>
      <c r="AG121">
        <v>15.468492109443838</v>
      </c>
      <c r="AI121">
        <v>2.2368211675354086</v>
      </c>
      <c r="AK121">
        <v>27.973438159572162</v>
      </c>
    </row>
    <row r="122" spans="1:37" x14ac:dyDescent="0.2">
      <c r="A122">
        <v>121</v>
      </c>
      <c r="B122">
        <v>746</v>
      </c>
      <c r="C122">
        <v>195</v>
      </c>
      <c r="D122">
        <v>0.38070990531325299</v>
      </c>
      <c r="E122">
        <v>154.93486024401341</v>
      </c>
      <c r="F122">
        <v>51.171632367007589</v>
      </c>
      <c r="G122">
        <v>70.307593218573189</v>
      </c>
      <c r="H122">
        <v>65.678144092249511</v>
      </c>
      <c r="J122">
        <v>22.295662727531134</v>
      </c>
      <c r="L122">
        <v>1.65411658721594</v>
      </c>
      <c r="M122">
        <v>10.478538039681313</v>
      </c>
      <c r="N122">
        <v>2.3054773185346447</v>
      </c>
      <c r="O122">
        <v>6.500625095356086</v>
      </c>
      <c r="P122">
        <v>8.3883724516889462</v>
      </c>
      <c r="R122">
        <v>6.9351994760176492</v>
      </c>
      <c r="S122">
        <v>32.660391460782783</v>
      </c>
      <c r="U122">
        <v>1.8190372666181451</v>
      </c>
      <c r="V122">
        <v>49.03122179742887</v>
      </c>
      <c r="W122">
        <v>18.841568160156317</v>
      </c>
      <c r="X122">
        <v>44.927461578437956</v>
      </c>
      <c r="Y122">
        <v>3.505558912764084</v>
      </c>
      <c r="Z122">
        <v>17.631403627197045</v>
      </c>
      <c r="AB122">
        <v>30.688845447435817</v>
      </c>
      <c r="AE122">
        <v>6.5055548802463008</v>
      </c>
      <c r="AF122">
        <v>10.093301106454462</v>
      </c>
      <c r="AG122">
        <v>16.043092042288123</v>
      </c>
      <c r="AI122">
        <v>2.2402220944797326</v>
      </c>
      <c r="AK122">
        <v>26.196216536897442</v>
      </c>
    </row>
    <row r="123" spans="1:37" x14ac:dyDescent="0.2">
      <c r="A123">
        <v>122</v>
      </c>
      <c r="B123">
        <v>744</v>
      </c>
      <c r="C123">
        <v>195</v>
      </c>
      <c r="D123">
        <v>0.37935456913926302</v>
      </c>
      <c r="E123">
        <v>155.16973402816328</v>
      </c>
      <c r="F123">
        <v>51.858554070336666</v>
      </c>
      <c r="G123">
        <v>70.270208514543086</v>
      </c>
      <c r="H123">
        <v>65.636208088425761</v>
      </c>
      <c r="J123">
        <v>20.628233792873829</v>
      </c>
      <c r="L123">
        <v>1.6741823713502926</v>
      </c>
      <c r="M123">
        <v>9.8155757293617736</v>
      </c>
      <c r="N123">
        <v>2.3094566246571557</v>
      </c>
      <c r="O123">
        <v>6.4308481299949101</v>
      </c>
      <c r="P123">
        <v>8.3606787399541265</v>
      </c>
      <c r="R123">
        <v>6.4040142310136074</v>
      </c>
      <c r="S123">
        <v>33.197115074521655</v>
      </c>
      <c r="U123">
        <v>1.7771835519858987</v>
      </c>
      <c r="V123">
        <v>49.880865312947726</v>
      </c>
      <c r="W123">
        <v>18.019739212899939</v>
      </c>
      <c r="X123">
        <v>44.885223375405253</v>
      </c>
      <c r="Y123">
        <v>3.4478664994150057</v>
      </c>
      <c r="Z123">
        <v>17.711838811211074</v>
      </c>
      <c r="AB123">
        <v>31.317354032572435</v>
      </c>
      <c r="AE123">
        <v>6.5388342588096995</v>
      </c>
      <c r="AF123">
        <v>9.428120062068917</v>
      </c>
      <c r="AG123">
        <v>16.64191884348293</v>
      </c>
      <c r="AI123">
        <v>2.2436150754715856</v>
      </c>
      <c r="AK123">
        <v>24.932184340732384</v>
      </c>
    </row>
    <row r="124" spans="1:37" x14ac:dyDescent="0.2">
      <c r="A124">
        <v>123</v>
      </c>
      <c r="B124">
        <v>742</v>
      </c>
      <c r="C124">
        <v>195</v>
      </c>
      <c r="D124">
        <v>0.37799389252819798</v>
      </c>
      <c r="E124">
        <v>155.36896327059509</v>
      </c>
      <c r="F124">
        <v>52.466310419860449</v>
      </c>
      <c r="G124">
        <v>70.232271260891196</v>
      </c>
      <c r="H124">
        <v>65.593772700488188</v>
      </c>
      <c r="J124">
        <v>19.377612032281615</v>
      </c>
      <c r="L124">
        <v>1.6919525057637912</v>
      </c>
      <c r="M124">
        <v>9.2195827950677245</v>
      </c>
      <c r="N124">
        <v>2.3134328286622159</v>
      </c>
      <c r="O124">
        <v>6.357515352870089</v>
      </c>
      <c r="P124">
        <v>8.3319088877445431</v>
      </c>
      <c r="R124">
        <v>5.9204569324213479</v>
      </c>
      <c r="S124">
        <v>33.680102246965916</v>
      </c>
      <c r="U124">
        <v>1.7334249232693144</v>
      </c>
      <c r="V124">
        <v>50.638829155031438</v>
      </c>
      <c r="W124">
        <v>17.265855764741779</v>
      </c>
      <c r="X124">
        <v>44.83839491138707</v>
      </c>
      <c r="Y124">
        <v>3.3979871597194973</v>
      </c>
      <c r="Z124">
        <v>17.780213457640389</v>
      </c>
      <c r="AB124">
        <v>31.881159531026455</v>
      </c>
      <c r="AE124">
        <v>6.5658721855696198</v>
      </c>
      <c r="AF124">
        <v>8.8299068284415316</v>
      </c>
      <c r="AG124">
        <v>17.176049831075204</v>
      </c>
      <c r="AI124">
        <v>2.2470015424228014</v>
      </c>
      <c r="AK124">
        <v>23.965368398853794</v>
      </c>
    </row>
    <row r="125" spans="1:37" x14ac:dyDescent="0.2">
      <c r="A125">
        <v>124</v>
      </c>
      <c r="B125">
        <v>740</v>
      </c>
      <c r="C125">
        <v>195</v>
      </c>
      <c r="D125">
        <v>0.37662784385333098</v>
      </c>
      <c r="E125">
        <v>155.54224654974732</v>
      </c>
      <c r="F125">
        <v>53.016572671466662</v>
      </c>
      <c r="G125">
        <v>70.193966454521387</v>
      </c>
      <c r="H125">
        <v>65.55102309617736</v>
      </c>
      <c r="J125">
        <v>18.390407781503018</v>
      </c>
      <c r="L125">
        <v>1.7081212216559398</v>
      </c>
      <c r="M125">
        <v>8.6729851486515539</v>
      </c>
      <c r="N125">
        <v>2.3174064834918697</v>
      </c>
      <c r="O125">
        <v>6.2822752535999973</v>
      </c>
      <c r="P125">
        <v>8.3024336300375037</v>
      </c>
      <c r="R125">
        <v>5.4721816137520447</v>
      </c>
      <c r="S125">
        <v>34.121407099763147</v>
      </c>
      <c r="U125">
        <v>1.6884814362357394</v>
      </c>
      <c r="V125">
        <v>51.327913480729244</v>
      </c>
      <c r="W125">
        <v>16.561956188986606</v>
      </c>
      <c r="X125">
        <v>44.7890386737255</v>
      </c>
      <c r="Y125">
        <v>3.3538485411475851</v>
      </c>
      <c r="Z125">
        <v>17.83988158149829</v>
      </c>
      <c r="AB125">
        <v>32.395954464052416</v>
      </c>
      <c r="AE125">
        <v>6.5883864013120901</v>
      </c>
      <c r="AF125">
        <v>8.2810879165335649</v>
      </c>
      <c r="AG125">
        <v>17.66117812864746</v>
      </c>
      <c r="AI125">
        <v>2.2503820335508662</v>
      </c>
      <c r="AK125">
        <v>23.188850979634783</v>
      </c>
    </row>
    <row r="126" spans="1:37" x14ac:dyDescent="0.2">
      <c r="A126">
        <v>125</v>
      </c>
      <c r="B126">
        <v>738</v>
      </c>
      <c r="C126">
        <v>195</v>
      </c>
      <c r="D126">
        <v>0.37525639123770199</v>
      </c>
      <c r="E126">
        <v>155.69554773133601</v>
      </c>
      <c r="F126">
        <v>53.522646213895797</v>
      </c>
      <c r="G126">
        <v>70.155400775341306</v>
      </c>
      <c r="H126">
        <v>65.50806612691143</v>
      </c>
      <c r="J126">
        <v>17.584088208886417</v>
      </c>
      <c r="L126">
        <v>1.7230418464362265</v>
      </c>
      <c r="M126">
        <v>8.1647883644849308</v>
      </c>
      <c r="N126">
        <v>2.32137795600514</v>
      </c>
      <c r="O126">
        <v>6.2061106386196245</v>
      </c>
      <c r="P126">
        <v>8.272466882789443</v>
      </c>
      <c r="R126">
        <v>5.0515409658107409</v>
      </c>
      <c r="S126">
        <v>34.529416789162852</v>
      </c>
      <c r="U126">
        <v>1.642710627970525</v>
      </c>
      <c r="V126">
        <v>51.962751563502295</v>
      </c>
      <c r="W126">
        <v>15.896856014988039</v>
      </c>
      <c r="X126">
        <v>44.73817657318618</v>
      </c>
      <c r="Y126">
        <v>3.3141531666843487</v>
      </c>
      <c r="Z126">
        <v>17.892898033823229</v>
      </c>
      <c r="AB126">
        <v>32.872023465474676</v>
      </c>
      <c r="AE126">
        <v>6.6074335264486868</v>
      </c>
      <c r="AF126">
        <v>7.7706693139540519</v>
      </c>
      <c r="AG126">
        <v>18.107588786591155</v>
      </c>
      <c r="AI126">
        <v>2.253756900990592</v>
      </c>
      <c r="AK126">
        <v>22.544534555336686</v>
      </c>
    </row>
    <row r="127" spans="1:37" x14ac:dyDescent="0.2">
      <c r="A127">
        <v>126</v>
      </c>
      <c r="B127">
        <v>764</v>
      </c>
      <c r="C127">
        <v>180</v>
      </c>
      <c r="D127">
        <v>0.40858169020874802</v>
      </c>
      <c r="E127">
        <v>146.00575662483814</v>
      </c>
      <c r="F127">
        <v>56.333045892080222</v>
      </c>
      <c r="G127">
        <v>71.085512449317676</v>
      </c>
      <c r="H127">
        <v>66.498751196445028</v>
      </c>
      <c r="J127">
        <v>43.838589109302994</v>
      </c>
      <c r="L127">
        <v>3.8049242683800659</v>
      </c>
      <c r="M127">
        <v>13.846323743127133</v>
      </c>
      <c r="N127">
        <v>2.2433068282181701</v>
      </c>
      <c r="O127">
        <v>18.28811219410742</v>
      </c>
      <c r="P127">
        <v>9.4109135585179047</v>
      </c>
      <c r="Q127">
        <v>5.7779740209269223E-2</v>
      </c>
      <c r="R127">
        <v>12.370228903287735</v>
      </c>
      <c r="S127">
        <v>36.696127484284062</v>
      </c>
      <c r="U127">
        <v>2.4034246463132281</v>
      </c>
      <c r="V127">
        <v>45.311893005365533</v>
      </c>
      <c r="W127">
        <v>25.224082528037655</v>
      </c>
      <c r="X127">
        <v>45.005410814503577</v>
      </c>
      <c r="Y127">
        <v>5.6356104620378558</v>
      </c>
      <c r="Z127">
        <v>28.710704546180832</v>
      </c>
      <c r="AA127">
        <v>2.8350466806692856</v>
      </c>
      <c r="AB127">
        <v>34.130046201442909</v>
      </c>
      <c r="AC127">
        <v>2.8213806344086965E-2</v>
      </c>
      <c r="AD127">
        <v>6.1672213091895607</v>
      </c>
      <c r="AE127">
        <v>12.706622495365451</v>
      </c>
      <c r="AF127">
        <v>13.501039049340353</v>
      </c>
      <c r="AG127">
        <v>19.790177450573374</v>
      </c>
      <c r="AH127">
        <v>3.2334230463072409</v>
      </c>
      <c r="AI127">
        <v>2.1813551450419544</v>
      </c>
      <c r="AK127">
        <v>40.952765554895763</v>
      </c>
    </row>
    <row r="128" spans="1:37" x14ac:dyDescent="0.2">
      <c r="A128">
        <v>127</v>
      </c>
      <c r="B128">
        <v>762</v>
      </c>
      <c r="C128">
        <v>180</v>
      </c>
      <c r="D128">
        <v>0.40730377240013699</v>
      </c>
      <c r="E128">
        <v>145.80085355935284</v>
      </c>
      <c r="F128">
        <v>55.627300423583875</v>
      </c>
      <c r="G128">
        <v>70.962201189741094</v>
      </c>
      <c r="H128">
        <v>66.370405508659388</v>
      </c>
      <c r="J128">
        <v>43.784189016057994</v>
      </c>
      <c r="L128">
        <v>3.62794618666697</v>
      </c>
      <c r="M128">
        <v>13.808687462411433</v>
      </c>
      <c r="N128">
        <v>2.2210696773881748</v>
      </c>
      <c r="O128">
        <v>17.435111056098901</v>
      </c>
      <c r="P128">
        <v>9.1848584795714121</v>
      </c>
      <c r="R128">
        <v>12.04942112387786</v>
      </c>
      <c r="S128">
        <v>36.255079739642063</v>
      </c>
      <c r="U128">
        <v>2.3220322031014771</v>
      </c>
      <c r="V128">
        <v>45.272016062697936</v>
      </c>
      <c r="W128">
        <v>24.943686631213346</v>
      </c>
      <c r="X128">
        <v>44.868577736663603</v>
      </c>
      <c r="Y128">
        <v>5.4501712539418143</v>
      </c>
      <c r="Z128">
        <v>28.32828749462286</v>
      </c>
      <c r="AA128">
        <v>2.6496973244689652</v>
      </c>
      <c r="AB128">
        <v>33.995644170794712</v>
      </c>
      <c r="AC128">
        <v>2.0108402750880516E-3</v>
      </c>
      <c r="AD128">
        <v>5.9542265115104023</v>
      </c>
      <c r="AE128">
        <v>12.537355161464079</v>
      </c>
      <c r="AF128">
        <v>13.434951534023911</v>
      </c>
      <c r="AG128">
        <v>19.599825433102737</v>
      </c>
      <c r="AH128">
        <v>2.9743102292681809</v>
      </c>
      <c r="AI128">
        <v>2.1585630674005909</v>
      </c>
      <c r="AK128">
        <v>40.952848938166312</v>
      </c>
    </row>
    <row r="129" spans="1:37" x14ac:dyDescent="0.2">
      <c r="A129">
        <v>128</v>
      </c>
      <c r="B129">
        <v>760</v>
      </c>
      <c r="C129">
        <v>180</v>
      </c>
      <c r="D129">
        <v>0.40602090693510101</v>
      </c>
      <c r="E129">
        <v>145.4269424490638</v>
      </c>
      <c r="F129">
        <v>53.954409543140017</v>
      </c>
      <c r="G129">
        <v>70.670754622721446</v>
      </c>
      <c r="H129">
        <v>66.073976176805203</v>
      </c>
      <c r="J129">
        <v>43.499795703314213</v>
      </c>
      <c r="L129">
        <v>3.1852574031283512</v>
      </c>
      <c r="M129">
        <v>13.807647202055511</v>
      </c>
      <c r="N129">
        <v>2.2227064410208119</v>
      </c>
      <c r="O129">
        <v>15.59054138860866</v>
      </c>
      <c r="P129">
        <v>8.6464371057745648</v>
      </c>
      <c r="R129">
        <v>11.444251934167854</v>
      </c>
      <c r="S129">
        <v>35.687436785159086</v>
      </c>
      <c r="U129">
        <v>2.2559638136065479</v>
      </c>
      <c r="V129">
        <v>45.364069884132547</v>
      </c>
      <c r="W129">
        <v>24.501501171779005</v>
      </c>
      <c r="X129">
        <v>44.761474519168601</v>
      </c>
      <c r="Y129">
        <v>4.9505217284172423</v>
      </c>
      <c r="Z129">
        <v>27.434155409968625</v>
      </c>
      <c r="AA129">
        <v>2.1867766014293886</v>
      </c>
      <c r="AB129">
        <v>33.888717012249707</v>
      </c>
      <c r="AD129">
        <v>5.4159089565994547</v>
      </c>
      <c r="AE129">
        <v>12.195589819188818</v>
      </c>
      <c r="AF129">
        <v>13.429335098563163</v>
      </c>
      <c r="AG129">
        <v>19.460832146804385</v>
      </c>
      <c r="AH129">
        <v>2.2290222554726373</v>
      </c>
      <c r="AI129">
        <v>2.1596416247183083</v>
      </c>
      <c r="AK129">
        <v>40.732803100145567</v>
      </c>
    </row>
    <row r="130" spans="1:37" x14ac:dyDescent="0.2">
      <c r="A130">
        <v>129</v>
      </c>
      <c r="B130">
        <v>758</v>
      </c>
      <c r="C130">
        <v>180</v>
      </c>
      <c r="D130">
        <v>0.40473306502448703</v>
      </c>
      <c r="E130">
        <v>145.04169373401524</v>
      </c>
      <c r="F130">
        <v>52.19067842149844</v>
      </c>
      <c r="G130">
        <v>70.360282839448544</v>
      </c>
      <c r="H130">
        <v>65.758573457011835</v>
      </c>
      <c r="J130">
        <v>43.167871712607798</v>
      </c>
      <c r="L130">
        <v>2.7085576311345938</v>
      </c>
      <c r="M130">
        <v>13.808054307085303</v>
      </c>
      <c r="N130">
        <v>2.2266562037673769</v>
      </c>
      <c r="O130">
        <v>13.636970785279292</v>
      </c>
      <c r="P130">
        <v>8.072308883219911</v>
      </c>
      <c r="R130">
        <v>10.783381067737871</v>
      </c>
      <c r="S130">
        <v>35.022448114920145</v>
      </c>
      <c r="U130">
        <v>2.1978632407819525</v>
      </c>
      <c r="V130">
        <v>45.435178689093156</v>
      </c>
      <c r="W130">
        <v>24.051039858396397</v>
      </c>
      <c r="X130">
        <v>44.675896661546901</v>
      </c>
      <c r="Y130">
        <v>4.4153333337615566</v>
      </c>
      <c r="Z130">
        <v>26.488353706347397</v>
      </c>
      <c r="AA130">
        <v>1.6918273583776027</v>
      </c>
      <c r="AB130">
        <v>33.744532096313151</v>
      </c>
      <c r="AD130">
        <v>4.8422960015787613</v>
      </c>
      <c r="AE130">
        <v>11.838082070346696</v>
      </c>
      <c r="AF130">
        <v>13.42748021697153</v>
      </c>
      <c r="AG130">
        <v>19.286904093472359</v>
      </c>
      <c r="AH130">
        <v>1.4276602908219969</v>
      </c>
      <c r="AI130">
        <v>2.163029886948503</v>
      </c>
      <c r="AK130">
        <v>40.488095224217666</v>
      </c>
    </row>
    <row r="131" spans="1:37" x14ac:dyDescent="0.2">
      <c r="A131">
        <v>130</v>
      </c>
      <c r="B131">
        <v>756</v>
      </c>
      <c r="C131">
        <v>180</v>
      </c>
      <c r="D131">
        <v>0.40344021765534699</v>
      </c>
      <c r="E131">
        <v>144.65359570326717</v>
      </c>
      <c r="F131">
        <v>50.36454860872022</v>
      </c>
      <c r="G131">
        <v>70.035438061371806</v>
      </c>
      <c r="H131">
        <v>65.42884973631044</v>
      </c>
      <c r="J131">
        <v>42.78567639551239</v>
      </c>
      <c r="L131">
        <v>2.2028907488200713</v>
      </c>
      <c r="M131">
        <v>13.811639190005211</v>
      </c>
      <c r="N131">
        <v>2.2306033385538853</v>
      </c>
      <c r="O131">
        <v>11.593558979351217</v>
      </c>
      <c r="P131">
        <v>7.469462807779891</v>
      </c>
      <c r="R131">
        <v>10.071301215473845</v>
      </c>
      <c r="S131">
        <v>34.24622234679228</v>
      </c>
      <c r="U131">
        <v>2.1525123812066687</v>
      </c>
      <c r="V131">
        <v>45.475953703133989</v>
      </c>
      <c r="W131">
        <v>23.607376060030191</v>
      </c>
      <c r="X131">
        <v>44.628194703206063</v>
      </c>
      <c r="Y131">
        <v>3.8522187739416096</v>
      </c>
      <c r="Z131">
        <v>25.50069158726053</v>
      </c>
      <c r="AA131">
        <v>1.1703069948365155</v>
      </c>
      <c r="AB131">
        <v>33.549083019503698</v>
      </c>
      <c r="AD131">
        <v>4.24040380025047</v>
      </c>
      <c r="AE131">
        <v>11.466971229013064</v>
      </c>
      <c r="AF131">
        <v>13.428801719212833</v>
      </c>
      <c r="AG131">
        <v>19.061719289480781</v>
      </c>
      <c r="AH131">
        <v>0.58327317318211103</v>
      </c>
      <c r="AI131">
        <v>2.1664122123143992</v>
      </c>
      <c r="AK131">
        <v>40.22228043762982</v>
      </c>
    </row>
    <row r="132" spans="1:37" x14ac:dyDescent="0.2">
      <c r="A132">
        <v>131</v>
      </c>
      <c r="B132">
        <v>754</v>
      </c>
      <c r="C132">
        <v>180</v>
      </c>
      <c r="D132">
        <v>0.402142335588766</v>
      </c>
      <c r="E132">
        <v>145.5102879786381</v>
      </c>
      <c r="F132">
        <v>50.480129928859334</v>
      </c>
      <c r="G132">
        <v>70.360924519268806</v>
      </c>
      <c r="H132">
        <v>65.749509411701482</v>
      </c>
      <c r="J132">
        <v>31.423106293343938</v>
      </c>
      <c r="L132">
        <v>1.5493894455929111</v>
      </c>
      <c r="M132">
        <v>12.845515276742233</v>
      </c>
      <c r="N132">
        <v>2.2346209913008637</v>
      </c>
      <c r="O132">
        <v>7.3565989348961613</v>
      </c>
      <c r="P132">
        <v>8.1673806679788896</v>
      </c>
      <c r="R132">
        <v>8.868436683654922</v>
      </c>
      <c r="S132">
        <v>31.970909223048103</v>
      </c>
      <c r="U132">
        <v>2.2171365784922008</v>
      </c>
      <c r="V132">
        <v>46.311626502127794</v>
      </c>
      <c r="W132">
        <v>22.382366806801642</v>
      </c>
      <c r="X132">
        <v>44.891116993723209</v>
      </c>
      <c r="Y132">
        <v>3.5458794694556355</v>
      </c>
      <c r="Z132">
        <v>21.01147518721675</v>
      </c>
      <c r="AB132">
        <v>31.032356172221323</v>
      </c>
      <c r="AD132">
        <v>2.0532732410271697</v>
      </c>
      <c r="AE132">
        <v>8.5968286420609914</v>
      </c>
      <c r="AF132">
        <v>12.460486221871491</v>
      </c>
      <c r="AG132">
        <v>16.515337318382297</v>
      </c>
      <c r="AI132">
        <v>2.1698617320287297</v>
      </c>
      <c r="AK132">
        <v>32.576794188297526</v>
      </c>
    </row>
    <row r="133" spans="1:37" x14ac:dyDescent="0.2">
      <c r="A133">
        <v>132</v>
      </c>
      <c r="B133">
        <v>752</v>
      </c>
      <c r="C133">
        <v>180</v>
      </c>
      <c r="D133">
        <v>0.40083938935765601</v>
      </c>
      <c r="E133">
        <v>146.04863129337903</v>
      </c>
      <c r="F133">
        <v>50.801606351714511</v>
      </c>
      <c r="G133">
        <v>70.455224227404827</v>
      </c>
      <c r="H133">
        <v>65.839034664322767</v>
      </c>
      <c r="J133">
        <v>26.191909069746327</v>
      </c>
      <c r="L133">
        <v>1.5923235476641895</v>
      </c>
      <c r="M133">
        <v>11.891162570991611</v>
      </c>
      <c r="N133">
        <v>2.2386233021827104</v>
      </c>
      <c r="O133">
        <v>7.1018379078351455</v>
      </c>
      <c r="P133">
        <v>8.4029408145793774</v>
      </c>
      <c r="R133">
        <v>8.239690413421668</v>
      </c>
      <c r="S133">
        <v>32.469884903198931</v>
      </c>
      <c r="U133">
        <v>2.2014208956734769</v>
      </c>
      <c r="V133">
        <v>47.505283432849893</v>
      </c>
      <c r="W133">
        <v>21.252021238436399</v>
      </c>
      <c r="X133">
        <v>44.923229292089516</v>
      </c>
      <c r="Y133">
        <v>3.5385390279028481</v>
      </c>
      <c r="Z133">
        <v>18.800067715684701</v>
      </c>
      <c r="AB133">
        <v>30.449859897861565</v>
      </c>
      <c r="AD133">
        <v>0.95717898903220588</v>
      </c>
      <c r="AE133">
        <v>7.2628422385729037</v>
      </c>
      <c r="AF133">
        <v>11.503927913754156</v>
      </c>
      <c r="AG133">
        <v>15.903180711278997</v>
      </c>
      <c r="AI133">
        <v>2.1732925715541391</v>
      </c>
      <c r="AK133">
        <v>28.886057214739917</v>
      </c>
    </row>
    <row r="134" spans="1:37" x14ac:dyDescent="0.2">
      <c r="A134">
        <v>133</v>
      </c>
      <c r="B134">
        <v>750</v>
      </c>
      <c r="C134">
        <v>180</v>
      </c>
      <c r="D134">
        <v>0.39953134926452799</v>
      </c>
      <c r="E134">
        <v>146.42766133732795</v>
      </c>
      <c r="F134">
        <v>51.268520245063975</v>
      </c>
      <c r="G134">
        <v>70.49238936822492</v>
      </c>
      <c r="H134">
        <v>65.871477844141452</v>
      </c>
      <c r="J134">
        <v>23.333188576660294</v>
      </c>
      <c r="L134">
        <v>1.6230206327376036</v>
      </c>
      <c r="M134">
        <v>11.104982144865261</v>
      </c>
      <c r="N134">
        <v>2.2426154389833624</v>
      </c>
      <c r="O134">
        <v>6.9116965378797355</v>
      </c>
      <c r="P134">
        <v>8.5242529633245656</v>
      </c>
      <c r="R134">
        <v>7.6873165410341935</v>
      </c>
      <c r="S134">
        <v>32.994665654025077</v>
      </c>
      <c r="U134">
        <v>2.1674999761584308</v>
      </c>
      <c r="V134">
        <v>48.515838320799148</v>
      </c>
      <c r="W134">
        <v>20.300063076672725</v>
      </c>
      <c r="X134">
        <v>44.903988062459376</v>
      </c>
      <c r="Y134">
        <v>3.5110526894547105</v>
      </c>
      <c r="Z134">
        <v>17.640796683498191</v>
      </c>
      <c r="AB134">
        <v>30.42756864863572</v>
      </c>
      <c r="AD134">
        <v>0.36430873786144635</v>
      </c>
      <c r="AE134">
        <v>6.5643158709424441</v>
      </c>
      <c r="AF134">
        <v>10.71553307989975</v>
      </c>
      <c r="AG134">
        <v>15.851229136000693</v>
      </c>
      <c r="AI134">
        <v>2.176709883959667</v>
      </c>
      <c r="AK134">
        <v>26.801913974047835</v>
      </c>
    </row>
    <row r="135" spans="1:37" x14ac:dyDescent="0.2">
      <c r="A135">
        <v>134</v>
      </c>
      <c r="B135">
        <v>748</v>
      </c>
      <c r="C135">
        <v>180</v>
      </c>
      <c r="D135">
        <v>0.39821818537923098</v>
      </c>
      <c r="E135">
        <v>146.69150771519625</v>
      </c>
      <c r="F135">
        <v>51.967693527090987</v>
      </c>
      <c r="G135">
        <v>70.462492579642031</v>
      </c>
      <c r="H135">
        <v>65.836911757247336</v>
      </c>
      <c r="J135">
        <v>21.373318277511686</v>
      </c>
      <c r="L135">
        <v>1.6444676096680706</v>
      </c>
      <c r="M135">
        <v>10.404717026377609</v>
      </c>
      <c r="N135">
        <v>2.2465997943889073</v>
      </c>
      <c r="O135">
        <v>6.8235386573728585</v>
      </c>
      <c r="P135">
        <v>8.5114649668126781</v>
      </c>
      <c r="R135">
        <v>7.133283983599604</v>
      </c>
      <c r="S135">
        <v>33.530556989840122</v>
      </c>
      <c r="U135">
        <v>2.128147954721971</v>
      </c>
      <c r="V135">
        <v>49.411385613754831</v>
      </c>
      <c r="W135">
        <v>19.437031729766808</v>
      </c>
      <c r="X135">
        <v>44.870081183330846</v>
      </c>
      <c r="Y135">
        <v>3.4518059131722354</v>
      </c>
      <c r="Z135">
        <v>17.606121829203467</v>
      </c>
      <c r="AB135">
        <v>31.009691264107662</v>
      </c>
      <c r="AE135">
        <v>6.5295892942854099</v>
      </c>
      <c r="AF135">
        <v>10.013047186352905</v>
      </c>
      <c r="AG135">
        <v>16.403693872937541</v>
      </c>
      <c r="AI135">
        <v>2.1801160472131293</v>
      </c>
      <c r="AK135">
        <v>25.336656758538648</v>
      </c>
    </row>
    <row r="136" spans="1:37" x14ac:dyDescent="0.2">
      <c r="A136">
        <v>135</v>
      </c>
      <c r="B136">
        <v>746</v>
      </c>
      <c r="C136">
        <v>180</v>
      </c>
      <c r="D136">
        <v>0.396899867536674</v>
      </c>
      <c r="E136">
        <v>146.90686951065638</v>
      </c>
      <c r="F136">
        <v>52.611114498554187</v>
      </c>
      <c r="G136">
        <v>70.424613070488149</v>
      </c>
      <c r="H136">
        <v>65.794415781309539</v>
      </c>
      <c r="J136">
        <v>19.941823285553284</v>
      </c>
      <c r="L136">
        <v>1.6626286397932999</v>
      </c>
      <c r="M136">
        <v>9.7797953134628894</v>
      </c>
      <c r="N136">
        <v>2.2505804711612032</v>
      </c>
      <c r="O136">
        <v>6.7432168475316745</v>
      </c>
      <c r="P136">
        <v>8.4827395305894946</v>
      </c>
      <c r="R136">
        <v>6.6266196827317714</v>
      </c>
      <c r="S136">
        <v>34.020805664158601</v>
      </c>
      <c r="U136">
        <v>2.0856736337934323</v>
      </c>
      <c r="V136">
        <v>50.206544367128686</v>
      </c>
      <c r="W136">
        <v>18.651012631331685</v>
      </c>
      <c r="X136">
        <v>44.82811908334989</v>
      </c>
      <c r="Y136">
        <v>3.3970557195735123</v>
      </c>
      <c r="Z136">
        <v>17.680685412836162</v>
      </c>
      <c r="AB136">
        <v>31.596177719990564</v>
      </c>
      <c r="AE136">
        <v>6.5600065537053291</v>
      </c>
      <c r="AF136">
        <v>9.3859024793586023</v>
      </c>
      <c r="AG136">
        <v>16.960529049015673</v>
      </c>
      <c r="AI136">
        <v>2.1835151493555491</v>
      </c>
      <c r="AK136">
        <v>24.243766106064637</v>
      </c>
    </row>
    <row r="137" spans="1:37" x14ac:dyDescent="0.2">
      <c r="A137">
        <v>136</v>
      </c>
      <c r="B137">
        <v>744</v>
      </c>
      <c r="C137">
        <v>180</v>
      </c>
      <c r="D137">
        <v>0.39557636533451601</v>
      </c>
      <c r="E137">
        <v>147.0920709874629</v>
      </c>
      <c r="F137">
        <v>53.187563416891194</v>
      </c>
      <c r="G137">
        <v>70.386279456899672</v>
      </c>
      <c r="H137">
        <v>65.751518701963306</v>
      </c>
      <c r="J137">
        <v>18.834605789255527</v>
      </c>
      <c r="L137">
        <v>1.6790153807380557</v>
      </c>
      <c r="M137">
        <v>9.211201008687766</v>
      </c>
      <c r="N137">
        <v>2.2545584385812041</v>
      </c>
      <c r="O137">
        <v>6.6603887766040195</v>
      </c>
      <c r="P137">
        <v>8.4531350423594382</v>
      </c>
      <c r="R137">
        <v>6.1605609141283963</v>
      </c>
      <c r="S137">
        <v>34.467891911659621</v>
      </c>
      <c r="U137">
        <v>2.0413509301593438</v>
      </c>
      <c r="V137">
        <v>50.925080250201681</v>
      </c>
      <c r="W137">
        <v>17.922278032268167</v>
      </c>
      <c r="X137">
        <v>44.781753329001241</v>
      </c>
      <c r="Y137">
        <v>3.3489960085090602</v>
      </c>
      <c r="Z137">
        <v>17.745001480457599</v>
      </c>
      <c r="AB137">
        <v>32.129154807527854</v>
      </c>
      <c r="AE137">
        <v>6.5851113340958385</v>
      </c>
      <c r="AF137">
        <v>8.8150839765208033</v>
      </c>
      <c r="AG137">
        <v>17.463862473518425</v>
      </c>
      <c r="AI137">
        <v>2.1869081449457668</v>
      </c>
      <c r="AK137">
        <v>23.382982587467158</v>
      </c>
    </row>
    <row r="138" spans="1:37" x14ac:dyDescent="0.2">
      <c r="A138">
        <v>137</v>
      </c>
      <c r="B138">
        <v>742</v>
      </c>
      <c r="C138">
        <v>180</v>
      </c>
      <c r="D138">
        <v>0.39424764813081797</v>
      </c>
      <c r="E138">
        <v>147.25460877977059</v>
      </c>
      <c r="F138">
        <v>53.713798978715367</v>
      </c>
      <c r="G138">
        <v>70.347635748504857</v>
      </c>
      <c r="H138">
        <v>65.708364699002075</v>
      </c>
      <c r="J138">
        <v>17.9425372575433</v>
      </c>
      <c r="L138">
        <v>1.6940840652811384</v>
      </c>
      <c r="M138">
        <v>8.6855144077651527</v>
      </c>
      <c r="N138">
        <v>2.2585341128354317</v>
      </c>
      <c r="O138">
        <v>6.5762667184481938</v>
      </c>
      <c r="P138">
        <v>8.4229401247567619</v>
      </c>
      <c r="R138">
        <v>5.725549746155413</v>
      </c>
      <c r="S138">
        <v>34.880240597958846</v>
      </c>
      <c r="U138">
        <v>1.9958165073894849</v>
      </c>
      <c r="V138">
        <v>51.584113070106866</v>
      </c>
      <c r="W138">
        <v>17.237058937722704</v>
      </c>
      <c r="X138">
        <v>44.732807293140695</v>
      </c>
      <c r="Y138">
        <v>3.306012956436942</v>
      </c>
      <c r="Z138">
        <v>17.801671741985267</v>
      </c>
      <c r="AB138">
        <v>32.620204721389641</v>
      </c>
      <c r="AE138">
        <v>6.606235942660728</v>
      </c>
      <c r="AF138">
        <v>8.2871724357023986</v>
      </c>
      <c r="AG138">
        <v>17.925276806376477</v>
      </c>
      <c r="AI138">
        <v>2.1902954354471418</v>
      </c>
      <c r="AK138">
        <v>22.678137549144431</v>
      </c>
    </row>
    <row r="139" spans="1:37" x14ac:dyDescent="0.2">
      <c r="A139">
        <v>138</v>
      </c>
      <c r="B139">
        <v>740</v>
      </c>
      <c r="C139">
        <v>180</v>
      </c>
      <c r="D139">
        <v>0.39291368504170499</v>
      </c>
      <c r="E139">
        <v>147.3993102023951</v>
      </c>
      <c r="F139">
        <v>54.200595475139949</v>
      </c>
      <c r="G139">
        <v>70.308768560212314</v>
      </c>
      <c r="H139">
        <v>65.66504055817073</v>
      </c>
      <c r="J139">
        <v>17.20317081968102</v>
      </c>
      <c r="L139">
        <v>1.7080886656135152</v>
      </c>
      <c r="M139">
        <v>8.1939370990973259</v>
      </c>
      <c r="N139">
        <v>2.2625077839294705</v>
      </c>
      <c r="O139">
        <v>6.49160699060449</v>
      </c>
      <c r="P139">
        <v>8.3923284858489726</v>
      </c>
      <c r="R139">
        <v>5.3153847070634557</v>
      </c>
      <c r="S139">
        <v>35.264091552571152</v>
      </c>
      <c r="U139">
        <v>1.9494093638012759</v>
      </c>
      <c r="V139">
        <v>52.195178786499355</v>
      </c>
      <c r="W139">
        <v>16.586373165038534</v>
      </c>
      <c r="X139">
        <v>44.68224972872553</v>
      </c>
      <c r="Y139">
        <v>3.2670474254032063</v>
      </c>
      <c r="Z139">
        <v>17.852366349015551</v>
      </c>
      <c r="AB139">
        <v>33.077316628802173</v>
      </c>
      <c r="AE139">
        <v>6.6242393545112712</v>
      </c>
      <c r="AF139">
        <v>7.7933697814777103</v>
      </c>
      <c r="AG139">
        <v>18.352761554208421</v>
      </c>
      <c r="AI139">
        <v>2.1936772961404665</v>
      </c>
      <c r="AK139">
        <v>22.085223382421059</v>
      </c>
    </row>
    <row r="140" spans="1:37" x14ac:dyDescent="0.2">
      <c r="A140">
        <v>139</v>
      </c>
      <c r="B140">
        <v>770</v>
      </c>
      <c r="C140">
        <v>165</v>
      </c>
      <c r="D140">
        <v>0.428203518190098</v>
      </c>
      <c r="E140">
        <v>137.80918946829826</v>
      </c>
      <c r="F140">
        <v>57.721036379133295</v>
      </c>
      <c r="G140">
        <v>71.390187073548915</v>
      </c>
      <c r="H140">
        <v>66.818239540658084</v>
      </c>
      <c r="J140">
        <v>43.77821155839198</v>
      </c>
      <c r="L140">
        <v>4.1283772938791445</v>
      </c>
      <c r="M140">
        <v>14.083273213625974</v>
      </c>
      <c r="N140">
        <v>2.2180400159026572</v>
      </c>
      <c r="O140">
        <v>20.467341478074225</v>
      </c>
      <c r="P140">
        <v>9.7821252661750169</v>
      </c>
      <c r="Q140">
        <v>5.7059432263385473E-2</v>
      </c>
      <c r="R140">
        <v>13.323522991546646</v>
      </c>
      <c r="S140">
        <v>38.369106792200583</v>
      </c>
      <c r="U140">
        <v>2.764529375069257</v>
      </c>
      <c r="V140">
        <v>45.367815468408232</v>
      </c>
      <c r="W140">
        <v>26.649272404429443</v>
      </c>
      <c r="X140">
        <v>44.788963455987421</v>
      </c>
      <c r="Y140">
        <v>5.9203820469545203</v>
      </c>
      <c r="Z140">
        <v>29.675459535487981</v>
      </c>
      <c r="AA140">
        <v>3.1916584632912128</v>
      </c>
      <c r="AB140">
        <v>34.803940786384814</v>
      </c>
      <c r="AC140">
        <v>6.9809019097646946E-2</v>
      </c>
      <c r="AD140">
        <v>6.6816206495076242</v>
      </c>
      <c r="AE140">
        <v>13.286118654299182</v>
      </c>
      <c r="AF140">
        <v>13.777665969103293</v>
      </c>
      <c r="AG140">
        <v>20.604523471936176</v>
      </c>
      <c r="AH140">
        <v>3.5322085580182057</v>
      </c>
      <c r="AI140">
        <v>2.1559288464196102</v>
      </c>
      <c r="AK140">
        <v>40.615785562741699</v>
      </c>
    </row>
    <row r="141" spans="1:37" x14ac:dyDescent="0.2">
      <c r="A141">
        <v>140</v>
      </c>
      <c r="B141">
        <v>768</v>
      </c>
      <c r="C141">
        <v>165</v>
      </c>
      <c r="D141">
        <v>0.42697065744609403</v>
      </c>
      <c r="E141">
        <v>137.60537822356102</v>
      </c>
      <c r="F141">
        <v>57.018448361769948</v>
      </c>
      <c r="G141">
        <v>71.267207179726952</v>
      </c>
      <c r="H141">
        <v>66.690058977647126</v>
      </c>
      <c r="J141">
        <v>43.720997829007423</v>
      </c>
      <c r="L141">
        <v>3.9527239194115755</v>
      </c>
      <c r="M141">
        <v>14.044972552959196</v>
      </c>
      <c r="N141">
        <v>2.1962537785603633</v>
      </c>
      <c r="O141">
        <v>19.615886553610075</v>
      </c>
      <c r="P141">
        <v>9.557082190288023</v>
      </c>
      <c r="R141">
        <v>13.003760590985815</v>
      </c>
      <c r="S141">
        <v>37.924414957568658</v>
      </c>
      <c r="U141">
        <v>2.6835728935539969</v>
      </c>
      <c r="V141">
        <v>45.327465346162327</v>
      </c>
      <c r="W141">
        <v>26.36656296777393</v>
      </c>
      <c r="X141">
        <v>44.653261712378878</v>
      </c>
      <c r="Y141">
        <v>5.7361676793011158</v>
      </c>
      <c r="Z141">
        <v>29.292775878630998</v>
      </c>
      <c r="AA141">
        <v>3.0074968674952545</v>
      </c>
      <c r="AB141">
        <v>34.666971930370273</v>
      </c>
      <c r="AC141">
        <v>4.4052589474987469E-2</v>
      </c>
      <c r="AD141">
        <v>6.4700542535296481</v>
      </c>
      <c r="AE141">
        <v>13.116112497200145</v>
      </c>
      <c r="AF141">
        <v>13.71135751715344</v>
      </c>
      <c r="AG141">
        <v>20.412065445267192</v>
      </c>
      <c r="AH141">
        <v>3.2742865975521265</v>
      </c>
      <c r="AI141">
        <v>2.1335987859508454</v>
      </c>
      <c r="AK141">
        <v>40.615786306716636</v>
      </c>
    </row>
    <row r="142" spans="1:37" x14ac:dyDescent="0.2">
      <c r="A142">
        <v>141</v>
      </c>
      <c r="B142">
        <v>766</v>
      </c>
      <c r="C142">
        <v>165</v>
      </c>
      <c r="D142">
        <v>0.42573305105134501</v>
      </c>
      <c r="E142">
        <v>137.39811597562513</v>
      </c>
      <c r="F142">
        <v>56.197203479431501</v>
      </c>
      <c r="G142">
        <v>71.120424403994278</v>
      </c>
      <c r="H142">
        <v>66.538126710763123</v>
      </c>
      <c r="J142">
        <v>43.681078392029534</v>
      </c>
      <c r="L142">
        <v>3.7293391632474666</v>
      </c>
      <c r="M142">
        <v>14.070610085434133</v>
      </c>
      <c r="N142">
        <v>2.1643003285783657</v>
      </c>
      <c r="O142">
        <v>18.562499570355534</v>
      </c>
      <c r="P142">
        <v>9.2742960045254392</v>
      </c>
      <c r="R142">
        <v>12.698109701761933</v>
      </c>
      <c r="S142">
        <v>37.717058448780115</v>
      </c>
      <c r="U142">
        <v>2.6542193899556352</v>
      </c>
      <c r="V142">
        <v>45.411804756768149</v>
      </c>
      <c r="W142">
        <v>26.14187500775477</v>
      </c>
      <c r="X142">
        <v>44.687941565389593</v>
      </c>
      <c r="Y142">
        <v>5.499904953032134</v>
      </c>
      <c r="Z142">
        <v>28.844957474169064</v>
      </c>
      <c r="AA142">
        <v>2.7724016298118515</v>
      </c>
      <c r="AB142">
        <v>34.626622949685974</v>
      </c>
      <c r="AC142">
        <v>8.1295391553163274E-3</v>
      </c>
      <c r="AD142">
        <v>6.2189931601223742</v>
      </c>
      <c r="AE142">
        <v>12.926068480569292</v>
      </c>
      <c r="AF142">
        <v>13.69882107341191</v>
      </c>
      <c r="AG142">
        <v>20.306069887739437</v>
      </c>
      <c r="AH142">
        <v>2.9519014063972677</v>
      </c>
      <c r="AI142">
        <v>2.1010982773956224</v>
      </c>
      <c r="AK142">
        <v>40.588281474645378</v>
      </c>
    </row>
    <row r="143" spans="1:37" x14ac:dyDescent="0.2">
      <c r="A143">
        <v>142</v>
      </c>
      <c r="B143">
        <v>764</v>
      </c>
      <c r="C143">
        <v>165</v>
      </c>
      <c r="D143">
        <v>0.424490671551851</v>
      </c>
      <c r="E143">
        <v>137.05844481061052</v>
      </c>
      <c r="F143">
        <v>54.688081744404911</v>
      </c>
      <c r="G143">
        <v>70.855582911715089</v>
      </c>
      <c r="H143">
        <v>66.268187068412715</v>
      </c>
      <c r="J143">
        <v>43.435292372391501</v>
      </c>
      <c r="L143">
        <v>3.3258593262527283</v>
      </c>
      <c r="M143">
        <v>14.074661597623573</v>
      </c>
      <c r="N143">
        <v>2.1598264865251466</v>
      </c>
      <c r="O143">
        <v>16.862124320948688</v>
      </c>
      <c r="P143">
        <v>8.7829020363200403</v>
      </c>
      <c r="R143">
        <v>12.141671138931812</v>
      </c>
      <c r="S143">
        <v>37.192739635064548</v>
      </c>
      <c r="U143">
        <v>2.5981476565234178</v>
      </c>
      <c r="V143">
        <v>45.493261198370405</v>
      </c>
      <c r="W143">
        <v>25.740482213885986</v>
      </c>
      <c r="X143">
        <v>44.617685194762693</v>
      </c>
      <c r="Y143">
        <v>5.048725821496542</v>
      </c>
      <c r="Z143">
        <v>28.0332536305527</v>
      </c>
      <c r="AA143">
        <v>2.3513279678815744</v>
      </c>
      <c r="AB143">
        <v>34.519219029690447</v>
      </c>
      <c r="AD143">
        <v>5.7342841914266174</v>
      </c>
      <c r="AE143">
        <v>12.612156066205706</v>
      </c>
      <c r="AF143">
        <v>13.692179288760469</v>
      </c>
      <c r="AG143">
        <v>20.160508851044408</v>
      </c>
      <c r="AH143">
        <v>2.2844599359985969</v>
      </c>
      <c r="AI143">
        <v>2.0960741266438481</v>
      </c>
      <c r="AK143">
        <v>40.404449423101866</v>
      </c>
    </row>
    <row r="144" spans="1:37" x14ac:dyDescent="0.2">
      <c r="A144">
        <v>143</v>
      </c>
      <c r="B144">
        <v>762</v>
      </c>
      <c r="C144">
        <v>165</v>
      </c>
      <c r="D144">
        <v>0.42324349128146099</v>
      </c>
      <c r="E144">
        <v>136.67786064697293</v>
      </c>
      <c r="F144">
        <v>52.937640472280954</v>
      </c>
      <c r="G144">
        <v>70.546386874242884</v>
      </c>
      <c r="H144">
        <v>65.95394438562144</v>
      </c>
      <c r="J144">
        <v>43.098594436963523</v>
      </c>
      <c r="L144">
        <v>2.8503328323191961</v>
      </c>
      <c r="M144">
        <v>14.074718459161312</v>
      </c>
      <c r="N144">
        <v>2.1637801907542271</v>
      </c>
      <c r="O144">
        <v>14.913986911922564</v>
      </c>
      <c r="P144">
        <v>8.2112567438428599</v>
      </c>
      <c r="R144">
        <v>11.477486042633158</v>
      </c>
      <c r="S144">
        <v>36.505634068503781</v>
      </c>
      <c r="U144">
        <v>2.5427839691860563</v>
      </c>
      <c r="V144">
        <v>45.554860318575919</v>
      </c>
      <c r="W144">
        <v>25.290500008509085</v>
      </c>
      <c r="X144">
        <v>44.541670649252552</v>
      </c>
      <c r="Y144">
        <v>4.5159787832319154</v>
      </c>
      <c r="Z144">
        <v>27.090129577898526</v>
      </c>
      <c r="AA144">
        <v>1.8584895086883044</v>
      </c>
      <c r="AB144">
        <v>34.361621761985198</v>
      </c>
      <c r="AD144">
        <v>5.163492573817166</v>
      </c>
      <c r="AE144">
        <v>12.254932099362026</v>
      </c>
      <c r="AF144">
        <v>13.689971515120881</v>
      </c>
      <c r="AG144">
        <v>19.973191911184994</v>
      </c>
      <c r="AH144">
        <v>1.4869141237507053</v>
      </c>
      <c r="AI144">
        <v>2.0994742573625516</v>
      </c>
      <c r="AK144">
        <v>40.162156476467985</v>
      </c>
    </row>
    <row r="145" spans="1:37" x14ac:dyDescent="0.2">
      <c r="A145">
        <v>144</v>
      </c>
      <c r="B145">
        <v>760</v>
      </c>
      <c r="C145">
        <v>165</v>
      </c>
      <c r="D145">
        <v>0.42199148235977502</v>
      </c>
      <c r="E145">
        <v>136.29486884629009</v>
      </c>
      <c r="F145">
        <v>51.128174364773017</v>
      </c>
      <c r="G145">
        <v>70.223554883690539</v>
      </c>
      <c r="H145">
        <v>65.626117418806516</v>
      </c>
      <c r="J145">
        <v>42.713022164445078</v>
      </c>
      <c r="L145">
        <v>2.3472279438859296</v>
      </c>
      <c r="M145">
        <v>14.077523119747253</v>
      </c>
      <c r="N145">
        <v>2.1677313520902546</v>
      </c>
      <c r="O145">
        <v>12.880379042940726</v>
      </c>
      <c r="P145">
        <v>7.6123674002314656</v>
      </c>
      <c r="R145">
        <v>10.7641472296541</v>
      </c>
      <c r="S145">
        <v>35.708537004177757</v>
      </c>
      <c r="U145">
        <v>2.4996527352555975</v>
      </c>
      <c r="V145">
        <v>45.58629797638573</v>
      </c>
      <c r="W145">
        <v>24.847165913452915</v>
      </c>
      <c r="X145">
        <v>44.502046340673672</v>
      </c>
      <c r="Y145">
        <v>3.9566961575510926</v>
      </c>
      <c r="Z145">
        <v>26.106588636769487</v>
      </c>
      <c r="AA145">
        <v>1.3403281854473752</v>
      </c>
      <c r="AB145">
        <v>34.152856759759203</v>
      </c>
      <c r="AD145">
        <v>4.5654569473448694</v>
      </c>
      <c r="AE145">
        <v>11.884384716283069</v>
      </c>
      <c r="AF145">
        <v>13.690510157152948</v>
      </c>
      <c r="AG145">
        <v>19.734714638518003</v>
      </c>
      <c r="AH145">
        <v>0.64839735699851264</v>
      </c>
      <c r="AI145">
        <v>2.1028685656845347</v>
      </c>
      <c r="AK145">
        <v>39.899747954360357</v>
      </c>
    </row>
    <row r="146" spans="1:37" x14ac:dyDescent="0.2">
      <c r="A146">
        <v>145</v>
      </c>
      <c r="B146">
        <v>758</v>
      </c>
      <c r="C146">
        <v>165</v>
      </c>
      <c r="D146">
        <v>0.42073461669010398</v>
      </c>
      <c r="E146">
        <v>136.92279023695042</v>
      </c>
      <c r="F146">
        <v>51.148873760348579</v>
      </c>
      <c r="G146">
        <v>70.46328968859649</v>
      </c>
      <c r="H146">
        <v>65.860909081448327</v>
      </c>
      <c r="J146">
        <v>33.717814095730837</v>
      </c>
      <c r="L146">
        <v>1.51374614691225</v>
      </c>
      <c r="M146">
        <v>13.412405728286673</v>
      </c>
      <c r="N146">
        <v>2.1717356377796877</v>
      </c>
      <c r="O146">
        <v>7.9685599496475685</v>
      </c>
      <c r="P146">
        <v>8.1386953488841449</v>
      </c>
      <c r="R146">
        <v>9.5271730370621626</v>
      </c>
      <c r="S146">
        <v>32.76558342391224</v>
      </c>
      <c r="U146">
        <v>2.5706583424466305</v>
      </c>
      <c r="V146">
        <v>45.973003243479937</v>
      </c>
      <c r="W146">
        <v>23.850977715145852</v>
      </c>
      <c r="X146">
        <v>44.786577581782822</v>
      </c>
      <c r="Y146">
        <v>3.5003016740241124</v>
      </c>
      <c r="Z146">
        <v>22.638777727170268</v>
      </c>
      <c r="AB146">
        <v>31.961764517585586</v>
      </c>
      <c r="AD146">
        <v>2.8569704607499893</v>
      </c>
      <c r="AE146">
        <v>9.6343427725746391</v>
      </c>
      <c r="AF146">
        <v>13.023181075342629</v>
      </c>
      <c r="AG146">
        <v>17.513973241500626</v>
      </c>
      <c r="AI146">
        <v>2.1063127041584719</v>
      </c>
      <c r="AK146">
        <v>33.931694248369126</v>
      </c>
    </row>
    <row r="147" spans="1:37" x14ac:dyDescent="0.2">
      <c r="A147">
        <v>146</v>
      </c>
      <c r="B147">
        <v>756</v>
      </c>
      <c r="C147">
        <v>165</v>
      </c>
      <c r="D147">
        <v>0.41947286595734501</v>
      </c>
      <c r="E147">
        <v>137.53122339958165</v>
      </c>
      <c r="F147">
        <v>51.298590671563446</v>
      </c>
      <c r="G147">
        <v>70.586891757345526</v>
      </c>
      <c r="H147">
        <v>65.979620007511002</v>
      </c>
      <c r="J147">
        <v>27.308897369800281</v>
      </c>
      <c r="L147">
        <v>1.5597443665889659</v>
      </c>
      <c r="M147">
        <v>12.420281437908599</v>
      </c>
      <c r="N147">
        <v>2.175743938411101</v>
      </c>
      <c r="O147">
        <v>7.6795671079503292</v>
      </c>
      <c r="P147">
        <v>8.4327925972241822</v>
      </c>
      <c r="R147">
        <v>8.8740723773134622</v>
      </c>
      <c r="S147">
        <v>33.076292974770361</v>
      </c>
      <c r="U147">
        <v>2.5761967984249434</v>
      </c>
      <c r="V147">
        <v>47.140281906698981</v>
      </c>
      <c r="W147">
        <v>22.66735510814609</v>
      </c>
      <c r="X147">
        <v>44.881023383024193</v>
      </c>
      <c r="Y147">
        <v>3.5053059569839453</v>
      </c>
      <c r="Z147">
        <v>19.787082203587794</v>
      </c>
      <c r="AB147">
        <v>30.901774921191464</v>
      </c>
      <c r="AD147">
        <v>1.4606335855656931</v>
      </c>
      <c r="AE147">
        <v>7.9006576855369008</v>
      </c>
      <c r="AF147">
        <v>12.028850357942204</v>
      </c>
      <c r="AG147">
        <v>16.424348543377892</v>
      </c>
      <c r="AI147">
        <v>2.109757548670149</v>
      </c>
      <c r="AK147">
        <v>29.482770794817419</v>
      </c>
    </row>
    <row r="148" spans="1:37" x14ac:dyDescent="0.2">
      <c r="A148">
        <v>147</v>
      </c>
      <c r="B148">
        <v>754</v>
      </c>
      <c r="C148">
        <v>165</v>
      </c>
      <c r="D148">
        <v>0.41820620162585598</v>
      </c>
      <c r="E148">
        <v>137.94299948233694</v>
      </c>
      <c r="F148">
        <v>51.73326571101758</v>
      </c>
      <c r="G148">
        <v>70.63511860898754</v>
      </c>
      <c r="H148">
        <v>66.023007882268743</v>
      </c>
      <c r="J148">
        <v>24.033894445901126</v>
      </c>
      <c r="L148">
        <v>1.5918037799822959</v>
      </c>
      <c r="M148">
        <v>11.604055675436106</v>
      </c>
      <c r="N148">
        <v>2.1797413367606642</v>
      </c>
      <c r="O148">
        <v>7.4723229647905853</v>
      </c>
      <c r="P148">
        <v>8.5761594471933389</v>
      </c>
      <c r="R148">
        <v>8.3032451610831775</v>
      </c>
      <c r="S148">
        <v>33.558020575745608</v>
      </c>
      <c r="U148">
        <v>2.5484988755047056</v>
      </c>
      <c r="V148">
        <v>48.172384522365846</v>
      </c>
      <c r="W148">
        <v>21.678911559903003</v>
      </c>
      <c r="X148">
        <v>44.880941362164442</v>
      </c>
      <c r="Y148">
        <v>3.4786547908321621</v>
      </c>
      <c r="Z148">
        <v>18.414453947830921</v>
      </c>
      <c r="AB148">
        <v>30.743866790713348</v>
      </c>
      <c r="AD148">
        <v>0.76575577669100936</v>
      </c>
      <c r="AE148">
        <v>7.0713647993879967</v>
      </c>
      <c r="AF148">
        <v>11.210408559288044</v>
      </c>
      <c r="AG148">
        <v>16.2368044942951</v>
      </c>
      <c r="AI148">
        <v>2.1131881672879391</v>
      </c>
      <c r="AK148">
        <v>27.123750173783115</v>
      </c>
    </row>
    <row r="149" spans="1:37" x14ac:dyDescent="0.2">
      <c r="A149">
        <v>148</v>
      </c>
      <c r="B149">
        <v>752</v>
      </c>
      <c r="C149">
        <v>165</v>
      </c>
      <c r="D149">
        <v>0.41693459493732699</v>
      </c>
      <c r="E149">
        <v>138.26058500351178</v>
      </c>
      <c r="F149">
        <v>52.188789348884413</v>
      </c>
      <c r="G149">
        <v>70.655020312807181</v>
      </c>
      <c r="H149">
        <v>66.03812294187783</v>
      </c>
      <c r="J149">
        <v>21.9263575105957</v>
      </c>
      <c r="L149">
        <v>1.6170483451791733</v>
      </c>
      <c r="M149">
        <v>10.90089346805174</v>
      </c>
      <c r="N149">
        <v>2.1837322683132561</v>
      </c>
      <c r="O149">
        <v>7.2946110734850009</v>
      </c>
      <c r="P149">
        <v>8.6629006549189587</v>
      </c>
      <c r="R149">
        <v>7.7913729928033586</v>
      </c>
      <c r="S149">
        <v>34.02501374627856</v>
      </c>
      <c r="U149">
        <v>2.5112487126822969</v>
      </c>
      <c r="V149">
        <v>49.070960376180196</v>
      </c>
      <c r="W149">
        <v>20.808926558482867</v>
      </c>
      <c r="X149">
        <v>44.854377414109749</v>
      </c>
      <c r="Y149">
        <v>3.446881221360155</v>
      </c>
      <c r="Z149">
        <v>17.52987344758246</v>
      </c>
      <c r="AB149">
        <v>30.814548055254228</v>
      </c>
      <c r="AD149">
        <v>0.30707350974964476</v>
      </c>
      <c r="AE149">
        <v>6.5362622178184218</v>
      </c>
      <c r="AF149">
        <v>10.505025186984472</v>
      </c>
      <c r="AG149">
        <v>16.277853506372377</v>
      </c>
      <c r="AI149">
        <v>2.116608980785085</v>
      </c>
      <c r="AK149">
        <v>25.564762879926903</v>
      </c>
    </row>
    <row r="150" spans="1:37" x14ac:dyDescent="0.2">
      <c r="A150">
        <v>149</v>
      </c>
      <c r="B150">
        <v>750</v>
      </c>
      <c r="C150">
        <v>165</v>
      </c>
      <c r="D150">
        <v>0.41565801690856902</v>
      </c>
      <c r="E150">
        <v>138.4884125784956</v>
      </c>
      <c r="F150">
        <v>52.853135410277332</v>
      </c>
      <c r="G150">
        <v>70.618071857170094</v>
      </c>
      <c r="H150">
        <v>65.996440342226435</v>
      </c>
      <c r="J150">
        <v>20.355502185864054</v>
      </c>
      <c r="L150">
        <v>1.6353855467357643</v>
      </c>
      <c r="M150">
        <v>10.25667721812083</v>
      </c>
      <c r="N150">
        <v>2.1877171399549789</v>
      </c>
      <c r="O150">
        <v>7.2052315767679458</v>
      </c>
      <c r="P150">
        <v>8.6359667871005357</v>
      </c>
      <c r="R150">
        <v>7.2689794754372929</v>
      </c>
      <c r="S150">
        <v>34.509408921312513</v>
      </c>
      <c r="U150">
        <v>2.4702692124383416</v>
      </c>
      <c r="V150">
        <v>49.888500097804943</v>
      </c>
      <c r="W150">
        <v>19.999972638181934</v>
      </c>
      <c r="X150">
        <v>44.818060058608069</v>
      </c>
      <c r="Y150">
        <v>3.3888065008138089</v>
      </c>
      <c r="Z150">
        <v>17.59338907280549</v>
      </c>
      <c r="AB150">
        <v>31.402830730597096</v>
      </c>
      <c r="AE150">
        <v>6.5600325034927929</v>
      </c>
      <c r="AF150">
        <v>9.858583095425173</v>
      </c>
      <c r="AG150">
        <v>16.836508050112819</v>
      </c>
      <c r="AI150">
        <v>2.1200203813325587</v>
      </c>
      <c r="AK150">
        <v>24.377176495340848</v>
      </c>
    </row>
    <row r="151" spans="1:37" x14ac:dyDescent="0.2">
      <c r="A151">
        <v>150</v>
      </c>
      <c r="B151">
        <v>748</v>
      </c>
      <c r="C151">
        <v>165</v>
      </c>
      <c r="D151">
        <v>0.41437643832933801</v>
      </c>
      <c r="E151">
        <v>138.68207504780793</v>
      </c>
      <c r="F151">
        <v>53.448186524271662</v>
      </c>
      <c r="G151">
        <v>70.579656573681191</v>
      </c>
      <c r="H151">
        <v>65.953343583097251</v>
      </c>
      <c r="J151">
        <v>19.156695606534516</v>
      </c>
      <c r="L151">
        <v>1.6517394719182885</v>
      </c>
      <c r="M151">
        <v>9.6732323228442567</v>
      </c>
      <c r="N151">
        <v>2.1916991793898042</v>
      </c>
      <c r="O151">
        <v>7.1144937211309038</v>
      </c>
      <c r="P151">
        <v>8.6061279187591477</v>
      </c>
      <c r="R151">
        <v>6.7900716210816867</v>
      </c>
      <c r="S151">
        <v>34.95349801810822</v>
      </c>
      <c r="U151">
        <v>2.4266702076193298</v>
      </c>
      <c r="V151">
        <v>50.625561371793943</v>
      </c>
      <c r="W151">
        <v>19.253192205774656</v>
      </c>
      <c r="X151">
        <v>44.775159459384611</v>
      </c>
      <c r="Y151">
        <v>3.3375532089014968</v>
      </c>
      <c r="Z151">
        <v>17.661357914826464</v>
      </c>
      <c r="AB151">
        <v>31.945635696439144</v>
      </c>
      <c r="AE151">
        <v>6.5872158996823833</v>
      </c>
      <c r="AF151">
        <v>9.2729109548594639</v>
      </c>
      <c r="AG151">
        <v>17.349692281058822</v>
      </c>
      <c r="AI151">
        <v>2.1234255819161763</v>
      </c>
      <c r="AK151">
        <v>23.453774939388239</v>
      </c>
    </row>
    <row r="152" spans="1:37" x14ac:dyDescent="0.2">
      <c r="A152">
        <v>151</v>
      </c>
      <c r="B152">
        <v>746</v>
      </c>
      <c r="C152">
        <v>165</v>
      </c>
      <c r="D152">
        <v>0.41308982976009601</v>
      </c>
      <c r="E152">
        <v>138.85103458224111</v>
      </c>
      <c r="F152">
        <v>53.988417794518099</v>
      </c>
      <c r="G152">
        <v>70.54089099998869</v>
      </c>
      <c r="H152">
        <v>65.909949370973791</v>
      </c>
      <c r="J152">
        <v>18.199822793507483</v>
      </c>
      <c r="L152">
        <v>1.6666855084109957</v>
      </c>
      <c r="M152">
        <v>9.13582220276915</v>
      </c>
      <c r="N152">
        <v>2.195678864862002</v>
      </c>
      <c r="O152">
        <v>7.0222033800656103</v>
      </c>
      <c r="P152">
        <v>8.5756177885672482</v>
      </c>
      <c r="R152">
        <v>6.3447633559390306</v>
      </c>
      <c r="S152">
        <v>35.363325520787441</v>
      </c>
      <c r="U152">
        <v>2.3814178879295418</v>
      </c>
      <c r="V152">
        <v>51.300062756484202</v>
      </c>
      <c r="W152">
        <v>18.553303204463621</v>
      </c>
      <c r="X152">
        <v>44.728445719853411</v>
      </c>
      <c r="Y152">
        <v>3.2918629939020225</v>
      </c>
      <c r="Z152">
        <v>17.720891377741083</v>
      </c>
      <c r="AB152">
        <v>32.445065824562526</v>
      </c>
      <c r="AE152">
        <v>6.6100123427385826</v>
      </c>
      <c r="AF152">
        <v>8.7332727096289187</v>
      </c>
      <c r="AG152">
        <v>17.819509597685951</v>
      </c>
      <c r="AI152">
        <v>2.1268250460594902</v>
      </c>
      <c r="AK152">
        <v>22.704514203041999</v>
      </c>
    </row>
    <row r="153" spans="1:37" x14ac:dyDescent="0.2">
      <c r="A153">
        <v>152</v>
      </c>
      <c r="B153">
        <v>744</v>
      </c>
      <c r="C153">
        <v>165</v>
      </c>
      <c r="D153">
        <v>0.411798161529766</v>
      </c>
      <c r="E153">
        <v>139.00079073663349</v>
      </c>
      <c r="F153">
        <v>54.48612465028318</v>
      </c>
      <c r="G153">
        <v>70.501878950045381</v>
      </c>
      <c r="H153">
        <v>65.866361689309059</v>
      </c>
      <c r="J153">
        <v>17.411801619064821</v>
      </c>
      <c r="L153">
        <v>1.6805145189685899</v>
      </c>
      <c r="M153">
        <v>8.6346690585133992</v>
      </c>
      <c r="N153">
        <v>2.1996565008875124</v>
      </c>
      <c r="O153">
        <v>6.9291984965215141</v>
      </c>
      <c r="P153">
        <v>8.5446445151146655</v>
      </c>
      <c r="R153">
        <v>5.92602396777745</v>
      </c>
      <c r="S153">
        <v>35.744700156832351</v>
      </c>
      <c r="U153">
        <v>2.3350141182859199</v>
      </c>
      <c r="V153">
        <v>51.924368937702226</v>
      </c>
      <c r="W153">
        <v>17.890247692642209</v>
      </c>
      <c r="X153">
        <v>44.679355426737914</v>
      </c>
      <c r="Y153">
        <v>3.2505357029651107</v>
      </c>
      <c r="Z153">
        <v>17.773907899711833</v>
      </c>
      <c r="AB153">
        <v>32.909401883146799</v>
      </c>
      <c r="AE153">
        <v>6.6294058432926084</v>
      </c>
      <c r="AF153">
        <v>8.2298909106218439</v>
      </c>
      <c r="AG153">
        <v>18.254241121449805</v>
      </c>
      <c r="AI153">
        <v>2.1302190635560918</v>
      </c>
      <c r="AK153">
        <v>22.078240958641494</v>
      </c>
    </row>
    <row r="154" spans="1:37" x14ac:dyDescent="0.2">
      <c r="A154">
        <v>153</v>
      </c>
      <c r="B154">
        <v>776</v>
      </c>
      <c r="C154">
        <v>150</v>
      </c>
      <c r="D154">
        <v>0.447600915026452</v>
      </c>
      <c r="E154">
        <v>129.58773460828411</v>
      </c>
      <c r="F154">
        <v>59.043400542196537</v>
      </c>
      <c r="G154">
        <v>71.690711837479</v>
      </c>
      <c r="H154">
        <v>67.134114419647119</v>
      </c>
      <c r="J154">
        <v>43.718592017754915</v>
      </c>
      <c r="L154">
        <v>4.4343804480556068</v>
      </c>
      <c r="M154">
        <v>14.309884350371878</v>
      </c>
      <c r="N154">
        <v>2.1868005590883399</v>
      </c>
      <c r="O154">
        <v>22.653043974233523</v>
      </c>
      <c r="P154">
        <v>10.139400005635713</v>
      </c>
      <c r="Q154">
        <v>2.5210318525905735E-2</v>
      </c>
      <c r="R154">
        <v>14.238563197435735</v>
      </c>
      <c r="S154">
        <v>40.028279138504274</v>
      </c>
      <c r="U154">
        <v>3.1399214829630036</v>
      </c>
      <c r="V154">
        <v>45.391469715289709</v>
      </c>
      <c r="W154">
        <v>28.112511898370393</v>
      </c>
      <c r="X154">
        <v>44.498054551391888</v>
      </c>
      <c r="Y154">
        <v>6.1924185202110245</v>
      </c>
      <c r="Z154">
        <v>30.639852666827128</v>
      </c>
      <c r="AA154">
        <v>3.5314433262245877</v>
      </c>
      <c r="AB154">
        <v>35.480379797231478</v>
      </c>
      <c r="AC154">
        <v>0.10545317174690651</v>
      </c>
      <c r="AD154">
        <v>7.1868635939580452</v>
      </c>
      <c r="AE154">
        <v>13.873108774549213</v>
      </c>
      <c r="AF154">
        <v>14.038020716475053</v>
      </c>
      <c r="AG154">
        <v>21.415284938410672</v>
      </c>
      <c r="AH154">
        <v>3.8186901520989309</v>
      </c>
      <c r="AI154">
        <v>2.1245144302219701</v>
      </c>
      <c r="AK154">
        <v>40.257924912214392</v>
      </c>
    </row>
    <row r="155" spans="1:37" x14ac:dyDescent="0.2">
      <c r="A155">
        <v>154</v>
      </c>
      <c r="B155">
        <v>774</v>
      </c>
      <c r="C155">
        <v>150</v>
      </c>
      <c r="D155">
        <v>0.44641216635630598</v>
      </c>
      <c r="E155">
        <v>129.38291053173856</v>
      </c>
      <c r="F155">
        <v>58.277558576264127</v>
      </c>
      <c r="G155">
        <v>71.554955489181665</v>
      </c>
      <c r="H155">
        <v>66.99299258886812</v>
      </c>
      <c r="J155">
        <v>43.66896068388602</v>
      </c>
      <c r="L155">
        <v>4.2341110050936841</v>
      </c>
      <c r="M155">
        <v>14.306290880291121</v>
      </c>
      <c r="N155">
        <v>2.1598441519693901</v>
      </c>
      <c r="O155">
        <v>21.691026883001992</v>
      </c>
      <c r="P155">
        <v>9.8835338700466604</v>
      </c>
      <c r="R155">
        <v>13.928893568469913</v>
      </c>
      <c r="S155">
        <v>39.714341430870981</v>
      </c>
      <c r="U155">
        <v>3.0878328016162495</v>
      </c>
      <c r="V155">
        <v>45.421177388346706</v>
      </c>
      <c r="W155">
        <v>27.858836656352089</v>
      </c>
      <c r="X155">
        <v>44.457107447838816</v>
      </c>
      <c r="Y155">
        <v>5.9808605270676889</v>
      </c>
      <c r="Z155">
        <v>30.220063233242957</v>
      </c>
      <c r="AA155">
        <v>3.320538180951611</v>
      </c>
      <c r="AB155">
        <v>35.395505919202073</v>
      </c>
      <c r="AC155">
        <v>7.4522163623917267E-2</v>
      </c>
      <c r="AD155">
        <v>6.9549969543440069</v>
      </c>
      <c r="AE155">
        <v>13.690725295449495</v>
      </c>
      <c r="AF155">
        <v>14.001242120142756</v>
      </c>
      <c r="AG155">
        <v>21.269762031908662</v>
      </c>
      <c r="AH155">
        <v>3.5267404449399296</v>
      </c>
      <c r="AI155">
        <v>2.0970251716167865</v>
      </c>
      <c r="AK155">
        <v>40.24277036154934</v>
      </c>
    </row>
    <row r="156" spans="1:37" x14ac:dyDescent="0.2">
      <c r="A156">
        <v>155</v>
      </c>
      <c r="B156">
        <v>772</v>
      </c>
      <c r="C156">
        <v>150</v>
      </c>
      <c r="D156">
        <v>0.44521886810505501</v>
      </c>
      <c r="E156">
        <v>129.1778881839499</v>
      </c>
      <c r="F156">
        <v>57.4640584241398</v>
      </c>
      <c r="G156">
        <v>71.409139744385257</v>
      </c>
      <c r="H156">
        <v>66.84186205991648</v>
      </c>
      <c r="J156">
        <v>43.626366334680583</v>
      </c>
      <c r="L156">
        <v>4.0130606892849716</v>
      </c>
      <c r="M156">
        <v>14.330452916688612</v>
      </c>
      <c r="N156">
        <v>2.1284798813378059</v>
      </c>
      <c r="O156">
        <v>20.643389476648704</v>
      </c>
      <c r="P156">
        <v>9.6031704141008305</v>
      </c>
      <c r="R156">
        <v>13.623704123095145</v>
      </c>
      <c r="S156">
        <v>39.497256130794483</v>
      </c>
      <c r="U156">
        <v>3.0589590467173813</v>
      </c>
      <c r="V156">
        <v>45.50184402199308</v>
      </c>
      <c r="W156">
        <v>27.631232364221702</v>
      </c>
      <c r="X156">
        <v>44.492972769129004</v>
      </c>
      <c r="Y156">
        <v>5.7471216870415098</v>
      </c>
      <c r="Z156">
        <v>29.772977505379892</v>
      </c>
      <c r="AA156">
        <v>3.0879334079325345</v>
      </c>
      <c r="AB156">
        <v>35.34886730754755</v>
      </c>
      <c r="AC156">
        <v>3.9183894479259747E-2</v>
      </c>
      <c r="AD156">
        <v>6.7062251791873795</v>
      </c>
      <c r="AE156">
        <v>13.500048710013393</v>
      </c>
      <c r="AF156">
        <v>13.987812078930862</v>
      </c>
      <c r="AG156">
        <v>21.158076199152326</v>
      </c>
      <c r="AH156">
        <v>3.2073558855722117</v>
      </c>
      <c r="AI156">
        <v>2.0651248580447481</v>
      </c>
      <c r="AK156">
        <v>40.216647248974191</v>
      </c>
    </row>
    <row r="157" spans="1:37" x14ac:dyDescent="0.2">
      <c r="A157">
        <v>156</v>
      </c>
      <c r="B157">
        <v>770</v>
      </c>
      <c r="C157">
        <v>150</v>
      </c>
      <c r="D157">
        <v>0.44402099410439499</v>
      </c>
      <c r="E157">
        <v>128.97463392899667</v>
      </c>
      <c r="F157">
        <v>56.654898770462431</v>
      </c>
      <c r="G157">
        <v>71.263372963399405</v>
      </c>
      <c r="H157">
        <v>66.690831354281642</v>
      </c>
      <c r="J157">
        <v>43.582094810495413</v>
      </c>
      <c r="L157">
        <v>3.7911752565850221</v>
      </c>
      <c r="M157">
        <v>14.355209066715418</v>
      </c>
      <c r="N157">
        <v>2.09704378777458</v>
      </c>
      <c r="O157">
        <v>19.596507342982406</v>
      </c>
      <c r="P157">
        <v>9.32286257227649</v>
      </c>
      <c r="R157">
        <v>13.315599465941101</v>
      </c>
      <c r="S157">
        <v>39.271349806677634</v>
      </c>
      <c r="U157">
        <v>3.0317681653724367</v>
      </c>
      <c r="V157">
        <v>45.57827599537795</v>
      </c>
      <c r="W157">
        <v>27.405789950400642</v>
      </c>
      <c r="X157">
        <v>44.534602337797374</v>
      </c>
      <c r="Y157">
        <v>5.5132033206562445</v>
      </c>
      <c r="Z157">
        <v>29.327180797641038</v>
      </c>
      <c r="AA157">
        <v>2.8550455331748816</v>
      </c>
      <c r="AB157">
        <v>35.297233838822301</v>
      </c>
      <c r="AC157">
        <v>3.7744013819111669E-3</v>
      </c>
      <c r="AD157">
        <v>6.4574997829209417</v>
      </c>
      <c r="AE157">
        <v>13.31014757646609</v>
      </c>
      <c r="AF157">
        <v>13.974905283720421</v>
      </c>
      <c r="AG157">
        <v>21.041333402181564</v>
      </c>
      <c r="AH157">
        <v>2.8876784719758</v>
      </c>
      <c r="AI157">
        <v>2.0331495154305097</v>
      </c>
      <c r="AK157">
        <v>40.191179343251633</v>
      </c>
    </row>
    <row r="158" spans="1:37" x14ac:dyDescent="0.2">
      <c r="A158">
        <v>157</v>
      </c>
      <c r="B158">
        <v>768</v>
      </c>
      <c r="C158">
        <v>150</v>
      </c>
      <c r="D158">
        <v>0.442818517984921</v>
      </c>
      <c r="E158">
        <v>128.61892995626692</v>
      </c>
      <c r="F158">
        <v>55.045989980874062</v>
      </c>
      <c r="G158">
        <v>70.979716758526195</v>
      </c>
      <c r="H158">
        <v>66.401962246060634</v>
      </c>
      <c r="J158">
        <v>43.293759867194339</v>
      </c>
      <c r="L158">
        <v>3.3574636633689696</v>
      </c>
      <c r="M158">
        <v>14.356143821466572</v>
      </c>
      <c r="N158">
        <v>2.0969278329358767</v>
      </c>
      <c r="O158">
        <v>17.790879552263643</v>
      </c>
      <c r="P158">
        <v>8.7981257050622048</v>
      </c>
      <c r="R158">
        <v>12.710672430377928</v>
      </c>
      <c r="S158">
        <v>38.663328994284427</v>
      </c>
      <c r="U158">
        <v>2.9761887666526294</v>
      </c>
      <c r="V158">
        <v>45.646337163063279</v>
      </c>
      <c r="W158">
        <v>26.978325295538696</v>
      </c>
      <c r="X158">
        <v>44.463036901475995</v>
      </c>
      <c r="Y158">
        <v>5.0278546285121148</v>
      </c>
      <c r="Z158">
        <v>28.457866888514438</v>
      </c>
      <c r="AA158">
        <v>2.4043137892031226</v>
      </c>
      <c r="AB158">
        <v>35.160730922187987</v>
      </c>
      <c r="AD158">
        <v>5.9366832974653416</v>
      </c>
      <c r="AE158">
        <v>12.976398883670806</v>
      </c>
      <c r="AF158">
        <v>13.969498230609066</v>
      </c>
      <c r="AG158">
        <v>20.871051057004891</v>
      </c>
      <c r="AH158">
        <v>2.1653911489851989</v>
      </c>
      <c r="AI158">
        <v>2.0324910907662104</v>
      </c>
      <c r="AK158">
        <v>39.983198225067127</v>
      </c>
    </row>
    <row r="159" spans="1:37" x14ac:dyDescent="0.2">
      <c r="A159">
        <v>158</v>
      </c>
      <c r="B159">
        <v>766</v>
      </c>
      <c r="C159">
        <v>150</v>
      </c>
      <c r="D159">
        <v>0.44161141317423203</v>
      </c>
      <c r="E159">
        <v>128.24306335625695</v>
      </c>
      <c r="F159">
        <v>53.298131628122583</v>
      </c>
      <c r="G159">
        <v>70.669033225680408</v>
      </c>
      <c r="H159">
        <v>66.086116993587169</v>
      </c>
      <c r="J159">
        <v>42.941168278171595</v>
      </c>
      <c r="L159">
        <v>2.8774753158507012</v>
      </c>
      <c r="M159">
        <v>14.356468900192619</v>
      </c>
      <c r="N159">
        <v>2.1008849927899886</v>
      </c>
      <c r="O159">
        <v>15.830839374398581</v>
      </c>
      <c r="P159">
        <v>8.2234371554449357</v>
      </c>
      <c r="R159">
        <v>12.032584791402211</v>
      </c>
      <c r="S159">
        <v>37.92803048029058</v>
      </c>
      <c r="U159">
        <v>2.9265963174766383</v>
      </c>
      <c r="V159">
        <v>45.690986616192092</v>
      </c>
      <c r="W159">
        <v>26.530650224901617</v>
      </c>
      <c r="X159">
        <v>44.405606375469795</v>
      </c>
      <c r="Y159">
        <v>4.492217059386701</v>
      </c>
      <c r="Z159">
        <v>27.509557474122552</v>
      </c>
      <c r="AA159">
        <v>1.9084815162167796</v>
      </c>
      <c r="AB159">
        <v>34.977380962158158</v>
      </c>
      <c r="AD159">
        <v>5.3634672592911574</v>
      </c>
      <c r="AE159">
        <v>12.616935544310609</v>
      </c>
      <c r="AF159">
        <v>13.967555658354607</v>
      </c>
      <c r="AG159">
        <v>20.658004589577498</v>
      </c>
      <c r="AH159">
        <v>1.3634145461854621</v>
      </c>
      <c r="AI159">
        <v>2.0359025453480886</v>
      </c>
      <c r="AK159">
        <v>39.739275401761887</v>
      </c>
    </row>
    <row r="160" spans="1:37" x14ac:dyDescent="0.2">
      <c r="A160">
        <v>159</v>
      </c>
      <c r="B160">
        <v>764</v>
      </c>
      <c r="C160">
        <v>150</v>
      </c>
      <c r="D160">
        <v>0.44039965289495597</v>
      </c>
      <c r="E160">
        <v>127.86416143203517</v>
      </c>
      <c r="F160">
        <v>51.483563788517543</v>
      </c>
      <c r="G160">
        <v>70.343571952307443</v>
      </c>
      <c r="H160">
        <v>65.755545347350491</v>
      </c>
      <c r="J160">
        <v>42.533890972141791</v>
      </c>
      <c r="L160">
        <v>2.3676834899421664</v>
      </c>
      <c r="M160">
        <v>14.35886891163708</v>
      </c>
      <c r="N160">
        <v>2.1048395366053225</v>
      </c>
      <c r="O160">
        <v>13.777007393416115</v>
      </c>
      <c r="P160">
        <v>7.6192205437369251</v>
      </c>
      <c r="R160">
        <v>11.301497701197077</v>
      </c>
      <c r="S160">
        <v>37.070189937321594</v>
      </c>
      <c r="U160">
        <v>2.889399326070913</v>
      </c>
      <c r="V160">
        <v>45.702587311943709</v>
      </c>
      <c r="W160">
        <v>26.089375773795293</v>
      </c>
      <c r="X160">
        <v>44.385072220645476</v>
      </c>
      <c r="Y160">
        <v>3.927705933627204</v>
      </c>
      <c r="Z160">
        <v>26.514370864328558</v>
      </c>
      <c r="AA160">
        <v>1.3848813850106381</v>
      </c>
      <c r="AB160">
        <v>34.736201767353649</v>
      </c>
      <c r="AD160">
        <v>4.7593363542089175</v>
      </c>
      <c r="AE160">
        <v>12.241145486667293</v>
      </c>
      <c r="AF160">
        <v>13.967686488708896</v>
      </c>
      <c r="AG160">
        <v>20.387136123550647</v>
      </c>
      <c r="AH160">
        <v>0.51680490206146579</v>
      </c>
      <c r="AI160">
        <v>2.0393081337657422</v>
      </c>
      <c r="AK160">
        <v>39.472581548106994</v>
      </c>
    </row>
    <row r="161" spans="1:37" x14ac:dyDescent="0.2">
      <c r="A161">
        <v>160</v>
      </c>
      <c r="B161">
        <v>762</v>
      </c>
      <c r="C161">
        <v>150</v>
      </c>
      <c r="D161">
        <v>0.439183210162781</v>
      </c>
      <c r="E161">
        <v>128.53392467703242</v>
      </c>
      <c r="F161">
        <v>51.815495311336058</v>
      </c>
      <c r="G161">
        <v>70.618765682556969</v>
      </c>
      <c r="H161">
        <v>66.025680215170453</v>
      </c>
      <c r="J161">
        <v>33.858396476614345</v>
      </c>
      <c r="L161">
        <v>1.4911877955259842</v>
      </c>
      <c r="M161">
        <v>13.719985220886615</v>
      </c>
      <c r="N161">
        <v>2.1088471611660466</v>
      </c>
      <c r="O161">
        <v>8.6042714730086249</v>
      </c>
      <c r="P161">
        <v>8.2163972321468037</v>
      </c>
      <c r="R161">
        <v>10.032990861010274</v>
      </c>
      <c r="S161">
        <v>33.731578337035593</v>
      </c>
      <c r="U161">
        <v>2.9791051787642151</v>
      </c>
      <c r="V161">
        <v>45.953490295022732</v>
      </c>
      <c r="W161">
        <v>25.111810199746625</v>
      </c>
      <c r="X161">
        <v>44.724956002025628</v>
      </c>
      <c r="Y161">
        <v>3.4639944989024727</v>
      </c>
      <c r="Z161">
        <v>23.336816535250907</v>
      </c>
      <c r="AB161">
        <v>32.516170312935557</v>
      </c>
      <c r="AD161">
        <v>3.2065982382033686</v>
      </c>
      <c r="AE161">
        <v>10.112426704482067</v>
      </c>
      <c r="AF161">
        <v>13.326587827477313</v>
      </c>
      <c r="AG161">
        <v>18.137478376919464</v>
      </c>
      <c r="AI161">
        <v>2.0427635381169642</v>
      </c>
      <c r="AK161">
        <v>33.768884574430217</v>
      </c>
    </row>
    <row r="162" spans="1:37" x14ac:dyDescent="0.2">
      <c r="A162">
        <v>161</v>
      </c>
      <c r="B162">
        <v>760</v>
      </c>
      <c r="C162">
        <v>150</v>
      </c>
      <c r="D162">
        <v>0.43796205778444602</v>
      </c>
      <c r="E162">
        <v>129.14138552237921</v>
      </c>
      <c r="F162">
        <v>51.921413460395698</v>
      </c>
      <c r="G162">
        <v>70.742159563059758</v>
      </c>
      <c r="H162">
        <v>66.14406690798404</v>
      </c>
      <c r="J162">
        <v>27.496579106245655</v>
      </c>
      <c r="L162">
        <v>1.5349290192180451</v>
      </c>
      <c r="M162">
        <v>12.751635112590696</v>
      </c>
      <c r="N162">
        <v>2.1128578084284833</v>
      </c>
      <c r="O162">
        <v>8.3155859197224125</v>
      </c>
      <c r="P162">
        <v>8.5100076339958441</v>
      </c>
      <c r="R162">
        <v>9.3804041267721576</v>
      </c>
      <c r="S162">
        <v>33.906275010101574</v>
      </c>
      <c r="U162">
        <v>2.9951617680160121</v>
      </c>
      <c r="V162">
        <v>47.042379297928846</v>
      </c>
      <c r="W162">
        <v>23.941872781137526</v>
      </c>
      <c r="X162">
        <v>44.851082726394587</v>
      </c>
      <c r="Y162">
        <v>3.4672508236431798</v>
      </c>
      <c r="Z162">
        <v>20.43565481559197</v>
      </c>
      <c r="AB162">
        <v>31.331315200332856</v>
      </c>
      <c r="AD162">
        <v>1.7907263472243373</v>
      </c>
      <c r="AE162">
        <v>8.3376660311790278</v>
      </c>
      <c r="AF162">
        <v>12.356026945400682</v>
      </c>
      <c r="AG162">
        <v>16.923009939411248</v>
      </c>
      <c r="AI162">
        <v>2.0462186856662314</v>
      </c>
      <c r="AK162">
        <v>29.380417234867977</v>
      </c>
    </row>
    <row r="163" spans="1:37" x14ac:dyDescent="0.2">
      <c r="A163">
        <v>162</v>
      </c>
      <c r="B163">
        <v>758</v>
      </c>
      <c r="C163">
        <v>150</v>
      </c>
      <c r="D163">
        <v>0.43673616835572199</v>
      </c>
      <c r="E163">
        <v>129.5570665539982</v>
      </c>
      <c r="F163">
        <v>52.331215005017519</v>
      </c>
      <c r="G163">
        <v>70.792362714745082</v>
      </c>
      <c r="H163">
        <v>66.189314711660586</v>
      </c>
      <c r="J163">
        <v>24.180124468454743</v>
      </c>
      <c r="L163">
        <v>1.5661347598283173</v>
      </c>
      <c r="M163">
        <v>11.94070828955185</v>
      </c>
      <c r="N163">
        <v>2.1168588042762191</v>
      </c>
      <c r="O163">
        <v>8.1012195016893287</v>
      </c>
      <c r="P163">
        <v>8.6572574961193745</v>
      </c>
      <c r="R163">
        <v>8.8083995249986149</v>
      </c>
      <c r="S163">
        <v>34.332870164680294</v>
      </c>
      <c r="U163">
        <v>2.9715646181605213</v>
      </c>
      <c r="V163">
        <v>48.051108785298879</v>
      </c>
      <c r="W163">
        <v>22.95303379587957</v>
      </c>
      <c r="X163">
        <v>44.86422261612239</v>
      </c>
      <c r="Y163">
        <v>3.4393524498991583</v>
      </c>
      <c r="Z163">
        <v>19.004592013951918</v>
      </c>
      <c r="AB163">
        <v>31.105419446381113</v>
      </c>
      <c r="AD163">
        <v>1.0690760288751464</v>
      </c>
      <c r="AE163">
        <v>7.4699128036989233</v>
      </c>
      <c r="AF163">
        <v>11.542880915499914</v>
      </c>
      <c r="AG163">
        <v>16.66750120038289</v>
      </c>
      <c r="AI163">
        <v>2.0496608875993467</v>
      </c>
      <c r="AK163">
        <v>27.004730042956012</v>
      </c>
    </row>
    <row r="164" spans="1:37" x14ac:dyDescent="0.2">
      <c r="A164">
        <v>163</v>
      </c>
      <c r="B164">
        <v>756</v>
      </c>
      <c r="C164">
        <v>150</v>
      </c>
      <c r="D164">
        <v>0.43550551425934297</v>
      </c>
      <c r="E164">
        <v>129.87789387671896</v>
      </c>
      <c r="F164">
        <v>52.772793913948981</v>
      </c>
      <c r="G164">
        <v>70.813787727314732</v>
      </c>
      <c r="H164">
        <v>66.205836381482172</v>
      </c>
      <c r="J164">
        <v>22.038399769403593</v>
      </c>
      <c r="L164">
        <v>1.590807002848651</v>
      </c>
      <c r="M164">
        <v>11.238797803699802</v>
      </c>
      <c r="N164">
        <v>2.120853553393153</v>
      </c>
      <c r="O164">
        <v>7.9157219071860858</v>
      </c>
      <c r="P164">
        <v>8.7469755826838416</v>
      </c>
      <c r="R164">
        <v>8.2949947214632207</v>
      </c>
      <c r="S164">
        <v>34.76915277172693</v>
      </c>
      <c r="U164">
        <v>2.9362114727830413</v>
      </c>
      <c r="V164">
        <v>48.9407505776988</v>
      </c>
      <c r="W164">
        <v>22.080022388752838</v>
      </c>
      <c r="X164">
        <v>44.844577641599209</v>
      </c>
      <c r="Y164">
        <v>3.406156654784835</v>
      </c>
      <c r="Z164">
        <v>18.081215464152447</v>
      </c>
      <c r="AB164">
        <v>31.137079397129433</v>
      </c>
      <c r="AD164">
        <v>0.59216970394223112</v>
      </c>
      <c r="AE164">
        <v>6.909963954990741</v>
      </c>
      <c r="AF164">
        <v>10.83874623892285</v>
      </c>
      <c r="AG164">
        <v>16.669551957497433</v>
      </c>
      <c r="AI164">
        <v>2.0530935338975356</v>
      </c>
      <c r="AK164">
        <v>25.428800637124287</v>
      </c>
    </row>
    <row r="165" spans="1:37" x14ac:dyDescent="0.2">
      <c r="A165">
        <v>164</v>
      </c>
      <c r="B165">
        <v>754</v>
      </c>
      <c r="C165">
        <v>150</v>
      </c>
      <c r="D165">
        <v>0.43427006766295001</v>
      </c>
      <c r="E165">
        <v>130.14139075627787</v>
      </c>
      <c r="F165">
        <v>53.199554836324118</v>
      </c>
      <c r="G165">
        <v>70.820586307595121</v>
      </c>
      <c r="H165">
        <v>66.207783790500002</v>
      </c>
      <c r="J165">
        <v>20.495497808356507</v>
      </c>
      <c r="L165">
        <v>1.6115735780551732</v>
      </c>
      <c r="M165">
        <v>10.612377973872528</v>
      </c>
      <c r="N165">
        <v>2.1248439197646078</v>
      </c>
      <c r="O165">
        <v>7.7446178287851941</v>
      </c>
      <c r="P165">
        <v>8.8074673524104803</v>
      </c>
      <c r="R165">
        <v>7.8244495286152773</v>
      </c>
      <c r="S165">
        <v>35.181660363205189</v>
      </c>
      <c r="U165">
        <v>2.8956165292769471</v>
      </c>
      <c r="V165">
        <v>49.7363499027866</v>
      </c>
      <c r="W165">
        <v>21.285459005028589</v>
      </c>
      <c r="X165">
        <v>44.810864348007975</v>
      </c>
      <c r="Y165">
        <v>3.3730286409495553</v>
      </c>
      <c r="Z165">
        <v>17.396092029776231</v>
      </c>
      <c r="AB165">
        <v>31.261995223030286</v>
      </c>
      <c r="AD165">
        <v>0.23216892810660991</v>
      </c>
      <c r="AE165">
        <v>6.4937185048934891</v>
      </c>
      <c r="AF165">
        <v>10.210099143229566</v>
      </c>
      <c r="AG165">
        <v>16.764864292423766</v>
      </c>
      <c r="AI165">
        <v>2.0565184738380928</v>
      </c>
      <c r="AK165">
        <v>24.268756981794912</v>
      </c>
    </row>
    <row r="166" spans="1:37" x14ac:dyDescent="0.2">
      <c r="A166">
        <v>165</v>
      </c>
      <c r="B166">
        <v>752</v>
      </c>
      <c r="C166">
        <v>150</v>
      </c>
      <c r="D166">
        <v>0.43302980051699702</v>
      </c>
      <c r="E166">
        <v>130.33133513019516</v>
      </c>
      <c r="F166">
        <v>53.840574076818235</v>
      </c>
      <c r="G166">
        <v>70.77437567060359</v>
      </c>
      <c r="H166">
        <v>66.156774320602537</v>
      </c>
      <c r="J166">
        <v>19.25685684935312</v>
      </c>
      <c r="L166">
        <v>1.6269469635348215</v>
      </c>
      <c r="M166">
        <v>10.022919846063532</v>
      </c>
      <c r="N166">
        <v>2.1288293736339305</v>
      </c>
      <c r="O166">
        <v>7.6581979324275569</v>
      </c>
      <c r="P166">
        <v>8.7619668876660999</v>
      </c>
      <c r="R166">
        <v>7.3318391917610555</v>
      </c>
      <c r="S166">
        <v>35.620817943413506</v>
      </c>
      <c r="U166">
        <v>2.8526358548028088</v>
      </c>
      <c r="V166">
        <v>50.478268892269568</v>
      </c>
      <c r="W166">
        <v>20.529190686606569</v>
      </c>
      <c r="X166">
        <v>44.771292496715915</v>
      </c>
      <c r="Y166">
        <v>3.3154200703815637</v>
      </c>
      <c r="Z166">
        <v>17.595003408203116</v>
      </c>
      <c r="AB166">
        <v>31.881042977024642</v>
      </c>
      <c r="AE166">
        <v>6.597846046432748</v>
      </c>
      <c r="AF166">
        <v>9.6184101895947425</v>
      </c>
      <c r="AG166">
        <v>17.354313775880321</v>
      </c>
      <c r="AI166">
        <v>2.059935162952844</v>
      </c>
      <c r="AK166">
        <v>23.320156375580659</v>
      </c>
    </row>
    <row r="167" spans="1:37" x14ac:dyDescent="0.2">
      <c r="A167">
        <v>166</v>
      </c>
      <c r="B167">
        <v>750</v>
      </c>
      <c r="C167">
        <v>150</v>
      </c>
      <c r="D167">
        <v>0.43178468455260599</v>
      </c>
      <c r="E167">
        <v>130.50181674258135</v>
      </c>
      <c r="F167">
        <v>54.383984477399082</v>
      </c>
      <c r="G167">
        <v>70.735409097992601</v>
      </c>
      <c r="H167">
        <v>66.113061420964783</v>
      </c>
      <c r="J167">
        <v>18.277344570521787</v>
      </c>
      <c r="L167">
        <v>1.6414704451954676</v>
      </c>
      <c r="M167">
        <v>9.4832596509974003</v>
      </c>
      <c r="N167">
        <v>2.1328127841086486</v>
      </c>
      <c r="O167">
        <v>7.5573267520291312</v>
      </c>
      <c r="P167">
        <v>8.7309838039614025</v>
      </c>
      <c r="R167">
        <v>6.8830961106269353</v>
      </c>
      <c r="S167">
        <v>36.01915649360464</v>
      </c>
      <c r="U167">
        <v>2.8075221073484067</v>
      </c>
      <c r="V167">
        <v>51.154760797179627</v>
      </c>
      <c r="W167">
        <v>19.823849232887675</v>
      </c>
      <c r="X167">
        <v>44.72657067047863</v>
      </c>
      <c r="Y167">
        <v>3.2680938045800771</v>
      </c>
      <c r="Z167">
        <v>17.655885365928381</v>
      </c>
      <c r="AB167">
        <v>32.379130384024307</v>
      </c>
      <c r="AE167">
        <v>6.6215340973860703</v>
      </c>
      <c r="AF167">
        <v>9.0765185229919272</v>
      </c>
      <c r="AG167">
        <v>17.822811049720098</v>
      </c>
      <c r="AI167">
        <v>2.0633464556341883</v>
      </c>
      <c r="AK167">
        <v>22.557670007562461</v>
      </c>
    </row>
    <row r="168" spans="1:37" x14ac:dyDescent="0.2">
      <c r="A168">
        <v>167</v>
      </c>
      <c r="B168">
        <v>748</v>
      </c>
      <c r="C168">
        <v>150</v>
      </c>
      <c r="D168">
        <v>0.43053469127944</v>
      </c>
      <c r="E168">
        <v>130.65270340577621</v>
      </c>
      <c r="F168">
        <v>54.883958333597221</v>
      </c>
      <c r="G168">
        <v>70.696191096926</v>
      </c>
      <c r="H168">
        <v>66.069149766928419</v>
      </c>
      <c r="J168">
        <v>17.471010918232555</v>
      </c>
      <c r="L168">
        <v>1.6548904134492768</v>
      </c>
      <c r="M168">
        <v>8.9801650385093374</v>
      </c>
      <c r="N168">
        <v>2.1367941533521075</v>
      </c>
      <c r="O168">
        <v>7.4557086526321958</v>
      </c>
      <c r="P168">
        <v>8.6995273019110275</v>
      </c>
      <c r="R168">
        <v>6.4613699558005813</v>
      </c>
      <c r="S168">
        <v>36.390650530868065</v>
      </c>
      <c r="U168">
        <v>2.7610133095068048</v>
      </c>
      <c r="V168">
        <v>51.781358128956391</v>
      </c>
      <c r="W168">
        <v>19.155786338951962</v>
      </c>
      <c r="X168">
        <v>44.678816106286796</v>
      </c>
      <c r="Y168">
        <v>3.2252578512646104</v>
      </c>
      <c r="Z168">
        <v>17.71003684638012</v>
      </c>
      <c r="AB168">
        <v>32.842777821770014</v>
      </c>
      <c r="AE168">
        <v>6.6417055482423288</v>
      </c>
      <c r="AF168">
        <v>8.5711918407644898</v>
      </c>
      <c r="AG168">
        <v>18.256876541986887</v>
      </c>
      <c r="AI168">
        <v>2.0667523393273144</v>
      </c>
      <c r="AK168">
        <v>21.920799104056524</v>
      </c>
    </row>
    <row r="169" spans="1:37" x14ac:dyDescent="0.2">
      <c r="A169">
        <v>168</v>
      </c>
      <c r="B169">
        <v>784</v>
      </c>
      <c r="C169">
        <v>135</v>
      </c>
      <c r="D169">
        <v>0.467918932980182</v>
      </c>
      <c r="E169">
        <v>121.53366954355923</v>
      </c>
      <c r="F169">
        <v>60.884511141406094</v>
      </c>
      <c r="G169">
        <v>72.089827512490359</v>
      </c>
      <c r="H169">
        <v>67.554691362261565</v>
      </c>
      <c r="J169">
        <v>43.73851121723937</v>
      </c>
      <c r="L169">
        <v>4.8552017776461431</v>
      </c>
      <c r="M169">
        <v>14.613118870378814</v>
      </c>
      <c r="N169">
        <v>2.1610226412106264</v>
      </c>
      <c r="O169">
        <v>25.537436416138224</v>
      </c>
      <c r="P169">
        <v>10.6571723307851</v>
      </c>
      <c r="Q169">
        <v>5.3460593640366538E-2</v>
      </c>
      <c r="R169">
        <v>15.437102118062816</v>
      </c>
      <c r="S169">
        <v>42.316777403453194</v>
      </c>
      <c r="U169">
        <v>3.6528586770553817</v>
      </c>
      <c r="V169">
        <v>45.517575004827052</v>
      </c>
      <c r="W169">
        <v>29.955889096219895</v>
      </c>
      <c r="X169">
        <v>44.380155391048646</v>
      </c>
      <c r="Y169">
        <v>6.590084571930233</v>
      </c>
      <c r="Z169">
        <v>31.934005358112312</v>
      </c>
      <c r="AA169">
        <v>3.9922783300693774</v>
      </c>
      <c r="AB169">
        <v>36.379916694546417</v>
      </c>
      <c r="AC169">
        <v>0.1505602909886935</v>
      </c>
      <c r="AD169">
        <v>7.8565200901531975</v>
      </c>
      <c r="AE169">
        <v>14.623493314644554</v>
      </c>
      <c r="AF169">
        <v>14.386734866946682</v>
      </c>
      <c r="AG169">
        <v>22.488139785226938</v>
      </c>
      <c r="AH169">
        <v>4.2956488208664583</v>
      </c>
      <c r="AI169">
        <v>2.0990653873243561</v>
      </c>
      <c r="AK169">
        <v>39.852635152122105</v>
      </c>
    </row>
    <row r="170" spans="1:37" x14ac:dyDescent="0.2">
      <c r="A170">
        <v>169</v>
      </c>
      <c r="B170">
        <v>782</v>
      </c>
      <c r="C170">
        <v>135</v>
      </c>
      <c r="D170">
        <v>0.466777709330429</v>
      </c>
      <c r="E170">
        <v>121.33194984822386</v>
      </c>
      <c r="F170">
        <v>60.183420198179739</v>
      </c>
      <c r="G170">
        <v>71.966479937268232</v>
      </c>
      <c r="H170">
        <v>67.425764836856445</v>
      </c>
      <c r="J170">
        <v>43.674526375031014</v>
      </c>
      <c r="L170">
        <v>4.6803611217310568</v>
      </c>
      <c r="M170">
        <v>14.575904779545372</v>
      </c>
      <c r="N170">
        <v>2.1398178876503686</v>
      </c>
      <c r="O170">
        <v>24.680123342886684</v>
      </c>
      <c r="P170">
        <v>10.431748405417245</v>
      </c>
      <c r="R170">
        <v>15.119817690147524</v>
      </c>
      <c r="S170">
        <v>41.872280167359776</v>
      </c>
      <c r="U170">
        <v>3.5752606527083821</v>
      </c>
      <c r="V170">
        <v>45.480863477670326</v>
      </c>
      <c r="W170">
        <v>29.670003037205479</v>
      </c>
      <c r="X170">
        <v>44.253608736717304</v>
      </c>
      <c r="Y170">
        <v>6.4062561690716686</v>
      </c>
      <c r="Z170">
        <v>31.548064454588737</v>
      </c>
      <c r="AA170">
        <v>3.8086789409687989</v>
      </c>
      <c r="AB170">
        <v>36.241070422801485</v>
      </c>
      <c r="AC170">
        <v>0.12537587964153704</v>
      </c>
      <c r="AD170">
        <v>7.6472004338900712</v>
      </c>
      <c r="AE170">
        <v>14.451126212032628</v>
      </c>
      <c r="AF170">
        <v>14.322079681952927</v>
      </c>
      <c r="AG170">
        <v>22.294397358142344</v>
      </c>
      <c r="AH170">
        <v>4.0375950553911286</v>
      </c>
      <c r="AI170">
        <v>2.0773417550163891</v>
      </c>
      <c r="AK170">
        <v>39.850782785602945</v>
      </c>
    </row>
    <row r="171" spans="1:37" x14ac:dyDescent="0.2">
      <c r="A171">
        <v>170</v>
      </c>
      <c r="B171">
        <v>780</v>
      </c>
      <c r="C171">
        <v>135</v>
      </c>
      <c r="D171">
        <v>0.46563215116555001</v>
      </c>
      <c r="E171">
        <v>121.12811413022075</v>
      </c>
      <c r="F171">
        <v>59.374853057260573</v>
      </c>
      <c r="G171">
        <v>71.821534553930917</v>
      </c>
      <c r="H171">
        <v>67.275290568742733</v>
      </c>
      <c r="J171">
        <v>43.629321689705861</v>
      </c>
      <c r="L171">
        <v>4.4621367309750131</v>
      </c>
      <c r="M171">
        <v>14.598233963180672</v>
      </c>
      <c r="N171">
        <v>2.109101203384363</v>
      </c>
      <c r="O171">
        <v>23.637166015814092</v>
      </c>
      <c r="P171">
        <v>10.153645577671085</v>
      </c>
      <c r="R171">
        <v>14.816674597126587</v>
      </c>
      <c r="S171">
        <v>41.649655391851745</v>
      </c>
      <c r="U171">
        <v>3.5460912586829072</v>
      </c>
      <c r="V171">
        <v>45.560118744361489</v>
      </c>
      <c r="W171">
        <v>29.437959840646357</v>
      </c>
      <c r="X171">
        <v>44.287410882383654</v>
      </c>
      <c r="Y171">
        <v>6.1750763270126034</v>
      </c>
      <c r="Z171">
        <v>31.100843299993688</v>
      </c>
      <c r="AA171">
        <v>3.5785432339002439</v>
      </c>
      <c r="AB171">
        <v>36.19075121525961</v>
      </c>
      <c r="AC171">
        <v>9.0680154082035599E-2</v>
      </c>
      <c r="AD171">
        <v>7.4010230028469044</v>
      </c>
      <c r="AE171">
        <v>14.259307772076225</v>
      </c>
      <c r="AF171">
        <v>14.307456596700449</v>
      </c>
      <c r="AG171">
        <v>22.179679558592888</v>
      </c>
      <c r="AH171">
        <v>3.7213459814350744</v>
      </c>
      <c r="AI171">
        <v>2.0461030590814966</v>
      </c>
      <c r="AK171">
        <v>39.825306512156608</v>
      </c>
    </row>
    <row r="172" spans="1:37" x14ac:dyDescent="0.2">
      <c r="A172">
        <v>171</v>
      </c>
      <c r="B172">
        <v>778</v>
      </c>
      <c r="C172">
        <v>135</v>
      </c>
      <c r="D172">
        <v>0.464482233743996</v>
      </c>
      <c r="E172">
        <v>120.92598220235823</v>
      </c>
      <c r="F172">
        <v>58.570563169228329</v>
      </c>
      <c r="G172">
        <v>71.676654310564118</v>
      </c>
      <c r="H172">
        <v>67.124931664747265</v>
      </c>
      <c r="J172">
        <v>43.582662283739246</v>
      </c>
      <c r="L172">
        <v>4.2431507850356356</v>
      </c>
      <c r="M172">
        <v>14.621112314302344</v>
      </c>
      <c r="N172">
        <v>2.0783261064287584</v>
      </c>
      <c r="O172">
        <v>22.595117635919564</v>
      </c>
      <c r="P172">
        <v>9.8756434312831747</v>
      </c>
      <c r="R172">
        <v>14.510784997364066</v>
      </c>
      <c r="S172">
        <v>41.418793999706516</v>
      </c>
      <c r="U172">
        <v>3.5184844626424483</v>
      </c>
      <c r="V172">
        <v>45.635399498464956</v>
      </c>
      <c r="W172">
        <v>29.207941332751588</v>
      </c>
      <c r="X172">
        <v>44.32666214265975</v>
      </c>
      <c r="Y172">
        <v>5.9437666958709539</v>
      </c>
      <c r="Z172">
        <v>30.654904352219901</v>
      </c>
      <c r="AA172">
        <v>3.3483406690272242</v>
      </c>
      <c r="AB172">
        <v>36.135739313708918</v>
      </c>
      <c r="AC172">
        <v>5.5926628832247548E-2</v>
      </c>
      <c r="AD172">
        <v>7.1548696528316968</v>
      </c>
      <c r="AE172">
        <v>14.068255709553839</v>
      </c>
      <c r="AF172">
        <v>14.293325064598786</v>
      </c>
      <c r="AG172">
        <v>22.060220190179574</v>
      </c>
      <c r="AH172">
        <v>3.4048264480607724</v>
      </c>
      <c r="AI172">
        <v>2.0148028029165079</v>
      </c>
      <c r="AK172">
        <v>39.800529037248452</v>
      </c>
    </row>
    <row r="173" spans="1:37" x14ac:dyDescent="0.2">
      <c r="A173">
        <v>172</v>
      </c>
      <c r="B173">
        <v>776</v>
      </c>
      <c r="C173">
        <v>135</v>
      </c>
      <c r="D173">
        <v>0.46332793213554102</v>
      </c>
      <c r="E173">
        <v>120.72556875211026</v>
      </c>
      <c r="F173">
        <v>57.770694171625834</v>
      </c>
      <c r="G173">
        <v>71.531882380062214</v>
      </c>
      <c r="H173">
        <v>66.974731457109527</v>
      </c>
      <c r="J173">
        <v>43.534492137360587</v>
      </c>
      <c r="L173">
        <v>4.0233875830105061</v>
      </c>
      <c r="M173">
        <v>14.644485721327467</v>
      </c>
      <c r="N173">
        <v>2.0474974837242588</v>
      </c>
      <c r="O173">
        <v>21.55421783097286</v>
      </c>
      <c r="P173">
        <v>9.5978333694554347</v>
      </c>
      <c r="R173">
        <v>14.202295847729232</v>
      </c>
      <c r="S173">
        <v>41.179362176537033</v>
      </c>
      <c r="U173">
        <v>3.4923863798530297</v>
      </c>
      <c r="V173">
        <v>45.706589165959549</v>
      </c>
      <c r="W173">
        <v>28.979942249902809</v>
      </c>
      <c r="X173">
        <v>44.371203491194599</v>
      </c>
      <c r="Y173">
        <v>5.7124039788157743</v>
      </c>
      <c r="Z173">
        <v>30.210269279264342</v>
      </c>
      <c r="AA173">
        <v>3.117974478361226</v>
      </c>
      <c r="AB173">
        <v>36.075832927606363</v>
      </c>
      <c r="AC173">
        <v>2.1120187334712579E-2</v>
      </c>
      <c r="AD173">
        <v>6.9087805311383903</v>
      </c>
      <c r="AE173">
        <v>13.877944763051348</v>
      </c>
      <c r="AF173">
        <v>14.279635903572865</v>
      </c>
      <c r="AG173">
        <v>21.935822393373165</v>
      </c>
      <c r="AH173">
        <v>3.0881602610242509</v>
      </c>
      <c r="AI173">
        <v>1.9834458588339585</v>
      </c>
      <c r="AK173">
        <v>39.77647231822845</v>
      </c>
    </row>
    <row r="174" spans="1:37" x14ac:dyDescent="0.2">
      <c r="A174">
        <v>173</v>
      </c>
      <c r="B174">
        <v>774</v>
      </c>
      <c r="C174">
        <v>135</v>
      </c>
      <c r="D174">
        <v>0.46216922121950399</v>
      </c>
      <c r="E174">
        <v>120.46043969417157</v>
      </c>
      <c r="F174">
        <v>56.628064611691464</v>
      </c>
      <c r="G174">
        <v>71.327646633910234</v>
      </c>
      <c r="H174">
        <v>66.765117977268275</v>
      </c>
      <c r="J174">
        <v>43.379818447434083</v>
      </c>
      <c r="L174">
        <v>3.7116070573285507</v>
      </c>
      <c r="M174">
        <v>14.658022727812275</v>
      </c>
      <c r="N174">
        <v>2.030045914986971</v>
      </c>
      <c r="O174">
        <v>20.185663239743224</v>
      </c>
      <c r="P174">
        <v>9.2145018862848449</v>
      </c>
      <c r="R174">
        <v>13.763744838789954</v>
      </c>
      <c r="S174">
        <v>40.768711752387304</v>
      </c>
      <c r="U174">
        <v>3.4550073953540843</v>
      </c>
      <c r="V174">
        <v>45.771278311655699</v>
      </c>
      <c r="W174">
        <v>28.665881330197553</v>
      </c>
      <c r="X174">
        <v>44.370622012246017</v>
      </c>
      <c r="Y174">
        <v>5.3723367264995767</v>
      </c>
      <c r="Z174">
        <v>29.583539588709513</v>
      </c>
      <c r="AA174">
        <v>2.7934152557940326</v>
      </c>
      <c r="AB174">
        <v>35.975790460148424</v>
      </c>
      <c r="AD174">
        <v>6.5453191665000068</v>
      </c>
      <c r="AE174">
        <v>13.625916643520354</v>
      </c>
      <c r="AF174">
        <v>14.269488279658104</v>
      </c>
      <c r="AG174">
        <v>21.784675195433476</v>
      </c>
      <c r="AH174">
        <v>2.5978049452834724</v>
      </c>
      <c r="AI174">
        <v>1.9654627919113117</v>
      </c>
      <c r="AK174">
        <v>39.674071431275571</v>
      </c>
    </row>
    <row r="175" spans="1:37" x14ac:dyDescent="0.2">
      <c r="A175">
        <v>174</v>
      </c>
      <c r="B175">
        <v>772</v>
      </c>
      <c r="C175">
        <v>135</v>
      </c>
      <c r="D175">
        <v>0.46100607568291702</v>
      </c>
      <c r="E175">
        <v>120.09003907651632</v>
      </c>
      <c r="F175">
        <v>54.911076171534077</v>
      </c>
      <c r="G175">
        <v>71.022434243153896</v>
      </c>
      <c r="H175">
        <v>66.454578556832502</v>
      </c>
      <c r="J175">
        <v>43.035538690228542</v>
      </c>
      <c r="L175">
        <v>3.2414936580806133</v>
      </c>
      <c r="M175">
        <v>14.656936268919246</v>
      </c>
      <c r="N175">
        <v>2.0340081523760203</v>
      </c>
      <c r="O175">
        <v>18.256551170803412</v>
      </c>
      <c r="P175">
        <v>8.6506602483694124</v>
      </c>
      <c r="R175">
        <v>13.09769849002303</v>
      </c>
      <c r="S175">
        <v>40.042733426254678</v>
      </c>
      <c r="U175">
        <v>3.4044337004057192</v>
      </c>
      <c r="V175">
        <v>45.815304564904856</v>
      </c>
      <c r="W175">
        <v>28.216315823151781</v>
      </c>
      <c r="X175">
        <v>44.311436167002228</v>
      </c>
      <c r="Y175">
        <v>4.8473675225137534</v>
      </c>
      <c r="Z175">
        <v>28.649332050352122</v>
      </c>
      <c r="AA175">
        <v>2.3074465870870626</v>
      </c>
      <c r="AB175">
        <v>35.79333252635233</v>
      </c>
      <c r="AD175">
        <v>5.9834016809123698</v>
      </c>
      <c r="AE175">
        <v>13.270149685077257</v>
      </c>
      <c r="AF175">
        <v>14.266131923129047</v>
      </c>
      <c r="AG175">
        <v>21.5725360081655</v>
      </c>
      <c r="AH175">
        <v>1.8124949824580856</v>
      </c>
      <c r="AI175">
        <v>1.9688903396607824</v>
      </c>
      <c r="AK175">
        <v>39.438012620823585</v>
      </c>
    </row>
    <row r="176" spans="1:37" x14ac:dyDescent="0.2">
      <c r="A176">
        <v>175</v>
      </c>
      <c r="B176">
        <v>770</v>
      </c>
      <c r="C176">
        <v>135</v>
      </c>
      <c r="D176">
        <v>0.45983847001869499</v>
      </c>
      <c r="E176">
        <v>119.71824586283115</v>
      </c>
      <c r="F176">
        <v>53.144158673719211</v>
      </c>
      <c r="G176">
        <v>70.705489628228037</v>
      </c>
      <c r="H176">
        <v>66.13235777741545</v>
      </c>
      <c r="J176">
        <v>42.647149550470289</v>
      </c>
      <c r="L176">
        <v>2.7473649565431697</v>
      </c>
      <c r="M176">
        <v>14.657807771330797</v>
      </c>
      <c r="N176">
        <v>2.0379680472920532</v>
      </c>
      <c r="O176">
        <v>16.253670127353136</v>
      </c>
      <c r="P176">
        <v>8.0633813212711889</v>
      </c>
      <c r="R176">
        <v>12.388153479646672</v>
      </c>
      <c r="S176">
        <v>39.213969908568359</v>
      </c>
      <c r="U176">
        <v>3.3647886727329035</v>
      </c>
      <c r="V176">
        <v>45.830830659097877</v>
      </c>
      <c r="W176">
        <v>27.773063253886527</v>
      </c>
      <c r="X176">
        <v>44.284907067877839</v>
      </c>
      <c r="Y176">
        <v>4.2995083315526932</v>
      </c>
      <c r="Z176">
        <v>27.679522123156669</v>
      </c>
      <c r="AA176">
        <v>1.7995835915435163</v>
      </c>
      <c r="AB176">
        <v>35.562298465774703</v>
      </c>
      <c r="AD176">
        <v>5.3974664113480628</v>
      </c>
      <c r="AE176">
        <v>12.90241458264436</v>
      </c>
      <c r="AF176">
        <v>14.264732155217517</v>
      </c>
      <c r="AG176">
        <v>21.311828067430575</v>
      </c>
      <c r="AH176">
        <v>0.99164805252337884</v>
      </c>
      <c r="AI176">
        <v>1.9723123388266772</v>
      </c>
      <c r="AK176">
        <v>39.184601550717034</v>
      </c>
    </row>
    <row r="177" spans="1:37" x14ac:dyDescent="0.2">
      <c r="A177">
        <v>176</v>
      </c>
      <c r="B177">
        <v>768</v>
      </c>
      <c r="C177">
        <v>135</v>
      </c>
      <c r="D177">
        <v>0.45866637852374798</v>
      </c>
      <c r="E177">
        <v>119.32575970416472</v>
      </c>
      <c r="F177">
        <v>51.15551198861975</v>
      </c>
      <c r="G177">
        <v>70.350192662514786</v>
      </c>
      <c r="H177">
        <v>65.7718356741956</v>
      </c>
      <c r="J177">
        <v>42.119683760902987</v>
      </c>
      <c r="L177">
        <v>2.1775499155036524</v>
      </c>
      <c r="M177">
        <v>14.654441399156909</v>
      </c>
      <c r="N177">
        <v>2.0419241633540501</v>
      </c>
      <c r="O177">
        <v>13.993151473163708</v>
      </c>
      <c r="P177">
        <v>7.3994235896207847</v>
      </c>
      <c r="R177">
        <v>11.551199095058486</v>
      </c>
      <c r="S177">
        <v>38.126711063175279</v>
      </c>
      <c r="U177">
        <v>3.3402987274608926</v>
      </c>
      <c r="V177">
        <v>45.792070214476304</v>
      </c>
      <c r="W177">
        <v>27.334864872622646</v>
      </c>
      <c r="X177">
        <v>44.303102735473551</v>
      </c>
      <c r="Y177">
        <v>3.6754973166290088</v>
      </c>
      <c r="Z177">
        <v>26.551261063530102</v>
      </c>
      <c r="AA177">
        <v>1.2178094809899775</v>
      </c>
      <c r="AB177">
        <v>35.205132564380605</v>
      </c>
      <c r="AD177">
        <v>4.7158688307079952</v>
      </c>
      <c r="AE177">
        <v>12.469374919328144</v>
      </c>
      <c r="AF177">
        <v>14.259091746999374</v>
      </c>
      <c r="AG177">
        <v>20.924994268003438</v>
      </c>
      <c r="AH177">
        <v>5.3277762245605674E-2</v>
      </c>
      <c r="AI177">
        <v>1.9757273383639535</v>
      </c>
      <c r="AK177">
        <v>38.858600734100811</v>
      </c>
    </row>
    <row r="178" spans="1:37" x14ac:dyDescent="0.2">
      <c r="A178">
        <v>177</v>
      </c>
      <c r="B178">
        <v>766</v>
      </c>
      <c r="C178">
        <v>135</v>
      </c>
      <c r="D178">
        <v>0.45748977529712298</v>
      </c>
      <c r="E178">
        <v>120.39563469447303</v>
      </c>
      <c r="F178">
        <v>52.449196534586314</v>
      </c>
      <c r="G178">
        <v>70.838619590994242</v>
      </c>
      <c r="H178">
        <v>66.255088654571949</v>
      </c>
      <c r="J178">
        <v>31.409865121738225</v>
      </c>
      <c r="L178">
        <v>1.4822717100090559</v>
      </c>
      <c r="M178">
        <v>13.724097328718607</v>
      </c>
      <c r="N178">
        <v>2.0459560053351482</v>
      </c>
      <c r="O178">
        <v>9.2801798258333434</v>
      </c>
      <c r="P178">
        <v>8.4230192233557251</v>
      </c>
      <c r="R178">
        <v>10.33869174110559</v>
      </c>
      <c r="S178">
        <v>34.747675263286403</v>
      </c>
      <c r="U178">
        <v>3.4706897241164869</v>
      </c>
      <c r="V178">
        <v>46.241972606969263</v>
      </c>
      <c r="W178">
        <v>26.124264808688189</v>
      </c>
      <c r="X178">
        <v>44.758804478570603</v>
      </c>
      <c r="Y178">
        <v>3.4357461352083893</v>
      </c>
      <c r="Z178">
        <v>22.852857506233448</v>
      </c>
      <c r="AB178">
        <v>32.471925535919915</v>
      </c>
      <c r="AD178">
        <v>2.9833369786617858</v>
      </c>
      <c r="AE178">
        <v>9.8625949416913858</v>
      </c>
      <c r="AF178">
        <v>13.326550423107292</v>
      </c>
      <c r="AG178">
        <v>18.162204873881354</v>
      </c>
      <c r="AI178">
        <v>1.9792148283736926</v>
      </c>
      <c r="AK178">
        <v>31.811624489492885</v>
      </c>
    </row>
    <row r="179" spans="1:37" x14ac:dyDescent="0.2">
      <c r="A179">
        <v>178</v>
      </c>
      <c r="B179">
        <v>764</v>
      </c>
      <c r="C179">
        <v>135</v>
      </c>
      <c r="D179">
        <v>0.45630863423805901</v>
      </c>
      <c r="E179">
        <v>120.92271892248191</v>
      </c>
      <c r="F179">
        <v>52.682659442601668</v>
      </c>
      <c r="G179">
        <v>70.929929102447517</v>
      </c>
      <c r="H179">
        <v>66.341275570367159</v>
      </c>
      <c r="J179">
        <v>26.435565873402084</v>
      </c>
      <c r="L179">
        <v>1.5192830738528429</v>
      </c>
      <c r="M179">
        <v>12.829879042482549</v>
      </c>
      <c r="N179">
        <v>2.0499664120097223</v>
      </c>
      <c r="O179">
        <v>9.0214373426680723</v>
      </c>
      <c r="P179">
        <v>8.6523886149803229</v>
      </c>
      <c r="R179">
        <v>9.7164712746060715</v>
      </c>
      <c r="S179">
        <v>34.964695478976651</v>
      </c>
      <c r="U179">
        <v>3.4751977344302043</v>
      </c>
      <c r="V179">
        <v>47.265980956627985</v>
      </c>
      <c r="W179">
        <v>25.031318145617721</v>
      </c>
      <c r="X179">
        <v>44.853273781087296</v>
      </c>
      <c r="Y179">
        <v>3.4215456230304069</v>
      </c>
      <c r="Z179">
        <v>20.5830770232721</v>
      </c>
      <c r="AB179">
        <v>31.657224912072834</v>
      </c>
      <c r="AD179">
        <v>1.8672932450209887</v>
      </c>
      <c r="AE179">
        <v>8.4725436183532086</v>
      </c>
      <c r="AF179">
        <v>12.430114548522686</v>
      </c>
      <c r="AG179">
        <v>17.317910301280257</v>
      </c>
      <c r="AI179">
        <v>1.9826776329515781</v>
      </c>
      <c r="AK179">
        <v>28.354260947858144</v>
      </c>
    </row>
    <row r="180" spans="1:37" x14ac:dyDescent="0.2">
      <c r="A180">
        <v>179</v>
      </c>
      <c r="B180">
        <v>762</v>
      </c>
      <c r="C180">
        <v>135</v>
      </c>
      <c r="D180">
        <v>0.45512292904410101</v>
      </c>
      <c r="E180">
        <v>121.30475577066562</v>
      </c>
      <c r="F180">
        <v>53.090090748087214</v>
      </c>
      <c r="G180">
        <v>70.970106440580395</v>
      </c>
      <c r="H180">
        <v>66.376381828960902</v>
      </c>
      <c r="J180">
        <v>23.56224418436992</v>
      </c>
      <c r="L180">
        <v>1.5471782055331096</v>
      </c>
      <c r="M180">
        <v>12.064229188259066</v>
      </c>
      <c r="N180">
        <v>2.0539691895014083</v>
      </c>
      <c r="O180">
        <v>8.8114762793423154</v>
      </c>
      <c r="P180">
        <v>8.7795162351742135</v>
      </c>
      <c r="R180">
        <v>9.1651457827272544</v>
      </c>
      <c r="S180">
        <v>35.352493742468894</v>
      </c>
      <c r="U180">
        <v>3.4501844876756249</v>
      </c>
      <c r="V180">
        <v>48.212771528761436</v>
      </c>
      <c r="W180">
        <v>24.084898085435849</v>
      </c>
      <c r="X180">
        <v>44.863876566099549</v>
      </c>
      <c r="Y180">
        <v>3.3896028441861774</v>
      </c>
      <c r="Z180">
        <v>19.313433441905214</v>
      </c>
      <c r="AB180">
        <v>31.485425974191003</v>
      </c>
      <c r="AD180">
        <v>1.224433834456166</v>
      </c>
      <c r="AE180">
        <v>7.6999406337594936</v>
      </c>
      <c r="AF180">
        <v>11.662240621113616</v>
      </c>
      <c r="AG180">
        <v>17.116519683725251</v>
      </c>
      <c r="AI180">
        <v>1.9861295435346376</v>
      </c>
      <c r="AK180">
        <v>26.288919520594348</v>
      </c>
    </row>
    <row r="181" spans="1:37" x14ac:dyDescent="0.2">
      <c r="A181">
        <v>180</v>
      </c>
      <c r="B181">
        <v>760</v>
      </c>
      <c r="C181">
        <v>135</v>
      </c>
      <c r="D181">
        <v>0.45393263320911997</v>
      </c>
      <c r="E181">
        <v>121.60716967857201</v>
      </c>
      <c r="F181">
        <v>53.515075910073179</v>
      </c>
      <c r="G181">
        <v>70.987295314933235</v>
      </c>
      <c r="H181">
        <v>66.388551304197463</v>
      </c>
      <c r="J181">
        <v>21.618700411069671</v>
      </c>
      <c r="L181">
        <v>1.5698409286183741</v>
      </c>
      <c r="M181">
        <v>11.391107557967141</v>
      </c>
      <c r="N181">
        <v>2.0579666008892548</v>
      </c>
      <c r="O181">
        <v>8.6235496567580583</v>
      </c>
      <c r="P181">
        <v>8.8606919442152989</v>
      </c>
      <c r="R181">
        <v>8.6659186469777278</v>
      </c>
      <c r="S181">
        <v>35.752233703342227</v>
      </c>
      <c r="U181">
        <v>3.4145944478813703</v>
      </c>
      <c r="V181">
        <v>49.060423814611617</v>
      </c>
      <c r="W181">
        <v>23.237248300940784</v>
      </c>
      <c r="X181">
        <v>44.845116079739661</v>
      </c>
      <c r="Y181">
        <v>3.3547815457867558</v>
      </c>
      <c r="Z181">
        <v>18.44750011228323</v>
      </c>
      <c r="AB181">
        <v>31.519233437666507</v>
      </c>
      <c r="AD181">
        <v>0.77640807565573233</v>
      </c>
      <c r="AE181">
        <v>7.1730866687463228</v>
      </c>
      <c r="AF181">
        <v>10.986890740013141</v>
      </c>
      <c r="AG181">
        <v>17.120740046029496</v>
      </c>
      <c r="AI181">
        <v>1.9895728085101891</v>
      </c>
      <c r="AK181">
        <v>24.856665441837336</v>
      </c>
    </row>
    <row r="182" spans="1:37" x14ac:dyDescent="0.2">
      <c r="A182">
        <v>181</v>
      </c>
      <c r="B182">
        <v>758</v>
      </c>
      <c r="C182">
        <v>135</v>
      </c>
      <c r="D182">
        <v>0.452737720021335</v>
      </c>
      <c r="E182">
        <v>121.85886914519887</v>
      </c>
      <c r="F182">
        <v>53.925168485901494</v>
      </c>
      <c r="G182">
        <v>70.991943563377092</v>
      </c>
      <c r="H182">
        <v>66.388231998887917</v>
      </c>
      <c r="J182">
        <v>20.182329978403956</v>
      </c>
      <c r="L182">
        <v>1.5891974106479392</v>
      </c>
      <c r="M182">
        <v>10.784644909107424</v>
      </c>
      <c r="N182">
        <v>2.0619600408129837</v>
      </c>
      <c r="O182">
        <v>8.4476108696406662</v>
      </c>
      <c r="P182">
        <v>8.9168129915936021</v>
      </c>
      <c r="R182">
        <v>8.2056634302497891</v>
      </c>
      <c r="S182">
        <v>36.134750596510088</v>
      </c>
      <c r="U182">
        <v>3.3738644553559252</v>
      </c>
      <c r="V182">
        <v>49.826577306277443</v>
      </c>
      <c r="W182">
        <v>22.459203333522421</v>
      </c>
      <c r="X182">
        <v>44.81262547509148</v>
      </c>
      <c r="Y182">
        <v>3.3206221261103614</v>
      </c>
      <c r="Z182">
        <v>17.78652252213768</v>
      </c>
      <c r="AB182">
        <v>31.634823571018945</v>
      </c>
      <c r="AD182">
        <v>0.42899534960848024</v>
      </c>
      <c r="AE182">
        <v>6.7703717337841045</v>
      </c>
      <c r="AF182">
        <v>10.378197101696777</v>
      </c>
      <c r="AG182">
        <v>17.20674909799062</v>
      </c>
      <c r="AI182">
        <v>1.9930088078204053</v>
      </c>
      <c r="AK182">
        <v>23.776500201773075</v>
      </c>
    </row>
    <row r="183" spans="1:37" x14ac:dyDescent="0.2">
      <c r="A183">
        <v>182</v>
      </c>
      <c r="B183">
        <v>756</v>
      </c>
      <c r="C183">
        <v>135</v>
      </c>
      <c r="D183">
        <v>0.451538162561337</v>
      </c>
      <c r="E183">
        <v>122.07501642444349</v>
      </c>
      <c r="F183">
        <v>54.313452899989379</v>
      </c>
      <c r="G183">
        <v>70.988831740871163</v>
      </c>
      <c r="H183">
        <v>66.380204633572689</v>
      </c>
      <c r="J183">
        <v>19.060733476439548</v>
      </c>
      <c r="L183">
        <v>1.6062266081096241</v>
      </c>
      <c r="M183">
        <v>10.228435823321403</v>
      </c>
      <c r="N183">
        <v>2.0659503421555381</v>
      </c>
      <c r="O183">
        <v>8.2791484014899357</v>
      </c>
      <c r="P183">
        <v>8.957441500207997</v>
      </c>
      <c r="R183">
        <v>7.7757633191801494</v>
      </c>
      <c r="S183">
        <v>36.494878195335431</v>
      </c>
      <c r="U183">
        <v>3.3301394814309777</v>
      </c>
      <c r="V183">
        <v>50.527564569638187</v>
      </c>
      <c r="W183">
        <v>21.733071987569563</v>
      </c>
      <c r="X183">
        <v>44.772567967524246</v>
      </c>
      <c r="Y183">
        <v>3.2880620686575641</v>
      </c>
      <c r="Z183">
        <v>17.245555327949759</v>
      </c>
      <c r="AB183">
        <v>31.7861623107007</v>
      </c>
      <c r="AD183">
        <v>0.14142314853813961</v>
      </c>
      <c r="AE183">
        <v>6.4402121671864405</v>
      </c>
      <c r="AF183">
        <v>9.8197551652231763</v>
      </c>
      <c r="AG183">
        <v>17.328513655872602</v>
      </c>
      <c r="AI183">
        <v>1.9964383596449733</v>
      </c>
      <c r="AK183">
        <v>22.918307803504355</v>
      </c>
    </row>
    <row r="184" spans="1:37" x14ac:dyDescent="0.2">
      <c r="A184">
        <v>183</v>
      </c>
      <c r="B184">
        <v>754</v>
      </c>
      <c r="C184">
        <v>135</v>
      </c>
      <c r="D184">
        <v>0.45033393370004399</v>
      </c>
      <c r="E184">
        <v>122.22630513003763</v>
      </c>
      <c r="F184">
        <v>54.943239635824867</v>
      </c>
      <c r="G184">
        <v>70.931448508142694</v>
      </c>
      <c r="H184">
        <v>66.317958035203361</v>
      </c>
      <c r="J184">
        <v>18.096117416413648</v>
      </c>
      <c r="L184">
        <v>1.6188925684511559</v>
      </c>
      <c r="M184">
        <v>9.6912703348694453</v>
      </c>
      <c r="N184">
        <v>2.0699364863223173</v>
      </c>
      <c r="O184">
        <v>8.1995986792068258</v>
      </c>
      <c r="P184">
        <v>8.8895539540153976</v>
      </c>
      <c r="R184">
        <v>7.3104934618290276</v>
      </c>
      <c r="S184">
        <v>36.894314112250058</v>
      </c>
      <c r="U184">
        <v>3.2849958155399404</v>
      </c>
      <c r="V184">
        <v>51.197200130833174</v>
      </c>
      <c r="W184">
        <v>21.026760117832918</v>
      </c>
      <c r="X184">
        <v>44.729478869034082</v>
      </c>
      <c r="Y184">
        <v>3.2305144695768475</v>
      </c>
      <c r="Z184">
        <v>17.612899555006507</v>
      </c>
      <c r="AB184">
        <v>32.458213110404621</v>
      </c>
      <c r="AE184">
        <v>6.6440670306115752</v>
      </c>
      <c r="AF184">
        <v>9.2803539909945325</v>
      </c>
      <c r="AG184">
        <v>17.970996202007221</v>
      </c>
      <c r="AI184">
        <v>1.9998604306817296</v>
      </c>
      <c r="AK184">
        <v>22.169058545647378</v>
      </c>
    </row>
    <row r="185" spans="1:37" x14ac:dyDescent="0.2">
      <c r="A185">
        <v>184</v>
      </c>
      <c r="B185">
        <v>752</v>
      </c>
      <c r="C185">
        <v>135</v>
      </c>
      <c r="D185">
        <v>0.449125006096672</v>
      </c>
      <c r="E185">
        <v>122.3729047376877</v>
      </c>
      <c r="F185">
        <v>55.433507661292502</v>
      </c>
      <c r="G185">
        <v>70.891942662921139</v>
      </c>
      <c r="H185">
        <v>66.273641168380493</v>
      </c>
      <c r="J185">
        <v>17.314457690409764</v>
      </c>
      <c r="L185">
        <v>1.6316103309230856</v>
      </c>
      <c r="M185">
        <v>9.1964426418964802</v>
      </c>
      <c r="N185">
        <v>2.0739212905288351</v>
      </c>
      <c r="O185">
        <v>8.0890125799313051</v>
      </c>
      <c r="P185">
        <v>8.8574509477968579</v>
      </c>
      <c r="R185">
        <v>6.8934001364964583</v>
      </c>
      <c r="S185">
        <v>37.247478875613623</v>
      </c>
      <c r="U185">
        <v>3.2381075700283586</v>
      </c>
      <c r="V185">
        <v>51.811961663496888</v>
      </c>
      <c r="W185">
        <v>20.36368250053556</v>
      </c>
      <c r="X185">
        <v>44.682403071937443</v>
      </c>
      <c r="Y185">
        <v>3.1873931773303421</v>
      </c>
      <c r="Z185">
        <v>17.666463924345106</v>
      </c>
      <c r="AB185">
        <v>32.911292315718093</v>
      </c>
      <c r="AE185">
        <v>6.6641240618433919</v>
      </c>
      <c r="AF185">
        <v>8.7832906393091115</v>
      </c>
      <c r="AG185">
        <v>18.394515946728696</v>
      </c>
      <c r="AI185">
        <v>2.0032778234344351</v>
      </c>
      <c r="AK185">
        <v>21.553359625455183</v>
      </c>
    </row>
    <row r="186" spans="1:37" x14ac:dyDescent="0.2">
      <c r="A186">
        <v>185</v>
      </c>
      <c r="B186">
        <v>792</v>
      </c>
      <c r="C186">
        <v>120</v>
      </c>
      <c r="D186">
        <v>0.48793174670234402</v>
      </c>
      <c r="E186">
        <v>113.43925057537857</v>
      </c>
      <c r="F186">
        <v>62.618849358303905</v>
      </c>
      <c r="G186">
        <v>72.482453502280606</v>
      </c>
      <c r="H186">
        <v>67.969679202391276</v>
      </c>
      <c r="J186">
        <v>43.76494909553584</v>
      </c>
      <c r="L186">
        <v>5.2479595496531841</v>
      </c>
      <c r="M186">
        <v>14.899391162644726</v>
      </c>
      <c r="N186">
        <v>2.125406124688086</v>
      </c>
      <c r="O186">
        <v>28.438443051015103</v>
      </c>
      <c r="P186">
        <v>11.152672179918179</v>
      </c>
      <c r="Q186">
        <v>3.1121792643169385E-2</v>
      </c>
      <c r="R186">
        <v>16.573736660861321</v>
      </c>
      <c r="S186">
        <v>44.589797504780172</v>
      </c>
      <c r="U186">
        <v>4.1863427560496431</v>
      </c>
      <c r="V186">
        <v>45.591928464183646</v>
      </c>
      <c r="W186">
        <v>31.86574454866139</v>
      </c>
      <c r="X186">
        <v>44.141855698884768</v>
      </c>
      <c r="Y186">
        <v>6.9674229241951489</v>
      </c>
      <c r="Z186">
        <v>33.228373358818381</v>
      </c>
      <c r="AA186">
        <v>4.4260321427324527</v>
      </c>
      <c r="AB186">
        <v>37.283563864367146</v>
      </c>
      <c r="AC186">
        <v>0.18586036134823891</v>
      </c>
      <c r="AD186">
        <v>8.5041184240051368</v>
      </c>
      <c r="AE186">
        <v>15.385543682526794</v>
      </c>
      <c r="AF186">
        <v>14.70869920332054</v>
      </c>
      <c r="AG186">
        <v>23.555094617426654</v>
      </c>
      <c r="AH186">
        <v>4.7531821481767533</v>
      </c>
      <c r="AI186">
        <v>2.0637387258718785</v>
      </c>
      <c r="AK186">
        <v>39.414803116637373</v>
      </c>
    </row>
    <row r="187" spans="1:37" x14ac:dyDescent="0.2">
      <c r="A187">
        <v>186</v>
      </c>
      <c r="B187">
        <v>790</v>
      </c>
      <c r="C187">
        <v>120</v>
      </c>
      <c r="D187">
        <v>0.486836758688802</v>
      </c>
      <c r="E187">
        <v>113.23758963458313</v>
      </c>
      <c r="F187">
        <v>61.87560424268964</v>
      </c>
      <c r="G187">
        <v>72.350435240478234</v>
      </c>
      <c r="H187">
        <v>67.831871007558874</v>
      </c>
      <c r="J187">
        <v>43.704399420381719</v>
      </c>
      <c r="L187">
        <v>5.0567936388536907</v>
      </c>
      <c r="M187">
        <v>14.885963271518357</v>
      </c>
      <c r="N187">
        <v>2.1007802405805278</v>
      </c>
      <c r="O187">
        <v>27.504544534648158</v>
      </c>
      <c r="P187">
        <v>10.906361561153952</v>
      </c>
      <c r="R187">
        <v>16.263724790107137</v>
      </c>
      <c r="S187">
        <v>44.232913032589217</v>
      </c>
      <c r="U187">
        <v>4.1296362164928215</v>
      </c>
      <c r="V187">
        <v>45.603037187958769</v>
      </c>
      <c r="W187">
        <v>31.598484491741392</v>
      </c>
      <c r="X187">
        <v>44.082257884346923</v>
      </c>
      <c r="Y187">
        <v>6.7653312032960029</v>
      </c>
      <c r="Z187">
        <v>32.816146294579802</v>
      </c>
      <c r="AA187">
        <v>4.2245734213001995</v>
      </c>
      <c r="AB187">
        <v>37.178779014900854</v>
      </c>
      <c r="AC187">
        <v>0.15724970685338591</v>
      </c>
      <c r="AD187">
        <v>8.2823537937881024</v>
      </c>
      <c r="AE187">
        <v>15.203959472126908</v>
      </c>
      <c r="AF187">
        <v>14.664402025132199</v>
      </c>
      <c r="AG187">
        <v>23.391994398115461</v>
      </c>
      <c r="AH187">
        <v>4.4725854649653893</v>
      </c>
      <c r="AI187">
        <v>2.038607702034847</v>
      </c>
      <c r="AK187">
        <v>39.402481862413786</v>
      </c>
    </row>
    <row r="188" spans="1:37" x14ac:dyDescent="0.2">
      <c r="A188">
        <v>187</v>
      </c>
      <c r="B188">
        <v>788</v>
      </c>
      <c r="C188">
        <v>120</v>
      </c>
      <c r="D188">
        <v>0.48573764312303003</v>
      </c>
      <c r="E188">
        <v>113.03577877454684</v>
      </c>
      <c r="F188">
        <v>61.073611124626325</v>
      </c>
      <c r="G188">
        <v>72.206254981248634</v>
      </c>
      <c r="H188">
        <v>67.681950257396323</v>
      </c>
      <c r="J188">
        <v>43.65467775354243</v>
      </c>
      <c r="L188">
        <v>4.840783049679227</v>
      </c>
      <c r="M188">
        <v>14.906811116253142</v>
      </c>
      <c r="N188">
        <v>2.0706785674296158</v>
      </c>
      <c r="O188">
        <v>26.46557345792538</v>
      </c>
      <c r="P188">
        <v>10.630279126016619</v>
      </c>
      <c r="R188">
        <v>15.960853780479541</v>
      </c>
      <c r="S188">
        <v>43.999481450019772</v>
      </c>
      <c r="U188">
        <v>4.1013916103682675</v>
      </c>
      <c r="V188">
        <v>45.678630766827496</v>
      </c>
      <c r="W188">
        <v>31.362804394723312</v>
      </c>
      <c r="X188">
        <v>44.117203834995003</v>
      </c>
      <c r="Y188">
        <v>6.5364401009979458</v>
      </c>
      <c r="Z188">
        <v>32.369240622460602</v>
      </c>
      <c r="AA188">
        <v>3.9967275728325551</v>
      </c>
      <c r="AB188">
        <v>37.122097580258803</v>
      </c>
      <c r="AC188">
        <v>0.12316389373313388</v>
      </c>
      <c r="AD188">
        <v>8.039357521654356</v>
      </c>
      <c r="AE188">
        <v>15.011341081164312</v>
      </c>
      <c r="AF188">
        <v>14.648905396622363</v>
      </c>
      <c r="AG188">
        <v>23.271531126125513</v>
      </c>
      <c r="AH188">
        <v>4.15914114180692</v>
      </c>
      <c r="AI188">
        <v>2.0079978145981041</v>
      </c>
      <c r="AK188">
        <v>39.377515033465905</v>
      </c>
    </row>
    <row r="189" spans="1:37" x14ac:dyDescent="0.2">
      <c r="A189">
        <v>188</v>
      </c>
      <c r="B189">
        <v>786</v>
      </c>
      <c r="C189">
        <v>120</v>
      </c>
      <c r="D189">
        <v>0.48463437662276798</v>
      </c>
      <c r="E189">
        <v>112.83562005178842</v>
      </c>
      <c r="F189">
        <v>60.275922593395414</v>
      </c>
      <c r="G189">
        <v>72.062180198318799</v>
      </c>
      <c r="H189">
        <v>67.532184581989441</v>
      </c>
      <c r="J189">
        <v>43.603675762244961</v>
      </c>
      <c r="L189">
        <v>4.6240776859909056</v>
      </c>
      <c r="M189">
        <v>14.928132338790105</v>
      </c>
      <c r="N189">
        <v>2.0405347139890724</v>
      </c>
      <c r="O189">
        <v>25.427801062182063</v>
      </c>
      <c r="P189">
        <v>10.354393596632864</v>
      </c>
      <c r="R189">
        <v>15.655477342851004</v>
      </c>
      <c r="S189">
        <v>43.758167011677344</v>
      </c>
      <c r="U189">
        <v>4.0745599431120967</v>
      </c>
      <c r="V189">
        <v>45.750428684176974</v>
      </c>
      <c r="W189">
        <v>31.129013672212359</v>
      </c>
      <c r="X189">
        <v>44.157206691222619</v>
      </c>
      <c r="Y189">
        <v>6.307512221634104</v>
      </c>
      <c r="Z189">
        <v>31.923625907492891</v>
      </c>
      <c r="AA189">
        <v>3.768819602219228</v>
      </c>
      <c r="AB189">
        <v>37.060890169907424</v>
      </c>
      <c r="AC189">
        <v>8.9036527267722265E-2</v>
      </c>
      <c r="AD189">
        <v>7.7963642142019305</v>
      </c>
      <c r="AE189">
        <v>14.819467123384587</v>
      </c>
      <c r="AF189">
        <v>14.633840610101108</v>
      </c>
      <c r="AG189">
        <v>23.146509062400817</v>
      </c>
      <c r="AH189">
        <v>3.8455128719760121</v>
      </c>
      <c r="AI189">
        <v>1.9773426577409914</v>
      </c>
      <c r="AK189">
        <v>39.353300024347476</v>
      </c>
    </row>
    <row r="190" spans="1:37" x14ac:dyDescent="0.2">
      <c r="A190">
        <v>189</v>
      </c>
      <c r="B190">
        <v>784</v>
      </c>
      <c r="C190">
        <v>120</v>
      </c>
      <c r="D190">
        <v>0.48352693562881199</v>
      </c>
      <c r="E190">
        <v>112.63712292972059</v>
      </c>
      <c r="F190">
        <v>59.482661803047364</v>
      </c>
      <c r="G190">
        <v>71.918249949313378</v>
      </c>
      <c r="H190">
        <v>67.382613195912597</v>
      </c>
      <c r="J190">
        <v>43.551348525420615</v>
      </c>
      <c r="L190">
        <v>4.4068338897540711</v>
      </c>
      <c r="M190">
        <v>14.94987676546082</v>
      </c>
      <c r="N190">
        <v>2.0103535025184343</v>
      </c>
      <c r="O190">
        <v>24.391445258500891</v>
      </c>
      <c r="P190">
        <v>10.07878807733373</v>
      </c>
      <c r="R190">
        <v>15.347735583747058</v>
      </c>
      <c r="S190">
        <v>43.508692247381482</v>
      </c>
      <c r="U190">
        <v>4.0490880802737896</v>
      </c>
      <c r="V190">
        <v>45.818335733096013</v>
      </c>
      <c r="W190">
        <v>30.897103691733374</v>
      </c>
      <c r="X190">
        <v>44.202109652172091</v>
      </c>
      <c r="Y190">
        <v>6.0786169922762943</v>
      </c>
      <c r="Z190">
        <v>31.479323204963237</v>
      </c>
      <c r="AA190">
        <v>3.5409942972929493</v>
      </c>
      <c r="AB190">
        <v>36.994989160076081</v>
      </c>
      <c r="AC190">
        <v>5.4872426237615145E-2</v>
      </c>
      <c r="AD190">
        <v>7.5534150461752354</v>
      </c>
      <c r="AE190">
        <v>14.628314783304347</v>
      </c>
      <c r="AF190">
        <v>14.619162355965686</v>
      </c>
      <c r="AG190">
        <v>23.016765448419179</v>
      </c>
      <c r="AH190">
        <v>3.5318146626601177</v>
      </c>
      <c r="AI190">
        <v>1.9466470391372521</v>
      </c>
      <c r="AK190">
        <v>39.329855631459608</v>
      </c>
    </row>
    <row r="191" spans="1:37" x14ac:dyDescent="0.2">
      <c r="A191">
        <v>190</v>
      </c>
      <c r="B191">
        <v>782</v>
      </c>
      <c r="C191">
        <v>120</v>
      </c>
      <c r="D191">
        <v>0.48241529640335601</v>
      </c>
      <c r="E191">
        <v>112.44029446240518</v>
      </c>
      <c r="F191">
        <v>58.693944482859877</v>
      </c>
      <c r="G191">
        <v>71.774503081007211</v>
      </c>
      <c r="H191">
        <v>67.23327510348409</v>
      </c>
      <c r="J191">
        <v>43.497661565915941</v>
      </c>
      <c r="L191">
        <v>4.1890246506198565</v>
      </c>
      <c r="M191">
        <v>14.971992341894767</v>
      </c>
      <c r="N191">
        <v>1.9801398075500456</v>
      </c>
      <c r="O191">
        <v>23.356722138980338</v>
      </c>
      <c r="P191">
        <v>9.8035453039340705</v>
      </c>
      <c r="R191">
        <v>15.037770414903459</v>
      </c>
      <c r="S191">
        <v>43.250822584761849</v>
      </c>
      <c r="U191">
        <v>4.0249197109408232</v>
      </c>
      <c r="V191">
        <v>45.882273630806694</v>
      </c>
      <c r="W191">
        <v>30.667062548224628</v>
      </c>
      <c r="X191">
        <v>44.251746394052034</v>
      </c>
      <c r="Y191">
        <v>5.8498237993339561</v>
      </c>
      <c r="Z191">
        <v>31.036349663242753</v>
      </c>
      <c r="AA191">
        <v>3.3131560322644802</v>
      </c>
      <c r="AB191">
        <v>36.92424917485036</v>
      </c>
      <c r="AC191">
        <v>2.0676461691427839E-2</v>
      </c>
      <c r="AD191">
        <v>7.3105484266485847</v>
      </c>
      <c r="AE191">
        <v>14.437859165857896</v>
      </c>
      <c r="AF191">
        <v>14.604823496372187</v>
      </c>
      <c r="AG191">
        <v>22.88215982605427</v>
      </c>
      <c r="AH191">
        <v>3.2181597241315281</v>
      </c>
      <c r="AI191">
        <v>1.9159158187221457</v>
      </c>
      <c r="AK191">
        <v>39.307199499888448</v>
      </c>
    </row>
    <row r="192" spans="1:37" x14ac:dyDescent="0.2">
      <c r="A192">
        <v>191</v>
      </c>
      <c r="B192">
        <v>780</v>
      </c>
      <c r="C192">
        <v>120</v>
      </c>
      <c r="D192">
        <v>0.48129943502824801</v>
      </c>
      <c r="E192">
        <v>112.17911533359033</v>
      </c>
      <c r="F192">
        <v>57.56127274234705</v>
      </c>
      <c r="G192">
        <v>71.570870567812761</v>
      </c>
      <c r="H192">
        <v>67.024101437256377</v>
      </c>
      <c r="J192">
        <v>43.33524316126018</v>
      </c>
      <c r="L192">
        <v>3.8779931195197386</v>
      </c>
      <c r="M192">
        <v>14.984645940170733</v>
      </c>
      <c r="N192">
        <v>1.9631326323607079</v>
      </c>
      <c r="O192">
        <v>21.990824971372682</v>
      </c>
      <c r="P192">
        <v>9.4217663971777874</v>
      </c>
      <c r="R192">
        <v>14.595357933623168</v>
      </c>
      <c r="S192">
        <v>42.815305536585001</v>
      </c>
      <c r="U192">
        <v>3.9903166833964567</v>
      </c>
      <c r="V192">
        <v>45.937604516099483</v>
      </c>
      <c r="W192">
        <v>30.351776605606361</v>
      </c>
      <c r="X192">
        <v>44.259296969907041</v>
      </c>
      <c r="Y192">
        <v>5.5113694623860141</v>
      </c>
      <c r="Z192">
        <v>30.410239751753853</v>
      </c>
      <c r="AA192">
        <v>2.9901396558223858</v>
      </c>
      <c r="AB192">
        <v>36.810151127376891</v>
      </c>
      <c r="AD192">
        <v>6.9495301422691966</v>
      </c>
      <c r="AE192">
        <v>14.185369854920545</v>
      </c>
      <c r="AF192">
        <v>14.59422994886034</v>
      </c>
      <c r="AG192">
        <v>22.717412155259201</v>
      </c>
      <c r="AH192">
        <v>2.7297669520320613</v>
      </c>
      <c r="AI192">
        <v>1.8983879851649124</v>
      </c>
      <c r="AK192">
        <v>39.205682599457091</v>
      </c>
    </row>
    <row r="193" spans="1:37" x14ac:dyDescent="0.2">
      <c r="A193">
        <v>192</v>
      </c>
      <c r="B193">
        <v>778</v>
      </c>
      <c r="C193">
        <v>120</v>
      </c>
      <c r="D193">
        <v>0.48017932740332298</v>
      </c>
      <c r="E193">
        <v>111.81401525039252</v>
      </c>
      <c r="F193">
        <v>55.855554952164127</v>
      </c>
      <c r="G193">
        <v>71.266190325776194</v>
      </c>
      <c r="H193">
        <v>66.713930272017677</v>
      </c>
      <c r="J193">
        <v>42.979993098595294</v>
      </c>
      <c r="L193">
        <v>3.4076990291865803</v>
      </c>
      <c r="M193">
        <v>14.983242686443603</v>
      </c>
      <c r="N193">
        <v>1.9670991027872282</v>
      </c>
      <c r="O193">
        <v>20.061699182008674</v>
      </c>
      <c r="P193">
        <v>8.8588944845610538</v>
      </c>
      <c r="R193">
        <v>13.922714464500636</v>
      </c>
      <c r="S193">
        <v>42.053919684769447</v>
      </c>
      <c r="U193">
        <v>3.9440412482541207</v>
      </c>
      <c r="V193">
        <v>45.968422632895596</v>
      </c>
      <c r="W193">
        <v>29.903291811557533</v>
      </c>
      <c r="X193">
        <v>44.213709152437197</v>
      </c>
      <c r="Y193">
        <v>4.9875302240270587</v>
      </c>
      <c r="Z193">
        <v>29.476156600034525</v>
      </c>
      <c r="AA193">
        <v>2.5050697742404444</v>
      </c>
      <c r="AB193">
        <v>36.607622204146416</v>
      </c>
      <c r="AD193">
        <v>6.3896945984522802</v>
      </c>
      <c r="AE193">
        <v>13.828847577204115</v>
      </c>
      <c r="AF193">
        <v>14.590554007797012</v>
      </c>
      <c r="AG193">
        <v>22.485216792157654</v>
      </c>
      <c r="AH193">
        <v>1.9464210846431038</v>
      </c>
      <c r="AI193">
        <v>1.9018306496829231</v>
      </c>
      <c r="AK193">
        <v>38.970264664490813</v>
      </c>
    </row>
    <row r="194" spans="1:37" x14ac:dyDescent="0.2">
      <c r="A194">
        <v>193</v>
      </c>
      <c r="B194">
        <v>776</v>
      </c>
      <c r="C194">
        <v>120</v>
      </c>
      <c r="D194">
        <v>0.47905494924462999</v>
      </c>
      <c r="E194">
        <v>111.44748252067927</v>
      </c>
      <c r="F194">
        <v>54.098962212646796</v>
      </c>
      <c r="G194">
        <v>70.949805229077683</v>
      </c>
      <c r="H194">
        <v>66.392104641292818</v>
      </c>
      <c r="J194">
        <v>42.579517791856517</v>
      </c>
      <c r="L194">
        <v>2.9134997321430891</v>
      </c>
      <c r="M194">
        <v>14.983268241592556</v>
      </c>
      <c r="N194">
        <v>1.9710632476430723</v>
      </c>
      <c r="O194">
        <v>18.058414962025452</v>
      </c>
      <c r="P194">
        <v>8.2726395137469879</v>
      </c>
      <c r="R194">
        <v>13.206531253341568</v>
      </c>
      <c r="S194">
        <v>41.186887541421612</v>
      </c>
      <c r="U194">
        <v>3.9083447711841743</v>
      </c>
      <c r="V194">
        <v>45.970225045653059</v>
      </c>
      <c r="W194">
        <v>29.460885050867038</v>
      </c>
      <c r="X194">
        <v>44.199807159286486</v>
      </c>
      <c r="Y194">
        <v>4.4407906447574303</v>
      </c>
      <c r="Z194">
        <v>28.505013667401691</v>
      </c>
      <c r="AA194">
        <v>1.9978478551955776</v>
      </c>
      <c r="AB194">
        <v>36.354660159808653</v>
      </c>
      <c r="AD194">
        <v>5.8051841334916476</v>
      </c>
      <c r="AE194">
        <v>13.45940990569885</v>
      </c>
      <c r="AF194">
        <v>14.588305405443508</v>
      </c>
      <c r="AG194">
        <v>22.202595564285097</v>
      </c>
      <c r="AH194">
        <v>1.127447236957084</v>
      </c>
      <c r="AI194">
        <v>1.9052678264614764</v>
      </c>
      <c r="AK194">
        <v>38.717053955062411</v>
      </c>
    </row>
    <row r="195" spans="1:37" x14ac:dyDescent="0.2">
      <c r="A195">
        <v>194</v>
      </c>
      <c r="B195">
        <v>774</v>
      </c>
      <c r="C195">
        <v>120</v>
      </c>
      <c r="D195">
        <v>0.47792627608270499</v>
      </c>
      <c r="E195">
        <v>111.07491817972533</v>
      </c>
      <c r="F195">
        <v>52.24202833572118</v>
      </c>
      <c r="G195">
        <v>70.613359377760204</v>
      </c>
      <c r="H195">
        <v>66.05026880507846</v>
      </c>
      <c r="J195">
        <v>42.100956335179681</v>
      </c>
      <c r="L195">
        <v>2.3791597302686385</v>
      </c>
      <c r="M195">
        <v>14.983096516482171</v>
      </c>
      <c r="N195">
        <v>1.9750244359225038</v>
      </c>
      <c r="O195">
        <v>15.924284952426067</v>
      </c>
      <c r="P195">
        <v>7.6462892252411274</v>
      </c>
      <c r="R195">
        <v>12.419525252342217</v>
      </c>
      <c r="S195">
        <v>40.150569432611412</v>
      </c>
      <c r="U195">
        <v>3.8861483073589786</v>
      </c>
      <c r="V195">
        <v>45.928632004209881</v>
      </c>
      <c r="W195">
        <v>29.024008840047514</v>
      </c>
      <c r="X195">
        <v>44.226057831900633</v>
      </c>
      <c r="Y195">
        <v>3.854533783573272</v>
      </c>
      <c r="Z195">
        <v>27.460880526016421</v>
      </c>
      <c r="AA195">
        <v>1.4524496406690741</v>
      </c>
      <c r="AB195">
        <v>36.019858134260701</v>
      </c>
      <c r="AD195">
        <v>5.1748213989067349</v>
      </c>
      <c r="AE195">
        <v>13.061857310654483</v>
      </c>
      <c r="AF195">
        <v>14.585857464420581</v>
      </c>
      <c r="AG195">
        <v>21.838141024881317</v>
      </c>
      <c r="AH195">
        <v>0.24736008680207416</v>
      </c>
      <c r="AI195">
        <v>1.908698869856424</v>
      </c>
      <c r="AK195">
        <v>38.429546307992304</v>
      </c>
    </row>
    <row r="196" spans="1:37" x14ac:dyDescent="0.2">
      <c r="A196">
        <v>195</v>
      </c>
      <c r="B196">
        <v>772</v>
      </c>
      <c r="C196">
        <v>120</v>
      </c>
      <c r="D196">
        <v>0.47679328326077502</v>
      </c>
      <c r="E196">
        <v>111.89653322036078</v>
      </c>
      <c r="F196">
        <v>53.210598898648698</v>
      </c>
      <c r="G196">
        <v>70.983354699728309</v>
      </c>
      <c r="H196">
        <v>66.414924851841988</v>
      </c>
      <c r="J196">
        <v>33.449660737525612</v>
      </c>
      <c r="L196">
        <v>1.4450024976978058</v>
      </c>
      <c r="M196">
        <v>14.312370841300911</v>
      </c>
      <c r="N196">
        <v>1.9790449944496988</v>
      </c>
      <c r="O196">
        <v>10.33242951162681</v>
      </c>
      <c r="P196">
        <v>8.4329099740411184</v>
      </c>
      <c r="R196">
        <v>11.056124020454375</v>
      </c>
      <c r="S196">
        <v>36.042619077317141</v>
      </c>
      <c r="U196">
        <v>4.0156144124000388</v>
      </c>
      <c r="V196">
        <v>45.98052777217719</v>
      </c>
      <c r="W196">
        <v>28.024227780149545</v>
      </c>
      <c r="X196">
        <v>44.681802156535767</v>
      </c>
      <c r="Y196">
        <v>3.3953354767455672</v>
      </c>
      <c r="Z196">
        <v>24.570336044859562</v>
      </c>
      <c r="AB196">
        <v>33.573835962536577</v>
      </c>
      <c r="AD196">
        <v>3.8144771562615549</v>
      </c>
      <c r="AE196">
        <v>10.981982711724127</v>
      </c>
      <c r="AF196">
        <v>13.912915884694513</v>
      </c>
      <c r="AG196">
        <v>19.362535380432426</v>
      </c>
      <c r="AI196">
        <v>1.9121860920451483</v>
      </c>
      <c r="AK196">
        <v>32.836347097168805</v>
      </c>
    </row>
    <row r="197" spans="1:37" x14ac:dyDescent="0.2">
      <c r="A197">
        <v>196</v>
      </c>
      <c r="B197">
        <v>770</v>
      </c>
      <c r="C197">
        <v>120</v>
      </c>
      <c r="D197">
        <v>0.47565594593299199</v>
      </c>
      <c r="E197">
        <v>112.47078064582873</v>
      </c>
      <c r="F197">
        <v>53.279974825967983</v>
      </c>
      <c r="G197">
        <v>71.094728591262012</v>
      </c>
      <c r="H197">
        <v>66.521010339042761</v>
      </c>
      <c r="J197">
        <v>27.64243785029667</v>
      </c>
      <c r="L197">
        <v>1.4827429601224795</v>
      </c>
      <c r="M197">
        <v>13.416867381503431</v>
      </c>
      <c r="N197">
        <v>1.9830607470494961</v>
      </c>
      <c r="O197">
        <v>10.054586361616124</v>
      </c>
      <c r="P197">
        <v>8.7023125498410945</v>
      </c>
      <c r="R197">
        <v>10.420575392248136</v>
      </c>
      <c r="S197">
        <v>35.990091362812535</v>
      </c>
      <c r="U197">
        <v>4.0459786317860065</v>
      </c>
      <c r="V197">
        <v>46.900964032794157</v>
      </c>
      <c r="W197">
        <v>26.908864964200934</v>
      </c>
      <c r="X197">
        <v>44.851192032776041</v>
      </c>
      <c r="Y197">
        <v>3.3907360319775255</v>
      </c>
      <c r="Z197">
        <v>21.816019801045581</v>
      </c>
      <c r="AB197">
        <v>32.298819823958283</v>
      </c>
      <c r="AD197">
        <v>2.4791821912789844</v>
      </c>
      <c r="AE197">
        <v>9.2734969543020771</v>
      </c>
      <c r="AF197">
        <v>13.015192698692159</v>
      </c>
      <c r="AG197">
        <v>18.057940678989091</v>
      </c>
      <c r="AI197">
        <v>1.9156653021955663</v>
      </c>
      <c r="AK197">
        <v>28.872510947966163</v>
      </c>
    </row>
    <row r="198" spans="1:37" x14ac:dyDescent="0.2">
      <c r="A198">
        <v>197</v>
      </c>
      <c r="B198">
        <v>768</v>
      </c>
      <c r="C198">
        <v>120</v>
      </c>
      <c r="D198">
        <v>0.474514239062578</v>
      </c>
      <c r="E198">
        <v>112.88250403047763</v>
      </c>
      <c r="F198">
        <v>53.638161196522596</v>
      </c>
      <c r="G198">
        <v>71.145414093806892</v>
      </c>
      <c r="H198">
        <v>66.566458469922196</v>
      </c>
      <c r="J198">
        <v>24.374173717039895</v>
      </c>
      <c r="L198">
        <v>1.5114531806931699</v>
      </c>
      <c r="M198">
        <v>12.632616355446718</v>
      </c>
      <c r="N198">
        <v>1.9870696777886179</v>
      </c>
      <c r="O198">
        <v>9.8291344963737561</v>
      </c>
      <c r="P198">
        <v>8.8503611938627298</v>
      </c>
      <c r="R198">
        <v>9.8548066924244413</v>
      </c>
      <c r="S198">
        <v>36.294135064991764</v>
      </c>
      <c r="U198">
        <v>4.0306125992514596</v>
      </c>
      <c r="V198">
        <v>47.839844694237208</v>
      </c>
      <c r="W198">
        <v>25.933853121233167</v>
      </c>
      <c r="X198">
        <v>44.889957660829637</v>
      </c>
      <c r="Y198">
        <v>3.3600075360768868</v>
      </c>
      <c r="Z198">
        <v>20.325361152738925</v>
      </c>
      <c r="AB198">
        <v>31.954504224950515</v>
      </c>
      <c r="AD198">
        <v>1.7332904717874611</v>
      </c>
      <c r="AE198">
        <v>8.3609226382795097</v>
      </c>
      <c r="AF198">
        <v>12.228716152185987</v>
      </c>
      <c r="AG198">
        <v>17.684049456235066</v>
      </c>
      <c r="AI198">
        <v>1.9191344697109589</v>
      </c>
      <c r="AK198">
        <v>26.556239031280544</v>
      </c>
    </row>
    <row r="199" spans="1:37" x14ac:dyDescent="0.2">
      <c r="A199">
        <v>198</v>
      </c>
      <c r="B199">
        <v>766</v>
      </c>
      <c r="C199">
        <v>120</v>
      </c>
      <c r="D199">
        <v>0.47336813742000999</v>
      </c>
      <c r="E199">
        <v>113.20411338086581</v>
      </c>
      <c r="F199">
        <v>54.045347481429062</v>
      </c>
      <c r="G199">
        <v>71.168611368592138</v>
      </c>
      <c r="H199">
        <v>66.584469568128014</v>
      </c>
      <c r="J199">
        <v>22.213944930316206</v>
      </c>
      <c r="L199">
        <v>1.534576897737552</v>
      </c>
      <c r="M199">
        <v>11.942706516363039</v>
      </c>
      <c r="N199">
        <v>1.9910730004823598</v>
      </c>
      <c r="O199">
        <v>9.6287526981854246</v>
      </c>
      <c r="P199">
        <v>8.943457617597657</v>
      </c>
      <c r="R199">
        <v>9.3437348287293887</v>
      </c>
      <c r="S199">
        <v>36.656836631537637</v>
      </c>
      <c r="U199">
        <v>3.9996824037434529</v>
      </c>
      <c r="V199">
        <v>48.696544627983144</v>
      </c>
      <c r="W199">
        <v>25.062719822743436</v>
      </c>
      <c r="X199">
        <v>44.885028635748988</v>
      </c>
      <c r="Y199">
        <v>3.3241771840322292</v>
      </c>
      <c r="Z199">
        <v>19.341315011070691</v>
      </c>
      <c r="AB199">
        <v>31.905994513361318</v>
      </c>
      <c r="AD199">
        <v>1.2292314918975156</v>
      </c>
      <c r="AE199">
        <v>7.7600260709492801</v>
      </c>
      <c r="AF199">
        <v>11.536576255760794</v>
      </c>
      <c r="AG199">
        <v>17.605968319305497</v>
      </c>
      <c r="AI199">
        <v>1.9225947937342169</v>
      </c>
      <c r="AK199">
        <v>24.983802757532494</v>
      </c>
    </row>
    <row r="200" spans="1:37" x14ac:dyDescent="0.2">
      <c r="A200">
        <v>199</v>
      </c>
      <c r="B200">
        <v>764</v>
      </c>
      <c r="C200">
        <v>120</v>
      </c>
      <c r="D200">
        <v>0.47221761558116099</v>
      </c>
      <c r="E200">
        <v>113.46920195790651</v>
      </c>
      <c r="F200">
        <v>54.448256659636222</v>
      </c>
      <c r="G200">
        <v>71.177102062535383</v>
      </c>
      <c r="H200">
        <v>66.587825443620247</v>
      </c>
      <c r="J200">
        <v>20.641750101632464</v>
      </c>
      <c r="L200">
        <v>1.5541475844482047</v>
      </c>
      <c r="M200">
        <v>11.322568002454545</v>
      </c>
      <c r="N200">
        <v>1.9950720922178087</v>
      </c>
      <c r="O200">
        <v>9.4419766714280762</v>
      </c>
      <c r="P200">
        <v>9.007166668156648</v>
      </c>
      <c r="R200">
        <v>8.8738937238820608</v>
      </c>
      <c r="S200">
        <v>37.018535670343326</v>
      </c>
      <c r="U200">
        <v>3.9615534734707638</v>
      </c>
      <c r="V200">
        <v>49.474767811550727</v>
      </c>
      <c r="W200">
        <v>24.265632419795722</v>
      </c>
      <c r="X200">
        <v>44.860498569124019</v>
      </c>
      <c r="Y200">
        <v>3.2883724722525023</v>
      </c>
      <c r="Z200">
        <v>18.607819830933334</v>
      </c>
      <c r="AB200">
        <v>31.975166073774055</v>
      </c>
      <c r="AD200">
        <v>0.84693247642152547</v>
      </c>
      <c r="AE200">
        <v>7.3119957734877339</v>
      </c>
      <c r="AF200">
        <v>10.914204568447012</v>
      </c>
      <c r="AG200">
        <v>17.645574075634634</v>
      </c>
      <c r="AI200">
        <v>1.9260476366738519</v>
      </c>
      <c r="AK200">
        <v>23.814972216210496</v>
      </c>
    </row>
    <row r="201" spans="1:37" x14ac:dyDescent="0.2">
      <c r="A201">
        <v>200</v>
      </c>
      <c r="B201">
        <v>762</v>
      </c>
      <c r="C201">
        <v>120</v>
      </c>
      <c r="D201">
        <v>0.47106264792542502</v>
      </c>
      <c r="E201">
        <v>113.6952431124966</v>
      </c>
      <c r="F201">
        <v>54.833587355102829</v>
      </c>
      <c r="G201">
        <v>71.176652836887556</v>
      </c>
      <c r="H201">
        <v>66.582292921323258</v>
      </c>
      <c r="J201">
        <v>19.426633492078686</v>
      </c>
      <c r="L201">
        <v>1.5712313109074676</v>
      </c>
      <c r="M201">
        <v>10.755224150301029</v>
      </c>
      <c r="N201">
        <v>1.9990678422764738</v>
      </c>
      <c r="O201">
        <v>9.2635905772689373</v>
      </c>
      <c r="P201">
        <v>9.0530227344795531</v>
      </c>
      <c r="R201">
        <v>8.4360772242569286</v>
      </c>
      <c r="S201">
        <v>37.364809307474019</v>
      </c>
      <c r="U201">
        <v>3.9193845328396515</v>
      </c>
      <c r="V201">
        <v>50.187726695441853</v>
      </c>
      <c r="W201">
        <v>23.52365666267799</v>
      </c>
      <c r="X201">
        <v>44.825459540443283</v>
      </c>
      <c r="Y201">
        <v>3.2539937045764233</v>
      </c>
      <c r="Z201">
        <v>18.017946411696823</v>
      </c>
      <c r="AB201">
        <v>32.097327372899578</v>
      </c>
      <c r="AD201">
        <v>0.53554386107324237</v>
      </c>
      <c r="AE201">
        <v>6.9512816630831322</v>
      </c>
      <c r="AF201">
        <v>10.34462536003922</v>
      </c>
      <c r="AG201">
        <v>17.738176127263156</v>
      </c>
      <c r="AI201">
        <v>1.9294938731247655</v>
      </c>
      <c r="AK201">
        <v>22.895490858344534</v>
      </c>
    </row>
    <row r="202" spans="1:37" x14ac:dyDescent="0.2">
      <c r="A202">
        <v>201</v>
      </c>
      <c r="B202">
        <v>760</v>
      </c>
      <c r="C202">
        <v>120</v>
      </c>
      <c r="D202">
        <v>0.46990320863379098</v>
      </c>
      <c r="E202">
        <v>113.89244273313615</v>
      </c>
      <c r="F202">
        <v>55.198652723440148</v>
      </c>
      <c r="G202">
        <v>71.170265346972315</v>
      </c>
      <c r="H202">
        <v>66.570873820864634</v>
      </c>
      <c r="J202">
        <v>18.448893865784161</v>
      </c>
      <c r="L202">
        <v>1.5866391583285804</v>
      </c>
      <c r="M202">
        <v>10.229243634797932</v>
      </c>
      <c r="N202">
        <v>2.0030608319173795</v>
      </c>
      <c r="O202">
        <v>9.0909089999469614</v>
      </c>
      <c r="P202">
        <v>9.0870298866097006</v>
      </c>
      <c r="R202">
        <v>8.0239758670459924</v>
      </c>
      <c r="S202">
        <v>37.692662643357671</v>
      </c>
      <c r="U202">
        <v>3.8746376059091832</v>
      </c>
      <c r="V202">
        <v>50.846952491461629</v>
      </c>
      <c r="W202">
        <v>22.824464546226423</v>
      </c>
      <c r="X202">
        <v>44.784116197701785</v>
      </c>
      <c r="Y202">
        <v>3.2213854143021705</v>
      </c>
      <c r="Z202">
        <v>17.519011948516756</v>
      </c>
      <c r="AB202">
        <v>32.244476468806688</v>
      </c>
      <c r="AD202">
        <v>0.26971807674233256</v>
      </c>
      <c r="AE202">
        <v>6.6457787455351891</v>
      </c>
      <c r="AF202">
        <v>9.8164079308276193</v>
      </c>
      <c r="AG202">
        <v>17.855773159860679</v>
      </c>
      <c r="AI202">
        <v>1.9329340696542521</v>
      </c>
      <c r="AK202">
        <v>22.144190400404103</v>
      </c>
    </row>
    <row r="203" spans="1:37" x14ac:dyDescent="0.2">
      <c r="A203">
        <v>202</v>
      </c>
      <c r="B203">
        <v>758</v>
      </c>
      <c r="C203">
        <v>120</v>
      </c>
      <c r="D203">
        <v>0.46873927168695301</v>
      </c>
      <c r="E203">
        <v>114.06730094644256</v>
      </c>
      <c r="F203">
        <v>55.543941291013915</v>
      </c>
      <c r="G203">
        <v>71.159674622285351</v>
      </c>
      <c r="H203">
        <v>66.555303336680112</v>
      </c>
      <c r="J203">
        <v>17.639370997169085</v>
      </c>
      <c r="L203">
        <v>1.6007499064540935</v>
      </c>
      <c r="M203">
        <v>9.7366745200227633</v>
      </c>
      <c r="N203">
        <v>2.0070514608736043</v>
      </c>
      <c r="O203">
        <v>8.9224089724301656</v>
      </c>
      <c r="P203">
        <v>9.1126587623949948</v>
      </c>
      <c r="R203">
        <v>7.6331121670301094</v>
      </c>
      <c r="S203">
        <v>38.002439276442665</v>
      </c>
      <c r="U203">
        <v>3.8280886576511968</v>
      </c>
      <c r="V203">
        <v>51.461404356567158</v>
      </c>
      <c r="W203">
        <v>22.159632572611439</v>
      </c>
      <c r="X203">
        <v>44.738697277434945</v>
      </c>
      <c r="Y203">
        <v>3.1905546671485885</v>
      </c>
      <c r="Z203">
        <v>17.081841764173564</v>
      </c>
      <c r="AB203">
        <v>32.403011277760683</v>
      </c>
      <c r="AD203">
        <v>3.5270906685644726E-2</v>
      </c>
      <c r="AE203">
        <v>6.377769160040665</v>
      </c>
      <c r="AF203">
        <v>9.3216007889575856</v>
      </c>
      <c r="AG203">
        <v>17.984763536064463</v>
      </c>
      <c r="AI203">
        <v>1.9363686112978389</v>
      </c>
      <c r="AK203">
        <v>21.513592379193003</v>
      </c>
    </row>
    <row r="204" spans="1:37" x14ac:dyDescent="0.2">
      <c r="A204">
        <v>203</v>
      </c>
      <c r="B204">
        <v>756</v>
      </c>
      <c r="C204">
        <v>120</v>
      </c>
      <c r="D204">
        <v>0.46757081086333502</v>
      </c>
      <c r="E204">
        <v>114.17992738552219</v>
      </c>
      <c r="F204">
        <v>56.175720076181641</v>
      </c>
      <c r="G204">
        <v>71.089352866730849</v>
      </c>
      <c r="H204">
        <v>66.480053838255074</v>
      </c>
      <c r="J204">
        <v>16.893342354870693</v>
      </c>
      <c r="L204">
        <v>1.6108483072620765</v>
      </c>
      <c r="M204">
        <v>9.2483573700807149</v>
      </c>
      <c r="N204">
        <v>2.0110384368608032</v>
      </c>
      <c r="O204">
        <v>8.853680770983182</v>
      </c>
      <c r="P204">
        <v>9.0188526574735128</v>
      </c>
      <c r="R204">
        <v>7.1922411763951475</v>
      </c>
      <c r="S204">
        <v>38.367551414660475</v>
      </c>
      <c r="U204">
        <v>3.7807789553102116</v>
      </c>
      <c r="V204">
        <v>52.063022109520226</v>
      </c>
      <c r="W204">
        <v>21.499433966559995</v>
      </c>
      <c r="X204">
        <v>44.692202671812559</v>
      </c>
      <c r="Y204">
        <v>3.1329385302572228</v>
      </c>
      <c r="Z204">
        <v>17.649313011687259</v>
      </c>
      <c r="AB204">
        <v>33.149780550254576</v>
      </c>
      <c r="AE204">
        <v>6.6998863839348886</v>
      </c>
      <c r="AF204">
        <v>8.8310432507844183</v>
      </c>
      <c r="AG204">
        <v>18.70199476101277</v>
      </c>
      <c r="AI204">
        <v>1.9397961910679264</v>
      </c>
      <c r="AK204">
        <v>20.925810854900813</v>
      </c>
    </row>
    <row r="205" spans="1:37" x14ac:dyDescent="0.2">
      <c r="A205">
        <v>204</v>
      </c>
      <c r="B205">
        <v>802</v>
      </c>
      <c r="C205">
        <v>105</v>
      </c>
      <c r="D205">
        <v>0.50869227549644302</v>
      </c>
      <c r="E205">
        <v>105.49273314931911</v>
      </c>
      <c r="F205">
        <v>64.821748152254358</v>
      </c>
      <c r="G205">
        <v>72.971561956707291</v>
      </c>
      <c r="H205">
        <v>68.488087485837653</v>
      </c>
      <c r="J205">
        <v>43.893642821747655</v>
      </c>
      <c r="L205">
        <v>5.7421342847468511</v>
      </c>
      <c r="M205">
        <v>15.254466226354607</v>
      </c>
      <c r="N205">
        <v>2.089623067434812</v>
      </c>
      <c r="O205">
        <v>32.063749767688137</v>
      </c>
      <c r="P205">
        <v>11.799301256311127</v>
      </c>
      <c r="Q205">
        <v>4.3029933371997571E-2</v>
      </c>
      <c r="R205">
        <v>17.964395026506946</v>
      </c>
      <c r="S205">
        <v>47.505010797912817</v>
      </c>
      <c r="U205">
        <v>4.8644038936397465</v>
      </c>
      <c r="V205">
        <v>45.743972911285091</v>
      </c>
      <c r="W205">
        <v>34.202762983745124</v>
      </c>
      <c r="X205">
        <v>44.017237406366007</v>
      </c>
      <c r="Y205">
        <v>7.4612716529622407</v>
      </c>
      <c r="Z205">
        <v>34.85402148649586</v>
      </c>
      <c r="AA205">
        <v>4.9678424205875489</v>
      </c>
      <c r="AB205">
        <v>38.414012355856421</v>
      </c>
      <c r="AC205">
        <v>0.22501634005660209</v>
      </c>
      <c r="AD205">
        <v>9.2518585846307122</v>
      </c>
      <c r="AE205">
        <v>16.316582700177207</v>
      </c>
      <c r="AF205">
        <v>15.105599247151067</v>
      </c>
      <c r="AG205">
        <v>24.882205903145493</v>
      </c>
      <c r="AH205">
        <v>5.3935786254955689</v>
      </c>
      <c r="AI205">
        <v>2.0286961016597274</v>
      </c>
      <c r="AK205">
        <v>38.919581720111964</v>
      </c>
    </row>
    <row r="206" spans="1:37" x14ac:dyDescent="0.2">
      <c r="A206">
        <v>205</v>
      </c>
      <c r="B206">
        <v>800</v>
      </c>
      <c r="C206">
        <v>105</v>
      </c>
      <c r="D206">
        <v>0.50764618180124099</v>
      </c>
      <c r="E206">
        <v>105.29273465187129</v>
      </c>
      <c r="F206">
        <v>64.106736088757614</v>
      </c>
      <c r="G206">
        <v>72.844744602230634</v>
      </c>
      <c r="H206">
        <v>68.35522298770843</v>
      </c>
      <c r="J206">
        <v>43.821798550218773</v>
      </c>
      <c r="L206">
        <v>5.5622600569628924</v>
      </c>
      <c r="M206">
        <v>15.226071522201309</v>
      </c>
      <c r="N206">
        <v>2.0677908622172363</v>
      </c>
      <c r="O206">
        <v>31.173211640397145</v>
      </c>
      <c r="P206">
        <v>11.566037541391587</v>
      </c>
      <c r="R206">
        <v>17.650842800021596</v>
      </c>
      <c r="S206">
        <v>47.086556201917276</v>
      </c>
      <c r="U206">
        <v>4.7979248601768241</v>
      </c>
      <c r="V206">
        <v>45.725612155887383</v>
      </c>
      <c r="W206">
        <v>33.919273118404078</v>
      </c>
      <c r="X206">
        <v>43.921293039711337</v>
      </c>
      <c r="Y206">
        <v>7.2713680522528126</v>
      </c>
      <c r="Z206">
        <v>34.455959173829825</v>
      </c>
      <c r="AA206">
        <v>4.7784751826956784</v>
      </c>
      <c r="AB206">
        <v>38.28398766740348</v>
      </c>
      <c r="AC206">
        <v>0.19919354865063724</v>
      </c>
      <c r="AD206">
        <v>9.0459735342237924</v>
      </c>
      <c r="AE206">
        <v>16.138935945651024</v>
      </c>
      <c r="AF206">
        <v>15.049122007405163</v>
      </c>
      <c r="AG206">
        <v>24.696653007355994</v>
      </c>
      <c r="AH206">
        <v>5.1277329775877361</v>
      </c>
      <c r="AI206">
        <v>2.006375264624872</v>
      </c>
      <c r="AK206">
        <v>38.911417089321723</v>
      </c>
    </row>
    <row r="207" spans="1:37" x14ac:dyDescent="0.2">
      <c r="A207">
        <v>206</v>
      </c>
      <c r="B207">
        <v>798</v>
      </c>
      <c r="C207">
        <v>105</v>
      </c>
      <c r="D207">
        <v>0.50659618167390597</v>
      </c>
      <c r="E207">
        <v>105.09228769026781</v>
      </c>
      <c r="F207">
        <v>63.308981675626917</v>
      </c>
      <c r="G207">
        <v>72.701119426233149</v>
      </c>
      <c r="H207">
        <v>68.205599342785234</v>
      </c>
      <c r="J207">
        <v>43.766555521124182</v>
      </c>
      <c r="L207">
        <v>5.3484597978096318</v>
      </c>
      <c r="M207">
        <v>15.245362838957355</v>
      </c>
      <c r="N207">
        <v>2.0382995132480568</v>
      </c>
      <c r="O207">
        <v>30.136275179643555</v>
      </c>
      <c r="P207">
        <v>11.291526182819215</v>
      </c>
      <c r="R207">
        <v>17.34870692320418</v>
      </c>
      <c r="S207">
        <v>46.843806433748505</v>
      </c>
      <c r="U207">
        <v>4.7707128166731074</v>
      </c>
      <c r="V207">
        <v>45.798650823711974</v>
      </c>
      <c r="W207">
        <v>33.679023997890106</v>
      </c>
      <c r="X207">
        <v>43.956042761729769</v>
      </c>
      <c r="Y207">
        <v>7.0445090865928535</v>
      </c>
      <c r="Z207">
        <v>34.008584467338032</v>
      </c>
      <c r="AA207">
        <v>4.552768764224405</v>
      </c>
      <c r="AB207">
        <v>38.222196201563875</v>
      </c>
      <c r="AC207">
        <v>0.16571226119939744</v>
      </c>
      <c r="AD207">
        <v>8.8094790454687786</v>
      </c>
      <c r="AE207">
        <v>15.945163011327033</v>
      </c>
      <c r="AF207">
        <v>15.032672056885211</v>
      </c>
      <c r="AG207">
        <v>24.571683302260716</v>
      </c>
      <c r="AH207">
        <v>4.8169330945008957</v>
      </c>
      <c r="AI207">
        <v>1.9763922819617721</v>
      </c>
      <c r="AK207">
        <v>38.886048236049781</v>
      </c>
    </row>
    <row r="208" spans="1:37" x14ac:dyDescent="0.2">
      <c r="A208">
        <v>207</v>
      </c>
      <c r="B208">
        <v>796</v>
      </c>
      <c r="C208">
        <v>105</v>
      </c>
      <c r="D208">
        <v>0.50554225319178703</v>
      </c>
      <c r="E208">
        <v>104.89344208691249</v>
      </c>
      <c r="F208">
        <v>62.515529894490228</v>
      </c>
      <c r="G208">
        <v>72.557627801930352</v>
      </c>
      <c r="H208">
        <v>68.056158077739937</v>
      </c>
      <c r="J208">
        <v>43.710204778896262</v>
      </c>
      <c r="L208">
        <v>5.1340571862927611</v>
      </c>
      <c r="M208">
        <v>15.26506600510854</v>
      </c>
      <c r="N208">
        <v>2.0087808702391508</v>
      </c>
      <c r="O208">
        <v>29.100761610430354</v>
      </c>
      <c r="P208">
        <v>11.017281938255616</v>
      </c>
      <c r="R208">
        <v>17.04425307818742</v>
      </c>
      <c r="S208">
        <v>46.593581521617793</v>
      </c>
      <c r="U208">
        <v>4.744780532535783</v>
      </c>
      <c r="V208">
        <v>45.868091185321212</v>
      </c>
      <c r="W208">
        <v>33.440536005659652</v>
      </c>
      <c r="X208">
        <v>43.995515019774274</v>
      </c>
      <c r="Y208">
        <v>6.8176850669798243</v>
      </c>
      <c r="Z208">
        <v>33.562507105348075</v>
      </c>
      <c r="AA208">
        <v>4.3269783203562326</v>
      </c>
      <c r="AB208">
        <v>38.156081848969052</v>
      </c>
      <c r="AC208">
        <v>0.13220432396828466</v>
      </c>
      <c r="AD208">
        <v>8.5732644473125923</v>
      </c>
      <c r="AE208">
        <v>15.75212119847629</v>
      </c>
      <c r="AF208">
        <v>15.016607114471501</v>
      </c>
      <c r="AG208">
        <v>24.442372569628073</v>
      </c>
      <c r="AH208">
        <v>4.5059930069210923</v>
      </c>
      <c r="AI208">
        <v>1.9463789888728809</v>
      </c>
      <c r="AK208">
        <v>38.861473883071064</v>
      </c>
    </row>
    <row r="209" spans="1:37" x14ac:dyDescent="0.2">
      <c r="A209">
        <v>208</v>
      </c>
      <c r="B209">
        <v>794</v>
      </c>
      <c r="C209">
        <v>105</v>
      </c>
      <c r="D209">
        <v>0.50448437426791004</v>
      </c>
      <c r="E209">
        <v>104.69620329163541</v>
      </c>
      <c r="F209">
        <v>61.72648716748666</v>
      </c>
      <c r="G209">
        <v>72.414305080278965</v>
      </c>
      <c r="H209">
        <v>67.906934697558356</v>
      </c>
      <c r="J209">
        <v>43.6527088075118</v>
      </c>
      <c r="L209">
        <v>4.9191412555258323</v>
      </c>
      <c r="M209">
        <v>15.285135020333934</v>
      </c>
      <c r="N209">
        <v>1.9792396459654023</v>
      </c>
      <c r="O209">
        <v>28.066869149270751</v>
      </c>
      <c r="P209">
        <v>10.743380384776854</v>
      </c>
      <c r="R209">
        <v>16.737614453748751</v>
      </c>
      <c r="S209">
        <v>46.335643863000222</v>
      </c>
      <c r="U209">
        <v>4.7200765175309707</v>
      </c>
      <c r="V209">
        <v>45.933852867952581</v>
      </c>
      <c r="W209">
        <v>33.203798451667403</v>
      </c>
      <c r="X209">
        <v>44.039558095428262</v>
      </c>
      <c r="Y209">
        <v>6.5909587163631285</v>
      </c>
      <c r="Z209">
        <v>33.117748322849494</v>
      </c>
      <c r="AA209">
        <v>4.1012524272139341</v>
      </c>
      <c r="AB209">
        <v>38.085501998990139</v>
      </c>
      <c r="AC209">
        <v>9.8674446280002923E-2</v>
      </c>
      <c r="AD209">
        <v>8.3373742607811732</v>
      </c>
      <c r="AE209">
        <v>15.559790333233423</v>
      </c>
      <c r="AF209">
        <v>15.000885933488611</v>
      </c>
      <c r="AG209">
        <v>24.308582953288237</v>
      </c>
      <c r="AH209">
        <v>4.1950182274355141</v>
      </c>
      <c r="AI209">
        <v>1.9163400836106208</v>
      </c>
      <c r="AK209">
        <v>38.837710337554185</v>
      </c>
    </row>
    <row r="210" spans="1:37" x14ac:dyDescent="0.2">
      <c r="A210">
        <v>209</v>
      </c>
      <c r="B210">
        <v>792</v>
      </c>
      <c r="C210">
        <v>105</v>
      </c>
      <c r="D210">
        <v>0.50342252264939402</v>
      </c>
      <c r="E210">
        <v>104.50057454836139</v>
      </c>
      <c r="F210">
        <v>60.941952954319973</v>
      </c>
      <c r="G210">
        <v>72.271186291545717</v>
      </c>
      <c r="H210">
        <v>67.757964387116104</v>
      </c>
      <c r="J210">
        <v>43.594039626364356</v>
      </c>
      <c r="L210">
        <v>4.7037997128282001</v>
      </c>
      <c r="M210">
        <v>15.305522418319605</v>
      </c>
      <c r="N210">
        <v>1.949680597144638</v>
      </c>
      <c r="O210">
        <v>27.034793690009899</v>
      </c>
      <c r="P210">
        <v>10.469896502904268</v>
      </c>
      <c r="R210">
        <v>16.428925449619587</v>
      </c>
      <c r="S210">
        <v>46.069794931029122</v>
      </c>
      <c r="U210">
        <v>4.6965466112289294</v>
      </c>
      <c r="V210">
        <v>45.995870753561618</v>
      </c>
      <c r="W210">
        <v>32.968797672013331</v>
      </c>
      <c r="X210">
        <v>44.088012294119494</v>
      </c>
      <c r="Y210">
        <v>6.3643924864190584</v>
      </c>
      <c r="Z210">
        <v>32.674326003510366</v>
      </c>
      <c r="AA210">
        <v>3.8757291014563524</v>
      </c>
      <c r="AB210">
        <v>38.010334485351869</v>
      </c>
      <c r="AC210">
        <v>6.512738139426133E-2</v>
      </c>
      <c r="AD210">
        <v>8.1018517872420563</v>
      </c>
      <c r="AE210">
        <v>15.368148563834255</v>
      </c>
      <c r="AF210">
        <v>14.985465845393017</v>
      </c>
      <c r="AG210">
        <v>24.170197085622252</v>
      </c>
      <c r="AH210">
        <v>3.8841131726344353</v>
      </c>
      <c r="AI210">
        <v>1.8862803083559199</v>
      </c>
      <c r="AK210">
        <v>38.814772884775969</v>
      </c>
    </row>
    <row r="211" spans="1:37" x14ac:dyDescent="0.2">
      <c r="A211">
        <v>210</v>
      </c>
      <c r="B211">
        <v>790</v>
      </c>
      <c r="C211">
        <v>105</v>
      </c>
      <c r="D211">
        <v>0.50235667591591204</v>
      </c>
      <c r="E211">
        <v>104.30655702391491</v>
      </c>
      <c r="F211">
        <v>60.162019070273459</v>
      </c>
      <c r="G211">
        <v>72.128305888867928</v>
      </c>
      <c r="H211">
        <v>67.60928175473677</v>
      </c>
      <c r="J211">
        <v>43.534178186474911</v>
      </c>
      <c r="L211">
        <v>4.4881183982766126</v>
      </c>
      <c r="M211">
        <v>15.326179619018577</v>
      </c>
      <c r="N211">
        <v>1.9201084400353536</v>
      </c>
      <c r="O211">
        <v>26.004727057665143</v>
      </c>
      <c r="P211">
        <v>10.19690407932101</v>
      </c>
      <c r="R211">
        <v>16.118320363412504</v>
      </c>
      <c r="S211">
        <v>45.795874200177231</v>
      </c>
      <c r="U211">
        <v>4.6741345420331069</v>
      </c>
      <c r="V211">
        <v>46.054094347755587</v>
      </c>
      <c r="W211">
        <v>32.735517474914715</v>
      </c>
      <c r="X211">
        <v>44.140711657882491</v>
      </c>
      <c r="Y211">
        <v>6.1380480511886919</v>
      </c>
      <c r="Z211">
        <v>32.2322543092533</v>
      </c>
      <c r="AA211">
        <v>3.6503074425465312</v>
      </c>
      <c r="AB211">
        <v>37.93047707126459</v>
      </c>
      <c r="AC211">
        <v>3.1567842106549365E-2</v>
      </c>
      <c r="AD211">
        <v>7.8667387520321581</v>
      </c>
      <c r="AE211">
        <v>15.177172359147805</v>
      </c>
      <c r="AF211">
        <v>14.970303027639861</v>
      </c>
      <c r="AG211">
        <v>24.02711748829719</v>
      </c>
      <c r="AH211">
        <v>3.57338048908401</v>
      </c>
      <c r="AI211">
        <v>1.8562043648179203</v>
      </c>
      <c r="AK211">
        <v>38.792675556675619</v>
      </c>
    </row>
    <row r="212" spans="1:37" x14ac:dyDescent="0.2">
      <c r="A212">
        <v>211</v>
      </c>
      <c r="B212">
        <v>788</v>
      </c>
      <c r="C212">
        <v>105</v>
      </c>
      <c r="D212">
        <v>0.50128681147811704</v>
      </c>
      <c r="E212">
        <v>104.10568628467762</v>
      </c>
      <c r="F212">
        <v>59.341826291203695</v>
      </c>
      <c r="G212">
        <v>71.977934850627321</v>
      </c>
      <c r="H212">
        <v>67.453157934575103</v>
      </c>
      <c r="J212">
        <v>43.459150846250928</v>
      </c>
      <c r="L212">
        <v>4.260157874868721</v>
      </c>
      <c r="M212">
        <v>15.34584178675374</v>
      </c>
      <c r="N212">
        <v>1.8922122846364211</v>
      </c>
      <c r="O212">
        <v>24.93371760706653</v>
      </c>
      <c r="P212">
        <v>9.9106343458313138</v>
      </c>
      <c r="R212">
        <v>15.788974363901294</v>
      </c>
      <c r="S212">
        <v>45.49154586097243</v>
      </c>
      <c r="U212">
        <v>4.6513404975405681</v>
      </c>
      <c r="V212">
        <v>46.107739097660506</v>
      </c>
      <c r="W212">
        <v>32.492777841797434</v>
      </c>
      <c r="X212">
        <v>44.191742241100407</v>
      </c>
      <c r="Y212">
        <v>5.8977782911607184</v>
      </c>
      <c r="Z212">
        <v>31.767729484603567</v>
      </c>
      <c r="AA212">
        <v>3.4128579674160284</v>
      </c>
      <c r="AB212">
        <v>37.840667138436174</v>
      </c>
      <c r="AD212">
        <v>7.6167109565991939</v>
      </c>
      <c r="AE212">
        <v>14.978739984796499</v>
      </c>
      <c r="AF212">
        <v>14.955821795975552</v>
      </c>
      <c r="AG212">
        <v>23.875770695481471</v>
      </c>
      <c r="AH212">
        <v>3.2403708493179151</v>
      </c>
      <c r="AI212">
        <v>1.8278013484341493</v>
      </c>
      <c r="AK212">
        <v>38.761150319010113</v>
      </c>
    </row>
    <row r="213" spans="1:37" x14ac:dyDescent="0.2">
      <c r="A213">
        <v>212</v>
      </c>
      <c r="B213">
        <v>786</v>
      </c>
      <c r="C213">
        <v>105</v>
      </c>
      <c r="D213">
        <v>0.50021290657603101</v>
      </c>
      <c r="E213">
        <v>103.74581703701432</v>
      </c>
      <c r="F213">
        <v>57.658992414066766</v>
      </c>
      <c r="G213">
        <v>71.676843362345963</v>
      </c>
      <c r="H213">
        <v>67.146363268511507</v>
      </c>
      <c r="J213">
        <v>43.103681810561156</v>
      </c>
      <c r="L213">
        <v>3.7962271294964811</v>
      </c>
      <c r="M213">
        <v>15.343457553679242</v>
      </c>
      <c r="N213">
        <v>1.8961840431250929</v>
      </c>
      <c r="O213">
        <v>23.023087771476799</v>
      </c>
      <c r="P213">
        <v>9.3548197515930518</v>
      </c>
      <c r="R213">
        <v>15.121937017046198</v>
      </c>
      <c r="S213">
        <v>44.723237963553835</v>
      </c>
      <c r="U213">
        <v>4.6063226034761371</v>
      </c>
      <c r="V213">
        <v>46.133816644328974</v>
      </c>
      <c r="W213">
        <v>32.042846553902422</v>
      </c>
      <c r="X213">
        <v>44.149788496563993</v>
      </c>
      <c r="Y213">
        <v>5.3810940158530283</v>
      </c>
      <c r="Z213">
        <v>30.842303447115704</v>
      </c>
      <c r="AA213">
        <v>2.9343307421548963</v>
      </c>
      <c r="AB213">
        <v>37.631642581082943</v>
      </c>
      <c r="AD213">
        <v>7.0752977581575527</v>
      </c>
      <c r="AE213">
        <v>14.624065220272984</v>
      </c>
      <c r="AF213">
        <v>14.951162736349033</v>
      </c>
      <c r="AG213">
        <v>23.637086556293326</v>
      </c>
      <c r="AH213">
        <v>2.4686394809039442</v>
      </c>
      <c r="AI213">
        <v>1.8312631568070101</v>
      </c>
      <c r="AK213">
        <v>38.530177585101782</v>
      </c>
    </row>
    <row r="214" spans="1:37" x14ac:dyDescent="0.2">
      <c r="A214">
        <v>213</v>
      </c>
      <c r="B214">
        <v>784</v>
      </c>
      <c r="C214">
        <v>105</v>
      </c>
      <c r="D214">
        <v>0.49913493827744299</v>
      </c>
      <c r="E214">
        <v>103.38537542768442</v>
      </c>
      <c r="F214">
        <v>55.934357955809645</v>
      </c>
      <c r="G214">
        <v>71.365776618004588</v>
      </c>
      <c r="H214">
        <v>66.829643107475988</v>
      </c>
      <c r="J214">
        <v>42.708733191656087</v>
      </c>
      <c r="L214">
        <v>3.3117253010067254</v>
      </c>
      <c r="M214">
        <v>15.342278751497274</v>
      </c>
      <c r="N214">
        <v>1.9001536231996221</v>
      </c>
      <c r="O214">
        <v>21.049502535645164</v>
      </c>
      <c r="P214">
        <v>8.7790807591057742</v>
      </c>
      <c r="R214">
        <v>14.416803478910527</v>
      </c>
      <c r="S214">
        <v>43.860132222020482</v>
      </c>
      <c r="U214">
        <v>4.5708871769292951</v>
      </c>
      <c r="V214">
        <v>46.133541589570463</v>
      </c>
      <c r="W214">
        <v>31.598849647988612</v>
      </c>
      <c r="X214">
        <v>44.136671798019364</v>
      </c>
      <c r="Y214">
        <v>4.84489236933823</v>
      </c>
      <c r="Z214">
        <v>29.885715918285008</v>
      </c>
      <c r="AA214">
        <v>2.4370115736358859</v>
      </c>
      <c r="AB214">
        <v>37.377138607452459</v>
      </c>
      <c r="AD214">
        <v>6.5041068588809354</v>
      </c>
      <c r="AE214">
        <v>14.258640666353166</v>
      </c>
      <c r="AF214">
        <v>14.947707629963979</v>
      </c>
      <c r="AG214">
        <v>23.352930229666669</v>
      </c>
      <c r="AH214">
        <v>1.6663707779478054</v>
      </c>
      <c r="AI214">
        <v>1.8347196830494292</v>
      </c>
      <c r="AK214">
        <v>38.284313475545595</v>
      </c>
    </row>
    <row r="215" spans="1:37" x14ac:dyDescent="0.2">
      <c r="A215">
        <v>214</v>
      </c>
      <c r="B215">
        <v>782</v>
      </c>
      <c r="C215">
        <v>105</v>
      </c>
      <c r="D215">
        <v>0.49805288347628701</v>
      </c>
      <c r="E215">
        <v>103.02099029842221</v>
      </c>
      <c r="F215">
        <v>54.131245390680341</v>
      </c>
      <c r="G215">
        <v>71.038550647629364</v>
      </c>
      <c r="H215">
        <v>66.496813639038649</v>
      </c>
      <c r="J215">
        <v>42.249754318003362</v>
      </c>
      <c r="L215">
        <v>2.7945705192120984</v>
      </c>
      <c r="M215">
        <v>15.341016065409521</v>
      </c>
      <c r="N215">
        <v>1.9041205515814341</v>
      </c>
      <c r="O215">
        <v>18.970926045828815</v>
      </c>
      <c r="P215">
        <v>8.1710491228900661</v>
      </c>
      <c r="R215">
        <v>13.653408803712624</v>
      </c>
      <c r="S215">
        <v>42.854546430465653</v>
      </c>
      <c r="U215">
        <v>4.5471831258131061</v>
      </c>
      <c r="V215">
        <v>46.096210020162168</v>
      </c>
      <c r="W215">
        <v>31.16034873412956</v>
      </c>
      <c r="X215">
        <v>44.15863116635694</v>
      </c>
      <c r="Y215">
        <v>4.2768621951383334</v>
      </c>
      <c r="Z215">
        <v>28.871291871501871</v>
      </c>
      <c r="AA215">
        <v>1.9088281196875179</v>
      </c>
      <c r="AB215">
        <v>37.053556514237144</v>
      </c>
      <c r="AD215">
        <v>5.896343470408353</v>
      </c>
      <c r="AE215">
        <v>13.871083743465947</v>
      </c>
      <c r="AF215">
        <v>14.944166730739862</v>
      </c>
      <c r="AG215">
        <v>22.999702582272029</v>
      </c>
      <c r="AH215">
        <v>0.81472889066025411</v>
      </c>
      <c r="AI215">
        <v>1.8381704392853986</v>
      </c>
      <c r="AK215">
        <v>38.011263554534047</v>
      </c>
    </row>
    <row r="216" spans="1:37" x14ac:dyDescent="0.2">
      <c r="A216">
        <v>215</v>
      </c>
      <c r="B216">
        <v>780</v>
      </c>
      <c r="C216">
        <v>105</v>
      </c>
      <c r="D216">
        <v>0.49696671889094501</v>
      </c>
      <c r="E216">
        <v>103.20187604666086</v>
      </c>
      <c r="F216">
        <v>54.143791206755864</v>
      </c>
      <c r="G216">
        <v>71.086653861880961</v>
      </c>
      <c r="H216">
        <v>66.539363432000584</v>
      </c>
      <c r="J216">
        <v>38.816215052552167</v>
      </c>
      <c r="L216">
        <v>2.0054939857923673</v>
      </c>
      <c r="M216">
        <v>15.163573014384481</v>
      </c>
      <c r="N216">
        <v>1.9081114629856768</v>
      </c>
      <c r="O216">
        <v>14.675159539161923</v>
      </c>
      <c r="P216">
        <v>8.3137284676435854</v>
      </c>
      <c r="R216">
        <v>12.651071276843654</v>
      </c>
      <c r="S216">
        <v>39.937196952413153</v>
      </c>
      <c r="U216">
        <v>4.6040768572178719</v>
      </c>
      <c r="V216">
        <v>45.885177889408666</v>
      </c>
      <c r="W216">
        <v>30.558496568217397</v>
      </c>
      <c r="X216">
        <v>44.411746683808147</v>
      </c>
      <c r="Y216">
        <v>3.7658913519100219</v>
      </c>
      <c r="Z216">
        <v>27.737714369395793</v>
      </c>
      <c r="AA216">
        <v>0.99140187566738314</v>
      </c>
      <c r="AB216">
        <v>35.95666527641292</v>
      </c>
      <c r="AD216">
        <v>5.3513937963964144</v>
      </c>
      <c r="AE216">
        <v>13.08258341505495</v>
      </c>
      <c r="AF216">
        <v>14.764470234543069</v>
      </c>
      <c r="AG216">
        <v>21.873199267328047</v>
      </c>
      <c r="AI216">
        <v>1.8416420456226208</v>
      </c>
      <c r="AK216">
        <v>35.879139323078206</v>
      </c>
    </row>
    <row r="217" spans="1:37" x14ac:dyDescent="0.2">
      <c r="A217">
        <v>216</v>
      </c>
      <c r="B217">
        <v>778</v>
      </c>
      <c r="C217">
        <v>105</v>
      </c>
      <c r="D217">
        <v>0.49587642106264601</v>
      </c>
      <c r="E217">
        <v>103.81209738319917</v>
      </c>
      <c r="F217">
        <v>53.930042107794854</v>
      </c>
      <c r="G217">
        <v>71.230580166907828</v>
      </c>
      <c r="H217">
        <v>66.677786551251842</v>
      </c>
      <c r="J217">
        <v>31.376891213654506</v>
      </c>
      <c r="L217">
        <v>1.4287756135120653</v>
      </c>
      <c r="M217">
        <v>14.404443420715968</v>
      </c>
      <c r="N217">
        <v>1.9121288376457881</v>
      </c>
      <c r="O217">
        <v>11.47149512803289</v>
      </c>
      <c r="P217">
        <v>8.6481092554792856</v>
      </c>
      <c r="R217">
        <v>11.432476025706512</v>
      </c>
      <c r="S217">
        <v>37.357568218196434</v>
      </c>
      <c r="U217">
        <v>4.7047194834460457</v>
      </c>
      <c r="V217">
        <v>46.188820802179805</v>
      </c>
      <c r="W217">
        <v>29.524430986969953</v>
      </c>
      <c r="X217">
        <v>44.783246530845091</v>
      </c>
      <c r="Y217">
        <v>3.36413423619299</v>
      </c>
      <c r="Z217">
        <v>24.391113570351092</v>
      </c>
      <c r="AB217">
        <v>33.664242820925608</v>
      </c>
      <c r="AD217">
        <v>3.7287900180623148</v>
      </c>
      <c r="AE217">
        <v>10.921570054474872</v>
      </c>
      <c r="AF217">
        <v>14.003114486278477</v>
      </c>
      <c r="AG217">
        <v>19.551200735812341</v>
      </c>
      <c r="AI217">
        <v>1.8451369676750975</v>
      </c>
      <c r="AK217">
        <v>31.017341784769794</v>
      </c>
    </row>
    <row r="218" spans="1:37" x14ac:dyDescent="0.2">
      <c r="A218">
        <v>217</v>
      </c>
      <c r="B218">
        <v>776</v>
      </c>
      <c r="C218">
        <v>105</v>
      </c>
      <c r="D218">
        <v>0.49478196635371602</v>
      </c>
      <c r="E218">
        <v>104.31654764501101</v>
      </c>
      <c r="F218">
        <v>54.102162388809212</v>
      </c>
      <c r="G218">
        <v>71.315675740693891</v>
      </c>
      <c r="H218">
        <v>66.757429334121014</v>
      </c>
      <c r="J218">
        <v>26.705842429943846</v>
      </c>
      <c r="L218">
        <v>1.4612757663168376</v>
      </c>
      <c r="M218">
        <v>13.570790611168702</v>
      </c>
      <c r="N218">
        <v>1.9161468998302262</v>
      </c>
      <c r="O218">
        <v>11.212896411247099</v>
      </c>
      <c r="P218">
        <v>8.8648582371390656</v>
      </c>
      <c r="R218">
        <v>10.827682500001814</v>
      </c>
      <c r="S218">
        <v>37.372465050966021</v>
      </c>
      <c r="U218">
        <v>4.722698336879267</v>
      </c>
      <c r="V218">
        <v>47.07010320418874</v>
      </c>
      <c r="W218">
        <v>28.473734226436576</v>
      </c>
      <c r="X218">
        <v>44.917082121641435</v>
      </c>
      <c r="Y218">
        <v>3.3458529107635835</v>
      </c>
      <c r="Z218">
        <v>22.160119101223721</v>
      </c>
      <c r="AB218">
        <v>32.717468530246819</v>
      </c>
      <c r="AD218">
        <v>2.6426663855155428</v>
      </c>
      <c r="AE218">
        <v>9.5344340688540896</v>
      </c>
      <c r="AF218">
        <v>13.167237079544892</v>
      </c>
      <c r="AG218">
        <v>18.574860638536546</v>
      </c>
      <c r="AI218">
        <v>1.8486294150832363</v>
      </c>
      <c r="AK218">
        <v>27.810323423049546</v>
      </c>
    </row>
    <row r="219" spans="1:37" x14ac:dyDescent="0.2">
      <c r="A219">
        <v>218</v>
      </c>
      <c r="B219">
        <v>774</v>
      </c>
      <c r="C219">
        <v>105</v>
      </c>
      <c r="D219">
        <v>0.493683330945906</v>
      </c>
      <c r="E219">
        <v>104.69606167439036</v>
      </c>
      <c r="F219">
        <v>54.457451878909907</v>
      </c>
      <c r="G219">
        <v>71.357039618111884</v>
      </c>
      <c r="H219">
        <v>66.793390975434534</v>
      </c>
      <c r="J219">
        <v>23.842483605496845</v>
      </c>
      <c r="L219">
        <v>1.48700872462814</v>
      </c>
      <c r="M219">
        <v>12.829330839700859</v>
      </c>
      <c r="N219">
        <v>1.9201591832352722</v>
      </c>
      <c r="O219">
        <v>10.989744419827996</v>
      </c>
      <c r="P219">
        <v>8.9941671875076299</v>
      </c>
      <c r="R219">
        <v>10.282911475874331</v>
      </c>
      <c r="S219">
        <v>37.644554605997513</v>
      </c>
      <c r="U219">
        <v>4.7059383198186842</v>
      </c>
      <c r="V219">
        <v>47.952996284543559</v>
      </c>
      <c r="W219">
        <v>27.537886373575649</v>
      </c>
      <c r="X219">
        <v>44.951830933628102</v>
      </c>
      <c r="Y219">
        <v>3.311656986084563</v>
      </c>
      <c r="Z219">
        <v>20.822245698564675</v>
      </c>
      <c r="AB219">
        <v>32.427216713832991</v>
      </c>
      <c r="AD219">
        <v>1.9721323375062636</v>
      </c>
      <c r="AE219">
        <v>8.711521197697504</v>
      </c>
      <c r="AF219">
        <v>12.423547844760778</v>
      </c>
      <c r="AG219">
        <v>18.25504686300134</v>
      </c>
      <c r="AI219">
        <v>1.8521129069047899</v>
      </c>
      <c r="AK219">
        <v>25.77752059819657</v>
      </c>
    </row>
    <row r="220" spans="1:37" x14ac:dyDescent="0.2">
      <c r="A220">
        <v>219</v>
      </c>
      <c r="B220">
        <v>772</v>
      </c>
      <c r="C220">
        <v>105</v>
      </c>
      <c r="D220">
        <v>0.49258049083863298</v>
      </c>
      <c r="E220">
        <v>104.9998664935639</v>
      </c>
      <c r="F220">
        <v>54.847410362740469</v>
      </c>
      <c r="G220">
        <v>71.376259903032789</v>
      </c>
      <c r="H220">
        <v>66.80725973962619</v>
      </c>
      <c r="J220">
        <v>21.86470589917505</v>
      </c>
      <c r="L220">
        <v>1.5082504799342022</v>
      </c>
      <c r="M220">
        <v>12.167475934547694</v>
      </c>
      <c r="N220">
        <v>1.9241665035228996</v>
      </c>
      <c r="O220">
        <v>10.785855968787162</v>
      </c>
      <c r="P220">
        <v>9.0792133023679842</v>
      </c>
      <c r="R220">
        <v>9.786218963238472</v>
      </c>
      <c r="S220">
        <v>37.971050020736534</v>
      </c>
      <c r="U220">
        <v>4.6752933371676946</v>
      </c>
      <c r="V220">
        <v>48.769034948026118</v>
      </c>
      <c r="W220">
        <v>26.690359063010536</v>
      </c>
      <c r="X220">
        <v>44.947727388527618</v>
      </c>
      <c r="Y220">
        <v>3.27443074617194</v>
      </c>
      <c r="Z220">
        <v>19.892275146111434</v>
      </c>
      <c r="AB220">
        <v>32.379188493931728</v>
      </c>
      <c r="AD220">
        <v>1.4958484899619682</v>
      </c>
      <c r="AE220">
        <v>8.1411110036701508</v>
      </c>
      <c r="AF220">
        <v>11.759459468775146</v>
      </c>
      <c r="AG220">
        <v>18.177461391744469</v>
      </c>
      <c r="AI220">
        <v>1.8555882441545888</v>
      </c>
      <c r="AK220">
        <v>24.33838707804043</v>
      </c>
    </row>
    <row r="221" spans="1:37" x14ac:dyDescent="0.2">
      <c r="A221">
        <v>220</v>
      </c>
      <c r="B221">
        <v>770</v>
      </c>
      <c r="C221">
        <v>105</v>
      </c>
      <c r="D221">
        <v>0.49147342184729198</v>
      </c>
      <c r="E221">
        <v>105.25365539727991</v>
      </c>
      <c r="F221">
        <v>55.232843688352453</v>
      </c>
      <c r="G221">
        <v>71.382803670781527</v>
      </c>
      <c r="H221">
        <v>66.808502863200246</v>
      </c>
      <c r="J221">
        <v>20.388503606563837</v>
      </c>
      <c r="L221">
        <v>1.5264163738038805</v>
      </c>
      <c r="M221">
        <v>11.566897351211486</v>
      </c>
      <c r="N221">
        <v>1.9281698951433595</v>
      </c>
      <c r="O221">
        <v>10.593343759367</v>
      </c>
      <c r="P221">
        <v>9.1389319401473568</v>
      </c>
      <c r="R221">
        <v>9.3267783580863828</v>
      </c>
      <c r="S221">
        <v>38.301514978126342</v>
      </c>
      <c r="U221">
        <v>4.6376645936952219</v>
      </c>
      <c r="V221">
        <v>49.518206907605979</v>
      </c>
      <c r="W221">
        <v>25.908340276114401</v>
      </c>
      <c r="X221">
        <v>44.924694409315329</v>
      </c>
      <c r="Y221">
        <v>3.2377205444734551</v>
      </c>
      <c r="Z221">
        <v>19.179805179306033</v>
      </c>
      <c r="AB221">
        <v>32.43657180527115</v>
      </c>
      <c r="AD221">
        <v>1.1249975919310236</v>
      </c>
      <c r="AE221">
        <v>7.7042192142830546</v>
      </c>
      <c r="AF221">
        <v>11.156644484690336</v>
      </c>
      <c r="AG221">
        <v>18.205293238849411</v>
      </c>
      <c r="AI221">
        <v>1.8590564466267774</v>
      </c>
      <c r="AK221">
        <v>23.242861760417156</v>
      </c>
    </row>
    <row r="222" spans="1:37" x14ac:dyDescent="0.2">
      <c r="A222">
        <v>221</v>
      </c>
      <c r="B222">
        <v>768</v>
      </c>
      <c r="C222">
        <v>105</v>
      </c>
      <c r="D222">
        <v>0.49036209960140498</v>
      </c>
      <c r="E222">
        <v>105.47180804874588</v>
      </c>
      <c r="F222">
        <v>55.602707445594206</v>
      </c>
      <c r="G222">
        <v>71.381314670919437</v>
      </c>
      <c r="H222">
        <v>66.801764257513923</v>
      </c>
      <c r="J222">
        <v>19.228892370674814</v>
      </c>
      <c r="L222">
        <v>1.542523475697406</v>
      </c>
      <c r="M222">
        <v>11.013994595588963</v>
      </c>
      <c r="N222">
        <v>1.9321700909872157</v>
      </c>
      <c r="O222">
        <v>10.408235454080613</v>
      </c>
      <c r="P222">
        <v>9.1826115071379597</v>
      </c>
      <c r="R222">
        <v>8.8968537849614293</v>
      </c>
      <c r="S222">
        <v>38.621390357774786</v>
      </c>
      <c r="U222">
        <v>4.5959221150725833</v>
      </c>
      <c r="V222">
        <v>50.209754367732778</v>
      </c>
      <c r="W222">
        <v>25.176393731471087</v>
      </c>
      <c r="X222">
        <v>44.89101230983669</v>
      </c>
      <c r="Y222">
        <v>3.2025454557211823</v>
      </c>
      <c r="Z222">
        <v>18.597813651304843</v>
      </c>
      <c r="AB222">
        <v>32.544610951051645</v>
      </c>
      <c r="AD222">
        <v>0.81838694601938677</v>
      </c>
      <c r="AE222">
        <v>7.3471091407230205</v>
      </c>
      <c r="AF222">
        <v>10.601503174640177</v>
      </c>
      <c r="AG222">
        <v>18.283787485597223</v>
      </c>
      <c r="AI222">
        <v>1.8625182325477794</v>
      </c>
      <c r="AK222">
        <v>22.367961608609345</v>
      </c>
    </row>
    <row r="223" spans="1:37" x14ac:dyDescent="0.2">
      <c r="A223">
        <v>222</v>
      </c>
      <c r="B223">
        <v>766</v>
      </c>
      <c r="C223">
        <v>105</v>
      </c>
      <c r="D223">
        <v>0.4892464995429</v>
      </c>
      <c r="E223">
        <v>105.66311155818033</v>
      </c>
      <c r="F223">
        <v>55.954398875116794</v>
      </c>
      <c r="G223">
        <v>71.37434136856011</v>
      </c>
      <c r="H223">
        <v>66.789592550098789</v>
      </c>
      <c r="J223">
        <v>18.28508946528498</v>
      </c>
      <c r="L223">
        <v>1.5570763503544987</v>
      </c>
      <c r="M223">
        <v>10.499166283222223</v>
      </c>
      <c r="N223">
        <v>1.9361675979206088</v>
      </c>
      <c r="O223">
        <v>10.228344286948767</v>
      </c>
      <c r="P223">
        <v>9.2153496156679218</v>
      </c>
      <c r="R223">
        <v>8.4909666482228712</v>
      </c>
      <c r="S223">
        <v>38.926600662472119</v>
      </c>
      <c r="U223">
        <v>4.5514727136933129</v>
      </c>
      <c r="V223">
        <v>50.852688122962832</v>
      </c>
      <c r="W223">
        <v>24.484028035454852</v>
      </c>
      <c r="X223">
        <v>44.85073632838769</v>
      </c>
      <c r="Y223">
        <v>3.169144232728959</v>
      </c>
      <c r="Z223">
        <v>18.100949604957808</v>
      </c>
      <c r="AB223">
        <v>32.678050990114521</v>
      </c>
      <c r="AD223">
        <v>0.55429142783020879</v>
      </c>
      <c r="AE223">
        <v>7.0419571547415201</v>
      </c>
      <c r="AF223">
        <v>10.084434704571896</v>
      </c>
      <c r="AG223">
        <v>18.387689743168451</v>
      </c>
      <c r="AI223">
        <v>1.8659740941114473</v>
      </c>
      <c r="AK223">
        <v>21.645642177743074</v>
      </c>
    </row>
    <row r="224" spans="1:37" x14ac:dyDescent="0.2">
      <c r="A224">
        <v>223</v>
      </c>
      <c r="B224">
        <v>764</v>
      </c>
      <c r="C224">
        <v>105</v>
      </c>
      <c r="D224">
        <v>0.48812659692426702</v>
      </c>
      <c r="E224">
        <v>105.83333189852864</v>
      </c>
      <c r="F224">
        <v>56.288094751351004</v>
      </c>
      <c r="G224">
        <v>71.363410384898557</v>
      </c>
      <c r="H224">
        <v>66.773514525193264</v>
      </c>
      <c r="J224">
        <v>17.496904648792317</v>
      </c>
      <c r="L224">
        <v>1.570450379361424</v>
      </c>
      <c r="M224">
        <v>10.015515999551003</v>
      </c>
      <c r="N224">
        <v>1.9401627774499004</v>
      </c>
      <c r="O224">
        <v>10.052369888656072</v>
      </c>
      <c r="P224">
        <v>9.2402000458377831</v>
      </c>
      <c r="R224">
        <v>8.1051365578892156</v>
      </c>
      <c r="S224">
        <v>39.216563083562285</v>
      </c>
      <c r="U224">
        <v>4.5050913004185054</v>
      </c>
      <c r="V224">
        <v>51.45440954332949</v>
      </c>
      <c r="W224">
        <v>23.823861158479055</v>
      </c>
      <c r="X224">
        <v>44.80609734339469</v>
      </c>
      <c r="Y224">
        <v>3.1374940800965097</v>
      </c>
      <c r="Z224">
        <v>17.66313511911234</v>
      </c>
      <c r="AB224">
        <v>32.82403455214628</v>
      </c>
      <c r="AD224">
        <v>0.32008672471705668</v>
      </c>
      <c r="AE224">
        <v>6.7728272572591761</v>
      </c>
      <c r="AF224">
        <v>9.5985430651706825</v>
      </c>
      <c r="AG224">
        <v>18.504143048519069</v>
      </c>
      <c r="AI224">
        <v>1.8694243781459166</v>
      </c>
      <c r="AK224">
        <v>21.034750741410239</v>
      </c>
    </row>
    <row r="225" spans="1:37" x14ac:dyDescent="0.2">
      <c r="A225">
        <v>224</v>
      </c>
      <c r="B225">
        <v>762</v>
      </c>
      <c r="C225">
        <v>105</v>
      </c>
      <c r="D225">
        <v>0.48700236680674502</v>
      </c>
      <c r="E225">
        <v>105.98646820315408</v>
      </c>
      <c r="F225">
        <v>56.60488415378002</v>
      </c>
      <c r="G225">
        <v>71.349499922689901</v>
      </c>
      <c r="H225">
        <v>66.754508549225434</v>
      </c>
      <c r="J225">
        <v>16.825817767626077</v>
      </c>
      <c r="L225">
        <v>1.5828296218278155</v>
      </c>
      <c r="M225">
        <v>9.5579500921653313</v>
      </c>
      <c r="N225">
        <v>1.9441558975913342</v>
      </c>
      <c r="O225">
        <v>9.8794903374880807</v>
      </c>
      <c r="P225">
        <v>9.2591196483494844</v>
      </c>
      <c r="R225">
        <v>7.7363850542927413</v>
      </c>
      <c r="S225">
        <v>39.491913401300593</v>
      </c>
      <c r="U225">
        <v>4.4572430593963501</v>
      </c>
      <c r="V225">
        <v>52.020801551204642</v>
      </c>
      <c r="W225">
        <v>23.190510690828138</v>
      </c>
      <c r="X225">
        <v>44.758432134492871</v>
      </c>
      <c r="Y225">
        <v>3.1074855796713594</v>
      </c>
      <c r="Z225">
        <v>17.268218624539376</v>
      </c>
      <c r="AB225">
        <v>32.975547689057485</v>
      </c>
      <c r="AD225">
        <v>0.10787872952430118</v>
      </c>
      <c r="AE225">
        <v>6.5298748740757686</v>
      </c>
      <c r="AF225">
        <v>9.1387349159784286</v>
      </c>
      <c r="AG225">
        <v>18.626133767624886</v>
      </c>
      <c r="AI225">
        <v>1.8728693379804737</v>
      </c>
      <c r="AK225">
        <v>20.508663992120127</v>
      </c>
    </row>
    <row r="226" spans="1:37" x14ac:dyDescent="0.2">
      <c r="A226">
        <v>225</v>
      </c>
      <c r="B226">
        <v>814</v>
      </c>
      <c r="C226">
        <v>90</v>
      </c>
      <c r="D226">
        <v>0.53006530837511401</v>
      </c>
      <c r="E226">
        <v>97.681526005380121</v>
      </c>
      <c r="F226">
        <v>67.461358516816034</v>
      </c>
      <c r="G226">
        <v>73.556387917102612</v>
      </c>
      <c r="H226">
        <v>69.109901841151824</v>
      </c>
      <c r="J226">
        <v>44.153733844026888</v>
      </c>
      <c r="L226">
        <v>6.3289963694157665</v>
      </c>
      <c r="M226">
        <v>15.673598004121017</v>
      </c>
      <c r="N226">
        <v>2.0494686667852937</v>
      </c>
      <c r="O226">
        <v>36.44617974604877</v>
      </c>
      <c r="P226">
        <v>12.591746806947581</v>
      </c>
      <c r="Q226">
        <v>7.1277605917506384E-2</v>
      </c>
      <c r="R226">
        <v>19.590208616752552</v>
      </c>
      <c r="S226">
        <v>51.088906558315173</v>
      </c>
      <c r="U226">
        <v>5.6912639788111763</v>
      </c>
      <c r="V226">
        <v>45.957585305196787</v>
      </c>
      <c r="W226">
        <v>37.012712864496898</v>
      </c>
      <c r="X226">
        <v>43.967069705752372</v>
      </c>
      <c r="Y226">
        <v>8.0661208854884645</v>
      </c>
      <c r="Z226">
        <v>36.812174526887503</v>
      </c>
      <c r="AA226">
        <v>5.6094704663656669</v>
      </c>
      <c r="AB226">
        <v>39.774390377246135</v>
      </c>
      <c r="AC226">
        <v>0.26384144510388341</v>
      </c>
      <c r="AD226">
        <v>10.117437750180141</v>
      </c>
      <c r="AE226">
        <v>17.420018755213</v>
      </c>
      <c r="AF226">
        <v>15.568500459882001</v>
      </c>
      <c r="AG226">
        <v>26.468410894741297</v>
      </c>
      <c r="AH226">
        <v>6.2126441967144697</v>
      </c>
      <c r="AI226">
        <v>1.9896852526369175</v>
      </c>
      <c r="AK226">
        <v>38.363652258249985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B8E9B-4B06-4FAF-A375-55148D9A228B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23.3320312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950.00000000000011</v>
      </c>
      <c r="G1" t="s">
        <v>30</v>
      </c>
      <c r="H1" t="s">
        <v>32</v>
      </c>
    </row>
    <row r="2" spans="1:8" x14ac:dyDescent="0.2">
      <c r="A2" t="s">
        <v>2</v>
      </c>
      <c r="B2">
        <v>76.77</v>
      </c>
      <c r="D2" t="s">
        <v>22</v>
      </c>
      <c r="E2">
        <v>700</v>
      </c>
      <c r="G2" t="s">
        <v>31</v>
      </c>
      <c r="H2" t="s">
        <v>33</v>
      </c>
    </row>
    <row r="3" spans="1:8" x14ac:dyDescent="0.2">
      <c r="A3" t="s">
        <v>3</v>
      </c>
      <c r="B3">
        <v>9.6000000000000002E-2</v>
      </c>
      <c r="D3" t="s">
        <v>23</v>
      </c>
      <c r="E3">
        <v>2</v>
      </c>
    </row>
    <row r="4" spans="1:8" x14ac:dyDescent="0.2">
      <c r="A4" t="s">
        <v>4</v>
      </c>
      <c r="B4">
        <v>12.96</v>
      </c>
    </row>
    <row r="5" spans="1:8" x14ac:dyDescent="0.2">
      <c r="A5" t="s">
        <v>5</v>
      </c>
      <c r="D5" t="s">
        <v>24</v>
      </c>
      <c r="E5">
        <v>300</v>
      </c>
    </row>
    <row r="6" spans="1:8" x14ac:dyDescent="0.2">
      <c r="A6" t="s">
        <v>6</v>
      </c>
      <c r="D6" t="s">
        <v>25</v>
      </c>
      <c r="E6">
        <v>100</v>
      </c>
    </row>
    <row r="7" spans="1:8" x14ac:dyDescent="0.2">
      <c r="A7" t="s">
        <v>7</v>
      </c>
      <c r="B7">
        <v>0.83</v>
      </c>
      <c r="D7" t="s">
        <v>26</v>
      </c>
      <c r="E7">
        <v>15</v>
      </c>
    </row>
    <row r="8" spans="1:8" x14ac:dyDescent="0.2">
      <c r="A8" t="s">
        <v>8</v>
      </c>
      <c r="B8">
        <v>2.7E-2</v>
      </c>
    </row>
    <row r="9" spans="1:8" x14ac:dyDescent="0.2">
      <c r="A9" t="s">
        <v>9</v>
      </c>
      <c r="B9">
        <v>0.12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0.79</v>
      </c>
    </row>
    <row r="13" spans="1:8" x14ac:dyDescent="0.2">
      <c r="A13" t="s">
        <v>13</v>
      </c>
      <c r="B13">
        <v>3.55</v>
      </c>
    </row>
    <row r="14" spans="1:8" x14ac:dyDescent="0.2">
      <c r="A14" t="s">
        <v>14</v>
      </c>
      <c r="B14">
        <v>4.6900000000000004</v>
      </c>
    </row>
    <row r="15" spans="1:8" x14ac:dyDescent="0.2">
      <c r="A15" t="s">
        <v>15</v>
      </c>
      <c r="B15">
        <v>0.04</v>
      </c>
    </row>
    <row r="16" spans="1:8" x14ac:dyDescent="0.2">
      <c r="A16" t="s">
        <v>16</v>
      </c>
      <c r="B16">
        <v>10.986030000000001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2025-06-09T22:22:43Z</dcterms:created>
  <dcterms:modified xsi:type="dcterms:W3CDTF">2025-06-09T22:24:36Z</dcterms:modified>
</cp:coreProperties>
</file>