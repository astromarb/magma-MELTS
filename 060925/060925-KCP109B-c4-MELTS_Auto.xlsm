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9DA555B1-205A-4B12-B023-89DF0DB87E4E}" xr6:coauthVersionLast="47" xr6:coauthVersionMax="47" xr10:uidLastSave="{00000000-0000-0000-0000-000000000000}"/>
  <bookViews>
    <workbookView xWindow="28680" yWindow="4920" windowWidth="29040" windowHeight="15720" activeTab="1" xr2:uid="{4AA35CC2-FBA6-4E0F-9627-49892AD6F33D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P2" i="18"/>
  <c r="P3" i="18"/>
  <c r="P4" i="18"/>
  <c r="B1" i="18"/>
  <c r="C2" i="14"/>
  <c r="O2" i="14"/>
  <c r="M3" i="14"/>
  <c r="K4" i="14"/>
  <c r="I5" i="14"/>
  <c r="E7" i="14"/>
  <c r="C8" i="14"/>
  <c r="O8" i="14"/>
  <c r="M9" i="14"/>
  <c r="K10" i="14"/>
  <c r="I11" i="14"/>
  <c r="D2" i="14"/>
  <c r="P2" i="14"/>
  <c r="L4" i="14"/>
  <c r="J5" i="14"/>
  <c r="F7" i="14"/>
  <c r="D8" i="14"/>
  <c r="N9" i="14"/>
  <c r="L10" i="14"/>
  <c r="J11" i="14"/>
  <c r="I3" i="14"/>
  <c r="M7" i="14"/>
  <c r="L2" i="14"/>
  <c r="N7" i="14"/>
  <c r="F11" i="14"/>
  <c r="G5" i="14"/>
  <c r="M8" i="14"/>
  <c r="L3" i="14"/>
  <c r="H11" i="14"/>
  <c r="E2" i="14"/>
  <c r="C3" i="14"/>
  <c r="M4" i="14"/>
  <c r="K5" i="14"/>
  <c r="G7" i="14"/>
  <c r="E8" i="14"/>
  <c r="C9" i="14"/>
  <c r="O9" i="14"/>
  <c r="M10" i="14"/>
  <c r="K11" i="14"/>
  <c r="F8" i="14"/>
  <c r="D9" i="14"/>
  <c r="N10" i="14"/>
  <c r="L11" i="14"/>
  <c r="E9" i="14"/>
  <c r="M11" i="14"/>
  <c r="D4" i="14"/>
  <c r="F9" i="14"/>
  <c r="P10" i="14"/>
  <c r="G3" i="14"/>
  <c r="O5" i="14"/>
  <c r="I8" i="14"/>
  <c r="C11" i="14"/>
  <c r="J2" i="14"/>
  <c r="J8" i="14"/>
  <c r="D11" i="14"/>
  <c r="G4" i="14"/>
  <c r="I9" i="14"/>
  <c r="E11" i="14"/>
  <c r="F5" i="14"/>
  <c r="L8" i="14"/>
  <c r="M2" i="14"/>
  <c r="I10" i="14"/>
  <c r="N2" i="14"/>
  <c r="L9" i="14"/>
  <c r="F2" i="14"/>
  <c r="D3" i="14"/>
  <c r="N4" i="14"/>
  <c r="L5" i="14"/>
  <c r="H7" i="14"/>
  <c r="O10" i="14"/>
  <c r="H2" i="14"/>
  <c r="N5" i="14"/>
  <c r="J7" i="14"/>
  <c r="D10" i="14"/>
  <c r="I2" i="14"/>
  <c r="C5" i="14"/>
  <c r="K7" i="14"/>
  <c r="E10" i="14"/>
  <c r="H3" i="14"/>
  <c r="D5" i="14"/>
  <c r="L7" i="14"/>
  <c r="F10" i="14"/>
  <c r="K2" i="14"/>
  <c r="C6" i="14"/>
  <c r="G10" i="14"/>
  <c r="J3" i="14"/>
  <c r="J9" i="14"/>
  <c r="I4" i="14"/>
  <c r="C7" i="14"/>
  <c r="K9" i="14"/>
  <c r="J4" i="14"/>
  <c r="D7" i="14"/>
  <c r="J10" i="14"/>
  <c r="G2" i="14"/>
  <c r="E3" i="14"/>
  <c r="C4" i="14"/>
  <c r="O4" i="14"/>
  <c r="M5" i="14"/>
  <c r="I7" i="14"/>
  <c r="G8" i="14"/>
  <c r="C10" i="14"/>
  <c r="F3" i="14"/>
  <c r="H8" i="14"/>
  <c r="N11" i="14"/>
  <c r="E4" i="14"/>
  <c r="G9" i="14"/>
  <c r="O11" i="14"/>
  <c r="F4" i="14"/>
  <c r="H9" i="14"/>
  <c r="E5" i="14"/>
  <c r="K8" i="14"/>
  <c r="H4" i="14"/>
  <c r="H10" i="14"/>
  <c r="K3" i="14"/>
  <c r="O7" i="14"/>
  <c r="G11" i="14"/>
  <c r="H5" i="14"/>
  <c r="N8" i="14"/>
  <c r="B11" i="14"/>
  <c r="B10" i="14"/>
  <c r="B9" i="14"/>
  <c r="B8" i="14"/>
  <c r="B7" i="14"/>
  <c r="B6" i="14"/>
  <c r="B5" i="14"/>
  <c r="B4" i="14"/>
  <c r="B3" i="14"/>
  <c r="B2" i="14"/>
  <c r="P6" i="18" l="1"/>
  <c r="P7" i="18"/>
  <c r="N4" i="18"/>
  <c r="O3" i="18"/>
  <c r="K4" i="18"/>
  <c r="H2" i="18"/>
  <c r="G2" i="18"/>
  <c r="H4" i="18"/>
  <c r="G4" i="18"/>
  <c r="I3" i="18"/>
  <c r="D3" i="18"/>
  <c r="K2" i="18"/>
  <c r="C3" i="18"/>
  <c r="J2" i="18"/>
  <c r="L3" i="18"/>
  <c r="K3" i="18"/>
  <c r="J3" i="18"/>
  <c r="H3" i="18"/>
  <c r="L2" i="18"/>
  <c r="L4" i="18"/>
  <c r="I2" i="18"/>
  <c r="J4" i="18"/>
  <c r="I4" i="18"/>
  <c r="F2" i="18"/>
  <c r="E2" i="18"/>
  <c r="D2" i="18"/>
  <c r="F4" i="18"/>
  <c r="O2" i="18"/>
  <c r="C2" i="18"/>
  <c r="E4" i="18"/>
  <c r="G3" i="18"/>
  <c r="M4" i="18"/>
  <c r="N3" i="18"/>
  <c r="M3" i="18"/>
  <c r="N2" i="18"/>
  <c r="D4" i="18"/>
  <c r="F3" i="18"/>
  <c r="M2" i="18"/>
  <c r="O4" i="18"/>
  <c r="C4" i="18"/>
  <c r="E3" i="18"/>
  <c r="B4" i="18"/>
  <c r="B3" i="18"/>
  <c r="B2" i="18"/>
  <c r="J6" i="18" l="1"/>
  <c r="J7" i="18"/>
  <c r="D6" i="18"/>
  <c r="D7" i="18"/>
  <c r="K6" i="18"/>
  <c r="K7" i="18"/>
  <c r="G6" i="18"/>
  <c r="G7" i="18"/>
  <c r="H6" i="18"/>
  <c r="H7" i="18"/>
  <c r="M6" i="18"/>
  <c r="M7" i="18"/>
  <c r="F7" i="18"/>
  <c r="F6" i="18"/>
  <c r="L6" i="18"/>
  <c r="L7" i="18"/>
  <c r="C7" i="18"/>
  <c r="C6" i="18"/>
  <c r="E7" i="18"/>
  <c r="E6" i="18"/>
  <c r="N6" i="18"/>
  <c r="N7" i="18"/>
  <c r="I7" i="18"/>
  <c r="I6" i="18"/>
  <c r="O6" i="18"/>
  <c r="O7" i="18"/>
  <c r="B6" i="18"/>
  <c r="B7" i="18"/>
  <c r="R7" i="18" l="1"/>
  <c r="S7" i="18" s="1"/>
  <c r="R6" i="18"/>
  <c r="S6" i="18"/>
  <c r="T6" i="18"/>
  <c r="V6" i="18" a="1"/>
  <c r="T7" i="18" l="1"/>
  <c r="X6" i="18"/>
  <c r="W6" i="18"/>
  <c r="V6" i="18"/>
  <c r="B9" i="18"/>
  <c r="V7" i="18" a="1"/>
  <c r="W7" i="18" l="1"/>
  <c r="V7" i="18"/>
  <c r="X7" i="18"/>
  <c r="P10" i="18" s="1"/>
  <c r="C9" i="18"/>
  <c r="O9" i="18"/>
  <c r="G9" i="18"/>
  <c r="I9" i="18"/>
  <c r="K9" i="18"/>
  <c r="D9" i="18"/>
  <c r="P9" i="18"/>
  <c r="F9" i="18"/>
  <c r="M9" i="18"/>
  <c r="H9" i="18"/>
  <c r="L9" i="18"/>
  <c r="N9" i="18"/>
  <c r="E9" i="18"/>
  <c r="J9" i="18"/>
  <c r="M10" i="18"/>
  <c r="N10" i="18"/>
  <c r="C10" i="18"/>
  <c r="E10" i="18"/>
  <c r="G10" i="18"/>
  <c r="I10" i="18"/>
  <c r="D10" i="18"/>
  <c r="K10" i="18"/>
  <c r="F10" i="18"/>
  <c r="J10" i="18"/>
  <c r="L10" i="18"/>
  <c r="O10" i="18"/>
  <c r="B14" i="18"/>
  <c r="C14" i="18" s="1"/>
  <c r="B13" i="18"/>
  <c r="C13" i="18"/>
  <c r="B10" i="18"/>
  <c r="H10" i="18" l="1"/>
</calcChain>
</file>

<file path=xl/sharedStrings.xml><?xml version="1.0" encoding="utf-8"?>
<sst xmlns="http://schemas.openxmlformats.org/spreadsheetml/2006/main" count="780" uniqueCount="152">
  <si>
    <t xml:space="preserve"> </t>
  </si>
  <si>
    <t>060925-KCP109B-c4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</si>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</sst>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Phase_Data!$B$2:$P$2</c:f>
              <c:numCache>
                <c:formatCode>General</c:formatCode>
                <c:ptCount val="15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759</c:v>
                </c:pt>
                <c:pt idx="8">
                  <c:v>765</c:v>
                </c:pt>
                <c:pt idx="9">
                  <c:v>771</c:v>
                </c:pt>
                <c:pt idx="10">
                  <c:v>778</c:v>
                </c:pt>
                <c:pt idx="11">
                  <c:v>785</c:v>
                </c:pt>
                <c:pt idx="12">
                  <c:v>794</c:v>
                </c:pt>
                <c:pt idx="13">
                  <c:v>804</c:v>
                </c:pt>
                <c:pt idx="14">
                  <c:v>815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4-4025-BC61-9EF44CEF77ED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Phase_Data!$B$3:$P$3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743</c:v>
                </c:pt>
                <c:pt idx="5">
                  <c:v>746</c:v>
                </c:pt>
                <c:pt idx="6">
                  <c:v>748</c:v>
                </c:pt>
                <c:pt idx="7">
                  <c:v>751</c:v>
                </c:pt>
                <c:pt idx="8">
                  <c:v>754</c:v>
                </c:pt>
                <c:pt idx="9">
                  <c:v>757</c:v>
                </c:pt>
                <c:pt idx="10">
                  <c:v>761</c:v>
                </c:pt>
                <c:pt idx="11">
                  <c:v>765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B4-4025-BC61-9EF44CEF77ED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Phase_Data!$B$4:$P$4</c:f>
              <c:numCache>
                <c:formatCode>General</c:formatCode>
                <c:ptCount val="15"/>
                <c:pt idx="0">
                  <c:v>734</c:v>
                </c:pt>
                <c:pt idx="1">
                  <c:v>737</c:v>
                </c:pt>
                <c:pt idx="2">
                  <c:v>739</c:v>
                </c:pt>
                <c:pt idx="3">
                  <c:v>742</c:v>
                </c:pt>
                <c:pt idx="4">
                  <c:v>744</c:v>
                </c:pt>
                <c:pt idx="5">
                  <c:v>747</c:v>
                </c:pt>
                <c:pt idx="6">
                  <c:v>749</c:v>
                </c:pt>
                <c:pt idx="7">
                  <c:v>753</c:v>
                </c:pt>
                <c:pt idx="8">
                  <c:v>756</c:v>
                </c:pt>
                <c:pt idx="9">
                  <c:v>759</c:v>
                </c:pt>
                <c:pt idx="10">
                  <c:v>764</c:v>
                </c:pt>
                <c:pt idx="11">
                  <c:v>769</c:v>
                </c:pt>
                <c:pt idx="12">
                  <c:v>774</c:v>
                </c:pt>
                <c:pt idx="13">
                  <c:v>781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B4-4025-BC61-9EF44CEF77ED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Phase_Data!$B$5:$P$5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743</c:v>
                </c:pt>
                <c:pt idx="5">
                  <c:v>746</c:v>
                </c:pt>
                <c:pt idx="6">
                  <c:v>749</c:v>
                </c:pt>
                <c:pt idx="7">
                  <c:v>752</c:v>
                </c:pt>
                <c:pt idx="8">
                  <c:v>755</c:v>
                </c:pt>
                <c:pt idx="9">
                  <c:v>758</c:v>
                </c:pt>
                <c:pt idx="10">
                  <c:v>762</c:v>
                </c:pt>
                <c:pt idx="11">
                  <c:v>767</c:v>
                </c:pt>
                <c:pt idx="12">
                  <c:v>772</c:v>
                </c:pt>
                <c:pt idx="13">
                  <c:v>779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B4-4025-BC61-9EF44CEF77ED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Phase_Data!$B$6:$P$6</c:f>
              <c:numCache>
                <c:formatCode>General</c:formatCode>
                <c:ptCount val="15"/>
                <c:pt idx="0">
                  <c:v>735</c:v>
                </c:pt>
                <c:pt idx="1">
                  <c:v>735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B4-4025-BC61-9EF44CEF77ED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Phase_Data!$B$7:$P$7</c:f>
              <c:numCache>
                <c:formatCode>General</c:formatCode>
                <c:ptCount val="15"/>
                <c:pt idx="0">
                  <c:v>738</c:v>
                </c:pt>
                <c:pt idx="1">
                  <c:v>740</c:v>
                </c:pt>
                <c:pt idx="2">
                  <c:v>742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764</c:v>
                </c:pt>
                <c:pt idx="9">
                  <c:v>770</c:v>
                </c:pt>
                <c:pt idx="10">
                  <c:v>776</c:v>
                </c:pt>
                <c:pt idx="11">
                  <c:v>784</c:v>
                </c:pt>
                <c:pt idx="12">
                  <c:v>793</c:v>
                </c:pt>
                <c:pt idx="13">
                  <c:v>803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B4-4025-BC61-9EF44CEF77ED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Phase_Data!$B$8:$P$8</c:f>
              <c:numCache>
                <c:formatCode>General</c:formatCode>
                <c:ptCount val="15"/>
                <c:pt idx="0">
                  <c:v>736</c:v>
                </c:pt>
                <c:pt idx="1">
                  <c:v>739</c:v>
                </c:pt>
                <c:pt idx="2">
                  <c:v>741</c:v>
                </c:pt>
                <c:pt idx="3">
                  <c:v>744</c:v>
                </c:pt>
                <c:pt idx="4">
                  <c:v>746</c:v>
                </c:pt>
                <c:pt idx="5">
                  <c:v>749</c:v>
                </c:pt>
                <c:pt idx="6">
                  <c:v>752</c:v>
                </c:pt>
                <c:pt idx="7">
                  <c:v>755</c:v>
                </c:pt>
                <c:pt idx="8">
                  <c:v>758</c:v>
                </c:pt>
                <c:pt idx="9">
                  <c:v>762</c:v>
                </c:pt>
                <c:pt idx="10">
                  <c:v>766</c:v>
                </c:pt>
                <c:pt idx="11">
                  <c:v>771</c:v>
                </c:pt>
                <c:pt idx="12">
                  <c:v>777</c:v>
                </c:pt>
                <c:pt idx="13">
                  <c:v>784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B4-4025-BC61-9EF44CEF77ED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Phase_Data!$B$9:$P$9</c:f>
              <c:numCache>
                <c:formatCode>General</c:formatCode>
                <c:ptCount val="15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761</c:v>
                </c:pt>
                <c:pt idx="9">
                  <c:v>765</c:v>
                </c:pt>
                <c:pt idx="10">
                  <c:v>769</c:v>
                </c:pt>
                <c:pt idx="11">
                  <c:v>774</c:v>
                </c:pt>
                <c:pt idx="12">
                  <c:v>781</c:v>
                </c:pt>
                <c:pt idx="13">
                  <c:v>788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CB4-4025-BC61-9EF44CEF77ED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Phase_Data!$B$10:$P$10</c:f>
              <c:numCache>
                <c:formatCode>General</c:formatCode>
                <c:ptCount val="15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759</c:v>
                </c:pt>
                <c:pt idx="8">
                  <c:v>765</c:v>
                </c:pt>
                <c:pt idx="9">
                  <c:v>771</c:v>
                </c:pt>
                <c:pt idx="10">
                  <c:v>778</c:v>
                </c:pt>
                <c:pt idx="11">
                  <c:v>785</c:v>
                </c:pt>
                <c:pt idx="12">
                  <c:v>794</c:v>
                </c:pt>
                <c:pt idx="13">
                  <c:v>804</c:v>
                </c:pt>
                <c:pt idx="14">
                  <c:v>815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CB4-4025-BC61-9EF44CEF7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0527"/>
        <c:axId val="75441487"/>
      </c:scatterChart>
      <c:valAx>
        <c:axId val="75440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5441487"/>
        <c:crosses val="autoZero"/>
        <c:crossBetween val="midCat"/>
      </c:valAx>
      <c:valAx>
        <c:axId val="75441487"/>
        <c:scaling>
          <c:orientation val="minMax"/>
          <c:max val="300"/>
          <c:min val="9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544052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761</c:v>
                </c:pt>
                <c:pt idx="9">
                  <c:v>765</c:v>
                </c:pt>
                <c:pt idx="10">
                  <c:v>769</c:v>
                </c:pt>
                <c:pt idx="11">
                  <c:v>774</c:v>
                </c:pt>
                <c:pt idx="12">
                  <c:v>781</c:v>
                </c:pt>
                <c:pt idx="13">
                  <c:v>788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5-4EA8-BE79-91A52822467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738</c:v>
                </c:pt>
                <c:pt idx="1">
                  <c:v>740</c:v>
                </c:pt>
                <c:pt idx="2">
                  <c:v>742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764</c:v>
                </c:pt>
                <c:pt idx="9">
                  <c:v>770</c:v>
                </c:pt>
                <c:pt idx="10">
                  <c:v>776</c:v>
                </c:pt>
                <c:pt idx="11">
                  <c:v>784</c:v>
                </c:pt>
                <c:pt idx="12">
                  <c:v>793</c:v>
                </c:pt>
                <c:pt idx="13">
                  <c:v>803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A5-4EA8-BE79-91A52822467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P_Calc!$B$4:$P$4</c:f>
              <c:numCache>
                <c:formatCode>General</c:formatCode>
                <c:ptCount val="15"/>
                <c:pt idx="0">
                  <c:v>736</c:v>
                </c:pt>
                <c:pt idx="1">
                  <c:v>739</c:v>
                </c:pt>
                <c:pt idx="2">
                  <c:v>741</c:v>
                </c:pt>
                <c:pt idx="3">
                  <c:v>744</c:v>
                </c:pt>
                <c:pt idx="4">
                  <c:v>746</c:v>
                </c:pt>
                <c:pt idx="5">
                  <c:v>749</c:v>
                </c:pt>
                <c:pt idx="6">
                  <c:v>752</c:v>
                </c:pt>
                <c:pt idx="7">
                  <c:v>755</c:v>
                </c:pt>
                <c:pt idx="8">
                  <c:v>758</c:v>
                </c:pt>
                <c:pt idx="9">
                  <c:v>762</c:v>
                </c:pt>
                <c:pt idx="10">
                  <c:v>766</c:v>
                </c:pt>
                <c:pt idx="11">
                  <c:v>771</c:v>
                </c:pt>
                <c:pt idx="12">
                  <c:v>777</c:v>
                </c:pt>
                <c:pt idx="13">
                  <c:v>784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A5-4EA8-BE79-91A528224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230111"/>
        <c:axId val="668232991"/>
      </c:scatterChart>
      <c:valAx>
        <c:axId val="6682301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8232991"/>
        <c:crosses val="autoZero"/>
        <c:crossBetween val="midCat"/>
      </c:valAx>
      <c:valAx>
        <c:axId val="66823299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823011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761</c:v>
                </c:pt>
                <c:pt idx="9">
                  <c:v>765</c:v>
                </c:pt>
                <c:pt idx="10">
                  <c:v>769</c:v>
                </c:pt>
                <c:pt idx="11">
                  <c:v>774</c:v>
                </c:pt>
                <c:pt idx="12">
                  <c:v>781</c:v>
                </c:pt>
                <c:pt idx="13">
                  <c:v>788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B-43A4-8976-5497D227B3E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738</c:v>
                </c:pt>
                <c:pt idx="1">
                  <c:v>740</c:v>
                </c:pt>
                <c:pt idx="2">
                  <c:v>742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764</c:v>
                </c:pt>
                <c:pt idx="9">
                  <c:v>770</c:v>
                </c:pt>
                <c:pt idx="10">
                  <c:v>776</c:v>
                </c:pt>
                <c:pt idx="11">
                  <c:v>784</c:v>
                </c:pt>
                <c:pt idx="12">
                  <c:v>793</c:v>
                </c:pt>
                <c:pt idx="13">
                  <c:v>803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2B-43A4-8976-5497D227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405791"/>
        <c:axId val="669406271"/>
      </c:scatterChart>
      <c:valAx>
        <c:axId val="6694057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9406271"/>
        <c:crosses val="autoZero"/>
        <c:crossBetween val="midCat"/>
      </c:valAx>
      <c:valAx>
        <c:axId val="66940627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940579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P_Calc!$B$6:$P$6</c:f>
              <c:numCache>
                <c:formatCode>General</c:formatCode>
                <c:ptCount val="15"/>
                <c:pt idx="0">
                  <c:v>20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3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E1-4E8B-BF30-36EC2F9DD02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P_Calc!$B$9:$P$9</c:f>
              <c:numCache>
                <c:formatCode>General</c:formatCode>
                <c:ptCount val="15"/>
                <c:pt idx="0">
                  <c:v>49.80000000008647</c:v>
                </c:pt>
                <c:pt idx="1">
                  <c:v>37.20000000005416</c:v>
                </c:pt>
                <c:pt idx="2">
                  <c:v>26.600000000027308</c:v>
                </c:pt>
                <c:pt idx="3">
                  <c:v>18.000000000005855</c:v>
                </c:pt>
                <c:pt idx="4">
                  <c:v>11.399999999989802</c:v>
                </c:pt>
                <c:pt idx="5">
                  <c:v>6.7999999999791498</c:v>
                </c:pt>
                <c:pt idx="6">
                  <c:v>4.1999999999739259</c:v>
                </c:pt>
                <c:pt idx="7">
                  <c:v>3.5999999999741021</c:v>
                </c:pt>
                <c:pt idx="8">
                  <c:v>4.9999999999796785</c:v>
                </c:pt>
                <c:pt idx="9">
                  <c:v>8.3999999999906834</c:v>
                </c:pt>
                <c:pt idx="10">
                  <c:v>13.800000000007088</c:v>
                </c:pt>
                <c:pt idx="11">
                  <c:v>21.200000000028894</c:v>
                </c:pt>
                <c:pt idx="12">
                  <c:v>30.600000000056127</c:v>
                </c:pt>
                <c:pt idx="13">
                  <c:v>42.000000000088733</c:v>
                </c:pt>
                <c:pt idx="14">
                  <c:v>55.400000000126767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E1-4E8B-BF30-36EC2F9DD02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198.0000000000135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3.5599999999736553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E1-4E8B-BF30-36EC2F9DD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332719"/>
        <c:axId val="667330799"/>
      </c:scatterChart>
      <c:valAx>
        <c:axId val="6673327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7330799"/>
        <c:crosses val="autoZero"/>
        <c:crossBetween val="midCat"/>
      </c:valAx>
      <c:valAx>
        <c:axId val="6673307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73327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P_Calc!$B$7:$P$7</c:f>
              <c:numCache>
                <c:formatCode>General</c:formatCode>
                <c:ptCount val="15"/>
                <c:pt idx="0">
                  <c:v>18</c:v>
                </c:pt>
                <c:pt idx="1">
                  <c:v>16</c:v>
                </c:pt>
                <c:pt idx="2">
                  <c:v>14</c:v>
                </c:pt>
                <c:pt idx="3">
                  <c:v>12</c:v>
                </c:pt>
                <c:pt idx="4">
                  <c:v>10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15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6-4329-BEB1-B9B8B38B1116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P_Calc!$B$10:$P$10</c:f>
              <c:numCache>
                <c:formatCode>General</c:formatCode>
                <c:ptCount val="15"/>
                <c:pt idx="0">
                  <c:v>54.457142857282122</c:v>
                </c:pt>
                <c:pt idx="1">
                  <c:v>40.428571428673649</c:v>
                </c:pt>
                <c:pt idx="2">
                  <c:v>28.542857142928085</c:v>
                </c:pt>
                <c:pt idx="3">
                  <c:v>18.800000000045259</c:v>
                </c:pt>
                <c:pt idx="4">
                  <c:v>11.200000000025341</c:v>
                </c:pt>
                <c:pt idx="5">
                  <c:v>5.7428571428682176</c:v>
                </c:pt>
                <c:pt idx="6">
                  <c:v>2.4285714285739459</c:v>
                </c:pt>
                <c:pt idx="7">
                  <c:v>1.2571428571424974</c:v>
                </c:pt>
                <c:pt idx="8">
                  <c:v>2.228571428573872</c:v>
                </c:pt>
                <c:pt idx="9">
                  <c:v>5.3428571428680982</c:v>
                </c:pt>
                <c:pt idx="10">
                  <c:v>10.600000000025148</c:v>
                </c:pt>
                <c:pt idx="11">
                  <c:v>18.00000000004502</c:v>
                </c:pt>
                <c:pt idx="12">
                  <c:v>27.542857142927687</c:v>
                </c:pt>
                <c:pt idx="13">
                  <c:v>39.228571428673234</c:v>
                </c:pt>
                <c:pt idx="14">
                  <c:v>53.057142857281605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16-4329-BEB1-B9B8B38B1116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194.3000000000016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1.2548095238091719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16-4329-BEB1-B9B8B38B1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332719"/>
        <c:axId val="674541679"/>
      </c:scatterChart>
      <c:valAx>
        <c:axId val="6673327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541679"/>
        <c:crosses val="autoZero"/>
        <c:crossBetween val="midCat"/>
      </c:valAx>
      <c:valAx>
        <c:axId val="67454167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73327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1D5B9D-3AE4-4273-A2CD-C763F8952A81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534C9D-6944-1702-7202-CB6B1FD4BB2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81E75A-38DA-F230-1FF1-D4CA339C3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9BF8C2-1ECF-870F-EA1C-9CA88E5A1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E7BE2F-174D-B372-30E7-3E396E31B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09568DA-DD39-DDD1-28BF-9955AA381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E00D1-988C-489A-AD0C-036BB34FCE85}">
  <dimension ref="A1:X14"/>
  <sheetViews>
    <sheetView tabSelected="1" workbookViewId="0"/>
  </sheetViews>
  <sheetFormatPr defaultRowHeight="15" x14ac:dyDescent="0.2"/>
  <sheetData>
    <row r="1" spans="1:24" x14ac:dyDescent="0.2">
      <c r="A1" t="s">
        <v>137</v>
      </c>
      <c r="B1">
        <f>Phase_Data!B1</f>
        <v>300</v>
      </c>
      <c r="C1">
        <f>Phase_Data!C1</f>
        <v>285</v>
      </c>
      <c r="D1">
        <f>Phase_Data!D1</f>
        <v>270</v>
      </c>
      <c r="E1">
        <f>Phase_Data!E1</f>
        <v>255</v>
      </c>
      <c r="F1">
        <f>Phase_Data!F1</f>
        <v>240</v>
      </c>
      <c r="G1">
        <f>Phase_Data!G1</f>
        <v>225</v>
      </c>
      <c r="H1">
        <f>Phase_Data!H1</f>
        <v>210</v>
      </c>
      <c r="I1">
        <f>Phase_Data!I1</f>
        <v>195</v>
      </c>
      <c r="J1">
        <f>Phase_Data!J1</f>
        <v>180</v>
      </c>
      <c r="K1">
        <f>Phase_Data!K1</f>
        <v>165</v>
      </c>
      <c r="L1">
        <f>Phase_Data!L1</f>
        <v>150</v>
      </c>
      <c r="M1">
        <f>Phase_Data!M1</f>
        <v>135</v>
      </c>
      <c r="N1">
        <f>Phase_Data!N1</f>
        <v>120</v>
      </c>
      <c r="O1">
        <f>Phase_Data!O1</f>
        <v>105</v>
      </c>
      <c r="P1">
        <f>Phase_Data!P1</f>
        <v>90</v>
      </c>
      <c r="R1" t="s">
        <v>144</v>
      </c>
      <c r="S1" t="s">
        <v>145</v>
      </c>
      <c r="T1" t="s">
        <v>146</v>
      </c>
      <c r="V1" t="s">
        <v>147</v>
      </c>
      <c r="W1" t="s">
        <v>148</v>
      </c>
      <c r="X1" t="s">
        <v>149</v>
      </c>
    </row>
    <row r="2" spans="1:24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756</v>
      </c>
      <c r="H2">
        <f ca="1">IFERROR(VLOOKUP($A2,Phase_Data!$1:$1048576,COLUMN(),0),"-")</f>
        <v>756</v>
      </c>
      <c r="I2">
        <f ca="1">IFERROR(VLOOKUP($A2,Phase_Data!$1:$1048576,COLUMN(),0),"-")</f>
        <v>757</v>
      </c>
      <c r="J2">
        <f ca="1">IFERROR(VLOOKUP($A2,Phase_Data!$1:$1048576,COLUMN(),0),"-")</f>
        <v>761</v>
      </c>
      <c r="K2">
        <f ca="1">IFERROR(VLOOKUP($A2,Phase_Data!$1:$1048576,COLUMN(),0),"-")</f>
        <v>765</v>
      </c>
      <c r="L2">
        <f ca="1">IFERROR(VLOOKUP($A2,Phase_Data!$1:$1048576,COLUMN(),0),"-")</f>
        <v>769</v>
      </c>
      <c r="M2">
        <f ca="1">IFERROR(VLOOKUP($A2,Phase_Data!$1:$1048576,COLUMN(),0),"-")</f>
        <v>774</v>
      </c>
      <c r="N2">
        <f ca="1">IFERROR(VLOOKUP($A2,Phase_Data!$1:$1048576,COLUMN(),0),"-")</f>
        <v>781</v>
      </c>
      <c r="O2">
        <f ca="1">IFERROR(VLOOKUP($A2,Phase_Data!$1:$1048576,COLUMN(),0),"-")</f>
        <v>788</v>
      </c>
      <c r="P2">
        <f>IFERROR(VLOOKUP($A2,Phase_Data!$1:$1048576,COLUMN(),0),"-")</f>
        <v>0</v>
      </c>
    </row>
    <row r="3" spans="1:24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740</v>
      </c>
      <c r="D3">
        <f ca="1">IFERROR(VLOOKUP($A3,Phase_Data!$1:$1048576,COLUMN(),0),"-")</f>
        <v>742</v>
      </c>
      <c r="E3">
        <f ca="1">IFERROR(VLOOKUP($A3,Phase_Data!$1:$1048576,COLUMN(),0),"-")</f>
        <v>744</v>
      </c>
      <c r="F3">
        <f ca="1">IFERROR(VLOOKUP($A3,Phase_Data!$1:$1048576,COLUMN(),0),"-")</f>
        <v>746</v>
      </c>
      <c r="G3">
        <f ca="1">IFERROR(VLOOKUP($A3,Phase_Data!$1:$1048576,COLUMN(),0),"-")</f>
        <v>750</v>
      </c>
      <c r="H3">
        <f ca="1">IFERROR(VLOOKUP($A3,Phase_Data!$1:$1048576,COLUMN(),0),"-")</f>
        <v>754</v>
      </c>
      <c r="I3">
        <f ca="1">IFERROR(VLOOKUP($A3,Phase_Data!$1:$1048576,COLUMN(),0),"-")</f>
        <v>758</v>
      </c>
      <c r="J3">
        <f ca="1">IFERROR(VLOOKUP($A3,Phase_Data!$1:$1048576,COLUMN(),0),"-")</f>
        <v>764</v>
      </c>
      <c r="K3">
        <f ca="1">IFERROR(VLOOKUP($A3,Phase_Data!$1:$1048576,COLUMN(),0),"-")</f>
        <v>770</v>
      </c>
      <c r="L3">
        <f ca="1">IFERROR(VLOOKUP($A3,Phase_Data!$1:$1048576,COLUMN(),0),"-")</f>
        <v>776</v>
      </c>
      <c r="M3">
        <f ca="1">IFERROR(VLOOKUP($A3,Phase_Data!$1:$1048576,COLUMN(),0),"-")</f>
        <v>784</v>
      </c>
      <c r="N3">
        <f ca="1">IFERROR(VLOOKUP($A3,Phase_Data!$1:$1048576,COLUMN(),0),"-")</f>
        <v>793</v>
      </c>
      <c r="O3">
        <f ca="1">IFERROR(VLOOKUP($A3,Phase_Data!$1:$1048576,COLUMN(),0),"-")</f>
        <v>803</v>
      </c>
      <c r="P3">
        <f>IFERROR(VLOOKUP($A3,Phase_Data!$1:$1048576,COLUMN(),0),"-")</f>
        <v>0</v>
      </c>
    </row>
    <row r="4" spans="1:24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739</v>
      </c>
      <c r="D4">
        <f ca="1">IFERROR(VLOOKUP($A4,Phase_Data!$1:$1048576,COLUMN(),0),"-")</f>
        <v>741</v>
      </c>
      <c r="E4">
        <f ca="1">IFERROR(VLOOKUP($A4,Phase_Data!$1:$1048576,COLUMN(),0),"-")</f>
        <v>744</v>
      </c>
      <c r="F4">
        <f ca="1">IFERROR(VLOOKUP($A4,Phase_Data!$1:$1048576,COLUMN(),0),"-")</f>
        <v>746</v>
      </c>
      <c r="G4">
        <f ca="1">IFERROR(VLOOKUP($A4,Phase_Data!$1:$1048576,COLUMN(),0),"-")</f>
        <v>749</v>
      </c>
      <c r="H4">
        <f ca="1">IFERROR(VLOOKUP($A4,Phase_Data!$1:$1048576,COLUMN(),0),"-")</f>
        <v>752</v>
      </c>
      <c r="I4">
        <f ca="1">IFERROR(VLOOKUP($A4,Phase_Data!$1:$1048576,COLUMN(),0),"-")</f>
        <v>755</v>
      </c>
      <c r="J4">
        <f ca="1">IFERROR(VLOOKUP($A4,Phase_Data!$1:$1048576,COLUMN(),0),"-")</f>
        <v>758</v>
      </c>
      <c r="K4">
        <f ca="1">IFERROR(VLOOKUP($A4,Phase_Data!$1:$1048576,COLUMN(),0),"-")</f>
        <v>762</v>
      </c>
      <c r="L4">
        <f ca="1">IFERROR(VLOOKUP($A4,Phase_Data!$1:$1048576,COLUMN(),0),"-")</f>
        <v>766</v>
      </c>
      <c r="M4">
        <f ca="1">IFERROR(VLOOKUP($A4,Phase_Data!$1:$1048576,COLUMN(),0),"-")</f>
        <v>771</v>
      </c>
      <c r="N4">
        <f ca="1">IFERROR(VLOOKUP($A4,Phase_Data!$1:$1048576,COLUMN(),0),"-")</f>
        <v>777</v>
      </c>
      <c r="O4">
        <f ca="1">IFERROR(VLOOKUP($A4,Phase_Data!$1:$1048576,COLUMN(),0),"-")</f>
        <v>784</v>
      </c>
      <c r="P4">
        <f>IFERROR(VLOOKUP($A4,Phase_Data!$1:$1048576,COLUMN(),0),"-")</f>
        <v>0</v>
      </c>
    </row>
    <row r="6" spans="1:24" x14ac:dyDescent="0.2">
      <c r="A6" t="s">
        <v>138</v>
      </c>
      <c r="B6">
        <f ca="1">IF(AND(B2&lt;&gt;0,B3&lt;&gt;0,B4&lt;&gt;0),MAX(B2:B4)-MIN(B2:B4),"-")</f>
        <v>20</v>
      </c>
      <c r="C6">
        <f t="shared" ref="C6:P6" ca="1" si="0">IF(AND(C2&lt;&gt;0,C3&lt;&gt;0,C4&lt;&gt;0),MAX(C2:C4)-MIN(C2:C4),"-")</f>
        <v>17</v>
      </c>
      <c r="D6">
        <f t="shared" ca="1" si="0"/>
        <v>15</v>
      </c>
      <c r="E6">
        <f t="shared" ca="1" si="0"/>
        <v>12</v>
      </c>
      <c r="F6">
        <f t="shared" ca="1" si="0"/>
        <v>10</v>
      </c>
      <c r="G6">
        <f t="shared" ca="1" si="0"/>
        <v>7</v>
      </c>
      <c r="H6">
        <f t="shared" ca="1" si="0"/>
        <v>4</v>
      </c>
      <c r="I6">
        <f t="shared" ca="1" si="0"/>
        <v>3</v>
      </c>
      <c r="J6">
        <f t="shared" ca="1" si="0"/>
        <v>6</v>
      </c>
      <c r="K6">
        <f t="shared" ca="1" si="0"/>
        <v>8</v>
      </c>
      <c r="L6">
        <f t="shared" ca="1" si="0"/>
        <v>10</v>
      </c>
      <c r="M6">
        <f t="shared" ca="1" si="0"/>
        <v>13</v>
      </c>
      <c r="N6">
        <f t="shared" ca="1" si="0"/>
        <v>16</v>
      </c>
      <c r="O6">
        <f t="shared" ca="1" si="0"/>
        <v>19</v>
      </c>
      <c r="P6" t="str">
        <f t="shared" si="0"/>
        <v>-</v>
      </c>
      <c r="R6">
        <f ca="1">MIN(B6:P6)</f>
        <v>3</v>
      </c>
      <c r="S6">
        <f ca="1">IF(R6&lt;=5,INDEX(B$1:P$1,1,MATCH(R6,B6:P6,0)),"-")</f>
        <v>195</v>
      </c>
      <c r="T6">
        <f ca="1">IF(R6&lt;=5,MATCH(R6,B6:P6,0),"-")</f>
        <v>8</v>
      </c>
      <c r="V6">
        <f t="array" aca="1" ref="V6:X6" ca="1">IF(T6="-","-",TRANSPOSE(MMULT(MINVERSE(MMULT(TRANSPOSE(generate_matrix(TRANSPOSE(INDEX(B$1:P$1,1,MAX(T6-2,1)):INDEX(B$1:P$1,1,MIN(T6+2,COUNT(B$1:P$1)))))),generate_matrix(TRANSPOSE(INDEX(B$1:P$1,1,MAX(T6-2,1)):INDEX(B$1:P$1,1,MIN(T6+2,COUNT(B$1:P$1))))))),MMULT(TRANSPOSE(generate_matrix(TRANSPOSE(INDEX(B$1:P$1,1,MAX(T6-2,1)):INDEX(B$1:P$1,1,MIN(T6+2,COUNT(B$1:P$1)))))),TRANSPOSE(INDEX(B6:P6,1,MAX(T6-2,1)):INDEX(B6:P6,1,MIN(T6+2,COUNT(B$1:P$1))))))))</f>
        <v>177.80000000046857</v>
      </c>
      <c r="W6">
        <f ca="1"/>
        <v>-1.7600000000048794</v>
      </c>
      <c r="X6">
        <f ca="1"/>
        <v>4.4444444444564635E-3</v>
      </c>
    </row>
    <row r="7" spans="1:24" x14ac:dyDescent="0.2">
      <c r="A7" t="s">
        <v>139</v>
      </c>
      <c r="B7">
        <f ca="1">IF(AND(MAX(B2:B4)&lt;&gt;0,LARGE(B2:B4,2)&lt;&gt;0),MAX(B2:B4)-LARGE(B2:B4,2),"-")</f>
        <v>18</v>
      </c>
      <c r="C7">
        <f t="shared" ref="C7:P7" ca="1" si="1">IF(AND(MAX(C2:C4)&lt;&gt;0,LARGE(C2:C4,2)&lt;&gt;0),MAX(C2:C4)-LARGE(C2:C4,2),"-")</f>
        <v>16</v>
      </c>
      <c r="D7">
        <f t="shared" ca="1" si="1"/>
        <v>14</v>
      </c>
      <c r="E7">
        <f t="shared" ca="1" si="1"/>
        <v>12</v>
      </c>
      <c r="F7">
        <f t="shared" ca="1" si="1"/>
        <v>10</v>
      </c>
      <c r="G7">
        <f t="shared" ca="1" si="1"/>
        <v>6</v>
      </c>
      <c r="H7">
        <f t="shared" ca="1" si="1"/>
        <v>2</v>
      </c>
      <c r="I7">
        <f t="shared" ca="1" si="1"/>
        <v>1</v>
      </c>
      <c r="J7">
        <f t="shared" ca="1" si="1"/>
        <v>3</v>
      </c>
      <c r="K7">
        <f t="shared" ca="1" si="1"/>
        <v>5</v>
      </c>
      <c r="L7">
        <f t="shared" ca="1" si="1"/>
        <v>7</v>
      </c>
      <c r="M7">
        <f t="shared" ca="1" si="1"/>
        <v>10</v>
      </c>
      <c r="N7">
        <f t="shared" ca="1" si="1"/>
        <v>12</v>
      </c>
      <c r="O7">
        <f t="shared" ca="1" si="1"/>
        <v>15</v>
      </c>
      <c r="P7" t="str">
        <f t="shared" si="1"/>
        <v>-</v>
      </c>
      <c r="R7">
        <f ca="1">MIN(B7:P7)</f>
        <v>1</v>
      </c>
      <c r="S7">
        <f ca="1">IF(R7&lt;=5,INDEX(B$1:P$1,1,MATCH(R7,B7:P7,0)),"-")</f>
        <v>195</v>
      </c>
      <c r="T7">
        <f ca="1">IF(R7&lt;=5,MATCH(R7,B7:P7,0),"-")</f>
        <v>8</v>
      </c>
      <c r="V7">
        <f t="array" aca="1" ref="V7:X7" ca="1">IF(T7="-","-",TRANSPOSE(MMULT(MINVERSE(MMULT(TRANSPOSE(generate_matrix(TRANSPOSE(INDEX(B$1:P$1,1,MAX(T7-2,1)):INDEX(B$1:P$1,1,MIN(T7+2,COUNT(B$1:P$1)))))),generate_matrix(TRANSPOSE(INDEX(B$1:P$1,1,MAX(T7-2,1)):INDEX(B$1:P$1,1,MIN(T7+2,COUNT(B$1:P$1))))))),MMULT(TRANSPOSE(generate_matrix(TRANSPOSE(INDEX(B$1:P$1,1,MAX(T7-2,1)):INDEX(B$1:P$1,1,MIN(T7+2,COUNT(B$1:P$1)))))),TRANSPOSE(INDEX(B7:P7,1,MAX(T7-2,1)):INDEX(B7:P7,1,MIN(T7+2,COUNT(B$1:P$1))))))))</f>
        <v>181.02857142905123</v>
      </c>
      <c r="W7">
        <f ca="1"/>
        <v>-1.8504761904811176</v>
      </c>
      <c r="X7">
        <f ca="1"/>
        <v>4.7619047619174015E-3</v>
      </c>
    </row>
    <row r="9" spans="1:24" x14ac:dyDescent="0.2">
      <c r="A9" t="s">
        <v>140</v>
      </c>
      <c r="B9">
        <f ca="1">IFERROR(IF($X6&gt;0,$X6*B$1^2+$W6*B$1+$V6,"-"),"-")</f>
        <v>49.80000000008647</v>
      </c>
      <c r="C9">
        <f ca="1">IFERROR(IF($X6&gt;0,$X6*C$1^2+$W6*C$1+$V6,"-"),"-")</f>
        <v>37.20000000005416</v>
      </c>
      <c r="D9">
        <f ca="1">IFERROR(IF($X6&gt;0,$X6*D$1^2+$W6*D$1+$V6,"-"),"-")</f>
        <v>26.600000000027308</v>
      </c>
      <c r="E9">
        <f ca="1">IFERROR(IF($X6&gt;0,$X6*E$1^2+$W6*E$1+$V6,"-"),"-")</f>
        <v>18.000000000005855</v>
      </c>
      <c r="F9">
        <f ca="1">IFERROR(IF($X6&gt;0,$X6*F$1^2+$W6*F$1+$V6,"-"),"-")</f>
        <v>11.399999999989802</v>
      </c>
      <c r="G9">
        <f ca="1">IFERROR(IF($X6&gt;0,$X6*G$1^2+$W6*G$1+$V6,"-"),"-")</f>
        <v>6.7999999999791498</v>
      </c>
      <c r="H9">
        <f ca="1">IFERROR(IF($X6&gt;0,$X6*H$1^2+$W6*H$1+$V6,"-"),"-")</f>
        <v>4.1999999999739259</v>
      </c>
      <c r="I9">
        <f ca="1">IFERROR(IF($X6&gt;0,$X6*I$1^2+$W6*I$1+$V6,"-"),"-")</f>
        <v>3.5999999999741021</v>
      </c>
      <c r="J9">
        <f ca="1">IFERROR(IF($X6&gt;0,$X6*J$1^2+$W6*J$1+$V6,"-"),"-")</f>
        <v>4.9999999999796785</v>
      </c>
      <c r="K9">
        <f ca="1">IFERROR(IF($X6&gt;0,$X6*K$1^2+$W6*K$1+$V6,"-"),"-")</f>
        <v>8.3999999999906834</v>
      </c>
      <c r="L9">
        <f ca="1">IFERROR(IF($X6&gt;0,$X6*L$1^2+$W6*L$1+$V6,"-"),"-")</f>
        <v>13.800000000007088</v>
      </c>
      <c r="M9">
        <f ca="1">IFERROR(IF($X6&gt;0,$X6*M$1^2+$W6*M$1+$V6,"-"),"-")</f>
        <v>21.200000000028894</v>
      </c>
      <c r="N9">
        <f ca="1">IFERROR(IF($X6&gt;0,$X6*N$1^2+$W6*N$1+$V6,"-"),"-")</f>
        <v>30.600000000056127</v>
      </c>
      <c r="O9">
        <f ca="1">IFERROR(IF($X6&gt;0,$X6*O$1^2+$W6*O$1+$V6,"-"),"-")</f>
        <v>42.000000000088733</v>
      </c>
      <c r="P9">
        <f ca="1">IFERROR(IF($X6&gt;0,$X6*P$1^2+$W6*P$1+$V6,"-"),"-")</f>
        <v>55.400000000126767</v>
      </c>
    </row>
    <row r="10" spans="1:24" x14ac:dyDescent="0.2">
      <c r="A10" t="s">
        <v>141</v>
      </c>
      <c r="B10">
        <f ca="1">IFERROR(IF($X7&gt;0,$X7*B$1^2+$W7*B$1+$V7,"-"),"-")</f>
        <v>54.457142857282122</v>
      </c>
      <c r="C10">
        <f ca="1">IFERROR(IF($X7&gt;0,$X7*C$1^2+$W7*C$1+$V7,"-"),"-")</f>
        <v>40.428571428673649</v>
      </c>
      <c r="D10">
        <f ca="1">IFERROR(IF($X7&gt;0,$X7*D$1^2+$W7*D$1+$V7,"-"),"-")</f>
        <v>28.542857142928085</v>
      </c>
      <c r="E10">
        <f ca="1">IFERROR(IF($X7&gt;0,$X7*E$1^2+$W7*E$1+$V7,"-"),"-")</f>
        <v>18.800000000045259</v>
      </c>
      <c r="F10">
        <f ca="1">IFERROR(IF($X7&gt;0,$X7*F$1^2+$W7*F$1+$V7,"-"),"-")</f>
        <v>11.200000000025341</v>
      </c>
      <c r="G10">
        <f ca="1">IFERROR(IF($X7&gt;0,$X7*G$1^2+$W7*G$1+$V7,"-"),"-")</f>
        <v>5.7428571428682176</v>
      </c>
      <c r="H10">
        <f ca="1">IFERROR(IF($X7&gt;0,$X7*H$1^2+$W7*H$1+$V7,"-"),"-")</f>
        <v>2.4285714285739459</v>
      </c>
      <c r="I10">
        <f ca="1">IFERROR(IF($X7&gt;0,$X7*I$1^2+$W7*I$1+$V7,"-"),"-")</f>
        <v>1.2571428571424974</v>
      </c>
      <c r="J10">
        <f ca="1">IFERROR(IF($X7&gt;0,$X7*J$1^2+$W7*J$1+$V7,"-"),"-")</f>
        <v>2.228571428573872</v>
      </c>
      <c r="K10">
        <f ca="1">IFERROR(IF($X7&gt;0,$X7*K$1^2+$W7*K$1+$V7,"-"),"-")</f>
        <v>5.3428571428680982</v>
      </c>
      <c r="L10">
        <f ca="1">IFERROR(IF($X7&gt;0,$X7*L$1^2+$W7*L$1+$V7,"-"),"-")</f>
        <v>10.600000000025148</v>
      </c>
      <c r="M10">
        <f ca="1">IFERROR(IF($X7&gt;0,$X7*M$1^2+$W7*M$1+$V7,"-"),"-")</f>
        <v>18.00000000004502</v>
      </c>
      <c r="N10">
        <f ca="1">IFERROR(IF($X7&gt;0,$X7*N$1^2+$W7*N$1+$V7,"-"),"-")</f>
        <v>27.542857142927687</v>
      </c>
      <c r="O10">
        <f ca="1">IFERROR(IF($X7&gt;0,$X7*O$1^2+$W7*O$1+$V7,"-"),"-")</f>
        <v>39.228571428673234</v>
      </c>
      <c r="P10">
        <f ca="1">IFERROR(IF($X7&gt;0,$X7*P$1^2+$W7*P$1+$V7,"-"),"-")</f>
        <v>53.057142857281605</v>
      </c>
    </row>
    <row r="12" spans="1:24" x14ac:dyDescent="0.2">
      <c r="B12" t="s">
        <v>150</v>
      </c>
      <c r="C12" t="s">
        <v>151</v>
      </c>
    </row>
    <row r="13" spans="1:24" x14ac:dyDescent="0.2">
      <c r="A13" t="s">
        <v>142</v>
      </c>
      <c r="B13" s="2">
        <f ca="1">IFERROR(IF($R6&lt;=5,IF($X6&gt;0,-$W6/(2*$X6),"-"),"-"),"-")</f>
        <v>198.0000000000135</v>
      </c>
      <c r="C13" s="2">
        <f ca="1">IFERROR(IF($X6&gt;0,$X6*B13^2+$W6*B13+$V6,"-"),"-")</f>
        <v>3.5599999999736553</v>
      </c>
    </row>
    <row r="14" spans="1:24" x14ac:dyDescent="0.2">
      <c r="A14" t="s">
        <v>143</v>
      </c>
      <c r="B14" s="2">
        <f ca="1">IFERROR(IF($R7&lt;=5,IF($X7&gt;0,-$W7/(2*$X7),"-"),"-"),"-")</f>
        <v>194.3000000000016</v>
      </c>
      <c r="C14" s="2">
        <f ca="1">IFERROR(IF($X7&gt;0,$X7*B14^2+$W7*B14+$V7,"-"),"-")</f>
        <v>1.2548095238091719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82CF-D36D-41AF-AE83-CA21B68167C2}">
  <sheetPr codeName="Sheet2"/>
  <dimension ref="A1:P11"/>
  <sheetViews>
    <sheetView workbookViewId="0"/>
  </sheetViews>
  <sheetFormatPr defaultRowHeight="15" x14ac:dyDescent="0.2"/>
  <sheetData>
    <row r="1" spans="1:16" x14ac:dyDescent="0.2">
      <c r="A1">
        <v>300</v>
      </c>
      <c r="B1">
        <v>300</v>
      </c>
      <c r="C1">
        <v>285</v>
      </c>
      <c r="D1">
        <v>270</v>
      </c>
      <c r="E1">
        <v>255</v>
      </c>
      <c r="F1">
        <v>240</v>
      </c>
      <c r="G1">
        <v>225</v>
      </c>
      <c r="H1">
        <v>210</v>
      </c>
      <c r="I1">
        <v>195</v>
      </c>
      <c r="J1">
        <v>180</v>
      </c>
      <c r="K1">
        <v>165</v>
      </c>
      <c r="L1">
        <v>150</v>
      </c>
      <c r="M1">
        <v>135</v>
      </c>
      <c r="N1">
        <v>120</v>
      </c>
      <c r="O1">
        <v>105</v>
      </c>
      <c r="P1">
        <v>90</v>
      </c>
    </row>
    <row r="2" spans="1:16" x14ac:dyDescent="0.2">
      <c r="A2" t="s">
        <v>134</v>
      </c>
      <c r="B2">
        <f ca="1">_xlfn.IFNA(INDEX(INDIRECT("'"&amp;$A2&amp;"'!$B:$B"),MATCH(B$1,INDIRECT("'"&amp;$A2&amp;"'!$c:$c"),0)),"")</f>
        <v>757</v>
      </c>
      <c r="C2">
        <f t="shared" ref="C2:P11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757</v>
      </c>
      <c r="G2">
        <f t="shared" ca="1" si="0"/>
        <v>757</v>
      </c>
      <c r="H2">
        <f t="shared" ca="1" si="0"/>
        <v>757</v>
      </c>
      <c r="I2">
        <f t="shared" ca="1" si="0"/>
        <v>759</v>
      </c>
      <c r="J2">
        <f t="shared" ca="1" si="0"/>
        <v>765</v>
      </c>
      <c r="K2">
        <f t="shared" ca="1" si="0"/>
        <v>771</v>
      </c>
      <c r="L2">
        <f t="shared" ca="1" si="0"/>
        <v>778</v>
      </c>
      <c r="M2">
        <f t="shared" ca="1" si="0"/>
        <v>785</v>
      </c>
      <c r="N2">
        <f t="shared" ca="1" si="0"/>
        <v>794</v>
      </c>
      <c r="O2">
        <f t="shared" ca="1" si="0"/>
        <v>804</v>
      </c>
      <c r="P2">
        <f t="shared" ca="1" si="0"/>
        <v>815</v>
      </c>
    </row>
    <row r="3" spans="1:16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736</v>
      </c>
      <c r="D3">
        <f t="shared" ca="1" si="0"/>
        <v>739</v>
      </c>
      <c r="E3">
        <f t="shared" ca="1" si="0"/>
        <v>741</v>
      </c>
      <c r="F3">
        <f t="shared" ca="1" si="0"/>
        <v>743</v>
      </c>
      <c r="G3">
        <f t="shared" ca="1" si="0"/>
        <v>746</v>
      </c>
      <c r="H3">
        <f t="shared" ca="1" si="0"/>
        <v>748</v>
      </c>
      <c r="I3">
        <f t="shared" ca="1" si="0"/>
        <v>751</v>
      </c>
      <c r="J3">
        <f t="shared" ca="1" si="0"/>
        <v>754</v>
      </c>
      <c r="K3">
        <f t="shared" ca="1" si="0"/>
        <v>757</v>
      </c>
      <c r="L3">
        <f t="shared" ca="1" si="0"/>
        <v>761</v>
      </c>
      <c r="M3">
        <f t="shared" ca="1" si="0"/>
        <v>765</v>
      </c>
    </row>
    <row r="4" spans="1:16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737</v>
      </c>
      <c r="D4">
        <f t="shared" ca="1" si="0"/>
        <v>739</v>
      </c>
      <c r="E4">
        <f t="shared" ca="1" si="0"/>
        <v>742</v>
      </c>
      <c r="F4">
        <f t="shared" ca="1" si="0"/>
        <v>744</v>
      </c>
      <c r="G4">
        <f t="shared" ca="1" si="0"/>
        <v>747</v>
      </c>
      <c r="H4">
        <f t="shared" ca="1" si="0"/>
        <v>749</v>
      </c>
      <c r="I4">
        <f t="shared" ca="1" si="0"/>
        <v>753</v>
      </c>
      <c r="J4">
        <f t="shared" ca="1" si="0"/>
        <v>756</v>
      </c>
      <c r="K4">
        <f t="shared" ca="1" si="0"/>
        <v>759</v>
      </c>
      <c r="L4">
        <f t="shared" ca="1" si="0"/>
        <v>764</v>
      </c>
      <c r="M4">
        <f t="shared" ca="1" si="0"/>
        <v>769</v>
      </c>
      <c r="N4">
        <f t="shared" ca="1" si="0"/>
        <v>774</v>
      </c>
      <c r="O4">
        <f t="shared" ca="1" si="0"/>
        <v>781</v>
      </c>
    </row>
    <row r="5" spans="1:16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739</v>
      </c>
      <c r="E5">
        <f t="shared" ca="1" si="0"/>
        <v>741</v>
      </c>
      <c r="F5">
        <f t="shared" ca="1" si="0"/>
        <v>743</v>
      </c>
      <c r="G5">
        <f t="shared" ca="1" si="0"/>
        <v>746</v>
      </c>
      <c r="H5">
        <f t="shared" ca="1" si="0"/>
        <v>749</v>
      </c>
      <c r="I5">
        <f t="shared" ca="1" si="0"/>
        <v>752</v>
      </c>
      <c r="J5">
        <f t="shared" ca="1" si="0"/>
        <v>755</v>
      </c>
      <c r="K5">
        <f t="shared" ca="1" si="0"/>
        <v>758</v>
      </c>
      <c r="L5">
        <f t="shared" ca="1" si="0"/>
        <v>762</v>
      </c>
      <c r="M5">
        <f t="shared" ca="1" si="0"/>
        <v>767</v>
      </c>
      <c r="N5">
        <f t="shared" ca="1" si="0"/>
        <v>772</v>
      </c>
      <c r="O5">
        <f t="shared" ca="1" si="0"/>
        <v>779</v>
      </c>
    </row>
    <row r="6" spans="1:16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735</v>
      </c>
    </row>
    <row r="7" spans="1:16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740</v>
      </c>
      <c r="D7">
        <f t="shared" ca="1" si="0"/>
        <v>742</v>
      </c>
      <c r="E7">
        <f t="shared" ca="1" si="0"/>
        <v>744</v>
      </c>
      <c r="F7">
        <f t="shared" ca="1" si="0"/>
        <v>746</v>
      </c>
      <c r="G7">
        <f t="shared" ca="1" si="0"/>
        <v>750</v>
      </c>
      <c r="H7">
        <f t="shared" ca="1" si="0"/>
        <v>754</v>
      </c>
      <c r="I7">
        <f t="shared" ca="1" si="0"/>
        <v>758</v>
      </c>
      <c r="J7">
        <f t="shared" ca="1" si="0"/>
        <v>764</v>
      </c>
      <c r="K7">
        <f t="shared" ca="1" si="0"/>
        <v>770</v>
      </c>
      <c r="L7">
        <f t="shared" ca="1" si="0"/>
        <v>776</v>
      </c>
      <c r="M7">
        <f t="shared" ca="1" si="0"/>
        <v>784</v>
      </c>
      <c r="N7">
        <f t="shared" ca="1" si="0"/>
        <v>793</v>
      </c>
      <c r="O7">
        <f t="shared" ca="1" si="0"/>
        <v>803</v>
      </c>
    </row>
    <row r="8" spans="1:16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739</v>
      </c>
      <c r="D8">
        <f t="shared" ca="1" si="0"/>
        <v>741</v>
      </c>
      <c r="E8">
        <f t="shared" ca="1" si="0"/>
        <v>744</v>
      </c>
      <c r="F8">
        <f t="shared" ca="1" si="0"/>
        <v>746</v>
      </c>
      <c r="G8">
        <f t="shared" ca="1" si="0"/>
        <v>749</v>
      </c>
      <c r="H8">
        <f t="shared" ca="1" si="0"/>
        <v>752</v>
      </c>
      <c r="I8">
        <f t="shared" ca="1" si="0"/>
        <v>755</v>
      </c>
      <c r="J8">
        <f t="shared" ca="1" si="0"/>
        <v>758</v>
      </c>
      <c r="K8">
        <f t="shared" ca="1" si="0"/>
        <v>762</v>
      </c>
      <c r="L8">
        <f t="shared" ca="1" si="0"/>
        <v>766</v>
      </c>
      <c r="M8">
        <f t="shared" ca="1" si="0"/>
        <v>771</v>
      </c>
      <c r="N8">
        <f t="shared" ca="1" si="0"/>
        <v>777</v>
      </c>
      <c r="O8">
        <f t="shared" ca="1" si="0"/>
        <v>784</v>
      </c>
    </row>
    <row r="9" spans="1:16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756</v>
      </c>
      <c r="G9">
        <f t="shared" ca="1" si="0"/>
        <v>756</v>
      </c>
      <c r="H9">
        <f t="shared" ca="1" si="0"/>
        <v>756</v>
      </c>
      <c r="I9">
        <f t="shared" ca="1" si="0"/>
        <v>757</v>
      </c>
      <c r="J9">
        <f t="shared" ca="1" si="0"/>
        <v>761</v>
      </c>
      <c r="K9">
        <f t="shared" ca="1" si="0"/>
        <v>765</v>
      </c>
      <c r="L9">
        <f t="shared" ca="1" si="0"/>
        <v>769</v>
      </c>
      <c r="M9">
        <f t="shared" ca="1" si="0"/>
        <v>774</v>
      </c>
      <c r="N9">
        <f t="shared" ca="1" si="0"/>
        <v>781</v>
      </c>
      <c r="O9">
        <f t="shared" ca="1" si="0"/>
        <v>788</v>
      </c>
    </row>
    <row r="10" spans="1:16" x14ac:dyDescent="0.2">
      <c r="A10" t="s">
        <v>71</v>
      </c>
      <c r="B10">
        <f ca="1">_xlfn.IFNA(INDEX(INDIRECT("'"&amp;$A10&amp;"'!$B:$B"),MATCH(B$1,INDIRECT("'"&amp;$A10&amp;"'!$c:$c"),0)),"")</f>
        <v>757</v>
      </c>
      <c r="C10">
        <f t="shared" ca="1" si="0"/>
        <v>757</v>
      </c>
      <c r="D10">
        <f t="shared" ca="1" si="0"/>
        <v>757</v>
      </c>
      <c r="E10">
        <f t="shared" ca="1" si="0"/>
        <v>757</v>
      </c>
      <c r="F10">
        <f t="shared" ca="1" si="0"/>
        <v>757</v>
      </c>
      <c r="G10">
        <f t="shared" ca="1" si="0"/>
        <v>757</v>
      </c>
      <c r="H10">
        <f t="shared" ca="1" si="0"/>
        <v>757</v>
      </c>
      <c r="I10">
        <f t="shared" ca="1" si="0"/>
        <v>759</v>
      </c>
      <c r="J10">
        <f t="shared" ca="1" si="0"/>
        <v>765</v>
      </c>
      <c r="K10">
        <f t="shared" ca="1" si="0"/>
        <v>771</v>
      </c>
      <c r="L10">
        <f t="shared" ca="1" si="0"/>
        <v>778</v>
      </c>
      <c r="M10">
        <f t="shared" ca="1" si="0"/>
        <v>785</v>
      </c>
      <c r="N10">
        <f t="shared" ca="1" si="0"/>
        <v>794</v>
      </c>
      <c r="O10">
        <f t="shared" ca="1" si="0"/>
        <v>804</v>
      </c>
      <c r="P10">
        <f t="shared" ca="1" si="0"/>
        <v>815</v>
      </c>
    </row>
    <row r="11" spans="1:16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740</v>
      </c>
      <c r="D11">
        <f t="shared" ca="1" si="0"/>
        <v>742</v>
      </c>
      <c r="E11">
        <f t="shared" ca="1" si="0"/>
        <v>744</v>
      </c>
      <c r="F11">
        <f t="shared" ca="1" si="0"/>
        <v>746</v>
      </c>
      <c r="G11">
        <f t="shared" ca="1" si="0"/>
        <v>750</v>
      </c>
      <c r="H11">
        <f t="shared" ca="1" si="0"/>
        <v>754</v>
      </c>
      <c r="I11">
        <f t="shared" ca="1" si="0"/>
        <v>758</v>
      </c>
      <c r="J11">
        <f t="shared" ca="1" si="0"/>
        <v>764</v>
      </c>
      <c r="K11">
        <f t="shared" ca="1" si="0"/>
        <v>770</v>
      </c>
      <c r="L11">
        <f t="shared" ca="1" si="0"/>
        <v>776</v>
      </c>
      <c r="M11">
        <f t="shared" ca="1" si="0"/>
        <v>784</v>
      </c>
      <c r="N11">
        <f t="shared" ca="1" si="0"/>
        <v>793</v>
      </c>
      <c r="O11">
        <f t="shared" ca="1" si="0"/>
        <v>803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C7F9-2698-4B0C-84F0-2C503E697571}">
  <sheetPr codeName="Sheet3"/>
  <dimension ref="A1:Q258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300</v>
      </c>
      <c r="D2">
        <v>0.27595058971994302</v>
      </c>
      <c r="E2">
        <v>109.681685023245</v>
      </c>
      <c r="F2">
        <v>2.0037102835048302</v>
      </c>
      <c r="G2">
        <v>-1815.358339039748</v>
      </c>
      <c r="H2">
        <v>-1492.980829688325</v>
      </c>
      <c r="I2">
        <v>312.94434544305102</v>
      </c>
      <c r="J2">
        <v>157.99316604757701</v>
      </c>
      <c r="K2">
        <v>54.739293363007398</v>
      </c>
      <c r="L2">
        <v>0.88399759860764748</v>
      </c>
      <c r="M2">
        <v>-0.88384832755660225</v>
      </c>
      <c r="N2">
        <v>48.382304403756798</v>
      </c>
      <c r="O2">
        <v>48.382300477501097</v>
      </c>
      <c r="P2">
        <v>48.382296590030002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109.68171372480499</v>
      </c>
      <c r="F3">
        <v>2.0042557213029202</v>
      </c>
      <c r="G3">
        <v>-1815.0459448307558</v>
      </c>
      <c r="H3">
        <v>-1493.1685242275664</v>
      </c>
      <c r="I3">
        <v>312.76250733577399</v>
      </c>
      <c r="J3">
        <v>157.99421491329699</v>
      </c>
      <c r="K3">
        <v>54.7244109416851</v>
      </c>
      <c r="L3">
        <v>0.88255096076718964</v>
      </c>
      <c r="M3">
        <v>-0.88240138627400999</v>
      </c>
      <c r="N3">
        <v>48.289967484009502</v>
      </c>
      <c r="O3">
        <v>48.2899635137112</v>
      </c>
      <c r="P3">
        <v>48.289959620401198</v>
      </c>
      <c r="Q3" t="s">
        <v>51</v>
      </c>
    </row>
    <row r="4" spans="1:17" x14ac:dyDescent="0.2">
      <c r="A4">
        <v>3</v>
      </c>
      <c r="B4">
        <v>755</v>
      </c>
      <c r="C4">
        <v>300</v>
      </c>
      <c r="D4">
        <v>0.27440597189125798</v>
      </c>
      <c r="E4">
        <v>109.681743710294</v>
      </c>
      <c r="F4">
        <v>2.00480603669694</v>
      </c>
      <c r="G4">
        <v>-1814.7337601778299</v>
      </c>
      <c r="H4">
        <v>-1493.3639866004469</v>
      </c>
      <c r="I4">
        <v>312.57296553375897</v>
      </c>
      <c r="J4">
        <v>157.997635769185</v>
      </c>
      <c r="K4">
        <v>54.709404153133399</v>
      </c>
      <c r="L4">
        <v>0.88070067325549095</v>
      </c>
      <c r="M4">
        <v>-0.88055069671382513</v>
      </c>
      <c r="N4">
        <v>48.175475957635001</v>
      </c>
      <c r="O4">
        <v>48.175471940439103</v>
      </c>
      <c r="P4">
        <v>48.175468038771001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109.68177381237101</v>
      </c>
      <c r="F5">
        <v>2.0053577770225002</v>
      </c>
      <c r="G5">
        <v>-1814.4217669072552</v>
      </c>
      <c r="H5">
        <v>-1493.5592720310678</v>
      </c>
      <c r="I5">
        <v>312.38341321069498</v>
      </c>
      <c r="J5">
        <v>158.000985610621</v>
      </c>
      <c r="K5">
        <v>54.694366795347399</v>
      </c>
      <c r="L5">
        <v>0.87886036959917591</v>
      </c>
      <c r="M5">
        <v>-0.87870999558222895</v>
      </c>
      <c r="N5">
        <v>48.061559383388101</v>
      </c>
      <c r="O5">
        <v>48.061555319139202</v>
      </c>
      <c r="P5">
        <v>48.061551409263402</v>
      </c>
      <c r="Q5" t="s">
        <v>51</v>
      </c>
    </row>
    <row r="6" spans="1:17" x14ac:dyDescent="0.2">
      <c r="A6">
        <v>5</v>
      </c>
      <c r="B6">
        <v>753</v>
      </c>
      <c r="C6">
        <v>300</v>
      </c>
      <c r="D6">
        <v>0.27285533304097898</v>
      </c>
      <c r="E6">
        <v>109.681804031529</v>
      </c>
      <c r="F6">
        <v>2.0059109319514699</v>
      </c>
      <c r="G6">
        <v>-1814.1099650380152</v>
      </c>
      <c r="H6">
        <v>-1493.7543819988589</v>
      </c>
      <c r="I6">
        <v>312.19384891291202</v>
      </c>
      <c r="J6">
        <v>158.00426427683399</v>
      </c>
      <c r="K6">
        <v>54.679299207379998</v>
      </c>
      <c r="L6">
        <v>0.8770299620868941</v>
      </c>
      <c r="M6">
        <v>-0.87687919514413382</v>
      </c>
      <c r="N6">
        <v>47.948212979919901</v>
      </c>
      <c r="O6">
        <v>47.948208868465301</v>
      </c>
      <c r="P6">
        <v>47.948204950531498</v>
      </c>
      <c r="Q6" t="s">
        <v>51</v>
      </c>
    </row>
    <row r="7" spans="1:17" x14ac:dyDescent="0.2">
      <c r="A7">
        <v>6</v>
      </c>
      <c r="B7">
        <v>752</v>
      </c>
      <c r="C7">
        <v>300</v>
      </c>
      <c r="D7">
        <v>0.27207774472028401</v>
      </c>
      <c r="E7">
        <v>109.681834368396</v>
      </c>
      <c r="F7">
        <v>2.0064654912773099</v>
      </c>
      <c r="G7">
        <v>-1813.7983545927357</v>
      </c>
      <c r="H7">
        <v>-1493.949317968448</v>
      </c>
      <c r="I7">
        <v>312.00427119905203</v>
      </c>
      <c r="J7">
        <v>158.00747160157599</v>
      </c>
      <c r="K7">
        <v>54.664201724483</v>
      </c>
      <c r="L7">
        <v>0.87520936401097649</v>
      </c>
      <c r="M7">
        <v>-0.87505820866843853</v>
      </c>
      <c r="N7">
        <v>47.835432018430502</v>
      </c>
      <c r="O7">
        <v>47.835427859619998</v>
      </c>
      <c r="P7">
        <v>47.835423933777498</v>
      </c>
      <c r="Q7" t="s">
        <v>51</v>
      </c>
    </row>
    <row r="8" spans="1:17" x14ac:dyDescent="0.2">
      <c r="A8">
        <v>7</v>
      </c>
      <c r="B8">
        <v>751</v>
      </c>
      <c r="C8">
        <v>300</v>
      </c>
      <c r="D8">
        <v>0.27129863789483999</v>
      </c>
      <c r="E8">
        <v>109.68186482343199</v>
      </c>
      <c r="F8">
        <v>2.0070214449137498</v>
      </c>
      <c r="G8">
        <v>-1813.4869355926744</v>
      </c>
      <c r="H8">
        <v>-1494.1440813850763</v>
      </c>
      <c r="I8">
        <v>311.81467863972301</v>
      </c>
      <c r="J8">
        <v>158.010607412589</v>
      </c>
      <c r="K8">
        <v>54.649074677996502</v>
      </c>
      <c r="L8">
        <v>0.87339848967908984</v>
      </c>
      <c r="M8">
        <v>-0.87324695043968659</v>
      </c>
      <c r="N8">
        <v>47.723211823228198</v>
      </c>
      <c r="O8">
        <v>47.723207616914202</v>
      </c>
      <c r="P8">
        <v>47.723203683311503</v>
      </c>
      <c r="Q8" t="s">
        <v>51</v>
      </c>
    </row>
    <row r="9" spans="1:17" x14ac:dyDescent="0.2">
      <c r="A9">
        <v>8</v>
      </c>
      <c r="B9">
        <v>750</v>
      </c>
      <c r="C9">
        <v>300</v>
      </c>
      <c r="D9">
        <v>0.270518008112205</v>
      </c>
      <c r="E9">
        <v>109.681895397299</v>
      </c>
      <c r="F9">
        <v>2.0075787828903202</v>
      </c>
      <c r="G9">
        <v>-1813.1757080638956</v>
      </c>
      <c r="H9">
        <v>-1494.3386736812747</v>
      </c>
      <c r="I9">
        <v>311.62506981705599</v>
      </c>
      <c r="J9">
        <v>158.013671532676</v>
      </c>
      <c r="K9">
        <v>54.633918395665702</v>
      </c>
      <c r="L9">
        <v>0.8715972543385182</v>
      </c>
      <c r="M9">
        <v>-0.87144533568232119</v>
      </c>
      <c r="N9">
        <v>47.611547767882797</v>
      </c>
      <c r="O9">
        <v>47.611543513920502</v>
      </c>
      <c r="P9">
        <v>47.611539572705603</v>
      </c>
      <c r="Q9" t="s">
        <v>51</v>
      </c>
    </row>
    <row r="10" spans="1:17" x14ac:dyDescent="0.2">
      <c r="A10">
        <v>9</v>
      </c>
      <c r="B10">
        <v>749</v>
      </c>
      <c r="C10">
        <v>300</v>
      </c>
      <c r="D10">
        <v>0.26973585090251001</v>
      </c>
      <c r="E10">
        <v>109.681926090462</v>
      </c>
      <c r="F10">
        <v>2.0081374953535298</v>
      </c>
      <c r="G10">
        <v>-1812.8646720305787</v>
      </c>
      <c r="H10">
        <v>-1494.5330962702594</v>
      </c>
      <c r="I10">
        <v>311.43544332468201</v>
      </c>
      <c r="J10">
        <v>158.016663778718</v>
      </c>
      <c r="K10">
        <v>54.618733201410002</v>
      </c>
      <c r="L10">
        <v>0.86980557422001792</v>
      </c>
      <c r="M10">
        <v>-0.86965328060455593</v>
      </c>
      <c r="N10">
        <v>47.5004352774409</v>
      </c>
      <c r="O10">
        <v>47.500430975687998</v>
      </c>
      <c r="P10">
        <v>47.500427027008399</v>
      </c>
      <c r="Q10" t="s">
        <v>51</v>
      </c>
    </row>
    <row r="11" spans="1:17" x14ac:dyDescent="0.2">
      <c r="A11">
        <v>10</v>
      </c>
      <c r="B11">
        <v>748</v>
      </c>
      <c r="C11">
        <v>300</v>
      </c>
      <c r="D11">
        <v>0.26895216177838999</v>
      </c>
      <c r="E11">
        <v>109.681956903529</v>
      </c>
      <c r="F11">
        <v>2.0086975725661702</v>
      </c>
      <c r="G11">
        <v>-1812.5538275207089</v>
      </c>
      <c r="H11">
        <v>-1494.7273505518608</v>
      </c>
      <c r="I11">
        <v>311.24579776755701</v>
      </c>
      <c r="J11">
        <v>158.01958396241801</v>
      </c>
      <c r="K11">
        <v>54.6035194155222</v>
      </c>
      <c r="L11">
        <v>0.86802336648387768</v>
      </c>
      <c r="M11">
        <v>-0.86787070234441799</v>
      </c>
      <c r="N11">
        <v>47.3898698256668</v>
      </c>
      <c r="O11">
        <v>47.389865475983697</v>
      </c>
      <c r="P11">
        <v>47.389861519986297</v>
      </c>
      <c r="Q11" t="s">
        <v>51</v>
      </c>
    </row>
    <row r="12" spans="1:17" x14ac:dyDescent="0.2">
      <c r="A12">
        <v>11</v>
      </c>
      <c r="B12">
        <v>747</v>
      </c>
      <c r="C12">
        <v>300</v>
      </c>
      <c r="D12">
        <v>0.26816693623486898</v>
      </c>
      <c r="E12">
        <v>109.681987837101</v>
      </c>
      <c r="F12">
        <v>2.0092590049068302</v>
      </c>
      <c r="G12">
        <v>-1812.2431745634656</v>
      </c>
      <c r="H12">
        <v>-1494.9214379099212</v>
      </c>
      <c r="I12">
        <v>311.05613176200302</v>
      </c>
      <c r="J12">
        <v>158.02243188987501</v>
      </c>
      <c r="K12">
        <v>54.588277354609502</v>
      </c>
      <c r="L12">
        <v>0.86625054923690215</v>
      </c>
      <c r="M12">
        <v>-0.86609751898673804</v>
      </c>
      <c r="N12">
        <v>47.279846935935403</v>
      </c>
      <c r="O12">
        <v>47.2798425381852</v>
      </c>
      <c r="P12">
        <v>47.2798385750161</v>
      </c>
      <c r="Q12" t="s">
        <v>51</v>
      </c>
    </row>
    <row r="13" spans="1:17" x14ac:dyDescent="0.2">
      <c r="A13">
        <v>12</v>
      </c>
      <c r="B13">
        <v>746</v>
      </c>
      <c r="C13">
        <v>300</v>
      </c>
      <c r="D13">
        <v>0.26738016974930101</v>
      </c>
      <c r="E13">
        <v>109.682018891742</v>
      </c>
      <c r="F13">
        <v>2.00982178286554</v>
      </c>
      <c r="G13">
        <v>-1811.9327131888817</v>
      </c>
      <c r="H13">
        <v>-1495.1153597125701</v>
      </c>
      <c r="I13">
        <v>310.86644393516298</v>
      </c>
      <c r="J13">
        <v>158.025207361897</v>
      </c>
      <c r="K13">
        <v>54.573007331705199</v>
      </c>
      <c r="L13">
        <v>0.86448704149735922</v>
      </c>
      <c r="M13">
        <v>-0.864333649528083</v>
      </c>
      <c r="N13">
        <v>47.170362179429098</v>
      </c>
      <c r="O13">
        <v>47.170357733477601</v>
      </c>
      <c r="P13">
        <v>47.170353763282598</v>
      </c>
      <c r="Q13" t="s">
        <v>51</v>
      </c>
    </row>
    <row r="14" spans="1:17" x14ac:dyDescent="0.2">
      <c r="A14">
        <v>13</v>
      </c>
      <c r="B14">
        <v>745</v>
      </c>
      <c r="C14">
        <v>300</v>
      </c>
      <c r="D14">
        <v>0.26659185778126798</v>
      </c>
      <c r="E14">
        <v>109.682050068018</v>
      </c>
      <c r="F14">
        <v>2.0103858970481698</v>
      </c>
      <c r="G14">
        <v>-1811.622443428339</v>
      </c>
      <c r="H14">
        <v>-1495.3091173127932</v>
      </c>
      <c r="I14">
        <v>310.67673292498</v>
      </c>
      <c r="J14">
        <v>158.02791017375</v>
      </c>
      <c r="K14">
        <v>54.557709656172896</v>
      </c>
      <c r="L14">
        <v>0.86273276319200376</v>
      </c>
      <c r="M14">
        <v>-0.86257901387378477</v>
      </c>
      <c r="N14">
        <v>47.061411174907597</v>
      </c>
      <c r="O14">
        <v>47.0614066806233</v>
      </c>
      <c r="P14">
        <v>47.0614027035475</v>
      </c>
      <c r="Q14" t="s">
        <v>51</v>
      </c>
    </row>
    <row r="15" spans="1:17" x14ac:dyDescent="0.2">
      <c r="A15">
        <v>14</v>
      </c>
      <c r="B15">
        <v>744</v>
      </c>
      <c r="C15">
        <v>300</v>
      </c>
      <c r="D15">
        <v>0.26580199577250502</v>
      </c>
      <c r="E15">
        <v>109.682081366427</v>
      </c>
      <c r="F15">
        <v>2.0109513381694799</v>
      </c>
      <c r="G15">
        <v>-1811.3123653134583</v>
      </c>
      <c r="H15">
        <v>-1495.5027120475388</v>
      </c>
      <c r="I15">
        <v>310.48699738004302</v>
      </c>
      <c r="J15">
        <v>158.03054011536</v>
      </c>
      <c r="K15">
        <v>54.542384633866</v>
      </c>
      <c r="L15">
        <v>0.86098763514465937</v>
      </c>
      <c r="M15">
        <v>-0.86083353282651121</v>
      </c>
      <c r="N15">
        <v>46.952989588235603</v>
      </c>
      <c r="O15">
        <v>46.952985045489598</v>
      </c>
      <c r="P15">
        <v>46.952981061677598</v>
      </c>
      <c r="Q15" t="s">
        <v>51</v>
      </c>
    </row>
    <row r="16" spans="1:17" x14ac:dyDescent="0.2">
      <c r="A16">
        <v>15</v>
      </c>
      <c r="B16">
        <v>743</v>
      </c>
      <c r="C16">
        <v>300</v>
      </c>
      <c r="D16">
        <v>0.265010579146782</v>
      </c>
      <c r="E16">
        <v>109.682112787617</v>
      </c>
      <c r="F16">
        <v>2.0115180970593198</v>
      </c>
      <c r="G16">
        <v>-1811.002478879672</v>
      </c>
      <c r="H16">
        <v>-1495.6961452413489</v>
      </c>
      <c r="I16">
        <v>310.29723595957</v>
      </c>
      <c r="J16">
        <v>158.033096971367</v>
      </c>
      <c r="K16">
        <v>54.527032567076503</v>
      </c>
      <c r="L16">
        <v>0.859251579053951</v>
      </c>
      <c r="M16">
        <v>-0.85909712806400107</v>
      </c>
      <c r="N16">
        <v>46.845093131136402</v>
      </c>
      <c r="O16">
        <v>46.845088539802703</v>
      </c>
      <c r="P16">
        <v>46.8450845493985</v>
      </c>
      <c r="Q16" t="s">
        <v>51</v>
      </c>
    </row>
    <row r="17" spans="1:17" x14ac:dyDescent="0.2">
      <c r="A17">
        <v>16</v>
      </c>
      <c r="B17">
        <v>742</v>
      </c>
      <c r="C17">
        <v>300</v>
      </c>
      <c r="D17">
        <v>0.264217603309855</v>
      </c>
      <c r="E17">
        <v>109.68214433214</v>
      </c>
      <c r="F17">
        <v>2.0120861646574699</v>
      </c>
      <c r="G17">
        <v>-1810.6927841621873</v>
      </c>
      <c r="H17">
        <v>-1495.8894182025986</v>
      </c>
      <c r="I17">
        <v>310.10744733319899</v>
      </c>
      <c r="J17">
        <v>158.03558052087399</v>
      </c>
      <c r="K17">
        <v>54.511653754555603</v>
      </c>
      <c r="L17">
        <v>0.85752451750165881</v>
      </c>
      <c r="M17">
        <v>-0.85736972214741325</v>
      </c>
      <c r="N17">
        <v>46.737717561678799</v>
      </c>
      <c r="O17">
        <v>46.7377129216339</v>
      </c>
      <c r="P17">
        <v>46.737708924780897</v>
      </c>
      <c r="Q17" t="s">
        <v>51</v>
      </c>
    </row>
    <row r="18" spans="1:17" x14ac:dyDescent="0.2">
      <c r="A18">
        <v>17</v>
      </c>
      <c r="B18">
        <v>741</v>
      </c>
      <c r="C18">
        <v>300</v>
      </c>
      <c r="D18">
        <v>0.26342306364936202</v>
      </c>
      <c r="E18">
        <v>109.682176000621</v>
      </c>
      <c r="F18">
        <v>2.0126555320119</v>
      </c>
      <c r="G18">
        <v>-1810.3832811987236</v>
      </c>
      <c r="H18">
        <v>-1496.0825322265271</v>
      </c>
      <c r="I18">
        <v>309.91763018075102</v>
      </c>
      <c r="J18">
        <v>158.03799053790601</v>
      </c>
      <c r="K18">
        <v>54.496248491653198</v>
      </c>
      <c r="L18">
        <v>0.85580637391574499</v>
      </c>
      <c r="M18">
        <v>-0.85565123848434432</v>
      </c>
      <c r="N18">
        <v>46.630858682390901</v>
      </c>
      <c r="O18">
        <v>46.630853993514201</v>
      </c>
      <c r="P18">
        <v>46.630849990355401</v>
      </c>
      <c r="Q18" t="s">
        <v>51</v>
      </c>
    </row>
    <row r="19" spans="1:17" x14ac:dyDescent="0.2">
      <c r="A19">
        <v>18</v>
      </c>
      <c r="B19">
        <v>740</v>
      </c>
      <c r="C19">
        <v>300</v>
      </c>
      <c r="D19">
        <v>0.26262695553471999</v>
      </c>
      <c r="E19">
        <v>109.682207793581</v>
      </c>
      <c r="F19">
        <v>2.0132261902824302</v>
      </c>
      <c r="G19">
        <v>-1810.0739700266013</v>
      </c>
      <c r="H19">
        <v>-1496.2754885927088</v>
      </c>
      <c r="I19">
        <v>309.72778319189098</v>
      </c>
      <c r="J19">
        <v>158.04032679087999</v>
      </c>
      <c r="K19">
        <v>54.480817070134599</v>
      </c>
      <c r="L19">
        <v>0.85409707257386736</v>
      </c>
      <c r="M19">
        <v>-0.8539416013323462</v>
      </c>
      <c r="N19">
        <v>46.524512340306401</v>
      </c>
      <c r="O19">
        <v>46.524507602480099</v>
      </c>
      <c r="P19">
        <v>46.524503593157696</v>
      </c>
      <c r="Q19" t="s">
        <v>51</v>
      </c>
    </row>
    <row r="20" spans="1:17" x14ac:dyDescent="0.2">
      <c r="A20">
        <v>19</v>
      </c>
      <c r="B20">
        <v>739</v>
      </c>
      <c r="C20">
        <v>300</v>
      </c>
      <c r="D20">
        <v>0.261829274317047</v>
      </c>
      <c r="E20">
        <v>109.682239711647</v>
      </c>
      <c r="F20">
        <v>2.0137981307364101</v>
      </c>
      <c r="G20">
        <v>-1809.7648506861779</v>
      </c>
      <c r="H20">
        <v>-1496.468288568243</v>
      </c>
      <c r="I20">
        <v>309.53790506643099</v>
      </c>
      <c r="J20">
        <v>158.042589043097</v>
      </c>
      <c r="K20">
        <v>54.465359778409798</v>
      </c>
      <c r="L20">
        <v>0.85239653858748865</v>
      </c>
      <c r="M20">
        <v>-0.85224073578302684</v>
      </c>
      <c r="N20">
        <v>46.418674426305799</v>
      </c>
      <c r="O20">
        <v>46.418669639414802</v>
      </c>
      <c r="P20">
        <v>46.418665624070698</v>
      </c>
      <c r="Q20" t="s">
        <v>51</v>
      </c>
    </row>
    <row r="21" spans="1:17" x14ac:dyDescent="0.2">
      <c r="A21">
        <v>20</v>
      </c>
      <c r="B21">
        <v>738</v>
      </c>
      <c r="C21">
        <v>300</v>
      </c>
      <c r="D21">
        <v>0.26103001532908299</v>
      </c>
      <c r="E21">
        <v>109.68226142751701</v>
      </c>
      <c r="F21">
        <v>2.0117988949915002</v>
      </c>
      <c r="G21">
        <v>-1809.4559994823526</v>
      </c>
      <c r="H21">
        <v>-1497.264210538272</v>
      </c>
      <c r="I21">
        <v>308.75156995272602</v>
      </c>
      <c r="J21">
        <v>158.043325923407</v>
      </c>
      <c r="K21">
        <v>54.519495810728401</v>
      </c>
      <c r="L21">
        <v>0.81821926367374465</v>
      </c>
      <c r="M21">
        <v>-0.81805399249279698</v>
      </c>
      <c r="N21">
        <v>44.6010301618997</v>
      </c>
      <c r="O21">
        <v>44.601025079924099</v>
      </c>
      <c r="P21">
        <v>44.601020831758802</v>
      </c>
      <c r="Q21" t="s">
        <v>51</v>
      </c>
    </row>
    <row r="22" spans="1:17" x14ac:dyDescent="0.2">
      <c r="A22">
        <v>21</v>
      </c>
      <c r="B22">
        <v>737</v>
      </c>
      <c r="C22">
        <v>300</v>
      </c>
      <c r="D22">
        <v>0.260229173885068</v>
      </c>
      <c r="E22">
        <v>109.68227927184201</v>
      </c>
      <c r="F22">
        <v>2.0086815601049999</v>
      </c>
      <c r="G22">
        <v>-1809.1480170366224</v>
      </c>
      <c r="H22">
        <v>-1498.2622382837239</v>
      </c>
      <c r="I22">
        <v>307.76451024946499</v>
      </c>
      <c r="J22">
        <v>158.062402340608</v>
      </c>
      <c r="K22">
        <v>54.604115181954697</v>
      </c>
      <c r="L22">
        <v>0.77311332666217392</v>
      </c>
      <c r="M22">
        <v>-0.77293520823527329</v>
      </c>
      <c r="N22">
        <v>42.206668139104998</v>
      </c>
      <c r="O22">
        <v>42.206662670069903</v>
      </c>
      <c r="P22">
        <v>42.206658104041303</v>
      </c>
      <c r="Q22" t="s">
        <v>51</v>
      </c>
    </row>
    <row r="23" spans="1:17" x14ac:dyDescent="0.2">
      <c r="A23">
        <v>22</v>
      </c>
      <c r="B23">
        <v>736</v>
      </c>
      <c r="C23">
        <v>300</v>
      </c>
      <c r="D23">
        <v>0.25942674528068399</v>
      </c>
      <c r="E23">
        <v>109.682265955067</v>
      </c>
      <c r="F23">
        <v>1.9902670961578099</v>
      </c>
      <c r="G23">
        <v>-1808.8417208736109</v>
      </c>
      <c r="H23">
        <v>-1501.8039534650393</v>
      </c>
      <c r="I23">
        <v>304.25715816920001</v>
      </c>
      <c r="J23">
        <v>158.37096317981801</v>
      </c>
      <c r="K23">
        <v>55.109319832904603</v>
      </c>
      <c r="L23">
        <v>0.59609289960038281</v>
      </c>
      <c r="M23">
        <v>-0.5958583081521609</v>
      </c>
      <c r="N23">
        <v>32.838962724076303</v>
      </c>
      <c r="O23">
        <v>32.838955705005098</v>
      </c>
      <c r="P23">
        <v>32.838949706235198</v>
      </c>
      <c r="Q23" t="s">
        <v>51</v>
      </c>
    </row>
    <row r="24" spans="1:17" x14ac:dyDescent="0.2">
      <c r="A24">
        <v>23</v>
      </c>
      <c r="B24">
        <v>735</v>
      </c>
      <c r="C24">
        <v>300</v>
      </c>
      <c r="D24">
        <v>0.25862272479293502</v>
      </c>
      <c r="E24">
        <v>109.68223800369</v>
      </c>
      <c r="F24">
        <v>1.97786942768992</v>
      </c>
      <c r="G24">
        <v>-1808.538471772559</v>
      </c>
      <c r="H24">
        <v>-1504.5790482259579</v>
      </c>
      <c r="I24">
        <v>301.50606500905798</v>
      </c>
      <c r="J24">
        <v>158.734476974589</v>
      </c>
      <c r="K24">
        <v>55.454741586149403</v>
      </c>
      <c r="L24">
        <v>0.46605908614392927</v>
      </c>
      <c r="M24">
        <v>-0.46578497392930623</v>
      </c>
      <c r="N24">
        <v>25.831878595606501</v>
      </c>
      <c r="O24">
        <v>25.831870431894099</v>
      </c>
      <c r="P24">
        <v>25.831863416965099</v>
      </c>
      <c r="Q24" t="s">
        <v>51</v>
      </c>
    </row>
    <row r="25" spans="1:17" x14ac:dyDescent="0.2">
      <c r="A25">
        <v>24</v>
      </c>
      <c r="B25">
        <v>734</v>
      </c>
      <c r="C25">
        <v>300</v>
      </c>
      <c r="D25">
        <v>0.25781710768008598</v>
      </c>
      <c r="E25">
        <v>109.68945024273</v>
      </c>
      <c r="F25">
        <v>1.94495969065801</v>
      </c>
      <c r="G25">
        <v>-1808.3588745488751</v>
      </c>
      <c r="H25">
        <v>-1511.7434172099659</v>
      </c>
      <c r="I25">
        <v>294.51508557538602</v>
      </c>
      <c r="J25">
        <v>159.513218502667</v>
      </c>
      <c r="K25">
        <v>56.396773038324802</v>
      </c>
      <c r="L25">
        <v>0.13790712855400239</v>
      </c>
      <c r="M25">
        <v>-0.13753205019765327</v>
      </c>
      <c r="N25">
        <v>7.7589842336190298</v>
      </c>
      <c r="O25">
        <v>7.7589731332459602</v>
      </c>
      <c r="P25">
        <v>7.7589634543806598</v>
      </c>
      <c r="Q25" t="s">
        <v>51</v>
      </c>
    </row>
    <row r="26" spans="1:17" x14ac:dyDescent="0.2">
      <c r="A26">
        <v>25</v>
      </c>
      <c r="B26">
        <v>733</v>
      </c>
      <c r="C26">
        <v>300</v>
      </c>
      <c r="D26">
        <v>0.257009889181535</v>
      </c>
      <c r="E26">
        <v>109.68995111298899</v>
      </c>
      <c r="F26">
        <v>1.9403985105736099</v>
      </c>
      <c r="G26">
        <v>-1808.073297082758</v>
      </c>
      <c r="H26">
        <v>-1513.1488806828629</v>
      </c>
      <c r="I26">
        <v>293.12734340228502</v>
      </c>
      <c r="J26">
        <v>159.69795141687601</v>
      </c>
      <c r="K26">
        <v>56.5295997266889</v>
      </c>
      <c r="L26">
        <v>8.1665689978366318E-2</v>
      </c>
      <c r="M26">
        <v>-8.1274302436813217E-2</v>
      </c>
      <c r="N26">
        <v>4.5971382798221399</v>
      </c>
      <c r="O26">
        <v>4.5971266317479298</v>
      </c>
      <c r="P26">
        <v>4.5971165220034402</v>
      </c>
      <c r="Q26" t="s">
        <v>51</v>
      </c>
    </row>
    <row r="27" spans="1:17" x14ac:dyDescent="0.2">
      <c r="A27">
        <v>26</v>
      </c>
      <c r="B27">
        <v>757</v>
      </c>
      <c r="C27">
        <v>285</v>
      </c>
      <c r="D27">
        <v>0.291967674610496</v>
      </c>
      <c r="E27">
        <v>109.681799197868</v>
      </c>
      <c r="F27">
        <v>1.9857878418039301</v>
      </c>
      <c r="G27">
        <v>-1816.1849295990817</v>
      </c>
      <c r="H27">
        <v>-1493.5771887857632</v>
      </c>
      <c r="I27">
        <v>313.16798095624898</v>
      </c>
      <c r="J27">
        <v>158.480156299041</v>
      </c>
      <c r="K27">
        <v>55.2333924545689</v>
      </c>
      <c r="L27">
        <v>0.87376998717307486</v>
      </c>
      <c r="M27">
        <v>-0.87359963244258687</v>
      </c>
      <c r="N27">
        <v>48.253153015169197</v>
      </c>
      <c r="O27">
        <v>48.2531486633642</v>
      </c>
      <c r="P27">
        <v>48.253143869220402</v>
      </c>
      <c r="Q27" t="s">
        <v>51</v>
      </c>
    </row>
    <row r="28" spans="1:17" x14ac:dyDescent="0.2">
      <c r="A28">
        <v>27</v>
      </c>
      <c r="B28">
        <v>756</v>
      </c>
      <c r="C28">
        <v>285</v>
      </c>
      <c r="D28">
        <v>0.29121167954136901</v>
      </c>
      <c r="E28">
        <v>109.681827142163</v>
      </c>
      <c r="F28">
        <v>1.98634550207474</v>
      </c>
      <c r="G28">
        <v>-1815.8722952956289</v>
      </c>
      <c r="H28">
        <v>-1493.7583482337257</v>
      </c>
      <c r="I28">
        <v>312.992475638222</v>
      </c>
      <c r="J28">
        <v>158.48013793319399</v>
      </c>
      <c r="K28">
        <v>55.217899921036</v>
      </c>
      <c r="L28">
        <v>0.87269511570313174</v>
      </c>
      <c r="M28">
        <v>-0.87252454030772109</v>
      </c>
      <c r="N28">
        <v>48.180253245839097</v>
      </c>
      <c r="O28">
        <v>48.180248843617399</v>
      </c>
      <c r="P28">
        <v>48.180244045513398</v>
      </c>
      <c r="Q28" t="s">
        <v>51</v>
      </c>
    </row>
    <row r="29" spans="1:17" x14ac:dyDescent="0.2">
      <c r="A29">
        <v>28</v>
      </c>
      <c r="B29">
        <v>755</v>
      </c>
      <c r="C29">
        <v>285</v>
      </c>
      <c r="D29">
        <v>0.29045421387929599</v>
      </c>
      <c r="E29">
        <v>109.68185731518101</v>
      </c>
      <c r="F29">
        <v>1.9869095564264601</v>
      </c>
      <c r="G29">
        <v>-1815.5598836673514</v>
      </c>
      <c r="H29">
        <v>-1493.9533357700248</v>
      </c>
      <c r="I29">
        <v>312.803398418808</v>
      </c>
      <c r="J29">
        <v>158.48431395601199</v>
      </c>
      <c r="K29">
        <v>55.202239558628101</v>
      </c>
      <c r="L29">
        <v>0.87089947118538369</v>
      </c>
      <c r="M29">
        <v>-0.87072848846475159</v>
      </c>
      <c r="N29">
        <v>48.067443368100399</v>
      </c>
      <c r="O29">
        <v>48.067438910394301</v>
      </c>
      <c r="P29">
        <v>48.0674341031471</v>
      </c>
      <c r="Q29" t="s">
        <v>51</v>
      </c>
    </row>
    <row r="30" spans="1:17" x14ac:dyDescent="0.2">
      <c r="A30">
        <v>29</v>
      </c>
      <c r="B30">
        <v>754</v>
      </c>
      <c r="C30">
        <v>285</v>
      </c>
      <c r="D30">
        <v>0.28969527332911499</v>
      </c>
      <c r="E30">
        <v>109.68188760544901</v>
      </c>
      <c r="F30">
        <v>1.98747504711913</v>
      </c>
      <c r="G30">
        <v>-1815.2476629713676</v>
      </c>
      <c r="H30">
        <v>-1494.1481523908892</v>
      </c>
      <c r="I30">
        <v>312.61430528088903</v>
      </c>
      <c r="J30">
        <v>158.48842643001501</v>
      </c>
      <c r="K30">
        <v>55.186548261038297</v>
      </c>
      <c r="L30">
        <v>0.86911342039205175</v>
      </c>
      <c r="M30">
        <v>-0.86894203503181366</v>
      </c>
      <c r="N30">
        <v>47.955192520278999</v>
      </c>
      <c r="O30">
        <v>47.955188006882899</v>
      </c>
      <c r="P30">
        <v>47.955183190662197</v>
      </c>
      <c r="Q30" t="s">
        <v>51</v>
      </c>
    </row>
    <row r="31" spans="1:17" x14ac:dyDescent="0.2">
      <c r="A31">
        <v>30</v>
      </c>
      <c r="B31">
        <v>753</v>
      </c>
      <c r="C31">
        <v>285</v>
      </c>
      <c r="D31">
        <v>0.28893485357891502</v>
      </c>
      <c r="E31">
        <v>109.68191801355201</v>
      </c>
      <c r="F31">
        <v>1.9880419627152199</v>
      </c>
      <c r="G31">
        <v>-1814.9356332334985</v>
      </c>
      <c r="H31">
        <v>-1494.3427995078548</v>
      </c>
      <c r="I31">
        <v>312.42519482783302</v>
      </c>
      <c r="J31">
        <v>158.49247516264299</v>
      </c>
      <c r="K31">
        <v>55.170826406375703</v>
      </c>
      <c r="L31">
        <v>0.86733687944238047</v>
      </c>
      <c r="M31">
        <v>-0.86716509610477488</v>
      </c>
      <c r="N31">
        <v>47.8434961156184</v>
      </c>
      <c r="O31">
        <v>47.8434915463301</v>
      </c>
      <c r="P31">
        <v>47.843486721304899</v>
      </c>
      <c r="Q31" t="s">
        <v>51</v>
      </c>
    </row>
    <row r="32" spans="1:17" x14ac:dyDescent="0.2">
      <c r="A32">
        <v>31</v>
      </c>
      <c r="B32">
        <v>752</v>
      </c>
      <c r="C32">
        <v>285</v>
      </c>
      <c r="D32">
        <v>0.28817295029995899</v>
      </c>
      <c r="E32">
        <v>109.681948540085</v>
      </c>
      <c r="F32">
        <v>1.9886102918834101</v>
      </c>
      <c r="G32">
        <v>-1814.6237944811603</v>
      </c>
      <c r="H32">
        <v>-1494.5372785172156</v>
      </c>
      <c r="I32">
        <v>312.23606567398002</v>
      </c>
      <c r="J32">
        <v>158.496459957002</v>
      </c>
      <c r="K32">
        <v>55.155074369148998</v>
      </c>
      <c r="L32">
        <v>0.86556976537085695</v>
      </c>
      <c r="M32">
        <v>-0.86539758869500971</v>
      </c>
      <c r="N32">
        <v>47.732349615569497</v>
      </c>
      <c r="O32">
        <v>47.732344990189702</v>
      </c>
      <c r="P32">
        <v>47.732340156528501</v>
      </c>
      <c r="Q32" t="s">
        <v>51</v>
      </c>
    </row>
    <row r="33" spans="1:17" x14ac:dyDescent="0.2">
      <c r="A33">
        <v>32</v>
      </c>
      <c r="B33">
        <v>751</v>
      </c>
      <c r="C33">
        <v>285</v>
      </c>
      <c r="D33">
        <v>0.28740955914661298</v>
      </c>
      <c r="E33">
        <v>109.68197918553599</v>
      </c>
      <c r="F33">
        <v>1.9891800234010399</v>
      </c>
      <c r="G33">
        <v>-1814.3121467413712</v>
      </c>
      <c r="H33">
        <v>-1494.7315907976067</v>
      </c>
      <c r="I33">
        <v>312.046916445107</v>
      </c>
      <c r="J33">
        <v>158.50038061125699</v>
      </c>
      <c r="K33">
        <v>55.1392925201434</v>
      </c>
      <c r="L33">
        <v>0.8638119961658024</v>
      </c>
      <c r="M33">
        <v>-0.86363943076800653</v>
      </c>
      <c r="N33">
        <v>47.621748531833497</v>
      </c>
      <c r="O33">
        <v>47.621743850166297</v>
      </c>
      <c r="P33">
        <v>47.621739008037103</v>
      </c>
      <c r="Q33" t="s">
        <v>51</v>
      </c>
    </row>
    <row r="34" spans="1:17" x14ac:dyDescent="0.2">
      <c r="A34">
        <v>33</v>
      </c>
      <c r="B34">
        <v>750</v>
      </c>
      <c r="C34">
        <v>285</v>
      </c>
      <c r="D34">
        <v>0.28664467575624197</v>
      </c>
      <c r="E34">
        <v>109.682009950561</v>
      </c>
      <c r="F34">
        <v>1.9897511461517099</v>
      </c>
      <c r="G34">
        <v>-1814.0006900452688</v>
      </c>
      <c r="H34">
        <v>-1494.9257377145882</v>
      </c>
      <c r="I34">
        <v>311.85774577841897</v>
      </c>
      <c r="J34">
        <v>158.50423691923601</v>
      </c>
      <c r="K34">
        <v>55.123481226630901</v>
      </c>
      <c r="L34">
        <v>0.86206349073129906</v>
      </c>
      <c r="M34">
        <v>-0.86189054120528041</v>
      </c>
      <c r="N34">
        <v>47.511688424460999</v>
      </c>
      <c r="O34">
        <v>47.511683686313603</v>
      </c>
      <c r="P34">
        <v>47.5116788358837</v>
      </c>
      <c r="Q34" t="s">
        <v>51</v>
      </c>
    </row>
    <row r="35" spans="1:17" x14ac:dyDescent="0.2">
      <c r="A35">
        <v>34</v>
      </c>
      <c r="B35">
        <v>749</v>
      </c>
      <c r="C35">
        <v>285</v>
      </c>
      <c r="D35">
        <v>0.28587829574915702</v>
      </c>
      <c r="E35">
        <v>109.682040835629</v>
      </c>
      <c r="F35">
        <v>1.99032364912252</v>
      </c>
      <c r="G35">
        <v>-1813.6894244222847</v>
      </c>
      <c r="H35">
        <v>-1495.1197206159263</v>
      </c>
      <c r="I35">
        <v>311.66855232152801</v>
      </c>
      <c r="J35">
        <v>158.50802867011399</v>
      </c>
      <c r="K35">
        <v>55.1076408522731</v>
      </c>
      <c r="L35">
        <v>0.86032416886688234</v>
      </c>
      <c r="M35">
        <v>-0.86015083978405826</v>
      </c>
      <c r="N35">
        <v>47.402164900666001</v>
      </c>
      <c r="O35">
        <v>47.402160105848701</v>
      </c>
      <c r="P35">
        <v>47.402155247284902</v>
      </c>
      <c r="Q35" t="s">
        <v>51</v>
      </c>
    </row>
    <row r="36" spans="1:17" x14ac:dyDescent="0.2">
      <c r="A36">
        <v>35</v>
      </c>
      <c r="B36">
        <v>748</v>
      </c>
      <c r="C36">
        <v>285</v>
      </c>
      <c r="D36">
        <v>0.28511041472849202</v>
      </c>
      <c r="E36">
        <v>109.68207184133</v>
      </c>
      <c r="F36">
        <v>1.99089752140411</v>
      </c>
      <c r="G36">
        <v>-1813.3783499051544</v>
      </c>
      <c r="H36">
        <v>-1495.3135408359219</v>
      </c>
      <c r="I36">
        <v>311.47933473315999</v>
      </c>
      <c r="J36">
        <v>158.511755648725</v>
      </c>
      <c r="K36">
        <v>55.09177175728</v>
      </c>
      <c r="L36">
        <v>0.85859395126764093</v>
      </c>
      <c r="M36">
        <v>-0.85842024717737841</v>
      </c>
      <c r="N36">
        <v>47.293173614985001</v>
      </c>
      <c r="O36">
        <v>47.293168763311499</v>
      </c>
      <c r="P36">
        <v>47.293163896780001</v>
      </c>
      <c r="Q36" t="s">
        <v>51</v>
      </c>
    </row>
    <row r="37" spans="1:17" x14ac:dyDescent="0.2">
      <c r="A37">
        <v>36</v>
      </c>
      <c r="B37">
        <v>747</v>
      </c>
      <c r="C37">
        <v>285</v>
      </c>
      <c r="D37">
        <v>0.28434102828015601</v>
      </c>
      <c r="E37">
        <v>109.68210296824201</v>
      </c>
      <c r="F37">
        <v>1.9914727521906099</v>
      </c>
      <c r="G37">
        <v>-1813.0674665278111</v>
      </c>
      <c r="H37">
        <v>-1495.5071996936354</v>
      </c>
      <c r="I37">
        <v>311.29009168289701</v>
      </c>
      <c r="J37">
        <v>158.51541763530901</v>
      </c>
      <c r="K37">
        <v>55.075874298351501</v>
      </c>
      <c r="L37">
        <v>0.85687275952174935</v>
      </c>
      <c r="M37">
        <v>-0.85669868495162382</v>
      </c>
      <c r="N37">
        <v>47.184710269106503</v>
      </c>
      <c r="O37">
        <v>47.184705360393501</v>
      </c>
      <c r="P37">
        <v>47.184700486060002</v>
      </c>
      <c r="Q37" t="s">
        <v>51</v>
      </c>
    </row>
    <row r="38" spans="1:17" x14ac:dyDescent="0.2">
      <c r="A38">
        <v>37</v>
      </c>
      <c r="B38">
        <v>746</v>
      </c>
      <c r="C38">
        <v>285</v>
      </c>
      <c r="D38">
        <v>0.28357013197272302</v>
      </c>
      <c r="E38">
        <v>109.682134216935</v>
      </c>
      <c r="F38">
        <v>1.9920493307757201</v>
      </c>
      <c r="G38">
        <v>-1812.7567743253271</v>
      </c>
      <c r="H38">
        <v>-1495.7006984934633</v>
      </c>
      <c r="I38">
        <v>311.100821850599</v>
      </c>
      <c r="J38">
        <v>158.51901440583299</v>
      </c>
      <c r="K38">
        <v>55.059948828789302</v>
      </c>
      <c r="L38">
        <v>0.85516051607278731</v>
      </c>
      <c r="M38">
        <v>-0.85498607552882611</v>
      </c>
      <c r="N38">
        <v>47.076770609905502</v>
      </c>
      <c r="O38">
        <v>47.076765643973097</v>
      </c>
      <c r="P38">
        <v>47.076760762002699</v>
      </c>
      <c r="Q38" t="s">
        <v>51</v>
      </c>
    </row>
    <row r="39" spans="1:17" x14ac:dyDescent="0.2">
      <c r="A39">
        <v>38</v>
      </c>
      <c r="B39">
        <v>745</v>
      </c>
      <c r="C39">
        <v>285</v>
      </c>
      <c r="D39">
        <v>0.28279772135736497</v>
      </c>
      <c r="E39">
        <v>109.68216558800501</v>
      </c>
      <c r="F39">
        <v>1.9926272465560899</v>
      </c>
      <c r="G39">
        <v>-1812.4462733345151</v>
      </c>
      <c r="H39">
        <v>-1495.8940385256701</v>
      </c>
      <c r="I39">
        <v>310.91152392652799</v>
      </c>
      <c r="J39">
        <v>158.52254573178101</v>
      </c>
      <c r="K39">
        <v>55.043995698428503</v>
      </c>
      <c r="L39">
        <v>0.85345714422252483</v>
      </c>
      <c r="M39">
        <v>-0.85328234218945609</v>
      </c>
      <c r="N39">
        <v>46.969350429553003</v>
      </c>
      <c r="O39">
        <v>46.969345406224399</v>
      </c>
      <c r="P39">
        <v>46.969340516781898</v>
      </c>
      <c r="Q39" t="s">
        <v>51</v>
      </c>
    </row>
    <row r="40" spans="1:17" x14ac:dyDescent="0.2">
      <c r="A40">
        <v>39</v>
      </c>
      <c r="B40">
        <v>744</v>
      </c>
      <c r="C40">
        <v>285</v>
      </c>
      <c r="D40">
        <v>0.28202379196775501</v>
      </c>
      <c r="E40">
        <v>109.68219708202</v>
      </c>
      <c r="F40">
        <v>1.99320648902649</v>
      </c>
      <c r="G40">
        <v>-1812.1359635930858</v>
      </c>
      <c r="H40">
        <v>-1496.0872210656407</v>
      </c>
      <c r="I40">
        <v>310.72219661129901</v>
      </c>
      <c r="J40">
        <v>158.52601138023601</v>
      </c>
      <c r="K40">
        <v>55.028015253748698</v>
      </c>
      <c r="L40">
        <v>0.85176256812669704</v>
      </c>
      <c r="M40">
        <v>-0.8515874090681933</v>
      </c>
      <c r="N40">
        <v>46.862445565392399</v>
      </c>
      <c r="O40">
        <v>46.8624404844944</v>
      </c>
      <c r="P40">
        <v>46.862435587743597</v>
      </c>
      <c r="Q40" t="s">
        <v>51</v>
      </c>
    </row>
    <row r="41" spans="1:17" x14ac:dyDescent="0.2">
      <c r="A41">
        <v>40</v>
      </c>
      <c r="B41">
        <v>743</v>
      </c>
      <c r="C41">
        <v>285</v>
      </c>
      <c r="D41">
        <v>0.281248339319983</v>
      </c>
      <c r="E41">
        <v>109.682228699609</v>
      </c>
      <c r="F41">
        <v>1.9937870477791799</v>
      </c>
      <c r="G41">
        <v>-1811.8258451409597</v>
      </c>
      <c r="H41">
        <v>-1496.280247375611</v>
      </c>
      <c r="I41">
        <v>310.532838615527</v>
      </c>
      <c r="J41">
        <v>158.52941111413901</v>
      </c>
      <c r="K41">
        <v>55.012007837939002</v>
      </c>
      <c r="L41">
        <v>0.85007671276262053</v>
      </c>
      <c r="M41">
        <v>-0.849901201121531</v>
      </c>
      <c r="N41">
        <v>46.756051898224499</v>
      </c>
      <c r="O41">
        <v>46.756046759586802</v>
      </c>
      <c r="P41">
        <v>46.756041855691301</v>
      </c>
      <c r="Q41" t="s">
        <v>51</v>
      </c>
    </row>
    <row r="42" spans="1:17" x14ac:dyDescent="0.2">
      <c r="A42">
        <v>41</v>
      </c>
      <c r="B42">
        <v>742</v>
      </c>
      <c r="C42">
        <v>285</v>
      </c>
      <c r="D42">
        <v>0.28047135891247499</v>
      </c>
      <c r="E42">
        <v>109.682260441232</v>
      </c>
      <c r="F42">
        <v>1.9943689125047499</v>
      </c>
      <c r="G42">
        <v>-1811.5159180166324</v>
      </c>
      <c r="H42">
        <v>-1496.4731187013651</v>
      </c>
      <c r="I42">
        <v>310.34344865954603</v>
      </c>
      <c r="J42">
        <v>158.532744691809</v>
      </c>
      <c r="K42">
        <v>54.995973790767401</v>
      </c>
      <c r="L42">
        <v>0.84839950393824692</v>
      </c>
      <c r="M42">
        <v>-0.84822364413683615</v>
      </c>
      <c r="N42">
        <v>46.650165352707099</v>
      </c>
      <c r="O42">
        <v>46.650160156162897</v>
      </c>
      <c r="P42">
        <v>46.650155245285703</v>
      </c>
      <c r="Q42" t="s">
        <v>51</v>
      </c>
    </row>
    <row r="43" spans="1:17" x14ac:dyDescent="0.2">
      <c r="A43">
        <v>42</v>
      </c>
      <c r="B43">
        <v>741</v>
      </c>
      <c r="C43">
        <v>285</v>
      </c>
      <c r="D43">
        <v>0.27969284622590601</v>
      </c>
      <c r="E43">
        <v>109.682292307577</v>
      </c>
      <c r="F43">
        <v>1.9949520729899399</v>
      </c>
      <c r="G43">
        <v>-1811.2061822635899</v>
      </c>
      <c r="H43">
        <v>-1496.6658362781704</v>
      </c>
      <c r="I43">
        <v>310.15402547392603</v>
      </c>
      <c r="J43">
        <v>158.536011867621</v>
      </c>
      <c r="K43">
        <v>54.979913448843398</v>
      </c>
      <c r="L43">
        <v>0.84673086826952293</v>
      </c>
      <c r="M43">
        <v>-0.84655466470969865</v>
      </c>
      <c r="N43">
        <v>46.544781896344801</v>
      </c>
      <c r="O43">
        <v>46.5447766417306</v>
      </c>
      <c r="P43">
        <v>46.544771724034099</v>
      </c>
      <c r="Q43" t="s">
        <v>51</v>
      </c>
    </row>
    <row r="44" spans="1:17" x14ac:dyDescent="0.2">
      <c r="A44">
        <v>43</v>
      </c>
      <c r="B44">
        <v>740</v>
      </c>
      <c r="C44">
        <v>285</v>
      </c>
      <c r="D44">
        <v>0.27891279672309399</v>
      </c>
      <c r="E44">
        <v>109.682316284506</v>
      </c>
      <c r="F44">
        <v>1.9934236296674399</v>
      </c>
      <c r="G44">
        <v>-1810.8966425471165</v>
      </c>
      <c r="H44">
        <v>-1497.338282033262</v>
      </c>
      <c r="I44">
        <v>309.491018030681</v>
      </c>
      <c r="J44">
        <v>158.53508527620701</v>
      </c>
      <c r="K44">
        <v>55.022080932593397</v>
      </c>
      <c r="L44">
        <v>0.81929267909871761</v>
      </c>
      <c r="M44">
        <v>-0.8191085050668786</v>
      </c>
      <c r="N44">
        <v>45.070389112298898</v>
      </c>
      <c r="O44">
        <v>45.070383597767901</v>
      </c>
      <c r="P44">
        <v>45.0703784670837</v>
      </c>
      <c r="Q44" t="s">
        <v>51</v>
      </c>
    </row>
    <row r="45" spans="1:17" x14ac:dyDescent="0.2">
      <c r="A45">
        <v>44</v>
      </c>
      <c r="B45">
        <v>739</v>
      </c>
      <c r="C45">
        <v>285</v>
      </c>
      <c r="D45">
        <v>0.27813120584893603</v>
      </c>
      <c r="E45">
        <v>109.682321383985</v>
      </c>
      <c r="F45">
        <v>1.9829047806008799</v>
      </c>
      <c r="G45">
        <v>-1810.5879607335455</v>
      </c>
      <c r="H45">
        <v>-1499.6109366447397</v>
      </c>
      <c r="I45">
        <v>307.24691187454499</v>
      </c>
      <c r="J45">
        <v>158.64235184898601</v>
      </c>
      <c r="K45">
        <v>55.313962857433602</v>
      </c>
      <c r="L45">
        <v>0.70782802866398575</v>
      </c>
      <c r="M45">
        <v>-0.7076080906014246</v>
      </c>
      <c r="N45">
        <v>39.142200737671097</v>
      </c>
      <c r="O45">
        <v>39.142194233830601</v>
      </c>
      <c r="P45">
        <v>39.142188126184898</v>
      </c>
      <c r="Q45" t="s">
        <v>51</v>
      </c>
    </row>
    <row r="46" spans="1:17" x14ac:dyDescent="0.2">
      <c r="A46">
        <v>45</v>
      </c>
      <c r="B46">
        <v>738</v>
      </c>
      <c r="C46">
        <v>285</v>
      </c>
      <c r="D46">
        <v>0.277348069030313</v>
      </c>
      <c r="E46">
        <v>109.682300091304</v>
      </c>
      <c r="F46">
        <v>1.96528714319485</v>
      </c>
      <c r="G46">
        <v>-1810.2822057503886</v>
      </c>
      <c r="H46">
        <v>-1503.0607271710285</v>
      </c>
      <c r="I46">
        <v>303.837387419153</v>
      </c>
      <c r="J46">
        <v>158.889610345682</v>
      </c>
      <c r="K46">
        <v>55.809808999716999</v>
      </c>
      <c r="L46">
        <v>0.53778312420640473</v>
      </c>
      <c r="M46">
        <v>-0.53750687035537648</v>
      </c>
      <c r="N46">
        <v>30.000162609352799</v>
      </c>
      <c r="O46">
        <v>30.000154552443501</v>
      </c>
      <c r="P46">
        <v>30.000146879940001</v>
      </c>
      <c r="Q46" t="s">
        <v>51</v>
      </c>
    </row>
    <row r="47" spans="1:17" x14ac:dyDescent="0.2">
      <c r="A47">
        <v>46</v>
      </c>
      <c r="B47">
        <v>737</v>
      </c>
      <c r="C47">
        <v>285</v>
      </c>
      <c r="D47">
        <v>0.27656338167599098</v>
      </c>
      <c r="E47">
        <v>109.687942570003</v>
      </c>
      <c r="F47">
        <v>1.9402612513053801</v>
      </c>
      <c r="G47">
        <v>-1810.0719256487696</v>
      </c>
      <c r="H47">
        <v>-1508.0068152040112</v>
      </c>
      <c r="I47">
        <v>299.03468172771102</v>
      </c>
      <c r="J47">
        <v>159.232436483806</v>
      </c>
      <c r="K47">
        <v>56.532563589674602</v>
      </c>
      <c r="L47">
        <v>0.30357889818495476</v>
      </c>
      <c r="M47">
        <v>-0.30322444398172005</v>
      </c>
      <c r="N47">
        <v>17.144649002258401</v>
      </c>
      <c r="O47">
        <v>17.144638745819002</v>
      </c>
      <c r="P47">
        <v>17.144628850320601</v>
      </c>
      <c r="Q47" t="s">
        <v>51</v>
      </c>
    </row>
    <row r="48" spans="1:17" x14ac:dyDescent="0.2">
      <c r="A48">
        <v>47</v>
      </c>
      <c r="B48">
        <v>736</v>
      </c>
      <c r="C48">
        <v>285</v>
      </c>
      <c r="D48">
        <v>0.27577713917653601</v>
      </c>
      <c r="E48">
        <v>109.689877882467</v>
      </c>
      <c r="F48">
        <v>1.9209017865797799</v>
      </c>
      <c r="G48">
        <v>-1809.8067220048267</v>
      </c>
      <c r="H48">
        <v>-1511.9820607486629</v>
      </c>
      <c r="I48">
        <v>295.12986033287501</v>
      </c>
      <c r="J48">
        <v>159.51519518747</v>
      </c>
      <c r="K48">
        <v>57.103324411902001</v>
      </c>
      <c r="L48">
        <v>0.12087421249350097</v>
      </c>
      <c r="M48">
        <v>-0.12045859307899681</v>
      </c>
      <c r="N48">
        <v>6.8816461064012202</v>
      </c>
      <c r="O48">
        <v>6.8816340634443796</v>
      </c>
      <c r="P48">
        <v>6.8816223932798204</v>
      </c>
      <c r="Q48" t="s">
        <v>51</v>
      </c>
    </row>
    <row r="49" spans="1:17" x14ac:dyDescent="0.2">
      <c r="A49">
        <v>48</v>
      </c>
      <c r="B49">
        <v>735</v>
      </c>
      <c r="C49">
        <v>285</v>
      </c>
      <c r="D49">
        <v>0.27498933690423</v>
      </c>
      <c r="E49">
        <v>109.690237587645</v>
      </c>
      <c r="F49">
        <v>1.9169585379318701</v>
      </c>
      <c r="G49">
        <v>-1809.5180469298009</v>
      </c>
      <c r="H49">
        <v>-1513.0868067680958</v>
      </c>
      <c r="I49">
        <v>294.04065361731102</v>
      </c>
      <c r="J49">
        <v>159.63060537142999</v>
      </c>
      <c r="K49">
        <v>57.220975528237197</v>
      </c>
      <c r="L49">
        <v>7.6724890905844847E-2</v>
      </c>
      <c r="M49">
        <v>-7.6294966829851235E-2</v>
      </c>
      <c r="N49">
        <v>4.3688366543019903</v>
      </c>
      <c r="O49">
        <v>4.3688241231846003</v>
      </c>
      <c r="P49">
        <v>4.3688120403211297</v>
      </c>
      <c r="Q49" t="s">
        <v>51</v>
      </c>
    </row>
    <row r="50" spans="1:17" x14ac:dyDescent="0.2">
      <c r="A50">
        <v>49</v>
      </c>
      <c r="B50">
        <v>757</v>
      </c>
      <c r="C50">
        <v>270</v>
      </c>
      <c r="D50">
        <v>0.30798475950104598</v>
      </c>
      <c r="E50">
        <v>109.68191394363799</v>
      </c>
      <c r="F50">
        <v>1.96679135817094</v>
      </c>
      <c r="G50">
        <v>-1817.0192266175075</v>
      </c>
      <c r="H50">
        <v>-1494.168511157342</v>
      </c>
      <c r="I50">
        <v>313.40398345206</v>
      </c>
      <c r="J50">
        <v>158.970463808566</v>
      </c>
      <c r="K50">
        <v>55.766928956632903</v>
      </c>
      <c r="L50">
        <v>0.86316474834834878</v>
      </c>
      <c r="M50">
        <v>-0.86297050609848147</v>
      </c>
      <c r="N50">
        <v>48.126752295717303</v>
      </c>
      <c r="O50">
        <v>48.126747577382702</v>
      </c>
      <c r="P50">
        <v>48.1267416483918</v>
      </c>
      <c r="Q50" t="s">
        <v>51</v>
      </c>
    </row>
    <row r="51" spans="1:17" x14ac:dyDescent="0.2">
      <c r="A51">
        <v>50</v>
      </c>
      <c r="B51">
        <v>756</v>
      </c>
      <c r="C51">
        <v>270</v>
      </c>
      <c r="D51">
        <v>0.30724432784336703</v>
      </c>
      <c r="E51">
        <v>109.681941327329</v>
      </c>
      <c r="F51">
        <v>1.9673666805840799</v>
      </c>
      <c r="G51">
        <v>-1816.7063448813074</v>
      </c>
      <c r="H51">
        <v>-1494.3447627647258</v>
      </c>
      <c r="I51">
        <v>313.23323493007098</v>
      </c>
      <c r="J51">
        <v>158.96998607251999</v>
      </c>
      <c r="K51">
        <v>55.750634800201901</v>
      </c>
      <c r="L51">
        <v>0.86238113497383273</v>
      </c>
      <c r="M51">
        <v>-0.86218674165344711</v>
      </c>
      <c r="N51">
        <v>48.068993249893303</v>
      </c>
      <c r="O51">
        <v>48.068988472149101</v>
      </c>
      <c r="P51">
        <v>48.068982540883503</v>
      </c>
      <c r="Q51" t="s">
        <v>51</v>
      </c>
    </row>
    <row r="52" spans="1:17" x14ac:dyDescent="0.2">
      <c r="A52">
        <v>51</v>
      </c>
      <c r="B52">
        <v>755</v>
      </c>
      <c r="C52">
        <v>270</v>
      </c>
      <c r="D52">
        <v>0.30650245586733499</v>
      </c>
      <c r="E52">
        <v>109.681971680413</v>
      </c>
      <c r="F52">
        <v>1.96794789564419</v>
      </c>
      <c r="G52">
        <v>-1816.3936953626019</v>
      </c>
      <c r="H52">
        <v>-1494.539265200083</v>
      </c>
      <c r="I52">
        <v>313.04463212412099</v>
      </c>
      <c r="J52">
        <v>158.974992416763</v>
      </c>
      <c r="K52">
        <v>55.734184793805298</v>
      </c>
      <c r="L52">
        <v>0.86064386394940051</v>
      </c>
      <c r="M52">
        <v>-0.86044905846691766</v>
      </c>
      <c r="N52">
        <v>47.957961709716002</v>
      </c>
      <c r="O52">
        <v>47.957956865857199</v>
      </c>
      <c r="P52">
        <v>47.957950924435302</v>
      </c>
      <c r="Q52" t="s">
        <v>51</v>
      </c>
    </row>
    <row r="53" spans="1:17" x14ac:dyDescent="0.2">
      <c r="A53">
        <v>52</v>
      </c>
      <c r="B53">
        <v>754</v>
      </c>
      <c r="C53">
        <v>270</v>
      </c>
      <c r="D53">
        <v>0.30575913936620902</v>
      </c>
      <c r="E53">
        <v>109.682002151408</v>
      </c>
      <c r="F53">
        <v>1.96853058121307</v>
      </c>
      <c r="G53">
        <v>-1816.0812363165373</v>
      </c>
      <c r="H53">
        <v>-1494.7336033558329</v>
      </c>
      <c r="I53">
        <v>312.85600741885497</v>
      </c>
      <c r="J53">
        <v>158.97994225434499</v>
      </c>
      <c r="K53">
        <v>55.717702939529197</v>
      </c>
      <c r="L53">
        <v>0.85891578669902569</v>
      </c>
      <c r="M53">
        <v>-0.85872057389687395</v>
      </c>
      <c r="N53">
        <v>47.847472467022399</v>
      </c>
      <c r="O53">
        <v>47.847467556774298</v>
      </c>
      <c r="P53">
        <v>47.847461605389597</v>
      </c>
      <c r="Q53" t="s">
        <v>51</v>
      </c>
    </row>
    <row r="54" spans="1:17" x14ac:dyDescent="0.2">
      <c r="A54">
        <v>53</v>
      </c>
      <c r="B54">
        <v>753</v>
      </c>
      <c r="C54">
        <v>270</v>
      </c>
      <c r="D54">
        <v>0.30501437411684701</v>
      </c>
      <c r="E54">
        <v>109.68203274094</v>
      </c>
      <c r="F54">
        <v>1.96911472485896</v>
      </c>
      <c r="G54">
        <v>-1815.7689677756098</v>
      </c>
      <c r="H54">
        <v>-1494.9277785761628</v>
      </c>
      <c r="I54">
        <v>312.66735947228</v>
      </c>
      <c r="J54">
        <v>158.984835340784</v>
      </c>
      <c r="K54">
        <v>55.7011896545525</v>
      </c>
      <c r="L54">
        <v>0.85719682324351709</v>
      </c>
      <c r="M54">
        <v>-0.85700120794167212</v>
      </c>
      <c r="N54">
        <v>47.737521133964499</v>
      </c>
      <c r="O54">
        <v>47.737516157056298</v>
      </c>
      <c r="P54">
        <v>47.737510195901699</v>
      </c>
      <c r="Q54" t="s">
        <v>51</v>
      </c>
    </row>
    <row r="55" spans="1:17" x14ac:dyDescent="0.2">
      <c r="A55">
        <v>54</v>
      </c>
      <c r="B55">
        <v>752</v>
      </c>
      <c r="C55">
        <v>270</v>
      </c>
      <c r="D55">
        <v>0.30426815587962902</v>
      </c>
      <c r="E55">
        <v>109.682063449525</v>
      </c>
      <c r="F55">
        <v>1.9697003142498299</v>
      </c>
      <c r="G55">
        <v>-1815.4568897718052</v>
      </c>
      <c r="H55">
        <v>-1495.1217921889577</v>
      </c>
      <c r="I55">
        <v>312.47868695257199</v>
      </c>
      <c r="J55">
        <v>158.989671427563</v>
      </c>
      <c r="K55">
        <v>55.6846453524061</v>
      </c>
      <c r="L55">
        <v>0.85548689447006754</v>
      </c>
      <c r="M55">
        <v>-0.85529088146629506</v>
      </c>
      <c r="N55">
        <v>47.628103368511198</v>
      </c>
      <c r="O55">
        <v>47.628098324675797</v>
      </c>
      <c r="P55">
        <v>47.628092353943799</v>
      </c>
      <c r="Q55" t="s">
        <v>51</v>
      </c>
    </row>
    <row r="56" spans="1:17" x14ac:dyDescent="0.2">
      <c r="A56">
        <v>55</v>
      </c>
      <c r="B56">
        <v>751</v>
      </c>
      <c r="C56">
        <v>270</v>
      </c>
      <c r="D56">
        <v>0.30352048039838297</v>
      </c>
      <c r="E56">
        <v>109.682094277755</v>
      </c>
      <c r="F56">
        <v>1.970287337154</v>
      </c>
      <c r="G56">
        <v>-1815.1450023397285</v>
      </c>
      <c r="H56">
        <v>-1495.3156455078547</v>
      </c>
      <c r="I56">
        <v>312.28998853916698</v>
      </c>
      <c r="J56">
        <v>158.994450262041</v>
      </c>
      <c r="K56">
        <v>55.668070443058298</v>
      </c>
      <c r="L56">
        <v>0.85378592216657168</v>
      </c>
      <c r="M56">
        <v>-0.85358951623668011</v>
      </c>
      <c r="N56">
        <v>47.519214876453802</v>
      </c>
      <c r="O56">
        <v>47.519209765427902</v>
      </c>
      <c r="P56">
        <v>47.519203785310602</v>
      </c>
      <c r="Q56" t="s">
        <v>51</v>
      </c>
    </row>
    <row r="57" spans="1:17" x14ac:dyDescent="0.2">
      <c r="A57">
        <v>56</v>
      </c>
      <c r="B57">
        <v>750</v>
      </c>
      <c r="C57">
        <v>270</v>
      </c>
      <c r="D57">
        <v>0.302771343400284</v>
      </c>
      <c r="E57">
        <v>109.682125226205</v>
      </c>
      <c r="F57">
        <v>1.97087578143241</v>
      </c>
      <c r="G57">
        <v>-1814.8333055149931</v>
      </c>
      <c r="H57">
        <v>-1495.509339831608</v>
      </c>
      <c r="I57">
        <v>312.10126292186999</v>
      </c>
      <c r="J57">
        <v>158.999171587864</v>
      </c>
      <c r="K57">
        <v>55.651465333086399</v>
      </c>
      <c r="L57">
        <v>0.85209382897435526</v>
      </c>
      <c r="M57">
        <v>-0.85189703487242807</v>
      </c>
      <c r="N57">
        <v>47.410851408937297</v>
      </c>
      <c r="O57">
        <v>47.410846230461601</v>
      </c>
      <c r="P57">
        <v>47.410840241150403</v>
      </c>
      <c r="Q57" t="s">
        <v>51</v>
      </c>
    </row>
    <row r="58" spans="1:17" x14ac:dyDescent="0.2">
      <c r="A58">
        <v>57</v>
      </c>
      <c r="B58">
        <v>749</v>
      </c>
      <c r="C58">
        <v>270</v>
      </c>
      <c r="D58">
        <v>0.30202074059580297</v>
      </c>
      <c r="E58">
        <v>109.682156295429</v>
      </c>
      <c r="F58">
        <v>1.97146563504435</v>
      </c>
      <c r="G58">
        <v>-1814.5217993341555</v>
      </c>
      <c r="H58">
        <v>-1495.7028764443708</v>
      </c>
      <c r="I58">
        <v>311.912508800561</v>
      </c>
      <c r="J58">
        <v>159.00383514470701</v>
      </c>
      <c r="K58">
        <v>55.634830425518302</v>
      </c>
      <c r="L58">
        <v>0.85041053837540437</v>
      </c>
      <c r="M58">
        <v>-0.8502133608340342</v>
      </c>
      <c r="N58">
        <v>47.303008761633798</v>
      </c>
      <c r="O58">
        <v>47.303003515452801</v>
      </c>
      <c r="P58">
        <v>47.302997517138799</v>
      </c>
      <c r="Q58" t="s">
        <v>51</v>
      </c>
    </row>
    <row r="59" spans="1:17" x14ac:dyDescent="0.2">
      <c r="A59">
        <v>58</v>
      </c>
      <c r="B59">
        <v>748</v>
      </c>
      <c r="C59">
        <v>270</v>
      </c>
      <c r="D59">
        <v>0.301268667678598</v>
      </c>
      <c r="E59">
        <v>109.682187486038</v>
      </c>
      <c r="F59">
        <v>1.9720568860405101</v>
      </c>
      <c r="G59">
        <v>-1814.210483836006</v>
      </c>
      <c r="H59">
        <v>-1495.8962566163816</v>
      </c>
      <c r="I59">
        <v>311.72372488583898</v>
      </c>
      <c r="J59">
        <v>159.00844066850499</v>
      </c>
      <c r="K59">
        <v>55.618166120074399</v>
      </c>
      <c r="L59">
        <v>0.84873597470828888</v>
      </c>
      <c r="M59">
        <v>-0.84853841843880906</v>
      </c>
      <c r="N59">
        <v>47.195682775851402</v>
      </c>
      <c r="O59">
        <v>47.195677461713601</v>
      </c>
      <c r="P59">
        <v>47.195671454587398</v>
      </c>
      <c r="Q59" t="s">
        <v>51</v>
      </c>
    </row>
    <row r="60" spans="1:17" x14ac:dyDescent="0.2">
      <c r="A60">
        <v>59</v>
      </c>
      <c r="B60">
        <v>747</v>
      </c>
      <c r="C60">
        <v>270</v>
      </c>
      <c r="D60">
        <v>0.30051512032544198</v>
      </c>
      <c r="E60">
        <v>109.682218798517</v>
      </c>
      <c r="F60">
        <v>1.97264952256454</v>
      </c>
      <c r="G60">
        <v>-1813.8993590585874</v>
      </c>
      <c r="H60">
        <v>-1496.0894816019843</v>
      </c>
      <c r="I60">
        <v>311.53490989809097</v>
      </c>
      <c r="J60">
        <v>159.01298789123899</v>
      </c>
      <c r="K60">
        <v>55.601472813034</v>
      </c>
      <c r="L60">
        <v>0.84707006313781275</v>
      </c>
      <c r="M60">
        <v>-0.84687213283052232</v>
      </c>
      <c r="N60">
        <v>47.088869336747798</v>
      </c>
      <c r="O60">
        <v>47.088863954405703</v>
      </c>
      <c r="P60">
        <v>47.088857938657299</v>
      </c>
      <c r="Q60" t="s">
        <v>51</v>
      </c>
    </row>
    <row r="61" spans="1:17" x14ac:dyDescent="0.2">
      <c r="A61">
        <v>60</v>
      </c>
      <c r="B61">
        <v>746</v>
      </c>
      <c r="C61">
        <v>270</v>
      </c>
      <c r="D61">
        <v>0.29976009419614502</v>
      </c>
      <c r="E61">
        <v>109.682250233519</v>
      </c>
      <c r="F61">
        <v>1.97324353285306</v>
      </c>
      <c r="G61">
        <v>-1813.5884250439324</v>
      </c>
      <c r="H61">
        <v>-1496.2825526441056</v>
      </c>
      <c r="I61">
        <v>311.34606256779699</v>
      </c>
      <c r="J61">
        <v>159.01747654137299</v>
      </c>
      <c r="K61">
        <v>55.584750897387998</v>
      </c>
      <c r="L61">
        <v>0.84541272963507563</v>
      </c>
      <c r="M61">
        <v>-0.8452144299594585</v>
      </c>
      <c r="N61">
        <v>46.9825643723673</v>
      </c>
      <c r="O61">
        <v>46.982558921577201</v>
      </c>
      <c r="P61">
        <v>46.982552897396197</v>
      </c>
      <c r="Q61" t="s">
        <v>51</v>
      </c>
    </row>
    <row r="62" spans="1:17" x14ac:dyDescent="0.2">
      <c r="A62">
        <v>61</v>
      </c>
      <c r="B62">
        <v>745</v>
      </c>
      <c r="C62">
        <v>270</v>
      </c>
      <c r="D62">
        <v>0.29900358493345802</v>
      </c>
      <c r="E62">
        <v>109.682281791539</v>
      </c>
      <c r="F62">
        <v>1.9738389052323</v>
      </c>
      <c r="G62">
        <v>-1813.2776818327575</v>
      </c>
      <c r="H62">
        <v>-1496.4754709692165</v>
      </c>
      <c r="I62">
        <v>311.157181635315</v>
      </c>
      <c r="J62">
        <v>159.02190634336699</v>
      </c>
      <c r="K62">
        <v>55.568000762773103</v>
      </c>
      <c r="L62">
        <v>0.84376390099737575</v>
      </c>
      <c r="M62">
        <v>-0.84356523660232274</v>
      </c>
      <c r="N62">
        <v>46.876763854705899</v>
      </c>
      <c r="O62">
        <v>46.876758335228203</v>
      </c>
      <c r="P62">
        <v>46.876752302803901</v>
      </c>
      <c r="Q62" t="s">
        <v>51</v>
      </c>
    </row>
    <row r="63" spans="1:17" x14ac:dyDescent="0.2">
      <c r="A63">
        <v>62</v>
      </c>
      <c r="B63">
        <v>744</v>
      </c>
      <c r="C63">
        <v>270</v>
      </c>
      <c r="D63">
        <v>0.298245588163005</v>
      </c>
      <c r="E63">
        <v>109.682313473211</v>
      </c>
      <c r="F63">
        <v>1.97443562811687</v>
      </c>
      <c r="G63">
        <v>-1812.9671294692971</v>
      </c>
      <c r="H63">
        <v>-1496.6682377925192</v>
      </c>
      <c r="I63">
        <v>310.96826585058199</v>
      </c>
      <c r="J63">
        <v>159.02627701837801</v>
      </c>
      <c r="K63">
        <v>55.551222795660799</v>
      </c>
      <c r="L63">
        <v>0.84212350479413611</v>
      </c>
      <c r="M63">
        <v>-0.84192448030814904</v>
      </c>
      <c r="N63">
        <v>46.771463796879402</v>
      </c>
      <c r="O63">
        <v>46.771458208478599</v>
      </c>
      <c r="P63">
        <v>46.771452167999499</v>
      </c>
      <c r="Q63" t="s">
        <v>51</v>
      </c>
    </row>
    <row r="64" spans="1:17" x14ac:dyDescent="0.2">
      <c r="A64">
        <v>63</v>
      </c>
      <c r="B64">
        <v>743</v>
      </c>
      <c r="C64">
        <v>270</v>
      </c>
      <c r="D64">
        <v>0.297486099493184</v>
      </c>
      <c r="E64">
        <v>109.682345279118</v>
      </c>
      <c r="F64">
        <v>1.9750336900105301</v>
      </c>
      <c r="G64">
        <v>-1812.6567679982327</v>
      </c>
      <c r="H64">
        <v>-1496.8608543147136</v>
      </c>
      <c r="I64">
        <v>310.77931397332901</v>
      </c>
      <c r="J64">
        <v>159.03058828371999</v>
      </c>
      <c r="K64">
        <v>55.534417379246499</v>
      </c>
      <c r="L64">
        <v>0.84049146939792119</v>
      </c>
      <c r="M64">
        <v>-0.84029208942932843</v>
      </c>
      <c r="N64">
        <v>46.666660254767102</v>
      </c>
      <c r="O64">
        <v>46.666654597211704</v>
      </c>
      <c r="P64">
        <v>46.666648548866</v>
      </c>
      <c r="Q64" t="s">
        <v>51</v>
      </c>
    </row>
    <row r="65" spans="1:17" x14ac:dyDescent="0.2">
      <c r="A65">
        <v>64</v>
      </c>
      <c r="B65">
        <v>742</v>
      </c>
      <c r="C65">
        <v>270</v>
      </c>
      <c r="D65">
        <v>0.29672511451509398</v>
      </c>
      <c r="E65">
        <v>109.68237013630799</v>
      </c>
      <c r="F65">
        <v>1.9736301110112</v>
      </c>
      <c r="G65">
        <v>-1812.3465754288427</v>
      </c>
      <c r="H65">
        <v>-1497.4880672691202</v>
      </c>
      <c r="I65">
        <v>310.16213317763101</v>
      </c>
      <c r="J65">
        <v>159.02909304228001</v>
      </c>
      <c r="K65">
        <v>55.573924173720499</v>
      </c>
      <c r="L65">
        <v>0.8155752832395865</v>
      </c>
      <c r="M65">
        <v>-0.81536825382509048</v>
      </c>
      <c r="N65">
        <v>45.314797400256801</v>
      </c>
      <c r="O65">
        <v>45.314791487815803</v>
      </c>
      <c r="P65">
        <v>45.314785215884598</v>
      </c>
      <c r="Q65" t="s">
        <v>51</v>
      </c>
    </row>
    <row r="66" spans="1:17" x14ac:dyDescent="0.2">
      <c r="A66">
        <v>65</v>
      </c>
      <c r="B66">
        <v>741</v>
      </c>
      <c r="C66">
        <v>270</v>
      </c>
      <c r="D66">
        <v>0.295962628802445</v>
      </c>
      <c r="E66">
        <v>109.682355438502</v>
      </c>
      <c r="F66">
        <v>1.95403165206924</v>
      </c>
      <c r="G66">
        <v>-1812.037905622087</v>
      </c>
      <c r="H66">
        <v>-1501.3262655478927</v>
      </c>
      <c r="I66">
        <v>306.37976307990499</v>
      </c>
      <c r="J66">
        <v>159.20080913958699</v>
      </c>
      <c r="K66">
        <v>56.1313095017438</v>
      </c>
      <c r="L66">
        <v>0.62418489582254011</v>
      </c>
      <c r="M66">
        <v>-0.62391237611003503</v>
      </c>
      <c r="N66">
        <v>35.023108623945298</v>
      </c>
      <c r="O66">
        <v>35.023100985509501</v>
      </c>
      <c r="P66">
        <v>35.023092743571702</v>
      </c>
      <c r="Q66" t="s">
        <v>51</v>
      </c>
    </row>
    <row r="67" spans="1:17" x14ac:dyDescent="0.2">
      <c r="A67">
        <v>66</v>
      </c>
      <c r="B67">
        <v>740</v>
      </c>
      <c r="C67">
        <v>270</v>
      </c>
      <c r="D67">
        <v>0.295198637911468</v>
      </c>
      <c r="E67">
        <v>109.682331884185</v>
      </c>
      <c r="F67">
        <v>1.9398794845618099</v>
      </c>
      <c r="G67">
        <v>-1811.7326595835273</v>
      </c>
      <c r="H67">
        <v>-1504.1969399234031</v>
      </c>
      <c r="I67">
        <v>303.54806374940699</v>
      </c>
      <c r="J67">
        <v>159.35825112443001</v>
      </c>
      <c r="K67">
        <v>56.540796867574997</v>
      </c>
      <c r="L67">
        <v>0.48581496529930129</v>
      </c>
      <c r="M67">
        <v>-0.4854948795405829</v>
      </c>
      <c r="N67">
        <v>27.452728426237702</v>
      </c>
      <c r="O67">
        <v>27.4527194782872</v>
      </c>
      <c r="P67">
        <v>27.452709782268901</v>
      </c>
      <c r="Q67" t="s">
        <v>51</v>
      </c>
    </row>
    <row r="68" spans="1:17" x14ac:dyDescent="0.2">
      <c r="A68">
        <v>67</v>
      </c>
      <c r="B68">
        <v>739</v>
      </c>
      <c r="C68">
        <v>270</v>
      </c>
      <c r="D68">
        <v>0.29443313738082399</v>
      </c>
      <c r="E68">
        <v>109.689695983563</v>
      </c>
      <c r="F68">
        <v>1.90903859631589</v>
      </c>
      <c r="G68">
        <v>-1811.5518492129659</v>
      </c>
      <c r="H68">
        <v>-1510.3756459117001</v>
      </c>
      <c r="I68">
        <v>297.56607934450398</v>
      </c>
      <c r="J68">
        <v>159.632602693422</v>
      </c>
      <c r="K68">
        <v>57.4580818822865</v>
      </c>
      <c r="L68">
        <v>0.19728532549719699</v>
      </c>
      <c r="M68">
        <v>-0.19686512668697692</v>
      </c>
      <c r="N68">
        <v>11.314756996885199</v>
      </c>
      <c r="O68">
        <v>11.314745282000199</v>
      </c>
      <c r="P68">
        <v>11.314732446101299</v>
      </c>
      <c r="Q68" t="s">
        <v>51</v>
      </c>
    </row>
    <row r="69" spans="1:17" x14ac:dyDescent="0.2">
      <c r="A69">
        <v>68</v>
      </c>
      <c r="B69">
        <v>738</v>
      </c>
      <c r="C69">
        <v>270</v>
      </c>
      <c r="D69">
        <v>0.29366612273154402</v>
      </c>
      <c r="E69">
        <v>109.69038065967</v>
      </c>
      <c r="F69">
        <v>1.89902731888583</v>
      </c>
      <c r="G69">
        <v>-1811.2667664234839</v>
      </c>
      <c r="H69">
        <v>-1512.6322572861066</v>
      </c>
      <c r="I69">
        <v>295.34715042593899</v>
      </c>
      <c r="J69">
        <v>159.75482719666101</v>
      </c>
      <c r="K69">
        <v>57.761349491289103</v>
      </c>
      <c r="L69">
        <v>9.8084895209167536E-2</v>
      </c>
      <c r="M69">
        <v>-9.7630429885790793E-2</v>
      </c>
      <c r="N69">
        <v>5.6428039981987101</v>
      </c>
      <c r="O69">
        <v>5.6427912424380002</v>
      </c>
      <c r="P69">
        <v>5.6427773160791403</v>
      </c>
      <c r="Q69" t="s">
        <v>51</v>
      </c>
    </row>
    <row r="70" spans="1:17" x14ac:dyDescent="0.2">
      <c r="A70">
        <v>69</v>
      </c>
      <c r="B70">
        <v>737</v>
      </c>
      <c r="C70">
        <v>270</v>
      </c>
      <c r="D70">
        <v>0.29289758946691402</v>
      </c>
      <c r="E70">
        <v>109.690591171634</v>
      </c>
      <c r="F70">
        <v>1.8965323870614099</v>
      </c>
      <c r="G70">
        <v>-1810.9752783597125</v>
      </c>
      <c r="H70">
        <v>-1513.4385217763293</v>
      </c>
      <c r="I70">
        <v>294.55294703758301</v>
      </c>
      <c r="J70">
        <v>159.82517460250099</v>
      </c>
      <c r="K70">
        <v>57.837446868806097</v>
      </c>
      <c r="L70">
        <v>6.7817895786529636E-2</v>
      </c>
      <c r="M70">
        <v>-6.7353171242411289E-2</v>
      </c>
      <c r="N70">
        <v>3.8991502480847098</v>
      </c>
      <c r="O70">
        <v>3.8991371042223602</v>
      </c>
      <c r="P70">
        <v>3.8991228560800399</v>
      </c>
      <c r="Q70" t="s">
        <v>51</v>
      </c>
    </row>
    <row r="71" spans="1:17" x14ac:dyDescent="0.2">
      <c r="A71">
        <v>70</v>
      </c>
      <c r="B71">
        <v>757</v>
      </c>
      <c r="C71">
        <v>255</v>
      </c>
      <c r="D71">
        <v>0.32400184439159502</v>
      </c>
      <c r="E71">
        <v>109.682029342066</v>
      </c>
      <c r="F71">
        <v>1.9464508800359299</v>
      </c>
      <c r="G71">
        <v>-1817.8618937005892</v>
      </c>
      <c r="H71">
        <v>-1494.7526523244458</v>
      </c>
      <c r="I71">
        <v>313.65507953836101</v>
      </c>
      <c r="J71">
        <v>159.46589440002401</v>
      </c>
      <c r="K71">
        <v>56.349754554320398</v>
      </c>
      <c r="L71">
        <v>0.8520426150457947</v>
      </c>
      <c r="M71">
        <v>-0.85182099739221573</v>
      </c>
      <c r="N71">
        <v>48.001757372301903</v>
      </c>
      <c r="O71">
        <v>48.001752416872002</v>
      </c>
      <c r="P71">
        <v>48.001745051820201</v>
      </c>
      <c r="Q71" t="s">
        <v>51</v>
      </c>
    </row>
    <row r="72" spans="1:17" x14ac:dyDescent="0.2">
      <c r="A72">
        <v>71</v>
      </c>
      <c r="B72">
        <v>756</v>
      </c>
      <c r="C72">
        <v>255</v>
      </c>
      <c r="D72">
        <v>0.32327697614536499</v>
      </c>
      <c r="E72">
        <v>109.68205646176899</v>
      </c>
      <c r="F72">
        <v>1.9470497949569801</v>
      </c>
      <c r="G72">
        <v>-1817.5487556988867</v>
      </c>
      <c r="H72">
        <v>-1494.9261372538228</v>
      </c>
      <c r="I72">
        <v>313.48701374031498</v>
      </c>
      <c r="J72">
        <v>159.46575099758201</v>
      </c>
      <c r="K72">
        <v>56.332435228854997</v>
      </c>
      <c r="L72">
        <v>0.85144251824518846</v>
      </c>
      <c r="M72">
        <v>-0.85122079491050284</v>
      </c>
      <c r="N72">
        <v>47.9531900784242</v>
      </c>
      <c r="O72">
        <v>47.953185051078997</v>
      </c>
      <c r="P72">
        <v>47.953177684742798</v>
      </c>
      <c r="Q72" t="s">
        <v>51</v>
      </c>
    </row>
    <row r="73" spans="1:17" x14ac:dyDescent="0.2">
      <c r="A73">
        <v>72</v>
      </c>
      <c r="B73">
        <v>755</v>
      </c>
      <c r="C73">
        <v>255</v>
      </c>
      <c r="D73">
        <v>0.322550697855369</v>
      </c>
      <c r="E73">
        <v>109.682086987237</v>
      </c>
      <c r="F73">
        <v>1.9476520176233501</v>
      </c>
      <c r="G73">
        <v>-1817.2358551385571</v>
      </c>
      <c r="H73">
        <v>-1495.1201357668704</v>
      </c>
      <c r="I73">
        <v>313.29890349569598</v>
      </c>
      <c r="J73">
        <v>159.471708202006</v>
      </c>
      <c r="K73">
        <v>56.3150326622916</v>
      </c>
      <c r="L73">
        <v>0.84976802193285006</v>
      </c>
      <c r="M73">
        <v>-0.84954588126486308</v>
      </c>
      <c r="N73">
        <v>47.8440530174868</v>
      </c>
      <c r="O73">
        <v>47.844047910794302</v>
      </c>
      <c r="P73">
        <v>47.844040532913297</v>
      </c>
      <c r="Q73" t="s">
        <v>51</v>
      </c>
    </row>
    <row r="74" spans="1:17" x14ac:dyDescent="0.2">
      <c r="A74">
        <v>73</v>
      </c>
      <c r="B74">
        <v>754</v>
      </c>
      <c r="C74">
        <v>255</v>
      </c>
      <c r="D74">
        <v>0.321823005403299</v>
      </c>
      <c r="E74">
        <v>109.682117631306</v>
      </c>
      <c r="F74">
        <v>1.9482557680449999</v>
      </c>
      <c r="G74">
        <v>-1816.9231445739088</v>
      </c>
      <c r="H74">
        <v>-1495.3139772634377</v>
      </c>
      <c r="I74">
        <v>313.110764778521</v>
      </c>
      <c r="J74">
        <v>159.477615889996</v>
      </c>
      <c r="K74">
        <v>56.297596768502203</v>
      </c>
      <c r="L74">
        <v>0.84810230654125196</v>
      </c>
      <c r="M74">
        <v>-0.84787975358866519</v>
      </c>
      <c r="N74">
        <v>47.735440569331303</v>
      </c>
      <c r="O74">
        <v>47.735435382917402</v>
      </c>
      <c r="P74">
        <v>47.735427993714197</v>
      </c>
      <c r="Q74" t="s">
        <v>51</v>
      </c>
    </row>
    <row r="75" spans="1:17" x14ac:dyDescent="0.2">
      <c r="A75">
        <v>74</v>
      </c>
      <c r="B75">
        <v>753</v>
      </c>
      <c r="C75">
        <v>255</v>
      </c>
      <c r="D75">
        <v>0.321093894654779</v>
      </c>
      <c r="E75">
        <v>109.682148394536</v>
      </c>
      <c r="F75">
        <v>1.9488610328900799</v>
      </c>
      <c r="G75">
        <v>-1816.6106240428717</v>
      </c>
      <c r="H75">
        <v>-1495.5076630187846</v>
      </c>
      <c r="I75">
        <v>312.92259630003099</v>
      </c>
      <c r="J75">
        <v>159.48347374356101</v>
      </c>
      <c r="K75">
        <v>56.280128004756897</v>
      </c>
      <c r="L75">
        <v>0.84644529610170083</v>
      </c>
      <c r="M75">
        <v>-0.84622233589245954</v>
      </c>
      <c r="N75">
        <v>47.627348551766197</v>
      </c>
      <c r="O75">
        <v>47.627343285261396</v>
      </c>
      <c r="P75">
        <v>47.627335884958399</v>
      </c>
      <c r="Q75" t="s">
        <v>51</v>
      </c>
    </row>
    <row r="76" spans="1:17" x14ac:dyDescent="0.2">
      <c r="A76">
        <v>75</v>
      </c>
      <c r="B76">
        <v>752</v>
      </c>
      <c r="C76">
        <v>255</v>
      </c>
      <c r="D76">
        <v>0.3203633614593</v>
      </c>
      <c r="E76">
        <v>109.682179277524</v>
      </c>
      <c r="F76">
        <v>1.9494677989156</v>
      </c>
      <c r="G76">
        <v>-1816.2982935852651</v>
      </c>
      <c r="H76">
        <v>-1495.7011942945996</v>
      </c>
      <c r="I76">
        <v>312.73439678151999</v>
      </c>
      <c r="J76">
        <v>159.48928144120001</v>
      </c>
      <c r="K76">
        <v>56.262626824887803</v>
      </c>
      <c r="L76">
        <v>0.84479691546400992</v>
      </c>
      <c r="M76">
        <v>-0.84457355300551806</v>
      </c>
      <c r="N76">
        <v>47.519772826304099</v>
      </c>
      <c r="O76">
        <v>47.5197674793434</v>
      </c>
      <c r="P76">
        <v>47.519760068162803</v>
      </c>
      <c r="Q76" t="s">
        <v>51</v>
      </c>
    </row>
    <row r="77" spans="1:17" x14ac:dyDescent="0.2">
      <c r="A77">
        <v>76</v>
      </c>
      <c r="B77">
        <v>751</v>
      </c>
      <c r="C77">
        <v>255</v>
      </c>
      <c r="D77">
        <v>0.31963140165015202</v>
      </c>
      <c r="E77">
        <v>109.682210280794</v>
      </c>
      <c r="F77">
        <v>1.95007605296732</v>
      </c>
      <c r="G77">
        <v>-1815.9861532410241</v>
      </c>
      <c r="H77">
        <v>-1495.8945723374609</v>
      </c>
      <c r="I77">
        <v>312.54616495415303</v>
      </c>
      <c r="J77">
        <v>159.49503865768901</v>
      </c>
      <c r="K77">
        <v>56.245093679242302</v>
      </c>
      <c r="L77">
        <v>0.84315709029641728</v>
      </c>
      <c r="M77">
        <v>-0.84293333057575126</v>
      </c>
      <c r="N77">
        <v>47.412709298136903</v>
      </c>
      <c r="O77">
        <v>47.412703870360303</v>
      </c>
      <c r="P77">
        <v>47.412696448523697</v>
      </c>
      <c r="Q77" t="s">
        <v>51</v>
      </c>
    </row>
    <row r="78" spans="1:17" x14ac:dyDescent="0.2">
      <c r="A78">
        <v>77</v>
      </c>
      <c r="B78">
        <v>750</v>
      </c>
      <c r="C78">
        <v>255</v>
      </c>
      <c r="D78">
        <v>0.31889801104432502</v>
      </c>
      <c r="E78">
        <v>109.682241404943</v>
      </c>
      <c r="F78">
        <v>1.9506857819788299</v>
      </c>
      <c r="G78">
        <v>-1815.6742030525197</v>
      </c>
      <c r="H78">
        <v>-1496.0877983808014</v>
      </c>
      <c r="I78">
        <v>312.35789955935797</v>
      </c>
      <c r="J78">
        <v>159.50074506422899</v>
      </c>
      <c r="K78">
        <v>56.227529014784899</v>
      </c>
      <c r="L78">
        <v>0.84152574708692507</v>
      </c>
      <c r="M78">
        <v>-0.84130159507104585</v>
      </c>
      <c r="N78">
        <v>47.306153916317797</v>
      </c>
      <c r="O78">
        <v>47.306148407369797</v>
      </c>
      <c r="P78">
        <v>47.3061409750987</v>
      </c>
      <c r="Q78" t="s">
        <v>51</v>
      </c>
    </row>
    <row r="79" spans="1:17" x14ac:dyDescent="0.2">
      <c r="A79">
        <v>78</v>
      </c>
      <c r="B79">
        <v>749</v>
      </c>
      <c r="C79">
        <v>255</v>
      </c>
      <c r="D79">
        <v>0.31816318544244998</v>
      </c>
      <c r="E79">
        <v>109.682272650488</v>
      </c>
      <c r="F79">
        <v>1.95129697297094</v>
      </c>
      <c r="G79">
        <v>-1815.3624430620532</v>
      </c>
      <c r="H79">
        <v>-1496.2808736433403</v>
      </c>
      <c r="I79">
        <v>312.16959934796103</v>
      </c>
      <c r="J79">
        <v>159.50640032839101</v>
      </c>
      <c r="K79">
        <v>56.209933275041998</v>
      </c>
      <c r="L79">
        <v>0.83990281311085391</v>
      </c>
      <c r="M79">
        <v>-0.83967827374681059</v>
      </c>
      <c r="N79">
        <v>47.200102671907402</v>
      </c>
      <c r="O79">
        <v>47.200097081437299</v>
      </c>
      <c r="P79">
        <v>47.200089638952697</v>
      </c>
      <c r="Q79" t="s">
        <v>51</v>
      </c>
    </row>
    <row r="80" spans="1:17" x14ac:dyDescent="0.2">
      <c r="A80">
        <v>79</v>
      </c>
      <c r="B80">
        <v>748</v>
      </c>
      <c r="C80">
        <v>255</v>
      </c>
      <c r="D80">
        <v>0.31742692062870498</v>
      </c>
      <c r="E80">
        <v>109.682304018051</v>
      </c>
      <c r="F80">
        <v>1.9519096130488001</v>
      </c>
      <c r="G80">
        <v>-1815.0508733149047</v>
      </c>
      <c r="H80">
        <v>-1496.4737993316792</v>
      </c>
      <c r="I80">
        <v>311.981263080676</v>
      </c>
      <c r="J80">
        <v>159.51200411442599</v>
      </c>
      <c r="K80">
        <v>56.192306900282802</v>
      </c>
      <c r="L80">
        <v>0.83828821643047646</v>
      </c>
      <c r="M80">
        <v>-0.83806329464560536</v>
      </c>
      <c r="N80">
        <v>47.094551598123502</v>
      </c>
      <c r="O80">
        <v>47.094545925785397</v>
      </c>
      <c r="P80">
        <v>47.094538473308198</v>
      </c>
      <c r="Q80" t="s">
        <v>51</v>
      </c>
    </row>
    <row r="81" spans="1:17" x14ac:dyDescent="0.2">
      <c r="A81">
        <v>80</v>
      </c>
      <c r="B81">
        <v>747</v>
      </c>
      <c r="C81">
        <v>255</v>
      </c>
      <c r="D81">
        <v>0.316689212370732</v>
      </c>
      <c r="E81">
        <v>109.68233550817</v>
      </c>
      <c r="F81">
        <v>1.9525236894009601</v>
      </c>
      <c r="G81">
        <v>-1814.7394938562172</v>
      </c>
      <c r="H81">
        <v>-1496.6665766375024</v>
      </c>
      <c r="I81">
        <v>311.79288952784702</v>
      </c>
      <c r="J81">
        <v>159.51755608295201</v>
      </c>
      <c r="K81">
        <v>56.174650327454501</v>
      </c>
      <c r="L81">
        <v>0.83668188589941739</v>
      </c>
      <c r="M81">
        <v>-0.83645658660154054</v>
      </c>
      <c r="N81">
        <v>46.9894967705509</v>
      </c>
      <c r="O81">
        <v>46.989491016003903</v>
      </c>
      <c r="P81">
        <v>46.989483553754503</v>
      </c>
      <c r="Q81" t="s">
        <v>51</v>
      </c>
    </row>
    <row r="82" spans="1:17" x14ac:dyDescent="0.2">
      <c r="A82">
        <v>81</v>
      </c>
      <c r="B82">
        <v>746</v>
      </c>
      <c r="C82">
        <v>255</v>
      </c>
      <c r="D82">
        <v>0.31595005641956603</v>
      </c>
      <c r="E82">
        <v>109.682367121466</v>
      </c>
      <c r="F82">
        <v>1.9531391892994701</v>
      </c>
      <c r="G82">
        <v>-1814.4283047336855</v>
      </c>
      <c r="H82">
        <v>-1496.8592067408531</v>
      </c>
      <c r="I82">
        <v>311.60447746890901</v>
      </c>
      <c r="J82">
        <v>159.52305589141</v>
      </c>
      <c r="K82">
        <v>56.156963990265503</v>
      </c>
      <c r="L82">
        <v>0.83508375111253341</v>
      </c>
      <c r="M82">
        <v>-0.83485807919014332</v>
      </c>
      <c r="N82">
        <v>46.884934304410301</v>
      </c>
      <c r="O82">
        <v>46.884928467318197</v>
      </c>
      <c r="P82">
        <v>46.8849209955169</v>
      </c>
      <c r="Q82" t="s">
        <v>51</v>
      </c>
    </row>
    <row r="83" spans="1:17" x14ac:dyDescent="0.2">
      <c r="A83">
        <v>82</v>
      </c>
      <c r="B83">
        <v>745</v>
      </c>
      <c r="C83">
        <v>255</v>
      </c>
      <c r="D83">
        <v>0.31520944850955201</v>
      </c>
      <c r="E83">
        <v>109.682398858459</v>
      </c>
      <c r="F83">
        <v>1.95375610009708</v>
      </c>
      <c r="G83">
        <v>-1814.1173059945811</v>
      </c>
      <c r="H83">
        <v>-1497.0516908067511</v>
      </c>
      <c r="I83">
        <v>311.41602569284299</v>
      </c>
      <c r="J83">
        <v>159.528503193642</v>
      </c>
      <c r="K83">
        <v>56.139248319178002</v>
      </c>
      <c r="L83">
        <v>0.83349374244580443</v>
      </c>
      <c r="M83">
        <v>-0.83326770276825801</v>
      </c>
      <c r="N83">
        <v>46.780860356809299</v>
      </c>
      <c r="O83">
        <v>46.780854436841103</v>
      </c>
      <c r="P83">
        <v>46.780846955707602</v>
      </c>
      <c r="Q83" t="s">
        <v>51</v>
      </c>
    </row>
    <row r="84" spans="1:17" x14ac:dyDescent="0.2">
      <c r="A84">
        <v>83</v>
      </c>
      <c r="B84">
        <v>744</v>
      </c>
      <c r="C84">
        <v>255</v>
      </c>
      <c r="D84">
        <v>0.31446738435825899</v>
      </c>
      <c r="E84">
        <v>109.682409789697</v>
      </c>
      <c r="F84">
        <v>1.94371435263751</v>
      </c>
      <c r="G84">
        <v>-1813.8065155459451</v>
      </c>
      <c r="H84">
        <v>-1499.1497483437984</v>
      </c>
      <c r="I84">
        <v>309.35436644092198</v>
      </c>
      <c r="J84">
        <v>159.57976169688399</v>
      </c>
      <c r="K84">
        <v>56.429284293170298</v>
      </c>
      <c r="L84">
        <v>0.73241969292112907</v>
      </c>
      <c r="M84">
        <v>-0.73215766160638074</v>
      </c>
      <c r="N84">
        <v>41.317263115354301</v>
      </c>
      <c r="O84">
        <v>41.317256276952698</v>
      </c>
      <c r="P84">
        <v>41.317247616250199</v>
      </c>
      <c r="Q84" t="s">
        <v>51</v>
      </c>
    </row>
    <row r="85" spans="1:17" x14ac:dyDescent="0.2">
      <c r="A85">
        <v>84</v>
      </c>
      <c r="B85">
        <v>743</v>
      </c>
      <c r="C85">
        <v>255</v>
      </c>
      <c r="D85">
        <v>0.31372385966638899</v>
      </c>
      <c r="E85">
        <v>109.682385522896</v>
      </c>
      <c r="F85">
        <v>1.92457434854583</v>
      </c>
      <c r="G85">
        <v>-1813.4987620969493</v>
      </c>
      <c r="H85">
        <v>-1502.8916314407238</v>
      </c>
      <c r="I85">
        <v>305.67428989806001</v>
      </c>
      <c r="J85">
        <v>159.69764273087901</v>
      </c>
      <c r="K85">
        <v>56.990464206160397</v>
      </c>
      <c r="L85">
        <v>0.54870531562522462</v>
      </c>
      <c r="M85">
        <v>-0.54837732539321071</v>
      </c>
      <c r="N85">
        <v>31.254954751184901</v>
      </c>
      <c r="O85">
        <v>31.254946247284799</v>
      </c>
      <c r="P85">
        <v>31.254935389254001</v>
      </c>
      <c r="Q85" t="s">
        <v>51</v>
      </c>
    </row>
    <row r="86" spans="1:17" x14ac:dyDescent="0.2">
      <c r="A86">
        <v>85</v>
      </c>
      <c r="B86">
        <v>742</v>
      </c>
      <c r="C86">
        <v>255</v>
      </c>
      <c r="D86">
        <v>0.31297887011771702</v>
      </c>
      <c r="E86">
        <v>109.687092515495</v>
      </c>
      <c r="F86">
        <v>1.90162298395347</v>
      </c>
      <c r="G86">
        <v>-1813.2712358550507</v>
      </c>
      <c r="H86">
        <v>-1507.5040479140073</v>
      </c>
      <c r="I86">
        <v>301.20861375644301</v>
      </c>
      <c r="J86">
        <v>159.82243098422799</v>
      </c>
      <c r="K86">
        <v>57.680777652074703</v>
      </c>
      <c r="L86">
        <v>0.33195654874566699</v>
      </c>
      <c r="M86">
        <v>-0.33155040981730771</v>
      </c>
      <c r="N86">
        <v>19.127422097233602</v>
      </c>
      <c r="O86">
        <v>19.127411558575901</v>
      </c>
      <c r="P86">
        <v>19.127398037781202</v>
      </c>
      <c r="Q86" t="s">
        <v>51</v>
      </c>
    </row>
    <row r="87" spans="1:17" x14ac:dyDescent="0.2">
      <c r="A87">
        <v>86</v>
      </c>
      <c r="B87">
        <v>741</v>
      </c>
      <c r="C87">
        <v>255</v>
      </c>
      <c r="D87">
        <v>0.31223241137898899</v>
      </c>
      <c r="E87">
        <v>109.69045575912401</v>
      </c>
      <c r="F87">
        <v>1.88114293341256</v>
      </c>
      <c r="G87">
        <v>-1813.0269831846306</v>
      </c>
      <c r="H87">
        <v>-1511.7812241182316</v>
      </c>
      <c r="I87">
        <v>297.04812773912101</v>
      </c>
      <c r="J87">
        <v>159.92478876272401</v>
      </c>
      <c r="K87">
        <v>58.310537604995297</v>
      </c>
      <c r="L87">
        <v>0.13740873911326182</v>
      </c>
      <c r="M87">
        <v>-0.13693236790689878</v>
      </c>
      <c r="N87">
        <v>7.9885400342213897</v>
      </c>
      <c r="O87">
        <v>7.9885275839222203</v>
      </c>
      <c r="P87">
        <v>7.9885116174856696</v>
      </c>
      <c r="Q87" t="s">
        <v>51</v>
      </c>
    </row>
    <row r="88" spans="1:17" x14ac:dyDescent="0.2">
      <c r="A88">
        <v>87</v>
      </c>
      <c r="B88">
        <v>740</v>
      </c>
      <c r="C88">
        <v>255</v>
      </c>
      <c r="D88">
        <v>0.31148447909983901</v>
      </c>
      <c r="E88">
        <v>109.690779260952</v>
      </c>
      <c r="F88">
        <v>1.8759845970685001</v>
      </c>
      <c r="G88">
        <v>-1812.7359565619192</v>
      </c>
      <c r="H88">
        <v>-1513.1204330138419</v>
      </c>
      <c r="I88">
        <v>295.73248903420898</v>
      </c>
      <c r="J88">
        <v>159.98325824132601</v>
      </c>
      <c r="K88">
        <v>58.4710447155908</v>
      </c>
      <c r="L88">
        <v>8.2255497159336319E-2</v>
      </c>
      <c r="M88">
        <v>-8.1759439869389064E-2</v>
      </c>
      <c r="N88">
        <v>4.7846633470534696</v>
      </c>
      <c r="O88">
        <v>4.7846502535776896</v>
      </c>
      <c r="P88">
        <v>4.78463359963163</v>
      </c>
      <c r="Q88" t="s">
        <v>51</v>
      </c>
    </row>
    <row r="89" spans="1:17" x14ac:dyDescent="0.2">
      <c r="A89">
        <v>88</v>
      </c>
      <c r="B89">
        <v>757</v>
      </c>
      <c r="C89">
        <v>240</v>
      </c>
      <c r="D89">
        <v>0.340018929282145</v>
      </c>
      <c r="E89">
        <v>109.682145482713</v>
      </c>
      <c r="F89">
        <v>1.92442535291494</v>
      </c>
      <c r="G89">
        <v>-1818.7137638108236</v>
      </c>
      <c r="H89">
        <v>-1495.3270736200484</v>
      </c>
      <c r="I89">
        <v>313.92454288402502</v>
      </c>
      <c r="J89">
        <v>159.96735670341701</v>
      </c>
      <c r="K89">
        <v>56.994751870513902</v>
      </c>
      <c r="L89">
        <v>0.8402342553465334</v>
      </c>
      <c r="M89">
        <v>-0.8399809026952475</v>
      </c>
      <c r="N89">
        <v>47.876752766205598</v>
      </c>
      <c r="O89">
        <v>47.876747821216803</v>
      </c>
      <c r="P89">
        <v>47.876738618986103</v>
      </c>
      <c r="Q89" t="s">
        <v>51</v>
      </c>
    </row>
    <row r="90" spans="1:17" x14ac:dyDescent="0.2">
      <c r="A90">
        <v>89</v>
      </c>
      <c r="B90">
        <v>756</v>
      </c>
      <c r="C90">
        <v>240</v>
      </c>
      <c r="D90">
        <v>0.33930962444735902</v>
      </c>
      <c r="E90">
        <v>109.682172758378</v>
      </c>
      <c r="F90">
        <v>1.9250537083680599</v>
      </c>
      <c r="G90">
        <v>-1818.4003591819567</v>
      </c>
      <c r="H90">
        <v>-1495.5005266392616</v>
      </c>
      <c r="I90">
        <v>313.75651072784802</v>
      </c>
      <c r="J90">
        <v>159.96855524826199</v>
      </c>
      <c r="K90">
        <v>56.976162421650102</v>
      </c>
      <c r="L90">
        <v>0.83967829091816837</v>
      </c>
      <c r="M90">
        <v>-0.83942483803349277</v>
      </c>
      <c r="N90">
        <v>47.829451017071001</v>
      </c>
      <c r="O90">
        <v>47.829445983223899</v>
      </c>
      <c r="P90">
        <v>47.8294367791163</v>
      </c>
      <c r="Q90" t="s">
        <v>51</v>
      </c>
    </row>
    <row r="91" spans="1:17" x14ac:dyDescent="0.2">
      <c r="A91">
        <v>90</v>
      </c>
      <c r="B91">
        <v>755</v>
      </c>
      <c r="C91">
        <v>240</v>
      </c>
      <c r="D91">
        <v>0.338598939843407</v>
      </c>
      <c r="E91">
        <v>109.68220344838301</v>
      </c>
      <c r="F91">
        <v>1.9256813461872</v>
      </c>
      <c r="G91">
        <v>-1818.0871917232773</v>
      </c>
      <c r="H91">
        <v>-1495.6939932276657</v>
      </c>
      <c r="I91">
        <v>313.568920116382</v>
      </c>
      <c r="J91">
        <v>159.97563919310599</v>
      </c>
      <c r="K91">
        <v>56.957608103516698</v>
      </c>
      <c r="L91">
        <v>0.83807177475767602</v>
      </c>
      <c r="M91">
        <v>-0.83781789772221127</v>
      </c>
      <c r="N91">
        <v>47.7223469644888</v>
      </c>
      <c r="O91">
        <v>47.722341834845302</v>
      </c>
      <c r="P91">
        <v>47.722332617186801</v>
      </c>
      <c r="Q91" t="s">
        <v>51</v>
      </c>
    </row>
    <row r="92" spans="1:17" x14ac:dyDescent="0.2">
      <c r="A92">
        <v>91</v>
      </c>
      <c r="B92">
        <v>754</v>
      </c>
      <c r="C92">
        <v>240</v>
      </c>
      <c r="D92">
        <v>0.33788687144039198</v>
      </c>
      <c r="E92">
        <v>109.682234257644</v>
      </c>
      <c r="F92">
        <v>1.92631059395971</v>
      </c>
      <c r="G92">
        <v>-1817.7742137559624</v>
      </c>
      <c r="H92">
        <v>-1495.8873107252807</v>
      </c>
      <c r="I92">
        <v>313.38129383999001</v>
      </c>
      <c r="J92">
        <v>159.98268107631199</v>
      </c>
      <c r="K92">
        <v>56.9390183501935</v>
      </c>
      <c r="L92">
        <v>0.83647361134108622</v>
      </c>
      <c r="M92">
        <v>-0.8362193154644828</v>
      </c>
      <c r="N92">
        <v>47.615748750862899</v>
      </c>
      <c r="O92">
        <v>47.6157435249022</v>
      </c>
      <c r="P92">
        <v>47.615734293950297</v>
      </c>
      <c r="Q92" t="s">
        <v>51</v>
      </c>
    </row>
    <row r="93" spans="1:17" x14ac:dyDescent="0.2">
      <c r="A93">
        <v>92</v>
      </c>
      <c r="B93">
        <v>753</v>
      </c>
      <c r="C93">
        <v>240</v>
      </c>
      <c r="D93">
        <v>0.33717341519271199</v>
      </c>
      <c r="E93">
        <v>109.682265186666</v>
      </c>
      <c r="F93">
        <v>1.92694143752887</v>
      </c>
      <c r="G93">
        <v>-1817.461425324215</v>
      </c>
      <c r="H93">
        <v>-1496.0804803383533</v>
      </c>
      <c r="I93">
        <v>313.193630662239</v>
      </c>
      <c r="J93">
        <v>159.98968048378401</v>
      </c>
      <c r="K93">
        <v>56.920393661430801</v>
      </c>
      <c r="L93">
        <v>0.83488372881996764</v>
      </c>
      <c r="M93">
        <v>-0.834629019393894</v>
      </c>
      <c r="N93">
        <v>47.509652407041898</v>
      </c>
      <c r="O93">
        <v>47.509647084248599</v>
      </c>
      <c r="P93">
        <v>47.509637840261099</v>
      </c>
      <c r="Q93" t="s">
        <v>51</v>
      </c>
    </row>
    <row r="94" spans="1:17" x14ac:dyDescent="0.2">
      <c r="A94">
        <v>93</v>
      </c>
      <c r="B94">
        <v>752</v>
      </c>
      <c r="C94">
        <v>240</v>
      </c>
      <c r="D94">
        <v>0.33645856703896998</v>
      </c>
      <c r="E94">
        <v>109.68229623603899</v>
      </c>
      <c r="F94">
        <v>1.92757386281785</v>
      </c>
      <c r="G94">
        <v>-1817.148826474878</v>
      </c>
      <c r="H94">
        <v>-1496.2735032614537</v>
      </c>
      <c r="I94">
        <v>313.00592935583398</v>
      </c>
      <c r="J94">
        <v>159.996636997949</v>
      </c>
      <c r="K94">
        <v>56.901734533637502</v>
      </c>
      <c r="L94">
        <v>0.83330205608740981</v>
      </c>
      <c r="M94">
        <v>-0.83304693838573074</v>
      </c>
      <c r="N94">
        <v>47.4040540037158</v>
      </c>
      <c r="O94">
        <v>47.404048583580099</v>
      </c>
      <c r="P94">
        <v>47.404039326814697</v>
      </c>
      <c r="Q94" t="s">
        <v>51</v>
      </c>
    </row>
    <row r="95" spans="1:17" x14ac:dyDescent="0.2">
      <c r="A95">
        <v>94</v>
      </c>
      <c r="B95">
        <v>751</v>
      </c>
      <c r="C95">
        <v>240</v>
      </c>
      <c r="D95">
        <v>0.33574232290192102</v>
      </c>
      <c r="E95">
        <v>109.682327406341</v>
      </c>
      <c r="F95">
        <v>1.92820785583051</v>
      </c>
      <c r="G95">
        <v>-1816.8364172558195</v>
      </c>
      <c r="H95">
        <v>-1496.466380675294</v>
      </c>
      <c r="I95">
        <v>312.81818870321803</v>
      </c>
      <c r="J95">
        <v>160.003550197294</v>
      </c>
      <c r="K95">
        <v>56.883041459811203</v>
      </c>
      <c r="L95">
        <v>0.83172852282025789</v>
      </c>
      <c r="M95">
        <v>-0.83147300209922781</v>
      </c>
      <c r="N95">
        <v>47.298949653784298</v>
      </c>
      <c r="O95">
        <v>47.298944135801797</v>
      </c>
      <c r="P95">
        <v>47.298934866516298</v>
      </c>
      <c r="Q95" t="s">
        <v>51</v>
      </c>
    </row>
    <row r="96" spans="1:17" x14ac:dyDescent="0.2">
      <c r="A96">
        <v>95</v>
      </c>
      <c r="B96">
        <v>750</v>
      </c>
      <c r="C96">
        <v>240</v>
      </c>
      <c r="D96">
        <v>0.335024678688366</v>
      </c>
      <c r="E96">
        <v>109.682358698107</v>
      </c>
      <c r="F96">
        <v>1.9288434026485901</v>
      </c>
      <c r="G96">
        <v>-1816.5241977154294</v>
      </c>
      <c r="H96">
        <v>-1496.6591137469327</v>
      </c>
      <c r="I96">
        <v>312.630407495925</v>
      </c>
      <c r="J96">
        <v>160.01041965660201</v>
      </c>
      <c r="K96">
        <v>56.864314929608298</v>
      </c>
      <c r="L96">
        <v>0.83016305944240509</v>
      </c>
      <c r="M96">
        <v>-0.82990714094084539</v>
      </c>
      <c r="N96">
        <v>47.1943355103447</v>
      </c>
      <c r="O96">
        <v>47.194329894017002</v>
      </c>
      <c r="P96">
        <v>47.194320612468999</v>
      </c>
      <c r="Q96" t="s">
        <v>51</v>
      </c>
    </row>
    <row r="97" spans="1:17" x14ac:dyDescent="0.2">
      <c r="A97">
        <v>96</v>
      </c>
      <c r="B97">
        <v>749</v>
      </c>
      <c r="C97">
        <v>240</v>
      </c>
      <c r="D97">
        <v>0.33430563028909699</v>
      </c>
      <c r="E97">
        <v>109.682390111906</v>
      </c>
      <c r="F97">
        <v>1.9294804894301101</v>
      </c>
      <c r="G97">
        <v>-1816.2121679038416</v>
      </c>
      <c r="H97">
        <v>-1496.8517036309099</v>
      </c>
      <c r="I97">
        <v>312.44258453471099</v>
      </c>
      <c r="J97">
        <v>160.017244947086</v>
      </c>
      <c r="K97">
        <v>56.845555429431599</v>
      </c>
      <c r="L97">
        <v>0.82860559711949933</v>
      </c>
      <c r="M97">
        <v>-0.82834928605897251</v>
      </c>
      <c r="N97">
        <v>47.090207766483701</v>
      </c>
      <c r="O97">
        <v>47.090202051317902</v>
      </c>
      <c r="P97">
        <v>47.090192757765202</v>
      </c>
      <c r="Q97" t="s">
        <v>51</v>
      </c>
    </row>
    <row r="98" spans="1:17" x14ac:dyDescent="0.2">
      <c r="A98">
        <v>97</v>
      </c>
      <c r="B98">
        <v>748</v>
      </c>
      <c r="C98">
        <v>240</v>
      </c>
      <c r="D98">
        <v>0.33358517357881101</v>
      </c>
      <c r="E98">
        <v>109.682421648287</v>
      </c>
      <c r="F98">
        <v>1.93011910240993</v>
      </c>
      <c r="G98">
        <v>-1815.9003278720311</v>
      </c>
      <c r="H98">
        <v>-1497.0441514686804</v>
      </c>
      <c r="I98">
        <v>312.25471862926901</v>
      </c>
      <c r="J98">
        <v>160.02402563632</v>
      </c>
      <c r="K98">
        <v>56.826763442389797</v>
      </c>
      <c r="L98">
        <v>0.82705606774799878</v>
      </c>
      <c r="M98">
        <v>-0.82679936933297704</v>
      </c>
      <c r="N98">
        <v>46.986562654639201</v>
      </c>
      <c r="O98">
        <v>46.986556840148303</v>
      </c>
      <c r="P98">
        <v>46.986547534848597</v>
      </c>
      <c r="Q98" t="s">
        <v>51</v>
      </c>
    </row>
    <row r="99" spans="1:17" x14ac:dyDescent="0.2">
      <c r="A99">
        <v>98</v>
      </c>
      <c r="B99">
        <v>747</v>
      </c>
      <c r="C99">
        <v>240</v>
      </c>
      <c r="D99">
        <v>0.33286330441601902</v>
      </c>
      <c r="E99">
        <v>109.68245330786</v>
      </c>
      <c r="F99">
        <v>1.93075922789573</v>
      </c>
      <c r="G99">
        <v>-1815.5886776732073</v>
      </c>
      <c r="H99">
        <v>-1497.2364583898786</v>
      </c>
      <c r="I99">
        <v>312.066808598401</v>
      </c>
      <c r="J99">
        <v>160.03076128849401</v>
      </c>
      <c r="K99">
        <v>56.807939448462101</v>
      </c>
      <c r="L99">
        <v>0.82551440394847098</v>
      </c>
      <c r="M99">
        <v>-0.82525732336650037</v>
      </c>
      <c r="N99">
        <v>46.883396446373197</v>
      </c>
      <c r="O99">
        <v>46.883390532076199</v>
      </c>
      <c r="P99">
        <v>46.883381215287102</v>
      </c>
      <c r="Q99" t="s">
        <v>51</v>
      </c>
    </row>
    <row r="100" spans="1:17" x14ac:dyDescent="0.2">
      <c r="A100">
        <v>99</v>
      </c>
      <c r="B100">
        <v>746</v>
      </c>
      <c r="C100">
        <v>240</v>
      </c>
      <c r="D100">
        <v>0.33214001864298798</v>
      </c>
      <c r="E100">
        <v>109.682436172986</v>
      </c>
      <c r="F100">
        <v>1.90794803273504</v>
      </c>
      <c r="G100">
        <v>-1815.2784478731485</v>
      </c>
      <c r="H100">
        <v>-1501.4798328337417</v>
      </c>
      <c r="I100">
        <v>307.90581249654701</v>
      </c>
      <c r="J100">
        <v>160.095561631284</v>
      </c>
      <c r="K100">
        <v>57.487119298399698</v>
      </c>
      <c r="L100">
        <v>0.61550153950029451</v>
      </c>
      <c r="M100">
        <v>-0.61516464564448259</v>
      </c>
      <c r="N100">
        <v>35.366976205670703</v>
      </c>
      <c r="O100">
        <v>35.3669685332626</v>
      </c>
      <c r="P100">
        <v>35.366956305885701</v>
      </c>
      <c r="Q100" t="s">
        <v>51</v>
      </c>
    </row>
    <row r="101" spans="1:17" x14ac:dyDescent="0.2">
      <c r="A101">
        <v>100</v>
      </c>
      <c r="B101">
        <v>745</v>
      </c>
      <c r="C101">
        <v>240</v>
      </c>
      <c r="D101">
        <v>0.33141531208564601</v>
      </c>
      <c r="E101">
        <v>109.682410811146</v>
      </c>
      <c r="F101">
        <v>1.8937547416425</v>
      </c>
      <c r="G101">
        <v>-1814.9716316545839</v>
      </c>
      <c r="H101">
        <v>-1504.3360848801285</v>
      </c>
      <c r="I101">
        <v>305.10210008270002</v>
      </c>
      <c r="J101">
        <v>160.14150987679599</v>
      </c>
      <c r="K101">
        <v>57.917959701590597</v>
      </c>
      <c r="L101">
        <v>0.47935283882474577</v>
      </c>
      <c r="M101">
        <v>-0.47896474579642029</v>
      </c>
      <c r="N101">
        <v>27.744049494919299</v>
      </c>
      <c r="O101">
        <v>27.744040603527399</v>
      </c>
      <c r="P101">
        <v>27.7440264760064</v>
      </c>
      <c r="Q101" t="s">
        <v>51</v>
      </c>
    </row>
    <row r="102" spans="1:17" x14ac:dyDescent="0.2">
      <c r="A102">
        <v>101</v>
      </c>
      <c r="B102">
        <v>744</v>
      </c>
      <c r="C102">
        <v>240</v>
      </c>
      <c r="D102">
        <v>0.33068918055350899</v>
      </c>
      <c r="E102">
        <v>109.690471096431</v>
      </c>
      <c r="F102">
        <v>1.8665305846975599</v>
      </c>
      <c r="G102">
        <v>-1814.8004489292248</v>
      </c>
      <c r="H102">
        <v>-1509.8163536158952</v>
      </c>
      <c r="I102">
        <v>299.84694659341</v>
      </c>
      <c r="J102">
        <v>160.16119694748701</v>
      </c>
      <c r="K102">
        <v>58.7670365520448</v>
      </c>
      <c r="L102">
        <v>0.22781872988888646</v>
      </c>
      <c r="M102">
        <v>-0.22733545461759547</v>
      </c>
      <c r="N102">
        <v>13.3640903471961</v>
      </c>
      <c r="O102">
        <v>13.364079194803001</v>
      </c>
      <c r="P102">
        <v>13.3640614487039</v>
      </c>
      <c r="Q102" t="s">
        <v>51</v>
      </c>
    </row>
    <row r="103" spans="1:17" x14ac:dyDescent="0.2">
      <c r="A103">
        <v>102</v>
      </c>
      <c r="B103">
        <v>743</v>
      </c>
      <c r="C103">
        <v>240</v>
      </c>
      <c r="D103">
        <v>0.32996161983958999</v>
      </c>
      <c r="E103">
        <v>109.690954670919</v>
      </c>
      <c r="F103">
        <v>1.85370848762421</v>
      </c>
      <c r="G103">
        <v>-1814.5102280769568</v>
      </c>
      <c r="H103">
        <v>-1512.6314861892936</v>
      </c>
      <c r="I103">
        <v>297.08656062785201</v>
      </c>
      <c r="J103">
        <v>160.17311773017201</v>
      </c>
      <c r="K103">
        <v>59.173788868768497</v>
      </c>
      <c r="L103">
        <v>0.1033526774520747</v>
      </c>
      <c r="M103">
        <v>-0.10282250180121869</v>
      </c>
      <c r="N103">
        <v>6.0890865654177002</v>
      </c>
      <c r="O103">
        <v>6.0890741740761403</v>
      </c>
      <c r="P103">
        <v>6.0890546134927401</v>
      </c>
      <c r="Q103" t="s">
        <v>51</v>
      </c>
    </row>
    <row r="104" spans="1:17" x14ac:dyDescent="0.2">
      <c r="A104">
        <v>103</v>
      </c>
      <c r="B104">
        <v>742</v>
      </c>
      <c r="C104">
        <v>240</v>
      </c>
      <c r="D104">
        <v>0.32923262572033701</v>
      </c>
      <c r="E104">
        <v>109.691116356915</v>
      </c>
      <c r="F104">
        <v>1.8509397263620999</v>
      </c>
      <c r="G104">
        <v>-1814.2162525482011</v>
      </c>
      <c r="H104">
        <v>-1513.512861662301</v>
      </c>
      <c r="I104">
        <v>296.221547116176</v>
      </c>
      <c r="J104">
        <v>160.20816482203401</v>
      </c>
      <c r="K104">
        <v>59.262392391623401</v>
      </c>
      <c r="L104">
        <v>6.9991919949075318E-2</v>
      </c>
      <c r="M104">
        <v>-6.9449409244447591E-2</v>
      </c>
      <c r="N104">
        <v>4.1205322872681203</v>
      </c>
      <c r="O104">
        <v>4.12051943960914</v>
      </c>
      <c r="P104">
        <v>4.1204994044705101</v>
      </c>
      <c r="Q104" t="s">
        <v>51</v>
      </c>
    </row>
    <row r="105" spans="1:17" x14ac:dyDescent="0.2">
      <c r="A105">
        <v>104</v>
      </c>
      <c r="B105">
        <v>757</v>
      </c>
      <c r="C105">
        <v>225</v>
      </c>
      <c r="D105">
        <v>0.35603601417269398</v>
      </c>
      <c r="E105">
        <v>109.682262466263</v>
      </c>
      <c r="F105">
        <v>1.9002769896887299</v>
      </c>
      <c r="G105">
        <v>-1819.5758935988351</v>
      </c>
      <c r="H105">
        <v>-1495.8887170058579</v>
      </c>
      <c r="I105">
        <v>314.21636849882799</v>
      </c>
      <c r="J105">
        <v>160.47419228231399</v>
      </c>
      <c r="K105">
        <v>57.719092038381802</v>
      </c>
      <c r="L105">
        <v>0.8275290404923098</v>
      </c>
      <c r="M105">
        <v>-0.82723847730437816</v>
      </c>
      <c r="N105">
        <v>47.7502094869213</v>
      </c>
      <c r="O105">
        <v>47.7502049941601</v>
      </c>
      <c r="P105">
        <v>47.750193416136099</v>
      </c>
      <c r="Q105" t="s">
        <v>51</v>
      </c>
    </row>
    <row r="106" spans="1:17" x14ac:dyDescent="0.2">
      <c r="A106">
        <v>105</v>
      </c>
      <c r="B106">
        <v>756</v>
      </c>
      <c r="C106">
        <v>225</v>
      </c>
      <c r="D106">
        <v>0.35534227274935698</v>
      </c>
      <c r="E106">
        <v>109.68229047072801</v>
      </c>
      <c r="F106">
        <v>1.9009394712199299</v>
      </c>
      <c r="G106">
        <v>-1819.2622107785028</v>
      </c>
      <c r="H106">
        <v>-1496.0655604540168</v>
      </c>
      <c r="I106">
        <v>314.04505561388601</v>
      </c>
      <c r="J106">
        <v>160.47798331599699</v>
      </c>
      <c r="K106">
        <v>57.698991541450198</v>
      </c>
      <c r="L106">
        <v>0.82684098212996215</v>
      </c>
      <c r="M106">
        <v>-0.82655026162540413</v>
      </c>
      <c r="N106">
        <v>47.693866891151202</v>
      </c>
      <c r="O106">
        <v>47.6938622875278</v>
      </c>
      <c r="P106">
        <v>47.693850703927502</v>
      </c>
      <c r="Q106" t="s">
        <v>51</v>
      </c>
    </row>
    <row r="107" spans="1:17" x14ac:dyDescent="0.2">
      <c r="A107">
        <v>106</v>
      </c>
      <c r="B107">
        <v>755</v>
      </c>
      <c r="C107">
        <v>225</v>
      </c>
      <c r="D107">
        <v>0.354647181831445</v>
      </c>
      <c r="E107">
        <v>109.68232131700699</v>
      </c>
      <c r="F107">
        <v>1.9015976251470099</v>
      </c>
      <c r="G107">
        <v>-1818.9487572232802</v>
      </c>
      <c r="H107">
        <v>-1496.2584565490188</v>
      </c>
      <c r="I107">
        <v>313.85802197363103</v>
      </c>
      <c r="J107">
        <v>160.48643680222401</v>
      </c>
      <c r="K107">
        <v>57.6790378082895</v>
      </c>
      <c r="L107">
        <v>0.82530859876855001</v>
      </c>
      <c r="M107">
        <v>-0.82501744344240058</v>
      </c>
      <c r="N107">
        <v>47.5889599755346</v>
      </c>
      <c r="O107">
        <v>47.5889552559225</v>
      </c>
      <c r="P107">
        <v>47.588943655757298</v>
      </c>
      <c r="Q107" t="s">
        <v>51</v>
      </c>
    </row>
    <row r="108" spans="1:17" x14ac:dyDescent="0.2">
      <c r="A108">
        <v>107</v>
      </c>
      <c r="B108">
        <v>754</v>
      </c>
      <c r="C108">
        <v>225</v>
      </c>
      <c r="D108">
        <v>0.35395073747748601</v>
      </c>
      <c r="E108">
        <v>109.68235228307501</v>
      </c>
      <c r="F108">
        <v>1.9022574999733699</v>
      </c>
      <c r="G108">
        <v>-1818.6354926161018</v>
      </c>
      <c r="H108">
        <v>-1496.4512121913615</v>
      </c>
      <c r="I108">
        <v>313.67094481707801</v>
      </c>
      <c r="J108">
        <v>160.494856928009</v>
      </c>
      <c r="K108">
        <v>57.659045783555001</v>
      </c>
      <c r="L108">
        <v>0.82378412313906479</v>
      </c>
      <c r="M108">
        <v>-0.82349253861889704</v>
      </c>
      <c r="N108">
        <v>47.484538906934802</v>
      </c>
      <c r="O108">
        <v>47.484534070593</v>
      </c>
      <c r="P108">
        <v>47.484522454160597</v>
      </c>
      <c r="Q108" t="s">
        <v>51</v>
      </c>
    </row>
    <row r="109" spans="1:17" x14ac:dyDescent="0.2">
      <c r="A109">
        <v>108</v>
      </c>
      <c r="B109">
        <v>753</v>
      </c>
      <c r="C109">
        <v>225</v>
      </c>
      <c r="D109">
        <v>0.35325293573064698</v>
      </c>
      <c r="E109">
        <v>109.682383369485</v>
      </c>
      <c r="F109">
        <v>1.9029190808143399</v>
      </c>
      <c r="G109">
        <v>-1818.322417009814</v>
      </c>
      <c r="H109">
        <v>-1496.6438285203644</v>
      </c>
      <c r="I109">
        <v>313.48382295846397</v>
      </c>
      <c r="J109">
        <v>160.503243159557</v>
      </c>
      <c r="K109">
        <v>57.639016012466101</v>
      </c>
      <c r="L109">
        <v>0.82226748760824708</v>
      </c>
      <c r="M109">
        <v>-0.82197547950798322</v>
      </c>
      <c r="N109">
        <v>47.380599935608799</v>
      </c>
      <c r="O109">
        <v>47.380594981802297</v>
      </c>
      <c r="P109">
        <v>47.380583349401</v>
      </c>
      <c r="Q109" t="s">
        <v>51</v>
      </c>
    </row>
    <row r="110" spans="1:17" x14ac:dyDescent="0.2">
      <c r="A110">
        <v>109</v>
      </c>
      <c r="B110">
        <v>752</v>
      </c>
      <c r="C110">
        <v>225</v>
      </c>
      <c r="D110">
        <v>0.35255377261864101</v>
      </c>
      <c r="E110">
        <v>109.68241457680899</v>
      </c>
      <c r="F110">
        <v>1.90358235285248</v>
      </c>
      <c r="G110">
        <v>-1818.0095304587664</v>
      </c>
      <c r="H110">
        <v>-1496.8363066631355</v>
      </c>
      <c r="I110">
        <v>313.29665522078102</v>
      </c>
      <c r="J110">
        <v>160.511594958693</v>
      </c>
      <c r="K110">
        <v>57.618949037036401</v>
      </c>
      <c r="L110">
        <v>0.82075862524655629</v>
      </c>
      <c r="M110">
        <v>-0.82046619916662689</v>
      </c>
      <c r="N110">
        <v>47.277139350057702</v>
      </c>
      <c r="O110">
        <v>47.2771342780579</v>
      </c>
      <c r="P110">
        <v>47.277122629986401</v>
      </c>
      <c r="Q110" t="s">
        <v>51</v>
      </c>
    </row>
    <row r="111" spans="1:17" x14ac:dyDescent="0.2">
      <c r="A111">
        <v>110</v>
      </c>
      <c r="B111">
        <v>751</v>
      </c>
      <c r="C111">
        <v>225</v>
      </c>
      <c r="D111">
        <v>0.35185324415369101</v>
      </c>
      <c r="E111">
        <v>109.682445905644</v>
      </c>
      <c r="F111">
        <v>1.90424730134005</v>
      </c>
      <c r="G111">
        <v>-1817.6968330188599</v>
      </c>
      <c r="H111">
        <v>-1497.0286477345776</v>
      </c>
      <c r="I111">
        <v>313.10944043584999</v>
      </c>
      <c r="J111">
        <v>160.51991178270799</v>
      </c>
      <c r="K111">
        <v>57.598845396004201</v>
      </c>
      <c r="L111">
        <v>0.81925746983167469</v>
      </c>
      <c r="M111">
        <v>-0.81896463135918041</v>
      </c>
      <c r="N111">
        <v>47.174153477192299</v>
      </c>
      <c r="O111">
        <v>47.174148286276903</v>
      </c>
      <c r="P111">
        <v>47.174136622834602</v>
      </c>
      <c r="Q111" t="s">
        <v>51</v>
      </c>
    </row>
    <row r="112" spans="1:17" x14ac:dyDescent="0.2">
      <c r="A112">
        <v>111</v>
      </c>
      <c r="B112">
        <v>750</v>
      </c>
      <c r="C112">
        <v>225</v>
      </c>
      <c r="D112">
        <v>0.35115134633240402</v>
      </c>
      <c r="E112">
        <v>109.682477864248</v>
      </c>
      <c r="F112">
        <v>1.9025279489012199</v>
      </c>
      <c r="G112">
        <v>-1817.3844603970317</v>
      </c>
      <c r="H112">
        <v>-1497.5427417933811</v>
      </c>
      <c r="I112">
        <v>312.60777474376198</v>
      </c>
      <c r="J112">
        <v>160.54878708948399</v>
      </c>
      <c r="K112">
        <v>57.650915418926402</v>
      </c>
      <c r="L112">
        <v>0.80176020398402503</v>
      </c>
      <c r="M112">
        <v>-0.80145964683292437</v>
      </c>
      <c r="N112">
        <v>46.207685801621899</v>
      </c>
      <c r="O112">
        <v>46.2076803774738</v>
      </c>
      <c r="P112">
        <v>46.207668403647197</v>
      </c>
      <c r="Q112" t="s">
        <v>51</v>
      </c>
    </row>
    <row r="113" spans="1:17" x14ac:dyDescent="0.2">
      <c r="A113">
        <v>112</v>
      </c>
      <c r="B113">
        <v>749</v>
      </c>
      <c r="C113">
        <v>225</v>
      </c>
      <c r="D113">
        <v>0.350448075135744</v>
      </c>
      <c r="E113">
        <v>109.682481549673</v>
      </c>
      <c r="F113">
        <v>1.8883216469580599</v>
      </c>
      <c r="G113">
        <v>-1817.0727228413662</v>
      </c>
      <c r="H113">
        <v>-1500.2166741605333</v>
      </c>
      <c r="I113">
        <v>309.993139725768</v>
      </c>
      <c r="J113">
        <v>160.54809688286801</v>
      </c>
      <c r="K113">
        <v>58.084639196062398</v>
      </c>
      <c r="L113">
        <v>0.67288842573012619</v>
      </c>
      <c r="M113">
        <v>-0.67253609167638184</v>
      </c>
      <c r="N113">
        <v>39.067309658660498</v>
      </c>
      <c r="O113">
        <v>39.067303266773003</v>
      </c>
      <c r="P113">
        <v>39.067289204899303</v>
      </c>
      <c r="Q113" t="s">
        <v>51</v>
      </c>
    </row>
    <row r="114" spans="1:17" x14ac:dyDescent="0.2">
      <c r="A114">
        <v>113</v>
      </c>
      <c r="B114">
        <v>748</v>
      </c>
      <c r="C114">
        <v>225</v>
      </c>
      <c r="D114">
        <v>0.34974342652891699</v>
      </c>
      <c r="E114">
        <v>109.682455793456</v>
      </c>
      <c r="F114">
        <v>1.87112787000311</v>
      </c>
      <c r="G114">
        <v>-1816.764052930268</v>
      </c>
      <c r="H114">
        <v>-1503.5204150980749</v>
      </c>
      <c r="I114">
        <v>306.75974345581398</v>
      </c>
      <c r="J114">
        <v>160.53146973907701</v>
      </c>
      <c r="K114">
        <v>58.618364651515698</v>
      </c>
      <c r="L114">
        <v>0.51401940244764988</v>
      </c>
      <c r="M114">
        <v>-0.51360400668606232</v>
      </c>
      <c r="N114">
        <v>30.110525787835201</v>
      </c>
      <c r="O114">
        <v>30.110518184666301</v>
      </c>
      <c r="P114">
        <v>30.110501539170901</v>
      </c>
      <c r="Q114" t="s">
        <v>51</v>
      </c>
    </row>
    <row r="115" spans="1:17" x14ac:dyDescent="0.2">
      <c r="A115">
        <v>114</v>
      </c>
      <c r="B115">
        <v>747</v>
      </c>
      <c r="C115">
        <v>225</v>
      </c>
      <c r="D115">
        <v>0.34903739646130499</v>
      </c>
      <c r="E115">
        <v>109.688490166994</v>
      </c>
      <c r="F115">
        <v>1.8462478970226499</v>
      </c>
      <c r="G115">
        <v>-1816.5573087143191</v>
      </c>
      <c r="H115">
        <v>-1508.414470998991</v>
      </c>
      <c r="I115">
        <v>302.06130251972098</v>
      </c>
      <c r="J115">
        <v>160.458569500507</v>
      </c>
      <c r="K115">
        <v>59.4115721642167</v>
      </c>
      <c r="L115">
        <v>0.28864192314119247</v>
      </c>
      <c r="M115">
        <v>-0.28813676731515364</v>
      </c>
      <c r="N115">
        <v>17.1234396166975</v>
      </c>
      <c r="O115">
        <v>17.123430255744999</v>
      </c>
      <c r="P115">
        <v>17.1234098441128</v>
      </c>
      <c r="Q115" t="s">
        <v>51</v>
      </c>
    </row>
    <row r="116" spans="1:17" x14ac:dyDescent="0.2">
      <c r="A116">
        <v>115</v>
      </c>
      <c r="B116">
        <v>746</v>
      </c>
      <c r="C116">
        <v>225</v>
      </c>
      <c r="D116">
        <v>0.34832998086640898</v>
      </c>
      <c r="E116">
        <v>109.691134429727</v>
      </c>
      <c r="F116">
        <v>1.82950272334151</v>
      </c>
      <c r="G116">
        <v>-1816.3000839146366</v>
      </c>
      <c r="H116">
        <v>-1511.9229775454087</v>
      </c>
      <c r="I116">
        <v>298.66335714420501</v>
      </c>
      <c r="J116">
        <v>160.39707499554899</v>
      </c>
      <c r="K116">
        <v>59.9568030319084</v>
      </c>
      <c r="L116">
        <v>0.13301552784559836</v>
      </c>
      <c r="M116">
        <v>-0.13244851878981573</v>
      </c>
      <c r="N116">
        <v>7.9465858894169799</v>
      </c>
      <c r="O116">
        <v>7.9465751942265799</v>
      </c>
      <c r="P116">
        <v>7.9465521314368104</v>
      </c>
      <c r="Q116" t="s">
        <v>51</v>
      </c>
    </row>
    <row r="117" spans="1:17" x14ac:dyDescent="0.2">
      <c r="A117">
        <v>116</v>
      </c>
      <c r="B117">
        <v>745</v>
      </c>
      <c r="C117">
        <v>225</v>
      </c>
      <c r="D117">
        <v>0.347621175661739</v>
      </c>
      <c r="E117">
        <v>109.691330356873</v>
      </c>
      <c r="F117">
        <v>1.8245781364151099</v>
      </c>
      <c r="G117">
        <v>-1816.0053406113198</v>
      </c>
      <c r="H117">
        <v>-1513.2174461688205</v>
      </c>
      <c r="I117">
        <v>297.39603225297299</v>
      </c>
      <c r="J117">
        <v>160.399664676013</v>
      </c>
      <c r="K117">
        <v>60.118735486106601</v>
      </c>
      <c r="L117">
        <v>8.075095104217872E-2</v>
      </c>
      <c r="M117">
        <v>-8.016341332399203E-2</v>
      </c>
      <c r="N117">
        <v>4.8249149152337196</v>
      </c>
      <c r="O117">
        <v>4.8249036247622001</v>
      </c>
      <c r="P117">
        <v>4.8248796770837901</v>
      </c>
      <c r="Q117" t="s">
        <v>51</v>
      </c>
    </row>
    <row r="118" spans="1:17" x14ac:dyDescent="0.2">
      <c r="A118">
        <v>117</v>
      </c>
      <c r="B118">
        <v>757</v>
      </c>
      <c r="C118">
        <v>210</v>
      </c>
      <c r="D118">
        <v>0.37205309906324402</v>
      </c>
      <c r="E118">
        <v>109.682380408508</v>
      </c>
      <c r="F118">
        <v>1.8734357203573699</v>
      </c>
      <c r="G118">
        <v>-1820.4496409265578</v>
      </c>
      <c r="H118">
        <v>-1496.4338521857803</v>
      </c>
      <c r="I118">
        <v>314.53549642267802</v>
      </c>
      <c r="J118">
        <v>160.98308731132099</v>
      </c>
      <c r="K118">
        <v>58.546113547779399</v>
      </c>
      <c r="L118">
        <v>0.81365970712320412</v>
      </c>
      <c r="M118">
        <v>-0.81332502750148528</v>
      </c>
      <c r="N118">
        <v>47.620433013782701</v>
      </c>
      <c r="O118">
        <v>47.620429728274999</v>
      </c>
      <c r="P118">
        <v>47.6204150455277</v>
      </c>
      <c r="Q118" t="s">
        <v>51</v>
      </c>
    </row>
    <row r="119" spans="1:17" x14ac:dyDescent="0.2">
      <c r="A119">
        <v>118</v>
      </c>
      <c r="B119">
        <v>756</v>
      </c>
      <c r="C119">
        <v>210</v>
      </c>
      <c r="D119">
        <v>0.371374921051355</v>
      </c>
      <c r="E119">
        <v>109.682409905813</v>
      </c>
      <c r="F119">
        <v>1.8741339756055</v>
      </c>
      <c r="G119">
        <v>-1820.135668174536</v>
      </c>
      <c r="H119">
        <v>-1496.6183070017828</v>
      </c>
      <c r="I119">
        <v>314.35681719074398</v>
      </c>
      <c r="J119">
        <v>160.99098517009099</v>
      </c>
      <c r="K119">
        <v>58.524316475494501</v>
      </c>
      <c r="L119">
        <v>0.81262044826438651</v>
      </c>
      <c r="M119">
        <v>-0.81228545925545392</v>
      </c>
      <c r="N119">
        <v>47.541859356921499</v>
      </c>
      <c r="O119">
        <v>47.541855933946202</v>
      </c>
      <c r="P119">
        <v>47.541841236258897</v>
      </c>
      <c r="Q119" t="s">
        <v>51</v>
      </c>
    </row>
    <row r="120" spans="1:17" x14ac:dyDescent="0.2">
      <c r="A120">
        <v>119</v>
      </c>
      <c r="B120">
        <v>755</v>
      </c>
      <c r="C120">
        <v>210</v>
      </c>
      <c r="D120">
        <v>0.37069542381948001</v>
      </c>
      <c r="E120">
        <v>109.68244089942699</v>
      </c>
      <c r="F120">
        <v>1.87482854493222</v>
      </c>
      <c r="G120">
        <v>-1819.8219051385681</v>
      </c>
      <c r="H120">
        <v>-1496.8105810074078</v>
      </c>
      <c r="I120">
        <v>314.17039051373303</v>
      </c>
      <c r="J120">
        <v>161.00112831844899</v>
      </c>
      <c r="K120">
        <v>58.502651453598801</v>
      </c>
      <c r="L120">
        <v>0.81116943930625984</v>
      </c>
      <c r="M120">
        <v>-0.81083399732567474</v>
      </c>
      <c r="N120">
        <v>47.439342749051001</v>
      </c>
      <c r="O120">
        <v>47.439339186056301</v>
      </c>
      <c r="P120">
        <v>47.439324467178302</v>
      </c>
      <c r="Q120" t="s">
        <v>51</v>
      </c>
    </row>
    <row r="121" spans="1:17" x14ac:dyDescent="0.2">
      <c r="A121">
        <v>120</v>
      </c>
      <c r="B121">
        <v>754</v>
      </c>
      <c r="C121">
        <v>210</v>
      </c>
      <c r="D121">
        <v>0.37001460351457899</v>
      </c>
      <c r="E121">
        <v>109.682472313741</v>
      </c>
      <c r="F121">
        <v>1.87443299990475</v>
      </c>
      <c r="G121">
        <v>-1819.508362007095</v>
      </c>
      <c r="H121">
        <v>-1497.1457766612721</v>
      </c>
      <c r="I121">
        <v>313.844701059503</v>
      </c>
      <c r="J121">
        <v>161.01616860392701</v>
      </c>
      <c r="K121">
        <v>58.515013510387</v>
      </c>
      <c r="L121">
        <v>0.80268766514890066</v>
      </c>
      <c r="M121">
        <v>-0.8023483637187464</v>
      </c>
      <c r="N121">
        <v>46.952861061179</v>
      </c>
      <c r="O121">
        <v>46.952857326632099</v>
      </c>
      <c r="P121">
        <v>46.9528424336768</v>
      </c>
      <c r="Q121" t="s">
        <v>51</v>
      </c>
    </row>
    <row r="122" spans="1:17" x14ac:dyDescent="0.2">
      <c r="A122">
        <v>121</v>
      </c>
      <c r="B122">
        <v>753</v>
      </c>
      <c r="C122">
        <v>210</v>
      </c>
      <c r="D122">
        <v>0.36933245626858002</v>
      </c>
      <c r="E122">
        <v>109.682503823212</v>
      </c>
      <c r="F122">
        <v>1.8721641020978601</v>
      </c>
      <c r="G122">
        <v>-1819.1953074611331</v>
      </c>
      <c r="H122">
        <v>-1497.7297596758403</v>
      </c>
      <c r="I122">
        <v>313.27645790567198</v>
      </c>
      <c r="J122">
        <v>161.04158962601201</v>
      </c>
      <c r="K122">
        <v>58.585945377494603</v>
      </c>
      <c r="L122">
        <v>0.781897175174318</v>
      </c>
      <c r="M122">
        <v>-0.78154810290720267</v>
      </c>
      <c r="N122">
        <v>45.791263757986798</v>
      </c>
      <c r="O122">
        <v>45.791259793518201</v>
      </c>
      <c r="P122">
        <v>45.791244460493701</v>
      </c>
      <c r="Q122" t="s">
        <v>51</v>
      </c>
    </row>
    <row r="123" spans="1:17" x14ac:dyDescent="0.2">
      <c r="A123">
        <v>122</v>
      </c>
      <c r="B123">
        <v>752</v>
      </c>
      <c r="C123">
        <v>210</v>
      </c>
      <c r="D123">
        <v>0.36864897819831499</v>
      </c>
      <c r="E123">
        <v>109.682518816647</v>
      </c>
      <c r="F123">
        <v>1.8626617994518999</v>
      </c>
      <c r="G123">
        <v>-1818.8827355630588</v>
      </c>
      <c r="H123">
        <v>-1499.5247740938453</v>
      </c>
      <c r="I123">
        <v>311.52648579548202</v>
      </c>
      <c r="J123">
        <v>161.02458303616899</v>
      </c>
      <c r="K123">
        <v>58.8848275349403</v>
      </c>
      <c r="L123">
        <v>0.69875548291728884</v>
      </c>
      <c r="M123">
        <v>-0.69837059082200825</v>
      </c>
      <c r="N123">
        <v>41.1273269444075</v>
      </c>
      <c r="O123">
        <v>41.127322474937998</v>
      </c>
      <c r="P123">
        <v>41.127305532932901</v>
      </c>
      <c r="Q123" t="s">
        <v>51</v>
      </c>
    </row>
    <row r="124" spans="1:17" x14ac:dyDescent="0.2">
      <c r="A124">
        <v>123</v>
      </c>
      <c r="B124">
        <v>751</v>
      </c>
      <c r="C124">
        <v>210</v>
      </c>
      <c r="D124">
        <v>0.36796416540546001</v>
      </c>
      <c r="E124">
        <v>109.682492953051</v>
      </c>
      <c r="F124">
        <v>1.8435679493978601</v>
      </c>
      <c r="G124">
        <v>-1818.5726336868913</v>
      </c>
      <c r="H124">
        <v>-1503.0303455733606</v>
      </c>
      <c r="I124">
        <v>308.10560737724501</v>
      </c>
      <c r="J124">
        <v>160.93458442681199</v>
      </c>
      <c r="K124">
        <v>59.494684201292898</v>
      </c>
      <c r="L124">
        <v>0.53005748991193646</v>
      </c>
      <c r="M124">
        <v>-0.52960155579521084</v>
      </c>
      <c r="N124">
        <v>31.5131148809586</v>
      </c>
      <c r="O124">
        <v>31.513109492035099</v>
      </c>
      <c r="P124">
        <v>31.513089315476901</v>
      </c>
      <c r="Q124" t="s">
        <v>51</v>
      </c>
    </row>
    <row r="125" spans="1:17" x14ac:dyDescent="0.2">
      <c r="A125">
        <v>124</v>
      </c>
      <c r="B125">
        <v>750</v>
      </c>
      <c r="C125">
        <v>210</v>
      </c>
      <c r="D125">
        <v>0.36727801397644499</v>
      </c>
      <c r="E125">
        <v>109.682467189105</v>
      </c>
      <c r="F125">
        <v>1.83218220929358</v>
      </c>
      <c r="G125">
        <v>-1818.2652838095501</v>
      </c>
      <c r="H125">
        <v>-1505.2993925784649</v>
      </c>
      <c r="I125">
        <v>305.88904098379402</v>
      </c>
      <c r="J125">
        <v>160.89012246933299</v>
      </c>
      <c r="K125">
        <v>59.864388286684097</v>
      </c>
      <c r="L125">
        <v>0.42569164018254335</v>
      </c>
      <c r="M125">
        <v>-0.42519190864958606</v>
      </c>
      <c r="N125">
        <v>25.458949494225301</v>
      </c>
      <c r="O125">
        <v>25.458943427757301</v>
      </c>
      <c r="P125">
        <v>25.458921223605401</v>
      </c>
      <c r="Q125" t="s">
        <v>51</v>
      </c>
    </row>
    <row r="126" spans="1:17" x14ac:dyDescent="0.2">
      <c r="A126">
        <v>125</v>
      </c>
      <c r="B126">
        <v>749</v>
      </c>
      <c r="C126">
        <v>210</v>
      </c>
      <c r="D126">
        <v>0.36659051998239101</v>
      </c>
      <c r="E126">
        <v>109.691318438889</v>
      </c>
      <c r="F126">
        <v>1.80190640235445</v>
      </c>
      <c r="G126">
        <v>-1818.1075497446018</v>
      </c>
      <c r="H126">
        <v>-1511.1743559952233</v>
      </c>
      <c r="I126">
        <v>300.287376564336</v>
      </c>
      <c r="J126">
        <v>160.643134933277</v>
      </c>
      <c r="K126">
        <v>60.875147729961</v>
      </c>
      <c r="L126">
        <v>0.16251380297109325</v>
      </c>
      <c r="M126">
        <v>-0.16190295331235532</v>
      </c>
      <c r="N126">
        <v>9.8621691361222901</v>
      </c>
      <c r="O126">
        <v>9.8621615357925503</v>
      </c>
      <c r="P126">
        <v>9.8621340590656601</v>
      </c>
      <c r="Q126" t="s">
        <v>51</v>
      </c>
    </row>
    <row r="127" spans="1:17" x14ac:dyDescent="0.2">
      <c r="A127">
        <v>126</v>
      </c>
      <c r="B127">
        <v>748</v>
      </c>
      <c r="C127">
        <v>210</v>
      </c>
      <c r="D127">
        <v>0.36590167947901903</v>
      </c>
      <c r="E127">
        <v>109.691560787737</v>
      </c>
      <c r="F127">
        <v>1.79449538970727</v>
      </c>
      <c r="G127">
        <v>-1817.8121928395237</v>
      </c>
      <c r="H127">
        <v>-1512.909035747761</v>
      </c>
      <c r="I127">
        <v>298.59374493478299</v>
      </c>
      <c r="J127">
        <v>160.59294388955101</v>
      </c>
      <c r="K127">
        <v>61.126688548155599</v>
      </c>
      <c r="L127">
        <v>9.0363044877145998E-2</v>
      </c>
      <c r="M127">
        <v>-8.9722038386559108E-2</v>
      </c>
      <c r="N127">
        <v>5.4910337733139896</v>
      </c>
      <c r="O127">
        <v>5.49102555050903</v>
      </c>
      <c r="P127">
        <v>5.4909966173179203</v>
      </c>
      <c r="Q127" t="s">
        <v>51</v>
      </c>
    </row>
    <row r="128" spans="1:17" x14ac:dyDescent="0.2">
      <c r="A128">
        <v>127</v>
      </c>
      <c r="B128">
        <v>747</v>
      </c>
      <c r="C128">
        <v>210</v>
      </c>
      <c r="D128">
        <v>0.36521148850659502</v>
      </c>
      <c r="E128">
        <v>109.691635648963</v>
      </c>
      <c r="F128">
        <v>1.792481990263</v>
      </c>
      <c r="G128">
        <v>-1817.5152109251526</v>
      </c>
      <c r="H128">
        <v>-1513.6431439888074</v>
      </c>
      <c r="I128">
        <v>297.87582242439902</v>
      </c>
      <c r="J128">
        <v>160.60260913464199</v>
      </c>
      <c r="K128">
        <v>61.195390662122797</v>
      </c>
      <c r="L128">
        <v>6.433667786622102E-2</v>
      </c>
      <c r="M128">
        <v>-6.3684975252264187E-2</v>
      </c>
      <c r="N128">
        <v>3.9039512725024701</v>
      </c>
      <c r="O128">
        <v>3.9039426565734598</v>
      </c>
      <c r="P128">
        <v>3.9039132066839</v>
      </c>
      <c r="Q128" t="s">
        <v>51</v>
      </c>
    </row>
    <row r="129" spans="1:17" x14ac:dyDescent="0.2">
      <c r="A129">
        <v>128</v>
      </c>
      <c r="B129">
        <v>759</v>
      </c>
      <c r="C129">
        <v>195</v>
      </c>
      <c r="D129">
        <v>0.38939156130407598</v>
      </c>
      <c r="E129">
        <v>109.682448419439</v>
      </c>
      <c r="F129">
        <v>1.8416144913421899</v>
      </c>
      <c r="G129">
        <v>-1821.9660436486251</v>
      </c>
      <c r="H129">
        <v>-1496.6340069165135</v>
      </c>
      <c r="I129">
        <v>315.20140181116898</v>
      </c>
      <c r="J129">
        <v>161.47855486674499</v>
      </c>
      <c r="K129">
        <v>59.557767890662603</v>
      </c>
      <c r="L129">
        <v>0.79787547440237538</v>
      </c>
      <c r="M129">
        <v>-0.79748772291886527</v>
      </c>
      <c r="N129">
        <v>47.500899765221</v>
      </c>
      <c r="O129">
        <v>47.500899259227197</v>
      </c>
      <c r="P129">
        <v>47.500880476207698</v>
      </c>
      <c r="Q129" t="s">
        <v>51</v>
      </c>
    </row>
    <row r="130" spans="1:17" x14ac:dyDescent="0.2">
      <c r="A130">
        <v>129</v>
      </c>
      <c r="B130">
        <v>758</v>
      </c>
      <c r="C130">
        <v>195</v>
      </c>
      <c r="D130">
        <v>0.38873151335887302</v>
      </c>
      <c r="E130">
        <v>109.682470012065</v>
      </c>
      <c r="F130">
        <v>1.84179125998822</v>
      </c>
      <c r="G130">
        <v>-1821.6512848795169</v>
      </c>
      <c r="H130">
        <v>-1496.8510924542795</v>
      </c>
      <c r="I130">
        <v>314.99131592890598</v>
      </c>
      <c r="J130">
        <v>161.47644095103499</v>
      </c>
      <c r="K130">
        <v>59.552063469323997</v>
      </c>
      <c r="L130">
        <v>0.79548492666612891</v>
      </c>
      <c r="M130">
        <v>-0.79509579088148585</v>
      </c>
      <c r="N130">
        <v>47.3539109686022</v>
      </c>
      <c r="O130">
        <v>47.353910302223603</v>
      </c>
      <c r="P130">
        <v>47.353891444346601</v>
      </c>
      <c r="Q130" t="s">
        <v>51</v>
      </c>
    </row>
    <row r="131" spans="1:17" x14ac:dyDescent="0.2">
      <c r="A131">
        <v>130</v>
      </c>
      <c r="B131">
        <v>757</v>
      </c>
      <c r="C131">
        <v>195</v>
      </c>
      <c r="D131">
        <v>0.388070183953793</v>
      </c>
      <c r="E131">
        <v>109.68250103550101</v>
      </c>
      <c r="F131">
        <v>1.8396499914309401</v>
      </c>
      <c r="G131">
        <v>-1821.3370584920376</v>
      </c>
      <c r="H131">
        <v>-1497.4063485901117</v>
      </c>
      <c r="I131">
        <v>314.45313177735198</v>
      </c>
      <c r="J131">
        <v>161.49113927640201</v>
      </c>
      <c r="K131">
        <v>59.621396214715098</v>
      </c>
      <c r="L131">
        <v>0.77636673718430116</v>
      </c>
      <c r="M131">
        <v>-0.77596797309108956</v>
      </c>
      <c r="N131">
        <v>46.268710096292899</v>
      </c>
      <c r="O131">
        <v>46.268709263780302</v>
      </c>
      <c r="P131">
        <v>46.2686899183986</v>
      </c>
      <c r="Q131" t="s">
        <v>51</v>
      </c>
    </row>
    <row r="132" spans="1:17" x14ac:dyDescent="0.2">
      <c r="A132">
        <v>131</v>
      </c>
      <c r="B132">
        <v>756</v>
      </c>
      <c r="C132">
        <v>195</v>
      </c>
      <c r="D132">
        <v>0.38740756935335302</v>
      </c>
      <c r="E132">
        <v>109.682531695449</v>
      </c>
      <c r="F132">
        <v>1.8372601312986201</v>
      </c>
      <c r="G132">
        <v>-1821.023385269184</v>
      </c>
      <c r="H132">
        <v>-1497.999760337696</v>
      </c>
      <c r="I132">
        <v>313.87737196419101</v>
      </c>
      <c r="J132">
        <v>161.508804814852</v>
      </c>
      <c r="K132">
        <v>59.6989668620974</v>
      </c>
      <c r="L132">
        <v>0.75527041306090725</v>
      </c>
      <c r="M132">
        <v>-0.75486110639110549</v>
      </c>
      <c r="N132">
        <v>45.068954720309399</v>
      </c>
      <c r="O132">
        <v>45.068953712596603</v>
      </c>
      <c r="P132">
        <v>45.068933832577301</v>
      </c>
      <c r="Q132" t="s">
        <v>51</v>
      </c>
    </row>
    <row r="133" spans="1:17" x14ac:dyDescent="0.2">
      <c r="A133">
        <v>132</v>
      </c>
      <c r="B133">
        <v>755</v>
      </c>
      <c r="C133">
        <v>195</v>
      </c>
      <c r="D133">
        <v>0.38674366580751801</v>
      </c>
      <c r="E133">
        <v>109.68254478765</v>
      </c>
      <c r="F133">
        <v>1.82735157202693</v>
      </c>
      <c r="G133">
        <v>-1820.7101995953706</v>
      </c>
      <c r="H133">
        <v>-1499.7954663949706</v>
      </c>
      <c r="I133">
        <v>312.131810176062</v>
      </c>
      <c r="J133">
        <v>161.45571793588701</v>
      </c>
      <c r="K133">
        <v>60.022683355884297</v>
      </c>
      <c r="L133">
        <v>0.6727189579091879</v>
      </c>
      <c r="M133">
        <v>-0.67227177544171601</v>
      </c>
      <c r="N133">
        <v>40.356508675812201</v>
      </c>
      <c r="O133">
        <v>40.356507441401803</v>
      </c>
      <c r="P133">
        <v>40.356485652323101</v>
      </c>
      <c r="Q133" t="s">
        <v>51</v>
      </c>
    </row>
    <row r="134" spans="1:17" x14ac:dyDescent="0.2">
      <c r="A134">
        <v>133</v>
      </c>
      <c r="B134">
        <v>754</v>
      </c>
      <c r="C134">
        <v>195</v>
      </c>
      <c r="D134">
        <v>0.38607846955167302</v>
      </c>
      <c r="E134">
        <v>109.682519269954</v>
      </c>
      <c r="F134">
        <v>1.8087124385611499</v>
      </c>
      <c r="G134">
        <v>-1820.3993732356116</v>
      </c>
      <c r="H134">
        <v>-1503.0890147913326</v>
      </c>
      <c r="I134">
        <v>308.92716567895002</v>
      </c>
      <c r="J134">
        <v>161.301228585834</v>
      </c>
      <c r="K134">
        <v>60.641214673797499</v>
      </c>
      <c r="L134">
        <v>0.51603248380368327</v>
      </c>
      <c r="M134">
        <v>-0.51551498022408138</v>
      </c>
      <c r="N134">
        <v>31.2672176290788</v>
      </c>
      <c r="O134">
        <v>31.267216069301401</v>
      </c>
      <c r="P134">
        <v>31.267190688194201</v>
      </c>
      <c r="Q134" t="s">
        <v>51</v>
      </c>
    </row>
    <row r="135" spans="1:17" x14ac:dyDescent="0.2">
      <c r="A135">
        <v>134</v>
      </c>
      <c r="B135">
        <v>753</v>
      </c>
      <c r="C135">
        <v>195</v>
      </c>
      <c r="D135">
        <v>0.38541197680651201</v>
      </c>
      <c r="E135">
        <v>109.686719502175</v>
      </c>
      <c r="F135">
        <v>1.7867535760615401</v>
      </c>
      <c r="G135">
        <v>-1820.1602155773653</v>
      </c>
      <c r="H135">
        <v>-1507.1257572731483</v>
      </c>
      <c r="I135">
        <v>305.06197854885301</v>
      </c>
      <c r="J135">
        <v>161.07761981168599</v>
      </c>
      <c r="K135">
        <v>61.3888344602911</v>
      </c>
      <c r="L135">
        <v>0.33249422058383421</v>
      </c>
      <c r="M135">
        <v>-0.33189428015839662</v>
      </c>
      <c r="N135">
        <v>20.3813363156812</v>
      </c>
      <c r="O135">
        <v>20.3813343379306</v>
      </c>
      <c r="P135">
        <v>20.381304645181199</v>
      </c>
      <c r="Q135" t="s">
        <v>51</v>
      </c>
    </row>
    <row r="136" spans="1:17" x14ac:dyDescent="0.2">
      <c r="A136">
        <v>135</v>
      </c>
      <c r="B136">
        <v>752</v>
      </c>
      <c r="C136">
        <v>195</v>
      </c>
      <c r="D136">
        <v>0.38474418377798603</v>
      </c>
      <c r="E136">
        <v>109.69156002521299</v>
      </c>
      <c r="F136">
        <v>1.76736096589951</v>
      </c>
      <c r="G136">
        <v>-1819.9358947923458</v>
      </c>
      <c r="H136">
        <v>-1510.8871819646893</v>
      </c>
      <c r="I136">
        <v>301.47222816855202</v>
      </c>
      <c r="J136">
        <v>160.849642158774</v>
      </c>
      <c r="K136">
        <v>62.0651706932914</v>
      </c>
      <c r="L136">
        <v>0.16840743119050883</v>
      </c>
      <c r="M136">
        <v>-0.16773388064885617</v>
      </c>
      <c r="N136">
        <v>10.4180457954691</v>
      </c>
      <c r="O136">
        <v>10.4180433491141</v>
      </c>
      <c r="P136">
        <v>10.418009713051701</v>
      </c>
      <c r="Q136" t="s">
        <v>51</v>
      </c>
    </row>
    <row r="137" spans="1:17" x14ac:dyDescent="0.2">
      <c r="A137">
        <v>136</v>
      </c>
      <c r="B137">
        <v>751</v>
      </c>
      <c r="C137">
        <v>195</v>
      </c>
      <c r="D137">
        <v>0.38407508665723</v>
      </c>
      <c r="E137">
        <v>109.691814090162</v>
      </c>
      <c r="F137">
        <v>1.75925635383906</v>
      </c>
      <c r="G137">
        <v>-1819.6395686161243</v>
      </c>
      <c r="H137">
        <v>-1512.6941700651498</v>
      </c>
      <c r="I137">
        <v>299.713167546634</v>
      </c>
      <c r="J137">
        <v>160.75472176992699</v>
      </c>
      <c r="K137">
        <v>62.3512394033947</v>
      </c>
      <c r="L137">
        <v>9.3680218383331501E-2</v>
      </c>
      <c r="M137">
        <v>-9.2973340737742396E-2</v>
      </c>
      <c r="N137">
        <v>5.8050075204399203</v>
      </c>
      <c r="O137">
        <v>5.8050046750883997</v>
      </c>
      <c r="P137">
        <v>5.8049692264113704</v>
      </c>
      <c r="Q137" t="s">
        <v>51</v>
      </c>
    </row>
    <row r="138" spans="1:17" x14ac:dyDescent="0.2">
      <c r="A138">
        <v>137</v>
      </c>
      <c r="B138">
        <v>750</v>
      </c>
      <c r="C138">
        <v>195</v>
      </c>
      <c r="D138">
        <v>0.38340468162048602</v>
      </c>
      <c r="E138">
        <v>109.691866517292</v>
      </c>
      <c r="F138">
        <v>1.7569262033409301</v>
      </c>
      <c r="G138">
        <v>-1819.3411299796048</v>
      </c>
      <c r="H138">
        <v>-1513.4766617594478</v>
      </c>
      <c r="I138">
        <v>298.949736413023</v>
      </c>
      <c r="J138">
        <v>160.74651612937001</v>
      </c>
      <c r="K138">
        <v>62.433963537401297</v>
      </c>
      <c r="L138">
        <v>6.5761743407398945E-2</v>
      </c>
      <c r="M138">
        <v>-6.5042565662608812E-2</v>
      </c>
      <c r="N138">
        <v>4.0689995935193002</v>
      </c>
      <c r="O138">
        <v>4.0689963998723098</v>
      </c>
      <c r="P138">
        <v>4.06896027736859</v>
      </c>
      <c r="Q138" t="s">
        <v>51</v>
      </c>
    </row>
    <row r="139" spans="1:17" x14ac:dyDescent="0.2">
      <c r="A139">
        <v>138</v>
      </c>
      <c r="B139">
        <v>765</v>
      </c>
      <c r="C139">
        <v>180</v>
      </c>
      <c r="D139">
        <v>0.409218802677841</v>
      </c>
      <c r="E139">
        <v>109.682416916897</v>
      </c>
      <c r="F139">
        <v>1.80177829842625</v>
      </c>
      <c r="G139">
        <v>-1824.7636539391697</v>
      </c>
      <c r="H139">
        <v>-1496.1561333169559</v>
      </c>
      <c r="I139">
        <v>316.53494084675799</v>
      </c>
      <c r="J139">
        <v>161.91409357672501</v>
      </c>
      <c r="K139">
        <v>60.874535459050797</v>
      </c>
      <c r="L139">
        <v>0.77904155952151855</v>
      </c>
      <c r="M139">
        <v>-0.77858953557842947</v>
      </c>
      <c r="N139">
        <v>47.401869807983303</v>
      </c>
      <c r="O139">
        <v>47.401874936974799</v>
      </c>
      <c r="P139">
        <v>47.401850732818403</v>
      </c>
      <c r="Q139" t="s">
        <v>51</v>
      </c>
    </row>
    <row r="140" spans="1:17" x14ac:dyDescent="0.2">
      <c r="A140">
        <v>139</v>
      </c>
      <c r="B140">
        <v>764</v>
      </c>
      <c r="C140">
        <v>180</v>
      </c>
      <c r="D140">
        <v>0.40858169020874802</v>
      </c>
      <c r="E140">
        <v>109.68244069532</v>
      </c>
      <c r="F140">
        <v>1.8024240659589501</v>
      </c>
      <c r="G140">
        <v>-1824.4475824212627</v>
      </c>
      <c r="H140">
        <v>-1496.3351784352324</v>
      </c>
      <c r="I140">
        <v>316.362759548074</v>
      </c>
      <c r="J140">
        <v>161.91828676202999</v>
      </c>
      <c r="K140">
        <v>60.852738690528803</v>
      </c>
      <c r="L140">
        <v>0.77850891543574219</v>
      </c>
      <c r="M140">
        <v>-0.77805648590348919</v>
      </c>
      <c r="N140">
        <v>47.352451988706498</v>
      </c>
      <c r="O140">
        <v>47.352456941846498</v>
      </c>
      <c r="P140">
        <v>47.352432704885501</v>
      </c>
      <c r="Q140" t="s">
        <v>51</v>
      </c>
    </row>
    <row r="141" spans="1:17" x14ac:dyDescent="0.2">
      <c r="A141">
        <v>140</v>
      </c>
      <c r="B141">
        <v>763</v>
      </c>
      <c r="C141">
        <v>180</v>
      </c>
      <c r="D141">
        <v>0.40794334797085602</v>
      </c>
      <c r="E141">
        <v>109.682459539779</v>
      </c>
      <c r="F141">
        <v>1.8023016893253001</v>
      </c>
      <c r="G141">
        <v>-1824.1316429085277</v>
      </c>
      <c r="H141">
        <v>-1496.5839947851309</v>
      </c>
      <c r="I141">
        <v>316.123050755409</v>
      </c>
      <c r="J141">
        <v>161.911728338616</v>
      </c>
      <c r="K141">
        <v>60.856881059041697</v>
      </c>
      <c r="L141">
        <v>0.77474548217912032</v>
      </c>
      <c r="M141">
        <v>-0.77429067264604667</v>
      </c>
      <c r="N141">
        <v>47.126515773829198</v>
      </c>
      <c r="O141">
        <v>47.126520575367799</v>
      </c>
      <c r="P141">
        <v>47.126496193453903</v>
      </c>
      <c r="Q141" t="s">
        <v>51</v>
      </c>
    </row>
    <row r="142" spans="1:17" x14ac:dyDescent="0.2">
      <c r="A142">
        <v>141</v>
      </c>
      <c r="B142">
        <v>762</v>
      </c>
      <c r="C142">
        <v>180</v>
      </c>
      <c r="D142">
        <v>0.40730377240013699</v>
      </c>
      <c r="E142">
        <v>109.68247834148301</v>
      </c>
      <c r="F142">
        <v>1.8021834597925499</v>
      </c>
      <c r="G142">
        <v>-1823.8159425284734</v>
      </c>
      <c r="H142">
        <v>-1496.8328835406328</v>
      </c>
      <c r="I142">
        <v>315.883039928416</v>
      </c>
      <c r="J142">
        <v>161.90595727064999</v>
      </c>
      <c r="K142">
        <v>60.860883915841299</v>
      </c>
      <c r="L142">
        <v>0.77096946516710951</v>
      </c>
      <c r="M142">
        <v>-0.77051227551304224</v>
      </c>
      <c r="N142">
        <v>46.899674855004299</v>
      </c>
      <c r="O142">
        <v>46.899679501561003</v>
      </c>
      <c r="P142">
        <v>46.899654974528801</v>
      </c>
      <c r="Q142" t="s">
        <v>51</v>
      </c>
    </row>
    <row r="143" spans="1:17" x14ac:dyDescent="0.2">
      <c r="A143">
        <v>142</v>
      </c>
      <c r="B143">
        <v>761</v>
      </c>
      <c r="C143">
        <v>180</v>
      </c>
      <c r="D143">
        <v>0.40666295991877599</v>
      </c>
      <c r="E143">
        <v>109.682501663454</v>
      </c>
      <c r="F143">
        <v>1.80126061895281</v>
      </c>
      <c r="G143">
        <v>-1823.5005773572807</v>
      </c>
      <c r="H143">
        <v>-1497.1992939290649</v>
      </c>
      <c r="I143">
        <v>315.52927004283299</v>
      </c>
      <c r="J143">
        <v>161.90519714388401</v>
      </c>
      <c r="K143">
        <v>60.892077753423202</v>
      </c>
      <c r="L143">
        <v>0.76138568487283542</v>
      </c>
      <c r="M143">
        <v>-0.76092310847839262</v>
      </c>
      <c r="N143">
        <v>46.339860830913601</v>
      </c>
      <c r="O143">
        <v>46.339865353779999</v>
      </c>
      <c r="P143">
        <v>46.3398405128696</v>
      </c>
      <c r="Q143" t="s">
        <v>51</v>
      </c>
    </row>
    <row r="144" spans="1:17" x14ac:dyDescent="0.2">
      <c r="A144">
        <v>143</v>
      </c>
      <c r="B144">
        <v>760</v>
      </c>
      <c r="C144">
        <v>180</v>
      </c>
      <c r="D144">
        <v>0.40602090693510101</v>
      </c>
      <c r="E144">
        <v>109.68253197262899</v>
      </c>
      <c r="F144">
        <v>1.79889471764209</v>
      </c>
      <c r="G144">
        <v>-1823.1858140953111</v>
      </c>
      <c r="H144">
        <v>-1497.7757449865044</v>
      </c>
      <c r="I144">
        <v>314.97213574535698</v>
      </c>
      <c r="J144">
        <v>161.912558859835</v>
      </c>
      <c r="K144">
        <v>60.972179692870498</v>
      </c>
      <c r="L144">
        <v>0.74138684253680132</v>
      </c>
      <c r="M144">
        <v>-0.74091350797734346</v>
      </c>
      <c r="N144">
        <v>45.180907538930299</v>
      </c>
      <c r="O144">
        <v>45.180911992511902</v>
      </c>
      <c r="P144">
        <v>45.180886535046</v>
      </c>
      <c r="Q144" t="s">
        <v>51</v>
      </c>
    </row>
    <row r="145" spans="1:17" x14ac:dyDescent="0.2">
      <c r="A145">
        <v>144</v>
      </c>
      <c r="B145">
        <v>759</v>
      </c>
      <c r="C145">
        <v>180</v>
      </c>
      <c r="D145">
        <v>0.40537760984353299</v>
      </c>
      <c r="E145">
        <v>109.68256131314899</v>
      </c>
      <c r="F145">
        <v>1.79622786532683</v>
      </c>
      <c r="G145">
        <v>-1822.8716111577057</v>
      </c>
      <c r="H145">
        <v>-1498.395879070491</v>
      </c>
      <c r="I145">
        <v>314.37215071757203</v>
      </c>
      <c r="J145">
        <v>161.92037974357299</v>
      </c>
      <c r="K145">
        <v>61.062721178302098</v>
      </c>
      <c r="L145">
        <v>0.71911127211606163</v>
      </c>
      <c r="M145">
        <v>-0.71862607431351855</v>
      </c>
      <c r="N145">
        <v>43.887197801376402</v>
      </c>
      <c r="O145">
        <v>43.887202187963702</v>
      </c>
      <c r="P145">
        <v>43.887176049534801</v>
      </c>
      <c r="Q145" t="s">
        <v>51</v>
      </c>
    </row>
    <row r="146" spans="1:17" x14ac:dyDescent="0.2">
      <c r="A146">
        <v>145</v>
      </c>
      <c r="B146">
        <v>758</v>
      </c>
      <c r="C146">
        <v>180</v>
      </c>
      <c r="D146">
        <v>0.40473306502448703</v>
      </c>
      <c r="E146">
        <v>109.682556238411</v>
      </c>
      <c r="F146">
        <v>1.7801659345135801</v>
      </c>
      <c r="G146">
        <v>-1822.5581214334504</v>
      </c>
      <c r="H146">
        <v>-1501.0604785952014</v>
      </c>
      <c r="I146">
        <v>311.78934854556201</v>
      </c>
      <c r="J146">
        <v>161.745694408579</v>
      </c>
      <c r="K146">
        <v>61.6136698899262</v>
      </c>
      <c r="L146">
        <v>0.59379391164381334</v>
      </c>
      <c r="M146">
        <v>-0.59324796679502789</v>
      </c>
      <c r="N146">
        <v>36.558892283037402</v>
      </c>
      <c r="O146">
        <v>36.558897092289897</v>
      </c>
      <c r="P146">
        <v>36.5588674941039</v>
      </c>
      <c r="Q146" t="s">
        <v>51</v>
      </c>
    </row>
    <row r="147" spans="1:17" x14ac:dyDescent="0.2">
      <c r="A147">
        <v>146</v>
      </c>
      <c r="B147">
        <v>757</v>
      </c>
      <c r="C147">
        <v>180</v>
      </c>
      <c r="D147">
        <v>0.40408726884434598</v>
      </c>
      <c r="E147">
        <v>109.682531408377</v>
      </c>
      <c r="F147">
        <v>1.76448558779785</v>
      </c>
      <c r="G147">
        <v>-1822.2473256286298</v>
      </c>
      <c r="H147">
        <v>-1503.769394806337</v>
      </c>
      <c r="I147">
        <v>309.16113114090001</v>
      </c>
      <c r="J147">
        <v>161.55815681594001</v>
      </c>
      <c r="K147">
        <v>62.161194269240902</v>
      </c>
      <c r="L147">
        <v>0.4685070570945028</v>
      </c>
      <c r="M147">
        <v>-0.46790094253360892</v>
      </c>
      <c r="N147">
        <v>29.092765008147602</v>
      </c>
      <c r="O147">
        <v>29.092770190788901</v>
      </c>
      <c r="P147">
        <v>29.092737103283799</v>
      </c>
      <c r="Q147" t="s">
        <v>51</v>
      </c>
    </row>
    <row r="148" spans="1:17" x14ac:dyDescent="0.2">
      <c r="A148">
        <v>147</v>
      </c>
      <c r="B148">
        <v>756</v>
      </c>
      <c r="C148">
        <v>180</v>
      </c>
      <c r="D148">
        <v>0.40344021765534699</v>
      </c>
      <c r="E148">
        <v>109.688947554192</v>
      </c>
      <c r="F148">
        <v>1.7385750596896601</v>
      </c>
      <c r="G148">
        <v>-1822.0444732777573</v>
      </c>
      <c r="H148">
        <v>-1508.3271297168671</v>
      </c>
      <c r="I148">
        <v>304.836536731791</v>
      </c>
      <c r="J148">
        <v>161.17256878069</v>
      </c>
      <c r="K148">
        <v>63.091292459798602</v>
      </c>
      <c r="L148">
        <v>0.26625433169689278</v>
      </c>
      <c r="M148">
        <v>-0.26555093747022707</v>
      </c>
      <c r="N148">
        <v>16.762727774792101</v>
      </c>
      <c r="O148">
        <v>16.7627336563339</v>
      </c>
      <c r="P148">
        <v>16.762694787653899</v>
      </c>
      <c r="Q148" t="s">
        <v>51</v>
      </c>
    </row>
    <row r="149" spans="1:17" x14ac:dyDescent="0.2">
      <c r="A149">
        <v>148</v>
      </c>
      <c r="B149">
        <v>755</v>
      </c>
      <c r="C149">
        <v>180</v>
      </c>
      <c r="D149">
        <v>0.40279190779555302</v>
      </c>
      <c r="E149">
        <v>109.69196054807701</v>
      </c>
      <c r="F149">
        <v>1.7234683581539001</v>
      </c>
      <c r="G149">
        <v>-1821.7901411366083</v>
      </c>
      <c r="H149">
        <v>-1511.2253028819944</v>
      </c>
      <c r="I149">
        <v>302.06729932191502</v>
      </c>
      <c r="J149">
        <v>160.929130318082</v>
      </c>
      <c r="K149">
        <v>63.646054207559899</v>
      </c>
      <c r="L149">
        <v>0.14353995312733908</v>
      </c>
      <c r="M149">
        <v>-0.14277769486585143</v>
      </c>
      <c r="N149">
        <v>9.09679920561336</v>
      </c>
      <c r="O149">
        <v>9.0968053501530193</v>
      </c>
      <c r="P149">
        <v>9.0967628949555408</v>
      </c>
      <c r="Q149" t="s">
        <v>51</v>
      </c>
    </row>
    <row r="150" spans="1:17" x14ac:dyDescent="0.2">
      <c r="A150">
        <v>149</v>
      </c>
      <c r="B150">
        <v>754</v>
      </c>
      <c r="C150">
        <v>180</v>
      </c>
      <c r="D150">
        <v>0.402142335588766</v>
      </c>
      <c r="E150">
        <v>109.69207505122</v>
      </c>
      <c r="F150">
        <v>1.7171332774328301</v>
      </c>
      <c r="G150">
        <v>-1821.4907263498444</v>
      </c>
      <c r="H150">
        <v>-1512.667507112026</v>
      </c>
      <c r="I150">
        <v>300.66601715815301</v>
      </c>
      <c r="J150">
        <v>160.82967303824901</v>
      </c>
      <c r="K150">
        <v>63.880932536124398</v>
      </c>
      <c r="L150">
        <v>8.629608099916812E-2</v>
      </c>
      <c r="M150">
        <v>-8.5506478984934284E-2</v>
      </c>
      <c r="N150">
        <v>5.4721485741220901</v>
      </c>
      <c r="O150">
        <v>5.47215464063233</v>
      </c>
      <c r="P150">
        <v>5.4721104948459596</v>
      </c>
      <c r="Q150" t="s">
        <v>51</v>
      </c>
    </row>
    <row r="151" spans="1:17" x14ac:dyDescent="0.2">
      <c r="A151">
        <v>150</v>
      </c>
      <c r="B151">
        <v>753</v>
      </c>
      <c r="C151">
        <v>180</v>
      </c>
      <c r="D151">
        <v>0.401491497344444</v>
      </c>
      <c r="E151">
        <v>109.692098003414</v>
      </c>
      <c r="F151">
        <v>1.7151632576518501</v>
      </c>
      <c r="G151">
        <v>-1821.1908085069283</v>
      </c>
      <c r="H151">
        <v>-1513.3712694050469</v>
      </c>
      <c r="I151">
        <v>299.98101048617298</v>
      </c>
      <c r="J151">
        <v>160.814731144207</v>
      </c>
      <c r="K151">
        <v>63.954318933806803</v>
      </c>
      <c r="L151">
        <v>6.2296267824315896E-2</v>
      </c>
      <c r="M151">
        <v>-6.1495274128637277E-2</v>
      </c>
      <c r="N151">
        <v>3.94293324144444</v>
      </c>
      <c r="O151">
        <v>3.94293906281121</v>
      </c>
      <c r="P151">
        <v>3.9428942042158899</v>
      </c>
      <c r="Q151" t="s">
        <v>51</v>
      </c>
    </row>
    <row r="152" spans="1:17" x14ac:dyDescent="0.2">
      <c r="A152">
        <v>151</v>
      </c>
      <c r="B152">
        <v>771</v>
      </c>
      <c r="C152">
        <v>165</v>
      </c>
      <c r="D152">
        <v>0.42881817746492201</v>
      </c>
      <c r="E152">
        <v>109.682388759982</v>
      </c>
      <c r="F152">
        <v>1.7553133299703501</v>
      </c>
      <c r="G152">
        <v>-1827.5913083116527</v>
      </c>
      <c r="H152">
        <v>-1495.6402382880365</v>
      </c>
      <c r="I152">
        <v>317.91834565977501</v>
      </c>
      <c r="J152">
        <v>162.26366120755401</v>
      </c>
      <c r="K152">
        <v>62.4859316494992</v>
      </c>
      <c r="L152">
        <v>0.75718867619875463</v>
      </c>
      <c r="M152">
        <v>-0.75665935930621941</v>
      </c>
      <c r="N152">
        <v>47.287945723561499</v>
      </c>
      <c r="O152">
        <v>47.287959751015499</v>
      </c>
      <c r="P152">
        <v>47.287928335266798</v>
      </c>
      <c r="Q152" t="s">
        <v>51</v>
      </c>
    </row>
    <row r="153" spans="1:17" x14ac:dyDescent="0.2">
      <c r="A153">
        <v>152</v>
      </c>
      <c r="B153">
        <v>770</v>
      </c>
      <c r="C153">
        <v>165</v>
      </c>
      <c r="D153">
        <v>0.428203518190098</v>
      </c>
      <c r="E153">
        <v>109.68241163358999</v>
      </c>
      <c r="F153">
        <v>1.75595657835079</v>
      </c>
      <c r="G153">
        <v>-1827.2738400252426</v>
      </c>
      <c r="H153">
        <v>-1495.8251311664212</v>
      </c>
      <c r="I153">
        <v>317.74153679944698</v>
      </c>
      <c r="J153">
        <v>162.26897172141901</v>
      </c>
      <c r="K153">
        <v>62.463054602753999</v>
      </c>
      <c r="L153">
        <v>0.75645919431224296</v>
      </c>
      <c r="M153">
        <v>-0.75592920885501469</v>
      </c>
      <c r="N153">
        <v>47.225018347867298</v>
      </c>
      <c r="O153">
        <v>47.225032206278897</v>
      </c>
      <c r="P153">
        <v>47.225000733217797</v>
      </c>
      <c r="Q153" t="s">
        <v>51</v>
      </c>
    </row>
    <row r="154" spans="1:17" x14ac:dyDescent="0.2">
      <c r="A154">
        <v>153</v>
      </c>
      <c r="B154">
        <v>769</v>
      </c>
      <c r="C154">
        <v>165</v>
      </c>
      <c r="D154">
        <v>0.42758767931679997</v>
      </c>
      <c r="E154">
        <v>109.68243007839</v>
      </c>
      <c r="F154">
        <v>1.7559014076423001</v>
      </c>
      <c r="G154">
        <v>-1826.9565136346478</v>
      </c>
      <c r="H154">
        <v>-1496.0713588744193</v>
      </c>
      <c r="I154">
        <v>317.50568264420002</v>
      </c>
      <c r="J154">
        <v>162.26157541445599</v>
      </c>
      <c r="K154">
        <v>62.465027706574702</v>
      </c>
      <c r="L154">
        <v>0.75294417802175384</v>
      </c>
      <c r="M154">
        <v>-0.7524117120965953</v>
      </c>
      <c r="N154">
        <v>47.006806874956297</v>
      </c>
      <c r="O154">
        <v>47.006820615241601</v>
      </c>
      <c r="P154">
        <v>47.006788968328898</v>
      </c>
      <c r="Q154" t="s">
        <v>51</v>
      </c>
    </row>
    <row r="155" spans="1:17" x14ac:dyDescent="0.2">
      <c r="A155">
        <v>154</v>
      </c>
      <c r="B155">
        <v>768</v>
      </c>
      <c r="C155">
        <v>165</v>
      </c>
      <c r="D155">
        <v>0.42697065744609403</v>
      </c>
      <c r="E155">
        <v>109.68244848975</v>
      </c>
      <c r="F155">
        <v>1.7558507456294701</v>
      </c>
      <c r="G155">
        <v>-1826.6394226454963</v>
      </c>
      <c r="H155">
        <v>-1496.3176062999905</v>
      </c>
      <c r="I155">
        <v>317.26958261296602</v>
      </c>
      <c r="J155">
        <v>162.25492223529301</v>
      </c>
      <c r="K155">
        <v>62.466840511793997</v>
      </c>
      <c r="L155">
        <v>0.74941932980578596</v>
      </c>
      <c r="M155">
        <v>-0.74888438303745586</v>
      </c>
      <c r="N155">
        <v>46.7878471096654</v>
      </c>
      <c r="O155">
        <v>46.787860727994399</v>
      </c>
      <c r="P155">
        <v>46.787828906883298</v>
      </c>
      <c r="Q155" t="s">
        <v>51</v>
      </c>
    </row>
    <row r="156" spans="1:17" x14ac:dyDescent="0.2">
      <c r="A156">
        <v>155</v>
      </c>
      <c r="B156">
        <v>767</v>
      </c>
      <c r="C156">
        <v>165</v>
      </c>
      <c r="D156">
        <v>0.42635244916598902</v>
      </c>
      <c r="E156">
        <v>109.682466868598</v>
      </c>
      <c r="F156">
        <v>1.7558050985146401</v>
      </c>
      <c r="G156">
        <v>-1826.322567301625</v>
      </c>
      <c r="H156">
        <v>-1496.5638369505443</v>
      </c>
      <c r="I156">
        <v>317.03327130623597</v>
      </c>
      <c r="J156">
        <v>162.24901523283</v>
      </c>
      <c r="K156">
        <v>62.468474981298797</v>
      </c>
      <c r="L156">
        <v>0.74588624070384202</v>
      </c>
      <c r="M156">
        <v>-0.74534881409975373</v>
      </c>
      <c r="N156">
        <v>46.568226706130403</v>
      </c>
      <c r="O156">
        <v>46.568240198592399</v>
      </c>
      <c r="P156">
        <v>46.5682082030267</v>
      </c>
      <c r="Q156" t="s">
        <v>51</v>
      </c>
    </row>
    <row r="157" spans="1:17" x14ac:dyDescent="0.2">
      <c r="A157">
        <v>156</v>
      </c>
      <c r="B157">
        <v>766</v>
      </c>
      <c r="C157">
        <v>165</v>
      </c>
      <c r="D157">
        <v>0.42573305105134501</v>
      </c>
      <c r="E157">
        <v>109.682485215851</v>
      </c>
      <c r="F157">
        <v>1.7557649574060901</v>
      </c>
      <c r="G157">
        <v>-1826.0059478125345</v>
      </c>
      <c r="H157">
        <v>-1496.8100152442323</v>
      </c>
      <c r="I157">
        <v>316.79678254837302</v>
      </c>
      <c r="J157">
        <v>162.24385699544999</v>
      </c>
      <c r="K157">
        <v>62.469913614116599</v>
      </c>
      <c r="L157">
        <v>0.74234645455414916</v>
      </c>
      <c r="M157">
        <v>-0.74180655047680188</v>
      </c>
      <c r="N157">
        <v>46.3480310409278</v>
      </c>
      <c r="O157">
        <v>46.348044403534402</v>
      </c>
      <c r="P157">
        <v>46.348012233347497</v>
      </c>
      <c r="Q157" t="s">
        <v>51</v>
      </c>
    </row>
    <row r="158" spans="1:17" x14ac:dyDescent="0.2">
      <c r="A158">
        <v>157</v>
      </c>
      <c r="B158">
        <v>765</v>
      </c>
      <c r="C158">
        <v>165</v>
      </c>
      <c r="D158">
        <v>0.42511245966382499</v>
      </c>
      <c r="E158">
        <v>109.682506337409</v>
      </c>
      <c r="F158">
        <v>1.75517750130885</v>
      </c>
      <c r="G158">
        <v>-1825.6896186148906</v>
      </c>
      <c r="H158">
        <v>-1497.1304429154509</v>
      </c>
      <c r="I158">
        <v>316.488610178893</v>
      </c>
      <c r="J158">
        <v>162.23951604293001</v>
      </c>
      <c r="K158">
        <v>62.490834263553602</v>
      </c>
      <c r="L158">
        <v>0.73516763800893103</v>
      </c>
      <c r="M158">
        <v>-0.73462323656028761</v>
      </c>
      <c r="N158">
        <v>45.914705365035203</v>
      </c>
      <c r="O158">
        <v>45.914718648378297</v>
      </c>
      <c r="P158">
        <v>45.914686175302599</v>
      </c>
      <c r="Q158" t="s">
        <v>51</v>
      </c>
    </row>
    <row r="159" spans="1:17" x14ac:dyDescent="0.2">
      <c r="A159">
        <v>158</v>
      </c>
      <c r="B159">
        <v>764</v>
      </c>
      <c r="C159">
        <v>165</v>
      </c>
      <c r="D159">
        <v>0.424490671551851</v>
      </c>
      <c r="E159">
        <v>109.682535920593</v>
      </c>
      <c r="F159">
        <v>1.7527185391391</v>
      </c>
      <c r="G159">
        <v>-1825.3738817746851</v>
      </c>
      <c r="H159">
        <v>-1497.703277983944</v>
      </c>
      <c r="I159">
        <v>315.93709337099801</v>
      </c>
      <c r="J159">
        <v>162.235762723649</v>
      </c>
      <c r="K159">
        <v>62.578522147924097</v>
      </c>
      <c r="L159">
        <v>0.71560288776534298</v>
      </c>
      <c r="M159">
        <v>-0.71504712494608702</v>
      </c>
      <c r="N159">
        <v>44.754226112062902</v>
      </c>
      <c r="O159">
        <v>44.754239494065402</v>
      </c>
      <c r="P159">
        <v>44.754206281388299</v>
      </c>
      <c r="Q159" t="s">
        <v>51</v>
      </c>
    </row>
    <row r="160" spans="1:17" x14ac:dyDescent="0.2">
      <c r="A160">
        <v>159</v>
      </c>
      <c r="B160">
        <v>763</v>
      </c>
      <c r="C160">
        <v>165</v>
      </c>
      <c r="D160">
        <v>0.42386768325049901</v>
      </c>
      <c r="E160">
        <v>109.682564499938</v>
      </c>
      <c r="F160">
        <v>1.7499461356099499</v>
      </c>
      <c r="G160">
        <v>-1825.0586987640736</v>
      </c>
      <c r="H160">
        <v>-1498.3191743148504</v>
      </c>
      <c r="I160">
        <v>315.34349545510702</v>
      </c>
      <c r="J160">
        <v>162.230622932725</v>
      </c>
      <c r="K160">
        <v>62.677680339976497</v>
      </c>
      <c r="L160">
        <v>0.69381717796686726</v>
      </c>
      <c r="M160">
        <v>-0.6932488997101196</v>
      </c>
      <c r="N160">
        <v>43.459030637836698</v>
      </c>
      <c r="O160">
        <v>43.4590441391721</v>
      </c>
      <c r="P160">
        <v>43.459010110391397</v>
      </c>
      <c r="Q160" t="s">
        <v>51</v>
      </c>
    </row>
    <row r="161" spans="1:17" x14ac:dyDescent="0.2">
      <c r="A161">
        <v>160</v>
      </c>
      <c r="B161">
        <v>762</v>
      </c>
      <c r="C161">
        <v>165</v>
      </c>
      <c r="D161">
        <v>0.42324349128146099</v>
      </c>
      <c r="E161">
        <v>109.68257343933099</v>
      </c>
      <c r="F161">
        <v>1.73897043538442</v>
      </c>
      <c r="G161">
        <v>-1824.7440204871712</v>
      </c>
      <c r="H161">
        <v>-1500.096387655517</v>
      </c>
      <c r="I161">
        <v>313.62755188434801</v>
      </c>
      <c r="J161">
        <v>162.08660901947101</v>
      </c>
      <c r="K161">
        <v>63.073282447774602</v>
      </c>
      <c r="L161">
        <v>0.61389927134955058</v>
      </c>
      <c r="M161">
        <v>-0.61328883968969683</v>
      </c>
      <c r="N161">
        <v>38.690539721180897</v>
      </c>
      <c r="O161">
        <v>38.690554099853998</v>
      </c>
      <c r="P161">
        <v>38.690517351674103</v>
      </c>
      <c r="Q161" t="s">
        <v>51</v>
      </c>
    </row>
    <row r="162" spans="1:17" x14ac:dyDescent="0.2">
      <c r="A162">
        <v>161</v>
      </c>
      <c r="B162">
        <v>761</v>
      </c>
      <c r="C162">
        <v>165</v>
      </c>
      <c r="D162">
        <v>0.42261809215297602</v>
      </c>
      <c r="E162">
        <v>109.682549695565</v>
      </c>
      <c r="F162">
        <v>1.72115770607761</v>
      </c>
      <c r="G162">
        <v>-1824.4314624328217</v>
      </c>
      <c r="H162">
        <v>-1502.9333700597263</v>
      </c>
      <c r="I162">
        <v>310.88574228457702</v>
      </c>
      <c r="J162">
        <v>161.804233295079</v>
      </c>
      <c r="K162">
        <v>63.7260312104249</v>
      </c>
      <c r="L162">
        <v>0.48317467992864582</v>
      </c>
      <c r="M162">
        <v>-0.48249668940896107</v>
      </c>
      <c r="N162">
        <v>30.7569873402228</v>
      </c>
      <c r="O162">
        <v>30.757003234615102</v>
      </c>
      <c r="P162">
        <v>30.756962067248701</v>
      </c>
      <c r="Q162" t="s">
        <v>51</v>
      </c>
    </row>
    <row r="163" spans="1:17" x14ac:dyDescent="0.2">
      <c r="A163">
        <v>162</v>
      </c>
      <c r="B163">
        <v>760</v>
      </c>
      <c r="C163">
        <v>165</v>
      </c>
      <c r="D163">
        <v>0.42199148235977502</v>
      </c>
      <c r="E163">
        <v>109.682525567013</v>
      </c>
      <c r="F163">
        <v>1.70974642916943</v>
      </c>
      <c r="G163">
        <v>-1824.1211909103401</v>
      </c>
      <c r="H163">
        <v>-1504.9152049431536</v>
      </c>
      <c r="I163">
        <v>308.96840034455101</v>
      </c>
      <c r="J163">
        <v>161.62307543327699</v>
      </c>
      <c r="K163">
        <v>64.151340629086704</v>
      </c>
      <c r="L163">
        <v>0.39599056872612681</v>
      </c>
      <c r="M163">
        <v>-0.39526757473269625</v>
      </c>
      <c r="N163">
        <v>25.3669906230949</v>
      </c>
      <c r="O163">
        <v>25.367007418279201</v>
      </c>
      <c r="P163">
        <v>25.366963248488702</v>
      </c>
      <c r="Q163" t="s">
        <v>51</v>
      </c>
    </row>
    <row r="164" spans="1:17" x14ac:dyDescent="0.2">
      <c r="A164">
        <v>163</v>
      </c>
      <c r="B164">
        <v>759</v>
      </c>
      <c r="C164">
        <v>165</v>
      </c>
      <c r="D164">
        <v>0.42136365838299</v>
      </c>
      <c r="E164">
        <v>109.691754297733</v>
      </c>
      <c r="F164">
        <v>1.6803522667455499</v>
      </c>
      <c r="G164">
        <v>-1823.9660435600374</v>
      </c>
      <c r="H164">
        <v>-1509.8852829997227</v>
      </c>
      <c r="I164">
        <v>304.302936457969</v>
      </c>
      <c r="J164">
        <v>161.03233746296499</v>
      </c>
      <c r="K164">
        <v>65.279023017108699</v>
      </c>
      <c r="L164">
        <v>0.18350842204438297</v>
      </c>
      <c r="M164">
        <v>-0.18267563815869159</v>
      </c>
      <c r="N164">
        <v>11.9366127087993</v>
      </c>
      <c r="O164">
        <v>11.936632094698799</v>
      </c>
      <c r="P164">
        <v>11.936580427332199</v>
      </c>
      <c r="Q164" t="s">
        <v>51</v>
      </c>
    </row>
    <row r="165" spans="1:17" x14ac:dyDescent="0.2">
      <c r="A165">
        <v>164</v>
      </c>
      <c r="B165">
        <v>758</v>
      </c>
      <c r="C165">
        <v>165</v>
      </c>
      <c r="D165">
        <v>0.42073461669010398</v>
      </c>
      <c r="E165">
        <v>109.692320073825</v>
      </c>
      <c r="F165">
        <v>1.6703282111033899</v>
      </c>
      <c r="G165">
        <v>-1823.672017540697</v>
      </c>
      <c r="H165">
        <v>-1511.8453777158709</v>
      </c>
      <c r="I165">
        <v>302.41231509656501</v>
      </c>
      <c r="J165">
        <v>160.81988991860899</v>
      </c>
      <c r="K165">
        <v>65.671117415519205</v>
      </c>
      <c r="L165">
        <v>0.10424144055605804</v>
      </c>
      <c r="M165">
        <v>-0.1033677673027651</v>
      </c>
      <c r="N165">
        <v>6.8006164820638499</v>
      </c>
      <c r="O165">
        <v>6.8006366035430901</v>
      </c>
      <c r="P165">
        <v>6.8005820704600604</v>
      </c>
      <c r="Q165" t="s">
        <v>51</v>
      </c>
    </row>
    <row r="166" spans="1:17" x14ac:dyDescent="0.2">
      <c r="A166">
        <v>165</v>
      </c>
      <c r="B166">
        <v>757</v>
      </c>
      <c r="C166">
        <v>165</v>
      </c>
      <c r="D166">
        <v>0.42010435373489502</v>
      </c>
      <c r="E166">
        <v>109.69231455268999</v>
      </c>
      <c r="F166">
        <v>1.66681309746018</v>
      </c>
      <c r="G166">
        <v>-1823.3700126762137</v>
      </c>
      <c r="H166">
        <v>-1512.7786835199026</v>
      </c>
      <c r="I166">
        <v>301.50684627221102</v>
      </c>
      <c r="J166">
        <v>160.754646292334</v>
      </c>
      <c r="K166">
        <v>65.809606799847003</v>
      </c>
      <c r="L166">
        <v>7.0551437545028253E-2</v>
      </c>
      <c r="M166">
        <v>-6.966038350294583E-2</v>
      </c>
      <c r="N166">
        <v>4.5969025310860401</v>
      </c>
      <c r="O166">
        <v>4.5969227416782603</v>
      </c>
      <c r="P166">
        <v>4.5968669715426698</v>
      </c>
      <c r="Q166" t="s">
        <v>51</v>
      </c>
    </row>
    <row r="167" spans="1:17" x14ac:dyDescent="0.2">
      <c r="A167">
        <v>166</v>
      </c>
      <c r="B167">
        <v>778</v>
      </c>
      <c r="C167">
        <v>150</v>
      </c>
      <c r="D167">
        <v>0.44878514008467002</v>
      </c>
      <c r="E167">
        <v>109.682340229053</v>
      </c>
      <c r="F167">
        <v>1.69937450339625</v>
      </c>
      <c r="G167">
        <v>-1830.7736134573797</v>
      </c>
      <c r="H167">
        <v>-1494.9170102553785</v>
      </c>
      <c r="I167">
        <v>319.51683582037901</v>
      </c>
      <c r="J167">
        <v>162.474461193504</v>
      </c>
      <c r="K167">
        <v>64.542771478476098</v>
      </c>
      <c r="L167">
        <v>0.73117301883639185</v>
      </c>
      <c r="M167">
        <v>-0.73055080630477831</v>
      </c>
      <c r="N167">
        <v>47.161719874715203</v>
      </c>
      <c r="O167">
        <v>47.161747333370897</v>
      </c>
      <c r="P167">
        <v>47.161706164023599</v>
      </c>
      <c r="Q167" t="s">
        <v>51</v>
      </c>
    </row>
    <row r="168" spans="1:17" x14ac:dyDescent="0.2">
      <c r="A168">
        <v>167</v>
      </c>
      <c r="B168">
        <v>777</v>
      </c>
      <c r="C168">
        <v>150</v>
      </c>
      <c r="D168">
        <v>0.44819359139171</v>
      </c>
      <c r="E168">
        <v>109.682364143009</v>
      </c>
      <c r="F168">
        <v>1.70033985303114</v>
      </c>
      <c r="G168">
        <v>-1830.4545608267063</v>
      </c>
      <c r="H168">
        <v>-1495.0798840530226</v>
      </c>
      <c r="I168">
        <v>319.36218210120001</v>
      </c>
      <c r="J168">
        <v>162.48760373627701</v>
      </c>
      <c r="K168">
        <v>64.506142079468205</v>
      </c>
      <c r="L168">
        <v>0.73148964425515695</v>
      </c>
      <c r="M168">
        <v>-0.7308672943349015</v>
      </c>
      <c r="N168">
        <v>47.155351046042099</v>
      </c>
      <c r="O168">
        <v>47.155378337555803</v>
      </c>
      <c r="P168">
        <v>47.1553371427268</v>
      </c>
      <c r="Q168" t="s">
        <v>51</v>
      </c>
    </row>
    <row r="169" spans="1:17" x14ac:dyDescent="0.2">
      <c r="A169">
        <v>168</v>
      </c>
      <c r="B169">
        <v>776</v>
      </c>
      <c r="C169">
        <v>150</v>
      </c>
      <c r="D169">
        <v>0.447600915026452</v>
      </c>
      <c r="E169">
        <v>109.682382267834</v>
      </c>
      <c r="F169">
        <v>1.7003698422995099</v>
      </c>
      <c r="G169">
        <v>-1830.1356052663973</v>
      </c>
      <c r="H169">
        <v>-1495.321746430762</v>
      </c>
      <c r="I169">
        <v>319.13205239909797</v>
      </c>
      <c r="J169">
        <v>162.479253244094</v>
      </c>
      <c r="K169">
        <v>64.505015049846094</v>
      </c>
      <c r="L169">
        <v>0.72831042642112809</v>
      </c>
      <c r="M169">
        <v>-0.72768551750068422</v>
      </c>
      <c r="N169">
        <v>46.949305121311497</v>
      </c>
      <c r="O169">
        <v>46.949332363226198</v>
      </c>
      <c r="P169">
        <v>46.949290964880902</v>
      </c>
      <c r="Q169" t="s">
        <v>51</v>
      </c>
    </row>
    <row r="170" spans="1:17" x14ac:dyDescent="0.2">
      <c r="A170">
        <v>169</v>
      </c>
      <c r="B170">
        <v>775</v>
      </c>
      <c r="C170">
        <v>150</v>
      </c>
      <c r="D170">
        <v>0.44700710776129698</v>
      </c>
      <c r="E170">
        <v>109.682400239846</v>
      </c>
      <c r="F170">
        <v>1.70038402692679</v>
      </c>
      <c r="G170">
        <v>-1829.8168790406348</v>
      </c>
      <c r="H170">
        <v>-1495.5653157832178</v>
      </c>
      <c r="I170">
        <v>318.90007416113599</v>
      </c>
      <c r="J170">
        <v>162.471134798641</v>
      </c>
      <c r="K170">
        <v>64.504487517494397</v>
      </c>
      <c r="L170">
        <v>0.72504709074399298</v>
      </c>
      <c r="M170">
        <v>-0.72441956822177256</v>
      </c>
      <c r="N170">
        <v>46.738271949978497</v>
      </c>
      <c r="O170">
        <v>46.738299141139898</v>
      </c>
      <c r="P170">
        <v>46.738257534772302</v>
      </c>
      <c r="Q170" t="s">
        <v>51</v>
      </c>
    </row>
    <row r="171" spans="1:17" x14ac:dyDescent="0.2">
      <c r="A171">
        <v>170</v>
      </c>
      <c r="B171">
        <v>774</v>
      </c>
      <c r="C171">
        <v>150</v>
      </c>
      <c r="D171">
        <v>0.44641216635630598</v>
      </c>
      <c r="E171">
        <v>109.68241818761901</v>
      </c>
      <c r="F171">
        <v>1.70040337717393</v>
      </c>
      <c r="G171">
        <v>-1829.4983844535054</v>
      </c>
      <c r="H171">
        <v>-1495.8088332214536</v>
      </c>
      <c r="I171">
        <v>318.66792365925102</v>
      </c>
      <c r="J171">
        <v>162.46373125241701</v>
      </c>
      <c r="K171">
        <v>64.503764024458704</v>
      </c>
      <c r="L171">
        <v>0.7217773745714382</v>
      </c>
      <c r="M171">
        <v>-0.72114723804619163</v>
      </c>
      <c r="N171">
        <v>46.526689094469397</v>
      </c>
      <c r="O171">
        <v>46.526716230964503</v>
      </c>
      <c r="P171">
        <v>46.526674416041999</v>
      </c>
      <c r="Q171" t="s">
        <v>51</v>
      </c>
    </row>
    <row r="172" spans="1:17" x14ac:dyDescent="0.2">
      <c r="A172">
        <v>171</v>
      </c>
      <c r="B172">
        <v>773</v>
      </c>
      <c r="C172">
        <v>150</v>
      </c>
      <c r="D172">
        <v>0.44581608755914398</v>
      </c>
      <c r="E172">
        <v>109.682436112446</v>
      </c>
      <c r="F172">
        <v>1.70042836090104</v>
      </c>
      <c r="G172">
        <v>-1829.1801216830156</v>
      </c>
      <c r="H172">
        <v>-1496.0522660356792</v>
      </c>
      <c r="I172">
        <v>318.43563182907701</v>
      </c>
      <c r="J172">
        <v>162.457047095072</v>
      </c>
      <c r="K172">
        <v>64.502826837307097</v>
      </c>
      <c r="L172">
        <v>0.71850270146360329</v>
      </c>
      <c r="M172">
        <v>-0.71786995181763957</v>
      </c>
      <c r="N172">
        <v>46.314637645708302</v>
      </c>
      <c r="O172">
        <v>46.314664723503903</v>
      </c>
      <c r="P172">
        <v>46.314622699585698</v>
      </c>
      <c r="Q172" t="s">
        <v>51</v>
      </c>
    </row>
    <row r="173" spans="1:17" x14ac:dyDescent="0.2">
      <c r="A173">
        <v>172</v>
      </c>
      <c r="B173">
        <v>772</v>
      </c>
      <c r="C173">
        <v>150</v>
      </c>
      <c r="D173">
        <v>0.44521886810505501</v>
      </c>
      <c r="E173">
        <v>109.682454015475</v>
      </c>
      <c r="F173">
        <v>1.7004594306189</v>
      </c>
      <c r="G173">
        <v>-1828.8620908743196</v>
      </c>
      <c r="H173">
        <v>-1496.2955824483943</v>
      </c>
      <c r="I173">
        <v>318.20322880135399</v>
      </c>
      <c r="J173">
        <v>162.45108641185999</v>
      </c>
      <c r="K173">
        <v>64.501658810851495</v>
      </c>
      <c r="L173">
        <v>0.71522445085511654</v>
      </c>
      <c r="M173">
        <v>-0.71458909022618755</v>
      </c>
      <c r="N173">
        <v>46.102196501538302</v>
      </c>
      <c r="O173">
        <v>46.102223516483498</v>
      </c>
      <c r="P173">
        <v>46.102181283219601</v>
      </c>
      <c r="Q173" t="s">
        <v>51</v>
      </c>
    </row>
    <row r="174" spans="1:17" x14ac:dyDescent="0.2">
      <c r="A174">
        <v>173</v>
      </c>
      <c r="B174">
        <v>771</v>
      </c>
      <c r="C174">
        <v>150</v>
      </c>
      <c r="D174">
        <v>0.44462050471675502</v>
      </c>
      <c r="E174">
        <v>109.682471897987</v>
      </c>
      <c r="F174">
        <v>1.7004970220867699</v>
      </c>
      <c r="G174">
        <v>-1828.5442921450499</v>
      </c>
      <c r="H174">
        <v>-1496.5387517488734</v>
      </c>
      <c r="I174">
        <v>317.97074377440902</v>
      </c>
      <c r="J174">
        <v>162.44585290182701</v>
      </c>
      <c r="K174">
        <v>64.500243442584505</v>
      </c>
      <c r="L174">
        <v>0.71194395189943138</v>
      </c>
      <c r="M174">
        <v>-0.71130598364830033</v>
      </c>
      <c r="N174">
        <v>45.889441996433199</v>
      </c>
      <c r="O174">
        <v>45.889468944261502</v>
      </c>
      <c r="P174">
        <v>45.889426501390503</v>
      </c>
      <c r="Q174" t="s">
        <v>51</v>
      </c>
    </row>
    <row r="175" spans="1:17" x14ac:dyDescent="0.2">
      <c r="A175">
        <v>174</v>
      </c>
      <c r="B175">
        <v>770</v>
      </c>
      <c r="C175">
        <v>150</v>
      </c>
      <c r="D175">
        <v>0.44402099410439499</v>
      </c>
      <c r="E175">
        <v>109.682489761174</v>
      </c>
      <c r="F175">
        <v>1.7005415531641199</v>
      </c>
      <c r="G175">
        <v>-1828.2267255827587</v>
      </c>
      <c r="H175">
        <v>-1496.7817444019947</v>
      </c>
      <c r="I175">
        <v>317.73820490293201</v>
      </c>
      <c r="J175">
        <v>162.441349899595</v>
      </c>
      <c r="K175">
        <v>64.498564917213102</v>
      </c>
      <c r="L175">
        <v>0.70866247822704853</v>
      </c>
      <c r="M175">
        <v>-0.70802190690137656</v>
      </c>
      <c r="N175">
        <v>45.6764475818226</v>
      </c>
      <c r="O175">
        <v>45.676474458155099</v>
      </c>
      <c r="P175">
        <v>45.676431805502197</v>
      </c>
      <c r="Q175" t="s">
        <v>51</v>
      </c>
    </row>
    <row r="176" spans="1:17" x14ac:dyDescent="0.2">
      <c r="A176">
        <v>175</v>
      </c>
      <c r="B176">
        <v>769</v>
      </c>
      <c r="C176">
        <v>150</v>
      </c>
      <c r="D176">
        <v>0.44342033296550898</v>
      </c>
      <c r="E176">
        <v>109.682515316091</v>
      </c>
      <c r="F176">
        <v>1.6988277991188601</v>
      </c>
      <c r="G176">
        <v>-1827.9095885541888</v>
      </c>
      <c r="H176">
        <v>-1497.2430507158103</v>
      </c>
      <c r="I176">
        <v>317.29618519655497</v>
      </c>
      <c r="J176">
        <v>162.428310060912</v>
      </c>
      <c r="K176">
        <v>64.563645222300494</v>
      </c>
      <c r="L176">
        <v>0.69483050668093793</v>
      </c>
      <c r="M176">
        <v>-0.69418103575228218</v>
      </c>
      <c r="N176">
        <v>44.829034127877001</v>
      </c>
      <c r="O176">
        <v>44.829061219185498</v>
      </c>
      <c r="P176">
        <v>44.829017900476202</v>
      </c>
      <c r="Q176" t="s">
        <v>51</v>
      </c>
    </row>
    <row r="177" spans="1:17" x14ac:dyDescent="0.2">
      <c r="A177">
        <v>176</v>
      </c>
      <c r="B177">
        <v>768</v>
      </c>
      <c r="C177">
        <v>150</v>
      </c>
      <c r="D177">
        <v>0.442818517984921</v>
      </c>
      <c r="E177">
        <v>109.68254360788301</v>
      </c>
      <c r="F177">
        <v>1.6961047136596501</v>
      </c>
      <c r="G177">
        <v>-1827.593028616232</v>
      </c>
      <c r="H177">
        <v>-1497.8307548957614</v>
      </c>
      <c r="I177">
        <v>316.73249016586402</v>
      </c>
      <c r="J177">
        <v>162.40932519840601</v>
      </c>
      <c r="K177">
        <v>64.667318429428505</v>
      </c>
      <c r="L177">
        <v>0.6748229000071484</v>
      </c>
      <c r="M177">
        <v>-0.67416089717439076</v>
      </c>
      <c r="N177">
        <v>43.606540584367799</v>
      </c>
      <c r="O177">
        <v>43.606568050519599</v>
      </c>
      <c r="P177">
        <v>43.606523799358897</v>
      </c>
      <c r="Q177" t="s">
        <v>51</v>
      </c>
    </row>
    <row r="178" spans="1:17" x14ac:dyDescent="0.2">
      <c r="A178">
        <v>177</v>
      </c>
      <c r="B178">
        <v>767</v>
      </c>
      <c r="C178">
        <v>150</v>
      </c>
      <c r="D178">
        <v>0.44221554583473799</v>
      </c>
      <c r="E178">
        <v>109.682570409484</v>
      </c>
      <c r="F178">
        <v>1.6928886684887099</v>
      </c>
      <c r="G178">
        <v>-1827.2770344895516</v>
      </c>
      <c r="H178">
        <v>-1498.4812699941681</v>
      </c>
      <c r="I178">
        <v>316.107879649138</v>
      </c>
      <c r="J178">
        <v>162.383924772635</v>
      </c>
      <c r="K178">
        <v>64.790185232558997</v>
      </c>
      <c r="L178">
        <v>0.65162332614217677</v>
      </c>
      <c r="M178">
        <v>-0.65094701524500009</v>
      </c>
      <c r="N178">
        <v>42.185558080300602</v>
      </c>
      <c r="O178">
        <v>42.185585993878902</v>
      </c>
      <c r="P178">
        <v>42.185540676448099</v>
      </c>
      <c r="Q178" t="s">
        <v>51</v>
      </c>
    </row>
    <row r="179" spans="1:17" x14ac:dyDescent="0.2">
      <c r="A179">
        <v>178</v>
      </c>
      <c r="B179">
        <v>766</v>
      </c>
      <c r="C179">
        <v>150</v>
      </c>
      <c r="D179">
        <v>0.44161141317423203</v>
      </c>
      <c r="E179">
        <v>109.682566382144</v>
      </c>
      <c r="F179">
        <v>1.6775398081766599</v>
      </c>
      <c r="G179">
        <v>-1826.9616870924012</v>
      </c>
      <c r="H179">
        <v>-1500.7436344466544</v>
      </c>
      <c r="I179">
        <v>313.931826326097</v>
      </c>
      <c r="J179">
        <v>162.09722041516301</v>
      </c>
      <c r="K179">
        <v>65.382988735962996</v>
      </c>
      <c r="L179">
        <v>0.54942529629401793</v>
      </c>
      <c r="M179">
        <v>-0.54869151102157321</v>
      </c>
      <c r="N179">
        <v>35.886634066214903</v>
      </c>
      <c r="O179">
        <v>35.886664391094698</v>
      </c>
      <c r="P179">
        <v>35.886614822459997</v>
      </c>
      <c r="Q179" t="s">
        <v>51</v>
      </c>
    </row>
    <row r="180" spans="1:17" x14ac:dyDescent="0.2">
      <c r="A180">
        <v>179</v>
      </c>
      <c r="B180">
        <v>765</v>
      </c>
      <c r="C180">
        <v>150</v>
      </c>
      <c r="D180">
        <v>0.44100611664981298</v>
      </c>
      <c r="E180">
        <v>109.682543808148</v>
      </c>
      <c r="F180">
        <v>1.66180608666629</v>
      </c>
      <c r="G180">
        <v>-1826.6486061889302</v>
      </c>
      <c r="H180">
        <v>-1503.1463809916847</v>
      </c>
      <c r="I180">
        <v>311.618559874487</v>
      </c>
      <c r="J180">
        <v>161.77954702816501</v>
      </c>
      <c r="K180">
        <v>66.002011118023603</v>
      </c>
      <c r="L180">
        <v>0.44244097750738737</v>
      </c>
      <c r="M180">
        <v>-0.44164758977976731</v>
      </c>
      <c r="N180">
        <v>29.162184893914102</v>
      </c>
      <c r="O180">
        <v>29.162217731747798</v>
      </c>
      <c r="P180">
        <v>29.162163671724301</v>
      </c>
      <c r="Q180" t="s">
        <v>51</v>
      </c>
    </row>
    <row r="181" spans="1:17" x14ac:dyDescent="0.2">
      <c r="A181">
        <v>180</v>
      </c>
      <c r="B181">
        <v>764</v>
      </c>
      <c r="C181">
        <v>150</v>
      </c>
      <c r="D181">
        <v>0.44039965289495597</v>
      </c>
      <c r="E181">
        <v>109.687642816405</v>
      </c>
      <c r="F181">
        <v>1.6378487137187201</v>
      </c>
      <c r="G181">
        <v>-1826.4214580882685</v>
      </c>
      <c r="H181">
        <v>-1506.8826901711193</v>
      </c>
      <c r="I181">
        <v>308.09808569571902</v>
      </c>
      <c r="J181">
        <v>161.22781225636999</v>
      </c>
      <c r="K181">
        <v>66.970558329139394</v>
      </c>
      <c r="L181">
        <v>0.2827165064075281</v>
      </c>
      <c r="M181">
        <v>-0.28183418289742462</v>
      </c>
      <c r="N181">
        <v>18.888707915623002</v>
      </c>
      <c r="O181">
        <v>18.888744670017701</v>
      </c>
      <c r="P181">
        <v>18.888683741801501</v>
      </c>
      <c r="Q181" t="s">
        <v>51</v>
      </c>
    </row>
    <row r="182" spans="1:17" x14ac:dyDescent="0.2">
      <c r="A182">
        <v>181</v>
      </c>
      <c r="B182">
        <v>763</v>
      </c>
      <c r="C182">
        <v>150</v>
      </c>
      <c r="D182">
        <v>0.43979201853014099</v>
      </c>
      <c r="E182">
        <v>109.692114622898</v>
      </c>
      <c r="F182">
        <v>1.6212543567392499</v>
      </c>
      <c r="G182">
        <v>-1826.187718438822</v>
      </c>
      <c r="H182">
        <v>-1509.693893739945</v>
      </c>
      <c r="I182">
        <v>305.45713383201502</v>
      </c>
      <c r="J182">
        <v>160.81926851164101</v>
      </c>
      <c r="K182">
        <v>67.6587940485269</v>
      </c>
      <c r="L182">
        <v>0.1686908599093101</v>
      </c>
      <c r="M182">
        <v>-0.16774507801435548</v>
      </c>
      <c r="N182">
        <v>11.3646680081005</v>
      </c>
      <c r="O182">
        <v>11.364707494080401</v>
      </c>
      <c r="P182">
        <v>11.364641532152501</v>
      </c>
      <c r="Q182" t="s">
        <v>51</v>
      </c>
    </row>
    <row r="183" spans="1:17" x14ac:dyDescent="0.2">
      <c r="A183">
        <v>182</v>
      </c>
      <c r="B183">
        <v>762</v>
      </c>
      <c r="C183">
        <v>150</v>
      </c>
      <c r="D183">
        <v>0.439183210162781</v>
      </c>
      <c r="E183">
        <v>109.692571016461</v>
      </c>
      <c r="F183">
        <v>1.6118596271382299</v>
      </c>
      <c r="G183">
        <v>-1825.8906421077274</v>
      </c>
      <c r="H183">
        <v>-1511.459164110094</v>
      </c>
      <c r="I183">
        <v>303.76015239176098</v>
      </c>
      <c r="J183">
        <v>160.57256992060999</v>
      </c>
      <c r="K183">
        <v>68.053426718810599</v>
      </c>
      <c r="L183">
        <v>9.971049314018185E-2</v>
      </c>
      <c r="M183">
        <v>-9.872623140896207E-2</v>
      </c>
      <c r="N183">
        <v>6.7345657478324004</v>
      </c>
      <c r="O183">
        <v>6.7346067525474202</v>
      </c>
      <c r="P183">
        <v>6.7345376843176199</v>
      </c>
      <c r="Q183" t="s">
        <v>51</v>
      </c>
    </row>
    <row r="184" spans="1:17" x14ac:dyDescent="0.2">
      <c r="A184">
        <v>183</v>
      </c>
      <c r="B184">
        <v>761</v>
      </c>
      <c r="C184">
        <v>150</v>
      </c>
      <c r="D184">
        <v>0.43857322438717999</v>
      </c>
      <c r="E184">
        <v>109.69253234815299</v>
      </c>
      <c r="F184">
        <v>1.60845264839763</v>
      </c>
      <c r="G184">
        <v>-1825.5867098810725</v>
      </c>
      <c r="H184">
        <v>-1512.3356847720122</v>
      </c>
      <c r="I184">
        <v>302.91252150445598</v>
      </c>
      <c r="J184">
        <v>160.489509085245</v>
      </c>
      <c r="K184">
        <v>68.197551514762196</v>
      </c>
      <c r="L184">
        <v>6.920380477759297E-2</v>
      </c>
      <c r="M184">
        <v>-6.8202365205525181E-2</v>
      </c>
      <c r="N184">
        <v>4.6674140264226098</v>
      </c>
      <c r="O184">
        <v>4.6674555025360203</v>
      </c>
      <c r="P184">
        <v>4.6673850267090202</v>
      </c>
      <c r="Q184" t="s">
        <v>51</v>
      </c>
    </row>
    <row r="185" spans="1:17" x14ac:dyDescent="0.2">
      <c r="A185">
        <v>184</v>
      </c>
      <c r="B185">
        <v>785</v>
      </c>
      <c r="C185">
        <v>135</v>
      </c>
      <c r="D185">
        <v>0.46848792704248099</v>
      </c>
      <c r="E185">
        <v>109.682296479627</v>
      </c>
      <c r="F185">
        <v>1.63242044802193</v>
      </c>
      <c r="G185">
        <v>-1834.0024438260114</v>
      </c>
      <c r="H185">
        <v>-1494.1424931123527</v>
      </c>
      <c r="I185">
        <v>321.18662320468098</v>
      </c>
      <c r="J185">
        <v>162.510332728094</v>
      </c>
      <c r="K185">
        <v>67.189979525516094</v>
      </c>
      <c r="L185">
        <v>0.70021077244898988</v>
      </c>
      <c r="M185">
        <v>-0.69947693489525786</v>
      </c>
      <c r="N185">
        <v>47.011518532364803</v>
      </c>
      <c r="O185">
        <v>47.011565005122002</v>
      </c>
      <c r="P185">
        <v>47.011510179028498</v>
      </c>
      <c r="Q185" t="s">
        <v>51</v>
      </c>
    </row>
    <row r="186" spans="1:17" x14ac:dyDescent="0.2">
      <c r="A186">
        <v>185</v>
      </c>
      <c r="B186">
        <v>784</v>
      </c>
      <c r="C186">
        <v>135</v>
      </c>
      <c r="D186">
        <v>0.467918932980182</v>
      </c>
      <c r="E186">
        <v>109.68231681029501</v>
      </c>
      <c r="F186">
        <v>1.63295813016949</v>
      </c>
      <c r="G186">
        <v>-1833.6816725185934</v>
      </c>
      <c r="H186">
        <v>-1494.3453819978333</v>
      </c>
      <c r="I186">
        <v>320.99510212796201</v>
      </c>
      <c r="J186">
        <v>162.51219550214699</v>
      </c>
      <c r="K186">
        <v>67.167868412468394</v>
      </c>
      <c r="L186">
        <v>0.69885176674072691</v>
      </c>
      <c r="M186">
        <v>-0.69811636265497357</v>
      </c>
      <c r="N186">
        <v>46.904661925065298</v>
      </c>
      <c r="O186">
        <v>46.904708376910698</v>
      </c>
      <c r="P186">
        <v>46.904653409420703</v>
      </c>
      <c r="Q186" t="s">
        <v>51</v>
      </c>
    </row>
    <row r="187" spans="1:17" x14ac:dyDescent="0.2">
      <c r="A187">
        <v>186</v>
      </c>
      <c r="B187">
        <v>783</v>
      </c>
      <c r="C187">
        <v>135</v>
      </c>
      <c r="D187">
        <v>0.46734886143066801</v>
      </c>
      <c r="E187">
        <v>109.68233426822</v>
      </c>
      <c r="F187">
        <v>1.6330324606278199</v>
      </c>
      <c r="G187">
        <v>-1833.3610730838868</v>
      </c>
      <c r="H187">
        <v>-1494.5862660046048</v>
      </c>
      <c r="I187">
        <v>320.76741249921503</v>
      </c>
      <c r="J187">
        <v>162.50156646401399</v>
      </c>
      <c r="K187">
        <v>67.164821834621094</v>
      </c>
      <c r="L187">
        <v>0.69585892573219399</v>
      </c>
      <c r="M187">
        <v>-0.69512075510914295</v>
      </c>
      <c r="N187">
        <v>46.701357388652298</v>
      </c>
      <c r="O187">
        <v>46.701403904410697</v>
      </c>
      <c r="P187">
        <v>46.701348692348397</v>
      </c>
      <c r="Q187" t="s">
        <v>51</v>
      </c>
    </row>
    <row r="188" spans="1:17" x14ac:dyDescent="0.2">
      <c r="A188">
        <v>187</v>
      </c>
      <c r="B188">
        <v>782</v>
      </c>
      <c r="C188">
        <v>135</v>
      </c>
      <c r="D188">
        <v>0.466777709330429</v>
      </c>
      <c r="E188">
        <v>109.682351708849</v>
      </c>
      <c r="F188">
        <v>1.63311200627271</v>
      </c>
      <c r="G188">
        <v>-1833.0407010947624</v>
      </c>
      <c r="H188">
        <v>-1494.8270667096087</v>
      </c>
      <c r="I188">
        <v>320.53958581151801</v>
      </c>
      <c r="J188">
        <v>162.49162156513799</v>
      </c>
      <c r="K188">
        <v>67.161561048822605</v>
      </c>
      <c r="L188">
        <v>0.69286123778901465</v>
      </c>
      <c r="M188">
        <v>-0.6921202980816753</v>
      </c>
      <c r="N188">
        <v>46.497596903515898</v>
      </c>
      <c r="O188">
        <v>46.497643480063402</v>
      </c>
      <c r="P188">
        <v>46.497588022601697</v>
      </c>
      <c r="Q188" t="s">
        <v>51</v>
      </c>
    </row>
    <row r="189" spans="1:17" x14ac:dyDescent="0.2">
      <c r="A189">
        <v>188</v>
      </c>
      <c r="B189">
        <v>781</v>
      </c>
      <c r="C189">
        <v>135</v>
      </c>
      <c r="D189">
        <v>0.46620547360432502</v>
      </c>
      <c r="E189">
        <v>109.682369133625</v>
      </c>
      <c r="F189">
        <v>1.63319721249707</v>
      </c>
      <c r="G189">
        <v>-1832.7205566978976</v>
      </c>
      <c r="H189">
        <v>-1495.0677542073765</v>
      </c>
      <c r="I189">
        <v>320.31165017700403</v>
      </c>
      <c r="J189">
        <v>162.48236736846599</v>
      </c>
      <c r="K189">
        <v>67.158067803658895</v>
      </c>
      <c r="L189">
        <v>0.68985999430421785</v>
      </c>
      <c r="M189">
        <v>-0.68911628414953729</v>
      </c>
      <c r="N189">
        <v>46.293456649040202</v>
      </c>
      <c r="O189">
        <v>46.293503283102503</v>
      </c>
      <c r="P189">
        <v>46.293447579508303</v>
      </c>
      <c r="Q189" t="s">
        <v>51</v>
      </c>
    </row>
    <row r="190" spans="1:17" x14ac:dyDescent="0.2">
      <c r="A190">
        <v>189</v>
      </c>
      <c r="B190">
        <v>780</v>
      </c>
      <c r="C190">
        <v>135</v>
      </c>
      <c r="D190">
        <v>0.46563215116555001</v>
      </c>
      <c r="E190">
        <v>109.682386544038</v>
      </c>
      <c r="F190">
        <v>1.63328851101129</v>
      </c>
      <c r="G190">
        <v>-1832.4006400129706</v>
      </c>
      <c r="H190">
        <v>-1495.3082994056472</v>
      </c>
      <c r="I190">
        <v>320.08363301690798</v>
      </c>
      <c r="J190">
        <v>162.473810062165</v>
      </c>
      <c r="K190">
        <v>67.154324422526699</v>
      </c>
      <c r="L190">
        <v>0.68685645150441432</v>
      </c>
      <c r="M190">
        <v>-0.68610997069964186</v>
      </c>
      <c r="N190">
        <v>46.089011043168199</v>
      </c>
      <c r="O190">
        <v>46.0890577313222</v>
      </c>
      <c r="P190">
        <v>46.089001780954398</v>
      </c>
      <c r="Q190" t="s">
        <v>51</v>
      </c>
    </row>
    <row r="191" spans="1:17" x14ac:dyDescent="0.2">
      <c r="A191">
        <v>190</v>
      </c>
      <c r="B191">
        <v>779</v>
      </c>
      <c r="C191">
        <v>135</v>
      </c>
      <c r="D191">
        <v>0.46505773891555402</v>
      </c>
      <c r="E191">
        <v>109.68240394159299</v>
      </c>
      <c r="F191">
        <v>1.63338631851904</v>
      </c>
      <c r="G191">
        <v>-1832.0809511328948</v>
      </c>
      <c r="H191">
        <v>-1495.5486741368636</v>
      </c>
      <c r="I191">
        <v>319.85556095254998</v>
      </c>
      <c r="J191">
        <v>162.4659554671</v>
      </c>
      <c r="K191">
        <v>67.150313859026198</v>
      </c>
      <c r="L191">
        <v>0.6838518253217355</v>
      </c>
      <c r="M191">
        <v>-0.68310257479686343</v>
      </c>
      <c r="N191">
        <v>45.884332425178101</v>
      </c>
      <c r="O191">
        <v>45.884379163853602</v>
      </c>
      <c r="P191">
        <v>45.884322966161299</v>
      </c>
      <c r="Q191" t="s">
        <v>51</v>
      </c>
    </row>
    <row r="192" spans="1:17" x14ac:dyDescent="0.2">
      <c r="A192">
        <v>191</v>
      </c>
      <c r="B192">
        <v>778</v>
      </c>
      <c r="C192">
        <v>135</v>
      </c>
      <c r="D192">
        <v>0.464482233743996</v>
      </c>
      <c r="E192">
        <v>109.68242132773101</v>
      </c>
      <c r="F192">
        <v>1.6334910356341601</v>
      </c>
      <c r="G192">
        <v>-1831.7614901233339</v>
      </c>
      <c r="H192">
        <v>-1495.7888512534983</v>
      </c>
      <c r="I192">
        <v>319.62745971040698</v>
      </c>
      <c r="J192">
        <v>162.45880904806199</v>
      </c>
      <c r="K192">
        <v>67.146019742403595</v>
      </c>
      <c r="L192">
        <v>0.68084728700229102</v>
      </c>
      <c r="M192">
        <v>-0.68009526878914839</v>
      </c>
      <c r="N192">
        <v>45.679490779984903</v>
      </c>
      <c r="O192">
        <v>45.679537565467001</v>
      </c>
      <c r="P192">
        <v>45.679481119986903</v>
      </c>
      <c r="Q192" t="s">
        <v>51</v>
      </c>
    </row>
    <row r="193" spans="1:17" x14ac:dyDescent="0.2">
      <c r="A193">
        <v>192</v>
      </c>
      <c r="B193">
        <v>777</v>
      </c>
      <c r="C193">
        <v>135</v>
      </c>
      <c r="D193">
        <v>0.46390563252868899</v>
      </c>
      <c r="E193">
        <v>109.682438703945</v>
      </c>
      <c r="F193">
        <v>1.6336030459981099</v>
      </c>
      <c r="G193">
        <v>-1831.4422570256029</v>
      </c>
      <c r="H193">
        <v>-1496.028804711297</v>
      </c>
      <c r="I193">
        <v>319.39935404136099</v>
      </c>
      <c r="J193">
        <v>162.45237592945699</v>
      </c>
      <c r="K193">
        <v>67.141426414842499</v>
      </c>
      <c r="L193">
        <v>0.67784395941412001</v>
      </c>
      <c r="M193">
        <v>-0.67708917661262025</v>
      </c>
      <c r="N193">
        <v>45.474553502962898</v>
      </c>
      <c r="O193">
        <v>45.474600331393702</v>
      </c>
      <c r="P193">
        <v>45.4745436377479</v>
      </c>
      <c r="Q193" t="s">
        <v>51</v>
      </c>
    </row>
    <row r="194" spans="1:17" x14ac:dyDescent="0.2">
      <c r="A194">
        <v>193</v>
      </c>
      <c r="B194">
        <v>776</v>
      </c>
      <c r="C194">
        <v>135</v>
      </c>
      <c r="D194">
        <v>0.46332793213554102</v>
      </c>
      <c r="E194">
        <v>109.682456071649</v>
      </c>
      <c r="F194">
        <v>1.63372271564538</v>
      </c>
      <c r="G194">
        <v>-1831.1232518554846</v>
      </c>
      <c r="H194">
        <v>-1496.2685096306275</v>
      </c>
      <c r="I194">
        <v>319.17126765645401</v>
      </c>
      <c r="J194">
        <v>162.44666091552699</v>
      </c>
      <c r="K194">
        <v>67.136518958372207</v>
      </c>
      <c r="L194">
        <v>0.67484291423066423</v>
      </c>
      <c r="M194">
        <v>-0.67408537097283927</v>
      </c>
      <c r="N194">
        <v>45.269585215835299</v>
      </c>
      <c r="O194">
        <v>45.269632083216898</v>
      </c>
      <c r="P194">
        <v>45.269575141109897</v>
      </c>
      <c r="Q194" t="s">
        <v>51</v>
      </c>
    </row>
    <row r="195" spans="1:17" x14ac:dyDescent="0.2">
      <c r="A195">
        <v>194</v>
      </c>
      <c r="B195">
        <v>775</v>
      </c>
      <c r="C195">
        <v>135</v>
      </c>
      <c r="D195">
        <v>0.46274912941850099</v>
      </c>
      <c r="E195">
        <v>109.682473432243</v>
      </c>
      <c r="F195">
        <v>1.63385039257817</v>
      </c>
      <c r="G195">
        <v>-1830.8044746053788</v>
      </c>
      <c r="H195">
        <v>-1496.5079423459333</v>
      </c>
      <c r="I195">
        <v>318.94322317681701</v>
      </c>
      <c r="J195">
        <v>162.44166851414599</v>
      </c>
      <c r="K195">
        <v>67.131283213249006</v>
      </c>
      <c r="L195">
        <v>0.67184516984585174</v>
      </c>
      <c r="M195">
        <v>-0.6710848712582046</v>
      </c>
      <c r="N195">
        <v>45.0646476254772</v>
      </c>
      <c r="O195">
        <v>45.0646945276739</v>
      </c>
      <c r="P195">
        <v>45.064637336889902</v>
      </c>
      <c r="Q195" t="s">
        <v>51</v>
      </c>
    </row>
    <row r="196" spans="1:17" x14ac:dyDescent="0.2">
      <c r="A196">
        <v>195</v>
      </c>
      <c r="B196">
        <v>774</v>
      </c>
      <c r="C196">
        <v>135</v>
      </c>
      <c r="D196">
        <v>0.46216922121950399</v>
      </c>
      <c r="E196">
        <v>109.682500516971</v>
      </c>
      <c r="F196">
        <v>1.6314300653037199</v>
      </c>
      <c r="G196">
        <v>-1830.4862091627565</v>
      </c>
      <c r="H196">
        <v>-1497.0383430855391</v>
      </c>
      <c r="I196">
        <v>318.43741244788998</v>
      </c>
      <c r="J196">
        <v>162.40965014634</v>
      </c>
      <c r="K196">
        <v>67.230893220391494</v>
      </c>
      <c r="L196">
        <v>0.65505740407553092</v>
      </c>
      <c r="M196">
        <v>-0.65428552685226282</v>
      </c>
      <c r="N196">
        <v>44.0022586751764</v>
      </c>
      <c r="O196">
        <v>44.002306221292301</v>
      </c>
      <c r="P196">
        <v>44.0022480389243</v>
      </c>
      <c r="Q196" t="s">
        <v>51</v>
      </c>
    </row>
    <row r="197" spans="1:17" x14ac:dyDescent="0.2">
      <c r="A197">
        <v>196</v>
      </c>
      <c r="B197">
        <v>773</v>
      </c>
      <c r="C197">
        <v>135</v>
      </c>
      <c r="D197">
        <v>0.46158820436839998</v>
      </c>
      <c r="E197">
        <v>109.68252758688099</v>
      </c>
      <c r="F197">
        <v>1.62847187446797</v>
      </c>
      <c r="G197">
        <v>-1830.168489433978</v>
      </c>
      <c r="H197">
        <v>-1497.6320630864559</v>
      </c>
      <c r="I197">
        <v>317.87064074734701</v>
      </c>
      <c r="J197">
        <v>162.37016856002501</v>
      </c>
      <c r="K197">
        <v>67.353037719926604</v>
      </c>
      <c r="L197">
        <v>0.63518681430533019</v>
      </c>
      <c r="M197">
        <v>-0.63440145750860066</v>
      </c>
      <c r="N197">
        <v>42.743161217394899</v>
      </c>
      <c r="O197">
        <v>42.743209534384398</v>
      </c>
      <c r="P197">
        <v>42.743150195527299</v>
      </c>
      <c r="Q197" t="s">
        <v>51</v>
      </c>
    </row>
    <row r="198" spans="1:17" x14ac:dyDescent="0.2">
      <c r="A198">
        <v>197</v>
      </c>
      <c r="B198">
        <v>772</v>
      </c>
      <c r="C198">
        <v>135</v>
      </c>
      <c r="D198">
        <v>0.46100607568291702</v>
      </c>
      <c r="E198">
        <v>109.682552795193</v>
      </c>
      <c r="F198">
        <v>1.6248779492925201</v>
      </c>
      <c r="G198">
        <v>-1829.8513372929185</v>
      </c>
      <c r="H198">
        <v>-1498.3010845922456</v>
      </c>
      <c r="I198">
        <v>317.23129128712202</v>
      </c>
      <c r="J198">
        <v>162.31811023179799</v>
      </c>
      <c r="K198">
        <v>67.502025517024094</v>
      </c>
      <c r="L198">
        <v>0.61157666085154849</v>
      </c>
      <c r="M198">
        <v>-0.6107755949273761</v>
      </c>
      <c r="N198">
        <v>41.243168673341799</v>
      </c>
      <c r="O198">
        <v>41.243217910973101</v>
      </c>
      <c r="P198">
        <v>41.243157220746703</v>
      </c>
      <c r="Q198" t="s">
        <v>51</v>
      </c>
    </row>
    <row r="199" spans="1:17" x14ac:dyDescent="0.2">
      <c r="A199">
        <v>198</v>
      </c>
      <c r="B199">
        <v>771</v>
      </c>
      <c r="C199">
        <v>135</v>
      </c>
      <c r="D199">
        <v>0.46042283196858502</v>
      </c>
      <c r="E199">
        <v>109.682551039651</v>
      </c>
      <c r="F199">
        <v>1.61059885013876</v>
      </c>
      <c r="G199">
        <v>-1829.5347896919707</v>
      </c>
      <c r="H199">
        <v>-1500.2869102686138</v>
      </c>
      <c r="I199">
        <v>315.33037271975098</v>
      </c>
      <c r="J199">
        <v>161.98831473689901</v>
      </c>
      <c r="K199">
        <v>68.100477676487699</v>
      </c>
      <c r="L199">
        <v>0.52487729182885046</v>
      </c>
      <c r="M199">
        <v>-0.52402352740474134</v>
      </c>
      <c r="N199">
        <v>35.701878884183699</v>
      </c>
      <c r="O199">
        <v>35.701931621588102</v>
      </c>
      <c r="P199">
        <v>35.701866399821199</v>
      </c>
      <c r="Q199" t="s">
        <v>51</v>
      </c>
    </row>
    <row r="200" spans="1:17" x14ac:dyDescent="0.2">
      <c r="A200">
        <v>199</v>
      </c>
      <c r="B200">
        <v>770</v>
      </c>
      <c r="C200">
        <v>135</v>
      </c>
      <c r="D200">
        <v>0.45983847001869499</v>
      </c>
      <c r="E200">
        <v>109.682530061834</v>
      </c>
      <c r="F200">
        <v>1.59480474175027</v>
      </c>
      <c r="G200">
        <v>-1829.2202486691199</v>
      </c>
      <c r="H200">
        <v>-1502.5397788098435</v>
      </c>
      <c r="I200">
        <v>313.17177436462299</v>
      </c>
      <c r="J200">
        <v>161.59472746759101</v>
      </c>
      <c r="K200">
        <v>68.774895879390897</v>
      </c>
      <c r="L200">
        <v>0.42735207569338057</v>
      </c>
      <c r="M200">
        <v>-0.42643968870156618</v>
      </c>
      <c r="N200">
        <v>29.345156931188299</v>
      </c>
      <c r="O200">
        <v>29.345213623836099</v>
      </c>
      <c r="P200">
        <v>29.3451432687745</v>
      </c>
      <c r="Q200" t="s">
        <v>51</v>
      </c>
    </row>
    <row r="201" spans="1:17" x14ac:dyDescent="0.2">
      <c r="A201">
        <v>200</v>
      </c>
      <c r="B201">
        <v>769</v>
      </c>
      <c r="C201">
        <v>135</v>
      </c>
      <c r="D201">
        <v>0.45925298661421299</v>
      </c>
      <c r="E201">
        <v>109.686266050173</v>
      </c>
      <c r="F201">
        <v>1.57382330652195</v>
      </c>
      <c r="G201">
        <v>-1828.9690767853428</v>
      </c>
      <c r="H201">
        <v>-1505.6169743616683</v>
      </c>
      <c r="I201">
        <v>310.27896378372299</v>
      </c>
      <c r="J201">
        <v>161.01890161874201</v>
      </c>
      <c r="K201">
        <v>69.694142662414393</v>
      </c>
      <c r="L201">
        <v>0.2994520801730981</v>
      </c>
      <c r="M201">
        <v>-0.29846290305228612</v>
      </c>
      <c r="N201">
        <v>20.819525910643499</v>
      </c>
      <c r="O201">
        <v>20.819587940796598</v>
      </c>
      <c r="P201">
        <v>20.819510697475799</v>
      </c>
      <c r="Q201" t="s">
        <v>51</v>
      </c>
    </row>
    <row r="202" spans="1:17" x14ac:dyDescent="0.2">
      <c r="A202">
        <v>201</v>
      </c>
      <c r="B202">
        <v>768</v>
      </c>
      <c r="C202">
        <v>135</v>
      </c>
      <c r="D202">
        <v>0.45866637852374798</v>
      </c>
      <c r="E202">
        <v>109.691479989702</v>
      </c>
      <c r="F202">
        <v>1.55413648288858</v>
      </c>
      <c r="G202">
        <v>-1828.7454123458165</v>
      </c>
      <c r="H202">
        <v>-1508.6762174717164</v>
      </c>
      <c r="I202">
        <v>307.424247665645</v>
      </c>
      <c r="J202">
        <v>160.434913983337</v>
      </c>
      <c r="K202">
        <v>70.580339112704806</v>
      </c>
      <c r="L202">
        <v>0.17800034359432146</v>
      </c>
      <c r="M202">
        <v>-0.17693829308947648</v>
      </c>
      <c r="N202">
        <v>12.508320682092901</v>
      </c>
      <c r="O202">
        <v>12.5083878606701</v>
      </c>
      <c r="P202">
        <v>12.508303902914699</v>
      </c>
      <c r="Q202" t="s">
        <v>51</v>
      </c>
    </row>
    <row r="203" spans="1:17" x14ac:dyDescent="0.2">
      <c r="A203">
        <v>202</v>
      </c>
      <c r="B203">
        <v>767</v>
      </c>
      <c r="C203">
        <v>135</v>
      </c>
      <c r="D203">
        <v>0.45807864250348701</v>
      </c>
      <c r="E203">
        <v>109.69279612912401</v>
      </c>
      <c r="F203">
        <v>1.5439121588145699</v>
      </c>
      <c r="G203">
        <v>-1828.4603071244553</v>
      </c>
      <c r="H203">
        <v>-1510.4623457524099</v>
      </c>
      <c r="I203">
        <v>305.72876114806201</v>
      </c>
      <c r="J203">
        <v>160.11396035116601</v>
      </c>
      <c r="K203">
        <v>71.048599172473004</v>
      </c>
      <c r="L203">
        <v>0.11052152520401129</v>
      </c>
      <c r="M203">
        <v>-0.1094187535907085</v>
      </c>
      <c r="N203">
        <v>7.7948533025874198</v>
      </c>
      <c r="O203">
        <v>7.7949232641831498</v>
      </c>
      <c r="P203">
        <v>7.7948354818148902</v>
      </c>
      <c r="Q203" t="s">
        <v>51</v>
      </c>
    </row>
    <row r="204" spans="1:17" x14ac:dyDescent="0.2">
      <c r="A204">
        <v>203</v>
      </c>
      <c r="B204">
        <v>766</v>
      </c>
      <c r="C204">
        <v>135</v>
      </c>
      <c r="D204">
        <v>0.45748977529712298</v>
      </c>
      <c r="E204">
        <v>109.69277255508101</v>
      </c>
      <c r="F204">
        <v>1.5392476022623001</v>
      </c>
      <c r="G204">
        <v>-1828.1547325400577</v>
      </c>
      <c r="H204">
        <v>-1511.4736116976435</v>
      </c>
      <c r="I204">
        <v>304.755869170663</v>
      </c>
      <c r="J204">
        <v>159.965521159871</v>
      </c>
      <c r="K204">
        <v>71.263890483805795</v>
      </c>
      <c r="L204">
        <v>7.5270169883751931E-2</v>
      </c>
      <c r="M204">
        <v>-7.4145812579453768E-2</v>
      </c>
      <c r="N204">
        <v>5.3051440183818404</v>
      </c>
      <c r="O204">
        <v>5.3052153148703098</v>
      </c>
      <c r="P204">
        <v>5.3051254842424598</v>
      </c>
      <c r="Q204" t="s">
        <v>51</v>
      </c>
    </row>
    <row r="205" spans="1:17" x14ac:dyDescent="0.2">
      <c r="A205">
        <v>204</v>
      </c>
      <c r="B205">
        <v>765</v>
      </c>
      <c r="C205">
        <v>135</v>
      </c>
      <c r="D205">
        <v>0.45689977363579698</v>
      </c>
      <c r="E205">
        <v>109.692720831744</v>
      </c>
      <c r="F205">
        <v>1.5374221884972601</v>
      </c>
      <c r="G205">
        <v>-1827.8494480437014</v>
      </c>
      <c r="H205">
        <v>-1512.0891081124919</v>
      </c>
      <c r="I205">
        <v>304.16254882814002</v>
      </c>
      <c r="J205">
        <v>159.91147280488801</v>
      </c>
      <c r="K205">
        <v>71.348469959941298</v>
      </c>
      <c r="L205">
        <v>5.6606147996309621E-2</v>
      </c>
      <c r="M205">
        <v>-5.5470051770630469E-2</v>
      </c>
      <c r="N205">
        <v>3.9791264195485101</v>
      </c>
      <c r="O205">
        <v>3.9791982947700002</v>
      </c>
      <c r="P205">
        <v>3.9791073436451301</v>
      </c>
      <c r="Q205" t="s">
        <v>51</v>
      </c>
    </row>
    <row r="206" spans="1:17" x14ac:dyDescent="0.2">
      <c r="A206">
        <v>205</v>
      </c>
      <c r="B206">
        <v>794</v>
      </c>
      <c r="C206">
        <v>120</v>
      </c>
      <c r="D206">
        <v>0.489022630370612</v>
      </c>
      <c r="E206">
        <v>109.682212390713</v>
      </c>
      <c r="F206">
        <v>1.5493858976389601</v>
      </c>
      <c r="G206">
        <v>-1837.934503322198</v>
      </c>
      <c r="H206">
        <v>-1492.9852117286421</v>
      </c>
      <c r="I206">
        <v>323.24708999645497</v>
      </c>
      <c r="J206">
        <v>162.29796253122501</v>
      </c>
      <c r="K206">
        <v>70.790764623488997</v>
      </c>
      <c r="L206">
        <v>0.662306235981585</v>
      </c>
      <c r="M206">
        <v>-0.66143880696762813</v>
      </c>
      <c r="N206">
        <v>46.843086498040698</v>
      </c>
      <c r="O206">
        <v>46.843159472802498</v>
      </c>
      <c r="P206">
        <v>46.843084632086899</v>
      </c>
      <c r="Q206" t="s">
        <v>51</v>
      </c>
    </row>
    <row r="207" spans="1:17" x14ac:dyDescent="0.2">
      <c r="A207">
        <v>206</v>
      </c>
      <c r="B207">
        <v>793</v>
      </c>
      <c r="C207">
        <v>120</v>
      </c>
      <c r="D207">
        <v>0.488477700136005</v>
      </c>
      <c r="E207">
        <v>109.682234462575</v>
      </c>
      <c r="F207">
        <v>1.55037077760193</v>
      </c>
      <c r="G207">
        <v>-1837.611690361153</v>
      </c>
      <c r="H207">
        <v>-1493.1551951307397</v>
      </c>
      <c r="I207">
        <v>323.08806141311499</v>
      </c>
      <c r="J207">
        <v>162.311470524149</v>
      </c>
      <c r="K207">
        <v>70.745808710499801</v>
      </c>
      <c r="L207">
        <v>0.66239224285451881</v>
      </c>
      <c r="M207">
        <v>-0.66152406810848652</v>
      </c>
      <c r="N207">
        <v>46.819350965737101</v>
      </c>
      <c r="O207">
        <v>46.819423937165503</v>
      </c>
      <c r="P207">
        <v>46.819349037973801</v>
      </c>
      <c r="Q207" t="s">
        <v>51</v>
      </c>
    </row>
    <row r="208" spans="1:17" x14ac:dyDescent="0.2">
      <c r="A208">
        <v>207</v>
      </c>
      <c r="B208">
        <v>792</v>
      </c>
      <c r="C208">
        <v>120</v>
      </c>
      <c r="D208">
        <v>0.48793174670234402</v>
      </c>
      <c r="E208">
        <v>109.68225130879701</v>
      </c>
      <c r="F208">
        <v>1.55049773252506</v>
      </c>
      <c r="G208">
        <v>-1837.2889861556127</v>
      </c>
      <c r="H208">
        <v>-1493.3934146335494</v>
      </c>
      <c r="I208">
        <v>322.864784647188</v>
      </c>
      <c r="J208">
        <v>162.29687348916201</v>
      </c>
      <c r="K208">
        <v>70.740026901022503</v>
      </c>
      <c r="L208">
        <v>0.65967823852312657</v>
      </c>
      <c r="M208">
        <v>-0.65880714678216479</v>
      </c>
      <c r="N208">
        <v>46.623356819377797</v>
      </c>
      <c r="O208">
        <v>46.623430004829999</v>
      </c>
      <c r="P208">
        <v>46.623354823215401</v>
      </c>
      <c r="Q208" t="s">
        <v>51</v>
      </c>
    </row>
    <row r="209" spans="1:17" x14ac:dyDescent="0.2">
      <c r="A209">
        <v>208</v>
      </c>
      <c r="B209">
        <v>791</v>
      </c>
      <c r="C209">
        <v>120</v>
      </c>
      <c r="D209">
        <v>0.48738476718508</v>
      </c>
      <c r="E209">
        <v>109.68226814366599</v>
      </c>
      <c r="F209">
        <v>1.5506299158065</v>
      </c>
      <c r="G209">
        <v>-1836.9665050599392</v>
      </c>
      <c r="H209">
        <v>-1493.631513945036</v>
      </c>
      <c r="I209">
        <v>322.64141086249498</v>
      </c>
      <c r="J209">
        <v>162.282919178036</v>
      </c>
      <c r="K209">
        <v>70.734007531783703</v>
      </c>
      <c r="L209">
        <v>0.65696095793907472</v>
      </c>
      <c r="M209">
        <v>-0.65608694440182636</v>
      </c>
      <c r="N209">
        <v>46.427005878491201</v>
      </c>
      <c r="O209">
        <v>46.427079276392703</v>
      </c>
      <c r="P209">
        <v>46.4270038113429</v>
      </c>
      <c r="Q209" t="s">
        <v>51</v>
      </c>
    </row>
    <row r="210" spans="1:17" x14ac:dyDescent="0.2">
      <c r="A210">
        <v>209</v>
      </c>
      <c r="B210">
        <v>790</v>
      </c>
      <c r="C210">
        <v>120</v>
      </c>
      <c r="D210">
        <v>0.486836758688802</v>
      </c>
      <c r="E210">
        <v>109.682284968822</v>
      </c>
      <c r="F210">
        <v>1.5507677453755699</v>
      </c>
      <c r="G210">
        <v>-1836.6442471853632</v>
      </c>
      <c r="H210">
        <v>-1493.8694659402709</v>
      </c>
      <c r="I210">
        <v>322.41796539843602</v>
      </c>
      <c r="J210">
        <v>162.269615982631</v>
      </c>
      <c r="K210">
        <v>70.727731664459</v>
      </c>
      <c r="L210">
        <v>0.65424154727091821</v>
      </c>
      <c r="M210">
        <v>-0.6533646081883846</v>
      </c>
      <c r="N210">
        <v>46.2303688783159</v>
      </c>
      <c r="O210">
        <v>46.230442486933804</v>
      </c>
      <c r="P210">
        <v>46.230366737534297</v>
      </c>
      <c r="Q210" t="s">
        <v>51</v>
      </c>
    </row>
    <row r="211" spans="1:17" x14ac:dyDescent="0.2">
      <c r="A211">
        <v>210</v>
      </c>
      <c r="B211">
        <v>789</v>
      </c>
      <c r="C211">
        <v>120</v>
      </c>
      <c r="D211">
        <v>0.48628771830721002</v>
      </c>
      <c r="E211">
        <v>109.68230178589801</v>
      </c>
      <c r="F211">
        <v>1.55091162688702</v>
      </c>
      <c r="G211">
        <v>-1836.3222126179942</v>
      </c>
      <c r="H211">
        <v>-1494.1072442348693</v>
      </c>
      <c r="I211">
        <v>322.194472969081</v>
      </c>
      <c r="J211">
        <v>162.25697195442399</v>
      </c>
      <c r="K211">
        <v>70.721180939272301</v>
      </c>
      <c r="L211">
        <v>0.65152112345102797</v>
      </c>
      <c r="M211">
        <v>-0.65064125610569024</v>
      </c>
      <c r="N211">
        <v>46.033515043362499</v>
      </c>
      <c r="O211">
        <v>46.033588860807001</v>
      </c>
      <c r="P211">
        <v>46.033512826238699</v>
      </c>
      <c r="Q211" t="s">
        <v>51</v>
      </c>
    </row>
    <row r="212" spans="1:17" x14ac:dyDescent="0.2">
      <c r="A212">
        <v>211</v>
      </c>
      <c r="B212">
        <v>788</v>
      </c>
      <c r="C212">
        <v>120</v>
      </c>
      <c r="D212">
        <v>0.48573764312303003</v>
      </c>
      <c r="E212">
        <v>109.682318596526</v>
      </c>
      <c r="F212">
        <v>1.5510619525535101</v>
      </c>
      <c r="G212">
        <v>-1836.0004014195436</v>
      </c>
      <c r="H212">
        <v>-1494.3448232783583</v>
      </c>
      <c r="I212">
        <v>321.97095757293403</v>
      </c>
      <c r="J212">
        <v>162.24499480272701</v>
      </c>
      <c r="K212">
        <v>70.714337629104406</v>
      </c>
      <c r="L212">
        <v>0.64880077005302172</v>
      </c>
      <c r="M212">
        <v>-0.64791797273461005</v>
      </c>
      <c r="N212">
        <v>45.836511821162802</v>
      </c>
      <c r="O212">
        <v>45.836585845388598</v>
      </c>
      <c r="P212">
        <v>45.836509524925503</v>
      </c>
      <c r="Q212" t="s">
        <v>51</v>
      </c>
    </row>
    <row r="213" spans="1:17" x14ac:dyDescent="0.2">
      <c r="A213">
        <v>212</v>
      </c>
      <c r="B213">
        <v>787</v>
      </c>
      <c r="C213">
        <v>120</v>
      </c>
      <c r="D213">
        <v>0.48518653020799002</v>
      </c>
      <c r="E213">
        <v>109.682335402372</v>
      </c>
      <c r="F213">
        <v>1.55121910016161</v>
      </c>
      <c r="G213">
        <v>-1835.6788136286559</v>
      </c>
      <c r="H213">
        <v>-1494.5821784357356</v>
      </c>
      <c r="I213">
        <v>321.74744241389499</v>
      </c>
      <c r="J213">
        <v>162.233691896984</v>
      </c>
      <c r="K213">
        <v>70.707184685222501</v>
      </c>
      <c r="L213">
        <v>0.64608153371282429</v>
      </c>
      <c r="M213">
        <v>-0.64519580569116164</v>
      </c>
      <c r="N213">
        <v>45.639424648076599</v>
      </c>
      <c r="O213">
        <v>45.639498876884304</v>
      </c>
      <c r="P213">
        <v>45.639422269891</v>
      </c>
      <c r="Q213" t="s">
        <v>51</v>
      </c>
    </row>
    <row r="214" spans="1:17" x14ac:dyDescent="0.2">
      <c r="A214">
        <v>213</v>
      </c>
      <c r="B214">
        <v>786</v>
      </c>
      <c r="C214">
        <v>120</v>
      </c>
      <c r="D214">
        <v>0.48463437662276798</v>
      </c>
      <c r="E214">
        <v>109.682352205089</v>
      </c>
      <c r="F214">
        <v>1.55138343226695</v>
      </c>
      <c r="G214">
        <v>-1835.3574492610596</v>
      </c>
      <c r="H214">
        <v>-1494.8192860557047</v>
      </c>
      <c r="I214">
        <v>321.52394983324803</v>
      </c>
      <c r="J214">
        <v>162.22307027284899</v>
      </c>
      <c r="K214">
        <v>70.699705774745993</v>
      </c>
      <c r="L214">
        <v>0.64336442109932679</v>
      </c>
      <c r="M214">
        <v>-0.64247576259468109</v>
      </c>
      <c r="N214">
        <v>45.442316747852502</v>
      </c>
      <c r="O214">
        <v>45.442391178891</v>
      </c>
      <c r="P214">
        <v>45.442314284819297</v>
      </c>
      <c r="Q214" t="s">
        <v>51</v>
      </c>
    </row>
    <row r="215" spans="1:17" x14ac:dyDescent="0.2">
      <c r="A215">
        <v>214</v>
      </c>
      <c r="B215">
        <v>785</v>
      </c>
      <c r="C215">
        <v>120</v>
      </c>
      <c r="D215">
        <v>0.48408117941691098</v>
      </c>
      <c r="E215">
        <v>109.682369006295</v>
      </c>
      <c r="F215">
        <v>1.5515552955832601</v>
      </c>
      <c r="G215">
        <v>-1835.036308309984</v>
      </c>
      <c r="H215">
        <v>-1495.0561235251837</v>
      </c>
      <c r="I215">
        <v>321.300501254464</v>
      </c>
      <c r="J215">
        <v>162.213136642748</v>
      </c>
      <c r="K215">
        <v>70.691885309226294</v>
      </c>
      <c r="L215">
        <v>0.64065039650859723</v>
      </c>
      <c r="M215">
        <v>-0.639758808660019</v>
      </c>
      <c r="N215">
        <v>45.245248967975101</v>
      </c>
      <c r="O215">
        <v>45.245323598743603</v>
      </c>
      <c r="P215">
        <v>45.245246417129898</v>
      </c>
      <c r="Q215" t="s">
        <v>51</v>
      </c>
    </row>
    <row r="216" spans="1:17" x14ac:dyDescent="0.2">
      <c r="A216">
        <v>215</v>
      </c>
      <c r="B216">
        <v>784</v>
      </c>
      <c r="C216">
        <v>120</v>
      </c>
      <c r="D216">
        <v>0.48352693562881199</v>
      </c>
      <c r="E216">
        <v>109.68238580761999</v>
      </c>
      <c r="F216">
        <v>1.5517350205359901</v>
      </c>
      <c r="G216">
        <v>-1834.7153907479305</v>
      </c>
      <c r="H216">
        <v>-1495.2926693127226</v>
      </c>
      <c r="I216">
        <v>321.07711713948299</v>
      </c>
      <c r="J216">
        <v>162.20389741041399</v>
      </c>
      <c r="K216">
        <v>70.683708465723797</v>
      </c>
      <c r="L216">
        <v>0.63794038001653197</v>
      </c>
      <c r="M216">
        <v>-0.63704586484859371</v>
      </c>
      <c r="N216">
        <v>45.048279650278502</v>
      </c>
      <c r="O216">
        <v>45.048354478129198</v>
      </c>
      <c r="P216">
        <v>45.048277008590603</v>
      </c>
      <c r="Q216" t="s">
        <v>51</v>
      </c>
    </row>
    <row r="217" spans="1:17" x14ac:dyDescent="0.2">
      <c r="A217">
        <v>216</v>
      </c>
      <c r="B217">
        <v>783</v>
      </c>
      <c r="C217">
        <v>120</v>
      </c>
      <c r="D217">
        <v>0.48297164228566197</v>
      </c>
      <c r="E217">
        <v>109.682402610642</v>
      </c>
      <c r="F217">
        <v>1.55192292100292</v>
      </c>
      <c r="G217">
        <v>-1834.394696526587</v>
      </c>
      <c r="H217">
        <v>-1495.5289029974119</v>
      </c>
      <c r="I217">
        <v>320.853816956711</v>
      </c>
      <c r="J217">
        <v>162.19535868897401</v>
      </c>
      <c r="K217">
        <v>70.675161199217499</v>
      </c>
      <c r="L217">
        <v>0.63523524623826744</v>
      </c>
      <c r="M217">
        <v>-0.63433780662667605</v>
      </c>
      <c r="N217">
        <v>44.851464538681697</v>
      </c>
      <c r="O217">
        <v>44.851539560821998</v>
      </c>
      <c r="P217">
        <v>44.851461803053198</v>
      </c>
      <c r="Q217" t="s">
        <v>51</v>
      </c>
    </row>
    <row r="218" spans="1:17" x14ac:dyDescent="0.2">
      <c r="A218">
        <v>217</v>
      </c>
      <c r="B218">
        <v>782</v>
      </c>
      <c r="C218">
        <v>120</v>
      </c>
      <c r="D218">
        <v>0.48241529640335601</v>
      </c>
      <c r="E218">
        <v>109.68241941692099</v>
      </c>
      <c r="F218">
        <v>1.5521192942088</v>
      </c>
      <c r="G218">
        <v>-1834.0742255784176</v>
      </c>
      <c r="H218">
        <v>-1495.7648052867632</v>
      </c>
      <c r="I218">
        <v>320.63061916087901</v>
      </c>
      <c r="J218">
        <v>162.18752632329</v>
      </c>
      <c r="K218">
        <v>70.666230247998996</v>
      </c>
      <c r="L218">
        <v>0.63253582366568994</v>
      </c>
      <c r="M218">
        <v>-0.63163546330218157</v>
      </c>
      <c r="N218">
        <v>44.654856723250298</v>
      </c>
      <c r="O218">
        <v>44.654931936745598</v>
      </c>
      <c r="P218">
        <v>44.654853890515099</v>
      </c>
      <c r="Q218" t="s">
        <v>51</v>
      </c>
    </row>
    <row r="219" spans="1:17" x14ac:dyDescent="0.2">
      <c r="A219">
        <v>218</v>
      </c>
      <c r="B219">
        <v>781</v>
      </c>
      <c r="C219">
        <v>120</v>
      </c>
      <c r="D219">
        <v>0.48185789498648202</v>
      </c>
      <c r="E219">
        <v>109.68243780961301</v>
      </c>
      <c r="F219">
        <v>1.55188606098389</v>
      </c>
      <c r="G219">
        <v>-1833.7540069385211</v>
      </c>
      <c r="H219">
        <v>-1496.0465205905421</v>
      </c>
      <c r="I219">
        <v>320.36378458240199</v>
      </c>
      <c r="J219">
        <v>162.173204009941</v>
      </c>
      <c r="K219">
        <v>70.676862539814493</v>
      </c>
      <c r="L219">
        <v>0.62772410263968359</v>
      </c>
      <c r="M219">
        <v>-0.62681937444376534</v>
      </c>
      <c r="N219">
        <v>44.321244335684703</v>
      </c>
      <c r="O219">
        <v>44.321319878622397</v>
      </c>
      <c r="P219">
        <v>44.321241397970802</v>
      </c>
      <c r="Q219" t="s">
        <v>51</v>
      </c>
    </row>
    <row r="220" spans="1:17" x14ac:dyDescent="0.2">
      <c r="A220">
        <v>219</v>
      </c>
      <c r="B220">
        <v>780</v>
      </c>
      <c r="C220">
        <v>120</v>
      </c>
      <c r="D220">
        <v>0.48129943502824801</v>
      </c>
      <c r="E220">
        <v>109.68246465476101</v>
      </c>
      <c r="F220">
        <v>1.5490549198474901</v>
      </c>
      <c r="G220">
        <v>-1833.434339781189</v>
      </c>
      <c r="H220">
        <v>-1496.6033208254432</v>
      </c>
      <c r="I220">
        <v>319.83580696052002</v>
      </c>
      <c r="J220">
        <v>162.11572000384399</v>
      </c>
      <c r="K220">
        <v>70.806052935527603</v>
      </c>
      <c r="L220">
        <v>0.6102479370283086</v>
      </c>
      <c r="M220">
        <v>-0.60933019514239206</v>
      </c>
      <c r="N220">
        <v>43.164159162719301</v>
      </c>
      <c r="O220">
        <v>43.164235874692302</v>
      </c>
      <c r="P220">
        <v>43.164156087765697</v>
      </c>
      <c r="Q220" t="s">
        <v>51</v>
      </c>
    </row>
    <row r="221" spans="1:17" x14ac:dyDescent="0.2">
      <c r="A221">
        <v>220</v>
      </c>
      <c r="B221">
        <v>779</v>
      </c>
      <c r="C221">
        <v>120</v>
      </c>
      <c r="D221">
        <v>0.48073991351043299</v>
      </c>
      <c r="E221">
        <v>109.68249037755901</v>
      </c>
      <c r="F221">
        <v>1.54585564241368</v>
      </c>
      <c r="G221">
        <v>-1833.115200102867</v>
      </c>
      <c r="H221">
        <v>-1497.2015076333876</v>
      </c>
      <c r="I221">
        <v>319.26799822554898</v>
      </c>
      <c r="J221">
        <v>162.04937791069699</v>
      </c>
      <c r="K221">
        <v>70.9526086189409</v>
      </c>
      <c r="L221">
        <v>0.5907820479797502</v>
      </c>
      <c r="M221">
        <v>-0.58985001691025507</v>
      </c>
      <c r="N221">
        <v>41.871597833995402</v>
      </c>
      <c r="O221">
        <v>41.871675839582302</v>
      </c>
      <c r="P221">
        <v>41.871594611574899</v>
      </c>
      <c r="Q221" t="s">
        <v>51</v>
      </c>
    </row>
    <row r="222" spans="1:17" x14ac:dyDescent="0.2">
      <c r="A222">
        <v>221</v>
      </c>
      <c r="B222">
        <v>778</v>
      </c>
      <c r="C222">
        <v>120</v>
      </c>
      <c r="D222">
        <v>0.48017932740332298</v>
      </c>
      <c r="E222">
        <v>109.6825138681</v>
      </c>
      <c r="F222">
        <v>1.5418798725365199</v>
      </c>
      <c r="G222">
        <v>-1832.7966270609315</v>
      </c>
      <c r="H222">
        <v>-1497.8856738570648</v>
      </c>
      <c r="I222">
        <v>318.61786576802001</v>
      </c>
      <c r="J222">
        <v>161.96249772246099</v>
      </c>
      <c r="K222">
        <v>71.135576656606304</v>
      </c>
      <c r="L222">
        <v>0.56719139831792309</v>
      </c>
      <c r="M222">
        <v>-0.56624245172401266</v>
      </c>
      <c r="N222">
        <v>40.3005573733845</v>
      </c>
      <c r="O222">
        <v>40.300636930879499</v>
      </c>
      <c r="P222">
        <v>40.300553987574801</v>
      </c>
      <c r="Q222" t="s">
        <v>51</v>
      </c>
    </row>
    <row r="223" spans="1:17" x14ac:dyDescent="0.2">
      <c r="A223">
        <v>222</v>
      </c>
      <c r="B223">
        <v>777</v>
      </c>
      <c r="C223">
        <v>120</v>
      </c>
      <c r="D223">
        <v>0.47961767366567098</v>
      </c>
      <c r="E223">
        <v>109.682517245868</v>
      </c>
      <c r="F223">
        <v>1.52994424362296</v>
      </c>
      <c r="G223">
        <v>-1832.4786162332757</v>
      </c>
      <c r="H223">
        <v>-1499.4821850471301</v>
      </c>
      <c r="I223">
        <v>317.09838709690001</v>
      </c>
      <c r="J223">
        <v>161.63023126935201</v>
      </c>
      <c r="K223">
        <v>71.690532320403705</v>
      </c>
      <c r="L223">
        <v>0.5012385109868297</v>
      </c>
      <c r="M223">
        <v>-0.50024607798721477</v>
      </c>
      <c r="N223">
        <v>35.884534336876598</v>
      </c>
      <c r="O223">
        <v>35.884618075647097</v>
      </c>
      <c r="P223">
        <v>35.884530676329703</v>
      </c>
      <c r="Q223" t="s">
        <v>51</v>
      </c>
    </row>
    <row r="224" spans="1:17" x14ac:dyDescent="0.2">
      <c r="A224">
        <v>223</v>
      </c>
      <c r="B224">
        <v>776</v>
      </c>
      <c r="C224">
        <v>120</v>
      </c>
      <c r="D224">
        <v>0.47905494924462999</v>
      </c>
      <c r="E224">
        <v>109.68249823723799</v>
      </c>
      <c r="F224">
        <v>1.5140064496872001</v>
      </c>
      <c r="G224">
        <v>-1832.1622631727535</v>
      </c>
      <c r="H224">
        <v>-1501.6074128284906</v>
      </c>
      <c r="I224">
        <v>315.07371810130201</v>
      </c>
      <c r="J224">
        <v>161.14871697826601</v>
      </c>
      <c r="K224">
        <v>72.445198803412694</v>
      </c>
      <c r="L224">
        <v>0.41255542995703781</v>
      </c>
      <c r="M224">
        <v>-0.41150560450557711</v>
      </c>
      <c r="N224">
        <v>29.834658113951001</v>
      </c>
      <c r="O224">
        <v>29.834747488622501</v>
      </c>
      <c r="P224">
        <v>29.834654103168202</v>
      </c>
      <c r="Q224" t="s">
        <v>51</v>
      </c>
    </row>
    <row r="225" spans="1:17" x14ac:dyDescent="0.2">
      <c r="A225">
        <v>224</v>
      </c>
      <c r="B225">
        <v>775</v>
      </c>
      <c r="C225">
        <v>120</v>
      </c>
      <c r="D225">
        <v>0.478491151075708</v>
      </c>
      <c r="E225">
        <v>109.682477990175</v>
      </c>
      <c r="F225">
        <v>1.50275227471183</v>
      </c>
      <c r="G225">
        <v>-1831.8476660829263</v>
      </c>
      <c r="H225">
        <v>-1503.2385500353621</v>
      </c>
      <c r="I225">
        <v>313.51818086580198</v>
      </c>
      <c r="J225">
        <v>160.798060174136</v>
      </c>
      <c r="K225">
        <v>72.987730470219105</v>
      </c>
      <c r="L225">
        <v>0.347594030213842</v>
      </c>
      <c r="M225">
        <v>-0.34650194622098623</v>
      </c>
      <c r="N225">
        <v>25.314489311778001</v>
      </c>
      <c r="O225">
        <v>25.314582860170201</v>
      </c>
      <c r="P225">
        <v>25.314484992748799</v>
      </c>
      <c r="Q225" t="s">
        <v>51</v>
      </c>
    </row>
    <row r="226" spans="1:17" x14ac:dyDescent="0.2">
      <c r="A226">
        <v>225</v>
      </c>
      <c r="B226">
        <v>774</v>
      </c>
      <c r="C226">
        <v>120</v>
      </c>
      <c r="D226">
        <v>0.47792627608270499</v>
      </c>
      <c r="E226">
        <v>109.69022953312999</v>
      </c>
      <c r="F226">
        <v>1.47481212144568</v>
      </c>
      <c r="G226">
        <v>-1831.6628352146915</v>
      </c>
      <c r="H226">
        <v>-1507.1534941315824</v>
      </c>
      <c r="I226">
        <v>309.902923471517</v>
      </c>
      <c r="J226">
        <v>159.82379562307099</v>
      </c>
      <c r="K226">
        <v>74.375730940973199</v>
      </c>
      <c r="L226">
        <v>0.19543981151192966</v>
      </c>
      <c r="M226">
        <v>-0.19424974064333461</v>
      </c>
      <c r="N226">
        <v>14.4741423430661</v>
      </c>
      <c r="O226">
        <v>14.4742460233233</v>
      </c>
      <c r="P226">
        <v>14.4741374388996</v>
      </c>
      <c r="Q226" t="s">
        <v>51</v>
      </c>
    </row>
    <row r="227" spans="1:17" x14ac:dyDescent="0.2">
      <c r="A227">
        <v>226</v>
      </c>
      <c r="B227">
        <v>773</v>
      </c>
      <c r="C227">
        <v>120</v>
      </c>
      <c r="D227">
        <v>0.47736032117765198</v>
      </c>
      <c r="E227">
        <v>109.692971112835</v>
      </c>
      <c r="F227">
        <v>1.46407695881082</v>
      </c>
      <c r="G227">
        <v>-1831.3985538597483</v>
      </c>
      <c r="H227">
        <v>-1508.9126156225805</v>
      </c>
      <c r="I227">
        <v>308.265232635313</v>
      </c>
      <c r="J227">
        <v>159.43015498149001</v>
      </c>
      <c r="K227">
        <v>74.922954324704094</v>
      </c>
      <c r="L227">
        <v>0.13215305639012143</v>
      </c>
      <c r="M227">
        <v>-0.13092175102277442</v>
      </c>
      <c r="N227">
        <v>9.8367801185853203</v>
      </c>
      <c r="O227">
        <v>9.8368880519066106</v>
      </c>
      <c r="P227">
        <v>9.8367748604719605</v>
      </c>
      <c r="Q227" t="s">
        <v>51</v>
      </c>
    </row>
    <row r="228" spans="1:17" x14ac:dyDescent="0.2">
      <c r="A228">
        <v>227</v>
      </c>
      <c r="B228">
        <v>772</v>
      </c>
      <c r="C228">
        <v>120</v>
      </c>
      <c r="D228">
        <v>0.47679328326077502</v>
      </c>
      <c r="E228">
        <v>109.693036533724</v>
      </c>
      <c r="F228">
        <v>1.45639532537712</v>
      </c>
      <c r="G228">
        <v>-1831.0920957190563</v>
      </c>
      <c r="H228">
        <v>-1510.2733642823434</v>
      </c>
      <c r="I228">
        <v>306.96516444260402</v>
      </c>
      <c r="J228">
        <v>159.128477604452</v>
      </c>
      <c r="K228">
        <v>75.318174002872496</v>
      </c>
      <c r="L228">
        <v>8.4338735095309592E-2</v>
      </c>
      <c r="M228">
        <v>-8.307599785907431E-2</v>
      </c>
      <c r="N228">
        <v>6.2856599928667798</v>
      </c>
      <c r="O228">
        <v>6.2857711436395203</v>
      </c>
      <c r="P228">
        <v>6.2856544116131099</v>
      </c>
      <c r="Q228" t="s">
        <v>51</v>
      </c>
    </row>
    <row r="229" spans="1:17" x14ac:dyDescent="0.2">
      <c r="A229">
        <v>228</v>
      </c>
      <c r="B229">
        <v>771</v>
      </c>
      <c r="C229">
        <v>120</v>
      </c>
      <c r="D229">
        <v>0.47622515922041903</v>
      </c>
      <c r="E229">
        <v>109.692951565852</v>
      </c>
      <c r="F229">
        <v>1.4535770825726499</v>
      </c>
      <c r="G229">
        <v>-1830.7841175586755</v>
      </c>
      <c r="H229">
        <v>-1510.9929855476832</v>
      </c>
      <c r="I229">
        <v>306.27507902206997</v>
      </c>
      <c r="J229">
        <v>159.01563552328099</v>
      </c>
      <c r="K229">
        <v>75.464144888490793</v>
      </c>
      <c r="L229">
        <v>6.2221794113213873E-2</v>
      </c>
      <c r="M229">
        <v>-6.0943944618568065E-2</v>
      </c>
      <c r="N229">
        <v>4.6279452194945101</v>
      </c>
      <c r="O229">
        <v>4.62805781206327</v>
      </c>
      <c r="P229">
        <v>4.6279393861063802</v>
      </c>
      <c r="Q229" t="s">
        <v>51</v>
      </c>
    </row>
    <row r="230" spans="1:17" x14ac:dyDescent="0.2">
      <c r="A230">
        <v>229</v>
      </c>
      <c r="B230">
        <v>804</v>
      </c>
      <c r="C230">
        <v>105</v>
      </c>
      <c r="D230">
        <v>0.50973448451933401</v>
      </c>
      <c r="E230">
        <v>109.68211420322601</v>
      </c>
      <c r="F230">
        <v>1.4477766256192099</v>
      </c>
      <c r="G230">
        <v>-1842.2739481562144</v>
      </c>
      <c r="H230">
        <v>-1491.6048074207129</v>
      </c>
      <c r="I230">
        <v>325.55647709104198</v>
      </c>
      <c r="J230">
        <v>161.824842450418</v>
      </c>
      <c r="K230">
        <v>75.759003331273803</v>
      </c>
      <c r="L230">
        <v>0.61633105852862091</v>
      </c>
      <c r="M230">
        <v>-0.61530245582574317</v>
      </c>
      <c r="N230">
        <v>46.642802146935701</v>
      </c>
      <c r="O230">
        <v>46.642912238989503</v>
      </c>
      <c r="P230">
        <v>46.642805948150901</v>
      </c>
      <c r="Q230" t="s">
        <v>51</v>
      </c>
    </row>
    <row r="231" spans="1:17" x14ac:dyDescent="0.2">
      <c r="A231">
        <v>230</v>
      </c>
      <c r="B231">
        <v>803</v>
      </c>
      <c r="C231">
        <v>105</v>
      </c>
      <c r="D231">
        <v>0.50921386423825798</v>
      </c>
      <c r="E231">
        <v>109.682135948202</v>
      </c>
      <c r="F231">
        <v>1.4488585027465499</v>
      </c>
      <c r="G231">
        <v>-1841.9488197370549</v>
      </c>
      <c r="H231">
        <v>-1491.7683057250977</v>
      </c>
      <c r="I231">
        <v>325.404945778257</v>
      </c>
      <c r="J231">
        <v>161.84000879554</v>
      </c>
      <c r="K231">
        <v>75.702448334520497</v>
      </c>
      <c r="L231">
        <v>0.61668575837065287</v>
      </c>
      <c r="M231">
        <v>-0.61565638063675598</v>
      </c>
      <c r="N231">
        <v>46.634750465049301</v>
      </c>
      <c r="O231">
        <v>46.634860632281203</v>
      </c>
      <c r="P231">
        <v>46.634754314071102</v>
      </c>
      <c r="Q231" t="s">
        <v>51</v>
      </c>
    </row>
    <row r="232" spans="1:17" x14ac:dyDescent="0.2">
      <c r="A232">
        <v>231</v>
      </c>
      <c r="B232">
        <v>802</v>
      </c>
      <c r="C232">
        <v>105</v>
      </c>
      <c r="D232">
        <v>0.50869227549644302</v>
      </c>
      <c r="E232">
        <v>109.682152064324</v>
      </c>
      <c r="F232">
        <v>1.44902737939883</v>
      </c>
      <c r="G232">
        <v>-1841.6237848523692</v>
      </c>
      <c r="H232">
        <v>-1492.0039064908892</v>
      </c>
      <c r="I232">
        <v>325.18616721069299</v>
      </c>
      <c r="J232">
        <v>161.81985937614101</v>
      </c>
      <c r="K232">
        <v>75.693636727436001</v>
      </c>
      <c r="L232">
        <v>0.6142593467155617</v>
      </c>
      <c r="M232">
        <v>-0.6132269334724828</v>
      </c>
      <c r="N232">
        <v>46.445463206213397</v>
      </c>
      <c r="O232">
        <v>46.445573754105702</v>
      </c>
      <c r="P232">
        <v>46.445467113976598</v>
      </c>
      <c r="Q232" t="s">
        <v>51</v>
      </c>
    </row>
    <row r="233" spans="1:17" x14ac:dyDescent="0.2">
      <c r="A233">
        <v>232</v>
      </c>
      <c r="B233">
        <v>801</v>
      </c>
      <c r="C233">
        <v>105</v>
      </c>
      <c r="D233">
        <v>0.50816971558907198</v>
      </c>
      <c r="E233">
        <v>109.682168174659</v>
      </c>
      <c r="F233">
        <v>1.4492015154178</v>
      </c>
      <c r="G233">
        <v>-1841.2989686448921</v>
      </c>
      <c r="H233">
        <v>-1492.2393371823489</v>
      </c>
      <c r="I233">
        <v>324.96734320988003</v>
      </c>
      <c r="J233">
        <v>161.80029607161001</v>
      </c>
      <c r="K233">
        <v>75.684552498578995</v>
      </c>
      <c r="L233">
        <v>0.61183151315258677</v>
      </c>
      <c r="M233">
        <v>-0.6107960579919931</v>
      </c>
      <c r="N233">
        <v>46.255943833829299</v>
      </c>
      <c r="O233">
        <v>46.256054762649597</v>
      </c>
      <c r="P233">
        <v>46.255947799633198</v>
      </c>
      <c r="Q233" t="s">
        <v>51</v>
      </c>
    </row>
    <row r="234" spans="1:17" x14ac:dyDescent="0.2">
      <c r="A234">
        <v>233</v>
      </c>
      <c r="B234">
        <v>800</v>
      </c>
      <c r="C234">
        <v>105</v>
      </c>
      <c r="D234">
        <v>0.50764618180124099</v>
      </c>
      <c r="E234">
        <v>109.682184280947</v>
      </c>
      <c r="F234">
        <v>1.4493812906382799</v>
      </c>
      <c r="G234">
        <v>-1840.9743711773071</v>
      </c>
      <c r="H234">
        <v>-1492.4745735025215</v>
      </c>
      <c r="I234">
        <v>324.74849634376102</v>
      </c>
      <c r="J234">
        <v>161.781328415573</v>
      </c>
      <c r="K234">
        <v>75.675176014342895</v>
      </c>
      <c r="L234">
        <v>0.60940324472782736</v>
      </c>
      <c r="M234">
        <v>-0.60836474213664982</v>
      </c>
      <c r="N234">
        <v>46.066257159926998</v>
      </c>
      <c r="O234">
        <v>46.066368469794398</v>
      </c>
      <c r="P234">
        <v>46.066261183029802</v>
      </c>
      <c r="Q234" t="s">
        <v>51</v>
      </c>
    </row>
    <row r="235" spans="1:17" x14ac:dyDescent="0.2">
      <c r="A235">
        <v>234</v>
      </c>
      <c r="B235">
        <v>799</v>
      </c>
      <c r="C235">
        <v>105</v>
      </c>
      <c r="D235">
        <v>0.50712167140791897</v>
      </c>
      <c r="E235">
        <v>109.682200384914</v>
      </c>
      <c r="F235">
        <v>1.4495670735278701</v>
      </c>
      <c r="G235">
        <v>-1840.649992489796</v>
      </c>
      <c r="H235">
        <v>-1492.7095918822299</v>
      </c>
      <c r="I235">
        <v>324.52964856478201</v>
      </c>
      <c r="J235">
        <v>161.762965627261</v>
      </c>
      <c r="K235">
        <v>75.665488260557595</v>
      </c>
      <c r="L235">
        <v>0.60697550227953401</v>
      </c>
      <c r="M235">
        <v>-0.60593394761966235</v>
      </c>
      <c r="N235">
        <v>45.8764665433918</v>
      </c>
      <c r="O235">
        <v>45.876578234278902</v>
      </c>
      <c r="P235">
        <v>45.876470623009297</v>
      </c>
      <c r="Q235" t="s">
        <v>51</v>
      </c>
    </row>
    <row r="236" spans="1:17" x14ac:dyDescent="0.2">
      <c r="A236">
        <v>235</v>
      </c>
      <c r="B236">
        <v>798</v>
      </c>
      <c r="C236">
        <v>105</v>
      </c>
      <c r="D236">
        <v>0.50659618167390597</v>
      </c>
      <c r="E236">
        <v>109.682216488325</v>
      </c>
      <c r="F236">
        <v>1.4497592202477201</v>
      </c>
      <c r="G236">
        <v>-1840.3258326015664</v>
      </c>
      <c r="H236">
        <v>-1492.9443695542675</v>
      </c>
      <c r="I236">
        <v>324.31082113919302</v>
      </c>
      <c r="J236">
        <v>161.745216604078</v>
      </c>
      <c r="K236">
        <v>75.655470892320807</v>
      </c>
      <c r="L236">
        <v>0.60454921734474942</v>
      </c>
      <c r="M236">
        <v>-0.60350460683007812</v>
      </c>
      <c r="N236">
        <v>45.686633676690001</v>
      </c>
      <c r="O236">
        <v>45.686745748424599</v>
      </c>
      <c r="P236">
        <v>45.6866378119947</v>
      </c>
      <c r="Q236" t="s">
        <v>51</v>
      </c>
    </row>
    <row r="237" spans="1:17" x14ac:dyDescent="0.2">
      <c r="A237">
        <v>236</v>
      </c>
      <c r="B237">
        <v>797</v>
      </c>
      <c r="C237">
        <v>105</v>
      </c>
      <c r="D237">
        <v>0.50606970985375799</v>
      </c>
      <c r="E237">
        <v>109.682232592936</v>
      </c>
      <c r="F237">
        <v>1.4499580738714599</v>
      </c>
      <c r="G237">
        <v>-1840.001891510803</v>
      </c>
      <c r="H237">
        <v>-1493.1788846145421</v>
      </c>
      <c r="I237">
        <v>324.092034586669</v>
      </c>
      <c r="J237">
        <v>161.72808991875701</v>
      </c>
      <c r="K237">
        <v>75.645106275437797</v>
      </c>
      <c r="L237">
        <v>0.60212528953689515</v>
      </c>
      <c r="M237">
        <v>-0.6010776202080953</v>
      </c>
      <c r="N237">
        <v>45.496818402429597</v>
      </c>
      <c r="O237">
        <v>45.496930854697297</v>
      </c>
      <c r="P237">
        <v>45.496822592549698</v>
      </c>
      <c r="Q237" t="s">
        <v>51</v>
      </c>
    </row>
    <row r="238" spans="1:17" x14ac:dyDescent="0.2">
      <c r="A238">
        <v>237</v>
      </c>
      <c r="B238">
        <v>796</v>
      </c>
      <c r="C238">
        <v>105</v>
      </c>
      <c r="D238">
        <v>0.50554225319178703</v>
      </c>
      <c r="E238">
        <v>109.682248700522</v>
      </c>
      <c r="F238">
        <v>1.4501639637416599</v>
      </c>
      <c r="G238">
        <v>-1839.6781691958799</v>
      </c>
      <c r="H238">
        <v>-1493.4131160753741</v>
      </c>
      <c r="I238">
        <v>323.87330862811598</v>
      </c>
      <c r="J238">
        <v>161.71159381961499</v>
      </c>
      <c r="K238">
        <v>75.634377520679806</v>
      </c>
      <c r="L238">
        <v>0.59970458430161955</v>
      </c>
      <c r="M238">
        <v>-0.59865385399895454</v>
      </c>
      <c r="N238">
        <v>45.307078553638199</v>
      </c>
      <c r="O238">
        <v>45.307191385984702</v>
      </c>
      <c r="P238">
        <v>45.3070827976562</v>
      </c>
      <c r="Q238" t="s">
        <v>51</v>
      </c>
    </row>
    <row r="239" spans="1:17" x14ac:dyDescent="0.2">
      <c r="A239">
        <v>238</v>
      </c>
      <c r="B239">
        <v>795</v>
      </c>
      <c r="C239">
        <v>105</v>
      </c>
      <c r="D239">
        <v>0.50501380892196901</v>
      </c>
      <c r="E239">
        <v>109.682264812827</v>
      </c>
      <c r="F239">
        <v>1.45037720498903</v>
      </c>
      <c r="G239">
        <v>-1839.3546656153237</v>
      </c>
      <c r="H239">
        <v>-1493.647043905688</v>
      </c>
      <c r="I239">
        <v>323.65466214426903</v>
      </c>
      <c r="J239">
        <v>161.695736235364</v>
      </c>
      <c r="K239">
        <v>75.623268509419404</v>
      </c>
      <c r="L239">
        <v>0.59728793117157697</v>
      </c>
      <c r="M239">
        <v>-0.59623413850615969</v>
      </c>
      <c r="N239">
        <v>45.117469826185101</v>
      </c>
      <c r="O239">
        <v>45.117583038019397</v>
      </c>
      <c r="P239">
        <v>45.117474123137399</v>
      </c>
      <c r="Q239" t="s">
        <v>51</v>
      </c>
    </row>
    <row r="240" spans="1:17" x14ac:dyDescent="0.2">
      <c r="A240">
        <v>239</v>
      </c>
      <c r="B240">
        <v>794</v>
      </c>
      <c r="C240">
        <v>105</v>
      </c>
      <c r="D240">
        <v>0.50448437426791004</v>
      </c>
      <c r="E240">
        <v>109.682280931606</v>
      </c>
      <c r="F240">
        <v>1.4505980981720701</v>
      </c>
      <c r="G240">
        <v>-1839.0313807094672</v>
      </c>
      <c r="H240">
        <v>-1493.8806490641018</v>
      </c>
      <c r="I240">
        <v>323.43611314231498</v>
      </c>
      <c r="J240">
        <v>161.68052478293899</v>
      </c>
      <c r="K240">
        <v>75.611763912981004</v>
      </c>
      <c r="L240">
        <v>0.59487612238709631</v>
      </c>
      <c r="M240">
        <v>-0.59381926671088148</v>
      </c>
      <c r="N240">
        <v>44.9280456748387</v>
      </c>
      <c r="O240">
        <v>44.928159265436001</v>
      </c>
      <c r="P240">
        <v>44.9280500237141</v>
      </c>
      <c r="Q240" t="s">
        <v>51</v>
      </c>
    </row>
    <row r="241" spans="1:17" x14ac:dyDescent="0.2">
      <c r="A241">
        <v>240</v>
      </c>
      <c r="B241">
        <v>793</v>
      </c>
      <c r="C241">
        <v>105</v>
      </c>
      <c r="D241">
        <v>0.503953946442809</v>
      </c>
      <c r="E241">
        <v>109.68229705854201</v>
      </c>
      <c r="F241">
        <v>1.4508269290783999</v>
      </c>
      <c r="G241">
        <v>-1838.7083143998443</v>
      </c>
      <c r="H241">
        <v>-1494.1139135186831</v>
      </c>
      <c r="I241">
        <v>323.21767873269403</v>
      </c>
      <c r="J241">
        <v>161.665966779294</v>
      </c>
      <c r="K241">
        <v>75.599849203388203</v>
      </c>
      <c r="L241">
        <v>0.59246991200786214</v>
      </c>
      <c r="M241">
        <v>-0.591409993382772</v>
      </c>
      <c r="N241">
        <v>44.738857241188498</v>
      </c>
      <c r="O241">
        <v>44.738971209692799</v>
      </c>
      <c r="P241">
        <v>44.738861640927098</v>
      </c>
      <c r="Q241" t="s">
        <v>51</v>
      </c>
    </row>
    <row r="242" spans="1:17" x14ac:dyDescent="0.2">
      <c r="A242">
        <v>241</v>
      </c>
      <c r="B242">
        <v>792</v>
      </c>
      <c r="C242">
        <v>105</v>
      </c>
      <c r="D242">
        <v>0.50342252264939402</v>
      </c>
      <c r="E242">
        <v>109.68231319534701</v>
      </c>
      <c r="F242">
        <v>1.4510639686426201</v>
      </c>
      <c r="G242">
        <v>-1838.3854665918657</v>
      </c>
      <c r="H242">
        <v>-1494.346820260422</v>
      </c>
      <c r="I242">
        <v>322.99937511475798</v>
      </c>
      <c r="J242">
        <v>161.65206925680101</v>
      </c>
      <c r="K242">
        <v>75.587510658091404</v>
      </c>
      <c r="L242">
        <v>0.59007001541816928</v>
      </c>
      <c r="M242">
        <v>-0.58900703458465298</v>
      </c>
      <c r="N242">
        <v>44.549953307739003</v>
      </c>
      <c r="O242">
        <v>44.550067653167297</v>
      </c>
      <c r="P242">
        <v>44.549957757231603</v>
      </c>
      <c r="Q242" t="s">
        <v>51</v>
      </c>
    </row>
    <row r="243" spans="1:17" x14ac:dyDescent="0.2">
      <c r="A243">
        <v>242</v>
      </c>
      <c r="B243">
        <v>791</v>
      </c>
      <c r="C243">
        <v>105</v>
      </c>
      <c r="D243">
        <v>0.502890100079881</v>
      </c>
      <c r="E243">
        <v>109.68232934366399</v>
      </c>
      <c r="F243">
        <v>1.4513094729754199</v>
      </c>
      <c r="G243">
        <v>-1838.0628371740534</v>
      </c>
      <c r="H243">
        <v>-1494.5793533056747</v>
      </c>
      <c r="I243">
        <v>322.78121756947701</v>
      </c>
      <c r="J243">
        <v>161.63883898114</v>
      </c>
      <c r="K243">
        <v>75.574735358680698</v>
      </c>
      <c r="L243">
        <v>0.58767710919597804</v>
      </c>
      <c r="M243">
        <v>-0.58661106754129</v>
      </c>
      <c r="N243">
        <v>44.361380276047498</v>
      </c>
      <c r="O243">
        <v>44.361494997292397</v>
      </c>
      <c r="P243">
        <v>44.3613847741344</v>
      </c>
      <c r="Q243" t="s">
        <v>51</v>
      </c>
    </row>
    <row r="244" spans="1:17" x14ac:dyDescent="0.2">
      <c r="A244">
        <v>243</v>
      </c>
      <c r="B244">
        <v>790</v>
      </c>
      <c r="C244">
        <v>105</v>
      </c>
      <c r="D244">
        <v>0.50235667591591204</v>
      </c>
      <c r="E244">
        <v>109.68234550515101</v>
      </c>
      <c r="F244">
        <v>1.4515636835271299</v>
      </c>
      <c r="G244">
        <v>-1837.7404260203605</v>
      </c>
      <c r="H244">
        <v>-1494.8114976912923</v>
      </c>
      <c r="I244">
        <v>322.56322046188399</v>
      </c>
      <c r="J244">
        <v>161.62628247314501</v>
      </c>
      <c r="K244">
        <v>75.561511182641098</v>
      </c>
      <c r="L244">
        <v>0.58529183142604502</v>
      </c>
      <c r="M244">
        <v>-0.58422273095259103</v>
      </c>
      <c r="N244">
        <v>44.173182174529998</v>
      </c>
      <c r="O244">
        <v>44.173297270363001</v>
      </c>
      <c r="P244">
        <v>44.173186719999698</v>
      </c>
      <c r="Q244" t="s">
        <v>51</v>
      </c>
    </row>
    <row r="245" spans="1:17" x14ac:dyDescent="0.2">
      <c r="A245">
        <v>244</v>
      </c>
      <c r="B245">
        <v>789</v>
      </c>
      <c r="C245">
        <v>105</v>
      </c>
      <c r="D245">
        <v>0.50182224732853298</v>
      </c>
      <c r="E245">
        <v>109.682361681364</v>
      </c>
      <c r="F245">
        <v>1.4518268273244099</v>
      </c>
      <c r="G245">
        <v>-1837.4182329891787</v>
      </c>
      <c r="H245">
        <v>-1495.043239460465</v>
      </c>
      <c r="I245">
        <v>322.345397249153</v>
      </c>
      <c r="J245">
        <v>161.614406032841</v>
      </c>
      <c r="K245">
        <v>75.547826791091396</v>
      </c>
      <c r="L245">
        <v>0.58291478231006633</v>
      </c>
      <c r="M245">
        <v>-0.581842625604022</v>
      </c>
      <c r="N245">
        <v>43.985400686643501</v>
      </c>
      <c r="O245">
        <v>43.985516155718599</v>
      </c>
      <c r="P245">
        <v>43.9854052782322</v>
      </c>
      <c r="Q245" t="s">
        <v>51</v>
      </c>
    </row>
    <row r="246" spans="1:17" x14ac:dyDescent="0.2">
      <c r="A246">
        <v>245</v>
      </c>
      <c r="B246">
        <v>788</v>
      </c>
      <c r="C246">
        <v>105</v>
      </c>
      <c r="D246">
        <v>0.50128681147811704</v>
      </c>
      <c r="E246">
        <v>109.68238496048799</v>
      </c>
      <c r="F246">
        <v>1.4498530082441301</v>
      </c>
      <c r="G246">
        <v>-1837.0964488649363</v>
      </c>
      <c r="H246">
        <v>-1495.4975463317503</v>
      </c>
      <c r="I246">
        <v>321.91784102466698</v>
      </c>
      <c r="J246">
        <v>161.55224257375201</v>
      </c>
      <c r="K246">
        <v>75.650693095654503</v>
      </c>
      <c r="L246">
        <v>0.57076364821250991</v>
      </c>
      <c r="M246">
        <v>-0.56968132810241867</v>
      </c>
      <c r="N246">
        <v>43.125496866658303</v>
      </c>
      <c r="O246">
        <v>43.125613644426501</v>
      </c>
      <c r="P246">
        <v>43.125501543549497</v>
      </c>
      <c r="Q246" t="s">
        <v>51</v>
      </c>
    </row>
    <row r="247" spans="1:17" x14ac:dyDescent="0.2">
      <c r="A247">
        <v>246</v>
      </c>
      <c r="B247">
        <v>787</v>
      </c>
      <c r="C247">
        <v>105</v>
      </c>
      <c r="D247">
        <v>0.50075036551431296</v>
      </c>
      <c r="E247">
        <v>109.682410157978</v>
      </c>
      <c r="F247">
        <v>1.4467668943693399</v>
      </c>
      <c r="G247">
        <v>-1836.7752035137737</v>
      </c>
      <c r="H247">
        <v>-1496.0644470649763</v>
      </c>
      <c r="I247">
        <v>321.38379693586802</v>
      </c>
      <c r="J247">
        <v>161.46287140738201</v>
      </c>
      <c r="K247">
        <v>75.812081811416405</v>
      </c>
      <c r="L247">
        <v>0.5536191137554306</v>
      </c>
      <c r="M247">
        <v>-0.55252305304485982</v>
      </c>
      <c r="N247">
        <v>41.9170027529969</v>
      </c>
      <c r="O247">
        <v>41.917121316085698</v>
      </c>
      <c r="P247">
        <v>41.9170075351986</v>
      </c>
      <c r="Q247" t="s">
        <v>51</v>
      </c>
    </row>
    <row r="248" spans="1:17" x14ac:dyDescent="0.2">
      <c r="A248">
        <v>247</v>
      </c>
      <c r="B248">
        <v>786</v>
      </c>
      <c r="C248">
        <v>105</v>
      </c>
      <c r="D248">
        <v>0.50021290657603101</v>
      </c>
      <c r="E248">
        <v>109.682433821232</v>
      </c>
      <c r="F248">
        <v>1.44316353340792</v>
      </c>
      <c r="G248">
        <v>-1836.4544902981092</v>
      </c>
      <c r="H248">
        <v>-1496.6861091130704</v>
      </c>
      <c r="I248">
        <v>320.79755159220798</v>
      </c>
      <c r="J248">
        <v>161.35673887355901</v>
      </c>
      <c r="K248">
        <v>76.001389504504402</v>
      </c>
      <c r="L248">
        <v>0.53397269534762948</v>
      </c>
      <c r="M248">
        <v>-0.53286119367584739</v>
      </c>
      <c r="N248">
        <v>40.527696398812999</v>
      </c>
      <c r="O248">
        <v>40.5278169802082</v>
      </c>
      <c r="P248">
        <v>40.527701295907399</v>
      </c>
      <c r="Q248" t="s">
        <v>51</v>
      </c>
    </row>
    <row r="249" spans="1:17" x14ac:dyDescent="0.2">
      <c r="A249">
        <v>248</v>
      </c>
      <c r="B249">
        <v>785</v>
      </c>
      <c r="C249">
        <v>105</v>
      </c>
      <c r="D249">
        <v>0.49967443179133703</v>
      </c>
      <c r="E249">
        <v>109.682454145509</v>
      </c>
      <c r="F249">
        <v>1.43840191311291</v>
      </c>
      <c r="G249">
        <v>-1836.1343576085228</v>
      </c>
      <c r="H249">
        <v>-1497.4295900944271</v>
      </c>
      <c r="I249">
        <v>320.09563960092203</v>
      </c>
      <c r="J249">
        <v>161.21133120577201</v>
      </c>
      <c r="K249">
        <v>76.252995178615095</v>
      </c>
      <c r="L249">
        <v>0.50878558840846633</v>
      </c>
      <c r="M249">
        <v>-0.50765490785510059</v>
      </c>
      <c r="N249">
        <v>38.740260293520699</v>
      </c>
      <c r="O249">
        <v>38.740383402923698</v>
      </c>
      <c r="P249">
        <v>38.7402653271185</v>
      </c>
      <c r="Q249" t="s">
        <v>51</v>
      </c>
    </row>
    <row r="250" spans="1:17" x14ac:dyDescent="0.2">
      <c r="A250">
        <v>249</v>
      </c>
      <c r="B250">
        <v>784</v>
      </c>
      <c r="C250">
        <v>105</v>
      </c>
      <c r="D250">
        <v>0.49913493827744299</v>
      </c>
      <c r="E250">
        <v>109.682454146198</v>
      </c>
      <c r="F250">
        <v>1.4262350252998599</v>
      </c>
      <c r="G250">
        <v>-1835.8148457327386</v>
      </c>
      <c r="H250">
        <v>-1498.9839593798281</v>
      </c>
      <c r="I250">
        <v>318.62604528410998</v>
      </c>
      <c r="J250">
        <v>160.79147957234699</v>
      </c>
      <c r="K250">
        <v>76.903492201881605</v>
      </c>
      <c r="L250">
        <v>0.4479355862554244</v>
      </c>
      <c r="M250">
        <v>-0.44676198358934627</v>
      </c>
      <c r="N250">
        <v>34.388943151396397</v>
      </c>
      <c r="O250">
        <v>34.389072019761798</v>
      </c>
      <c r="P250">
        <v>34.388948460338597</v>
      </c>
      <c r="Q250" t="s">
        <v>51</v>
      </c>
    </row>
    <row r="251" spans="1:17" x14ac:dyDescent="0.2">
      <c r="A251">
        <v>250</v>
      </c>
      <c r="B251">
        <v>783</v>
      </c>
      <c r="C251">
        <v>105</v>
      </c>
      <c r="D251">
        <v>0.498594423140655</v>
      </c>
      <c r="E251">
        <v>109.68243697743701</v>
      </c>
      <c r="F251">
        <v>1.4118487443832499</v>
      </c>
      <c r="G251">
        <v>-1835.4968505734689</v>
      </c>
      <c r="H251">
        <v>-1500.8433934555349</v>
      </c>
      <c r="I251">
        <v>316.86629662273299</v>
      </c>
      <c r="J251">
        <v>160.26319343989499</v>
      </c>
      <c r="K251">
        <v>77.687101691159</v>
      </c>
      <c r="L251">
        <v>0.37525729732984203</v>
      </c>
      <c r="M251">
        <v>-0.37403318620311454</v>
      </c>
      <c r="N251">
        <v>29.090545562896001</v>
      </c>
      <c r="O251">
        <v>29.090681331652998</v>
      </c>
      <c r="P251">
        <v>29.090551196629399</v>
      </c>
      <c r="Q251" t="s">
        <v>51</v>
      </c>
    </row>
    <row r="252" spans="1:17" x14ac:dyDescent="0.2">
      <c r="A252">
        <v>251</v>
      </c>
      <c r="B252">
        <v>782</v>
      </c>
      <c r="C252">
        <v>105</v>
      </c>
      <c r="D252">
        <v>0.49805288347628701</v>
      </c>
      <c r="E252">
        <v>109.682418365065</v>
      </c>
      <c r="F252">
        <v>1.4013050433247201</v>
      </c>
      <c r="G252">
        <v>-1835.180402550091</v>
      </c>
      <c r="H252">
        <v>-1502.3205717481765</v>
      </c>
      <c r="I252">
        <v>315.46690195900601</v>
      </c>
      <c r="J252">
        <v>159.86188151638601</v>
      </c>
      <c r="K252">
        <v>78.271621791094006</v>
      </c>
      <c r="L252">
        <v>0.32011481197943531</v>
      </c>
      <c r="M252">
        <v>-0.31885207985669045</v>
      </c>
      <c r="N252">
        <v>24.9912814617919</v>
      </c>
      <c r="O252">
        <v>24.991422580208098</v>
      </c>
      <c r="P252">
        <v>24.991287353475901</v>
      </c>
      <c r="Q252" t="s">
        <v>51</v>
      </c>
    </row>
    <row r="253" spans="1:17" x14ac:dyDescent="0.2">
      <c r="A253">
        <v>252</v>
      </c>
      <c r="B253">
        <v>781</v>
      </c>
      <c r="C253">
        <v>105</v>
      </c>
      <c r="D253">
        <v>0.49751031636863902</v>
      </c>
      <c r="E253">
        <v>109.689409736873</v>
      </c>
      <c r="F253">
        <v>1.37581977316292</v>
      </c>
      <c r="G253">
        <v>-1834.9808844996301</v>
      </c>
      <c r="H253">
        <v>-1505.7509919214681</v>
      </c>
      <c r="I253">
        <v>312.32310827738598</v>
      </c>
      <c r="J253">
        <v>158.80759994706401</v>
      </c>
      <c r="K253">
        <v>79.726583289833599</v>
      </c>
      <c r="L253">
        <v>0.19466960347511308</v>
      </c>
      <c r="M253">
        <v>-0.19332039690774463</v>
      </c>
      <c r="N253">
        <v>15.449909077385801</v>
      </c>
      <c r="O253">
        <v>15.4500625959224</v>
      </c>
      <c r="P253">
        <v>15.4499155359506</v>
      </c>
      <c r="Q253" t="s">
        <v>51</v>
      </c>
    </row>
    <row r="254" spans="1:17" x14ac:dyDescent="0.2">
      <c r="A254">
        <v>253</v>
      </c>
      <c r="B254">
        <v>780</v>
      </c>
      <c r="C254">
        <v>105</v>
      </c>
      <c r="D254">
        <v>0.49696671889094501</v>
      </c>
      <c r="E254">
        <v>109.692472534899</v>
      </c>
      <c r="F254">
        <v>1.3640122444693601</v>
      </c>
      <c r="G254">
        <v>-1834.7194817789746</v>
      </c>
      <c r="H254">
        <v>-1507.567745191908</v>
      </c>
      <c r="I254">
        <v>310.64660451800597</v>
      </c>
      <c r="J254">
        <v>158.28815782008701</v>
      </c>
      <c r="K254">
        <v>80.418979360095406</v>
      </c>
      <c r="L254">
        <v>0.1327385930154234</v>
      </c>
      <c r="M254">
        <v>-0.13134609340747971</v>
      </c>
      <c r="N254">
        <v>10.601292454868601</v>
      </c>
      <c r="O254">
        <v>10.6014522942366</v>
      </c>
      <c r="P254">
        <v>10.6012992148829</v>
      </c>
      <c r="Q254" t="s">
        <v>51</v>
      </c>
    </row>
    <row r="255" spans="1:17" x14ac:dyDescent="0.2">
      <c r="A255">
        <v>254</v>
      </c>
      <c r="B255">
        <v>779</v>
      </c>
      <c r="C255">
        <v>105</v>
      </c>
      <c r="D255">
        <v>0.49642208810530802</v>
      </c>
      <c r="E255">
        <v>109.693246981185</v>
      </c>
      <c r="F255">
        <v>1.3562304742607301</v>
      </c>
      <c r="G255">
        <v>-1834.4221071717116</v>
      </c>
      <c r="H255">
        <v>-1508.8879245557648</v>
      </c>
      <c r="I255">
        <v>309.40462420384102</v>
      </c>
      <c r="J255">
        <v>157.92360743613699</v>
      </c>
      <c r="K255">
        <v>80.880977874337901</v>
      </c>
      <c r="L255">
        <v>8.9433424591153124E-2</v>
      </c>
      <c r="M255">
        <v>-8.8010208999835082E-2</v>
      </c>
      <c r="N255">
        <v>7.1579204821604101</v>
      </c>
      <c r="O255">
        <v>7.1580848286949896</v>
      </c>
      <c r="P255">
        <v>7.1579274634515597</v>
      </c>
      <c r="Q255" t="s">
        <v>51</v>
      </c>
    </row>
    <row r="256" spans="1:17" x14ac:dyDescent="0.2">
      <c r="A256">
        <v>255</v>
      </c>
      <c r="B256">
        <v>778</v>
      </c>
      <c r="C256">
        <v>105</v>
      </c>
      <c r="D256">
        <v>0.49587642106264601</v>
      </c>
      <c r="E256">
        <v>109.69321033503699</v>
      </c>
      <c r="F256">
        <v>1.3523347570170601</v>
      </c>
      <c r="G256">
        <v>-1834.112532376457</v>
      </c>
      <c r="H256">
        <v>-1509.7171268066716</v>
      </c>
      <c r="I256">
        <v>308.6156969507</v>
      </c>
      <c r="J256">
        <v>157.72908260587801</v>
      </c>
      <c r="K256">
        <v>81.113947390507604</v>
      </c>
      <c r="L256">
        <v>6.4487473066644319E-2</v>
      </c>
      <c r="M256">
        <v>-6.3045934159838557E-2</v>
      </c>
      <c r="N256">
        <v>5.1540191405482796</v>
      </c>
      <c r="O256">
        <v>5.1541861471128696</v>
      </c>
      <c r="P256">
        <v>5.1540262604015101</v>
      </c>
      <c r="Q256" t="s">
        <v>51</v>
      </c>
    </row>
    <row r="257" spans="1:17" x14ac:dyDescent="0.2">
      <c r="A257">
        <v>256</v>
      </c>
      <c r="B257">
        <v>777</v>
      </c>
      <c r="C257">
        <v>105</v>
      </c>
      <c r="D257">
        <v>0.49532971480264998</v>
      </c>
      <c r="E257">
        <v>109.693108814867</v>
      </c>
      <c r="F257">
        <v>1.3507793788987701</v>
      </c>
      <c r="G257">
        <v>-1833.8025279182016</v>
      </c>
      <c r="H257">
        <v>-1510.2479402744568</v>
      </c>
      <c r="I257">
        <v>308.10895842124899</v>
      </c>
      <c r="J257">
        <v>157.64298969685899</v>
      </c>
      <c r="K257">
        <v>81.207272281795497</v>
      </c>
      <c r="L257">
        <v>5.0704110415816066E-2</v>
      </c>
      <c r="M257">
        <v>-4.9251773994311188E-2</v>
      </c>
      <c r="N257">
        <v>4.0399866280874903</v>
      </c>
      <c r="O257">
        <v>4.0401551560743503</v>
      </c>
      <c r="P257">
        <v>4.0399938341844903</v>
      </c>
      <c r="Q257" t="s">
        <v>51</v>
      </c>
    </row>
    <row r="258" spans="1:17" x14ac:dyDescent="0.2">
      <c r="A258">
        <v>257</v>
      </c>
      <c r="B258">
        <v>815</v>
      </c>
      <c r="C258">
        <v>90</v>
      </c>
      <c r="D258">
        <v>0.53056150346919295</v>
      </c>
      <c r="E258">
        <v>109.682004400453</v>
      </c>
      <c r="F258">
        <v>1.3239895503441801</v>
      </c>
      <c r="G258">
        <v>-1847.0536325434673</v>
      </c>
      <c r="H258">
        <v>-1490.0014106612525</v>
      </c>
      <c r="I258">
        <v>328.13162979947202</v>
      </c>
      <c r="J258">
        <v>161.089225748888</v>
      </c>
      <c r="K258">
        <v>82.842046881669702</v>
      </c>
      <c r="L258">
        <v>0.56084937588509209</v>
      </c>
      <c r="M258">
        <v>-0.5596225274308666</v>
      </c>
      <c r="N258">
        <v>46.402600628853499</v>
      </c>
      <c r="O258">
        <v>46.402766617391897</v>
      </c>
      <c r="P258">
        <v>46.402606312690402</v>
      </c>
      <c r="Q258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AFF7-FBEA-4B4F-BF0C-F5739812BF81}">
  <sheetPr codeName="Sheet4"/>
  <dimension ref="A1:AI258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300</v>
      </c>
      <c r="D2">
        <v>0.27595058971994302</v>
      </c>
      <c r="E2">
        <v>105.997867260112</v>
      </c>
      <c r="F2">
        <v>2.19083978848878</v>
      </c>
      <c r="G2">
        <v>-1735.6945657316442</v>
      </c>
      <c r="H2">
        <v>-1446.0547092090962</v>
      </c>
      <c r="I2">
        <v>281.16279815808099</v>
      </c>
      <c r="J2">
        <v>143.89803572030399</v>
      </c>
      <c r="K2">
        <v>48.382299708564602</v>
      </c>
      <c r="L2">
        <v>1.6377041134355168E-4</v>
      </c>
      <c r="M2">
        <v>1.7803175582439456E-5</v>
      </c>
      <c r="N2" s="1">
        <v>4.0322445771552403E-6</v>
      </c>
      <c r="O2" s="1">
        <v>1.08918335580739E-7</v>
      </c>
      <c r="P2" s="1">
        <v>-5.5006266308276096E-7</v>
      </c>
      <c r="Q2">
        <v>72.039185291006206</v>
      </c>
      <c r="R2">
        <v>6.5095649359319802E-2</v>
      </c>
      <c r="S2">
        <v>11.9342023825425</v>
      </c>
      <c r="T2">
        <v>0.145530004383401</v>
      </c>
      <c r="V2">
        <v>0.35962640777695398</v>
      </c>
      <c r="W2">
        <v>2.26419649945458E-2</v>
      </c>
      <c r="X2">
        <v>4.7170760405304803E-2</v>
      </c>
      <c r="AA2">
        <v>0.50944421237728399</v>
      </c>
      <c r="AB2">
        <v>3.7453583761811302</v>
      </c>
      <c r="AC2">
        <v>4.3491441093689902</v>
      </c>
      <c r="AD2">
        <v>5.6604912486363399E-3</v>
      </c>
      <c r="AE2">
        <v>6.7769403503555399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105.81654657209801</v>
      </c>
      <c r="F3">
        <v>2.1912741397226299</v>
      </c>
      <c r="G3">
        <v>-1732.4057696198422</v>
      </c>
      <c r="H3">
        <v>-1443.6557942961715</v>
      </c>
      <c r="I3">
        <v>280.57132130755502</v>
      </c>
      <c r="J3">
        <v>143.657027020242</v>
      </c>
      <c r="K3">
        <v>48.289962745369998</v>
      </c>
      <c r="L3">
        <v>1.637978604428065E-4</v>
      </c>
      <c r="M3">
        <v>1.7795721060920843E-5</v>
      </c>
      <c r="N3" s="1">
        <v>4.0313944988903496E-6</v>
      </c>
      <c r="O3" s="1">
        <v>1.08673967123886E-7</v>
      </c>
      <c r="P3" s="1">
        <v>-5.49427938156242E-7</v>
      </c>
      <c r="Q3">
        <v>72.000683470658203</v>
      </c>
      <c r="R3">
        <v>6.5207193237011199E-2</v>
      </c>
      <c r="S3">
        <v>11.9546520934533</v>
      </c>
      <c r="T3">
        <v>0.146050102514966</v>
      </c>
      <c r="V3">
        <v>0.35999903827859903</v>
      </c>
      <c r="W3">
        <v>2.2680762865046802E-2</v>
      </c>
      <c r="X3">
        <v>4.7251589302183303E-2</v>
      </c>
      <c r="AA3">
        <v>0.51031716446356401</v>
      </c>
      <c r="AB3">
        <v>3.7517761905931901</v>
      </c>
      <c r="AC3">
        <v>4.3565965336610502</v>
      </c>
      <c r="AD3">
        <v>5.6701907162614602E-3</v>
      </c>
      <c r="AE3">
        <v>6.7791156702565596</v>
      </c>
    </row>
    <row r="4" spans="1:35" x14ac:dyDescent="0.2">
      <c r="A4">
        <v>3</v>
      </c>
      <c r="B4">
        <v>755</v>
      </c>
      <c r="C4">
        <v>300</v>
      </c>
      <c r="D4">
        <v>0.27440597189125798</v>
      </c>
      <c r="E4">
        <v>105.587354881449</v>
      </c>
      <c r="F4">
        <v>2.19172438405498</v>
      </c>
      <c r="G4">
        <v>-1728.3250423244322</v>
      </c>
      <c r="H4">
        <v>-1440.5847297840312</v>
      </c>
      <c r="I4">
        <v>279.86219184010201</v>
      </c>
      <c r="J4">
        <v>143.356423201578</v>
      </c>
      <c r="K4">
        <v>48.175471172200503</v>
      </c>
      <c r="L4">
        <v>1.6385077042438477E-4</v>
      </c>
      <c r="M4">
        <v>1.7788734850322587E-5</v>
      </c>
      <c r="N4" s="1">
        <v>4.0291546444152796E-6</v>
      </c>
      <c r="O4" s="1">
        <v>1.08392160171292E-7</v>
      </c>
      <c r="P4" s="1">
        <v>-5.48676666317822E-7</v>
      </c>
      <c r="Q4">
        <v>71.951653512306905</v>
      </c>
      <c r="R4">
        <v>6.5348734303905698E-2</v>
      </c>
      <c r="S4">
        <v>11.980601289050901</v>
      </c>
      <c r="T4">
        <v>0.14665057577803101</v>
      </c>
      <c r="V4">
        <v>0.360525412125621</v>
      </c>
      <c r="W4">
        <v>2.2729994540488199E-2</v>
      </c>
      <c r="X4">
        <v>4.73541552926868E-2</v>
      </c>
      <c r="AA4">
        <v>0.51142487716099805</v>
      </c>
      <c r="AB4">
        <v>3.75991993023914</v>
      </c>
      <c r="AC4">
        <v>4.3660531179854196</v>
      </c>
      <c r="AD4">
        <v>5.6824986351217402E-3</v>
      </c>
      <c r="AE4">
        <v>6.7820559025806899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105.35931300077399</v>
      </c>
      <c r="F5">
        <v>2.1921744726107302</v>
      </c>
      <c r="G5">
        <v>-1724.2647311152894</v>
      </c>
      <c r="H5">
        <v>-1437.5291668863852</v>
      </c>
      <c r="I5">
        <v>279.156466172325</v>
      </c>
      <c r="J5">
        <v>143.057340301133</v>
      </c>
      <c r="K5">
        <v>48.061554551038299</v>
      </c>
      <c r="L5">
        <v>1.6390381085166643E-4</v>
      </c>
      <c r="M5">
        <v>1.7781750838606667E-5</v>
      </c>
      <c r="N5" s="1">
        <v>4.0269452632514298E-6</v>
      </c>
      <c r="O5" s="1">
        <v>1.08111923273866E-7</v>
      </c>
      <c r="P5" s="1">
        <v>-5.4793084706465398E-7</v>
      </c>
      <c r="Q5">
        <v>71.902637645170699</v>
      </c>
      <c r="R5">
        <v>6.5490176458813804E-2</v>
      </c>
      <c r="S5">
        <v>12.006532350785101</v>
      </c>
      <c r="T5">
        <v>0.14725315866313601</v>
      </c>
      <c r="V5">
        <v>0.36104914228775298</v>
      </c>
      <c r="W5">
        <v>2.2779191811760201E-2</v>
      </c>
      <c r="X5">
        <v>4.74566496078387E-2</v>
      </c>
      <c r="AA5">
        <v>0.51253181576462403</v>
      </c>
      <c r="AB5">
        <v>3.7680579788620601</v>
      </c>
      <c r="AC5">
        <v>4.3755030938422097</v>
      </c>
      <c r="AD5">
        <v>5.69479795293951E-3</v>
      </c>
      <c r="AE5">
        <v>6.7850139987929303</v>
      </c>
    </row>
    <row r="6" spans="1:35" x14ac:dyDescent="0.2">
      <c r="A6">
        <v>5</v>
      </c>
      <c r="B6">
        <v>753</v>
      </c>
      <c r="C6">
        <v>300</v>
      </c>
      <c r="D6">
        <v>0.27285533304097898</v>
      </c>
      <c r="E6">
        <v>105.132411244862</v>
      </c>
      <c r="F6">
        <v>2.19262440474151</v>
      </c>
      <c r="G6">
        <v>-1720.2246658954207</v>
      </c>
      <c r="H6">
        <v>-1434.4889744186805</v>
      </c>
      <c r="I6">
        <v>278.45411633459003</v>
      </c>
      <c r="J6">
        <v>142.75976574215801</v>
      </c>
      <c r="K6">
        <v>47.948208100536903</v>
      </c>
      <c r="L6">
        <v>1.6395698317437488E-4</v>
      </c>
      <c r="M6">
        <v>1.7774769070094382E-5</v>
      </c>
      <c r="N6" s="1">
        <v>4.0247662003604E-6</v>
      </c>
      <c r="O6" s="1">
        <v>1.0783324459287101E-7</v>
      </c>
      <c r="P6" s="1">
        <v>-5.4719044571218699E-7</v>
      </c>
      <c r="Q6">
        <v>71.853635516771106</v>
      </c>
      <c r="R6">
        <v>6.5631520463555804E-2</v>
      </c>
      <c r="S6">
        <v>12.0324454183217</v>
      </c>
      <c r="T6">
        <v>0.1478578640047</v>
      </c>
      <c r="V6">
        <v>0.36157022295783903</v>
      </c>
      <c r="W6">
        <v>2.2828354943844199E-2</v>
      </c>
      <c r="X6">
        <v>4.7559072799681197E-2</v>
      </c>
      <c r="AA6">
        <v>0.51363798623651702</v>
      </c>
      <c r="AB6">
        <v>3.77619038029429</v>
      </c>
      <c r="AC6">
        <v>4.3849465121299902</v>
      </c>
      <c r="AD6">
        <v>5.7070887359604002E-3</v>
      </c>
      <c r="AE6">
        <v>6.7879900623407501</v>
      </c>
    </row>
    <row r="7" spans="1:35" x14ac:dyDescent="0.2">
      <c r="A7">
        <v>6</v>
      </c>
      <c r="B7">
        <v>752</v>
      </c>
      <c r="C7">
        <v>300</v>
      </c>
      <c r="D7">
        <v>0.27207774472028401</v>
      </c>
      <c r="E7">
        <v>104.90664003349001</v>
      </c>
      <c r="F7">
        <v>2.1930741797695301</v>
      </c>
      <c r="G7">
        <v>-1716.2046784206264</v>
      </c>
      <c r="H7">
        <v>-1431.4640226155111</v>
      </c>
      <c r="I7">
        <v>277.755114671135</v>
      </c>
      <c r="J7">
        <v>142.463687087106</v>
      </c>
      <c r="K7">
        <v>47.835427091898602</v>
      </c>
      <c r="L7">
        <v>1.6401028886489936E-4</v>
      </c>
      <c r="M7">
        <v>1.776778959039327E-5</v>
      </c>
      <c r="N7" s="1">
        <v>4.0226173036978002E-6</v>
      </c>
      <c r="O7" s="1">
        <v>1.0755611243795E-7</v>
      </c>
      <c r="P7" s="1">
        <v>-5.4645542810653204E-7</v>
      </c>
      <c r="Q7">
        <v>71.804646773189305</v>
      </c>
      <c r="R7">
        <v>6.5772767079351896E-2</v>
      </c>
      <c r="S7">
        <v>12.058340631219201</v>
      </c>
      <c r="T7">
        <v>0.14846470470642401</v>
      </c>
      <c r="V7">
        <v>0.36208864826154402</v>
      </c>
      <c r="W7">
        <v>2.28774842015118E-2</v>
      </c>
      <c r="X7">
        <v>4.7661425419824897E-2</v>
      </c>
      <c r="AA7">
        <v>0.51474339453404905</v>
      </c>
      <c r="AB7">
        <v>3.7843171783335001</v>
      </c>
      <c r="AC7">
        <v>4.3943834237069304</v>
      </c>
      <c r="AD7">
        <v>5.7193710503769604E-3</v>
      </c>
      <c r="AE7">
        <v>6.7909841982977799</v>
      </c>
    </row>
    <row r="8" spans="1:35" x14ac:dyDescent="0.2">
      <c r="A8">
        <v>7</v>
      </c>
      <c r="B8">
        <v>751</v>
      </c>
      <c r="C8">
        <v>300</v>
      </c>
      <c r="D8">
        <v>0.27129863789483999</v>
      </c>
      <c r="E8">
        <v>104.68198989266899</v>
      </c>
      <c r="F8">
        <v>2.1935237969849601</v>
      </c>
      <c r="G8">
        <v>-1712.2046023188618</v>
      </c>
      <c r="H8">
        <v>-1428.4541831487088</v>
      </c>
      <c r="I8">
        <v>277.05943384284802</v>
      </c>
      <c r="J8">
        <v>142.16909203915401</v>
      </c>
      <c r="K8">
        <v>47.723206849433801</v>
      </c>
      <c r="L8">
        <v>1.6406372941794712E-4</v>
      </c>
      <c r="M8">
        <v>1.7760812446443888E-5</v>
      </c>
      <c r="N8" s="1">
        <v>4.0204984242984598E-6</v>
      </c>
      <c r="O8" s="1">
        <v>1.0728051526817E-7</v>
      </c>
      <c r="P8" s="1">
        <v>-5.4572576063045602E-7</v>
      </c>
      <c r="Q8">
        <v>71.755671059589801</v>
      </c>
      <c r="R8">
        <v>6.5913917065149596E-2</v>
      </c>
      <c r="S8">
        <v>12.0842181286159</v>
      </c>
      <c r="T8">
        <v>0.14907369373739099</v>
      </c>
      <c r="V8">
        <v>0.36260441224898998</v>
      </c>
      <c r="W8">
        <v>2.29265798487455E-2</v>
      </c>
      <c r="X8">
        <v>4.7763708018229503E-2</v>
      </c>
      <c r="AA8">
        <v>0.51584804659681205</v>
      </c>
      <c r="AB8">
        <v>3.7924384166467702</v>
      </c>
      <c r="AC8">
        <v>4.4038138792797401</v>
      </c>
      <c r="AD8">
        <v>5.7316449621852596E-3</v>
      </c>
      <c r="AE8">
        <v>6.7939965133901099</v>
      </c>
    </row>
    <row r="9" spans="1:35" x14ac:dyDescent="0.2">
      <c r="A9">
        <v>8</v>
      </c>
      <c r="B9">
        <v>750</v>
      </c>
      <c r="C9">
        <v>300</v>
      </c>
      <c r="D9">
        <v>0.270518008112205</v>
      </c>
      <c r="E9">
        <v>104.458451446666</v>
      </c>
      <c r="F9">
        <v>2.1939732556528799</v>
      </c>
      <c r="G9">
        <v>-1708.2242729558193</v>
      </c>
      <c r="H9">
        <v>-1425.4593290164673</v>
      </c>
      <c r="I9">
        <v>276.367046805798</v>
      </c>
      <c r="J9">
        <v>141.87596843195701</v>
      </c>
      <c r="K9">
        <v>47.611542746715003</v>
      </c>
      <c r="L9">
        <v>1.6411730635126497E-4</v>
      </c>
      <c r="M9">
        <v>1.7753837686374386E-5</v>
      </c>
      <c r="N9" s="1">
        <v>4.01840941595828E-6</v>
      </c>
      <c r="O9" s="1">
        <v>1.0700644168239301E-7</v>
      </c>
      <c r="P9" s="1">
        <v>-5.45001410165025E-7</v>
      </c>
      <c r="Q9">
        <v>71.706708018926093</v>
      </c>
      <c r="R9">
        <v>6.6054971181754699E-2</v>
      </c>
      <c r="S9">
        <v>12.110078049995201</v>
      </c>
      <c r="T9">
        <v>0.14968484414302399</v>
      </c>
      <c r="V9">
        <v>0.36311750891512101</v>
      </c>
      <c r="W9">
        <v>2.2975642150172799E-2</v>
      </c>
      <c r="X9">
        <v>4.7865921146205803E-2</v>
      </c>
      <c r="AA9">
        <v>0.51695194837893499</v>
      </c>
      <c r="AB9">
        <v>3.8005541390078799</v>
      </c>
      <c r="AC9">
        <v>4.4132379296788402</v>
      </c>
      <c r="AD9">
        <v>5.7439105375417399E-3</v>
      </c>
      <c r="AE9">
        <v>6.79702711593914</v>
      </c>
    </row>
    <row r="10" spans="1:35" x14ac:dyDescent="0.2">
      <c r="A10">
        <v>9</v>
      </c>
      <c r="B10">
        <v>749</v>
      </c>
      <c r="C10">
        <v>300</v>
      </c>
      <c r="D10">
        <v>0.26973585090251001</v>
      </c>
      <c r="E10">
        <v>104.23601542268899</v>
      </c>
      <c r="F10">
        <v>2.1944225550066299</v>
      </c>
      <c r="G10">
        <v>-1704.2635275117655</v>
      </c>
      <c r="H10">
        <v>-1422.4793346094066</v>
      </c>
      <c r="I10">
        <v>275.67792682322403</v>
      </c>
      <c r="J10">
        <v>141.584304235601</v>
      </c>
      <c r="K10">
        <v>47.500430208790803</v>
      </c>
      <c r="L10">
        <v>1.6417102120529545E-4</v>
      </c>
      <c r="M10">
        <v>1.7746865359645875E-5</v>
      </c>
      <c r="N10" s="1">
        <v>4.0163501354818502E-6</v>
      </c>
      <c r="O10" s="1">
        <v>1.06733880424657E-7</v>
      </c>
      <c r="P10" s="1">
        <v>-5.44282344114267E-7</v>
      </c>
      <c r="Q10">
        <v>71.657757293100005</v>
      </c>
      <c r="R10">
        <v>6.6195930188045204E-2</v>
      </c>
      <c r="S10">
        <v>12.135920534482301</v>
      </c>
      <c r="T10">
        <v>0.15029816903566701</v>
      </c>
      <c r="V10">
        <v>0.363627932180627</v>
      </c>
      <c r="W10">
        <v>2.3024671369751899E-2</v>
      </c>
      <c r="X10">
        <v>4.79680653536632E-2</v>
      </c>
      <c r="AA10">
        <v>0.51805510581946801</v>
      </c>
      <c r="AB10">
        <v>3.8086643890799299</v>
      </c>
      <c r="AC10">
        <v>4.4226556256063096</v>
      </c>
      <c r="AD10">
        <v>5.7561678424363901E-3</v>
      </c>
      <c r="AE10">
        <v>6.8000761159416996</v>
      </c>
    </row>
    <row r="11" spans="1:35" x14ac:dyDescent="0.2">
      <c r="A11">
        <v>10</v>
      </c>
      <c r="B11">
        <v>748</v>
      </c>
      <c r="C11">
        <v>300</v>
      </c>
      <c r="D11">
        <v>0.26895216177838999</v>
      </c>
      <c r="E11">
        <v>104.014672645074</v>
      </c>
      <c r="F11">
        <v>2.1948716942502999</v>
      </c>
      <c r="G11">
        <v>-1700.3222048838552</v>
      </c>
      <c r="H11">
        <v>-1419.5140756299097</v>
      </c>
      <c r="I11">
        <v>274.99204745037002</v>
      </c>
      <c r="J11">
        <v>141.29408754924901</v>
      </c>
      <c r="K11">
        <v>47.389864709427897</v>
      </c>
      <c r="L11">
        <v>1.6422487554508772E-4</v>
      </c>
      <c r="M11">
        <v>1.7739895517054846E-5</v>
      </c>
      <c r="N11" s="1">
        <v>4.0143204425078099E-6</v>
      </c>
      <c r="O11" s="1">
        <v>1.06462820378315E-7</v>
      </c>
      <c r="P11" s="1">
        <v>-5.4356853038517696E-7</v>
      </c>
      <c r="Q11">
        <v>71.608818521991196</v>
      </c>
      <c r="R11">
        <v>6.6336794843790403E-2</v>
      </c>
      <c r="S11">
        <v>12.1617457213694</v>
      </c>
      <c r="T11">
        <v>0.15091368160207499</v>
      </c>
      <c r="V11">
        <v>0.36413567590561102</v>
      </c>
      <c r="W11">
        <v>2.307366777175E-2</v>
      </c>
      <c r="X11">
        <v>4.8070141191160203E-2</v>
      </c>
      <c r="AA11">
        <v>0.51915752486443001</v>
      </c>
      <c r="AB11">
        <v>3.81676921057714</v>
      </c>
      <c r="AC11">
        <v>4.4320670178234396</v>
      </c>
      <c r="AD11">
        <v>5.7684169429358103E-3</v>
      </c>
      <c r="AE11">
        <v>6.8031436251170101</v>
      </c>
    </row>
    <row r="12" spans="1:35" x14ac:dyDescent="0.2">
      <c r="A12">
        <v>11</v>
      </c>
      <c r="B12">
        <v>747</v>
      </c>
      <c r="C12">
        <v>300</v>
      </c>
      <c r="D12">
        <v>0.26816693623486898</v>
      </c>
      <c r="E12">
        <v>103.79441403724699</v>
      </c>
      <c r="F12">
        <v>2.1953206725558201</v>
      </c>
      <c r="G12">
        <v>-1696.4001457173335</v>
      </c>
      <c r="H12">
        <v>-1416.5634291200884</v>
      </c>
      <c r="I12">
        <v>274.30938253908198</v>
      </c>
      <c r="J12">
        <v>141.00530660356</v>
      </c>
      <c r="K12">
        <v>47.2798417720035</v>
      </c>
      <c r="L12">
        <v>1.6427887095972994E-4</v>
      </c>
      <c r="M12">
        <v>1.7732928210781768E-5</v>
      </c>
      <c r="N12" s="1">
        <v>4.0123201996178104E-6</v>
      </c>
      <c r="O12" s="1">
        <v>1.06193250567778E-7</v>
      </c>
      <c r="P12" s="1">
        <v>-5.4285993739616797E-7</v>
      </c>
      <c r="Q12">
        <v>71.559891344108394</v>
      </c>
      <c r="R12">
        <v>6.6477565907585995E-2</v>
      </c>
      <c r="S12">
        <v>12.187553749733</v>
      </c>
      <c r="T12">
        <v>0.15153139509835301</v>
      </c>
      <c r="V12">
        <v>0.36464073387896201</v>
      </c>
      <c r="W12">
        <v>2.3122631620026299E-2</v>
      </c>
      <c r="X12">
        <v>4.8172149208404402E-2</v>
      </c>
      <c r="AA12">
        <v>0.52025921145065401</v>
      </c>
      <c r="AB12">
        <v>3.8248686471461899</v>
      </c>
      <c r="AC12">
        <v>4.4414721570131501</v>
      </c>
      <c r="AD12">
        <v>5.7806579050046804E-3</v>
      </c>
      <c r="AE12">
        <v>6.8062297569301702</v>
      </c>
    </row>
    <row r="13" spans="1:35" x14ac:dyDescent="0.2">
      <c r="A13">
        <v>12</v>
      </c>
      <c r="B13">
        <v>746</v>
      </c>
      <c r="C13">
        <v>300</v>
      </c>
      <c r="D13">
        <v>0.26738016974930101</v>
      </c>
      <c r="E13">
        <v>103.57523061805701</v>
      </c>
      <c r="F13">
        <v>2.19576948906652</v>
      </c>
      <c r="G13">
        <v>-1692.4971923430176</v>
      </c>
      <c r="H13">
        <v>-1413.6272734112761</v>
      </c>
      <c r="I13">
        <v>273.62990622748498</v>
      </c>
      <c r="J13">
        <v>140.717949755917</v>
      </c>
      <c r="K13">
        <v>47.170356967702503</v>
      </c>
      <c r="L13">
        <v>1.6433300906197815E-4</v>
      </c>
      <c r="M13">
        <v>1.7725963494287518E-5</v>
      </c>
      <c r="N13" s="1">
        <v>4.0103492721827901E-6</v>
      </c>
      <c r="O13" s="1">
        <v>1.0592516015335399E-7</v>
      </c>
      <c r="P13" s="1">
        <v>-5.42156534055981E-7</v>
      </c>
      <c r="Q13">
        <v>71.5109753961558</v>
      </c>
      <c r="R13">
        <v>6.6618244138357596E-2</v>
      </c>
      <c r="S13">
        <v>12.2133447587094</v>
      </c>
      <c r="T13">
        <v>0.15215132285431501</v>
      </c>
      <c r="V13">
        <v>0.365143099825817</v>
      </c>
      <c r="W13">
        <v>2.3171563178554899E-2</v>
      </c>
      <c r="X13">
        <v>4.8274089955341999E-2</v>
      </c>
      <c r="AA13">
        <v>0.52136017151755898</v>
      </c>
      <c r="AB13">
        <v>3.8329627424528301</v>
      </c>
      <c r="AC13">
        <v>4.4508710938804796</v>
      </c>
      <c r="AD13">
        <v>5.79289079463652E-3</v>
      </c>
      <c r="AE13">
        <v>6.80933462653676</v>
      </c>
    </row>
    <row r="14" spans="1:35" x14ac:dyDescent="0.2">
      <c r="A14">
        <v>13</v>
      </c>
      <c r="B14">
        <v>745</v>
      </c>
      <c r="C14">
        <v>300</v>
      </c>
      <c r="D14">
        <v>0.26659185778126798</v>
      </c>
      <c r="E14">
        <v>103.357113501141</v>
      </c>
      <c r="F14">
        <v>2.1962181428916301</v>
      </c>
      <c r="G14">
        <v>-1688.6131887663548</v>
      </c>
      <c r="H14">
        <v>-1410.7054881154002</v>
      </c>
      <c r="I14">
        <v>272.953592939109</v>
      </c>
      <c r="J14">
        <v>140.432005489803</v>
      </c>
      <c r="K14">
        <v>47.061405915286997</v>
      </c>
      <c r="L14">
        <v>1.6438729149132646E-4</v>
      </c>
      <c r="M14">
        <v>1.7719001422549596E-5</v>
      </c>
      <c r="N14" s="1">
        <v>4.0084075284742197E-6</v>
      </c>
      <c r="O14" s="1">
        <v>1.056585384329E-7</v>
      </c>
      <c r="P14" s="1">
        <v>-5.4145828977815998E-7</v>
      </c>
      <c r="Q14">
        <v>71.462070312961899</v>
      </c>
      <c r="R14">
        <v>6.6758830294969401E-2</v>
      </c>
      <c r="S14">
        <v>12.239118887423601</v>
      </c>
      <c r="T14">
        <v>0.15277347827263901</v>
      </c>
      <c r="V14">
        <v>0.365642767405291</v>
      </c>
      <c r="W14">
        <v>2.3220462711288602E-2</v>
      </c>
      <c r="X14">
        <v>4.8375963981874298E-2</v>
      </c>
      <c r="AA14">
        <v>0.52246041100408203</v>
      </c>
      <c r="AB14">
        <v>3.8410515401592402</v>
      </c>
      <c r="AC14">
        <v>4.4602638791263596</v>
      </c>
      <c r="AD14">
        <v>5.80511567781957E-3</v>
      </c>
      <c r="AE14">
        <v>6.8124583509808501</v>
      </c>
    </row>
    <row r="15" spans="1:35" x14ac:dyDescent="0.2">
      <c r="A15">
        <v>14</v>
      </c>
      <c r="B15">
        <v>744</v>
      </c>
      <c r="C15">
        <v>300</v>
      </c>
      <c r="D15">
        <v>0.26580199577250502</v>
      </c>
      <c r="E15">
        <v>103.140053894224</v>
      </c>
      <c r="F15">
        <v>2.19666663311085</v>
      </c>
      <c r="G15">
        <v>-1684.7479806535987</v>
      </c>
      <c r="H15">
        <v>-1407.7979541161749</v>
      </c>
      <c r="I15">
        <v>272.28041737936701</v>
      </c>
      <c r="J15">
        <v>140.14746241361399</v>
      </c>
      <c r="K15">
        <v>46.952984280623703</v>
      </c>
      <c r="L15">
        <v>1.6444171991078832E-4</v>
      </c>
      <c r="M15">
        <v>1.7712042051837211E-5</v>
      </c>
      <c r="N15" s="1">
        <v>4.0064948395517303E-6</v>
      </c>
      <c r="O15" s="1">
        <v>1.0539337483791401E-7</v>
      </c>
      <c r="P15" s="1">
        <v>-5.4076517446025002E-7</v>
      </c>
      <c r="Q15">
        <v>71.413175727774302</v>
      </c>
      <c r="R15">
        <v>6.6899325135867105E-2</v>
      </c>
      <c r="S15">
        <v>12.2648762749222</v>
      </c>
      <c r="T15">
        <v>0.15339787482836201</v>
      </c>
      <c r="V15">
        <v>0.36613973020840201</v>
      </c>
      <c r="W15">
        <v>2.3269330482035399E-2</v>
      </c>
      <c r="X15">
        <v>4.8477771837597897E-2</v>
      </c>
      <c r="AA15">
        <v>0.523559935845889</v>
      </c>
      <c r="AB15">
        <v>3.8491350839036098</v>
      </c>
      <c r="AC15">
        <v>4.4696505634239498</v>
      </c>
      <c r="AD15">
        <v>5.8173326205061297E-3</v>
      </c>
      <c r="AE15">
        <v>6.8156010490171797</v>
      </c>
    </row>
    <row r="16" spans="1:35" x14ac:dyDescent="0.2">
      <c r="A16">
        <v>15</v>
      </c>
      <c r="B16">
        <v>743</v>
      </c>
      <c r="C16">
        <v>300</v>
      </c>
      <c r="D16">
        <v>0.265010579146782</v>
      </c>
      <c r="E16">
        <v>102.924043096259</v>
      </c>
      <c r="F16">
        <v>2.1971149587689101</v>
      </c>
      <c r="G16">
        <v>-1680.9014152842217</v>
      </c>
      <c r="H16">
        <v>-1404.9045535291593</v>
      </c>
      <c r="I16">
        <v>271.61035452941201</v>
      </c>
      <c r="J16">
        <v>139.86430925731099</v>
      </c>
      <c r="K16">
        <v>46.845087775438799</v>
      </c>
      <c r="L16">
        <v>1.6449629601167102E-4</v>
      </c>
      <c r="M16">
        <v>1.770508544000316E-5</v>
      </c>
      <c r="N16" s="1">
        <v>4.0046110793253003E-6</v>
      </c>
      <c r="O16" s="1">
        <v>1.0512965893383899E-7</v>
      </c>
      <c r="P16" s="1">
        <v>-5.4007715849537204E-7</v>
      </c>
      <c r="Q16">
        <v>71.364291271646294</v>
      </c>
      <c r="R16">
        <v>6.70397294201453E-2</v>
      </c>
      <c r="S16">
        <v>12.290617060374</v>
      </c>
      <c r="T16">
        <v>0.154024526071768</v>
      </c>
      <c r="V16">
        <v>0.36663398176300199</v>
      </c>
      <c r="W16">
        <v>2.33181667548274E-2</v>
      </c>
      <c r="X16">
        <v>4.8579514072582999E-2</v>
      </c>
      <c r="AA16">
        <v>0.52465875198371603</v>
      </c>
      <c r="AB16">
        <v>3.85721341736132</v>
      </c>
      <c r="AC16">
        <v>4.4790311974894097</v>
      </c>
      <c r="AD16">
        <v>5.8295416887039903E-3</v>
      </c>
      <c r="AE16">
        <v>6.81876284137405</v>
      </c>
    </row>
    <row r="17" spans="1:31" x14ac:dyDescent="0.2">
      <c r="A17">
        <v>16</v>
      </c>
      <c r="B17">
        <v>742</v>
      </c>
      <c r="C17">
        <v>300</v>
      </c>
      <c r="D17">
        <v>0.264217603309855</v>
      </c>
      <c r="E17">
        <v>102.70907249867599</v>
      </c>
      <c r="F17">
        <v>2.19756311887696</v>
      </c>
      <c r="G17">
        <v>-1677.0733415698603</v>
      </c>
      <c r="H17">
        <v>-1402.0251697201511</v>
      </c>
      <c r="I17">
        <v>270.943379648041</v>
      </c>
      <c r="J17">
        <v>139.58253487377999</v>
      </c>
      <c r="K17">
        <v>46.737712157803202</v>
      </c>
      <c r="L17">
        <v>1.6455102151088384E-4</v>
      </c>
      <c r="M17">
        <v>1.7698131646355295E-5</v>
      </c>
      <c r="N17" s="1">
        <v>4.0027561245550799E-6</v>
      </c>
      <c r="O17" s="1">
        <v>1.04867380419077E-7</v>
      </c>
      <c r="P17" s="1">
        <v>-5.3939421276502401E-7</v>
      </c>
      <c r="Q17">
        <v>71.315416574074504</v>
      </c>
      <c r="R17">
        <v>6.7180043905951795E-2</v>
      </c>
      <c r="S17">
        <v>12.3163413827724</v>
      </c>
      <c r="T17">
        <v>0.15465344562465499</v>
      </c>
      <c r="V17">
        <v>0.36712551552568901</v>
      </c>
      <c r="W17">
        <v>2.33669717933686E-2</v>
      </c>
      <c r="X17">
        <v>4.8681191236211403E-2</v>
      </c>
      <c r="AA17">
        <v>0.52575686535089605</v>
      </c>
      <c r="AB17">
        <v>3.8652865841533499</v>
      </c>
      <c r="AC17">
        <v>4.4884058319758502</v>
      </c>
      <c r="AD17">
        <v>5.8417429483391898E-3</v>
      </c>
      <c r="AE17">
        <v>6.8219438506387302</v>
      </c>
    </row>
    <row r="18" spans="1:31" x14ac:dyDescent="0.2">
      <c r="A18">
        <v>17</v>
      </c>
      <c r="B18">
        <v>741</v>
      </c>
      <c r="C18">
        <v>300</v>
      </c>
      <c r="D18">
        <v>0.26342306364936202</v>
      </c>
      <c r="E18">
        <v>102.495133581472</v>
      </c>
      <c r="F18">
        <v>2.1980111124149002</v>
      </c>
      <c r="G18">
        <v>-1673.2636099880528</v>
      </c>
      <c r="H18">
        <v>-1399.1596872509879</v>
      </c>
      <c r="I18">
        <v>270.27946826116897</v>
      </c>
      <c r="J18">
        <v>139.30212823381899</v>
      </c>
      <c r="K18">
        <v>46.630853230247503</v>
      </c>
      <c r="L18">
        <v>1.6460589815168688E-4</v>
      </c>
      <c r="M18">
        <v>1.7691180731621177E-5</v>
      </c>
      <c r="N18" s="1">
        <v>4.00092985472035E-6</v>
      </c>
      <c r="O18" s="1">
        <v>1.04606529120475E-7</v>
      </c>
      <c r="P18" s="1">
        <v>-5.3871630862252305E-7</v>
      </c>
      <c r="Q18">
        <v>71.266551262413898</v>
      </c>
      <c r="R18">
        <v>6.7320269352261E-2</v>
      </c>
      <c r="S18">
        <v>12.3420493812635</v>
      </c>
      <c r="T18">
        <v>0.155284647185298</v>
      </c>
      <c r="V18">
        <v>0.36761432489030599</v>
      </c>
      <c r="W18">
        <v>2.3415745861649601E-2</v>
      </c>
      <c r="X18">
        <v>4.8782803878465501E-2</v>
      </c>
      <c r="AA18">
        <v>0.52685428188722705</v>
      </c>
      <c r="AB18">
        <v>3.8733546279481899</v>
      </c>
      <c r="AC18">
        <v>4.4977745175914601</v>
      </c>
      <c r="AD18">
        <v>5.8539364654092204E-3</v>
      </c>
      <c r="AE18">
        <v>6.8251442012622299</v>
      </c>
    </row>
    <row r="19" spans="1:31" x14ac:dyDescent="0.2">
      <c r="A19">
        <v>18</v>
      </c>
      <c r="B19">
        <v>740</v>
      </c>
      <c r="C19">
        <v>300</v>
      </c>
      <c r="D19">
        <v>0.26262695553471999</v>
      </c>
      <c r="E19">
        <v>102.282217913157</v>
      </c>
      <c r="F19">
        <v>2.1984589383254201</v>
      </c>
      <c r="G19">
        <v>-1669.4720725810716</v>
      </c>
      <c r="H19">
        <v>-1396.3079918790511</v>
      </c>
      <c r="I19">
        <v>269.61859616248398</v>
      </c>
      <c r="J19">
        <v>139.023078426263</v>
      </c>
      <c r="K19">
        <v>46.524506839807799</v>
      </c>
      <c r="L19">
        <v>1.6466092770663914E-4</v>
      </c>
      <c r="M19">
        <v>1.7684232758189101E-5</v>
      </c>
      <c r="N19" s="1">
        <v>3.9991321521522501E-6</v>
      </c>
      <c r="O19" s="1">
        <v>1.04347094995564E-7</v>
      </c>
      <c r="P19" s="1">
        <v>-5.38043417909706E-7</v>
      </c>
      <c r="Q19">
        <v>71.217694961913395</v>
      </c>
      <c r="R19">
        <v>6.7460406518160501E-2</v>
      </c>
      <c r="S19">
        <v>12.367741195012</v>
      </c>
      <c r="T19">
        <v>0.15591814452688099</v>
      </c>
      <c r="V19">
        <v>0.36810040318440201</v>
      </c>
      <c r="W19">
        <v>2.34644892237015E-2</v>
      </c>
      <c r="X19">
        <v>4.88843525494074E-2</v>
      </c>
      <c r="AA19">
        <v>0.52795100753339697</v>
      </c>
      <c r="AB19">
        <v>3.88141759242095</v>
      </c>
      <c r="AC19">
        <v>4.5071373050522601</v>
      </c>
      <c r="AD19">
        <v>5.8661223059221501E-3</v>
      </c>
      <c r="AE19">
        <v>6.82836401975936</v>
      </c>
    </row>
    <row r="20" spans="1:31" x14ac:dyDescent="0.2">
      <c r="A20">
        <v>19</v>
      </c>
      <c r="B20">
        <v>739</v>
      </c>
      <c r="C20">
        <v>300</v>
      </c>
      <c r="D20">
        <v>0.261829274317047</v>
      </c>
      <c r="E20">
        <v>102.07031714959599</v>
      </c>
      <c r="F20">
        <v>2.1989065955177201</v>
      </c>
      <c r="G20">
        <v>-1665.6985829347982</v>
      </c>
      <c r="H20">
        <v>-1393.4699705418657</v>
      </c>
      <c r="I20">
        <v>268.960739409111</v>
      </c>
      <c r="J20">
        <v>138.74537465628501</v>
      </c>
      <c r="K20">
        <v>46.418668877367203</v>
      </c>
      <c r="L20">
        <v>1.6471611197540443E-4</v>
      </c>
      <c r="M20">
        <v>1.767728778994056E-5</v>
      </c>
      <c r="N20" s="1">
        <v>3.99736290193217E-6</v>
      </c>
      <c r="O20" s="1">
        <v>1.04089068128963E-7</v>
      </c>
      <c r="P20" s="1">
        <v>-5.3737551293913405E-7</v>
      </c>
      <c r="Q20">
        <v>71.168847295834496</v>
      </c>
      <c r="R20">
        <v>6.7600456162862199E-2</v>
      </c>
      <c r="S20">
        <v>12.3934169632077</v>
      </c>
      <c r="T20">
        <v>0.156553951497754</v>
      </c>
      <c r="V20">
        <v>0.36858374366858199</v>
      </c>
      <c r="W20">
        <v>2.3513202143597599E-2</v>
      </c>
      <c r="X20">
        <v>4.8985837799191599E-2</v>
      </c>
      <c r="AA20">
        <v>0.52904704823106097</v>
      </c>
      <c r="AB20">
        <v>3.8894755212537699</v>
      </c>
      <c r="AC20">
        <v>4.5164942450822902</v>
      </c>
      <c r="AD20">
        <v>5.8783005358960397E-3</v>
      </c>
      <c r="AE20">
        <v>6.8316034345827301</v>
      </c>
    </row>
    <row r="21" spans="1:31" x14ac:dyDescent="0.2">
      <c r="A21">
        <v>20</v>
      </c>
      <c r="B21">
        <v>738</v>
      </c>
      <c r="C21">
        <v>300</v>
      </c>
      <c r="D21">
        <v>0.26103001532908299</v>
      </c>
      <c r="E21">
        <v>98.069834885632503</v>
      </c>
      <c r="F21">
        <v>2.1988247238399401</v>
      </c>
      <c r="G21">
        <v>-1600.5063388538667</v>
      </c>
      <c r="H21">
        <v>-1338.9811063429684</v>
      </c>
      <c r="I21">
        <v>258.64138111150498</v>
      </c>
      <c r="J21">
        <v>133.40928050409701</v>
      </c>
      <c r="K21">
        <v>44.601024275535202</v>
      </c>
      <c r="L21">
        <v>1.6545676003557687E-4</v>
      </c>
      <c r="M21">
        <v>1.7723222213602163E-5</v>
      </c>
      <c r="N21" s="1">
        <v>3.8690822097651097E-6</v>
      </c>
      <c r="O21" s="1">
        <v>1.00502442476697E-7</v>
      </c>
      <c r="P21" s="1">
        <v>-5.1950214168331598E-7</v>
      </c>
      <c r="Q21">
        <v>71.058183102327007</v>
      </c>
      <c r="R21">
        <v>7.0358026074455696E-2</v>
      </c>
      <c r="S21">
        <v>12.4386561505675</v>
      </c>
      <c r="T21">
        <v>0.16316114164166101</v>
      </c>
      <c r="V21">
        <v>0.38342020751224198</v>
      </c>
      <c r="W21">
        <v>2.4472356895454201E-2</v>
      </c>
      <c r="X21">
        <v>5.0984076865568502E-2</v>
      </c>
      <c r="AA21">
        <v>0.54567458598007201</v>
      </c>
      <c r="AB21">
        <v>3.9463452782786601</v>
      </c>
      <c r="AC21">
        <v>4.4384751972398897</v>
      </c>
      <c r="AD21">
        <v>6.1180892238593297E-3</v>
      </c>
      <c r="AE21">
        <v>6.8741517873935196</v>
      </c>
    </row>
    <row r="22" spans="1:31" x14ac:dyDescent="0.2">
      <c r="A22">
        <v>21</v>
      </c>
      <c r="B22">
        <v>737</v>
      </c>
      <c r="C22">
        <v>300</v>
      </c>
      <c r="D22">
        <v>0.260229173885068</v>
      </c>
      <c r="E22">
        <v>92.800780898934406</v>
      </c>
      <c r="F22">
        <v>2.1987235409013302</v>
      </c>
      <c r="G22">
        <v>-1514.6280836215026</v>
      </c>
      <c r="H22">
        <v>-1267.1253033480677</v>
      </c>
      <c r="I22">
        <v>245.01586920104401</v>
      </c>
      <c r="J22">
        <v>126.35735175557301</v>
      </c>
      <c r="K22">
        <v>42.206661807464997</v>
      </c>
      <c r="L22">
        <v>1.6635057425764006E-4</v>
      </c>
      <c r="M22">
        <v>1.7780430765009691E-5</v>
      </c>
      <c r="N22" s="1">
        <v>3.6925571695719899E-6</v>
      </c>
      <c r="O22" s="1">
        <v>9.5674672223997799E-8</v>
      </c>
      <c r="P22" s="1">
        <v>-4.9515626243325596E-7</v>
      </c>
      <c r="Q22">
        <v>70.928394655147301</v>
      </c>
      <c r="R22">
        <v>7.43528226073394E-2</v>
      </c>
      <c r="S22">
        <v>12.4883368279742</v>
      </c>
      <c r="T22">
        <v>0.17261704704098799</v>
      </c>
      <c r="V22">
        <v>0.40501739271182302</v>
      </c>
      <c r="W22">
        <v>2.5861851341672699E-2</v>
      </c>
      <c r="X22">
        <v>5.3878856961865E-2</v>
      </c>
      <c r="AA22">
        <v>0.56728479851409497</v>
      </c>
      <c r="AB22">
        <v>4.0112693555048899</v>
      </c>
      <c r="AC22">
        <v>4.34150383477159</v>
      </c>
      <c r="AD22">
        <v>6.4654628354140001E-3</v>
      </c>
      <c r="AE22">
        <v>6.9250170945887399</v>
      </c>
    </row>
    <row r="23" spans="1:31" x14ac:dyDescent="0.2">
      <c r="A23">
        <v>22</v>
      </c>
      <c r="B23">
        <v>736</v>
      </c>
      <c r="C23">
        <v>300</v>
      </c>
      <c r="D23">
        <v>0.25942674528068399</v>
      </c>
      <c r="E23">
        <v>72.268298406881598</v>
      </c>
      <c r="F23">
        <v>2.2006881566103398</v>
      </c>
      <c r="G23">
        <v>-1178.29884216751</v>
      </c>
      <c r="H23">
        <v>-985.67770088354575</v>
      </c>
      <c r="I23">
        <v>190.87463834312399</v>
      </c>
      <c r="J23">
        <v>98.447068728761906</v>
      </c>
      <c r="K23">
        <v>32.838954574188399</v>
      </c>
      <c r="L23">
        <v>1.6705010292664417E-4</v>
      </c>
      <c r="M23">
        <v>1.7811177735205808E-5</v>
      </c>
      <c r="N23" s="1">
        <v>2.8901462879154101E-6</v>
      </c>
      <c r="O23" s="1">
        <v>7.4713985968654903E-8</v>
      </c>
      <c r="P23" s="1">
        <v>-3.8720500522072098E-7</v>
      </c>
      <c r="Q23">
        <v>70.737057284387703</v>
      </c>
      <c r="R23">
        <v>9.5477548968342305E-2</v>
      </c>
      <c r="S23">
        <v>12.489147911814801</v>
      </c>
      <c r="T23">
        <v>0.221476150661438</v>
      </c>
      <c r="V23">
        <v>0.52025426960597398</v>
      </c>
      <c r="W23">
        <v>3.3209582249834897E-2</v>
      </c>
      <c r="X23">
        <v>6.9186629687260401E-2</v>
      </c>
      <c r="AA23">
        <v>0.55093832472072701</v>
      </c>
      <c r="AB23">
        <v>4.0428347115224996</v>
      </c>
      <c r="AC23">
        <v>4.2800077422620202</v>
      </c>
      <c r="AD23">
        <v>8.3023955624495095E-3</v>
      </c>
      <c r="AE23">
        <v>6.9521074485568297</v>
      </c>
    </row>
    <row r="24" spans="1:31" x14ac:dyDescent="0.2">
      <c r="A24">
        <v>23</v>
      </c>
      <c r="B24">
        <v>735</v>
      </c>
      <c r="C24">
        <v>300</v>
      </c>
      <c r="D24">
        <v>0.25862272479293502</v>
      </c>
      <c r="E24">
        <v>56.934757360646998</v>
      </c>
      <c r="F24">
        <v>2.2040510159241</v>
      </c>
      <c r="G24">
        <v>-926.92777765046412</v>
      </c>
      <c r="H24">
        <v>-775.42186375103859</v>
      </c>
      <c r="I24">
        <v>150.28112274902</v>
      </c>
      <c r="J24">
        <v>77.568457390143806</v>
      </c>
      <c r="K24">
        <v>25.8318691125104</v>
      </c>
      <c r="L24">
        <v>1.6731452492943296E-4</v>
      </c>
      <c r="M24">
        <v>1.7806578078709984E-5</v>
      </c>
      <c r="N24" s="1">
        <v>2.27883701243303E-6</v>
      </c>
      <c r="O24" s="1">
        <v>5.8792141019522498E-8</v>
      </c>
      <c r="P24" s="1">
        <v>-3.0494488338355903E-7</v>
      </c>
      <c r="Q24">
        <v>70.534642831267405</v>
      </c>
      <c r="R24">
        <v>0.121191348130191</v>
      </c>
      <c r="S24">
        <v>12.4837808783443</v>
      </c>
      <c r="T24">
        <v>0.28063359621124601</v>
      </c>
      <c r="V24">
        <v>0.66080890179276597</v>
      </c>
      <c r="W24">
        <v>4.2153512393074702E-2</v>
      </c>
      <c r="X24">
        <v>8.7819817485731394E-2</v>
      </c>
      <c r="AA24">
        <v>0.55795874638383103</v>
      </c>
      <c r="AB24">
        <v>4.0135047815424896</v>
      </c>
      <c r="AC24">
        <v>4.2570429242733701</v>
      </c>
      <c r="AD24">
        <v>1.0538378098254499E-2</v>
      </c>
      <c r="AE24">
        <v>6.9499242840772002</v>
      </c>
    </row>
    <row r="25" spans="1:31" x14ac:dyDescent="0.2">
      <c r="A25">
        <v>24</v>
      </c>
      <c r="B25">
        <v>734</v>
      </c>
      <c r="C25">
        <v>300</v>
      </c>
      <c r="D25">
        <v>0.25781710768008598</v>
      </c>
      <c r="E25">
        <v>17.1253124795169</v>
      </c>
      <c r="F25">
        <v>2.2071627513686098</v>
      </c>
      <c r="G25">
        <v>-278.80019916439903</v>
      </c>
      <c r="H25">
        <v>-233.35028998397414</v>
      </c>
      <c r="I25">
        <v>45.127249347589597</v>
      </c>
      <c r="J25">
        <v>23.348048010507</v>
      </c>
      <c r="K25">
        <v>7.7589713168627403</v>
      </c>
      <c r="L25">
        <v>1.6704968824640112E-4</v>
      </c>
      <c r="M25">
        <v>1.7795518683457805E-5</v>
      </c>
      <c r="N25" s="1">
        <v>6.84213054101503E-7</v>
      </c>
      <c r="O25" s="1">
        <v>1.7618153879323999E-8</v>
      </c>
      <c r="P25" s="1">
        <v>-9.1165484689869205E-8</v>
      </c>
      <c r="Q25">
        <v>70.259390517248406</v>
      </c>
      <c r="R25">
        <v>0.12202519213258201</v>
      </c>
      <c r="S25">
        <v>12.7995126678418</v>
      </c>
      <c r="T25">
        <v>0.26226958278645701</v>
      </c>
      <c r="V25">
        <v>0.62243616996571405</v>
      </c>
      <c r="W25">
        <v>0.138892023042191</v>
      </c>
      <c r="X25">
        <v>0.12980771500360599</v>
      </c>
      <c r="AA25">
        <v>0.57297677025457305</v>
      </c>
      <c r="AB25">
        <v>3.8365925167741399</v>
      </c>
      <c r="AC25">
        <v>4.2916309732012596</v>
      </c>
      <c r="AD25">
        <v>3.5035857051704797E-2</v>
      </c>
      <c r="AE25">
        <v>6.9294300146974903</v>
      </c>
    </row>
    <row r="26" spans="1:31" x14ac:dyDescent="0.2">
      <c r="A26">
        <v>25</v>
      </c>
      <c r="B26">
        <v>733</v>
      </c>
      <c r="C26">
        <v>300</v>
      </c>
      <c r="D26">
        <v>0.257009889181535</v>
      </c>
      <c r="E26">
        <v>10.1604190518996</v>
      </c>
      <c r="F26">
        <v>2.21016823101158</v>
      </c>
      <c r="G26">
        <v>-165.35979208181809</v>
      </c>
      <c r="H26">
        <v>-138.46041510349949</v>
      </c>
      <c r="I26">
        <v>26.734956992812702</v>
      </c>
      <c r="J26">
        <v>13.859032682197901</v>
      </c>
      <c r="K26">
        <v>4.5971247388933802</v>
      </c>
      <c r="L26">
        <v>1.6697156169888274E-4</v>
      </c>
      <c r="M26">
        <v>1.7799068932984812E-5</v>
      </c>
      <c r="N26" s="1">
        <v>4.0579927646122301E-7</v>
      </c>
      <c r="O26" s="1">
        <v>1.04283453657006E-8</v>
      </c>
      <c r="P26" s="1">
        <v>-5.3849892010903499E-8</v>
      </c>
      <c r="Q26">
        <v>69.965243452552897</v>
      </c>
      <c r="R26">
        <v>0.121973039108714</v>
      </c>
      <c r="S26">
        <v>13.115350042270499</v>
      </c>
      <c r="T26">
        <v>0.25782259243615302</v>
      </c>
      <c r="V26">
        <v>0.616729420199431</v>
      </c>
      <c r="W26">
        <v>0.231964133365132</v>
      </c>
      <c r="X26">
        <v>0.12927296350328099</v>
      </c>
      <c r="AA26">
        <v>0.58721573561108498</v>
      </c>
      <c r="AB26">
        <v>3.6763972816228501</v>
      </c>
      <c r="AC26">
        <v>4.3199478721729001</v>
      </c>
      <c r="AD26">
        <v>5.9052682466458097E-2</v>
      </c>
      <c r="AE26">
        <v>6.9190307846904204</v>
      </c>
    </row>
    <row r="27" spans="1:31" x14ac:dyDescent="0.2">
      <c r="A27">
        <v>26</v>
      </c>
      <c r="B27">
        <v>757</v>
      </c>
      <c r="C27">
        <v>285</v>
      </c>
      <c r="D27">
        <v>0.291967674610496</v>
      </c>
      <c r="E27">
        <v>105.741696414393</v>
      </c>
      <c r="F27">
        <v>2.19139478995797</v>
      </c>
      <c r="G27">
        <v>-1730.8755873708988</v>
      </c>
      <c r="H27">
        <v>-1443.4045256736836</v>
      </c>
      <c r="I27">
        <v>279.05747871398802</v>
      </c>
      <c r="J27">
        <v>143.32435328926201</v>
      </c>
      <c r="K27">
        <v>48.253147675148902</v>
      </c>
      <c r="L27">
        <v>1.6126125744180358E-4</v>
      </c>
      <c r="M27">
        <v>1.7803193148156058E-5</v>
      </c>
      <c r="N27" s="1">
        <v>3.9066114438185101E-6</v>
      </c>
      <c r="O27" s="1">
        <v>1.0661923426871701E-7</v>
      </c>
      <c r="P27" s="1">
        <v>-5.4070829907782401E-7</v>
      </c>
      <c r="Q27">
        <v>72.213708110722806</v>
      </c>
      <c r="R27">
        <v>6.5253350702445895E-2</v>
      </c>
      <c r="S27">
        <v>11.963114295448801</v>
      </c>
      <c r="T27">
        <v>0.14696028035424299</v>
      </c>
      <c r="V27">
        <v>0.35952790359925302</v>
      </c>
      <c r="W27">
        <v>2.26968176356332E-2</v>
      </c>
      <c r="X27">
        <v>4.7285036740903202E-2</v>
      </c>
      <c r="AA27">
        <v>0.51067839680174998</v>
      </c>
      <c r="AB27">
        <v>3.7544319172276701</v>
      </c>
      <c r="AC27">
        <v>4.3596803875112</v>
      </c>
      <c r="AD27">
        <v>5.6742044089082297E-3</v>
      </c>
      <c r="AE27">
        <v>6.5509892988463099</v>
      </c>
    </row>
    <row r="28" spans="1:31" x14ac:dyDescent="0.2">
      <c r="A28">
        <v>27</v>
      </c>
      <c r="B28">
        <v>756</v>
      </c>
      <c r="C28">
        <v>285</v>
      </c>
      <c r="D28">
        <v>0.29121167954136901</v>
      </c>
      <c r="E28">
        <v>105.60235522011401</v>
      </c>
      <c r="F28">
        <v>2.1918184301126602</v>
      </c>
      <c r="G28">
        <v>-1728.283507217116</v>
      </c>
      <c r="H28">
        <v>-1441.5929961518425</v>
      </c>
      <c r="I28">
        <v>278.57019002601498</v>
      </c>
      <c r="J28">
        <v>143.13571973941399</v>
      </c>
      <c r="K28">
        <v>48.180247856884002</v>
      </c>
      <c r="L28">
        <v>1.6126465849718172E-4</v>
      </c>
      <c r="M28">
        <v>1.7795153912675172E-5</v>
      </c>
      <c r="N28" s="1">
        <v>3.9067908842319803E-6</v>
      </c>
      <c r="O28" s="1">
        <v>1.06410016212033E-7</v>
      </c>
      <c r="P28" s="1">
        <v>-5.4016800541314499E-7</v>
      </c>
      <c r="Q28">
        <v>72.184418642432803</v>
      </c>
      <c r="R28">
        <v>6.5339451810689897E-2</v>
      </c>
      <c r="S28">
        <v>11.9788994986273</v>
      </c>
      <c r="T28">
        <v>0.147418311644335</v>
      </c>
      <c r="V28">
        <v>0.35976463991799901</v>
      </c>
      <c r="W28">
        <v>2.2726765847196101E-2</v>
      </c>
      <c r="X28">
        <v>4.7347428848326802E-2</v>
      </c>
      <c r="AA28">
        <v>0.511352231561919</v>
      </c>
      <c r="AB28">
        <v>3.7593858505570399</v>
      </c>
      <c r="AC28">
        <v>4.3654329398155696</v>
      </c>
      <c r="AD28">
        <v>5.68169146179887E-3</v>
      </c>
      <c r="AE28">
        <v>6.5522325474749197</v>
      </c>
    </row>
    <row r="29" spans="1:31" x14ac:dyDescent="0.2">
      <c r="A29">
        <v>28</v>
      </c>
      <c r="B29">
        <v>755</v>
      </c>
      <c r="C29">
        <v>285</v>
      </c>
      <c r="D29">
        <v>0.29045421387929599</v>
      </c>
      <c r="E29">
        <v>105.376950400979</v>
      </c>
      <c r="F29">
        <v>2.1922730844821698</v>
      </c>
      <c r="G29">
        <v>-1724.2664729901171</v>
      </c>
      <c r="H29">
        <v>-1438.5728354352752</v>
      </c>
      <c r="I29">
        <v>277.87155332864</v>
      </c>
      <c r="J29">
        <v>142.83995899712801</v>
      </c>
      <c r="K29">
        <v>48.067437924080799</v>
      </c>
      <c r="L29">
        <v>1.6131246990029279E-4</v>
      </c>
      <c r="M29">
        <v>1.7787887424889908E-5</v>
      </c>
      <c r="N29" s="1">
        <v>3.9045167304901E-6</v>
      </c>
      <c r="O29" s="1">
        <v>1.0613346314273301E-7</v>
      </c>
      <c r="P29" s="1">
        <v>-5.3941646636747496E-7</v>
      </c>
      <c r="Q29">
        <v>72.136409684036394</v>
      </c>
      <c r="R29">
        <v>6.5479215082086095E-2</v>
      </c>
      <c r="S29">
        <v>12.004522765051099</v>
      </c>
      <c r="T29">
        <v>0.14801943782969801</v>
      </c>
      <c r="V29">
        <v>0.360277028379134</v>
      </c>
      <c r="W29">
        <v>2.2775379158985601E-2</v>
      </c>
      <c r="X29">
        <v>4.7448706581223798E-2</v>
      </c>
      <c r="AA29">
        <v>0.512446031077192</v>
      </c>
      <c r="AB29">
        <v>3.7674273025489202</v>
      </c>
      <c r="AC29">
        <v>4.3747707467884398</v>
      </c>
      <c r="AD29">
        <v>5.6938447897460004E-3</v>
      </c>
      <c r="AE29">
        <v>6.5547298586769296</v>
      </c>
    </row>
    <row r="30" spans="1:31" x14ac:dyDescent="0.2">
      <c r="A30">
        <v>29</v>
      </c>
      <c r="B30">
        <v>754</v>
      </c>
      <c r="C30">
        <v>285</v>
      </c>
      <c r="D30">
        <v>0.28969527332911499</v>
      </c>
      <c r="E30">
        <v>105.152664859469</v>
      </c>
      <c r="F30">
        <v>2.1927276566214902</v>
      </c>
      <c r="G30">
        <v>-1720.2693115616203</v>
      </c>
      <c r="H30">
        <v>-1435.567771301429</v>
      </c>
      <c r="I30">
        <v>277.176206260225</v>
      </c>
      <c r="J30">
        <v>142.54567363873099</v>
      </c>
      <c r="K30">
        <v>47.955187021030298</v>
      </c>
      <c r="L30">
        <v>1.6136035996775673E-4</v>
      </c>
      <c r="M30">
        <v>1.7780620212007612E-5</v>
      </c>
      <c r="N30" s="1">
        <v>3.9022699815008897E-6</v>
      </c>
      <c r="O30" s="1">
        <v>1.0585839355667501E-7</v>
      </c>
      <c r="P30" s="1">
        <v>-5.3866999637456996E-7</v>
      </c>
      <c r="Q30">
        <v>72.088418799169105</v>
      </c>
      <c r="R30">
        <v>6.5618879076641407E-2</v>
      </c>
      <c r="S30">
        <v>12.0301278307202</v>
      </c>
      <c r="T30">
        <v>0.14862267240513999</v>
      </c>
      <c r="V30">
        <v>0.36078677151443</v>
      </c>
      <c r="W30">
        <v>2.2823957939700198E-2</v>
      </c>
      <c r="X30">
        <v>4.7549912374380401E-2</v>
      </c>
      <c r="AA30">
        <v>0.51353905364327501</v>
      </c>
      <c r="AB30">
        <v>3.77546304252547</v>
      </c>
      <c r="AC30">
        <v>4.3841019209173604</v>
      </c>
      <c r="AD30">
        <v>5.7059894849245101E-3</v>
      </c>
      <c r="AE30">
        <v>6.5572411702292497</v>
      </c>
    </row>
    <row r="31" spans="1:31" x14ac:dyDescent="0.2">
      <c r="A31">
        <v>30</v>
      </c>
      <c r="B31">
        <v>753</v>
      </c>
      <c r="C31">
        <v>285</v>
      </c>
      <c r="D31">
        <v>0.28893485357891502</v>
      </c>
      <c r="E31">
        <v>104.929489330222</v>
      </c>
      <c r="F31">
        <v>2.1931821466179202</v>
      </c>
      <c r="G31">
        <v>-1716.291860007052</v>
      </c>
      <c r="H31">
        <v>-1432.5776782608857</v>
      </c>
      <c r="I31">
        <v>276.48412195699098</v>
      </c>
      <c r="J31">
        <v>142.25285161290699</v>
      </c>
      <c r="K31">
        <v>47.843490560978999</v>
      </c>
      <c r="L31">
        <v>1.6140832952931988E-4</v>
      </c>
      <c r="M31">
        <v>1.7773352284134014E-5</v>
      </c>
      <c r="N31" s="1">
        <v>3.9000504762005796E-6</v>
      </c>
      <c r="O31" s="1">
        <v>1.05584795988974E-7</v>
      </c>
      <c r="P31" s="1">
        <v>-5.3792856046340804E-7</v>
      </c>
      <c r="Q31">
        <v>72.040445698088803</v>
      </c>
      <c r="R31">
        <v>6.5758444494904894E-2</v>
      </c>
      <c r="S31">
        <v>12.055714824069099</v>
      </c>
      <c r="T31">
        <v>0.149228028050998</v>
      </c>
      <c r="V31">
        <v>0.361293863193417</v>
      </c>
      <c r="W31">
        <v>2.28725024330091E-2</v>
      </c>
      <c r="X31">
        <v>4.7651046735441502E-2</v>
      </c>
      <c r="AA31">
        <v>0.514631304742727</v>
      </c>
      <c r="AB31">
        <v>3.7834931107936498</v>
      </c>
      <c r="AC31">
        <v>4.3934265090070799</v>
      </c>
      <c r="AD31">
        <v>5.7181256082515898E-3</v>
      </c>
      <c r="AE31">
        <v>6.5597665427824596</v>
      </c>
    </row>
    <row r="32" spans="1:31" x14ac:dyDescent="0.2">
      <c r="A32">
        <v>31</v>
      </c>
      <c r="B32">
        <v>752</v>
      </c>
      <c r="C32">
        <v>285</v>
      </c>
      <c r="D32">
        <v>0.28817295029995899</v>
      </c>
      <c r="E32">
        <v>104.707414644332</v>
      </c>
      <c r="F32">
        <v>2.1936365545452898</v>
      </c>
      <c r="G32">
        <v>-1712.33395710577</v>
      </c>
      <c r="H32">
        <v>-1429.6024321273669</v>
      </c>
      <c r="I32">
        <v>275.79527384129398</v>
      </c>
      <c r="J32">
        <v>141.961480995632</v>
      </c>
      <c r="K32">
        <v>47.732344005380199</v>
      </c>
      <c r="L32">
        <v>1.6145637942760975E-4</v>
      </c>
      <c r="M32">
        <v>1.7766083652017546E-5</v>
      </c>
      <c r="N32" s="1">
        <v>3.8978580558718599E-6</v>
      </c>
      <c r="O32" s="1">
        <v>1.0531265910547901E-7</v>
      </c>
      <c r="P32" s="1">
        <v>-5.3719212411151203E-7</v>
      </c>
      <c r="Q32">
        <v>71.992490089836096</v>
      </c>
      <c r="R32">
        <v>6.5897912038396997E-2</v>
      </c>
      <c r="S32">
        <v>12.081283873710801</v>
      </c>
      <c r="T32">
        <v>0.14983551752010901</v>
      </c>
      <c r="V32">
        <v>0.36179829722768297</v>
      </c>
      <c r="W32">
        <v>2.2921012882918802E-2</v>
      </c>
      <c r="X32">
        <v>4.7752110172755997E-2</v>
      </c>
      <c r="AA32">
        <v>0.51572278986570597</v>
      </c>
      <c r="AB32">
        <v>3.7915175477162402</v>
      </c>
      <c r="AC32">
        <v>4.4027445579271998</v>
      </c>
      <c r="AD32">
        <v>5.7302532207287203E-3</v>
      </c>
      <c r="AE32">
        <v>6.5623060378812603</v>
      </c>
    </row>
    <row r="33" spans="1:31" x14ac:dyDescent="0.2">
      <c r="A33">
        <v>32</v>
      </c>
      <c r="B33">
        <v>751</v>
      </c>
      <c r="C33">
        <v>285</v>
      </c>
      <c r="D33">
        <v>0.28740955914661298</v>
      </c>
      <c r="E33">
        <v>104.486431733648</v>
      </c>
      <c r="F33">
        <v>2.1940908804575199</v>
      </c>
      <c r="G33">
        <v>-1708.3954434117256</v>
      </c>
      <c r="H33">
        <v>-1426.6419100785372</v>
      </c>
      <c r="I33">
        <v>275.10963563265898</v>
      </c>
      <c r="J33">
        <v>141.671549995654</v>
      </c>
      <c r="K33">
        <v>47.621742865938302</v>
      </c>
      <c r="L33">
        <v>1.6150451051798195E-4</v>
      </c>
      <c r="M33">
        <v>1.7758814327201169E-5</v>
      </c>
      <c r="N33" s="1">
        <v>3.8956925643729498E-6</v>
      </c>
      <c r="O33" s="1">
        <v>1.05041971707839E-7</v>
      </c>
      <c r="P33" s="1">
        <v>-5.3646065326853598E-7</v>
      </c>
      <c r="Q33">
        <v>71.944551683297405</v>
      </c>
      <c r="R33">
        <v>6.6037282406096201E-2</v>
      </c>
      <c r="S33">
        <v>12.106835107789699</v>
      </c>
      <c r="T33">
        <v>0.15044515362882299</v>
      </c>
      <c r="V33">
        <v>0.36230006735276898</v>
      </c>
      <c r="W33">
        <v>2.2969489532553001E-2</v>
      </c>
      <c r="X33">
        <v>4.7853103192828698E-2</v>
      </c>
      <c r="AA33">
        <v>0.51681351448248103</v>
      </c>
      <c r="AB33">
        <v>3.79953639350992</v>
      </c>
      <c r="AC33">
        <v>4.4120561143777604</v>
      </c>
      <c r="AD33">
        <v>5.74237238313712E-3</v>
      </c>
      <c r="AE33">
        <v>6.5648597180464598</v>
      </c>
    </row>
    <row r="34" spans="1:31" x14ac:dyDescent="0.2">
      <c r="A34">
        <v>33</v>
      </c>
      <c r="B34">
        <v>750</v>
      </c>
      <c r="C34">
        <v>285</v>
      </c>
      <c r="D34">
        <v>0.28664467575624197</v>
      </c>
      <c r="E34">
        <v>104.26653162686399</v>
      </c>
      <c r="F34">
        <v>2.1945451243915701</v>
      </c>
      <c r="G34">
        <v>-1704.4761611869937</v>
      </c>
      <c r="H34">
        <v>-1423.6959906019792</v>
      </c>
      <c r="I34">
        <v>274.42718133706097</v>
      </c>
      <c r="J34">
        <v>141.38304694945199</v>
      </c>
      <c r="K34">
        <v>47.511682702706501</v>
      </c>
      <c r="L34">
        <v>1.615527236686904E-4</v>
      </c>
      <c r="M34">
        <v>1.7751544321955029E-5</v>
      </c>
      <c r="N34" s="1">
        <v>3.8935538479961398E-6</v>
      </c>
      <c r="O34" s="1">
        <v>1.0477272272864899E-7</v>
      </c>
      <c r="P34" s="1">
        <v>-5.3573411433741101E-7</v>
      </c>
      <c r="Q34">
        <v>71.896630186700804</v>
      </c>
      <c r="R34">
        <v>6.6176556296062103E-2</v>
      </c>
      <c r="S34">
        <v>12.132368654285401</v>
      </c>
      <c r="T34">
        <v>0.15105694926140301</v>
      </c>
      <c r="V34">
        <v>0.36279916723579297</v>
      </c>
      <c r="W34">
        <v>2.3017932624714299E-2</v>
      </c>
      <c r="X34">
        <v>4.7954026301501598E-2</v>
      </c>
      <c r="AA34">
        <v>0.51790348405612296</v>
      </c>
      <c r="AB34">
        <v>3.8075496883383</v>
      </c>
      <c r="AC34">
        <v>4.4213612249970096</v>
      </c>
      <c r="AD34">
        <v>5.7544831561770803E-3</v>
      </c>
      <c r="AE34">
        <v>6.5674276467465997</v>
      </c>
    </row>
    <row r="35" spans="1:31" x14ac:dyDescent="0.2">
      <c r="A35">
        <v>34</v>
      </c>
      <c r="B35">
        <v>749</v>
      </c>
      <c r="C35">
        <v>285</v>
      </c>
      <c r="D35">
        <v>0.28587829574915702</v>
      </c>
      <c r="E35">
        <v>104.047705447062</v>
      </c>
      <c r="F35">
        <v>2.1949992863678101</v>
      </c>
      <c r="G35">
        <v>-1700.575954359613</v>
      </c>
      <c r="H35">
        <v>-1420.7645534612589</v>
      </c>
      <c r="I35">
        <v>273.74788524028202</v>
      </c>
      <c r="J35">
        <v>141.095960318083</v>
      </c>
      <c r="K35">
        <v>47.402159122901601</v>
      </c>
      <c r="L35">
        <v>1.6160101976157355E-4</v>
      </c>
      <c r="M35">
        <v>1.7744273649288371E-5</v>
      </c>
      <c r="N35" s="1">
        <v>3.8914417554102601E-6</v>
      </c>
      <c r="O35" s="1">
        <v>1.0450490122885499E-7</v>
      </c>
      <c r="P35" s="1">
        <v>-5.35012474166167E-7</v>
      </c>
      <c r="Q35">
        <v>71.848725307353604</v>
      </c>
      <c r="R35">
        <v>6.6315734406185198E-2</v>
      </c>
      <c r="S35">
        <v>12.1578846411425</v>
      </c>
      <c r="T35">
        <v>0.15167091737257499</v>
      </c>
      <c r="V35">
        <v>0.36329559047964399</v>
      </c>
      <c r="W35">
        <v>2.3066342402147898E-2</v>
      </c>
      <c r="X35">
        <v>4.8054880004490499E-2</v>
      </c>
      <c r="AA35">
        <v>0.51899270404838804</v>
      </c>
      <c r="AB35">
        <v>3.8155574723554699</v>
      </c>
      <c r="AC35">
        <v>4.4306599364123596</v>
      </c>
      <c r="AD35">
        <v>5.7665856005352702E-3</v>
      </c>
      <c r="AE35">
        <v>6.5700098884220601</v>
      </c>
    </row>
    <row r="36" spans="1:31" x14ac:dyDescent="0.2">
      <c r="A36">
        <v>35</v>
      </c>
      <c r="B36">
        <v>748</v>
      </c>
      <c r="C36">
        <v>285</v>
      </c>
      <c r="D36">
        <v>0.28511041472849202</v>
      </c>
      <c r="E36">
        <v>103.829944412138</v>
      </c>
      <c r="F36">
        <v>2.1954533663890801</v>
      </c>
      <c r="G36">
        <v>-1696.6946685293942</v>
      </c>
      <c r="H36">
        <v>-1417.8474797026004</v>
      </c>
      <c r="I36">
        <v>273.07172190842999</v>
      </c>
      <c r="J36">
        <v>140.81027868765901</v>
      </c>
      <c r="K36">
        <v>47.293167781062898</v>
      </c>
      <c r="L36">
        <v>1.6164939969140395E-4</v>
      </c>
      <c r="M36">
        <v>1.7737002322948149E-5</v>
      </c>
      <c r="N36" s="1">
        <v>3.8893561376910798E-6</v>
      </c>
      <c r="O36" s="1">
        <v>1.04238496397563E-7</v>
      </c>
      <c r="P36" s="1">
        <v>-5.34295700047754E-7</v>
      </c>
      <c r="Q36">
        <v>71.8008367519909</v>
      </c>
      <c r="R36">
        <v>6.64548174331272E-2</v>
      </c>
      <c r="S36">
        <v>12.1833831960826</v>
      </c>
      <c r="T36">
        <v>0.15228707098476399</v>
      </c>
      <c r="V36">
        <v>0.363789330616752</v>
      </c>
      <c r="W36">
        <v>2.3114719107170899E-2</v>
      </c>
      <c r="X36">
        <v>4.8155664806623102E-2</v>
      </c>
      <c r="AA36">
        <v>0.52008117991141101</v>
      </c>
      <c r="AB36">
        <v>3.8235597856447101</v>
      </c>
      <c r="AC36">
        <v>4.4399522951688404</v>
      </c>
      <c r="AD36">
        <v>5.7786797767908401E-3</v>
      </c>
      <c r="AE36">
        <v>6.57260650847617</v>
      </c>
    </row>
    <row r="37" spans="1:31" x14ac:dyDescent="0.2">
      <c r="A37">
        <v>36</v>
      </c>
      <c r="B37">
        <v>747</v>
      </c>
      <c r="C37">
        <v>285</v>
      </c>
      <c r="D37">
        <v>0.28434102828015601</v>
      </c>
      <c r="E37">
        <v>103.613239834442</v>
      </c>
      <c r="F37">
        <v>2.1959073644385398</v>
      </c>
      <c r="G37">
        <v>-1692.8321509609614</v>
      </c>
      <c r="H37">
        <v>-1414.944651650381</v>
      </c>
      <c r="I37">
        <v>272.39866618691298</v>
      </c>
      <c r="J37">
        <v>140.52599076889001</v>
      </c>
      <c r="K37">
        <v>47.184704378881897</v>
      </c>
      <c r="L37">
        <v>1.61697864366619E-4</v>
      </c>
      <c r="M37">
        <v>1.7729730357497289E-5</v>
      </c>
      <c r="N37" s="1">
        <v>3.8872968483632099E-6</v>
      </c>
      <c r="O37" s="1">
        <v>1.0397349755209299E-7</v>
      </c>
      <c r="P37" s="1">
        <v>-5.3358375972342598E-7</v>
      </c>
      <c r="Q37">
        <v>71.752964226904297</v>
      </c>
      <c r="R37">
        <v>6.6593806071748599E-2</v>
      </c>
      <c r="S37">
        <v>12.2088644464972</v>
      </c>
      <c r="T37">
        <v>0.152905423186907</v>
      </c>
      <c r="V37">
        <v>0.36428038110615502</v>
      </c>
      <c r="W37">
        <v>2.31630629814738E-2</v>
      </c>
      <c r="X37">
        <v>4.8256381211421798E-2</v>
      </c>
      <c r="AA37">
        <v>0.52116891708322899</v>
      </c>
      <c r="AB37">
        <v>3.8315566681856499</v>
      </c>
      <c r="AC37">
        <v>4.4492383476911597</v>
      </c>
      <c r="AD37">
        <v>5.7907657453663804E-3</v>
      </c>
      <c r="AE37">
        <v>6.57521757333528</v>
      </c>
    </row>
    <row r="38" spans="1:31" x14ac:dyDescent="0.2">
      <c r="A38">
        <v>37</v>
      </c>
      <c r="B38">
        <v>746</v>
      </c>
      <c r="C38">
        <v>285</v>
      </c>
      <c r="D38">
        <v>0.28357013197272302</v>
      </c>
      <c r="E38">
        <v>103.397583116753</v>
      </c>
      <c r="F38">
        <v>2.1963612804832402</v>
      </c>
      <c r="G38">
        <v>-1688.9882505153041</v>
      </c>
      <c r="H38">
        <v>-1412.0559528513795</v>
      </c>
      <c r="I38">
        <v>271.72869318934801</v>
      </c>
      <c r="J38">
        <v>140.24308539188701</v>
      </c>
      <c r="K38">
        <v>47.076764663236197</v>
      </c>
      <c r="L38">
        <v>1.6174641470925394E-4</v>
      </c>
      <c r="M38">
        <v>1.772245776822093E-5</v>
      </c>
      <c r="N38" s="1">
        <v>3.8852637432412902E-6</v>
      </c>
      <c r="O38" s="1">
        <v>1.03709894132772E-7</v>
      </c>
      <c r="P38" s="1">
        <v>-5.3287662136174195E-7</v>
      </c>
      <c r="Q38">
        <v>71.705107437404706</v>
      </c>
      <c r="R38">
        <v>6.67327010169005E-2</v>
      </c>
      <c r="S38">
        <v>12.234328519775399</v>
      </c>
      <c r="T38">
        <v>0.153525987139566</v>
      </c>
      <c r="V38">
        <v>0.36476873534240001</v>
      </c>
      <c r="W38">
        <v>2.3211374266743801E-2</v>
      </c>
      <c r="X38">
        <v>4.8357029722401898E-2</v>
      </c>
      <c r="AA38">
        <v>0.52225592100180795</v>
      </c>
      <c r="AB38">
        <v>3.8395481599574102</v>
      </c>
      <c r="AC38">
        <v>4.4585181404034397</v>
      </c>
      <c r="AD38">
        <v>5.8028435666837904E-3</v>
      </c>
      <c r="AE38">
        <v>6.5778431504023898</v>
      </c>
    </row>
    <row r="39" spans="1:31" x14ac:dyDescent="0.2">
      <c r="A39">
        <v>38</v>
      </c>
      <c r="B39">
        <v>745</v>
      </c>
      <c r="C39">
        <v>285</v>
      </c>
      <c r="D39">
        <v>0.28279772135736497</v>
      </c>
      <c r="E39">
        <v>103.182965752409</v>
      </c>
      <c r="F39">
        <v>2.1968151144692798</v>
      </c>
      <c r="G39">
        <v>-1685.1628176514512</v>
      </c>
      <c r="H39">
        <v>-1409.1812680769679</v>
      </c>
      <c r="I39">
        <v>271.06177829836702</v>
      </c>
      <c r="J39">
        <v>139.96155150644401</v>
      </c>
      <c r="K39">
        <v>46.969344426299898</v>
      </c>
      <c r="L39">
        <v>1.6179505165700396E-4</v>
      </c>
      <c r="M39">
        <v>1.7715184571315949E-5</v>
      </c>
      <c r="N39" s="1">
        <v>3.8832566805390104E-6</v>
      </c>
      <c r="O39" s="1">
        <v>1.03447675704735E-7</v>
      </c>
      <c r="P39" s="1">
        <v>-5.3217425357184597E-7</v>
      </c>
      <c r="Q39">
        <v>71.657266087950404</v>
      </c>
      <c r="R39">
        <v>6.6871502962584303E-2</v>
      </c>
      <c r="S39">
        <v>12.259775543151401</v>
      </c>
      <c r="T39">
        <v>0.154148776072873</v>
      </c>
      <c r="V39">
        <v>0.36525438665097898</v>
      </c>
      <c r="W39">
        <v>2.3259653204372701E-2</v>
      </c>
      <c r="X39">
        <v>4.8457610842463202E-2</v>
      </c>
      <c r="AA39">
        <v>0.52334219709846297</v>
      </c>
      <c r="AB39">
        <v>3.8475343008901999</v>
      </c>
      <c r="AC39">
        <v>4.4677917196729702</v>
      </c>
      <c r="AD39">
        <v>5.8149133010908603E-3</v>
      </c>
      <c r="AE39">
        <v>6.5804833082020604</v>
      </c>
    </row>
    <row r="40" spans="1:31" x14ac:dyDescent="0.2">
      <c r="A40">
        <v>39</v>
      </c>
      <c r="B40">
        <v>744</v>
      </c>
      <c r="C40">
        <v>285</v>
      </c>
      <c r="D40">
        <v>0.28202379196775501</v>
      </c>
      <c r="E40">
        <v>102.969379325262</v>
      </c>
      <c r="F40">
        <v>2.1972688663242699</v>
      </c>
      <c r="G40">
        <v>-1681.3557044239285</v>
      </c>
      <c r="H40">
        <v>-1406.3204833233328</v>
      </c>
      <c r="I40">
        <v>270.39789716422899</v>
      </c>
      <c r="J40">
        <v>139.68137818177101</v>
      </c>
      <c r="K40">
        <v>46.862439505419303</v>
      </c>
      <c r="L40">
        <v>1.6184377616085542E-4</v>
      </c>
      <c r="M40">
        <v>1.7707910783746665E-5</v>
      </c>
      <c r="N40" s="1">
        <v>3.8812755208172603E-6</v>
      </c>
      <c r="O40" s="1">
        <v>1.03186831955668E-7</v>
      </c>
      <c r="P40" s="1">
        <v>-5.3147662539117403E-7</v>
      </c>
      <c r="Q40">
        <v>71.609439882506393</v>
      </c>
      <c r="R40">
        <v>6.7010212601210303E-2</v>
      </c>
      <c r="S40">
        <v>12.285205643566901</v>
      </c>
      <c r="T40">
        <v>0.15477380328490201</v>
      </c>
      <c r="V40">
        <v>0.36573732828431599</v>
      </c>
      <c r="W40">
        <v>2.3307900035198802E-2</v>
      </c>
      <c r="X40">
        <v>4.8558125073352401E-2</v>
      </c>
      <c r="AA40">
        <v>0.52442775079205595</v>
      </c>
      <c r="AB40">
        <v>3.85551513082271</v>
      </c>
      <c r="AC40">
        <v>4.4770591317608099</v>
      </c>
      <c r="AD40">
        <v>5.8269750087972102E-3</v>
      </c>
      <c r="AE40">
        <v>6.5831381162632603</v>
      </c>
    </row>
    <row r="41" spans="1:31" x14ac:dyDescent="0.2">
      <c r="A41">
        <v>40</v>
      </c>
      <c r="B41">
        <v>743</v>
      </c>
      <c r="C41">
        <v>285</v>
      </c>
      <c r="D41">
        <v>0.281248339319983</v>
      </c>
      <c r="E41">
        <v>102.75681550607101</v>
      </c>
      <c r="F41">
        <v>2.1977225359581798</v>
      </c>
      <c r="G41">
        <v>-1677.5667644217281</v>
      </c>
      <c r="H41">
        <v>-1403.4734857613241</v>
      </c>
      <c r="I41">
        <v>269.73702569542201</v>
      </c>
      <c r="J41">
        <v>139.40255460192699</v>
      </c>
      <c r="K41">
        <v>46.756045781398001</v>
      </c>
      <c r="L41">
        <v>1.6189258918649805E-4</v>
      </c>
      <c r="M41">
        <v>1.7700636423270278E-5</v>
      </c>
      <c r="N41" s="1">
        <v>3.8793201268934103E-6</v>
      </c>
      <c r="O41" s="1">
        <v>1.02927352692399E-7</v>
      </c>
      <c r="P41" s="1">
        <v>-5.30783706274786E-7</v>
      </c>
      <c r="Q41">
        <v>71.561628523980701</v>
      </c>
      <c r="R41">
        <v>6.7148830625185396E-2</v>
      </c>
      <c r="S41">
        <v>12.310618947964199</v>
      </c>
      <c r="T41">
        <v>0.15540108214616899</v>
      </c>
      <c r="V41">
        <v>0.36621755342950801</v>
      </c>
      <c r="W41">
        <v>2.3356115000059002E-2</v>
      </c>
      <c r="X41">
        <v>4.8658572916814503E-2</v>
      </c>
      <c r="AA41">
        <v>0.52551258750142305</v>
      </c>
      <c r="AB41">
        <v>3.8634906895933598</v>
      </c>
      <c r="AC41">
        <v>4.4863204229276503</v>
      </c>
      <c r="AD41">
        <v>5.8390287500118803E-3</v>
      </c>
      <c r="AE41">
        <v>6.5858076451648397</v>
      </c>
    </row>
    <row r="42" spans="1:31" x14ac:dyDescent="0.2">
      <c r="A42">
        <v>41</v>
      </c>
      <c r="B42">
        <v>742</v>
      </c>
      <c r="C42">
        <v>285</v>
      </c>
      <c r="D42">
        <v>0.28047135891247499</v>
      </c>
      <c r="E42">
        <v>102.54526605330901</v>
      </c>
      <c r="F42">
        <v>2.19817612325956</v>
      </c>
      <c r="G42">
        <v>-1673.7958527810758</v>
      </c>
      <c r="H42">
        <v>-1400.6401637483109</v>
      </c>
      <c r="I42">
        <v>269.07914006084201</v>
      </c>
      <c r="J42">
        <v>139.12507006689901</v>
      </c>
      <c r="K42">
        <v>46.650159178896899</v>
      </c>
      <c r="L42">
        <v>1.6194149171521588E-4</v>
      </c>
      <c r="M42">
        <v>1.769336150855957E-5</v>
      </c>
      <c r="N42" s="1">
        <v>3.8773903639415697E-6</v>
      </c>
      <c r="O42" s="1">
        <v>1.0266922784252501E-7</v>
      </c>
      <c r="P42" s="1">
        <v>-5.3009546610579704E-7</v>
      </c>
      <c r="Q42">
        <v>71.513831714552794</v>
      </c>
      <c r="R42">
        <v>6.7287357725646604E-2</v>
      </c>
      <c r="S42">
        <v>12.336015583049001</v>
      </c>
      <c r="T42">
        <v>0.15603062609661</v>
      </c>
      <c r="V42">
        <v>0.36669505520199502</v>
      </c>
      <c r="W42">
        <v>2.3404298339349702E-2</v>
      </c>
      <c r="X42">
        <v>4.8758954873670601E-2</v>
      </c>
      <c r="AA42">
        <v>0.52659671263546604</v>
      </c>
      <c r="AB42">
        <v>3.8714610169677099</v>
      </c>
      <c r="AC42">
        <v>4.4955756393497399</v>
      </c>
      <c r="AD42">
        <v>5.8510745848344703E-3</v>
      </c>
      <c r="AE42">
        <v>6.5884919666230601</v>
      </c>
    </row>
    <row r="43" spans="1:31" x14ac:dyDescent="0.2">
      <c r="A43">
        <v>42</v>
      </c>
      <c r="B43">
        <v>741</v>
      </c>
      <c r="C43">
        <v>285</v>
      </c>
      <c r="D43">
        <v>0.27969284622590601</v>
      </c>
      <c r="E43">
        <v>102.334722811186</v>
      </c>
      <c r="F43">
        <v>2.19862962809824</v>
      </c>
      <c r="G43">
        <v>-1670.0428261509833</v>
      </c>
      <c r="H43">
        <v>-1397.8204068011007</v>
      </c>
      <c r="I43">
        <v>268.42421668380598</v>
      </c>
      <c r="J43">
        <v>138.848913989952</v>
      </c>
      <c r="K43">
        <v>46.544775665423302</v>
      </c>
      <c r="L43">
        <v>1.619904847429107E-4</v>
      </c>
      <c r="M43">
        <v>1.7686086059099981E-5</v>
      </c>
      <c r="N43" s="1">
        <v>3.8754860993952197E-6</v>
      </c>
      <c r="O43" s="1">
        <v>1.0241244745095999E-7</v>
      </c>
      <c r="P43" s="1">
        <v>-5.2941187518017497E-7</v>
      </c>
      <c r="Q43">
        <v>71.466049155553804</v>
      </c>
      <c r="R43">
        <v>6.7425794593019894E-2</v>
      </c>
      <c r="S43">
        <v>12.3613956754018</v>
      </c>
      <c r="T43">
        <v>0.156662448647125</v>
      </c>
      <c r="V43">
        <v>0.36716982664749498</v>
      </c>
      <c r="W43">
        <v>2.34524502932183E-2</v>
      </c>
      <c r="X43">
        <v>4.8859271444232001E-2</v>
      </c>
      <c r="AA43">
        <v>0.52768013159751503</v>
      </c>
      <c r="AB43">
        <v>3.8794261526701499</v>
      </c>
      <c r="AC43">
        <v>4.5048248271552902</v>
      </c>
      <c r="AD43">
        <v>5.8631125733013502E-3</v>
      </c>
      <c r="AE43">
        <v>6.5911911534229297</v>
      </c>
    </row>
    <row r="44" spans="1:31" x14ac:dyDescent="0.2">
      <c r="A44">
        <v>43</v>
      </c>
      <c r="B44">
        <v>740</v>
      </c>
      <c r="C44">
        <v>285</v>
      </c>
      <c r="D44">
        <v>0.27891279672309399</v>
      </c>
      <c r="E44">
        <v>99.098809424931105</v>
      </c>
      <c r="F44">
        <v>2.19875678325077</v>
      </c>
      <c r="G44">
        <v>-1617.1955990000517</v>
      </c>
      <c r="H44">
        <v>-1353.7179685238411</v>
      </c>
      <c r="I44">
        <v>260.05786949238501</v>
      </c>
      <c r="J44">
        <v>134.532784714038</v>
      </c>
      <c r="K44">
        <v>45.070382581568403</v>
      </c>
      <c r="L44">
        <v>1.6251176528329843E-4</v>
      </c>
      <c r="M44">
        <v>1.7716079138998212E-5</v>
      </c>
      <c r="N44" s="1">
        <v>3.7739559027492901E-6</v>
      </c>
      <c r="O44" s="1">
        <v>9.9499198061325596E-8</v>
      </c>
      <c r="P44" s="1">
        <v>-5.1495856592300797E-7</v>
      </c>
      <c r="Q44">
        <v>71.3744412400372</v>
      </c>
      <c r="R44">
        <v>6.9627476253664902E-2</v>
      </c>
      <c r="S44">
        <v>12.4007553396536</v>
      </c>
      <c r="T44">
        <v>0.162019502244103</v>
      </c>
      <c r="V44">
        <v>0.37894187436110299</v>
      </c>
      <c r="W44">
        <v>2.4218252609962399E-2</v>
      </c>
      <c r="X44">
        <v>5.04546929374581E-2</v>
      </c>
      <c r="AA44">
        <v>0.54064281432436001</v>
      </c>
      <c r="AB44">
        <v>3.9219519211024201</v>
      </c>
      <c r="AC44">
        <v>4.4504297576000402</v>
      </c>
      <c r="AD44">
        <v>6.0545631524867296E-3</v>
      </c>
      <c r="AE44">
        <v>6.62046256572342</v>
      </c>
    </row>
    <row r="45" spans="1:31" x14ac:dyDescent="0.2">
      <c r="A45">
        <v>44</v>
      </c>
      <c r="B45">
        <v>739</v>
      </c>
      <c r="C45">
        <v>285</v>
      </c>
      <c r="D45">
        <v>0.27813120584893603</v>
      </c>
      <c r="E45">
        <v>86.093259756014206</v>
      </c>
      <c r="F45">
        <v>2.1995001582273002</v>
      </c>
      <c r="G45">
        <v>-1404.4780825511416</v>
      </c>
      <c r="H45">
        <v>-1175.6263216722975</v>
      </c>
      <c r="I45">
        <v>226.10459010901999</v>
      </c>
      <c r="J45">
        <v>116.96346432463601</v>
      </c>
      <c r="K45">
        <v>39.142193026892798</v>
      </c>
      <c r="L45">
        <v>1.632992101955351E-4</v>
      </c>
      <c r="M45">
        <v>1.7762446627262792E-5</v>
      </c>
      <c r="N45" s="1">
        <v>3.30194182972133E-6</v>
      </c>
      <c r="O45" s="1">
        <v>8.68441224616754E-8</v>
      </c>
      <c r="P45" s="1">
        <v>-4.4999377977707101E-7</v>
      </c>
      <c r="Q45">
        <v>71.223895389847101</v>
      </c>
      <c r="R45">
        <v>8.0145646936306505E-2</v>
      </c>
      <c r="S45">
        <v>12.4325320459622</v>
      </c>
      <c r="T45">
        <v>0.186553852935022</v>
      </c>
      <c r="V45">
        <v>0.43613296871021601</v>
      </c>
      <c r="W45">
        <v>2.7876746760441301E-2</v>
      </c>
      <c r="X45">
        <v>5.8076555750979399E-2</v>
      </c>
      <c r="AA45">
        <v>0.550473819849706</v>
      </c>
      <c r="AB45">
        <v>3.97366656442777</v>
      </c>
      <c r="AC45">
        <v>4.3638953997354299</v>
      </c>
      <c r="AD45">
        <v>6.9691866901043604E-3</v>
      </c>
      <c r="AE45">
        <v>6.6597818223945602</v>
      </c>
    </row>
    <row r="46" spans="1:31" x14ac:dyDescent="0.2">
      <c r="A46">
        <v>45</v>
      </c>
      <c r="B46">
        <v>738</v>
      </c>
      <c r="C46">
        <v>285</v>
      </c>
      <c r="D46">
        <v>0.277348069030313</v>
      </c>
      <c r="E46">
        <v>66.063884450007905</v>
      </c>
      <c r="F46">
        <v>2.2021182479485599</v>
      </c>
      <c r="G46">
        <v>-1076.3497053988608</v>
      </c>
      <c r="H46">
        <v>-900.92030357498857</v>
      </c>
      <c r="I46">
        <v>173.49493331738299</v>
      </c>
      <c r="J46">
        <v>89.779526615370301</v>
      </c>
      <c r="K46">
        <v>30.000153039715801</v>
      </c>
      <c r="L46">
        <v>1.6382460618494829E-4</v>
      </c>
      <c r="M46">
        <v>1.7778876822450179E-5</v>
      </c>
      <c r="N46" s="1">
        <v>2.54211299866043E-6</v>
      </c>
      <c r="O46" s="1">
        <v>6.6716413749715098E-8</v>
      </c>
      <c r="P46" s="1">
        <v>-3.4611011829009002E-7</v>
      </c>
      <c r="Q46">
        <v>71.025883252526398</v>
      </c>
      <c r="R46">
        <v>0.104444358024738</v>
      </c>
      <c r="S46">
        <v>12.4253547448847</v>
      </c>
      <c r="T46">
        <v>0.242791908473555</v>
      </c>
      <c r="V46">
        <v>0.56865006831897902</v>
      </c>
      <c r="W46">
        <v>3.6328472356409097E-2</v>
      </c>
      <c r="X46">
        <v>7.5684317409287896E-2</v>
      </c>
      <c r="AA46">
        <v>0.53614775736605003</v>
      </c>
      <c r="AB46">
        <v>3.9841240206400399</v>
      </c>
      <c r="AC46">
        <v>4.3174376800258996</v>
      </c>
      <c r="AD46">
        <v>9.0821180890970094E-3</v>
      </c>
      <c r="AE46">
        <v>6.6740713018846902</v>
      </c>
    </row>
    <row r="47" spans="1:31" x14ac:dyDescent="0.2">
      <c r="A47">
        <v>46</v>
      </c>
      <c r="B47">
        <v>737</v>
      </c>
      <c r="C47">
        <v>285</v>
      </c>
      <c r="D47">
        <v>0.27656338167599098</v>
      </c>
      <c r="E47">
        <v>37.790165340553699</v>
      </c>
      <c r="F47">
        <v>2.2041974865401799</v>
      </c>
      <c r="G47">
        <v>-615.34756015056723</v>
      </c>
      <c r="H47">
        <v>-515.11538559021278</v>
      </c>
      <c r="I47">
        <v>99.225040400291206</v>
      </c>
      <c r="J47">
        <v>51.389998079789599</v>
      </c>
      <c r="K47">
        <v>17.144636799251099</v>
      </c>
      <c r="L47">
        <v>1.6419643417792571E-4</v>
      </c>
      <c r="M47">
        <v>1.7791391997245718E-5</v>
      </c>
      <c r="N47" s="1">
        <v>1.4581117139866201E-6</v>
      </c>
      <c r="O47" s="1">
        <v>3.8185548133032397E-8</v>
      </c>
      <c r="P47" s="1">
        <v>-1.98186324717012E-7</v>
      </c>
      <c r="Q47">
        <v>70.843087823939598</v>
      </c>
      <c r="R47">
        <v>0.126352548631602</v>
      </c>
      <c r="S47">
        <v>12.4847335463379</v>
      </c>
      <c r="T47">
        <v>0.26489049888056598</v>
      </c>
      <c r="V47">
        <v>0.62170655812921904</v>
      </c>
      <c r="W47">
        <v>6.3508586913308698E-2</v>
      </c>
      <c r="X47">
        <v>0.12701340487676699</v>
      </c>
      <c r="AA47">
        <v>0.51598401184378995</v>
      </c>
      <c r="AB47">
        <v>3.97228404090475</v>
      </c>
      <c r="AC47">
        <v>4.2799985536180802</v>
      </c>
      <c r="AD47">
        <v>1.5877146728314698E-2</v>
      </c>
      <c r="AE47">
        <v>6.6845632791960101</v>
      </c>
    </row>
    <row r="48" spans="1:31" x14ac:dyDescent="0.2">
      <c r="A48">
        <v>47</v>
      </c>
      <c r="B48">
        <v>736</v>
      </c>
      <c r="C48">
        <v>285</v>
      </c>
      <c r="D48">
        <v>0.27577713917653601</v>
      </c>
      <c r="E48">
        <v>15.185096269977899</v>
      </c>
      <c r="F48">
        <v>2.2066127294567801</v>
      </c>
      <c r="G48">
        <v>-247.21673340035443</v>
      </c>
      <c r="H48">
        <v>-207.01179676349756</v>
      </c>
      <c r="I48">
        <v>39.8403970042678</v>
      </c>
      <c r="J48">
        <v>20.665533377703898</v>
      </c>
      <c r="K48">
        <v>6.8816317731096097</v>
      </c>
      <c r="L48">
        <v>1.6443795409800852E-4</v>
      </c>
      <c r="M48">
        <v>1.781809232466722E-5</v>
      </c>
      <c r="N48" s="1">
        <v>5.8730755416898504E-7</v>
      </c>
      <c r="O48" s="1">
        <v>1.5347652543025601E-8</v>
      </c>
      <c r="P48" s="1">
        <v>-7.9522590971692002E-8</v>
      </c>
      <c r="Q48">
        <v>70.539861413129998</v>
      </c>
      <c r="R48">
        <v>0.125286973326352</v>
      </c>
      <c r="S48">
        <v>12.792044766169401</v>
      </c>
      <c r="T48">
        <v>0.26142012680784499</v>
      </c>
      <c r="V48">
        <v>0.618261431798932</v>
      </c>
      <c r="W48">
        <v>0.15642881014788501</v>
      </c>
      <c r="X48">
        <v>0.13534761252611899</v>
      </c>
      <c r="AA48">
        <v>0.50652376172768798</v>
      </c>
      <c r="AB48">
        <v>3.8540788058355302</v>
      </c>
      <c r="AC48">
        <v>4.2783917970262397</v>
      </c>
      <c r="AD48">
        <v>3.9512426482591199E-2</v>
      </c>
      <c r="AE48">
        <v>6.6928420750213</v>
      </c>
    </row>
    <row r="49" spans="1:31" x14ac:dyDescent="0.2">
      <c r="A49">
        <v>48</v>
      </c>
      <c r="B49">
        <v>735</v>
      </c>
      <c r="C49">
        <v>285</v>
      </c>
      <c r="D49">
        <v>0.27498933690423</v>
      </c>
      <c r="E49">
        <v>9.6515952076077802</v>
      </c>
      <c r="F49">
        <v>2.2091986680670699</v>
      </c>
      <c r="G49">
        <v>-157.09066307268444</v>
      </c>
      <c r="H49">
        <v>-131.59033627316649</v>
      </c>
      <c r="I49">
        <v>25.2941792387223</v>
      </c>
      <c r="J49">
        <v>13.142363821691699</v>
      </c>
      <c r="K49">
        <v>4.36882175746213</v>
      </c>
      <c r="L49">
        <v>1.6450634222420909E-4</v>
      </c>
      <c r="M49">
        <v>1.7831916494115194E-5</v>
      </c>
      <c r="N49" s="1">
        <v>3.73662401814618E-7</v>
      </c>
      <c r="O49" s="1">
        <v>9.7445894594073708E-9</v>
      </c>
      <c r="P49" s="1">
        <v>-5.0401020137524099E-8</v>
      </c>
      <c r="Q49">
        <v>70.255135244990299</v>
      </c>
      <c r="R49">
        <v>0.12479230916620999</v>
      </c>
      <c r="S49">
        <v>13.090628751457</v>
      </c>
      <c r="T49">
        <v>0.25766669134079101</v>
      </c>
      <c r="V49">
        <v>0.61380693648429296</v>
      </c>
      <c r="W49">
        <v>0.24398884352233</v>
      </c>
      <c r="X49">
        <v>0.13479641012188201</v>
      </c>
      <c r="AA49">
        <v>0.51255583107519898</v>
      </c>
      <c r="AB49">
        <v>3.7204456002248798</v>
      </c>
      <c r="AC49">
        <v>4.2921871512744598</v>
      </c>
      <c r="AD49">
        <v>6.21658893781009E-2</v>
      </c>
      <c r="AE49">
        <v>6.6918303409643398</v>
      </c>
    </row>
    <row r="50" spans="1:31" x14ac:dyDescent="0.2">
      <c r="A50">
        <v>49</v>
      </c>
      <c r="B50">
        <v>757</v>
      </c>
      <c r="C50">
        <v>270</v>
      </c>
      <c r="D50">
        <v>0.30798475950104598</v>
      </c>
      <c r="E50">
        <v>105.491358814392</v>
      </c>
      <c r="F50">
        <v>2.1919486964259298</v>
      </c>
      <c r="G50">
        <v>-1726.174253918048</v>
      </c>
      <c r="H50">
        <v>-1440.8322517874169</v>
      </c>
      <c r="I50">
        <v>276.990731573684</v>
      </c>
      <c r="J50">
        <v>142.76102840199599</v>
      </c>
      <c r="K50">
        <v>48.126746299491401</v>
      </c>
      <c r="L50">
        <v>1.5873551485959587E-4</v>
      </c>
      <c r="M50">
        <v>1.7792404818565969E-5</v>
      </c>
      <c r="N50" s="1">
        <v>3.7829343718378499E-6</v>
      </c>
      <c r="O50" s="1">
        <v>1.04304533043812E-7</v>
      </c>
      <c r="P50" s="1">
        <v>-5.3091284435355597E-7</v>
      </c>
      <c r="Q50">
        <v>72.385075761863604</v>
      </c>
      <c r="R50">
        <v>6.5408200989621301E-2</v>
      </c>
      <c r="S50">
        <v>11.991503514764201</v>
      </c>
      <c r="T50">
        <v>0.14839470122491899</v>
      </c>
      <c r="V50">
        <v>0.35940418357625598</v>
      </c>
      <c r="W50">
        <v>2.2750678605085499E-2</v>
      </c>
      <c r="X50">
        <v>4.7397247093928799E-2</v>
      </c>
      <c r="AA50">
        <v>0.51189026861442699</v>
      </c>
      <c r="AB50">
        <v>3.7633414192579</v>
      </c>
      <c r="AC50">
        <v>4.37002618206016</v>
      </c>
      <c r="AD50">
        <v>5.6876696512713097E-3</v>
      </c>
      <c r="AE50">
        <v>6.32912017229848</v>
      </c>
    </row>
    <row r="51" spans="1:31" x14ac:dyDescent="0.2">
      <c r="A51">
        <v>50</v>
      </c>
      <c r="B51">
        <v>756</v>
      </c>
      <c r="C51">
        <v>270</v>
      </c>
      <c r="D51">
        <v>0.30724432784336703</v>
      </c>
      <c r="E51">
        <v>105.384593730017</v>
      </c>
      <c r="F51">
        <v>2.1923614345886202</v>
      </c>
      <c r="G51">
        <v>-1724.1233911085956</v>
      </c>
      <c r="H51">
        <v>-1439.4766861560443</v>
      </c>
      <c r="I51">
        <v>276.58427338342398</v>
      </c>
      <c r="J51">
        <v>142.613048835494</v>
      </c>
      <c r="K51">
        <v>48.068987196808699</v>
      </c>
      <c r="L51">
        <v>1.5872108880984976E-4</v>
      </c>
      <c r="M51">
        <v>1.7783972293986072E-5</v>
      </c>
      <c r="N51" s="1">
        <v>3.7838725540860599E-6</v>
      </c>
      <c r="O51" s="1">
        <v>1.04123302767631E-7</v>
      </c>
      <c r="P51" s="1">
        <v>-5.3044812157204497E-7</v>
      </c>
      <c r="Q51">
        <v>72.362907748815601</v>
      </c>
      <c r="R51">
        <v>6.5474466008541898E-2</v>
      </c>
      <c r="S51">
        <v>12.0036521015672</v>
      </c>
      <c r="T51">
        <v>0.14880439460501099</v>
      </c>
      <c r="V51">
        <v>0.35953492550983701</v>
      </c>
      <c r="W51">
        <v>2.27737273073184E-2</v>
      </c>
      <c r="X51">
        <v>4.7445265223582299E-2</v>
      </c>
      <c r="AA51">
        <v>0.51240886441467404</v>
      </c>
      <c r="AB51">
        <v>3.76715405875228</v>
      </c>
      <c r="AC51">
        <v>4.3744534536140502</v>
      </c>
      <c r="AD51">
        <v>5.6934318268293798E-3</v>
      </c>
      <c r="AE51">
        <v>6.3296975623550003</v>
      </c>
    </row>
    <row r="52" spans="1:31" x14ac:dyDescent="0.2">
      <c r="A52">
        <v>51</v>
      </c>
      <c r="B52">
        <v>755</v>
      </c>
      <c r="C52">
        <v>270</v>
      </c>
      <c r="D52">
        <v>0.30650245586733499</v>
      </c>
      <c r="E52">
        <v>105.16310477386899</v>
      </c>
      <c r="F52">
        <v>2.1928187612897201</v>
      </c>
      <c r="G52">
        <v>-1720.1724914852348</v>
      </c>
      <c r="H52">
        <v>-1436.5092238448829</v>
      </c>
      <c r="I52">
        <v>275.89677346724801</v>
      </c>
      <c r="J52">
        <v>142.32236136058401</v>
      </c>
      <c r="K52">
        <v>47.957955591376198</v>
      </c>
      <c r="L52">
        <v>1.5876469712315739E-4</v>
      </c>
      <c r="M52">
        <v>1.7776489810896253E-5</v>
      </c>
      <c r="N52" s="1">
        <v>3.7816016106857999E-6</v>
      </c>
      <c r="O52" s="1">
        <v>1.03852895721767E-7</v>
      </c>
      <c r="P52" s="1">
        <v>-5.2970242903326003E-7</v>
      </c>
      <c r="Q52">
        <v>72.315877667084706</v>
      </c>
      <c r="R52">
        <v>6.5612364857780603E-2</v>
      </c>
      <c r="S52">
        <v>12.028933557262601</v>
      </c>
      <c r="T52">
        <v>0.149405882006028</v>
      </c>
      <c r="V52">
        <v>0.36003293822739402</v>
      </c>
      <c r="W52">
        <v>2.2821692124444199E-2</v>
      </c>
      <c r="X52">
        <v>4.7545191925930798E-2</v>
      </c>
      <c r="AA52">
        <v>0.51348807280001596</v>
      </c>
      <c r="AB52">
        <v>3.7750882389185398</v>
      </c>
      <c r="AC52">
        <v>4.3836666955702599</v>
      </c>
      <c r="AD52">
        <v>5.7054230311104903E-3</v>
      </c>
      <c r="AE52">
        <v>6.3318222761911098</v>
      </c>
    </row>
    <row r="53" spans="1:31" x14ac:dyDescent="0.2">
      <c r="A53">
        <v>52</v>
      </c>
      <c r="B53">
        <v>754</v>
      </c>
      <c r="C53">
        <v>270</v>
      </c>
      <c r="D53">
        <v>0.30575913936620902</v>
      </c>
      <c r="E53">
        <v>104.942702677677</v>
      </c>
      <c r="F53">
        <v>2.1932760672537701</v>
      </c>
      <c r="G53">
        <v>-1716.240891203211</v>
      </c>
      <c r="H53">
        <v>-1433.5564261960908</v>
      </c>
      <c r="I53">
        <v>275.212447069191</v>
      </c>
      <c r="J53">
        <v>142.033101945179</v>
      </c>
      <c r="K53">
        <v>47.8474662832013</v>
      </c>
      <c r="L53">
        <v>1.5880834163327956E-4</v>
      </c>
      <c r="M53">
        <v>1.7769004136749173E-5</v>
      </c>
      <c r="N53" s="1">
        <v>3.77935530105654E-6</v>
      </c>
      <c r="O53" s="1">
        <v>1.03583888034939E-7</v>
      </c>
      <c r="P53" s="1">
        <v>-5.2896144161329201E-7</v>
      </c>
      <c r="Q53">
        <v>72.268868683959099</v>
      </c>
      <c r="R53">
        <v>6.5750164841789194E-2</v>
      </c>
      <c r="S53">
        <v>12.0541968876647</v>
      </c>
      <c r="T53">
        <v>0.15000947673309101</v>
      </c>
      <c r="V53">
        <v>0.36052830967859101</v>
      </c>
      <c r="W53">
        <v>2.2869622553664402E-2</v>
      </c>
      <c r="X53">
        <v>4.7645046986807098E-2</v>
      </c>
      <c r="AA53">
        <v>0.51456650745747401</v>
      </c>
      <c r="AB53">
        <v>3.7830167307520601</v>
      </c>
      <c r="AC53">
        <v>4.3928733321829503</v>
      </c>
      <c r="AD53">
        <v>5.71740563841543E-3</v>
      </c>
      <c r="AE53">
        <v>6.3339578315512401</v>
      </c>
    </row>
    <row r="54" spans="1:31" x14ac:dyDescent="0.2">
      <c r="A54">
        <v>53</v>
      </c>
      <c r="B54">
        <v>753</v>
      </c>
      <c r="C54">
        <v>270</v>
      </c>
      <c r="D54">
        <v>0.30501437411684701</v>
      </c>
      <c r="E54">
        <v>104.72337859760199</v>
      </c>
      <c r="F54">
        <v>2.1937333531314298</v>
      </c>
      <c r="G54">
        <v>-1712.3284345794623</v>
      </c>
      <c r="H54">
        <v>-1430.6181734327542</v>
      </c>
      <c r="I54">
        <v>274.53126847605802</v>
      </c>
      <c r="J54">
        <v>141.74525907422901</v>
      </c>
      <c r="K54">
        <v>47.737514884439399</v>
      </c>
      <c r="L54">
        <v>1.5885202268613025E-4</v>
      </c>
      <c r="M54">
        <v>1.776151525442841E-5</v>
      </c>
      <c r="N54" s="1">
        <v>3.7771334625572899E-6</v>
      </c>
      <c r="O54" s="1">
        <v>1.0331626869405801E-7</v>
      </c>
      <c r="P54" s="1">
        <v>-5.2822512465677003E-7</v>
      </c>
      <c r="Q54">
        <v>72.221880558950701</v>
      </c>
      <c r="R54">
        <v>6.5887866610122303E-2</v>
      </c>
      <c r="S54">
        <v>12.07944221186</v>
      </c>
      <c r="T54">
        <v>0.15061519133210399</v>
      </c>
      <c r="V54">
        <v>0.36102103346951903</v>
      </c>
      <c r="W54">
        <v>2.2917518820910299E-2</v>
      </c>
      <c r="X54">
        <v>4.7744830876904398E-2</v>
      </c>
      <c r="AA54">
        <v>0.51564417347051295</v>
      </c>
      <c r="AB54">
        <v>3.7909395716256702</v>
      </c>
      <c r="AC54">
        <v>4.40207340684975</v>
      </c>
      <c r="AD54">
        <v>5.7293797052266797E-3</v>
      </c>
      <c r="AE54">
        <v>6.3361042564284897</v>
      </c>
    </row>
    <row r="55" spans="1:31" x14ac:dyDescent="0.2">
      <c r="A55">
        <v>54</v>
      </c>
      <c r="B55">
        <v>752</v>
      </c>
      <c r="C55">
        <v>270</v>
      </c>
      <c r="D55">
        <v>0.30426815587962902</v>
      </c>
      <c r="E55">
        <v>104.505123781545</v>
      </c>
      <c r="F55">
        <v>2.1941906195646599</v>
      </c>
      <c r="G55">
        <v>-1708.4349675510036</v>
      </c>
      <c r="H55">
        <v>-1427.6943470181432</v>
      </c>
      <c r="I55">
        <v>273.85321224490099</v>
      </c>
      <c r="J55">
        <v>141.45882135333201</v>
      </c>
      <c r="K55">
        <v>47.628097053062803</v>
      </c>
      <c r="L55">
        <v>1.5889574063529142E-4</v>
      </c>
      <c r="M55">
        <v>1.7754023147220865E-5</v>
      </c>
      <c r="N55" s="1">
        <v>3.7749359345909302E-6</v>
      </c>
      <c r="O55" s="1">
        <v>1.03050026807136E-7</v>
      </c>
      <c r="P55" s="1">
        <v>-5.2749344391654202E-7</v>
      </c>
      <c r="Q55">
        <v>72.174913050967504</v>
      </c>
      <c r="R55">
        <v>6.6025470812548295E-2</v>
      </c>
      <c r="S55">
        <v>12.1046696489718</v>
      </c>
      <c r="T55">
        <v>0.15122303841843901</v>
      </c>
      <c r="V55">
        <v>0.361511103145639</v>
      </c>
      <c r="W55">
        <v>2.29653811521888E-2</v>
      </c>
      <c r="X55">
        <v>4.7844544067068603E-2</v>
      </c>
      <c r="AA55">
        <v>0.51672107592428196</v>
      </c>
      <c r="AB55">
        <v>3.79885679892466</v>
      </c>
      <c r="AC55">
        <v>4.4112669629828201</v>
      </c>
      <c r="AD55">
        <v>5.7413452880462302E-3</v>
      </c>
      <c r="AE55">
        <v>6.3382615793448398</v>
      </c>
    </row>
    <row r="56" spans="1:31" x14ac:dyDescent="0.2">
      <c r="A56">
        <v>55</v>
      </c>
      <c r="B56">
        <v>751</v>
      </c>
      <c r="C56">
        <v>270</v>
      </c>
      <c r="D56">
        <v>0.30352048039838297</v>
      </c>
      <c r="E56">
        <v>104.28792957348701</v>
      </c>
      <c r="F56">
        <v>2.1946478671831202</v>
      </c>
      <c r="G56">
        <v>-1704.5603377458665</v>
      </c>
      <c r="H56">
        <v>-1424.784829717343</v>
      </c>
      <c r="I56">
        <v>273.178253213419</v>
      </c>
      <c r="J56">
        <v>141.173777514118</v>
      </c>
      <c r="K56">
        <v>47.519208494866</v>
      </c>
      <c r="L56">
        <v>1.5893949584005741E-4</v>
      </c>
      <c r="M56">
        <v>1.7746527798836309E-5</v>
      </c>
      <c r="N56" s="1">
        <v>3.7727625587662701E-6</v>
      </c>
      <c r="O56" s="1">
        <v>1.0278515160678301E-7</v>
      </c>
      <c r="P56" s="1">
        <v>-5.2676636556707505E-7</v>
      </c>
      <c r="Q56">
        <v>72.127965919475898</v>
      </c>
      <c r="R56">
        <v>6.6162978095543196E-2</v>
      </c>
      <c r="S56">
        <v>12.129879317521199</v>
      </c>
      <c r="T56">
        <v>0.151833030667689</v>
      </c>
      <c r="V56">
        <v>0.36199851217322998</v>
      </c>
      <c r="W56">
        <v>2.30132097723608E-2</v>
      </c>
      <c r="X56">
        <v>4.79441870257609E-2</v>
      </c>
      <c r="AA56">
        <v>0.51779721987815297</v>
      </c>
      <c r="AB56">
        <v>3.80676844984478</v>
      </c>
      <c r="AC56">
        <v>4.4204540437741802</v>
      </c>
      <c r="AD56">
        <v>5.7533024430891297E-3</v>
      </c>
      <c r="AE56">
        <v>6.3404298293279</v>
      </c>
    </row>
    <row r="57" spans="1:31" x14ac:dyDescent="0.2">
      <c r="A57">
        <v>56</v>
      </c>
      <c r="B57">
        <v>750</v>
      </c>
      <c r="C57">
        <v>270</v>
      </c>
      <c r="D57">
        <v>0.302771343400284</v>
      </c>
      <c r="E57">
        <v>104.071787408522</v>
      </c>
      <c r="F57">
        <v>2.1951050966110501</v>
      </c>
      <c r="G57">
        <v>-1700.7043943983558</v>
      </c>
      <c r="H57">
        <v>-1421.8895055283456</v>
      </c>
      <c r="I57">
        <v>272.50636648586197</v>
      </c>
      <c r="J57">
        <v>140.890116407726</v>
      </c>
      <c r="K57">
        <v>47.410844960997601</v>
      </c>
      <c r="L57">
        <v>1.5898328866397818E-4</v>
      </c>
      <c r="M57">
        <v>1.7739029193182154E-5</v>
      </c>
      <c r="N57" s="1">
        <v>3.7706131786541099E-6</v>
      </c>
      <c r="O57" s="1">
        <v>1.02521632442757E-7</v>
      </c>
      <c r="P57" s="1">
        <v>-5.2604385617115696E-7</v>
      </c>
      <c r="Q57">
        <v>72.081038923878296</v>
      </c>
      <c r="R57">
        <v>6.6300389104638299E-2</v>
      </c>
      <c r="S57">
        <v>12.155071335856</v>
      </c>
      <c r="T57">
        <v>0.152445180822361</v>
      </c>
      <c r="V57">
        <v>0.36248325395129599</v>
      </c>
      <c r="W57">
        <v>2.3061004905958801E-2</v>
      </c>
      <c r="X57">
        <v>4.8043760220758E-2</v>
      </c>
      <c r="AA57">
        <v>0.51887261038411303</v>
      </c>
      <c r="AB57">
        <v>3.81467456152747</v>
      </c>
      <c r="AC57">
        <v>4.4296346923527796</v>
      </c>
      <c r="AD57">
        <v>5.7652512264884798E-3</v>
      </c>
      <c r="AE57">
        <v>6.34260903576968</v>
      </c>
    </row>
    <row r="58" spans="1:31" x14ac:dyDescent="0.2">
      <c r="A58">
        <v>57</v>
      </c>
      <c r="B58">
        <v>749</v>
      </c>
      <c r="C58">
        <v>270</v>
      </c>
      <c r="D58">
        <v>0.30202074059580297</v>
      </c>
      <c r="E58">
        <v>103.85668881086301</v>
      </c>
      <c r="F58">
        <v>2.1955623084612501</v>
      </c>
      <c r="G58">
        <v>-1696.8669883160483</v>
      </c>
      <c r="H58">
        <v>-1419.0082596543232</v>
      </c>
      <c r="I58">
        <v>271.83752742916897</v>
      </c>
      <c r="J58">
        <v>140.60782700255601</v>
      </c>
      <c r="K58">
        <v>47.3030022471332</v>
      </c>
      <c r="L58">
        <v>1.5902711947927744E-4</v>
      </c>
      <c r="M58">
        <v>1.7731527314671542E-5</v>
      </c>
      <c r="N58" s="1">
        <v>3.7684876398780201E-6</v>
      </c>
      <c r="O58" s="1">
        <v>1.02259458783286E-7</v>
      </c>
      <c r="P58" s="1">
        <v>-5.2532588269539801E-7</v>
      </c>
      <c r="Q58">
        <v>72.034131823102996</v>
      </c>
      <c r="R58">
        <v>6.6437704484937493E-2</v>
      </c>
      <c r="S58">
        <v>12.180245822244901</v>
      </c>
      <c r="T58">
        <v>0.153059501693429</v>
      </c>
      <c r="V58">
        <v>0.36296532181406799</v>
      </c>
      <c r="W58">
        <v>2.3108766777366899E-2</v>
      </c>
      <c r="X58">
        <v>4.81432641195262E-2</v>
      </c>
      <c r="AA58">
        <v>0.51994725249080198</v>
      </c>
      <c r="AB58">
        <v>3.8225751710895799</v>
      </c>
      <c r="AC58">
        <v>4.4388089518190696</v>
      </c>
      <c r="AD58">
        <v>5.77719169434037E-3</v>
      </c>
      <c r="AE58">
        <v>6.3447992286688599</v>
      </c>
    </row>
    <row r="59" spans="1:31" x14ac:dyDescent="0.2">
      <c r="A59">
        <v>58</v>
      </c>
      <c r="B59">
        <v>748</v>
      </c>
      <c r="C59">
        <v>270</v>
      </c>
      <c r="D59">
        <v>0.301268667678598</v>
      </c>
      <c r="E59">
        <v>103.642625396561</v>
      </c>
      <c r="F59">
        <v>2.1960195033386101</v>
      </c>
      <c r="G59">
        <v>-1693.047971922495</v>
      </c>
      <c r="H59">
        <v>-1416.1409785427361</v>
      </c>
      <c r="I59">
        <v>271.17171167777298</v>
      </c>
      <c r="J59">
        <v>140.32689838732901</v>
      </c>
      <c r="K59">
        <v>47.195676194584301</v>
      </c>
      <c r="L59">
        <v>1.5907098866164464E-4</v>
      </c>
      <c r="M59">
        <v>1.7724022147947804E-5</v>
      </c>
      <c r="N59" s="1">
        <v>3.7663857900912398E-6</v>
      </c>
      <c r="O59" s="1">
        <v>1.0199862021376601E-7</v>
      </c>
      <c r="P59" s="1">
        <v>-5.24612412496807E-7</v>
      </c>
      <c r="Q59">
        <v>71.987244376647197</v>
      </c>
      <c r="R59">
        <v>6.6574924878633104E-2</v>
      </c>
      <c r="S59">
        <v>12.2054028944241</v>
      </c>
      <c r="T59">
        <v>0.15367600615396601</v>
      </c>
      <c r="V59">
        <v>0.363444709017826</v>
      </c>
      <c r="W59">
        <v>2.3156495609956002E-2</v>
      </c>
      <c r="X59">
        <v>4.8242699187423202E-2</v>
      </c>
      <c r="AA59">
        <v>0.521021151224068</v>
      </c>
      <c r="AB59">
        <v>3.8304703154803899</v>
      </c>
      <c r="AC59">
        <v>4.44797686507885</v>
      </c>
      <c r="AD59">
        <v>5.7891239024873099E-3</v>
      </c>
      <c r="AE59">
        <v>6.3470004383949696</v>
      </c>
    </row>
    <row r="60" spans="1:31" x14ac:dyDescent="0.2">
      <c r="A60">
        <v>59</v>
      </c>
      <c r="B60">
        <v>747</v>
      </c>
      <c r="C60">
        <v>270</v>
      </c>
      <c r="D60">
        <v>0.30051512032544198</v>
      </c>
      <c r="E60">
        <v>103.429588869586</v>
      </c>
      <c r="F60">
        <v>2.19647668183796</v>
      </c>
      <c r="G60">
        <v>-1689.2471991917719</v>
      </c>
      <c r="H60">
        <v>-1413.2875498307392</v>
      </c>
      <c r="I60">
        <v>270.50889512427801</v>
      </c>
      <c r="J60">
        <v>140.04731976628699</v>
      </c>
      <c r="K60">
        <v>47.088862688512201</v>
      </c>
      <c r="L60">
        <v>1.5911489659369525E-4</v>
      </c>
      <c r="M60">
        <v>1.7716513678060653E-5</v>
      </c>
      <c r="N60" s="1">
        <v>3.7643074789467202E-6</v>
      </c>
      <c r="O60" s="1">
        <v>1.01739106434896E-7</v>
      </c>
      <c r="P60" s="1">
        <v>-5.2390341332263503E-7</v>
      </c>
      <c r="Q60">
        <v>71.940376343856698</v>
      </c>
      <c r="R60">
        <v>6.6712050926747105E-2</v>
      </c>
      <c r="S60">
        <v>12.2305426699123</v>
      </c>
      <c r="T60">
        <v>0.154294707144148</v>
      </c>
      <c r="V60">
        <v>0.363921408749944</v>
      </c>
      <c r="W60">
        <v>2.3204191626691101E-2</v>
      </c>
      <c r="X60">
        <v>4.8342065888955697E-2</v>
      </c>
      <c r="AA60">
        <v>0.52209431160061104</v>
      </c>
      <c r="AB60">
        <v>3.8383600315819999</v>
      </c>
      <c r="AC60">
        <v>4.45713847496003</v>
      </c>
      <c r="AD60">
        <v>5.8010479066709104E-3</v>
      </c>
      <c r="AE60">
        <v>6.34921269584515</v>
      </c>
    </row>
    <row r="61" spans="1:31" x14ac:dyDescent="0.2">
      <c r="A61">
        <v>60</v>
      </c>
      <c r="B61">
        <v>746</v>
      </c>
      <c r="C61">
        <v>270</v>
      </c>
      <c r="D61">
        <v>0.29976009419614502</v>
      </c>
      <c r="E61">
        <v>103.217571019845</v>
      </c>
      <c r="F61">
        <v>2.19693384454443</v>
      </c>
      <c r="G61">
        <v>-1685.4645256143385</v>
      </c>
      <c r="H61">
        <v>-1410.4478623178363</v>
      </c>
      <c r="I61">
        <v>269.84905391404698</v>
      </c>
      <c r="J61">
        <v>139.769080456663</v>
      </c>
      <c r="K61">
        <v>46.982557656964602</v>
      </c>
      <c r="L61">
        <v>1.5915884366545806E-4</v>
      </c>
      <c r="M61">
        <v>1.7709001890474413E-5</v>
      </c>
      <c r="N61" s="1">
        <v>3.7622525580517902E-6</v>
      </c>
      <c r="O61" s="1">
        <v>1.0148090726055E-7</v>
      </c>
      <c r="P61" s="1">
        <v>-5.2319885330361705E-7</v>
      </c>
      <c r="Q61">
        <v>71.893527483724398</v>
      </c>
      <c r="R61">
        <v>6.6849083269686499E-2</v>
      </c>
      <c r="S61">
        <v>12.2556652661192</v>
      </c>
      <c r="T61">
        <v>0.15491561767280701</v>
      </c>
      <c r="V61">
        <v>0.36439541413100901</v>
      </c>
      <c r="W61">
        <v>2.3251855050321599E-2</v>
      </c>
      <c r="X61">
        <v>4.8441364688188597E-2</v>
      </c>
      <c r="AA61">
        <v>0.523166738632308</v>
      </c>
      <c r="AB61">
        <v>3.8462443562409101</v>
      </c>
      <c r="AC61">
        <v>4.4662938242490302</v>
      </c>
      <c r="AD61">
        <v>5.8129637625782696E-3</v>
      </c>
      <c r="AE61">
        <v>6.3514360324594099</v>
      </c>
    </row>
    <row r="62" spans="1:31" x14ac:dyDescent="0.2">
      <c r="A62">
        <v>61</v>
      </c>
      <c r="B62">
        <v>745</v>
      </c>
      <c r="C62">
        <v>270</v>
      </c>
      <c r="D62">
        <v>0.29900358493345802</v>
      </c>
      <c r="E62">
        <v>103.006563725571</v>
      </c>
      <c r="F62">
        <v>2.19739099203231</v>
      </c>
      <c r="G62">
        <v>-1681.6998082353639</v>
      </c>
      <c r="H62">
        <v>-1407.6218060001629</v>
      </c>
      <c r="I62">
        <v>269.19216445042503</v>
      </c>
      <c r="J62">
        <v>139.492169891553</v>
      </c>
      <c r="K62">
        <v>46.876757071941199</v>
      </c>
      <c r="L62">
        <v>1.5920283027231349E-4</v>
      </c>
      <c r="M62">
        <v>1.7701486771021049E-5</v>
      </c>
      <c r="N62" s="1">
        <v>3.76022088103798E-6</v>
      </c>
      <c r="O62" s="1">
        <v>1.01224012618851E-7</v>
      </c>
      <c r="P62" s="1">
        <v>-5.2249870095660102E-7</v>
      </c>
      <c r="Q62">
        <v>71.846697555697702</v>
      </c>
      <c r="R62">
        <v>6.6986022544964802E-2</v>
      </c>
      <c r="S62">
        <v>12.2807707999206</v>
      </c>
      <c r="T62">
        <v>0.155538750811787</v>
      </c>
      <c r="V62">
        <v>0.364866718203466</v>
      </c>
      <c r="W62">
        <v>2.32994861025922E-2</v>
      </c>
      <c r="X62">
        <v>4.8540596047086201E-2</v>
      </c>
      <c r="AA62">
        <v>0.52423843730839903</v>
      </c>
      <c r="AB62">
        <v>3.8541233261373402</v>
      </c>
      <c r="AC62">
        <v>4.4754429555393296</v>
      </c>
      <c r="AD62">
        <v>5.8248715256458503E-3</v>
      </c>
      <c r="AE62">
        <v>6.3536704801609396</v>
      </c>
    </row>
    <row r="63" spans="1:31" x14ac:dyDescent="0.2">
      <c r="A63">
        <v>62</v>
      </c>
      <c r="B63">
        <v>744</v>
      </c>
      <c r="C63">
        <v>270</v>
      </c>
      <c r="D63">
        <v>0.298245588163005</v>
      </c>
      <c r="E63">
        <v>102.79655894736899</v>
      </c>
      <c r="F63">
        <v>2.19784812486852</v>
      </c>
      <c r="G63">
        <v>-1677.9529055547227</v>
      </c>
      <c r="H63">
        <v>-1404.8092719874453</v>
      </c>
      <c r="I63">
        <v>268.538203379322</v>
      </c>
      <c r="J63">
        <v>139.21657761238299</v>
      </c>
      <c r="K63">
        <v>46.771456946561401</v>
      </c>
      <c r="L63">
        <v>1.5924685681669237E-4</v>
      </c>
      <c r="M63">
        <v>1.7693968305874774E-5</v>
      </c>
      <c r="N63" s="1">
        <v>3.7582123033737098E-6</v>
      </c>
      <c r="O63" s="1">
        <v>1.00968412546242E-7</v>
      </c>
      <c r="P63" s="1">
        <v>-5.2180292516327105E-7</v>
      </c>
      <c r="Q63">
        <v>71.799886318632304</v>
      </c>
      <c r="R63">
        <v>6.7122869390338305E-2</v>
      </c>
      <c r="S63">
        <v>12.305859388239501</v>
      </c>
      <c r="T63">
        <v>0.15616411970449401</v>
      </c>
      <c r="V63">
        <v>0.36533531394688801</v>
      </c>
      <c r="W63">
        <v>2.3347085005330601E-2</v>
      </c>
      <c r="X63">
        <v>4.8639760427792098E-2</v>
      </c>
      <c r="AA63">
        <v>0.52530941262001596</v>
      </c>
      <c r="AB63">
        <v>3.86199697796533</v>
      </c>
      <c r="AC63">
        <v>4.4845859114403197</v>
      </c>
      <c r="AD63">
        <v>5.8367712513303603E-3</v>
      </c>
      <c r="AE63">
        <v>6.35591607137619</v>
      </c>
    </row>
    <row r="64" spans="1:31" x14ac:dyDescent="0.2">
      <c r="A64">
        <v>63</v>
      </c>
      <c r="B64">
        <v>743</v>
      </c>
      <c r="C64">
        <v>270</v>
      </c>
      <c r="D64">
        <v>0.297486099493184</v>
      </c>
      <c r="E64">
        <v>102.587548731712</v>
      </c>
      <c r="F64">
        <v>2.1983052436077801</v>
      </c>
      <c r="G64">
        <v>-1674.2236775841284</v>
      </c>
      <c r="H64">
        <v>-1402.0101525525199</v>
      </c>
      <c r="I64">
        <v>267.88714759790201</v>
      </c>
      <c r="J64">
        <v>138.94229327331101</v>
      </c>
      <c r="K64">
        <v>46.666653336708201</v>
      </c>
      <c r="L64">
        <v>1.5929092370746057E-4</v>
      </c>
      <c r="M64">
        <v>1.7686446481648311E-5</v>
      </c>
      <c r="N64" s="1">
        <v>3.75622668253342E-6</v>
      </c>
      <c r="O64" s="1">
        <v>1.00714097191144E-7</v>
      </c>
      <c r="P64" s="1">
        <v>-5.2111149518670698E-7</v>
      </c>
      <c r="Q64">
        <v>71.753093531722101</v>
      </c>
      <c r="R64">
        <v>6.7259624440832E-2</v>
      </c>
      <c r="S64">
        <v>12.330931147497401</v>
      </c>
      <c r="T64">
        <v>0.15679173755818701</v>
      </c>
      <c r="V64">
        <v>0.36580119426293001</v>
      </c>
      <c r="W64">
        <v>2.33946519794151E-2</v>
      </c>
      <c r="X64">
        <v>4.8738858290469401E-2</v>
      </c>
      <c r="AA64">
        <v>0.52637966953692195</v>
      </c>
      <c r="AB64">
        <v>3.8698653482618202</v>
      </c>
      <c r="AC64">
        <v>4.4937227343790296</v>
      </c>
      <c r="AD64">
        <v>5.8486629948513004E-3</v>
      </c>
      <c r="AE64">
        <v>6.3581728390758601</v>
      </c>
    </row>
    <row r="65" spans="1:31" x14ac:dyDescent="0.2">
      <c r="A65">
        <v>64</v>
      </c>
      <c r="B65">
        <v>742</v>
      </c>
      <c r="C65">
        <v>270</v>
      </c>
      <c r="D65">
        <v>0.29672511451509398</v>
      </c>
      <c r="E65">
        <v>99.627112100626803</v>
      </c>
      <c r="F65">
        <v>2.1985561821293702</v>
      </c>
      <c r="G65">
        <v>-1625.7934909298269</v>
      </c>
      <c r="H65">
        <v>-1361.6282681366567</v>
      </c>
      <c r="I65">
        <v>260.22284666617702</v>
      </c>
      <c r="J65">
        <v>134.99229071487599</v>
      </c>
      <c r="K65">
        <v>45.314790183862698</v>
      </c>
      <c r="L65">
        <v>1.5969501881718179E-4</v>
      </c>
      <c r="M65">
        <v>1.7707937376207933E-5</v>
      </c>
      <c r="N65" s="1">
        <v>3.6647155257355301E-6</v>
      </c>
      <c r="O65" s="1">
        <v>9.8041454244183297E-8</v>
      </c>
      <c r="P65" s="1">
        <v>-5.0785786165305305E-7</v>
      </c>
      <c r="Q65">
        <v>71.6712782771219</v>
      </c>
      <c r="R65">
        <v>6.9258255654658998E-2</v>
      </c>
      <c r="S65">
        <v>12.367056283512101</v>
      </c>
      <c r="T65">
        <v>0.16169986171499201</v>
      </c>
      <c r="V65">
        <v>0.37644695837907299</v>
      </c>
      <c r="W65">
        <v>2.4089828053788901E-2</v>
      </c>
      <c r="X65">
        <v>5.0187141778751602E-2</v>
      </c>
      <c r="AA65">
        <v>0.537687592316762</v>
      </c>
      <c r="AB65">
        <v>3.9044978084835398</v>
      </c>
      <c r="AC65">
        <v>4.4515172716449296</v>
      </c>
      <c r="AD65">
        <v>6.0224570134441704E-3</v>
      </c>
      <c r="AE65">
        <v>6.3802582643259198</v>
      </c>
    </row>
    <row r="66" spans="1:31" x14ac:dyDescent="0.2">
      <c r="A66">
        <v>65</v>
      </c>
      <c r="B66">
        <v>741</v>
      </c>
      <c r="C66">
        <v>270</v>
      </c>
      <c r="D66">
        <v>0.295962628802445</v>
      </c>
      <c r="E66">
        <v>77.075882789757102</v>
      </c>
      <c r="F66">
        <v>2.20071565290307</v>
      </c>
      <c r="G66">
        <v>-1256.5056057797658</v>
      </c>
      <c r="H66">
        <v>-1052.3138675788405</v>
      </c>
      <c r="I66">
        <v>201.342738451831</v>
      </c>
      <c r="J66">
        <v>104.47765977596001</v>
      </c>
      <c r="K66">
        <v>35.023099275947899</v>
      </c>
      <c r="L66">
        <v>1.6024292148597647E-4</v>
      </c>
      <c r="M66">
        <v>1.7730058422738332E-5</v>
      </c>
      <c r="N66" s="1">
        <v>2.84658071253176E-6</v>
      </c>
      <c r="O66" s="1">
        <v>7.5987055002434894E-8</v>
      </c>
      <c r="P66" s="1">
        <v>-3.9404180597478302E-7</v>
      </c>
      <c r="Q66">
        <v>71.4903162795638</v>
      </c>
      <c r="R66">
        <v>8.9522166341219997E-2</v>
      </c>
      <c r="S66">
        <v>12.371276135293799</v>
      </c>
      <c r="T66">
        <v>0.208820441257204</v>
      </c>
      <c r="V66">
        <v>0.486760871852014</v>
      </c>
      <c r="W66">
        <v>3.1138144814324701E-2</v>
      </c>
      <c r="X66">
        <v>6.4871135029898497E-2</v>
      </c>
      <c r="AA66">
        <v>0.53344953385500304</v>
      </c>
      <c r="AB66">
        <v>3.9227565830275002</v>
      </c>
      <c r="AC66">
        <v>4.3947559912918797</v>
      </c>
      <c r="AD66">
        <v>7.78453620357743E-3</v>
      </c>
      <c r="AE66">
        <v>6.3985481814696001</v>
      </c>
    </row>
    <row r="67" spans="1:31" x14ac:dyDescent="0.2">
      <c r="A67">
        <v>66</v>
      </c>
      <c r="B67">
        <v>740</v>
      </c>
      <c r="C67">
        <v>270</v>
      </c>
      <c r="D67">
        <v>0.295198637911468</v>
      </c>
      <c r="E67">
        <v>60.494028949656901</v>
      </c>
      <c r="F67">
        <v>2.2035716140530401</v>
      </c>
      <c r="G67">
        <v>-984.86865458820205</v>
      </c>
      <c r="H67">
        <v>-824.80525756694033</v>
      </c>
      <c r="I67">
        <v>157.98588266422701</v>
      </c>
      <c r="J67">
        <v>82.019630948783998</v>
      </c>
      <c r="K67">
        <v>27.4527174718819</v>
      </c>
      <c r="L67">
        <v>1.6066088410858926E-4</v>
      </c>
      <c r="M67">
        <v>1.7738765188556654E-5</v>
      </c>
      <c r="N67" s="1">
        <v>2.2394628353465202E-6</v>
      </c>
      <c r="O67" s="1">
        <v>5.9656456908071202E-8</v>
      </c>
      <c r="P67" s="1">
        <v>-3.0967592083007098E-7</v>
      </c>
      <c r="Q67">
        <v>71.294535364449203</v>
      </c>
      <c r="R67">
        <v>0.11406084401724</v>
      </c>
      <c r="S67">
        <v>12.364282914595</v>
      </c>
      <c r="T67">
        <v>0.26567101083890199</v>
      </c>
      <c r="V67">
        <v>0.62053526842900897</v>
      </c>
      <c r="W67">
        <v>3.9673337049454603E-2</v>
      </c>
      <c r="X67">
        <v>8.2652785519787803E-2</v>
      </c>
      <c r="AA67">
        <v>0.52570202429114099</v>
      </c>
      <c r="AB67">
        <v>3.9207492433489501</v>
      </c>
      <c r="AC67">
        <v>4.3558891106027096</v>
      </c>
      <c r="AD67">
        <v>9.9183342623573902E-3</v>
      </c>
      <c r="AE67">
        <v>6.4063297625961901</v>
      </c>
    </row>
    <row r="68" spans="1:31" x14ac:dyDescent="0.2">
      <c r="A68">
        <v>67</v>
      </c>
      <c r="B68">
        <v>739</v>
      </c>
      <c r="C68">
        <v>270</v>
      </c>
      <c r="D68">
        <v>0.29443313738082399</v>
      </c>
      <c r="E68">
        <v>24.956539282190501</v>
      </c>
      <c r="F68">
        <v>2.2056656606050802</v>
      </c>
      <c r="G68">
        <v>-406.26612164173264</v>
      </c>
      <c r="H68">
        <v>-340.34072651159471</v>
      </c>
      <c r="I68">
        <v>65.134016825705501</v>
      </c>
      <c r="J68">
        <v>33.864184159425299</v>
      </c>
      <c r="K68">
        <v>11.314742632092299</v>
      </c>
      <c r="L68">
        <v>1.6078575075398745E-4</v>
      </c>
      <c r="M68">
        <v>1.774393259925096E-5</v>
      </c>
      <c r="N68" s="1">
        <v>9.2499937392942404E-7</v>
      </c>
      <c r="O68" s="1">
        <v>2.4590209388858699E-8</v>
      </c>
      <c r="P68" s="1">
        <v>-1.2754597843481401E-7</v>
      </c>
      <c r="Q68">
        <v>71.091179250373202</v>
      </c>
      <c r="R68">
        <v>0.132379995321428</v>
      </c>
      <c r="S68">
        <v>12.530024383910799</v>
      </c>
      <c r="T68">
        <v>0.26036382759369397</v>
      </c>
      <c r="V68">
        <v>0.61052113769814598</v>
      </c>
      <c r="W68">
        <v>9.5935950058247593E-2</v>
      </c>
      <c r="X68">
        <v>0.141727678929916</v>
      </c>
      <c r="AA68">
        <v>0.51082592839213004</v>
      </c>
      <c r="AB68">
        <v>3.8539655452632702</v>
      </c>
      <c r="AC68">
        <v>4.3422948071740004</v>
      </c>
      <c r="AD68">
        <v>2.40417949465709E-2</v>
      </c>
      <c r="AE68">
        <v>6.4067397003385302</v>
      </c>
    </row>
    <row r="69" spans="1:31" x14ac:dyDescent="0.2">
      <c r="A69">
        <v>68</v>
      </c>
      <c r="B69">
        <v>738</v>
      </c>
      <c r="C69">
        <v>270</v>
      </c>
      <c r="D69">
        <v>0.29366612273154402</v>
      </c>
      <c r="E69">
        <v>12.4611590672035</v>
      </c>
      <c r="F69">
        <v>2.20833358271708</v>
      </c>
      <c r="G69">
        <v>-202.80352975257614</v>
      </c>
      <c r="H69">
        <v>-169.95429729874914</v>
      </c>
      <c r="I69">
        <v>32.487002377319797</v>
      </c>
      <c r="J69">
        <v>16.919247361278199</v>
      </c>
      <c r="K69">
        <v>5.64278837433229</v>
      </c>
      <c r="L69">
        <v>1.6087746305991794E-4</v>
      </c>
      <c r="M69">
        <v>1.7761142407300607E-5</v>
      </c>
      <c r="N69" s="1">
        <v>4.6240822209961402E-7</v>
      </c>
      <c r="O69" s="1">
        <v>1.22674525514225E-8</v>
      </c>
      <c r="P69" s="1">
        <v>-6.3502148739511104E-8</v>
      </c>
      <c r="Q69">
        <v>70.788669487317094</v>
      </c>
      <c r="R69">
        <v>0.13160055135302701</v>
      </c>
      <c r="S69">
        <v>12.847830610027501</v>
      </c>
      <c r="T69">
        <v>0.256623320946262</v>
      </c>
      <c r="V69">
        <v>0.60656308002525305</v>
      </c>
      <c r="W69">
        <v>0.19014622144259799</v>
      </c>
      <c r="X69">
        <v>0.14117879203462899</v>
      </c>
      <c r="AA69">
        <v>0.51183358167426496</v>
      </c>
      <c r="AB69">
        <v>3.7159596175634899</v>
      </c>
      <c r="AC69">
        <v>4.3545186152859401</v>
      </c>
      <c r="AD69">
        <v>4.8149614073835202E-2</v>
      </c>
      <c r="AE69">
        <v>6.4069265082559799</v>
      </c>
    </row>
    <row r="70" spans="1:31" x14ac:dyDescent="0.2">
      <c r="A70">
        <v>69</v>
      </c>
      <c r="B70">
        <v>737</v>
      </c>
      <c r="C70">
        <v>270</v>
      </c>
      <c r="D70">
        <v>0.29289758946691402</v>
      </c>
      <c r="E70">
        <v>8.6201215629222006</v>
      </c>
      <c r="F70">
        <v>2.2107783860988999</v>
      </c>
      <c r="G70">
        <v>-140.2575254679314</v>
      </c>
      <c r="H70">
        <v>-117.58058650454363</v>
      </c>
      <c r="I70">
        <v>22.449080793335401</v>
      </c>
      <c r="J70">
        <v>11.710427234982401</v>
      </c>
      <c r="K70">
        <v>3.8991341769597598</v>
      </c>
      <c r="L70">
        <v>1.6094413151333505E-4</v>
      </c>
      <c r="M70">
        <v>1.7774454896071006E-5</v>
      </c>
      <c r="N70" s="1">
        <v>3.2021937294831801E-7</v>
      </c>
      <c r="O70" s="1">
        <v>8.4779366158539996E-9</v>
      </c>
      <c r="P70" s="1">
        <v>-4.3811018177490599E-8</v>
      </c>
      <c r="Q70">
        <v>70.517638793960302</v>
      </c>
      <c r="R70">
        <v>0.13105052897206201</v>
      </c>
      <c r="S70">
        <v>13.1315389992204</v>
      </c>
      <c r="T70">
        <v>0.25307290630974399</v>
      </c>
      <c r="V70">
        <v>0.60222657256805201</v>
      </c>
      <c r="W70">
        <v>0.27265834035071601</v>
      </c>
      <c r="X70">
        <v>0.14062624412497399</v>
      </c>
      <c r="AA70">
        <v>0.51717416229145896</v>
      </c>
      <c r="AB70">
        <v>3.5914233602805998</v>
      </c>
      <c r="AC70">
        <v>4.3664970462439703</v>
      </c>
      <c r="AD70">
        <v>6.9604586851686204E-2</v>
      </c>
      <c r="AE70">
        <v>6.4064884588259501</v>
      </c>
    </row>
    <row r="71" spans="1:31" x14ac:dyDescent="0.2">
      <c r="A71">
        <v>70</v>
      </c>
      <c r="B71">
        <v>757</v>
      </c>
      <c r="C71">
        <v>255</v>
      </c>
      <c r="D71">
        <v>0.32400184439159502</v>
      </c>
      <c r="E71">
        <v>105.245577278006</v>
      </c>
      <c r="F71">
        <v>2.1925362227909502</v>
      </c>
      <c r="G71">
        <v>-1721.5630113706793</v>
      </c>
      <c r="H71">
        <v>-1438.3215957176687</v>
      </c>
      <c r="I71">
        <v>274.95162418386599</v>
      </c>
      <c r="J71">
        <v>142.20498845504699</v>
      </c>
      <c r="K71">
        <v>48.001750750569599</v>
      </c>
      <c r="L71">
        <v>1.5617418077940262E-4</v>
      </c>
      <c r="M71">
        <v>1.7769495725444318E-5</v>
      </c>
      <c r="N71" s="1">
        <v>3.6605323569357601E-6</v>
      </c>
      <c r="O71" s="1">
        <v>1.0195864677486299E-7</v>
      </c>
      <c r="P71" s="1">
        <v>-5.2058996987238398E-7</v>
      </c>
      <c r="Q71">
        <v>72.554117688301204</v>
      </c>
      <c r="R71">
        <v>6.556094971833E-2</v>
      </c>
      <c r="S71">
        <v>12.0195074483608</v>
      </c>
      <c r="T71">
        <v>0.14983564944207201</v>
      </c>
      <c r="V71">
        <v>0.35925875234310201</v>
      </c>
      <c r="W71">
        <v>2.28038085976798E-2</v>
      </c>
      <c r="X71">
        <v>4.7507934578500298E-2</v>
      </c>
      <c r="AA71">
        <v>0.51308569344779897</v>
      </c>
      <c r="AB71">
        <v>3.7721300055328801</v>
      </c>
      <c r="AC71">
        <v>4.3802315681376598</v>
      </c>
      <c r="AD71">
        <v>5.7009521494198901E-3</v>
      </c>
      <c r="AE71">
        <v>6.1102595493903697</v>
      </c>
    </row>
    <row r="72" spans="1:31" x14ac:dyDescent="0.2">
      <c r="A72">
        <v>71</v>
      </c>
      <c r="B72">
        <v>756</v>
      </c>
      <c r="C72">
        <v>255</v>
      </c>
      <c r="D72">
        <v>0.32327697614536499</v>
      </c>
      <c r="E72">
        <v>105.15846578671599</v>
      </c>
      <c r="F72">
        <v>2.1929402462116401</v>
      </c>
      <c r="G72">
        <v>-1719.8395073695851</v>
      </c>
      <c r="H72">
        <v>-1437.2408707295476</v>
      </c>
      <c r="I72">
        <v>274.59421526505997</v>
      </c>
      <c r="J72">
        <v>142.08158870598299</v>
      </c>
      <c r="K72">
        <v>47.953183388549</v>
      </c>
      <c r="L72">
        <v>1.5614958787013293E-4</v>
      </c>
      <c r="M72">
        <v>1.7760871516718248E-5</v>
      </c>
      <c r="N72" s="1">
        <v>3.6618721723532101E-6</v>
      </c>
      <c r="O72" s="1">
        <v>1.01795625172287E-7</v>
      </c>
      <c r="P72" s="1">
        <v>-5.2017300294258601E-7</v>
      </c>
      <c r="Q72">
        <v>72.536234181835198</v>
      </c>
      <c r="R72">
        <v>6.5615259298235501E-2</v>
      </c>
      <c r="S72">
        <v>12.029464204677501</v>
      </c>
      <c r="T72">
        <v>0.150217177698386</v>
      </c>
      <c r="V72">
        <v>0.35932473860452802</v>
      </c>
      <c r="W72">
        <v>2.2822698886342401E-2</v>
      </c>
      <c r="X72">
        <v>4.7547289346548401E-2</v>
      </c>
      <c r="AA72">
        <v>0.51351072494271</v>
      </c>
      <c r="AB72">
        <v>3.7752547741158198</v>
      </c>
      <c r="AC72">
        <v>4.3838600777515699</v>
      </c>
      <c r="AD72">
        <v>5.7056747215854103E-3</v>
      </c>
      <c r="AE72">
        <v>6.1104431981214997</v>
      </c>
    </row>
    <row r="73" spans="1:31" x14ac:dyDescent="0.2">
      <c r="A73">
        <v>72</v>
      </c>
      <c r="B73">
        <v>755</v>
      </c>
      <c r="C73">
        <v>255</v>
      </c>
      <c r="D73">
        <v>0.322550697855369</v>
      </c>
      <c r="E73">
        <v>104.941062004701</v>
      </c>
      <c r="F73">
        <v>2.1933985569898802</v>
      </c>
      <c r="G73">
        <v>-1715.9578503738919</v>
      </c>
      <c r="H73">
        <v>-1434.3284656011574</v>
      </c>
      <c r="I73">
        <v>273.91857683483403</v>
      </c>
      <c r="J73">
        <v>141.79625100714799</v>
      </c>
      <c r="K73">
        <v>47.844046249723903</v>
      </c>
      <c r="L73">
        <v>1.5618982779496261E-4</v>
      </c>
      <c r="M73">
        <v>1.77532379780751E-5</v>
      </c>
      <c r="N73" s="1">
        <v>3.6596397516698099E-6</v>
      </c>
      <c r="O73" s="1">
        <v>1.01532266289219E-7</v>
      </c>
      <c r="P73" s="1">
        <v>-5.1943924802340704E-7</v>
      </c>
      <c r="Q73">
        <v>72.4901521071844</v>
      </c>
      <c r="R73">
        <v>6.5751192795160701E-2</v>
      </c>
      <c r="S73">
        <v>12.054385345780901</v>
      </c>
      <c r="T73">
        <v>0.15081871196209201</v>
      </c>
      <c r="V73">
        <v>0.35980789780387501</v>
      </c>
      <c r="W73">
        <v>2.2869980102664E-2</v>
      </c>
      <c r="X73">
        <v>4.76457918805527E-2</v>
      </c>
      <c r="AA73">
        <v>0.51457455230994997</v>
      </c>
      <c r="AB73">
        <v>3.7830758753157001</v>
      </c>
      <c r="AC73">
        <v>4.39294201138667</v>
      </c>
      <c r="AD73">
        <v>5.7174950256656896E-3</v>
      </c>
      <c r="AE73">
        <v>6.1122590384522599</v>
      </c>
    </row>
    <row r="74" spans="1:31" x14ac:dyDescent="0.2">
      <c r="A74">
        <v>73</v>
      </c>
      <c r="B74">
        <v>754</v>
      </c>
      <c r="C74">
        <v>255</v>
      </c>
      <c r="D74">
        <v>0.321823005403299</v>
      </c>
      <c r="E74">
        <v>104.724710577705</v>
      </c>
      <c r="F74">
        <v>2.1938568985169802</v>
      </c>
      <c r="G74">
        <v>-1712.0948851244209</v>
      </c>
      <c r="H74">
        <v>-1431.4302636166983</v>
      </c>
      <c r="I74">
        <v>273.24599280311799</v>
      </c>
      <c r="J74">
        <v>141.51229188673699</v>
      </c>
      <c r="K74">
        <v>47.735433723365297</v>
      </c>
      <c r="L74">
        <v>1.5623006943219885E-4</v>
      </c>
      <c r="M74">
        <v>1.7745599180664612E-5</v>
      </c>
      <c r="N74" s="1">
        <v>3.6574294357557102E-6</v>
      </c>
      <c r="O74" s="1">
        <v>1.01270223988613E-7</v>
      </c>
      <c r="P74" s="1">
        <v>-5.1870984774819896E-7</v>
      </c>
      <c r="Q74">
        <v>72.444093321825605</v>
      </c>
      <c r="R74">
        <v>6.5887028590833799E-2</v>
      </c>
      <c r="S74">
        <v>12.0792885749881</v>
      </c>
      <c r="T74">
        <v>0.151422352598551</v>
      </c>
      <c r="V74">
        <v>0.36028842536654898</v>
      </c>
      <c r="W74">
        <v>2.2917227335941402E-2</v>
      </c>
      <c r="X74">
        <v>4.77442236165481E-2</v>
      </c>
      <c r="AA74">
        <v>0.51563761505869499</v>
      </c>
      <c r="AB74">
        <v>3.79089135515368</v>
      </c>
      <c r="AC74">
        <v>4.4020174174453697</v>
      </c>
      <c r="AD74">
        <v>5.7293068339849601E-3</v>
      </c>
      <c r="AE74">
        <v>6.1140831511860601</v>
      </c>
    </row>
    <row r="75" spans="1:31" x14ac:dyDescent="0.2">
      <c r="A75">
        <v>74</v>
      </c>
      <c r="B75">
        <v>753</v>
      </c>
      <c r="C75">
        <v>255</v>
      </c>
      <c r="D75">
        <v>0.321093894654779</v>
      </c>
      <c r="E75">
        <v>104.50940309124</v>
      </c>
      <c r="F75">
        <v>2.1943152718682701</v>
      </c>
      <c r="G75">
        <v>-1708.2504633465323</v>
      </c>
      <c r="H75">
        <v>-1428.5461508157821</v>
      </c>
      <c r="I75">
        <v>272.576438659796</v>
      </c>
      <c r="J75">
        <v>141.22970038281801</v>
      </c>
      <c r="K75">
        <v>47.627341627285901</v>
      </c>
      <c r="L75">
        <v>1.5627031275353671E-4</v>
      </c>
      <c r="M75">
        <v>1.7737955085956262E-5</v>
      </c>
      <c r="N75" s="1">
        <v>3.65524106404284E-6</v>
      </c>
      <c r="O75" s="1">
        <v>1.0100948777787E-7</v>
      </c>
      <c r="P75" s="1">
        <v>-5.1798476829648299E-7</v>
      </c>
      <c r="Q75">
        <v>72.398057624197094</v>
      </c>
      <c r="R75">
        <v>6.6022767290863899E-2</v>
      </c>
      <c r="S75">
        <v>12.104174003327101</v>
      </c>
      <c r="T75">
        <v>0.15202811203184199</v>
      </c>
      <c r="V75">
        <v>0.36076631467723802</v>
      </c>
      <c r="W75">
        <v>2.2964440796821299E-2</v>
      </c>
      <c r="X75">
        <v>4.7842584993381697E-2</v>
      </c>
      <c r="AA75">
        <v>0.51669991792849501</v>
      </c>
      <c r="AB75">
        <v>3.7987012484742402</v>
      </c>
      <c r="AC75">
        <v>4.4110863363893804</v>
      </c>
      <c r="AD75">
        <v>5.7411101992048998E-3</v>
      </c>
      <c r="AE75">
        <v>6.1159155396941802</v>
      </c>
    </row>
    <row r="76" spans="1:31" x14ac:dyDescent="0.2">
      <c r="A76">
        <v>75</v>
      </c>
      <c r="B76">
        <v>752</v>
      </c>
      <c r="C76">
        <v>255</v>
      </c>
      <c r="D76">
        <v>0.3203633614593</v>
      </c>
      <c r="E76">
        <v>104.29513121864601</v>
      </c>
      <c r="F76">
        <v>2.1947736781177798</v>
      </c>
      <c r="G76">
        <v>-1704.4244383143296</v>
      </c>
      <c r="H76">
        <v>-1425.6760144267712</v>
      </c>
      <c r="I76">
        <v>271.90989015027799</v>
      </c>
      <c r="J76">
        <v>140.94846564831201</v>
      </c>
      <c r="K76">
        <v>47.519765823002103</v>
      </c>
      <c r="L76">
        <v>1.563105577311307E-4</v>
      </c>
      <c r="M76">
        <v>1.7730305655421032E-5</v>
      </c>
      <c r="N76" s="1">
        <v>3.6530744776776101E-6</v>
      </c>
      <c r="O76" s="1">
        <v>1.0075004727444401E-7</v>
      </c>
      <c r="P76" s="1">
        <v>-5.1726397620495199E-7</v>
      </c>
      <c r="Q76">
        <v>72.3520448129768</v>
      </c>
      <c r="R76">
        <v>6.6158409499814899E-2</v>
      </c>
      <c r="S76">
        <v>12.129041741635699</v>
      </c>
      <c r="T76">
        <v>0.152636002751005</v>
      </c>
      <c r="V76">
        <v>0.36124155905422201</v>
      </c>
      <c r="W76">
        <v>2.3011620695586599E-2</v>
      </c>
      <c r="X76">
        <v>4.7940876449144201E-2</v>
      </c>
      <c r="AA76">
        <v>0.51776146565071901</v>
      </c>
      <c r="AB76">
        <v>3.8065055900616702</v>
      </c>
      <c r="AC76">
        <v>4.4201488086105103</v>
      </c>
      <c r="AD76">
        <v>5.7529051738960304E-3</v>
      </c>
      <c r="AE76">
        <v>6.11775620744082</v>
      </c>
    </row>
    <row r="77" spans="1:31" x14ac:dyDescent="0.2">
      <c r="A77">
        <v>76</v>
      </c>
      <c r="B77">
        <v>751</v>
      </c>
      <c r="C77">
        <v>255</v>
      </c>
      <c r="D77">
        <v>0.31963140165015202</v>
      </c>
      <c r="E77">
        <v>104.08188672103999</v>
      </c>
      <c r="F77">
        <v>2.19523211833625</v>
      </c>
      <c r="G77">
        <v>-1700.6166648489959</v>
      </c>
      <c r="H77">
        <v>-1422.8197428666642</v>
      </c>
      <c r="I77">
        <v>271.24632327523398</v>
      </c>
      <c r="J77">
        <v>140.66857695092801</v>
      </c>
      <c r="K77">
        <v>47.412702215710397</v>
      </c>
      <c r="L77">
        <v>1.5635080433801341E-4</v>
      </c>
      <c r="M77">
        <v>1.7722650850597742E-5</v>
      </c>
      <c r="N77" s="1">
        <v>3.6509295195621098E-6</v>
      </c>
      <c r="O77" s="1">
        <v>1.0049189220611E-7</v>
      </c>
      <c r="P77" s="1">
        <v>-5.1654743837101999E-7</v>
      </c>
      <c r="Q77">
        <v>72.306054687268897</v>
      </c>
      <c r="R77">
        <v>6.6293955820511799E-2</v>
      </c>
      <c r="S77">
        <v>12.1538919004307</v>
      </c>
      <c r="T77">
        <v>0.15324603730848699</v>
      </c>
      <c r="V77">
        <v>0.36171415174578597</v>
      </c>
      <c r="W77">
        <v>2.30587672419157E-2</v>
      </c>
      <c r="X77">
        <v>4.8039098420664297E-2</v>
      </c>
      <c r="AA77">
        <v>0.51882226294312805</v>
      </c>
      <c r="AB77">
        <v>3.81430441460029</v>
      </c>
      <c r="AC77">
        <v>4.42920487438455</v>
      </c>
      <c r="AD77">
        <v>5.7646918104781401E-3</v>
      </c>
      <c r="AE77">
        <v>6.1196051580244104</v>
      </c>
    </row>
    <row r="78" spans="1:31" x14ac:dyDescent="0.2">
      <c r="A78">
        <v>77</v>
      </c>
      <c r="B78">
        <v>750</v>
      </c>
      <c r="C78">
        <v>255</v>
      </c>
      <c r="D78">
        <v>0.31889801104432502</v>
      </c>
      <c r="E78">
        <v>103.86966144779601</v>
      </c>
      <c r="F78">
        <v>2.19569059359047</v>
      </c>
      <c r="G78">
        <v>-1696.8269993254173</v>
      </c>
      <c r="H78">
        <v>-1419.9772257483803</v>
      </c>
      <c r="I78">
        <v>270.58571429119502</v>
      </c>
      <c r="J78">
        <v>140.390023673689</v>
      </c>
      <c r="K78">
        <v>47.306146754468003</v>
      </c>
      <c r="L78">
        <v>1.5639105254724661E-4</v>
      </c>
      <c r="M78">
        <v>1.7714990633078362E-5</v>
      </c>
      <c r="N78" s="1">
        <v>3.6488060343755602E-6</v>
      </c>
      <c r="O78" s="1">
        <v>1.00235012410736E-7</v>
      </c>
      <c r="P78" s="1">
        <v>-5.1583512205192305E-7</v>
      </c>
      <c r="Q78">
        <v>72.260087046958304</v>
      </c>
      <c r="R78">
        <v>6.6429406853011505E-2</v>
      </c>
      <c r="S78">
        <v>12.1787245897234</v>
      </c>
      <c r="T78">
        <v>0.15385822831750201</v>
      </c>
      <c r="V78">
        <v>0.36218408592451901</v>
      </c>
      <c r="W78">
        <v>2.3105880644523898E-2</v>
      </c>
      <c r="X78">
        <v>4.8137251342766599E-2</v>
      </c>
      <c r="AA78">
        <v>0.51988231450181899</v>
      </c>
      <c r="AB78">
        <v>3.8220977566150802</v>
      </c>
      <c r="AC78">
        <v>4.4382545738021699</v>
      </c>
      <c r="AD78">
        <v>5.7764701611299598E-3</v>
      </c>
      <c r="AE78">
        <v>6.1214623951556204</v>
      </c>
    </row>
    <row r="79" spans="1:31" x14ac:dyDescent="0.2">
      <c r="A79">
        <v>78</v>
      </c>
      <c r="B79">
        <v>749</v>
      </c>
      <c r="C79">
        <v>255</v>
      </c>
      <c r="D79">
        <v>0.31816318544244998</v>
      </c>
      <c r="E79">
        <v>103.65844733257801</v>
      </c>
      <c r="F79">
        <v>2.1961491049432902</v>
      </c>
      <c r="G79">
        <v>-1693.0552996055605</v>
      </c>
      <c r="H79">
        <v>-1417.1483538255486</v>
      </c>
      <c r="I79">
        <v>269.92803970064199</v>
      </c>
      <c r="J79">
        <v>140.112795309982</v>
      </c>
      <c r="K79">
        <v>47.2000954303398</v>
      </c>
      <c r="L79">
        <v>1.5643130233408516E-4</v>
      </c>
      <c r="M79">
        <v>1.7707324964585543E-5</v>
      </c>
      <c r="N79" s="1">
        <v>3.6467038684993702E-6</v>
      </c>
      <c r="O79" s="1">
        <v>9.9979397833328903E-8</v>
      </c>
      <c r="P79" s="1">
        <v>-5.1512699485737398E-7</v>
      </c>
      <c r="Q79">
        <v>72.214141692048401</v>
      </c>
      <c r="R79">
        <v>6.6564763196406002E-2</v>
      </c>
      <c r="S79">
        <v>12.203539919346101</v>
      </c>
      <c r="T79">
        <v>0.154472588457232</v>
      </c>
      <c r="V79">
        <v>0.36265135469656401</v>
      </c>
      <c r="W79">
        <v>2.3152961111791399E-2</v>
      </c>
      <c r="X79">
        <v>4.82353356495746E-2</v>
      </c>
      <c r="AA79">
        <v>0.52094162501534103</v>
      </c>
      <c r="AB79">
        <v>3.8298856505755898</v>
      </c>
      <c r="AC79">
        <v>4.4472979468897904</v>
      </c>
      <c r="AD79">
        <v>5.7882402779467499E-3</v>
      </c>
      <c r="AE79">
        <v>6.1233279227351298</v>
      </c>
    </row>
    <row r="80" spans="1:31" x14ac:dyDescent="0.2">
      <c r="A80">
        <v>79</v>
      </c>
      <c r="B80">
        <v>748</v>
      </c>
      <c r="C80">
        <v>255</v>
      </c>
      <c r="D80">
        <v>0.31742692062870498</v>
      </c>
      <c r="E80">
        <v>103.44823639384001</v>
      </c>
      <c r="F80">
        <v>2.1966076534550001</v>
      </c>
      <c r="G80">
        <v>-1689.3014250451276</v>
      </c>
      <c r="H80">
        <v>-1414.3330190001898</v>
      </c>
      <c r="I80">
        <v>269.273276252203</v>
      </c>
      <c r="J80">
        <v>139.83688146401499</v>
      </c>
      <c r="K80">
        <v>47.0945442765479</v>
      </c>
      <c r="L80">
        <v>1.5647155367391418E-4</v>
      </c>
      <c r="M80">
        <v>1.769965380686364E-5</v>
      </c>
      <c r="N80" s="1">
        <v>3.6446228699975999E-6</v>
      </c>
      <c r="O80" s="1">
        <v>9.9725038524778899E-8</v>
      </c>
      <c r="P80" s="1">
        <v>-5.1442302474187601E-7</v>
      </c>
      <c r="Q80">
        <v>72.1682184230784</v>
      </c>
      <c r="R80">
        <v>6.6700025447810299E-2</v>
      </c>
      <c r="S80">
        <v>12.228337998771099</v>
      </c>
      <c r="T80">
        <v>0.15508913047025</v>
      </c>
      <c r="V80">
        <v>0.363115951095898</v>
      </c>
      <c r="W80">
        <v>2.3200008851409899E-2</v>
      </c>
      <c r="X80">
        <v>4.8333351773781501E-2</v>
      </c>
      <c r="AA80">
        <v>0.52200019915676399</v>
      </c>
      <c r="AB80">
        <v>3.8376681308374998</v>
      </c>
      <c r="AC80">
        <v>4.4563350335415004</v>
      </c>
      <c r="AD80">
        <v>5.80000221285121E-3</v>
      </c>
      <c r="AE80">
        <v>6.1252017447626397</v>
      </c>
    </row>
    <row r="81" spans="1:31" x14ac:dyDescent="0.2">
      <c r="A81">
        <v>80</v>
      </c>
      <c r="B81">
        <v>747</v>
      </c>
      <c r="C81">
        <v>255</v>
      </c>
      <c r="D81">
        <v>0.316689212370732</v>
      </c>
      <c r="E81">
        <v>103.23902073529899</v>
      </c>
      <c r="F81">
        <v>2.19706624018152</v>
      </c>
      <c r="G81">
        <v>-1685.5652365004721</v>
      </c>
      <c r="H81">
        <v>-1411.5311143299427</v>
      </c>
      <c r="I81">
        <v>268.62140094155598</v>
      </c>
      <c r="J81">
        <v>139.56227185138201</v>
      </c>
      <c r="K81">
        <v>46.989489368681497</v>
      </c>
      <c r="L81">
        <v>1.5651180654211157E-4</v>
      </c>
      <c r="M81">
        <v>1.7691977121718533E-5</v>
      </c>
      <c r="N81" s="1">
        <v>3.6425628886621101E-6</v>
      </c>
      <c r="O81" s="1">
        <v>9.9471924642282897E-8</v>
      </c>
      <c r="P81" s="1">
        <v>-5.1372318000790797E-7</v>
      </c>
      <c r="Q81">
        <v>72.1223170414398</v>
      </c>
      <c r="R81">
        <v>6.68351942013439E-2</v>
      </c>
      <c r="S81">
        <v>12.253118936919501</v>
      </c>
      <c r="T81">
        <v>0.15570786716009799</v>
      </c>
      <c r="V81">
        <v>0.36357786807924902</v>
      </c>
      <c r="W81">
        <v>2.3247024070030001E-2</v>
      </c>
      <c r="X81">
        <v>4.8431300145907699E-2</v>
      </c>
      <c r="AA81">
        <v>0.523058041575721</v>
      </c>
      <c r="AB81">
        <v>3.84544523158426</v>
      </c>
      <c r="AC81">
        <v>4.4653658734514403</v>
      </c>
      <c r="AD81">
        <v>5.8117560175061202E-3</v>
      </c>
      <c r="AE81">
        <v>6.1270838653550799</v>
      </c>
    </row>
    <row r="82" spans="1:31" x14ac:dyDescent="0.2">
      <c r="A82">
        <v>81</v>
      </c>
      <c r="B82">
        <v>746</v>
      </c>
      <c r="C82">
        <v>255</v>
      </c>
      <c r="D82">
        <v>0.31595005641956603</v>
      </c>
      <c r="E82">
        <v>103.030792540112</v>
      </c>
      <c r="F82">
        <v>2.1975248661759998</v>
      </c>
      <c r="G82">
        <v>-1681.8465962311357</v>
      </c>
      <c r="H82">
        <v>-1408.742533946682</v>
      </c>
      <c r="I82">
        <v>267.97239099686402</v>
      </c>
      <c r="J82">
        <v>139.28895629179701</v>
      </c>
      <c r="K82">
        <v>46.884926821965799</v>
      </c>
      <c r="L82">
        <v>1.5655206091681935E-4</v>
      </c>
      <c r="M82">
        <v>1.7684294871078776E-5</v>
      </c>
      <c r="N82" s="1">
        <v>3.6405237758720201E-6</v>
      </c>
      <c r="O82" s="1">
        <v>9.9220046444633898E-8</v>
      </c>
      <c r="P82" s="1">
        <v>-5.1302742929187302E-7</v>
      </c>
      <c r="Q82">
        <v>72.076437348294704</v>
      </c>
      <c r="R82">
        <v>6.6970270051198794E-2</v>
      </c>
      <c r="S82">
        <v>12.277882842727401</v>
      </c>
      <c r="T82">
        <v>0.156328811399744</v>
      </c>
      <c r="V82">
        <v>0.36403709854125199</v>
      </c>
      <c r="W82">
        <v>2.3294006974326899E-2</v>
      </c>
      <c r="X82">
        <v>4.8529181196528499E-2</v>
      </c>
      <c r="AA82">
        <v>0.52411515692240895</v>
      </c>
      <c r="AB82">
        <v>3.8532169870033899</v>
      </c>
      <c r="AC82">
        <v>4.4743905063184197</v>
      </c>
      <c r="AD82">
        <v>5.8235017435800699E-3</v>
      </c>
      <c r="AE82">
        <v>6.1289742888268499</v>
      </c>
    </row>
    <row r="83" spans="1:31" x14ac:dyDescent="0.2">
      <c r="A83">
        <v>82</v>
      </c>
      <c r="B83">
        <v>745</v>
      </c>
      <c r="C83">
        <v>255</v>
      </c>
      <c r="D83">
        <v>0.31520944850955201</v>
      </c>
      <c r="E83">
        <v>102.82354407582</v>
      </c>
      <c r="F83">
        <v>2.1979835324865902</v>
      </c>
      <c r="G83">
        <v>-1678.145367980426</v>
      </c>
      <c r="H83">
        <v>-1405.9671731266408</v>
      </c>
      <c r="I83">
        <v>267.32622389017803</v>
      </c>
      <c r="J83">
        <v>139.01692471512601</v>
      </c>
      <c r="K83">
        <v>46.7808527935127</v>
      </c>
      <c r="L83">
        <v>1.5659231677554424E-4</v>
      </c>
      <c r="M83">
        <v>1.7676607016926034E-5</v>
      </c>
      <c r="N83" s="1">
        <v>3.6385053847284899E-6</v>
      </c>
      <c r="O83" s="1">
        <v>9.89693942952205E-8</v>
      </c>
      <c r="P83" s="1">
        <v>-5.1233574157260603E-7</v>
      </c>
      <c r="Q83">
        <v>72.030579145935803</v>
      </c>
      <c r="R83">
        <v>6.7105253587761898E-2</v>
      </c>
      <c r="S83">
        <v>12.3026298244313</v>
      </c>
      <c r="T83">
        <v>0.15695197612141501</v>
      </c>
      <c r="V83">
        <v>0.36449363529476497</v>
      </c>
      <c r="W83">
        <v>2.3340957769653E-2</v>
      </c>
      <c r="X83">
        <v>4.86269953534589E-2</v>
      </c>
      <c r="AA83">
        <v>0.52517154981725001</v>
      </c>
      <c r="AB83">
        <v>3.8609834310635902</v>
      </c>
      <c r="AC83">
        <v>4.4834089715872896</v>
      </c>
      <c r="AD83">
        <v>5.8352394424114398E-3</v>
      </c>
      <c r="AE83">
        <v>6.1308730195952004</v>
      </c>
    </row>
    <row r="84" spans="1:31" x14ac:dyDescent="0.2">
      <c r="A84">
        <v>83</v>
      </c>
      <c r="B84">
        <v>744</v>
      </c>
      <c r="C84">
        <v>255</v>
      </c>
      <c r="D84">
        <v>0.31446738435825899</v>
      </c>
      <c r="E84">
        <v>90.865377830419504</v>
      </c>
      <c r="F84">
        <v>2.1992114237946798</v>
      </c>
      <c r="G84">
        <v>-1482.1738586695924</v>
      </c>
      <c r="H84">
        <v>-1241.9327672654365</v>
      </c>
      <c r="I84">
        <v>236.19042560502899</v>
      </c>
      <c r="J84">
        <v>122.875100185739</v>
      </c>
      <c r="K84">
        <v>41.317254379132699</v>
      </c>
      <c r="L84">
        <v>1.5683990281469787E-4</v>
      </c>
      <c r="M84">
        <v>1.7681413085295857E-5</v>
      </c>
      <c r="N84" s="1">
        <v>3.2233854271888402E-6</v>
      </c>
      <c r="O84" s="1">
        <v>8.7497115659296697E-8</v>
      </c>
      <c r="P84" s="1">
        <v>-4.53436224058032E-7</v>
      </c>
      <c r="Q84">
        <v>71.926274163373094</v>
      </c>
      <c r="R84">
        <v>7.5936513606738407E-2</v>
      </c>
      <c r="S84">
        <v>12.319438630751099</v>
      </c>
      <c r="T84">
        <v>0.177727411747307</v>
      </c>
      <c r="V84">
        <v>0.41235409288087699</v>
      </c>
      <c r="W84">
        <v>2.6412700384941801E-2</v>
      </c>
      <c r="X84">
        <v>5.5026459135344603E-2</v>
      </c>
      <c r="AA84">
        <v>0.52664733026524202</v>
      </c>
      <c r="AB84">
        <v>3.87166526332053</v>
      </c>
      <c r="AC84">
        <v>4.46277984429409</v>
      </c>
      <c r="AD84">
        <v>6.6031750962302904E-3</v>
      </c>
      <c r="AE84">
        <v>6.13913441514444</v>
      </c>
    </row>
    <row r="85" spans="1:31" x14ac:dyDescent="0.2">
      <c r="A85">
        <v>84</v>
      </c>
      <c r="B85">
        <v>743</v>
      </c>
      <c r="C85">
        <v>255</v>
      </c>
      <c r="D85">
        <v>0.31372385966638899</v>
      </c>
      <c r="E85">
        <v>68.827598153128207</v>
      </c>
      <c r="F85">
        <v>2.2021347544649901</v>
      </c>
      <c r="G85">
        <v>-1121.1942859886644</v>
      </c>
      <c r="H85">
        <v>-939.46153136248483</v>
      </c>
      <c r="I85">
        <v>178.844417286994</v>
      </c>
      <c r="J85">
        <v>93.091777610323305</v>
      </c>
      <c r="K85">
        <v>31.254943873700199</v>
      </c>
      <c r="L85">
        <v>1.5719897903596593E-4</v>
      </c>
      <c r="M85">
        <v>1.7686318845838441E-5</v>
      </c>
      <c r="N85" s="1">
        <v>2.4462602926490798E-6</v>
      </c>
      <c r="O85" s="1">
        <v>6.62674474427122E-8</v>
      </c>
      <c r="P85" s="1">
        <v>-3.4373993029995802E-7</v>
      </c>
      <c r="Q85">
        <v>71.734665756809093</v>
      </c>
      <c r="R85">
        <v>0.100250483601799</v>
      </c>
      <c r="S85">
        <v>12.312374234607899</v>
      </c>
      <c r="T85">
        <v>0.23428170671985299</v>
      </c>
      <c r="V85">
        <v>0.54470163142356798</v>
      </c>
      <c r="W85">
        <v>3.4869733426693798E-2</v>
      </c>
      <c r="X85">
        <v>7.2645277972366695E-2</v>
      </c>
      <c r="AA85">
        <v>0.52189581714408895</v>
      </c>
      <c r="AB85">
        <v>3.8640710285858901</v>
      </c>
      <c r="AC85">
        <v>4.42774999484541</v>
      </c>
      <c r="AD85">
        <v>8.7174333566654195E-3</v>
      </c>
      <c r="AE85">
        <v>6.1437769015065902</v>
      </c>
    </row>
    <row r="86" spans="1:31" x14ac:dyDescent="0.2">
      <c r="A86">
        <v>85</v>
      </c>
      <c r="B86">
        <v>742</v>
      </c>
      <c r="C86">
        <v>255</v>
      </c>
      <c r="D86">
        <v>0.31297887011771702</v>
      </c>
      <c r="E86">
        <v>42.1713154131726</v>
      </c>
      <c r="F86">
        <v>2.20475843188437</v>
      </c>
      <c r="G86">
        <v>-686.39135015588602</v>
      </c>
      <c r="H86">
        <v>-575.21104621966913</v>
      </c>
      <c r="I86">
        <v>109.52105987904901</v>
      </c>
      <c r="J86">
        <v>57.062469477113098</v>
      </c>
      <c r="K86">
        <v>19.127408610080401</v>
      </c>
      <c r="L86">
        <v>1.5740833068872805E-4</v>
      </c>
      <c r="M86">
        <v>1.7684959207696912E-5</v>
      </c>
      <c r="N86" s="1">
        <v>1.5004668919941E-6</v>
      </c>
      <c r="O86" s="1">
        <v>4.0565268194358399E-8</v>
      </c>
      <c r="P86" s="1">
        <v>-2.1048537511790199E-7</v>
      </c>
      <c r="Q86">
        <v>71.554054024929698</v>
      </c>
      <c r="R86">
        <v>0.125564966329097</v>
      </c>
      <c r="S86">
        <v>12.353640914746499</v>
      </c>
      <c r="T86">
        <v>0.26533765649010499</v>
      </c>
      <c r="V86">
        <v>0.61831918202470504</v>
      </c>
      <c r="W86">
        <v>5.6910721813745901E-2</v>
      </c>
      <c r="X86">
        <v>0.11494184771046601</v>
      </c>
      <c r="AA86">
        <v>0.51543112857277995</v>
      </c>
      <c r="AB86">
        <v>3.8350284003754398</v>
      </c>
      <c r="AC86">
        <v>4.4031650365856603</v>
      </c>
      <c r="AD86">
        <v>1.4227680453419499E-2</v>
      </c>
      <c r="AE86">
        <v>6.1433784399682896</v>
      </c>
    </row>
    <row r="87" spans="1:31" x14ac:dyDescent="0.2">
      <c r="A87">
        <v>86</v>
      </c>
      <c r="B87">
        <v>741</v>
      </c>
      <c r="C87">
        <v>255</v>
      </c>
      <c r="D87">
        <v>0.31223241137898899</v>
      </c>
      <c r="E87">
        <v>17.6332252931964</v>
      </c>
      <c r="F87">
        <v>2.2073195309921299</v>
      </c>
      <c r="G87">
        <v>-286.96701772665722</v>
      </c>
      <c r="H87">
        <v>-240.57627181056722</v>
      </c>
      <c r="I87">
        <v>45.7434757344475</v>
      </c>
      <c r="J87">
        <v>23.875741674576901</v>
      </c>
      <c r="K87">
        <v>7.9885241106305802</v>
      </c>
      <c r="L87">
        <v>1.5737993728854948E-4</v>
      </c>
      <c r="M87">
        <v>1.7686717265281501E-5</v>
      </c>
      <c r="N87" s="1">
        <v>6.2740300908062497E-7</v>
      </c>
      <c r="O87" s="1">
        <v>1.69285710456896E-8</v>
      </c>
      <c r="P87" s="1">
        <v>-8.7685119271775394E-8</v>
      </c>
      <c r="Q87">
        <v>71.3033325727273</v>
      </c>
      <c r="R87">
        <v>0.138685907290274</v>
      </c>
      <c r="S87">
        <v>12.6061554832549</v>
      </c>
      <c r="T87">
        <v>0.25580085892450599</v>
      </c>
      <c r="V87">
        <v>0.59979445430619305</v>
      </c>
      <c r="W87">
        <v>0.135326211421991</v>
      </c>
      <c r="X87">
        <v>0.147651381678197</v>
      </c>
      <c r="AA87">
        <v>0.51369360943436704</v>
      </c>
      <c r="AB87">
        <v>3.7152882495386601</v>
      </c>
      <c r="AC87">
        <v>4.4138112062454402</v>
      </c>
      <c r="AD87">
        <v>3.4026673511052402E-2</v>
      </c>
      <c r="AE87">
        <v>6.1364333916670102</v>
      </c>
    </row>
    <row r="88" spans="1:31" x14ac:dyDescent="0.2">
      <c r="A88">
        <v>87</v>
      </c>
      <c r="B88">
        <v>740</v>
      </c>
      <c r="C88">
        <v>255</v>
      </c>
      <c r="D88">
        <v>0.31148447909983901</v>
      </c>
      <c r="E88">
        <v>10.5737349449075</v>
      </c>
      <c r="F88">
        <v>2.2099301664528199</v>
      </c>
      <c r="G88">
        <v>-172.03494318143834</v>
      </c>
      <c r="H88">
        <v>-144.27621881628747</v>
      </c>
      <c r="I88">
        <v>27.3984349456159</v>
      </c>
      <c r="J88">
        <v>14.3249845880728</v>
      </c>
      <c r="K88">
        <v>4.7846466397078498</v>
      </c>
      <c r="L88">
        <v>1.5741659593800607E-4</v>
      </c>
      <c r="M88">
        <v>1.7699135994389226E-5</v>
      </c>
      <c r="N88" s="1">
        <v>3.7651689650016999E-7</v>
      </c>
      <c r="O88" s="1">
        <v>1.0138764849877199E-8</v>
      </c>
      <c r="P88" s="1">
        <v>-5.2411857273061403E-8</v>
      </c>
      <c r="Q88">
        <v>71.018058439587605</v>
      </c>
      <c r="R88">
        <v>0.13804591778269301</v>
      </c>
      <c r="S88">
        <v>12.9071254139616</v>
      </c>
      <c r="T88">
        <v>0.25206993864962601</v>
      </c>
      <c r="V88">
        <v>0.59546989111656901</v>
      </c>
      <c r="W88">
        <v>0.22355390817630699</v>
      </c>
      <c r="X88">
        <v>0.14711040211044801</v>
      </c>
      <c r="AA88">
        <v>0.51829887662673102</v>
      </c>
      <c r="AB88">
        <v>3.58022598306894</v>
      </c>
      <c r="AC88">
        <v>4.4290537163380801</v>
      </c>
      <c r="AD88">
        <v>5.67443768095683E-2</v>
      </c>
      <c r="AE88">
        <v>6.1342431357716798</v>
      </c>
    </row>
    <row r="89" spans="1:31" x14ac:dyDescent="0.2">
      <c r="A89">
        <v>88</v>
      </c>
      <c r="B89">
        <v>757</v>
      </c>
      <c r="C89">
        <v>240</v>
      </c>
      <c r="D89">
        <v>0.340018929282145</v>
      </c>
      <c r="E89">
        <v>105.003057969804</v>
      </c>
      <c r="F89">
        <v>2.1931953936566799</v>
      </c>
      <c r="G89">
        <v>-1717.0138037852137</v>
      </c>
      <c r="H89">
        <v>-1435.8561228767301</v>
      </c>
      <c r="I89">
        <v>272.92887531765598</v>
      </c>
      <c r="J89">
        <v>141.653075434257</v>
      </c>
      <c r="K89">
        <v>47.876745625812198</v>
      </c>
      <c r="L89">
        <v>1.5355637151217254E-4</v>
      </c>
      <c r="M89">
        <v>1.7732917133863282E-5</v>
      </c>
      <c r="N89" s="1">
        <v>3.53870142407501E-6</v>
      </c>
      <c r="O89" s="1">
        <v>9.9564727584974699E-8</v>
      </c>
      <c r="P89" s="1">
        <v>-5.0964202161085404E-7</v>
      </c>
      <c r="Q89">
        <v>72.721691612047593</v>
      </c>
      <c r="R89">
        <v>6.5712371938579706E-2</v>
      </c>
      <c r="S89">
        <v>12.04726818874</v>
      </c>
      <c r="T89">
        <v>0.15128569867132699</v>
      </c>
      <c r="V89">
        <v>0.35909513504369101</v>
      </c>
      <c r="W89">
        <v>2.28564771960275E-2</v>
      </c>
      <c r="X89">
        <v>4.7617660825058201E-2</v>
      </c>
      <c r="AA89">
        <v>0.51427073691062297</v>
      </c>
      <c r="AB89">
        <v>3.7808422695095598</v>
      </c>
      <c r="AC89">
        <v>4.3903483280702797</v>
      </c>
      <c r="AD89">
        <v>5.7141192990068004E-3</v>
      </c>
      <c r="AE89">
        <v>5.8932974017481099</v>
      </c>
    </row>
    <row r="90" spans="1:31" x14ac:dyDescent="0.2">
      <c r="A90">
        <v>89</v>
      </c>
      <c r="B90">
        <v>756</v>
      </c>
      <c r="C90">
        <v>240</v>
      </c>
      <c r="D90">
        <v>0.33930962444735902</v>
      </c>
      <c r="E90">
        <v>104.918470817659</v>
      </c>
      <c r="F90">
        <v>2.19359587939263</v>
      </c>
      <c r="G90">
        <v>-1715.3340543738673</v>
      </c>
      <c r="H90">
        <v>-1434.8096155552862</v>
      </c>
      <c r="I90">
        <v>272.57876773898897</v>
      </c>
      <c r="J90">
        <v>141.53299539494299</v>
      </c>
      <c r="K90">
        <v>47.829443792860097</v>
      </c>
      <c r="L90">
        <v>1.5353099653577258E-4</v>
      </c>
      <c r="M90">
        <v>1.7724309188803326E-5</v>
      </c>
      <c r="N90" s="1">
        <v>3.5399907635368402E-6</v>
      </c>
      <c r="O90" s="1">
        <v>9.9407176993170802E-8</v>
      </c>
      <c r="P90" s="1">
        <v>-5.0923521724182503E-7</v>
      </c>
      <c r="Q90">
        <v>72.704356281480301</v>
      </c>
      <c r="R90">
        <v>6.5765350430924102E-2</v>
      </c>
      <c r="S90">
        <v>12.0569809123373</v>
      </c>
      <c r="T90">
        <v>0.151667147258569</v>
      </c>
      <c r="V90">
        <v>0.35915116160768501</v>
      </c>
      <c r="W90">
        <v>2.2874904497712199E-2</v>
      </c>
      <c r="X90">
        <v>4.7656051036902798E-2</v>
      </c>
      <c r="AA90">
        <v>0.51468535119853398</v>
      </c>
      <c r="AB90">
        <v>3.7838904523299202</v>
      </c>
      <c r="AC90">
        <v>4.39388790560219</v>
      </c>
      <c r="AD90">
        <v>5.7187261244278E-3</v>
      </c>
      <c r="AE90">
        <v>5.8933657560954398</v>
      </c>
    </row>
    <row r="91" spans="1:31" x14ac:dyDescent="0.2">
      <c r="A91">
        <v>90</v>
      </c>
      <c r="B91">
        <v>755</v>
      </c>
      <c r="C91">
        <v>240</v>
      </c>
      <c r="D91">
        <v>0.338598939843407</v>
      </c>
      <c r="E91">
        <v>104.705366553834</v>
      </c>
      <c r="F91">
        <v>2.1940535046874698</v>
      </c>
      <c r="G91">
        <v>-1711.5255002527965</v>
      </c>
      <c r="H91">
        <v>-1431.9552562008525</v>
      </c>
      <c r="I91">
        <v>271.91581389091402</v>
      </c>
      <c r="J91">
        <v>141.25333737937501</v>
      </c>
      <c r="K91">
        <v>47.722339646748502</v>
      </c>
      <c r="L91">
        <v>1.5356865557031099E-4</v>
      </c>
      <c r="M91">
        <v>1.7716591047145489E-5</v>
      </c>
      <c r="N91" s="1">
        <v>3.5378305736532099E-6</v>
      </c>
      <c r="O91" s="1">
        <v>9.9151793572163493E-8</v>
      </c>
      <c r="P91" s="1">
        <v>-5.0851954573006304E-7</v>
      </c>
      <c r="Q91">
        <v>72.659202219587897</v>
      </c>
      <c r="R91">
        <v>6.5899201035244104E-2</v>
      </c>
      <c r="S91">
        <v>12.081520189796599</v>
      </c>
      <c r="T91">
        <v>0.15226838674901599</v>
      </c>
      <c r="V91">
        <v>0.35961888888558802</v>
      </c>
      <c r="W91">
        <v>2.29214612296493E-2</v>
      </c>
      <c r="X91">
        <v>4.7753044228439602E-2</v>
      </c>
      <c r="AA91">
        <v>0.51573287766712395</v>
      </c>
      <c r="AB91">
        <v>3.7915917117378699</v>
      </c>
      <c r="AC91">
        <v>4.4028306778617603</v>
      </c>
      <c r="AD91">
        <v>5.7303653074119399E-3</v>
      </c>
      <c r="AE91">
        <v>5.8949309759132902</v>
      </c>
    </row>
    <row r="92" spans="1:31" x14ac:dyDescent="0.2">
      <c r="A92">
        <v>91</v>
      </c>
      <c r="B92">
        <v>754</v>
      </c>
      <c r="C92">
        <v>240</v>
      </c>
      <c r="D92">
        <v>0.33788687144039198</v>
      </c>
      <c r="E92">
        <v>104.493277843508</v>
      </c>
      <c r="F92">
        <v>2.1945112037477701</v>
      </c>
      <c r="G92">
        <v>-1707.7349921364639</v>
      </c>
      <c r="H92">
        <v>-1429.114606046973</v>
      </c>
      <c r="I92">
        <v>271.25579135422299</v>
      </c>
      <c r="J92">
        <v>140.975005955493</v>
      </c>
      <c r="K92">
        <v>47.615741339144499</v>
      </c>
      <c r="L92">
        <v>1.5360628880261746E-4</v>
      </c>
      <c r="M92">
        <v>1.7708865933556594E-5</v>
      </c>
      <c r="N92" s="1">
        <v>3.5356901599262198E-6</v>
      </c>
      <c r="O92" s="1">
        <v>9.8897644453223503E-8</v>
      </c>
      <c r="P92" s="1">
        <v>-5.0780788725172597E-7</v>
      </c>
      <c r="Q92">
        <v>72.614072901704702</v>
      </c>
      <c r="R92">
        <v>6.6032955826438103E-2</v>
      </c>
      <c r="S92">
        <v>12.1060419015169</v>
      </c>
      <c r="T92">
        <v>0.15287173166885701</v>
      </c>
      <c r="V92">
        <v>0.36008399960492699</v>
      </c>
      <c r="W92">
        <v>2.2967984635281501E-2</v>
      </c>
      <c r="X92">
        <v>4.7849967990175803E-2</v>
      </c>
      <c r="AA92">
        <v>0.51677965429385697</v>
      </c>
      <c r="AB92">
        <v>3.79928745841955</v>
      </c>
      <c r="AC92">
        <v>4.4117670486935703</v>
      </c>
      <c r="AD92">
        <v>5.74199615881973E-3</v>
      </c>
      <c r="AE92">
        <v>5.8965023994868604</v>
      </c>
    </row>
    <row r="93" spans="1:31" x14ac:dyDescent="0.2">
      <c r="A93">
        <v>92</v>
      </c>
      <c r="B93">
        <v>753</v>
      </c>
      <c r="C93">
        <v>240</v>
      </c>
      <c r="D93">
        <v>0.33717341519271199</v>
      </c>
      <c r="E93">
        <v>104.28219671216701</v>
      </c>
      <c r="F93">
        <v>2.1949689779766701</v>
      </c>
      <c r="G93">
        <v>-1703.9623893659625</v>
      </c>
      <c r="H93">
        <v>-1426.2875570940234</v>
      </c>
      <c r="I93">
        <v>270.59867687174301</v>
      </c>
      <c r="J93">
        <v>140.69799073275399</v>
      </c>
      <c r="K93">
        <v>47.509644900901797</v>
      </c>
      <c r="L93">
        <v>1.5364389591085727E-4</v>
      </c>
      <c r="M93">
        <v>1.7701133792247757E-5</v>
      </c>
      <c r="N93" s="1">
        <v>3.5335693665055999E-6</v>
      </c>
      <c r="O93" s="1">
        <v>9.8644719715346198E-8</v>
      </c>
      <c r="P93" s="1">
        <v>-5.07100209213708E-7</v>
      </c>
      <c r="Q93">
        <v>72.568968157374201</v>
      </c>
      <c r="R93">
        <v>6.6166615371990006E-2</v>
      </c>
      <c r="S93">
        <v>12.130546151535601</v>
      </c>
      <c r="T93">
        <v>0.15347719433063001</v>
      </c>
      <c r="V93">
        <v>0.36054648696355701</v>
      </c>
      <c r="W93">
        <v>2.3014474911994799E-2</v>
      </c>
      <c r="X93">
        <v>4.7946822733330202E-2</v>
      </c>
      <c r="AA93">
        <v>0.51782568551991304</v>
      </c>
      <c r="AB93">
        <v>3.8069777250258898</v>
      </c>
      <c r="AC93">
        <v>4.4206970560122301</v>
      </c>
      <c r="AD93">
        <v>5.7536187279978498E-3</v>
      </c>
      <c r="AE93">
        <v>5.8980800114924703</v>
      </c>
    </row>
    <row r="94" spans="1:31" x14ac:dyDescent="0.2">
      <c r="A94">
        <v>93</v>
      </c>
      <c r="B94">
        <v>752</v>
      </c>
      <c r="C94">
        <v>240</v>
      </c>
      <c r="D94">
        <v>0.33645856703896998</v>
      </c>
      <c r="E94">
        <v>104.072115265289</v>
      </c>
      <c r="F94">
        <v>2.1954268287807701</v>
      </c>
      <c r="G94">
        <v>-1700.2075526955523</v>
      </c>
      <c r="H94">
        <v>-1423.4740024243465</v>
      </c>
      <c r="I94">
        <v>269.94444741862702</v>
      </c>
      <c r="J94">
        <v>140.422281425026</v>
      </c>
      <c r="K94">
        <v>47.404046402715302</v>
      </c>
      <c r="L94">
        <v>1.5368147657137104E-4</v>
      </c>
      <c r="M94">
        <v>1.769339456725936E-5</v>
      </c>
      <c r="N94" s="1">
        <v>3.5314680389272299E-6</v>
      </c>
      <c r="O94" s="1">
        <v>9.8393009535737294E-8</v>
      </c>
      <c r="P94" s="1">
        <v>-5.0639647933381904E-7</v>
      </c>
      <c r="Q94">
        <v>72.523887816180405</v>
      </c>
      <c r="R94">
        <v>6.6300180239552697E-2</v>
      </c>
      <c r="S94">
        <v>12.155033043923201</v>
      </c>
      <c r="T94">
        <v>0.15408478711403401</v>
      </c>
      <c r="V94">
        <v>0.36100634409999299</v>
      </c>
      <c r="W94">
        <v>2.3060932257233598E-2</v>
      </c>
      <c r="X94">
        <v>4.8043608869246301E-2</v>
      </c>
      <c r="AA94">
        <v>0.51887097578779295</v>
      </c>
      <c r="AB94">
        <v>3.8146625442175002</v>
      </c>
      <c r="AC94">
        <v>4.4296207377434902</v>
      </c>
      <c r="AD94">
        <v>5.7652330643073301E-3</v>
      </c>
      <c r="AE94">
        <v>5.8996637965031304</v>
      </c>
    </row>
    <row r="95" spans="1:31" x14ac:dyDescent="0.2">
      <c r="A95">
        <v>94</v>
      </c>
      <c r="B95">
        <v>751</v>
      </c>
      <c r="C95">
        <v>240</v>
      </c>
      <c r="D95">
        <v>0.33574232290192102</v>
      </c>
      <c r="E95">
        <v>103.863025693406</v>
      </c>
      <c r="F95">
        <v>2.19588475756506</v>
      </c>
      <c r="G95">
        <v>-1696.4703443757294</v>
      </c>
      <c r="H95">
        <v>-1420.6738362738495</v>
      </c>
      <c r="I95">
        <v>269.29308021469501</v>
      </c>
      <c r="J95">
        <v>140.14786785690299</v>
      </c>
      <c r="K95">
        <v>47.298941957489703</v>
      </c>
      <c r="L95">
        <v>1.5371903045700023E-4</v>
      </c>
      <c r="M95">
        <v>1.7685648202525032E-5</v>
      </c>
      <c r="N95" s="1">
        <v>3.5293860243027399E-6</v>
      </c>
      <c r="O95" s="1">
        <v>9.8142504194355E-8</v>
      </c>
      <c r="P95" s="1">
        <v>-5.0569666565899498E-7</v>
      </c>
      <c r="Q95">
        <v>72.478831709007196</v>
      </c>
      <c r="R95">
        <v>6.6433650993072593E-2</v>
      </c>
      <c r="S95">
        <v>12.179502682070099</v>
      </c>
      <c r="T95">
        <v>0.154694522455703</v>
      </c>
      <c r="V95">
        <v>0.36146356407361502</v>
      </c>
      <c r="W95">
        <v>2.3107356867152901E-2</v>
      </c>
      <c r="X95">
        <v>4.8140326806581098E-2</v>
      </c>
      <c r="AA95">
        <v>0.51991552951098896</v>
      </c>
      <c r="AB95">
        <v>3.8223419484416801</v>
      </c>
      <c r="AC95">
        <v>4.4385381315654504</v>
      </c>
      <c r="AD95">
        <v>5.7768392167868304E-3</v>
      </c>
      <c r="AE95">
        <v>5.9012537389915902</v>
      </c>
    </row>
    <row r="96" spans="1:31" x14ac:dyDescent="0.2">
      <c r="A96">
        <v>95</v>
      </c>
      <c r="B96">
        <v>750</v>
      </c>
      <c r="C96">
        <v>240</v>
      </c>
      <c r="D96">
        <v>0.335024678688366</v>
      </c>
      <c r="E96">
        <v>103.65492026790101</v>
      </c>
      <c r="F96">
        <v>2.1963427657355501</v>
      </c>
      <c r="G96">
        <v>-1692.7506280823452</v>
      </c>
      <c r="H96">
        <v>-1417.8869539735795</v>
      </c>
      <c r="I96">
        <v>268.644552713449</v>
      </c>
      <c r="J96">
        <v>139.87473995837101</v>
      </c>
      <c r="K96">
        <v>47.1943277183275</v>
      </c>
      <c r="L96">
        <v>1.5375655723792435E-4</v>
      </c>
      <c r="M96">
        <v>1.7677894641838659E-5</v>
      </c>
      <c r="N96" s="1">
        <v>3.5273231711920198E-6</v>
      </c>
      <c r="O96" s="1">
        <v>9.7893194069614704E-8</v>
      </c>
      <c r="P96" s="1">
        <v>-5.05000736549603E-7</v>
      </c>
      <c r="Q96">
        <v>72.433799667396599</v>
      </c>
      <c r="R96">
        <v>6.6567028194773101E-2</v>
      </c>
      <c r="S96">
        <v>12.2039551690498</v>
      </c>
      <c r="T96">
        <v>0.15530641285484201</v>
      </c>
      <c r="V96">
        <v>0.36191813987461102</v>
      </c>
      <c r="W96">
        <v>2.31537489373091E-2</v>
      </c>
      <c r="X96">
        <v>4.8236976952742198E-2</v>
      </c>
      <c r="AA96">
        <v>0.52095935108951197</v>
      </c>
      <c r="AB96">
        <v>3.83001597004671</v>
      </c>
      <c r="AC96">
        <v>4.44744927504125</v>
      </c>
      <c r="AD96">
        <v>5.7884372343256097E-3</v>
      </c>
      <c r="AE96">
        <v>5.9028498233273998</v>
      </c>
    </row>
    <row r="97" spans="1:31" x14ac:dyDescent="0.2">
      <c r="A97">
        <v>96</v>
      </c>
      <c r="B97">
        <v>749</v>
      </c>
      <c r="C97">
        <v>240</v>
      </c>
      <c r="D97">
        <v>0.33430563028909699</v>
      </c>
      <c r="E97">
        <v>103.44779134065899</v>
      </c>
      <c r="F97">
        <v>2.19680085469937</v>
      </c>
      <c r="G97">
        <v>-1689.0482689095304</v>
      </c>
      <c r="H97">
        <v>-1415.1132519453163</v>
      </c>
      <c r="I97">
        <v>267.99884260060998</v>
      </c>
      <c r="J97">
        <v>139.60288776428399</v>
      </c>
      <c r="K97">
        <v>47.090199878320497</v>
      </c>
      <c r="L97">
        <v>1.5379405658100668E-4</v>
      </c>
      <c r="M97">
        <v>1.7670133828825926E-5</v>
      </c>
      <c r="N97" s="1">
        <v>3.5252793295918899E-6</v>
      </c>
      <c r="O97" s="1">
        <v>9.7645069637378605E-8</v>
      </c>
      <c r="P97" s="1">
        <v>-5.0430866067526605E-7</v>
      </c>
      <c r="Q97">
        <v>72.388791523714104</v>
      </c>
      <c r="R97">
        <v>6.6700312404721601E-2</v>
      </c>
      <c r="S97">
        <v>12.2283906075414</v>
      </c>
      <c r="T97">
        <v>0.155920470872245</v>
      </c>
      <c r="V97">
        <v>0.36237006442144298</v>
      </c>
      <c r="W97">
        <v>2.3200108662508101E-2</v>
      </c>
      <c r="X97">
        <v>4.8333559713575502E-2</v>
      </c>
      <c r="AA97">
        <v>0.52200244490649705</v>
      </c>
      <c r="AB97">
        <v>3.8376846412567298</v>
      </c>
      <c r="AC97">
        <v>4.45635420558986</v>
      </c>
      <c r="AD97">
        <v>5.80002716562515E-3</v>
      </c>
      <c r="AE97">
        <v>5.9044520337511397</v>
      </c>
    </row>
    <row r="98" spans="1:31" x14ac:dyDescent="0.2">
      <c r="A98">
        <v>97</v>
      </c>
      <c r="B98">
        <v>748</v>
      </c>
      <c r="C98">
        <v>240</v>
      </c>
      <c r="D98">
        <v>0.33358517357881101</v>
      </c>
      <c r="E98">
        <v>103.241631342676</v>
      </c>
      <c r="F98">
        <v>2.1972590258631501</v>
      </c>
      <c r="G98">
        <v>-1685.3631333459953</v>
      </c>
      <c r="H98">
        <v>-1412.352627682521</v>
      </c>
      <c r="I98">
        <v>267.35592779069998</v>
      </c>
      <c r="J98">
        <v>139.332301412661</v>
      </c>
      <c r="K98">
        <v>46.986554669911897</v>
      </c>
      <c r="L98">
        <v>1.5383152815109824E-4</v>
      </c>
      <c r="M98">
        <v>1.766236570703524E-5</v>
      </c>
      <c r="N98" s="1">
        <v>3.5232543509446302E-6</v>
      </c>
      <c r="O98" s="1">
        <v>9.7398121470402102E-8</v>
      </c>
      <c r="P98" s="1">
        <v>-5.03620407016303E-7</v>
      </c>
      <c r="Q98">
        <v>72.343807111007393</v>
      </c>
      <c r="R98">
        <v>6.6833504181061695E-2</v>
      </c>
      <c r="S98">
        <v>12.252809099870801</v>
      </c>
      <c r="T98">
        <v>0.156536709131156</v>
      </c>
      <c r="V98">
        <v>0.362819330561927</v>
      </c>
      <c r="W98">
        <v>2.32464362368872E-2</v>
      </c>
      <c r="X98">
        <v>4.8430075493532503E-2</v>
      </c>
      <c r="AA98">
        <v>0.523044815330029</v>
      </c>
      <c r="AB98">
        <v>3.8453479941852802</v>
      </c>
      <c r="AC98">
        <v>4.4652529605018296</v>
      </c>
      <c r="AD98">
        <v>5.8116090592198301E-3</v>
      </c>
      <c r="AE98">
        <v>5.9060603544407302</v>
      </c>
    </row>
    <row r="99" spans="1:31" x14ac:dyDescent="0.2">
      <c r="A99">
        <v>98</v>
      </c>
      <c r="B99">
        <v>747</v>
      </c>
      <c r="C99">
        <v>240</v>
      </c>
      <c r="D99">
        <v>0.33286330441601902</v>
      </c>
      <c r="E99">
        <v>103.036432783774</v>
      </c>
      <c r="F99">
        <v>2.1977172806354099</v>
      </c>
      <c r="G99">
        <v>-1681.6950892685954</v>
      </c>
      <c r="H99">
        <v>-1409.6049797469173</v>
      </c>
      <c r="I99">
        <v>266.71578642521001</v>
      </c>
      <c r="J99">
        <v>139.06297114413499</v>
      </c>
      <c r="K99">
        <v>46.883388364669202</v>
      </c>
      <c r="L99">
        <v>1.5386897160897376E-4</v>
      </c>
      <c r="M99">
        <v>1.7654590219800857E-5</v>
      </c>
      <c r="N99" s="1">
        <v>3.52124808808214E-6</v>
      </c>
      <c r="O99" s="1">
        <v>9.71523402361909E-8</v>
      </c>
      <c r="P99" s="1">
        <v>-5.0293594485196695E-7</v>
      </c>
      <c r="Q99">
        <v>72.298846263258795</v>
      </c>
      <c r="R99">
        <v>6.6966604079552197E-2</v>
      </c>
      <c r="S99">
        <v>12.2772107479278</v>
      </c>
      <c r="T99">
        <v>0.15715514031622599</v>
      </c>
      <c r="V99">
        <v>0.36326593107051802</v>
      </c>
      <c r="W99">
        <v>2.3292731853753301E-2</v>
      </c>
      <c r="X99">
        <v>4.8526524695337601E-2</v>
      </c>
      <c r="AA99">
        <v>0.52408646670951897</v>
      </c>
      <c r="AB99">
        <v>3.8530060608085499</v>
      </c>
      <c r="AC99">
        <v>4.4741455769081897</v>
      </c>
      <c r="AD99">
        <v>5.8231829634362896E-3</v>
      </c>
      <c r="AE99">
        <v>5.9076747694081497</v>
      </c>
    </row>
    <row r="100" spans="1:31" x14ac:dyDescent="0.2">
      <c r="A100">
        <v>99</v>
      </c>
      <c r="B100">
        <v>746</v>
      </c>
      <c r="C100">
        <v>240</v>
      </c>
      <c r="D100">
        <v>0.33214001864298798</v>
      </c>
      <c r="E100">
        <v>77.835388671740901</v>
      </c>
      <c r="F100">
        <v>2.20079351283113</v>
      </c>
      <c r="G100">
        <v>-1268.5872359189798</v>
      </c>
      <c r="H100">
        <v>-1063.4493267078262</v>
      </c>
      <c r="I100">
        <v>201.28333337698399</v>
      </c>
      <c r="J100">
        <v>105.03278503759999</v>
      </c>
      <c r="K100">
        <v>35.366965695756001</v>
      </c>
      <c r="L100">
        <v>1.5386782778485932E-4</v>
      </c>
      <c r="M100">
        <v>1.7630463829869152E-5</v>
      </c>
      <c r="N100" s="1">
        <v>2.6567027860362598E-6</v>
      </c>
      <c r="O100" s="1">
        <v>7.3169261363365903E-8</v>
      </c>
      <c r="P100" s="1">
        <v>-3.7913701391951701E-7</v>
      </c>
      <c r="Q100">
        <v>72.143408420212396</v>
      </c>
      <c r="R100">
        <v>8.8648622660582196E-2</v>
      </c>
      <c r="S100">
        <v>12.262122945316699</v>
      </c>
      <c r="T100">
        <v>0.207818094023309</v>
      </c>
      <c r="V100">
        <v>0.48107956719259998</v>
      </c>
      <c r="W100">
        <v>3.0834303534105299E-2</v>
      </c>
      <c r="X100">
        <v>6.4238132362766903E-2</v>
      </c>
      <c r="AA100">
        <v>0.51479425463845296</v>
      </c>
      <c r="AB100">
        <v>3.8149743067720001</v>
      </c>
      <c r="AC100">
        <v>4.4907920226835403</v>
      </c>
      <c r="AD100">
        <v>7.7085758835236896E-3</v>
      </c>
      <c r="AE100">
        <v>5.8935807547198804</v>
      </c>
    </row>
    <row r="101" spans="1:31" x14ac:dyDescent="0.2">
      <c r="A101">
        <v>100</v>
      </c>
      <c r="B101">
        <v>745</v>
      </c>
      <c r="C101">
        <v>240</v>
      </c>
      <c r="D101">
        <v>0.33141531208564601</v>
      </c>
      <c r="E101">
        <v>61.143487014039898</v>
      </c>
      <c r="F101">
        <v>2.2038424429551702</v>
      </c>
      <c r="G101">
        <v>-995.1783359099619</v>
      </c>
      <c r="H101">
        <v>-834.26916779475835</v>
      </c>
      <c r="I101">
        <v>158.04072888592401</v>
      </c>
      <c r="J101">
        <v>82.520452346530703</v>
      </c>
      <c r="K101">
        <v>27.7440373332911</v>
      </c>
      <c r="L101">
        <v>1.5415779890368218E-4</v>
      </c>
      <c r="M101">
        <v>1.7630299530303984E-5</v>
      </c>
      <c r="N101" s="1">
        <v>2.0896665140619299E-6</v>
      </c>
      <c r="O101" s="1">
        <v>5.74383911344123E-8</v>
      </c>
      <c r="P101" s="1">
        <v>-2.9787354961901699E-7</v>
      </c>
      <c r="Q101">
        <v>71.954092879275095</v>
      </c>
      <c r="R101">
        <v>0.112849304757788</v>
      </c>
      <c r="S101">
        <v>12.25566286308</v>
      </c>
      <c r="T101">
        <v>0.264137501944953</v>
      </c>
      <c r="V101">
        <v>0.61278469582224104</v>
      </c>
      <c r="W101">
        <v>3.9251932089646002E-2</v>
      </c>
      <c r="X101">
        <v>8.1774858520184096E-2</v>
      </c>
      <c r="AA101">
        <v>0.51473826828492897</v>
      </c>
      <c r="AB101">
        <v>3.7989025671485002</v>
      </c>
      <c r="AC101">
        <v>4.4615418157506799</v>
      </c>
      <c r="AD101">
        <v>9.8129830224087805E-3</v>
      </c>
      <c r="AE101">
        <v>5.8944503303035001</v>
      </c>
    </row>
    <row r="102" spans="1:31" x14ac:dyDescent="0.2">
      <c r="A102">
        <v>101</v>
      </c>
      <c r="B102">
        <v>744</v>
      </c>
      <c r="C102">
        <v>240</v>
      </c>
      <c r="D102">
        <v>0.33068918055350899</v>
      </c>
      <c r="E102">
        <v>29.483749132501298</v>
      </c>
      <c r="F102">
        <v>2.20619451163238</v>
      </c>
      <c r="G102">
        <v>-479.81148451775897</v>
      </c>
      <c r="H102">
        <v>-402.37311468245559</v>
      </c>
      <c r="I102">
        <v>76.132694130957404</v>
      </c>
      <c r="J102">
        <v>39.8197962076812</v>
      </c>
      <c r="K102">
        <v>13.364075097206999</v>
      </c>
      <c r="L102">
        <v>1.540568916770229E-4</v>
      </c>
      <c r="M102">
        <v>1.7613112670933028E-5</v>
      </c>
      <c r="N102" s="1">
        <v>1.00671836259919E-6</v>
      </c>
      <c r="O102" s="1">
        <v>2.7619378029516199E-8</v>
      </c>
      <c r="P102" s="1">
        <v>-1.4312339929663101E-7</v>
      </c>
      <c r="Q102">
        <v>71.790063050156206</v>
      </c>
      <c r="R102">
        <v>0.13622034092379101</v>
      </c>
      <c r="S102">
        <v>12.370538359278999</v>
      </c>
      <c r="T102">
        <v>0.25869836650091699</v>
      </c>
      <c r="V102">
        <v>0.60187623513415101</v>
      </c>
      <c r="W102">
        <v>8.1400774006495397E-2</v>
      </c>
      <c r="X102">
        <v>0.158691029111936</v>
      </c>
      <c r="AA102">
        <v>0.51498880255727397</v>
      </c>
      <c r="AB102">
        <v>3.7227008173507201</v>
      </c>
      <c r="AC102">
        <v>4.46219398981472</v>
      </c>
      <c r="AD102">
        <v>2.0350193501617798E-2</v>
      </c>
      <c r="AE102">
        <v>5.8822780416630804</v>
      </c>
    </row>
    <row r="103" spans="1:31" x14ac:dyDescent="0.2">
      <c r="A103">
        <v>102</v>
      </c>
      <c r="B103">
        <v>743</v>
      </c>
      <c r="C103">
        <v>240</v>
      </c>
      <c r="D103">
        <v>0.32996161983958999</v>
      </c>
      <c r="E103">
        <v>13.4510115375595</v>
      </c>
      <c r="F103">
        <v>2.2090421474675002</v>
      </c>
      <c r="G103">
        <v>-218.84336386134248</v>
      </c>
      <c r="H103">
        <v>-183.59645444164966</v>
      </c>
      <c r="I103">
        <v>34.686718909307501</v>
      </c>
      <c r="J103">
        <v>18.175477003869901</v>
      </c>
      <c r="K103">
        <v>6.0890696689423001</v>
      </c>
      <c r="L103">
        <v>1.540009479241949E-4</v>
      </c>
      <c r="M103">
        <v>1.7619972268447906E-5</v>
      </c>
      <c r="N103" s="1">
        <v>4.5921224045040301E-7</v>
      </c>
      <c r="O103" s="1">
        <v>1.2574195726619101E-8</v>
      </c>
      <c r="P103" s="1">
        <v>-6.5001465334183105E-8</v>
      </c>
      <c r="Q103">
        <v>71.492012690181397</v>
      </c>
      <c r="R103">
        <v>0.145261009771884</v>
      </c>
      <c r="S103">
        <v>12.6942712603497</v>
      </c>
      <c r="T103">
        <v>0.25124966069198801</v>
      </c>
      <c r="V103">
        <v>0.58928974121598698</v>
      </c>
      <c r="W103">
        <v>0.176805916161621</v>
      </c>
      <c r="X103">
        <v>0.15368706858687101</v>
      </c>
      <c r="AA103">
        <v>0.51994520049885595</v>
      </c>
      <c r="AB103">
        <v>3.57089451832086</v>
      </c>
      <c r="AC103">
        <v>4.4873120236488901</v>
      </c>
      <c r="AD103">
        <v>4.4606310709306901E-2</v>
      </c>
      <c r="AE103">
        <v>5.8746645998625597</v>
      </c>
    </row>
    <row r="104" spans="1:31" x14ac:dyDescent="0.2">
      <c r="A104">
        <v>103</v>
      </c>
      <c r="B104">
        <v>742</v>
      </c>
      <c r="C104">
        <v>240</v>
      </c>
      <c r="D104">
        <v>0.32923262572033701</v>
      </c>
      <c r="E104">
        <v>9.1125739635984999</v>
      </c>
      <c r="F104">
        <v>2.2115134453430301</v>
      </c>
      <c r="G104">
        <v>-148.22131291681404</v>
      </c>
      <c r="H104">
        <v>-124.39332858670339</v>
      </c>
      <c r="I104">
        <v>23.4723778063445</v>
      </c>
      <c r="J104">
        <v>12.319607208070799</v>
      </c>
      <c r="K104">
        <v>4.1205148369265299</v>
      </c>
      <c r="L104">
        <v>1.5402166976405445E-4</v>
      </c>
      <c r="M104">
        <v>1.7630459224422756E-5</v>
      </c>
      <c r="N104" s="1">
        <v>3.1132925695792801E-7</v>
      </c>
      <c r="O104" s="1">
        <v>8.5079171503999898E-9</v>
      </c>
      <c r="P104" s="1">
        <v>-4.3897988303435799E-8</v>
      </c>
      <c r="Q104">
        <v>71.224011007379204</v>
      </c>
      <c r="R104">
        <v>0.14464381600154899</v>
      </c>
      <c r="S104">
        <v>12.976821078944401</v>
      </c>
      <c r="T104">
        <v>0.24767481237563799</v>
      </c>
      <c r="V104">
        <v>0.58490352918821398</v>
      </c>
      <c r="W104">
        <v>0.258756475337586</v>
      </c>
      <c r="X104">
        <v>0.153144211949029</v>
      </c>
      <c r="AA104">
        <v>0.52550745933814202</v>
      </c>
      <c r="AB104">
        <v>3.44420538755588</v>
      </c>
      <c r="AC104">
        <v>4.5021882454446001</v>
      </c>
      <c r="AD104">
        <v>6.5843086969218298E-2</v>
      </c>
      <c r="AE104">
        <v>5.8723008895164401</v>
      </c>
    </row>
    <row r="105" spans="1:31" x14ac:dyDescent="0.2">
      <c r="A105">
        <v>104</v>
      </c>
      <c r="B105">
        <v>757</v>
      </c>
      <c r="C105">
        <v>225</v>
      </c>
      <c r="D105">
        <v>0.35603601417269398</v>
      </c>
      <c r="E105">
        <v>104.762454741358</v>
      </c>
      <c r="F105">
        <v>2.1939688254501801</v>
      </c>
      <c r="G105">
        <v>-1712.4972833814404</v>
      </c>
      <c r="H105">
        <v>-1433.4188086314252</v>
      </c>
      <c r="I105">
        <v>270.910522496738</v>
      </c>
      <c r="J105">
        <v>141.10195482570401</v>
      </c>
      <c r="K105">
        <v>47.750202065821199</v>
      </c>
      <c r="L105">
        <v>1.5085860174022966E-4</v>
      </c>
      <c r="M105">
        <v>1.7680822216603552E-5</v>
      </c>
      <c r="N105" s="1">
        <v>3.41669392062629E-6</v>
      </c>
      <c r="O105" s="1">
        <v>9.7104102419953701E-8</v>
      </c>
      <c r="P105" s="1">
        <v>-4.9795638491277997E-7</v>
      </c>
      <c r="Q105">
        <v>72.888708257683803</v>
      </c>
      <c r="R105">
        <v>6.5863290594277896E-2</v>
      </c>
      <c r="S105">
        <v>12.074936608951299</v>
      </c>
      <c r="T105">
        <v>0.15274769870193999</v>
      </c>
      <c r="V105">
        <v>0.35891696930241102</v>
      </c>
      <c r="W105">
        <v>2.2908970641487801E-2</v>
      </c>
      <c r="X105">
        <v>4.7727022169767E-2</v>
      </c>
      <c r="AA105">
        <v>0.51545183943347905</v>
      </c>
      <c r="AB105">
        <v>3.7895255602794502</v>
      </c>
      <c r="AC105">
        <v>4.4004314440524404</v>
      </c>
      <c r="AD105">
        <v>5.7272426603718904E-3</v>
      </c>
      <c r="AE105">
        <v>5.6770550955292203</v>
      </c>
    </row>
    <row r="106" spans="1:31" x14ac:dyDescent="0.2">
      <c r="A106">
        <v>105</v>
      </c>
      <c r="B106">
        <v>756</v>
      </c>
      <c r="C106">
        <v>225</v>
      </c>
      <c r="D106">
        <v>0.35534227274935698</v>
      </c>
      <c r="E106">
        <v>104.65820006187199</v>
      </c>
      <c r="F106">
        <v>2.1943747361752202</v>
      </c>
      <c r="G106">
        <v>-1710.4937731881132</v>
      </c>
      <c r="H106">
        <v>-1432.0941952811279</v>
      </c>
      <c r="I106">
        <v>270.51409212163901</v>
      </c>
      <c r="J106">
        <v>140.957713997475</v>
      </c>
      <c r="K106">
        <v>47.6938593652836</v>
      </c>
      <c r="L106">
        <v>1.5084390517113816E-4</v>
      </c>
      <c r="M106">
        <v>1.7672438856962614E-5</v>
      </c>
      <c r="N106" s="1">
        <v>3.4173757852873202E-6</v>
      </c>
      <c r="O106" s="1">
        <v>9.6935935203920394E-8</v>
      </c>
      <c r="P106" s="1">
        <v>-4.9751161451849999E-7</v>
      </c>
      <c r="Q106">
        <v>72.867091925860095</v>
      </c>
      <c r="R106">
        <v>6.5928899942105407E-2</v>
      </c>
      <c r="S106">
        <v>12.086964989387001</v>
      </c>
      <c r="T106">
        <v>0.15316693265199199</v>
      </c>
      <c r="V106">
        <v>0.35903418523670899</v>
      </c>
      <c r="W106">
        <v>2.29317912842101E-2</v>
      </c>
      <c r="X106">
        <v>4.77745651754398E-2</v>
      </c>
      <c r="AA106">
        <v>0.51596530389473605</v>
      </c>
      <c r="AB106">
        <v>3.7933004749297798</v>
      </c>
      <c r="AC106">
        <v>4.4048149091753404</v>
      </c>
      <c r="AD106">
        <v>5.7329478210523203E-3</v>
      </c>
      <c r="AE106">
        <v>5.6772930746413603</v>
      </c>
    </row>
    <row r="107" spans="1:31" x14ac:dyDescent="0.2">
      <c r="A107">
        <v>106</v>
      </c>
      <c r="B107">
        <v>755</v>
      </c>
      <c r="C107">
        <v>225</v>
      </c>
      <c r="D107">
        <v>0.354647181831445</v>
      </c>
      <c r="E107">
        <v>104.449660096749</v>
      </c>
      <c r="F107">
        <v>2.1948299966149598</v>
      </c>
      <c r="G107">
        <v>-1706.7630311813841</v>
      </c>
      <c r="H107">
        <v>-1429.3015755541001</v>
      </c>
      <c r="I107">
        <v>269.86476256118499</v>
      </c>
      <c r="J107">
        <v>140.68412665889599</v>
      </c>
      <c r="K107">
        <v>47.5889523370099</v>
      </c>
      <c r="L107">
        <v>1.5087973488307134E-4</v>
      </c>
      <c r="M107">
        <v>1.7664704901839538E-5</v>
      </c>
      <c r="N107" s="1">
        <v>3.4153203843830998E-6</v>
      </c>
      <c r="O107" s="1">
        <v>9.6689493095908602E-8</v>
      </c>
      <c r="P107" s="1">
        <v>-4.9682029178292703E-7</v>
      </c>
      <c r="Q107">
        <v>72.822856690185304</v>
      </c>
      <c r="R107">
        <v>6.6060530916125806E-2</v>
      </c>
      <c r="S107">
        <v>12.1110973346258</v>
      </c>
      <c r="T107">
        <v>0.15376750371966499</v>
      </c>
      <c r="V107">
        <v>0.35948578632004702</v>
      </c>
      <c r="W107">
        <v>2.2977575970825202E-2</v>
      </c>
      <c r="X107">
        <v>4.7869949939224297E-2</v>
      </c>
      <c r="AA107">
        <v>0.51699545934358704</v>
      </c>
      <c r="AB107">
        <v>3.80087402517406</v>
      </c>
      <c r="AC107">
        <v>4.4136093843959401</v>
      </c>
      <c r="AD107">
        <v>5.7443939927057904E-3</v>
      </c>
      <c r="AE107">
        <v>5.6786613654166302</v>
      </c>
    </row>
    <row r="108" spans="1:31" x14ac:dyDescent="0.2">
      <c r="A108">
        <v>107</v>
      </c>
      <c r="B108">
        <v>754</v>
      </c>
      <c r="C108">
        <v>225</v>
      </c>
      <c r="D108">
        <v>0.35395073747748601</v>
      </c>
      <c r="E108">
        <v>104.242096378206</v>
      </c>
      <c r="F108">
        <v>2.1952853664641201</v>
      </c>
      <c r="G108">
        <v>-1703.0496473549038</v>
      </c>
      <c r="H108">
        <v>-1426.5221358283659</v>
      </c>
      <c r="I108">
        <v>269.218236408059</v>
      </c>
      <c r="J108">
        <v>140.411811094115</v>
      </c>
      <c r="K108">
        <v>47.484531155102502</v>
      </c>
      <c r="L108">
        <v>1.5091551750346814E-4</v>
      </c>
      <c r="M108">
        <v>1.7656962587318195E-5</v>
      </c>
      <c r="N108" s="1">
        <v>3.4132826019468298E-6</v>
      </c>
      <c r="O108" s="1">
        <v>9.6444202882408502E-8</v>
      </c>
      <c r="P108" s="1">
        <v>-4.9613264617244198E-7</v>
      </c>
      <c r="Q108">
        <v>72.778646997266506</v>
      </c>
      <c r="R108">
        <v>6.6192068653012401E-2</v>
      </c>
      <c r="S108">
        <v>12.1352125863897</v>
      </c>
      <c r="T108">
        <v>0.15437017912974099</v>
      </c>
      <c r="V108">
        <v>0.35993479123628802</v>
      </c>
      <c r="W108">
        <v>2.30233282271331E-2</v>
      </c>
      <c r="X108">
        <v>4.7965267139868102E-2</v>
      </c>
      <c r="AA108">
        <v>0.51802488511052303</v>
      </c>
      <c r="AB108">
        <v>3.8084422109050098</v>
      </c>
      <c r="AC108">
        <v>4.4223976302950403</v>
      </c>
      <c r="AD108">
        <v>5.7558320567824804E-3</v>
      </c>
      <c r="AE108">
        <v>5.6800342235903001</v>
      </c>
    </row>
    <row r="109" spans="1:31" x14ac:dyDescent="0.2">
      <c r="A109">
        <v>108</v>
      </c>
      <c r="B109">
        <v>753</v>
      </c>
      <c r="C109">
        <v>225</v>
      </c>
      <c r="D109">
        <v>0.35325293573064698</v>
      </c>
      <c r="E109">
        <v>104.035501380783</v>
      </c>
      <c r="F109">
        <v>2.1957408473804501</v>
      </c>
      <c r="G109">
        <v>-1699.3534888450656</v>
      </c>
      <c r="H109">
        <v>-1423.7557741877608</v>
      </c>
      <c r="I109">
        <v>268.57449169936598</v>
      </c>
      <c r="J109">
        <v>140.14075749923799</v>
      </c>
      <c r="K109">
        <v>47.380592069823997</v>
      </c>
      <c r="L109">
        <v>1.5095125248370996E-4</v>
      </c>
      <c r="M109">
        <v>1.7649211843729401E-5</v>
      </c>
      <c r="N109" s="1">
        <v>3.4112622888324702E-6</v>
      </c>
      <c r="O109" s="1">
        <v>9.6200055253765395E-8</v>
      </c>
      <c r="P109" s="1">
        <v>-4.95448646639157E-7</v>
      </c>
      <c r="Q109">
        <v>72.734462700680695</v>
      </c>
      <c r="R109">
        <v>6.63235136892871E-2</v>
      </c>
      <c r="S109">
        <v>12.159310843041</v>
      </c>
      <c r="T109">
        <v>0.154974971097286</v>
      </c>
      <c r="V109">
        <v>0.36038119303755101</v>
      </c>
      <c r="W109">
        <v>2.3069048239749999E-2</v>
      </c>
      <c r="X109">
        <v>4.8060517166155101E-2</v>
      </c>
      <c r="AA109">
        <v>0.51905358539441004</v>
      </c>
      <c r="AB109">
        <v>3.8160050629920801</v>
      </c>
      <c r="AC109">
        <v>4.4311796827185201</v>
      </c>
      <c r="AD109">
        <v>5.7672620599365301E-3</v>
      </c>
      <c r="AE109">
        <v>5.68141161988326</v>
      </c>
    </row>
    <row r="110" spans="1:31" x14ac:dyDescent="0.2">
      <c r="A110">
        <v>109</v>
      </c>
      <c r="B110">
        <v>752</v>
      </c>
      <c r="C110">
        <v>225</v>
      </c>
      <c r="D110">
        <v>0.35255377261864101</v>
      </c>
      <c r="E110">
        <v>103.829867656074</v>
      </c>
      <c r="F110">
        <v>2.1961964410273098</v>
      </c>
      <c r="G110">
        <v>-1695.6744241468441</v>
      </c>
      <c r="H110">
        <v>-1421.0023897601764</v>
      </c>
      <c r="I110">
        <v>267.93350669333</v>
      </c>
      <c r="J110">
        <v>139.87095617045</v>
      </c>
      <c r="K110">
        <v>47.2771313696813</v>
      </c>
      <c r="L110">
        <v>1.509869392689538E-4</v>
      </c>
      <c r="M110">
        <v>1.7641452601030624E-5</v>
      </c>
      <c r="N110" s="1">
        <v>3.4092592971007598E-6</v>
      </c>
      <c r="O110" s="1">
        <v>9.5957040990421798E-8</v>
      </c>
      <c r="P110" s="1">
        <v>-4.9476826241154003E-7</v>
      </c>
      <c r="Q110">
        <v>72.690303654882996</v>
      </c>
      <c r="R110">
        <v>6.6454866559743198E-2</v>
      </c>
      <c r="S110">
        <v>12.183392202625299</v>
      </c>
      <c r="T110">
        <v>0.155581891898431</v>
      </c>
      <c r="V110">
        <v>0.36082498470794</v>
      </c>
      <c r="W110">
        <v>2.3114736194691E-2</v>
      </c>
      <c r="X110">
        <v>4.8155700405616703E-2</v>
      </c>
      <c r="AA110">
        <v>0.52008156438058695</v>
      </c>
      <c r="AB110">
        <v>3.8235626122052402</v>
      </c>
      <c r="AC110">
        <v>4.4399555773967396</v>
      </c>
      <c r="AD110">
        <v>5.7786840486716302E-3</v>
      </c>
      <c r="AE110">
        <v>5.6827935246939099</v>
      </c>
    </row>
    <row r="111" spans="1:31" x14ac:dyDescent="0.2">
      <c r="A111">
        <v>110</v>
      </c>
      <c r="B111">
        <v>751</v>
      </c>
      <c r="C111">
        <v>225</v>
      </c>
      <c r="D111">
        <v>0.35185324415369101</v>
      </c>
      <c r="E111">
        <v>103.62518783300899</v>
      </c>
      <c r="F111">
        <v>2.19665214906993</v>
      </c>
      <c r="G111">
        <v>-1692.0123231178729</v>
      </c>
      <c r="H111">
        <v>-1418.2618827217584</v>
      </c>
      <c r="I111">
        <v>267.29525987024698</v>
      </c>
      <c r="J111">
        <v>139.60239750443</v>
      </c>
      <c r="K111">
        <v>47.174145381590897</v>
      </c>
      <c r="L111">
        <v>1.5102257729946895E-4</v>
      </c>
      <c r="M111">
        <v>1.763368478895432E-5</v>
      </c>
      <c r="N111" s="1">
        <v>3.40727348009826E-6</v>
      </c>
      <c r="O111" s="1">
        <v>9.5715150964385996E-8</v>
      </c>
      <c r="P111" s="1">
        <v>-4.9409146300471502E-7</v>
      </c>
      <c r="Q111">
        <v>72.646169715374995</v>
      </c>
      <c r="R111">
        <v>6.6586127796647201E-2</v>
      </c>
      <c r="S111">
        <v>12.207456762725499</v>
      </c>
      <c r="T111">
        <v>0.15619095386835299</v>
      </c>
      <c r="V111">
        <v>0.36126615915934601</v>
      </c>
      <c r="W111">
        <v>2.31603922770919E-2</v>
      </c>
      <c r="X111">
        <v>4.8250817243953997E-2</v>
      </c>
      <c r="AA111">
        <v>0.52110882623461596</v>
      </c>
      <c r="AB111">
        <v>3.8311148891690801</v>
      </c>
      <c r="AC111">
        <v>4.4487253498912196</v>
      </c>
      <c r="AD111">
        <v>5.7900980692716401E-3</v>
      </c>
      <c r="AE111">
        <v>5.6841799081898099</v>
      </c>
    </row>
    <row r="112" spans="1:31" x14ac:dyDescent="0.2">
      <c r="A112">
        <v>111</v>
      </c>
      <c r="B112">
        <v>750</v>
      </c>
      <c r="C112">
        <v>225</v>
      </c>
      <c r="D112">
        <v>0.35115134633240402</v>
      </c>
      <c r="E112">
        <v>101.547422181698</v>
      </c>
      <c r="F112">
        <v>2.1976309541731101</v>
      </c>
      <c r="G112">
        <v>-1657.2830693609801</v>
      </c>
      <c r="H112">
        <v>-1389.5766753098894</v>
      </c>
      <c r="I112">
        <v>261.649214730089</v>
      </c>
      <c r="J112">
        <v>136.755524227254</v>
      </c>
      <c r="K112">
        <v>46.207677403190999</v>
      </c>
      <c r="L112">
        <v>1.507301069089632E-4</v>
      </c>
      <c r="M112">
        <v>1.7595453730370075E-5</v>
      </c>
      <c r="N112" s="1">
        <v>3.3322557371565801E-6</v>
      </c>
      <c r="O112" s="1">
        <v>9.3452316045000402E-8</v>
      </c>
      <c r="P112" s="1">
        <v>-4.8302912680404598E-7</v>
      </c>
      <c r="Q112">
        <v>72.618392391005202</v>
      </c>
      <c r="R112">
        <v>6.7948549079408005E-2</v>
      </c>
      <c r="S112">
        <v>12.213989909214099</v>
      </c>
      <c r="T112">
        <v>0.159700903458491</v>
      </c>
      <c r="V112">
        <v>0.36837539057880497</v>
      </c>
      <c r="W112">
        <v>2.3634277940659101E-2</v>
      </c>
      <c r="X112">
        <v>4.9238079043060302E-2</v>
      </c>
      <c r="AA112">
        <v>0.50852763888902797</v>
      </c>
      <c r="AB112">
        <v>3.8047968516939199</v>
      </c>
      <c r="AC112">
        <v>4.5132058458235704</v>
      </c>
      <c r="AD112">
        <v>5.9085694851626997E-3</v>
      </c>
      <c r="AE112">
        <v>5.6662815937884403</v>
      </c>
    </row>
    <row r="113" spans="1:31" x14ac:dyDescent="0.2">
      <c r="A113">
        <v>112</v>
      </c>
      <c r="B113">
        <v>749</v>
      </c>
      <c r="C113">
        <v>225</v>
      </c>
      <c r="D113">
        <v>0.350448075135744</v>
      </c>
      <c r="E113">
        <v>85.938320691781996</v>
      </c>
      <c r="F113">
        <v>2.19975071657545</v>
      </c>
      <c r="G113">
        <v>-1401.1997185447187</v>
      </c>
      <c r="H113">
        <v>-1175.0860333357205</v>
      </c>
      <c r="I113">
        <v>221.21379954898799</v>
      </c>
      <c r="J113">
        <v>115.71208336667701</v>
      </c>
      <c r="K113">
        <v>39.067299782754397</v>
      </c>
      <c r="L113">
        <v>1.5062588022733556E-4</v>
      </c>
      <c r="M113">
        <v>1.7567914362952893E-5</v>
      </c>
      <c r="N113" s="1">
        <v>2.8163603533970801E-6</v>
      </c>
      <c r="O113" s="1">
        <v>7.8846636356081396E-8</v>
      </c>
      <c r="P113" s="1">
        <v>-4.0794486162708897E-7</v>
      </c>
      <c r="Q113">
        <v>72.516694631458606</v>
      </c>
      <c r="R113">
        <v>8.0290142330657593E-2</v>
      </c>
      <c r="S113">
        <v>12.2127135966177</v>
      </c>
      <c r="T113">
        <v>0.18875040954455799</v>
      </c>
      <c r="V113">
        <v>0.43524543368485602</v>
      </c>
      <c r="W113">
        <v>2.79270060280459E-2</v>
      </c>
      <c r="X113">
        <v>5.8181262558470698E-2</v>
      </c>
      <c r="AA113">
        <v>0.50452621555384203</v>
      </c>
      <c r="AB113">
        <v>3.7718727152712899</v>
      </c>
      <c r="AC113">
        <v>4.5444122508001801</v>
      </c>
      <c r="AD113">
        <v>6.9817515070070297E-3</v>
      </c>
      <c r="AE113">
        <v>5.6524045846447599</v>
      </c>
    </row>
    <row r="114" spans="1:31" x14ac:dyDescent="0.2">
      <c r="A114">
        <v>113</v>
      </c>
      <c r="B114">
        <v>748</v>
      </c>
      <c r="C114">
        <v>225</v>
      </c>
      <c r="D114">
        <v>0.34974342652891699</v>
      </c>
      <c r="E114">
        <v>66.329226411467801</v>
      </c>
      <c r="F114">
        <v>2.2028593153490701</v>
      </c>
      <c r="G114">
        <v>-1080.0058545409954</v>
      </c>
      <c r="H114">
        <v>-905.76025232550535</v>
      </c>
      <c r="I114">
        <v>170.63663733583701</v>
      </c>
      <c r="J114">
        <v>89.318733696840397</v>
      </c>
      <c r="K114">
        <v>30.110514071098098</v>
      </c>
      <c r="L114">
        <v>1.5085265763644008E-4</v>
      </c>
      <c r="M114">
        <v>1.7563291039232866E-5</v>
      </c>
      <c r="N114" s="1">
        <v>2.1753854348882299E-6</v>
      </c>
      <c r="O114" s="1">
        <v>6.0784462388647706E-8</v>
      </c>
      <c r="P114" s="1">
        <v>-3.1472522735659802E-7</v>
      </c>
      <c r="Q114">
        <v>72.331686851335704</v>
      </c>
      <c r="R114">
        <v>0.104026541138854</v>
      </c>
      <c r="S114">
        <v>12.2069846873628</v>
      </c>
      <c r="T114">
        <v>0.24416364306381799</v>
      </c>
      <c r="V114">
        <v>0.56426700149532305</v>
      </c>
      <c r="W114">
        <v>3.6183144743938002E-2</v>
      </c>
      <c r="X114">
        <v>7.5381551549926901E-2</v>
      </c>
      <c r="AA114">
        <v>0.50888102534259805</v>
      </c>
      <c r="AB114">
        <v>3.7481197994581099</v>
      </c>
      <c r="AC114">
        <v>4.5210201496353601</v>
      </c>
      <c r="AD114">
        <v>9.0457861859794993E-3</v>
      </c>
      <c r="AE114">
        <v>5.6502398186875498</v>
      </c>
    </row>
    <row r="115" spans="1:31" x14ac:dyDescent="0.2">
      <c r="A115">
        <v>114</v>
      </c>
      <c r="B115">
        <v>747</v>
      </c>
      <c r="C115">
        <v>225</v>
      </c>
      <c r="D115">
        <v>0.34903739646130499</v>
      </c>
      <c r="E115">
        <v>37.767452113797198</v>
      </c>
      <c r="F115">
        <v>2.2056014856158401</v>
      </c>
      <c r="G115">
        <v>-614.54499965247737</v>
      </c>
      <c r="H115">
        <v>-515.51928334020022</v>
      </c>
      <c r="I115">
        <v>97.069760635472306</v>
      </c>
      <c r="J115">
        <v>50.878523177152502</v>
      </c>
      <c r="K115">
        <v>17.123425224413001</v>
      </c>
      <c r="L115">
        <v>1.508349867548442E-4</v>
      </c>
      <c r="M115">
        <v>1.7546744614809947E-5</v>
      </c>
      <c r="N115" s="1">
        <v>1.23769762236319E-6</v>
      </c>
      <c r="O115" s="1">
        <v>3.4519511235392303E-8</v>
      </c>
      <c r="P115" s="1">
        <v>-1.7869181339581001E-7</v>
      </c>
      <c r="Q115">
        <v>72.162036317631802</v>
      </c>
      <c r="R115">
        <v>0.13057043424951301</v>
      </c>
      <c r="S115">
        <v>12.270346939980699</v>
      </c>
      <c r="T115">
        <v>0.26283731536517901</v>
      </c>
      <c r="V115">
        <v>0.60895248214888698</v>
      </c>
      <c r="W115">
        <v>6.3546780777474096E-2</v>
      </c>
      <c r="X115">
        <v>0.12695319244651801</v>
      </c>
      <c r="AA115">
        <v>0.51451756552130601</v>
      </c>
      <c r="AB115">
        <v>3.6875150990117298</v>
      </c>
      <c r="AC115">
        <v>4.5173871924390898</v>
      </c>
      <c r="AD115">
        <v>1.58866951943555E-2</v>
      </c>
      <c r="AE115">
        <v>5.6394499852332496</v>
      </c>
    </row>
    <row r="116" spans="1:31" x14ac:dyDescent="0.2">
      <c r="A116">
        <v>115</v>
      </c>
      <c r="B116">
        <v>746</v>
      </c>
      <c r="C116">
        <v>225</v>
      </c>
      <c r="D116">
        <v>0.34832998086640898</v>
      </c>
      <c r="E116">
        <v>17.5483476510916</v>
      </c>
      <c r="F116">
        <v>2.2082922194086398</v>
      </c>
      <c r="G116">
        <v>-285.50446116584362</v>
      </c>
      <c r="H116">
        <v>-239.6006413148362</v>
      </c>
      <c r="I116">
        <v>45.041279351427598</v>
      </c>
      <c r="J116">
        <v>23.653212183048101</v>
      </c>
      <c r="K116">
        <v>7.9465695241143797</v>
      </c>
      <c r="L116">
        <v>1.5065067766589741E-4</v>
      </c>
      <c r="M116">
        <v>1.753468017991637E-5</v>
      </c>
      <c r="N116" s="1">
        <v>5.7422241219662804E-7</v>
      </c>
      <c r="O116" s="1">
        <v>1.5985897753635999E-8</v>
      </c>
      <c r="P116" s="1">
        <v>-8.2589723511858994E-8</v>
      </c>
      <c r="Q116">
        <v>71.930377695728893</v>
      </c>
      <c r="R116">
        <v>0.15274592352239</v>
      </c>
      <c r="S116">
        <v>12.5060943525087</v>
      </c>
      <c r="T116">
        <v>0.25045827606964199</v>
      </c>
      <c r="V116">
        <v>0.583573390185533</v>
      </c>
      <c r="W116">
        <v>0.13634522338455299</v>
      </c>
      <c r="X116">
        <v>0.16036990282892799</v>
      </c>
      <c r="AA116">
        <v>0.52167678723939503</v>
      </c>
      <c r="AB116">
        <v>3.55732014751197</v>
      </c>
      <c r="AC116">
        <v>4.5422859664040596</v>
      </c>
      <c r="AD116">
        <v>3.4191253326427598E-2</v>
      </c>
      <c r="AE116">
        <v>5.6245610812894702</v>
      </c>
    </row>
    <row r="117" spans="1:31" x14ac:dyDescent="0.2">
      <c r="A117">
        <v>116</v>
      </c>
      <c r="B117">
        <v>745</v>
      </c>
      <c r="C117">
        <v>225</v>
      </c>
      <c r="D117">
        <v>0.347621175661739</v>
      </c>
      <c r="E117">
        <v>10.667352665075001</v>
      </c>
      <c r="F117">
        <v>2.21089714485769</v>
      </c>
      <c r="G117">
        <v>-173.50688617324286</v>
      </c>
      <c r="H117">
        <v>-145.66385754547903</v>
      </c>
      <c r="I117">
        <v>27.346686271928299</v>
      </c>
      <c r="J117">
        <v>14.385802553206201</v>
      </c>
      <c r="K117">
        <v>4.8248977524287699</v>
      </c>
      <c r="L117">
        <v>1.5063685929478439E-4</v>
      </c>
      <c r="M117">
        <v>1.754341234498988E-5</v>
      </c>
      <c r="N117" s="1">
        <v>3.4920198798722398E-7</v>
      </c>
      <c r="O117" s="1">
        <v>9.70253858748947E-9</v>
      </c>
      <c r="P117" s="1">
        <v>-5.0020691698926297E-8</v>
      </c>
      <c r="Q117">
        <v>71.652871550301299</v>
      </c>
      <c r="R117">
        <v>0.15207485547954799</v>
      </c>
      <c r="S117">
        <v>12.800285702566599</v>
      </c>
      <c r="T117">
        <v>0.24671292564841099</v>
      </c>
      <c r="V117">
        <v>0.57909657463636699</v>
      </c>
      <c r="W117">
        <v>0.222143811674057</v>
      </c>
      <c r="X117">
        <v>0.15983434679084499</v>
      </c>
      <c r="AA117">
        <v>0.52781336883205598</v>
      </c>
      <c r="AB117">
        <v>3.4212696683188701</v>
      </c>
      <c r="AC117">
        <v>4.5612123915915204</v>
      </c>
      <c r="AD117">
        <v>5.6246382662770801E-2</v>
      </c>
      <c r="AE117">
        <v>5.6204384214974601</v>
      </c>
    </row>
    <row r="118" spans="1:31" x14ac:dyDescent="0.2">
      <c r="A118">
        <v>117</v>
      </c>
      <c r="B118">
        <v>757</v>
      </c>
      <c r="C118">
        <v>210</v>
      </c>
      <c r="D118">
        <v>0.37205309906324402</v>
      </c>
      <c r="E118">
        <v>104.522327660833</v>
      </c>
      <c r="F118">
        <v>2.19490535790835</v>
      </c>
      <c r="G118">
        <v>-1707.9818846025944</v>
      </c>
      <c r="H118">
        <v>-1430.9915219782017</v>
      </c>
      <c r="I118">
        <v>268.883524364793</v>
      </c>
      <c r="J118">
        <v>140.54800792336599</v>
      </c>
      <c r="K118">
        <v>47.620425766529799</v>
      </c>
      <c r="L118">
        <v>1.4805386650656083E-4</v>
      </c>
      <c r="M118">
        <v>1.7610981603380602E-5</v>
      </c>
      <c r="N118" s="1">
        <v>3.2936938925154998E-6</v>
      </c>
      <c r="O118" s="1">
        <v>9.4555578156206396E-8</v>
      </c>
      <c r="P118" s="1">
        <v>-4.85400863548129E-7</v>
      </c>
      <c r="Q118">
        <v>73.056161022168595</v>
      </c>
      <c r="R118">
        <v>6.6014603333270194E-2</v>
      </c>
      <c r="S118">
        <v>12.102677277766499</v>
      </c>
      <c r="T118">
        <v>0.15422488191627201</v>
      </c>
      <c r="V118">
        <v>0.35872811146830902</v>
      </c>
      <c r="W118">
        <v>2.2961601159398201E-2</v>
      </c>
      <c r="X118">
        <v>4.7836669082080202E-2</v>
      </c>
      <c r="AA118">
        <v>0.51663602608646197</v>
      </c>
      <c r="AB118">
        <v>3.7982315251171199</v>
      </c>
      <c r="AC118">
        <v>4.41054088936772</v>
      </c>
      <c r="AD118">
        <v>5.74040028984948E-3</v>
      </c>
      <c r="AE118">
        <v>5.4602469922442598</v>
      </c>
    </row>
    <row r="119" spans="1:31" x14ac:dyDescent="0.2">
      <c r="A119">
        <v>118</v>
      </c>
      <c r="B119">
        <v>756</v>
      </c>
      <c r="C119">
        <v>210</v>
      </c>
      <c r="D119">
        <v>0.371374921051355</v>
      </c>
      <c r="E119">
        <v>104.370077242788</v>
      </c>
      <c r="F119">
        <v>2.1953304909084101</v>
      </c>
      <c r="G119">
        <v>-1705.1854269588503</v>
      </c>
      <c r="H119">
        <v>-1428.9894639997212</v>
      </c>
      <c r="I119">
        <v>268.372893124548</v>
      </c>
      <c r="J119">
        <v>140.344611244134</v>
      </c>
      <c r="K119">
        <v>47.541851978560302</v>
      </c>
      <c r="L119">
        <v>1.480638207246094E-4</v>
      </c>
      <c r="M119">
        <v>1.7603022370581106E-5</v>
      </c>
      <c r="N119" s="1">
        <v>3.2930954137476299E-6</v>
      </c>
      <c r="O119" s="1">
        <v>9.4356915243082202E-8</v>
      </c>
      <c r="P119" s="1">
        <v>-4.8485888803530799E-7</v>
      </c>
      <c r="Q119">
        <v>73.024094781099507</v>
      </c>
      <c r="R119">
        <v>6.6110902495061796E-2</v>
      </c>
      <c r="S119">
        <v>12.120332124095601</v>
      </c>
      <c r="T119">
        <v>0.154731947152975</v>
      </c>
      <c r="V119">
        <v>0.358997581398252</v>
      </c>
      <c r="W119">
        <v>2.2995096520021099E-2</v>
      </c>
      <c r="X119">
        <v>4.7906451083379098E-2</v>
      </c>
      <c r="AA119">
        <v>0.517389671700481</v>
      </c>
      <c r="AB119">
        <v>3.8037722160201701</v>
      </c>
      <c r="AC119">
        <v>4.4169747898873597</v>
      </c>
      <c r="AD119">
        <v>5.7487741300050804E-3</v>
      </c>
      <c r="AE119">
        <v>5.4609456644170198</v>
      </c>
    </row>
    <row r="120" spans="1:31" x14ac:dyDescent="0.2">
      <c r="A120">
        <v>119</v>
      </c>
      <c r="B120">
        <v>755</v>
      </c>
      <c r="C120">
        <v>210</v>
      </c>
      <c r="D120">
        <v>0.37069542381948001</v>
      </c>
      <c r="E120">
        <v>104.166422811684</v>
      </c>
      <c r="F120">
        <v>2.1957816713675902</v>
      </c>
      <c r="G120">
        <v>-1701.5381619287348</v>
      </c>
      <c r="H120">
        <v>-1426.2630672212942</v>
      </c>
      <c r="I120">
        <v>267.73826261483299</v>
      </c>
      <c r="J120">
        <v>140.077554837062</v>
      </c>
      <c r="K120">
        <v>47.439335235368098</v>
      </c>
      <c r="L120">
        <v>1.4809854537731331E-4</v>
      </c>
      <c r="M120">
        <v>1.7595344483097684E-5</v>
      </c>
      <c r="N120" s="1">
        <v>3.29117650536674E-6</v>
      </c>
      <c r="O120" s="1">
        <v>9.4120429917576001E-8</v>
      </c>
      <c r="P120" s="1">
        <v>-4.8419834692215798E-7</v>
      </c>
      <c r="Q120">
        <v>72.980780231087806</v>
      </c>
      <c r="R120">
        <v>6.6240155068722301E-2</v>
      </c>
      <c r="S120">
        <v>12.1440284292669</v>
      </c>
      <c r="T120">
        <v>0.15533143962872101</v>
      </c>
      <c r="V120">
        <v>0.359432228833999</v>
      </c>
      <c r="W120">
        <v>2.30400539369463E-2</v>
      </c>
      <c r="X120">
        <v>4.8000112368640498E-2</v>
      </c>
      <c r="AA120">
        <v>0.51840121358130198</v>
      </c>
      <c r="AB120">
        <v>3.8112089220699001</v>
      </c>
      <c r="AC120">
        <v>4.4256103603884203</v>
      </c>
      <c r="AD120">
        <v>5.7600134842363503E-3</v>
      </c>
      <c r="AE120">
        <v>5.4621668402842802</v>
      </c>
    </row>
    <row r="121" spans="1:31" x14ac:dyDescent="0.2">
      <c r="A121">
        <v>120</v>
      </c>
      <c r="B121">
        <v>754</v>
      </c>
      <c r="C121">
        <v>210</v>
      </c>
      <c r="D121">
        <v>0.37001460351457899</v>
      </c>
      <c r="E121">
        <v>103.12980587889101</v>
      </c>
      <c r="F121">
        <v>2.1964544972952198</v>
      </c>
      <c r="G121">
        <v>-1684.0680608568148</v>
      </c>
      <c r="H121">
        <v>-1411.9905421182134</v>
      </c>
      <c r="I121">
        <v>264.88586743766803</v>
      </c>
      <c r="J121">
        <v>138.66588056589001</v>
      </c>
      <c r="K121">
        <v>46.952853339729401</v>
      </c>
      <c r="L121">
        <v>1.4799373363424341E-4</v>
      </c>
      <c r="M121">
        <v>1.7574346554919695E-5</v>
      </c>
      <c r="N121" s="1">
        <v>3.25804040403465E-6</v>
      </c>
      <c r="O121" s="1">
        <v>9.3005198246317494E-8</v>
      </c>
      <c r="P121" s="1">
        <v>-4.7904410832579598E-7</v>
      </c>
      <c r="Q121">
        <v>72.944373528508194</v>
      </c>
      <c r="R121">
        <v>6.6905972926032301E-2</v>
      </c>
      <c r="S121">
        <v>12.1598213280606</v>
      </c>
      <c r="T121">
        <v>0.15719679947151499</v>
      </c>
      <c r="V121">
        <v>0.36277151527227702</v>
      </c>
      <c r="W121">
        <v>2.3271642756879801E-2</v>
      </c>
      <c r="X121">
        <v>4.8482589076837501E-2</v>
      </c>
      <c r="AA121">
        <v>0.51308094128070603</v>
      </c>
      <c r="AB121">
        <v>3.8035658062287498</v>
      </c>
      <c r="AC121">
        <v>4.4594405235564096</v>
      </c>
      <c r="AD121">
        <v>5.8179106892195399E-3</v>
      </c>
      <c r="AE121">
        <v>5.4552714421725002</v>
      </c>
    </row>
    <row r="122" spans="1:31" x14ac:dyDescent="0.2">
      <c r="A122">
        <v>121</v>
      </c>
      <c r="B122">
        <v>753</v>
      </c>
      <c r="C122">
        <v>210</v>
      </c>
      <c r="D122">
        <v>0.36933245626858002</v>
      </c>
      <c r="E122">
        <v>100.627800846371</v>
      </c>
      <c r="F122">
        <v>2.1975331165080099</v>
      </c>
      <c r="G122">
        <v>-1642.3156083705542</v>
      </c>
      <c r="H122">
        <v>-1377.4213579095338</v>
      </c>
      <c r="I122">
        <v>258.14379034353601</v>
      </c>
      <c r="J122">
        <v>135.24445934923901</v>
      </c>
      <c r="K122">
        <v>45.791255699606303</v>
      </c>
      <c r="L122">
        <v>1.4764862772118127E-4</v>
      </c>
      <c r="M122">
        <v>1.7530476046773886E-5</v>
      </c>
      <c r="N122" s="1">
        <v>3.1704406510666898E-6</v>
      </c>
      <c r="O122" s="1">
        <v>9.0361303040210704E-8</v>
      </c>
      <c r="P122" s="1">
        <v>-4.66039589493794E-7</v>
      </c>
      <c r="Q122">
        <v>72.918394141329102</v>
      </c>
      <c r="R122">
        <v>6.8569519973257401E-2</v>
      </c>
      <c r="S122">
        <v>12.162845789177799</v>
      </c>
      <c r="T122">
        <v>0.161417870440726</v>
      </c>
      <c r="V122">
        <v>0.37151022543178402</v>
      </c>
      <c r="W122">
        <v>2.3850267816783E-2</v>
      </c>
      <c r="X122">
        <v>4.9688057951641301E-2</v>
      </c>
      <c r="AA122">
        <v>0.49867248724062602</v>
      </c>
      <c r="AB122">
        <v>3.76893613297129</v>
      </c>
      <c r="AC122">
        <v>4.5357870382721099</v>
      </c>
      <c r="AD122">
        <v>5.9625669541946797E-3</v>
      </c>
      <c r="AE122">
        <v>5.4343659024405397</v>
      </c>
    </row>
    <row r="123" spans="1:31" x14ac:dyDescent="0.2">
      <c r="A123">
        <v>122</v>
      </c>
      <c r="B123">
        <v>752</v>
      </c>
      <c r="C123">
        <v>210</v>
      </c>
      <c r="D123">
        <v>0.36864897819831499</v>
      </c>
      <c r="E123">
        <v>90.449769389794199</v>
      </c>
      <c r="F123">
        <v>2.1992625308198002</v>
      </c>
      <c r="G123">
        <v>-1475.0362773906604</v>
      </c>
      <c r="H123">
        <v>-1237.4391364842929</v>
      </c>
      <c r="I123">
        <v>231.768171395764</v>
      </c>
      <c r="J123">
        <v>121.52723561828201</v>
      </c>
      <c r="K123">
        <v>41.127317963298196</v>
      </c>
      <c r="L123">
        <v>1.4741415780170094E-4</v>
      </c>
      <c r="M123">
        <v>1.749355495361746E-5</v>
      </c>
      <c r="N123" s="1">
        <v>2.8434643292678001E-6</v>
      </c>
      <c r="O123" s="1">
        <v>8.0909222383047898E-8</v>
      </c>
      <c r="P123" s="1">
        <v>-4.1774863877281399E-7</v>
      </c>
      <c r="Q123">
        <v>72.849228887146793</v>
      </c>
      <c r="R123">
        <v>7.6285434960756904E-2</v>
      </c>
      <c r="S123">
        <v>12.163830295676201</v>
      </c>
      <c r="T123">
        <v>0.179747170820481</v>
      </c>
      <c r="V123">
        <v>0.413166243660752</v>
      </c>
      <c r="W123">
        <v>2.6534064334170399E-2</v>
      </c>
      <c r="X123">
        <v>5.5279300696215901E-2</v>
      </c>
      <c r="AA123">
        <v>0.49307514866552099</v>
      </c>
      <c r="AB123">
        <v>3.72995210970493</v>
      </c>
      <c r="AC123">
        <v>4.590110768622</v>
      </c>
      <c r="AD123">
        <v>6.6335160835403299E-3</v>
      </c>
      <c r="AE123">
        <v>5.4161570596285102</v>
      </c>
    </row>
    <row r="124" spans="1:31" x14ac:dyDescent="0.2">
      <c r="A124">
        <v>123</v>
      </c>
      <c r="B124">
        <v>751</v>
      </c>
      <c r="C124">
        <v>210</v>
      </c>
      <c r="D124">
        <v>0.36796416540546001</v>
      </c>
      <c r="E124">
        <v>69.405004246077098</v>
      </c>
      <c r="F124">
        <v>2.20241725324518</v>
      </c>
      <c r="G124">
        <v>-1130.3085541376847</v>
      </c>
      <c r="H124">
        <v>-948.2981086836902</v>
      </c>
      <c r="I124">
        <v>177.71854264902001</v>
      </c>
      <c r="J124">
        <v>93.257892591686996</v>
      </c>
      <c r="K124">
        <v>31.5131041331116</v>
      </c>
      <c r="L124">
        <v>1.4757940135219625E-4</v>
      </c>
      <c r="M124">
        <v>1.7484462093736421E-5</v>
      </c>
      <c r="N124" s="1">
        <v>2.1823786287685401E-6</v>
      </c>
      <c r="O124" s="1">
        <v>6.19818236922199E-8</v>
      </c>
      <c r="P124" s="1">
        <v>-3.2023051399043998E-7</v>
      </c>
      <c r="Q124">
        <v>72.668675250382805</v>
      </c>
      <c r="R124">
        <v>9.9416462472026401E-2</v>
      </c>
      <c r="S124">
        <v>12.1592251799044</v>
      </c>
      <c r="T124">
        <v>0.233877589729788</v>
      </c>
      <c r="V124">
        <v>0.53877988371257701</v>
      </c>
      <c r="W124">
        <v>3.4579639120692202E-2</v>
      </c>
      <c r="X124">
        <v>7.2040914834833603E-2</v>
      </c>
      <c r="AA124">
        <v>0.50221857178000096</v>
      </c>
      <c r="AB124">
        <v>3.6980784770228698</v>
      </c>
      <c r="AC124">
        <v>4.5732516151372398</v>
      </c>
      <c r="AD124">
        <v>8.6449097801679694E-3</v>
      </c>
      <c r="AE124">
        <v>5.4112115061225099</v>
      </c>
    </row>
    <row r="125" spans="1:31" x14ac:dyDescent="0.2">
      <c r="A125">
        <v>124</v>
      </c>
      <c r="B125">
        <v>750</v>
      </c>
      <c r="C125">
        <v>210</v>
      </c>
      <c r="D125">
        <v>0.36727801397644499</v>
      </c>
      <c r="E125">
        <v>56.150473033238903</v>
      </c>
      <c r="F125">
        <v>2.2055308840788999</v>
      </c>
      <c r="G125">
        <v>-913.20801625836987</v>
      </c>
      <c r="H125">
        <v>-766.19349761766182</v>
      </c>
      <c r="I125">
        <v>143.68813824044199</v>
      </c>
      <c r="J125">
        <v>75.455254008302802</v>
      </c>
      <c r="K125">
        <v>25.4589375458639</v>
      </c>
      <c r="L125">
        <v>1.4778779717872708E-4</v>
      </c>
      <c r="M125">
        <v>1.7478680774885081E-5</v>
      </c>
      <c r="N125" s="1">
        <v>1.7666744046020201E-6</v>
      </c>
      <c r="O125" s="1">
        <v>5.0079904354806099E-8</v>
      </c>
      <c r="P125" s="1">
        <v>-2.5892166400831198E-7</v>
      </c>
      <c r="Q125">
        <v>72.485762629849503</v>
      </c>
      <c r="R125">
        <v>0.122884093886738</v>
      </c>
      <c r="S125">
        <v>12.153820745563401</v>
      </c>
      <c r="T125">
        <v>0.28862730267147202</v>
      </c>
      <c r="V125">
        <v>0.66637300124364995</v>
      </c>
      <c r="W125">
        <v>4.2742293525800903E-2</v>
      </c>
      <c r="X125">
        <v>8.9046444845515799E-2</v>
      </c>
      <c r="AA125">
        <v>0.50759149369470102</v>
      </c>
      <c r="AB125">
        <v>3.6727259814795601</v>
      </c>
      <c r="AC125">
        <v>4.5514111921108098</v>
      </c>
      <c r="AD125">
        <v>1.0685573381444701E-2</v>
      </c>
      <c r="AE125">
        <v>5.4083292477473002</v>
      </c>
    </row>
    <row r="126" spans="1:31" x14ac:dyDescent="0.2">
      <c r="A126">
        <v>125</v>
      </c>
      <c r="B126">
        <v>749</v>
      </c>
      <c r="C126">
        <v>210</v>
      </c>
      <c r="D126">
        <v>0.36659051998239101</v>
      </c>
      <c r="E126">
        <v>21.774951023902599</v>
      </c>
      <c r="F126">
        <v>2.2079304798680401</v>
      </c>
      <c r="G126">
        <v>-354.2588426633875</v>
      </c>
      <c r="H126">
        <v>-297.39620794667474</v>
      </c>
      <c r="I126">
        <v>55.6304208939126</v>
      </c>
      <c r="J126">
        <v>29.282308093910601</v>
      </c>
      <c r="K126">
        <v>9.8621542763447891</v>
      </c>
      <c r="L126">
        <v>1.4734116871710333E-4</v>
      </c>
      <c r="M126">
        <v>1.7443730548280153E-5</v>
      </c>
      <c r="N126" s="1">
        <v>6.8259367356978197E-7</v>
      </c>
      <c r="O126" s="1">
        <v>1.9317108417174501E-8</v>
      </c>
      <c r="P126" s="1">
        <v>-9.9649379034374205E-8</v>
      </c>
      <c r="Q126">
        <v>72.309960938372299</v>
      </c>
      <c r="R126">
        <v>0.15440397969846001</v>
      </c>
      <c r="S126">
        <v>12.369806593281</v>
      </c>
      <c r="T126">
        <v>0.25143325905739999</v>
      </c>
      <c r="V126">
        <v>0.58292854209988998</v>
      </c>
      <c r="W126">
        <v>0.110218387970849</v>
      </c>
      <c r="X126">
        <v>0.16581814636898901</v>
      </c>
      <c r="AA126">
        <v>0.52326489249633401</v>
      </c>
      <c r="AB126">
        <v>3.5278897784182202</v>
      </c>
      <c r="AC126">
        <v>4.5943887825130902</v>
      </c>
      <c r="AD126">
        <v>2.7554596992697401E-2</v>
      </c>
      <c r="AE126">
        <v>5.3823321027306497</v>
      </c>
    </row>
    <row r="127" spans="1:31" x14ac:dyDescent="0.2">
      <c r="A127">
        <v>126</v>
      </c>
      <c r="B127">
        <v>748</v>
      </c>
      <c r="C127">
        <v>210</v>
      </c>
      <c r="D127">
        <v>0.36590167947901903</v>
      </c>
      <c r="E127">
        <v>12.1386010421002</v>
      </c>
      <c r="F127">
        <v>2.2106285582077199</v>
      </c>
      <c r="G127">
        <v>-197.4322685590227</v>
      </c>
      <c r="H127">
        <v>-165.80650188758042</v>
      </c>
      <c r="I127">
        <v>30.970735613222502</v>
      </c>
      <c r="J127">
        <v>16.331409682911001</v>
      </c>
      <c r="K127">
        <v>5.4910179265672898</v>
      </c>
      <c r="L127">
        <v>1.472607600836817E-4</v>
      </c>
      <c r="M127">
        <v>1.7446787844391161E-5</v>
      </c>
      <c r="N127" s="1">
        <v>3.8040649429048602E-7</v>
      </c>
      <c r="O127" s="1">
        <v>1.07450343013907E-8</v>
      </c>
      <c r="P127" s="1">
        <v>-5.5301352234131302E-8</v>
      </c>
      <c r="Q127">
        <v>72.035329248815898</v>
      </c>
      <c r="R127">
        <v>0.159850228686541</v>
      </c>
      <c r="S127">
        <v>12.662724751695301</v>
      </c>
      <c r="T127">
        <v>0.245577706682994</v>
      </c>
      <c r="V127">
        <v>0.57355043422455798</v>
      </c>
      <c r="W127">
        <v>0.19605733789266799</v>
      </c>
      <c r="X127">
        <v>0.16664308461945801</v>
      </c>
      <c r="AA127">
        <v>0.53107690082673698</v>
      </c>
      <c r="AB127">
        <v>3.3853665780346698</v>
      </c>
      <c r="AC127">
        <v>4.6197387827378096</v>
      </c>
      <c r="AD127">
        <v>4.9429089721143599E-2</v>
      </c>
      <c r="AE127">
        <v>5.3746558560620397</v>
      </c>
    </row>
    <row r="128" spans="1:31" x14ac:dyDescent="0.2">
      <c r="A128">
        <v>127</v>
      </c>
      <c r="B128">
        <v>747</v>
      </c>
      <c r="C128">
        <v>210</v>
      </c>
      <c r="D128">
        <v>0.36521148850659502</v>
      </c>
      <c r="E128">
        <v>8.6393524595341802</v>
      </c>
      <c r="F128">
        <v>2.2129857804606301</v>
      </c>
      <c r="G128">
        <v>-140.48281222708698</v>
      </c>
      <c r="H128">
        <v>-118.02128406752821</v>
      </c>
      <c r="I128">
        <v>22.0178681170011</v>
      </c>
      <c r="J128">
        <v>11.6291087483553</v>
      </c>
      <c r="K128">
        <v>3.90393491716693</v>
      </c>
      <c r="L128">
        <v>1.4725856164011378E-4</v>
      </c>
      <c r="M128">
        <v>1.7455307517582455E-5</v>
      </c>
      <c r="N128" s="1">
        <v>2.7091529205555601E-7</v>
      </c>
      <c r="O128" s="1">
        <v>7.63743373570788E-9</v>
      </c>
      <c r="P128" s="1">
        <v>-3.9231972737888803E-8</v>
      </c>
      <c r="Q128">
        <v>71.781271491355696</v>
      </c>
      <c r="R128">
        <v>0.15915073136090899</v>
      </c>
      <c r="S128">
        <v>12.9308512848513</v>
      </c>
      <c r="T128">
        <v>0.242135770028688</v>
      </c>
      <c r="V128">
        <v>0.56918177860830599</v>
      </c>
      <c r="W128">
        <v>0.273191089253844</v>
      </c>
      <c r="X128">
        <v>0.166096782367532</v>
      </c>
      <c r="AA128">
        <v>0.536751709415203</v>
      </c>
      <c r="AB128">
        <v>3.2647713106262501</v>
      </c>
      <c r="AC128">
        <v>4.6352199173329396</v>
      </c>
      <c r="AD128">
        <v>6.9449649474240302E-2</v>
      </c>
      <c r="AE128">
        <v>5.3719284853249603</v>
      </c>
    </row>
    <row r="129" spans="1:31" x14ac:dyDescent="0.2">
      <c r="A129">
        <v>128</v>
      </c>
      <c r="B129">
        <v>759</v>
      </c>
      <c r="C129">
        <v>195</v>
      </c>
      <c r="D129">
        <v>0.38939156130407598</v>
      </c>
      <c r="E129">
        <v>104.282560800186</v>
      </c>
      <c r="F129">
        <v>2.1953810232561399</v>
      </c>
      <c r="G129">
        <v>-1703.9989946913086</v>
      </c>
      <c r="H129">
        <v>-1428.2927065288975</v>
      </c>
      <c r="I129">
        <v>267.11843061804097</v>
      </c>
      <c r="J129">
        <v>140.017836676928</v>
      </c>
      <c r="K129">
        <v>47.500893783584203</v>
      </c>
      <c r="L129">
        <v>1.4522731919109282E-4</v>
      </c>
      <c r="M129">
        <v>1.7537599648856101E-5</v>
      </c>
      <c r="N129" s="1">
        <v>3.1624185493085202E-6</v>
      </c>
      <c r="O129" s="1">
        <v>9.2057296821252299E-8</v>
      </c>
      <c r="P129" s="1">
        <v>-4.7216552417894602E-7</v>
      </c>
      <c r="Q129">
        <v>73.224132025617905</v>
      </c>
      <c r="R129">
        <v>6.6166384360477601E-2</v>
      </c>
      <c r="S129">
        <v>12.130503799421399</v>
      </c>
      <c r="T129">
        <v>0.15523042539068499</v>
      </c>
      <c r="V129">
        <v>0.358967169394178</v>
      </c>
      <c r="W129">
        <v>2.30143945601659E-2</v>
      </c>
      <c r="X129">
        <v>4.7946655333679901E-2</v>
      </c>
      <c r="AA129">
        <v>0.51782387760373605</v>
      </c>
      <c r="AB129">
        <v>3.8069644334941199</v>
      </c>
      <c r="AC129">
        <v>4.4206816217651799</v>
      </c>
      <c r="AD129">
        <v>5.7535986400413797E-3</v>
      </c>
      <c r="AE129">
        <v>5.2428156144183102</v>
      </c>
    </row>
    <row r="130" spans="1:31" x14ac:dyDescent="0.2">
      <c r="A130">
        <v>129</v>
      </c>
      <c r="B130">
        <v>758</v>
      </c>
      <c r="C130">
        <v>195</v>
      </c>
      <c r="D130">
        <v>0.38873151335887302</v>
      </c>
      <c r="E130">
        <v>103.977694681183</v>
      </c>
      <c r="F130">
        <v>2.1957575637716298</v>
      </c>
      <c r="G130">
        <v>-1698.6627903376025</v>
      </c>
      <c r="H130">
        <v>-1424.2388571661329</v>
      </c>
      <c r="I130">
        <v>266.13386332877701</v>
      </c>
      <c r="J130">
        <v>139.56541273122599</v>
      </c>
      <c r="K130">
        <v>47.3539048193376</v>
      </c>
      <c r="L130">
        <v>1.4502636286568913E-4</v>
      </c>
      <c r="M130">
        <v>1.7521353208000967E-5</v>
      </c>
      <c r="N130" s="1">
        <v>3.1530422588459198E-6</v>
      </c>
      <c r="O130" s="1">
        <v>9.1618741816343403E-8</v>
      </c>
      <c r="P130" s="1">
        <v>-4.6995827653406502E-7</v>
      </c>
      <c r="Q130">
        <v>73.260699299019194</v>
      </c>
      <c r="R130">
        <v>6.6360386438234303E-2</v>
      </c>
      <c r="S130">
        <v>12.1087081521747</v>
      </c>
      <c r="T130">
        <v>0.15589284023698999</v>
      </c>
      <c r="V130">
        <v>0.35983316586524899</v>
      </c>
      <c r="W130">
        <v>2.30818735437332E-2</v>
      </c>
      <c r="X130">
        <v>4.8087236549446202E-2</v>
      </c>
      <c r="AA130">
        <v>0.51358116162840695</v>
      </c>
      <c r="AB130">
        <v>3.7932378559608</v>
      </c>
      <c r="AC130">
        <v>4.4281515062833101</v>
      </c>
      <c r="AD130">
        <v>5.7704683859331196E-3</v>
      </c>
      <c r="AE130">
        <v>5.2365960539139502</v>
      </c>
    </row>
    <row r="131" spans="1:31" x14ac:dyDescent="0.2">
      <c r="A131">
        <v>130</v>
      </c>
      <c r="B131">
        <v>757</v>
      </c>
      <c r="C131">
        <v>195</v>
      </c>
      <c r="D131">
        <v>0.388070183953793</v>
      </c>
      <c r="E131">
        <v>101.641018036598</v>
      </c>
      <c r="F131">
        <v>2.1967552580784302</v>
      </c>
      <c r="G131">
        <v>-1659.6294794688311</v>
      </c>
      <c r="H131">
        <v>-1391.9420806699904</v>
      </c>
      <c r="I131">
        <v>259.852835799486</v>
      </c>
      <c r="J131">
        <v>136.37468876999199</v>
      </c>
      <c r="K131">
        <v>46.268703654091503</v>
      </c>
      <c r="L131">
        <v>1.4471713027006691E-4</v>
      </c>
      <c r="M131">
        <v>1.7480612171823289E-5</v>
      </c>
      <c r="N131" s="1">
        <v>3.0747913706028702E-6</v>
      </c>
      <c r="O131" s="1">
        <v>8.92033481152405E-8</v>
      </c>
      <c r="P131" s="1">
        <v>-4.5816599505454898E-7</v>
      </c>
      <c r="Q131">
        <v>73.235853712721806</v>
      </c>
      <c r="R131">
        <v>6.7885978842867997E-2</v>
      </c>
      <c r="S131">
        <v>12.1111665533103</v>
      </c>
      <c r="T131">
        <v>0.15978138862942301</v>
      </c>
      <c r="V131">
        <v>0.36783142532499602</v>
      </c>
      <c r="W131">
        <v>2.3612514380127101E-2</v>
      </c>
      <c r="X131">
        <v>4.9192738291935399E-2</v>
      </c>
      <c r="AA131">
        <v>0.49948262764356199</v>
      </c>
      <c r="AB131">
        <v>3.7607374930016499</v>
      </c>
      <c r="AC131">
        <v>4.5004905275692604</v>
      </c>
      <c r="AD131">
        <v>5.9031285950311204E-3</v>
      </c>
      <c r="AE131">
        <v>5.2180619116889204</v>
      </c>
    </row>
    <row r="132" spans="1:31" x14ac:dyDescent="0.2">
      <c r="A132">
        <v>131</v>
      </c>
      <c r="B132">
        <v>756</v>
      </c>
      <c r="C132">
        <v>195</v>
      </c>
      <c r="D132">
        <v>0.38740756935335302</v>
      </c>
      <c r="E132">
        <v>99.054407515413601</v>
      </c>
      <c r="F132">
        <v>2.1978415736759902</v>
      </c>
      <c r="G132">
        <v>-1616.5065102760545</v>
      </c>
      <c r="H132">
        <v>-1356.201710944978</v>
      </c>
      <c r="I132">
        <v>252.93183630284801</v>
      </c>
      <c r="J132">
        <v>132.84891861323001</v>
      </c>
      <c r="K132">
        <v>45.068947963223899</v>
      </c>
      <c r="L132">
        <v>1.4438507473562366E-4</v>
      </c>
      <c r="M132">
        <v>1.7437251231707116E-5</v>
      </c>
      <c r="N132" s="1">
        <v>2.9884186085763401E-6</v>
      </c>
      <c r="O132" s="1">
        <v>8.6562419016317205E-8</v>
      </c>
      <c r="P132" s="1">
        <v>-4.45189670560669E-7</v>
      </c>
      <c r="Q132">
        <v>73.207705337683805</v>
      </c>
      <c r="R132">
        <v>6.96586873120872E-2</v>
      </c>
      <c r="S132">
        <v>12.1144417651211</v>
      </c>
      <c r="T132">
        <v>0.16426270550508301</v>
      </c>
      <c r="V132">
        <v>0.377158629141091</v>
      </c>
      <c r="W132">
        <v>2.42291086302888E-2</v>
      </c>
      <c r="X132">
        <v>5.0477309646445298E-2</v>
      </c>
      <c r="AA132">
        <v>0.48674782878559297</v>
      </c>
      <c r="AB132">
        <v>3.72391434397912</v>
      </c>
      <c r="AC132">
        <v>4.5773755661850197</v>
      </c>
      <c r="AD132">
        <v>6.0572771575708503E-3</v>
      </c>
      <c r="AE132">
        <v>5.1979714408526698</v>
      </c>
    </row>
    <row r="133" spans="1:31" x14ac:dyDescent="0.2">
      <c r="A133">
        <v>132</v>
      </c>
      <c r="B133">
        <v>755</v>
      </c>
      <c r="C133">
        <v>195</v>
      </c>
      <c r="D133">
        <v>0.38674366580751801</v>
      </c>
      <c r="E133">
        <v>88.769425816810895</v>
      </c>
      <c r="F133">
        <v>2.1996313672524601</v>
      </c>
      <c r="G133">
        <v>-1447.4924316917502</v>
      </c>
      <c r="H133">
        <v>-1214.7117424139346</v>
      </c>
      <c r="I133">
        <v>226.40732313165901</v>
      </c>
      <c r="J133">
        <v>119.01882962363101</v>
      </c>
      <c r="K133">
        <v>40.356501156687798</v>
      </c>
      <c r="L133">
        <v>1.4415642228776608E-4</v>
      </c>
      <c r="M133">
        <v>1.7400343535700164E-5</v>
      </c>
      <c r="N133" s="1">
        <v>2.6719756755813199E-6</v>
      </c>
      <c r="O133" s="1">
        <v>7.7271393097505206E-8</v>
      </c>
      <c r="P133" s="1">
        <v>-3.97827796341713E-7</v>
      </c>
      <c r="Q133">
        <v>73.134576903928803</v>
      </c>
      <c r="R133">
        <v>7.7729465258002797E-2</v>
      </c>
      <c r="S133">
        <v>12.1159390439378</v>
      </c>
      <c r="T133">
        <v>0.18344167455725399</v>
      </c>
      <c r="V133">
        <v>0.42072443568412099</v>
      </c>
      <c r="W133">
        <v>2.70363357419071E-2</v>
      </c>
      <c r="X133">
        <v>5.6325699462336801E-2</v>
      </c>
      <c r="AA133">
        <v>0.48444291976193299</v>
      </c>
      <c r="AB133">
        <v>3.6810156050740499</v>
      </c>
      <c r="AC133">
        <v>4.6318914767234798</v>
      </c>
      <c r="AD133">
        <v>6.7590839354734096E-3</v>
      </c>
      <c r="AE133">
        <v>5.1801173559346898</v>
      </c>
    </row>
    <row r="134" spans="1:31" x14ac:dyDescent="0.2">
      <c r="A134">
        <v>133</v>
      </c>
      <c r="B134">
        <v>754</v>
      </c>
      <c r="C134">
        <v>195</v>
      </c>
      <c r="D134">
        <v>0.38607846955167302</v>
      </c>
      <c r="E134">
        <v>68.875027473263501</v>
      </c>
      <c r="F134">
        <v>2.20278784666379</v>
      </c>
      <c r="G134">
        <v>-1121.5873571043046</v>
      </c>
      <c r="H134">
        <v>-941.29098413264217</v>
      </c>
      <c r="I134">
        <v>175.530714084274</v>
      </c>
      <c r="J134">
        <v>92.348784585935405</v>
      </c>
      <c r="K134">
        <v>31.2672087680061</v>
      </c>
      <c r="L134">
        <v>1.4427899833705673E-4</v>
      </c>
      <c r="M134">
        <v>1.7388225650460265E-5</v>
      </c>
      <c r="N134" s="1">
        <v>2.07286784142617E-6</v>
      </c>
      <c r="O134" s="1">
        <v>5.9835669579041104E-8</v>
      </c>
      <c r="P134" s="1">
        <v>-3.0824124329805398E-7</v>
      </c>
      <c r="Q134">
        <v>72.958399030550098</v>
      </c>
      <c r="R134">
        <v>0.10018144824231801</v>
      </c>
      <c r="S134">
        <v>12.1124329465051</v>
      </c>
      <c r="T134">
        <v>0.23605859664315201</v>
      </c>
      <c r="V134">
        <v>0.54258249982867601</v>
      </c>
      <c r="W134">
        <v>3.4845721127747802E-2</v>
      </c>
      <c r="X134">
        <v>7.2595252349538994E-2</v>
      </c>
      <c r="AA134">
        <v>0.49707931185575399</v>
      </c>
      <c r="AB134">
        <v>3.6434834615232199</v>
      </c>
      <c r="AC134">
        <v>4.6201219882212303</v>
      </c>
      <c r="AD134">
        <v>8.7114302819338296E-3</v>
      </c>
      <c r="AE134">
        <v>5.1735083128711299</v>
      </c>
    </row>
    <row r="135" spans="1:31" x14ac:dyDescent="0.2">
      <c r="A135">
        <v>134</v>
      </c>
      <c r="B135">
        <v>753</v>
      </c>
      <c r="C135">
        <v>195</v>
      </c>
      <c r="D135">
        <v>0.38541197680651201</v>
      </c>
      <c r="E135">
        <v>44.956083587272097</v>
      </c>
      <c r="F135">
        <v>2.2057487322580198</v>
      </c>
      <c r="G135">
        <v>-731.40144173262877</v>
      </c>
      <c r="H135">
        <v>-613.94854615041618</v>
      </c>
      <c r="I135">
        <v>114.459772530539</v>
      </c>
      <c r="J135">
        <v>60.2905290414569</v>
      </c>
      <c r="K135">
        <v>20.381325819124701</v>
      </c>
      <c r="L135">
        <v>1.442540854232254E-4</v>
      </c>
      <c r="M135">
        <v>1.7368142912773921E-5</v>
      </c>
      <c r="N135" s="1">
        <v>1.3514324646409599E-6</v>
      </c>
      <c r="O135" s="1">
        <v>3.8941251534971301E-8</v>
      </c>
      <c r="P135" s="1">
        <v>-2.0060328467363401E-7</v>
      </c>
      <c r="Q135">
        <v>72.790916095263597</v>
      </c>
      <c r="R135">
        <v>0.12648433357972699</v>
      </c>
      <c r="S135">
        <v>12.1483363654778</v>
      </c>
      <c r="T135">
        <v>0.26674066356256498</v>
      </c>
      <c r="V135">
        <v>0.61451917962112301</v>
      </c>
      <c r="W135">
        <v>5.3385433260441498E-2</v>
      </c>
      <c r="X135">
        <v>0.108411321198256</v>
      </c>
      <c r="AA135">
        <v>0.51147375288666597</v>
      </c>
      <c r="AB135">
        <v>3.5831256354366099</v>
      </c>
      <c r="AC135">
        <v>4.6216343434966696</v>
      </c>
      <c r="AD135">
        <v>1.3346358315101401E-2</v>
      </c>
      <c r="AE135">
        <v>5.1616265179012801</v>
      </c>
    </row>
    <row r="136" spans="1:31" x14ac:dyDescent="0.2">
      <c r="A136">
        <v>135</v>
      </c>
      <c r="B136">
        <v>752</v>
      </c>
      <c r="C136">
        <v>195</v>
      </c>
      <c r="D136">
        <v>0.38474418377798603</v>
      </c>
      <c r="E136">
        <v>23.005781706039102</v>
      </c>
      <c r="F136">
        <v>2.2082652363811599</v>
      </c>
      <c r="G136">
        <v>-374.25592473399428</v>
      </c>
      <c r="H136">
        <v>-314.29196455294203</v>
      </c>
      <c r="I136">
        <v>58.492864635470099</v>
      </c>
      <c r="J136">
        <v>30.870517763479601</v>
      </c>
      <c r="K136">
        <v>10.418033724852799</v>
      </c>
      <c r="L136">
        <v>1.4397594468198199E-4</v>
      </c>
      <c r="M136">
        <v>1.7340409727399534E-5</v>
      </c>
      <c r="N136" s="1">
        <v>6.8979250885004402E-7</v>
      </c>
      <c r="O136" s="1">
        <v>1.9842221319229699E-8</v>
      </c>
      <c r="P136" s="1">
        <v>-1.0206308160744801E-7</v>
      </c>
      <c r="Q136">
        <v>72.616972307253704</v>
      </c>
      <c r="R136">
        <v>0.153530589013121</v>
      </c>
      <c r="S136">
        <v>12.3045572753693</v>
      </c>
      <c r="T136">
        <v>0.25264958238512503</v>
      </c>
      <c r="V136">
        <v>0.58413756270386497</v>
      </c>
      <c r="W136">
        <v>0.104321601876665</v>
      </c>
      <c r="X136">
        <v>0.17083184806245399</v>
      </c>
      <c r="AA136">
        <v>0.52639901234737996</v>
      </c>
      <c r="AB136">
        <v>3.4683033451516199</v>
      </c>
      <c r="AC136">
        <v>4.6497896787977604</v>
      </c>
      <c r="AD136">
        <v>2.6080400469147901E-2</v>
      </c>
      <c r="AE136">
        <v>5.1424267965697803</v>
      </c>
    </row>
    <row r="137" spans="1:31" x14ac:dyDescent="0.2">
      <c r="A137">
        <v>136</v>
      </c>
      <c r="B137">
        <v>751</v>
      </c>
      <c r="C137">
        <v>195</v>
      </c>
      <c r="D137">
        <v>0.38407508665723</v>
      </c>
      <c r="E137">
        <v>12.834554590535699</v>
      </c>
      <c r="F137">
        <v>2.2109503219928399</v>
      </c>
      <c r="G137">
        <v>-208.74158355557526</v>
      </c>
      <c r="H137">
        <v>-175.36751810351313</v>
      </c>
      <c r="I137">
        <v>32.587087293914003</v>
      </c>
      <c r="J137">
        <v>17.2294527095059</v>
      </c>
      <c r="K137">
        <v>5.8049945595192103</v>
      </c>
      <c r="L137">
        <v>1.4383561570316408E-4</v>
      </c>
      <c r="M137">
        <v>1.7337061172404148E-5</v>
      </c>
      <c r="N137" s="1">
        <v>3.8445333306168401E-7</v>
      </c>
      <c r="O137" s="1">
        <v>1.10388975845393E-8</v>
      </c>
      <c r="P137" s="1">
        <v>-5.6646952874860397E-8</v>
      </c>
      <c r="Q137">
        <v>72.356542611937201</v>
      </c>
      <c r="R137">
        <v>0.168050288983321</v>
      </c>
      <c r="S137">
        <v>12.5826293245188</v>
      </c>
      <c r="T137">
        <v>0.24404294941745</v>
      </c>
      <c r="V137">
        <v>0.56808825882896696</v>
      </c>
      <c r="W137">
        <v>0.18595276950444201</v>
      </c>
      <c r="X137">
        <v>0.17359103787887201</v>
      </c>
      <c r="AA137">
        <v>0.53577137924026996</v>
      </c>
      <c r="AB137">
        <v>3.32637328797564</v>
      </c>
      <c r="AC137">
        <v>4.6805718055958696</v>
      </c>
      <c r="AD137">
        <v>4.6748798002021197E-2</v>
      </c>
      <c r="AE137">
        <v>5.1316374881171098</v>
      </c>
    </row>
    <row r="138" spans="1:31" x14ac:dyDescent="0.2">
      <c r="A138">
        <v>137</v>
      </c>
      <c r="B138">
        <v>750</v>
      </c>
      <c r="C138">
        <v>195</v>
      </c>
      <c r="D138">
        <v>0.38340468162048602</v>
      </c>
      <c r="E138">
        <v>9.0059158949063196</v>
      </c>
      <c r="F138">
        <v>2.2133071063737702</v>
      </c>
      <c r="G138">
        <v>-146.43559483754896</v>
      </c>
      <c r="H138">
        <v>-123.06683754524376</v>
      </c>
      <c r="I138">
        <v>22.840011036803201</v>
      </c>
      <c r="J138">
        <v>12.095504909664699</v>
      </c>
      <c r="K138">
        <v>4.06898611989791</v>
      </c>
      <c r="L138">
        <v>1.4381811081481895E-4</v>
      </c>
      <c r="M138">
        <v>1.7344570197912834E-5</v>
      </c>
      <c r="N138" s="1">
        <v>2.6990538202304601E-7</v>
      </c>
      <c r="O138" s="1">
        <v>7.7349554054263992E-9</v>
      </c>
      <c r="P138" s="1">
        <v>-3.9612698269692698E-8</v>
      </c>
      <c r="Q138">
        <v>72.103955732095301</v>
      </c>
      <c r="R138">
        <v>0.167292197577707</v>
      </c>
      <c r="S138">
        <v>12.849588447639301</v>
      </c>
      <c r="T138">
        <v>0.24058792362802101</v>
      </c>
      <c r="V138">
        <v>0.563697567252056</v>
      </c>
      <c r="W138">
        <v>0.262748608923279</v>
      </c>
      <c r="X138">
        <v>0.17304236419781199</v>
      </c>
      <c r="AA138">
        <v>0.54163306880408701</v>
      </c>
      <c r="AB138">
        <v>3.2048271170003302</v>
      </c>
      <c r="AC138">
        <v>4.6975808617928596</v>
      </c>
      <c r="AD138">
        <v>6.6622874008633107E-2</v>
      </c>
      <c r="AE138">
        <v>5.1284232370805602</v>
      </c>
    </row>
    <row r="139" spans="1:31" x14ac:dyDescent="0.2">
      <c r="A139">
        <v>138</v>
      </c>
      <c r="B139">
        <v>765</v>
      </c>
      <c r="C139">
        <v>180</v>
      </c>
      <c r="D139">
        <v>0.409218802677841</v>
      </c>
      <c r="E139">
        <v>104.04125745971299</v>
      </c>
      <c r="F139">
        <v>2.19487677760723</v>
      </c>
      <c r="G139">
        <v>-1701.0277463993491</v>
      </c>
      <c r="H139">
        <v>-1425.0225945323389</v>
      </c>
      <c r="I139">
        <v>265.86249758417398</v>
      </c>
      <c r="J139">
        <v>139.532012735943</v>
      </c>
      <c r="K139">
        <v>47.4018671668371</v>
      </c>
      <c r="L139">
        <v>1.4241787698745224E-4</v>
      </c>
      <c r="M139">
        <v>1.7470534353570862E-5</v>
      </c>
      <c r="N139" s="1">
        <v>3.0158261284020898E-6</v>
      </c>
      <c r="O139" s="1">
        <v>8.9694497990751805E-8</v>
      </c>
      <c r="P139" s="1">
        <v>-4.5822210311646098E-7</v>
      </c>
      <c r="Q139">
        <v>73.393961073168398</v>
      </c>
      <c r="R139">
        <v>6.63198443432097E-2</v>
      </c>
      <c r="S139">
        <v>12.1586381295888</v>
      </c>
      <c r="T139">
        <v>0.155288234279468</v>
      </c>
      <c r="V139">
        <v>0.36007166233429899</v>
      </c>
      <c r="W139">
        <v>2.30677719454641E-2</v>
      </c>
      <c r="X139">
        <v>4.80578582197176E-2</v>
      </c>
      <c r="AA139">
        <v>0.51902486877294496</v>
      </c>
      <c r="AB139">
        <v>3.8157939426455298</v>
      </c>
      <c r="AC139">
        <v>4.4309345278578904</v>
      </c>
      <c r="AD139">
        <v>5.76694298636596E-3</v>
      </c>
      <c r="AE139">
        <v>5.02307514385783</v>
      </c>
    </row>
    <row r="140" spans="1:31" x14ac:dyDescent="0.2">
      <c r="A140">
        <v>139</v>
      </c>
      <c r="B140">
        <v>764</v>
      </c>
      <c r="C140">
        <v>180</v>
      </c>
      <c r="D140">
        <v>0.40858169020874802</v>
      </c>
      <c r="E140">
        <v>103.948668703782</v>
      </c>
      <c r="F140">
        <v>2.1952120851279702</v>
      </c>
      <c r="G140">
        <v>-1699.2204370089648</v>
      </c>
      <c r="H140">
        <v>-1423.8885797764794</v>
      </c>
      <c r="I140">
        <v>265.46965938628398</v>
      </c>
      <c r="J140">
        <v>139.38548056411599</v>
      </c>
      <c r="K140">
        <v>47.3524491815663</v>
      </c>
      <c r="L140">
        <v>1.4232413221807767E-4</v>
      </c>
      <c r="M140">
        <v>1.7460353709941503E-5</v>
      </c>
      <c r="N140" s="1">
        <v>3.0153922523394902E-6</v>
      </c>
      <c r="O140" s="1">
        <v>8.9515281455555103E-8</v>
      </c>
      <c r="P140" s="1">
        <v>-4.57482498246902E-7</v>
      </c>
      <c r="Q140">
        <v>73.405189271210702</v>
      </c>
      <c r="R140">
        <v>6.6378916498321297E-2</v>
      </c>
      <c r="S140">
        <v>12.151999455686701</v>
      </c>
      <c r="T140">
        <v>0.155654871771023</v>
      </c>
      <c r="V140">
        <v>0.36018693934093299</v>
      </c>
      <c r="W140">
        <v>2.30883187820243E-2</v>
      </c>
      <c r="X140">
        <v>4.8100664129219498E-2</v>
      </c>
      <c r="AA140">
        <v>0.51770941680371996</v>
      </c>
      <c r="AB140">
        <v>3.8116122969770601</v>
      </c>
      <c r="AC140">
        <v>4.4332497992669202</v>
      </c>
      <c r="AD140">
        <v>5.7720796955058797E-3</v>
      </c>
      <c r="AE140">
        <v>5.0210579698378304</v>
      </c>
    </row>
    <row r="141" spans="1:31" x14ac:dyDescent="0.2">
      <c r="A141">
        <v>140</v>
      </c>
      <c r="B141">
        <v>763</v>
      </c>
      <c r="C141">
        <v>180</v>
      </c>
      <c r="D141">
        <v>0.40794334797085602</v>
      </c>
      <c r="E141">
        <v>103.470178127821</v>
      </c>
      <c r="F141">
        <v>2.1955831654818598</v>
      </c>
      <c r="G141">
        <v>-1691.0022403823073</v>
      </c>
      <c r="H141">
        <v>-1417.4440720334912</v>
      </c>
      <c r="I141">
        <v>264.01406007703002</v>
      </c>
      <c r="J141">
        <v>138.68555954107799</v>
      </c>
      <c r="K141">
        <v>47.1265127891944</v>
      </c>
      <c r="L141">
        <v>1.4205452810981374E-4</v>
      </c>
      <c r="M141">
        <v>1.7440625466705842E-5</v>
      </c>
      <c r="N141" s="1">
        <v>2.9998126442446199E-6</v>
      </c>
      <c r="O141" s="1">
        <v>8.8897356715739902E-8</v>
      </c>
      <c r="P141" s="1">
        <v>-4.5424821936907002E-7</v>
      </c>
      <c r="Q141">
        <v>73.462124524587793</v>
      </c>
      <c r="R141">
        <v>6.6685881138391398E-2</v>
      </c>
      <c r="S141">
        <v>12.1173354635343</v>
      </c>
      <c r="T141">
        <v>0.156556467494604</v>
      </c>
      <c r="V141">
        <v>0.36168903028870297</v>
      </c>
      <c r="W141">
        <v>2.3195089091613601E-2</v>
      </c>
      <c r="X141">
        <v>4.8323102274198497E-2</v>
      </c>
      <c r="AA141">
        <v>0.51106566845428503</v>
      </c>
      <c r="AB141">
        <v>3.7897385356752702</v>
      </c>
      <c r="AC141">
        <v>4.44502373461214</v>
      </c>
      <c r="AD141">
        <v>5.7987722729031001E-3</v>
      </c>
      <c r="AE141">
        <v>5.0124637305756803</v>
      </c>
    </row>
    <row r="142" spans="1:31" x14ac:dyDescent="0.2">
      <c r="A142">
        <v>141</v>
      </c>
      <c r="B142">
        <v>762</v>
      </c>
      <c r="C142">
        <v>180</v>
      </c>
      <c r="D142">
        <v>0.40730377240013699</v>
      </c>
      <c r="E142">
        <v>102.98961554111401</v>
      </c>
      <c r="F142">
        <v>2.19595600204884</v>
      </c>
      <c r="G142">
        <v>-1682.7548070870666</v>
      </c>
      <c r="H142">
        <v>-1410.9714560163304</v>
      </c>
      <c r="I142">
        <v>262.55455834491198</v>
      </c>
      <c r="J142">
        <v>137.983229782058</v>
      </c>
      <c r="K142">
        <v>46.8996716896987</v>
      </c>
      <c r="L142">
        <v>1.417832678973135E-4</v>
      </c>
      <c r="M142">
        <v>1.7420886609688728E-5</v>
      </c>
      <c r="N142" s="1">
        <v>2.98414924810916E-6</v>
      </c>
      <c r="O142" s="1">
        <v>8.8278986975163206E-8</v>
      </c>
      <c r="P142" s="1">
        <v>-4.5100545345783098E-7</v>
      </c>
      <c r="Q142">
        <v>73.519401491780499</v>
      </c>
      <c r="R142">
        <v>6.6997045903580299E-2</v>
      </c>
      <c r="S142">
        <v>12.082531709296701</v>
      </c>
      <c r="T142">
        <v>0.157469194383238</v>
      </c>
      <c r="V142">
        <v>0.36321275840843098</v>
      </c>
      <c r="W142">
        <v>2.33033203142878E-2</v>
      </c>
      <c r="X142">
        <v>4.8548583988104001E-2</v>
      </c>
      <c r="AA142">
        <v>0.504709054007907</v>
      </c>
      <c r="AB142">
        <v>3.7676044772038999</v>
      </c>
      <c r="AC142">
        <v>4.4565735440159804</v>
      </c>
      <c r="AD142">
        <v>5.8258300785714997E-3</v>
      </c>
      <c r="AE142">
        <v>5.0038229906186702</v>
      </c>
    </row>
    <row r="143" spans="1:31" x14ac:dyDescent="0.2">
      <c r="A143">
        <v>142</v>
      </c>
      <c r="B143">
        <v>761</v>
      </c>
      <c r="C143">
        <v>180</v>
      </c>
      <c r="D143">
        <v>0.40666295991877599</v>
      </c>
      <c r="E143">
        <v>101.78844610158001</v>
      </c>
      <c r="F143">
        <v>2.1965636425000601</v>
      </c>
      <c r="G143">
        <v>-1662.5604715829988</v>
      </c>
      <c r="H143">
        <v>-1394.4701221420703</v>
      </c>
      <c r="I143">
        <v>259.23739248748001</v>
      </c>
      <c r="J143">
        <v>136.318383287426</v>
      </c>
      <c r="K143">
        <v>46.339857462872203</v>
      </c>
      <c r="L143">
        <v>1.4150494053333685E-4</v>
      </c>
      <c r="M143">
        <v>1.7393527261260285E-5</v>
      </c>
      <c r="N143" s="1">
        <v>2.9456331817760899E-6</v>
      </c>
      <c r="O143" s="1">
        <v>8.6993570791699706E-8</v>
      </c>
      <c r="P143" s="1">
        <v>-4.44614144489242E-7</v>
      </c>
      <c r="Q143">
        <v>73.544244543072097</v>
      </c>
      <c r="R143">
        <v>6.7787654338630404E-2</v>
      </c>
      <c r="S143">
        <v>12.0622955214165</v>
      </c>
      <c r="T143">
        <v>0.15955612095989199</v>
      </c>
      <c r="V143">
        <v>0.36729312739041797</v>
      </c>
      <c r="W143">
        <v>2.3578314552564799E-2</v>
      </c>
      <c r="X143">
        <v>4.9121488651187199E-2</v>
      </c>
      <c r="AA143">
        <v>0.49586069973817298</v>
      </c>
      <c r="AB143">
        <v>3.7411127834599802</v>
      </c>
      <c r="AC143">
        <v>4.4914444421454602</v>
      </c>
      <c r="AD143">
        <v>5.8945786381401199E-3</v>
      </c>
      <c r="AE143">
        <v>4.9918107256368396</v>
      </c>
    </row>
    <row r="144" spans="1:31" x14ac:dyDescent="0.2">
      <c r="A144">
        <v>143</v>
      </c>
      <c r="B144">
        <v>760</v>
      </c>
      <c r="C144">
        <v>180</v>
      </c>
      <c r="D144">
        <v>0.40602090693510101</v>
      </c>
      <c r="E144">
        <v>99.289470466353606</v>
      </c>
      <c r="F144">
        <v>2.1975981407177101</v>
      </c>
      <c r="G144">
        <v>-1620.8782791601577</v>
      </c>
      <c r="H144">
        <v>-1359.9275752272247</v>
      </c>
      <c r="I144">
        <v>252.57775147164699</v>
      </c>
      <c r="J144">
        <v>132.91939188830099</v>
      </c>
      <c r="K144">
        <v>45.180903927196802</v>
      </c>
      <c r="L144">
        <v>1.4120382379520602E-4</v>
      </c>
      <c r="M144">
        <v>1.7352452837231515E-5</v>
      </c>
      <c r="N144" s="1">
        <v>2.86609069914428E-6</v>
      </c>
      <c r="O144" s="1">
        <v>8.4513020392431599E-8</v>
      </c>
      <c r="P144" s="1">
        <v>-4.32518812044621E-7</v>
      </c>
      <c r="Q144">
        <v>73.514920898745501</v>
      </c>
      <c r="R144">
        <v>6.9493773786805102E-2</v>
      </c>
      <c r="S144">
        <v>12.065925520595201</v>
      </c>
      <c r="T144">
        <v>0.163876606094806</v>
      </c>
      <c r="V144">
        <v>0.376263219074219</v>
      </c>
      <c r="W144">
        <v>2.4171747404102099E-2</v>
      </c>
      <c r="X144">
        <v>5.0357807091897702E-2</v>
      </c>
      <c r="AA144">
        <v>0.48361214415082798</v>
      </c>
      <c r="AB144">
        <v>3.7052462757364601</v>
      </c>
      <c r="AC144">
        <v>4.5665179807232104</v>
      </c>
      <c r="AD144">
        <v>6.0429368510235603E-3</v>
      </c>
      <c r="AE144">
        <v>4.9735710897457697</v>
      </c>
    </row>
    <row r="145" spans="1:31" x14ac:dyDescent="0.2">
      <c r="A145">
        <v>144</v>
      </c>
      <c r="B145">
        <v>759</v>
      </c>
      <c r="C145">
        <v>180</v>
      </c>
      <c r="D145">
        <v>0.40537760984353299</v>
      </c>
      <c r="E145">
        <v>96.495675338787393</v>
      </c>
      <c r="F145">
        <v>2.1987205537686001</v>
      </c>
      <c r="G145">
        <v>-1574.3836090811412</v>
      </c>
      <c r="H145">
        <v>-1321.3319879191015</v>
      </c>
      <c r="I145">
        <v>245.169424174818</v>
      </c>
      <c r="J145">
        <v>129.12613501220699</v>
      </c>
      <c r="K145">
        <v>43.887193928939098</v>
      </c>
      <c r="L145">
        <v>1.4088024830805339E-4</v>
      </c>
      <c r="M145">
        <v>1.7309164500529843E-5</v>
      </c>
      <c r="N145" s="1">
        <v>2.77763739714095E-6</v>
      </c>
      <c r="O145" s="1">
        <v>8.1779584269638799E-8</v>
      </c>
      <c r="P145" s="1">
        <v>-4.1908297369000702E-7</v>
      </c>
      <c r="Q145">
        <v>73.483686920994401</v>
      </c>
      <c r="R145">
        <v>7.1505795215953502E-2</v>
      </c>
      <c r="S145">
        <v>12.0694118447799</v>
      </c>
      <c r="T145">
        <v>0.16892473707678099</v>
      </c>
      <c r="V145">
        <v>0.38688391527513899</v>
      </c>
      <c r="W145">
        <v>2.4871580944675099E-2</v>
      </c>
      <c r="X145">
        <v>5.1815793634759702E-2</v>
      </c>
      <c r="AA145">
        <v>0.473274654553832</v>
      </c>
      <c r="AB145">
        <v>3.6647424423929</v>
      </c>
      <c r="AC145">
        <v>4.6446926698134101</v>
      </c>
      <c r="AD145">
        <v>6.2178952361669603E-3</v>
      </c>
      <c r="AE145">
        <v>4.9539717500819904</v>
      </c>
    </row>
    <row r="146" spans="1:31" x14ac:dyDescent="0.2">
      <c r="A146">
        <v>145</v>
      </c>
      <c r="B146">
        <v>758</v>
      </c>
      <c r="C146">
        <v>180</v>
      </c>
      <c r="D146">
        <v>0.40473306502448703</v>
      </c>
      <c r="E146">
        <v>80.472137496132206</v>
      </c>
      <c r="F146">
        <v>2.20116481698027</v>
      </c>
      <c r="G146">
        <v>-1311.5796680086519</v>
      </c>
      <c r="H146">
        <v>-1100.9733084481047</v>
      </c>
      <c r="I146">
        <v>204.24415415850899</v>
      </c>
      <c r="J146">
        <v>107.666406175421</v>
      </c>
      <c r="K146">
        <v>36.558887764947102</v>
      </c>
      <c r="L146">
        <v>1.4078124409435102E-4</v>
      </c>
      <c r="M146">
        <v>1.7281062010074114E-5</v>
      </c>
      <c r="N146" s="1">
        <v>2.3125591622091201E-6</v>
      </c>
      <c r="O146" s="1">
        <v>6.7972911134607701E-8</v>
      </c>
      <c r="P146" s="1">
        <v>-3.4860309491858398E-7</v>
      </c>
      <c r="Q146">
        <v>73.364750142790797</v>
      </c>
      <c r="R146">
        <v>8.5743963248553004E-2</v>
      </c>
      <c r="S146">
        <v>12.069970097572</v>
      </c>
      <c r="T146">
        <v>0.20249792800842001</v>
      </c>
      <c r="V146">
        <v>0.46397652428249098</v>
      </c>
      <c r="W146">
        <v>2.9823987216878199E-2</v>
      </c>
      <c r="X146">
        <v>6.21333067018741E-2</v>
      </c>
      <c r="AA146">
        <v>0.48263276610972999</v>
      </c>
      <c r="AB146">
        <v>3.6170741021149002</v>
      </c>
      <c r="AC146">
        <v>4.6738162146465001</v>
      </c>
      <c r="AD146">
        <v>7.4559968042149701E-3</v>
      </c>
      <c r="AE146">
        <v>4.9401249705035601</v>
      </c>
    </row>
    <row r="147" spans="1:31" x14ac:dyDescent="0.2">
      <c r="A147">
        <v>146</v>
      </c>
      <c r="B147">
        <v>757</v>
      </c>
      <c r="C147">
        <v>180</v>
      </c>
      <c r="D147">
        <v>0.40408726884434598</v>
      </c>
      <c r="E147">
        <v>64.128286358365798</v>
      </c>
      <c r="F147">
        <v>2.2042696126987602</v>
      </c>
      <c r="G147">
        <v>-1043.8263539841873</v>
      </c>
      <c r="H147">
        <v>-876.28883812981871</v>
      </c>
      <c r="I147">
        <v>162.63409780553101</v>
      </c>
      <c r="J147">
        <v>85.802227322538897</v>
      </c>
      <c r="K147">
        <v>29.092759791689598</v>
      </c>
      <c r="L147">
        <v>1.4089123964534551E-4</v>
      </c>
      <c r="M147">
        <v>1.7268361344361033E-5</v>
      </c>
      <c r="N147" s="1">
        <v>1.84247588229918E-6</v>
      </c>
      <c r="O147" s="1">
        <v>5.4057641695182897E-8</v>
      </c>
      <c r="P147" s="1">
        <v>-2.7739439600180602E-7</v>
      </c>
      <c r="Q147">
        <v>73.192390193871901</v>
      </c>
      <c r="R147">
        <v>0.107596824924373</v>
      </c>
      <c r="S147">
        <v>12.0670354672732</v>
      </c>
      <c r="T147">
        <v>0.253720450757979</v>
      </c>
      <c r="V147">
        <v>0.582574167196662</v>
      </c>
      <c r="W147">
        <v>3.7424982582374498E-2</v>
      </c>
      <c r="X147">
        <v>7.79687137133553E-2</v>
      </c>
      <c r="AA147">
        <v>0.49615579891448403</v>
      </c>
      <c r="AB147">
        <v>3.5784924249452299</v>
      </c>
      <c r="AC147">
        <v>4.66386397023948</v>
      </c>
      <c r="AD147">
        <v>9.3562456455872599E-3</v>
      </c>
      <c r="AE147">
        <v>4.9334207599352604</v>
      </c>
    </row>
    <row r="148" spans="1:31" x14ac:dyDescent="0.2">
      <c r="A148">
        <v>147</v>
      </c>
      <c r="B148">
        <v>756</v>
      </c>
      <c r="C148">
        <v>180</v>
      </c>
      <c r="D148">
        <v>0.40344021765534699</v>
      </c>
      <c r="E148">
        <v>36.995955555763601</v>
      </c>
      <c r="F148">
        <v>2.2070375395464201</v>
      </c>
      <c r="G148">
        <v>-601.85739000953276</v>
      </c>
      <c r="H148">
        <v>-505.41856311138844</v>
      </c>
      <c r="I148">
        <v>93.707260261521</v>
      </c>
      <c r="J148">
        <v>49.5158535922684</v>
      </c>
      <c r="K148">
        <v>16.762721472950901</v>
      </c>
      <c r="L148">
        <v>1.4068980666920766E-4</v>
      </c>
      <c r="M148">
        <v>1.7237713358643458E-5</v>
      </c>
      <c r="N148" s="1">
        <v>1.0602803711118201E-6</v>
      </c>
      <c r="O148" s="1">
        <v>3.1056158959407499E-8</v>
      </c>
      <c r="P148" s="1">
        <v>-1.59265993510184E-7</v>
      </c>
      <c r="Q148">
        <v>73.037142700482406</v>
      </c>
      <c r="R148">
        <v>0.135147682615961</v>
      </c>
      <c r="S148">
        <v>12.1396002961677</v>
      </c>
      <c r="T148">
        <v>0.26341066593920898</v>
      </c>
      <c r="V148">
        <v>0.60625609443549799</v>
      </c>
      <c r="W148">
        <v>6.4871955973174203E-2</v>
      </c>
      <c r="X148">
        <v>0.12931671112113999</v>
      </c>
      <c r="AA148">
        <v>0.51820164277507297</v>
      </c>
      <c r="AB148">
        <v>3.4889723227470801</v>
      </c>
      <c r="AC148">
        <v>4.6853543060816296</v>
      </c>
      <c r="AD148">
        <v>1.6217988993281699E-2</v>
      </c>
      <c r="AE148">
        <v>4.9155076326677101</v>
      </c>
    </row>
    <row r="149" spans="1:31" x14ac:dyDescent="0.2">
      <c r="A149">
        <v>148</v>
      </c>
      <c r="B149">
        <v>755</v>
      </c>
      <c r="C149">
        <v>180</v>
      </c>
      <c r="D149">
        <v>0.40279190779555302</v>
      </c>
      <c r="E149">
        <v>20.099825875775899</v>
      </c>
      <c r="F149">
        <v>2.2095509826531701</v>
      </c>
      <c r="G149">
        <v>-326.94977409854692</v>
      </c>
      <c r="H149">
        <v>-274.67844631564606</v>
      </c>
      <c r="I149">
        <v>50.840176805817002</v>
      </c>
      <c r="J149">
        <v>26.915406864944298</v>
      </c>
      <c r="K149">
        <v>9.0967920783798899</v>
      </c>
      <c r="L149">
        <v>1.404273100859179E-4</v>
      </c>
      <c r="M149">
        <v>1.7212937682193665E-5</v>
      </c>
      <c r="N149" s="1">
        <v>5.7461618851903599E-7</v>
      </c>
      <c r="O149" s="1">
        <v>1.6802335105841E-8</v>
      </c>
      <c r="P149" s="1">
        <v>-8.6023039431867806E-8</v>
      </c>
      <c r="Q149">
        <v>72.851824304217203</v>
      </c>
      <c r="R149">
        <v>0.16290360274783899</v>
      </c>
      <c r="S149">
        <v>12.3126526152941</v>
      </c>
      <c r="T149">
        <v>0.24990794555573501</v>
      </c>
      <c r="V149">
        <v>0.57745439911624497</v>
      </c>
      <c r="W149">
        <v>0.119404019459243</v>
      </c>
      <c r="X149">
        <v>0.17817717970601599</v>
      </c>
      <c r="AA149">
        <v>0.53370120647279395</v>
      </c>
      <c r="AB149">
        <v>3.3690697017592499</v>
      </c>
      <c r="AC149">
        <v>4.7173340768963596</v>
      </c>
      <c r="AD149">
        <v>2.9851004864776001E-2</v>
      </c>
      <c r="AE149">
        <v>4.8977199439103103</v>
      </c>
    </row>
    <row r="150" spans="1:31" x14ac:dyDescent="0.2">
      <c r="A150">
        <v>149</v>
      </c>
      <c r="B150">
        <v>754</v>
      </c>
      <c r="C150">
        <v>180</v>
      </c>
      <c r="D150">
        <v>0.402142335588766</v>
      </c>
      <c r="E150">
        <v>12.1050303847127</v>
      </c>
      <c r="F150">
        <v>2.2121196539593901</v>
      </c>
      <c r="G150">
        <v>-196.85725851465682</v>
      </c>
      <c r="H150">
        <v>-165.44968580203135</v>
      </c>
      <c r="I150">
        <v>30.577396400355699</v>
      </c>
      <c r="J150">
        <v>16.216341097677901</v>
      </c>
      <c r="K150">
        <v>5.4721408776629099</v>
      </c>
      <c r="L150">
        <v>1.4029845169396158E-4</v>
      </c>
      <c r="M150">
        <v>1.7209940190994876E-5</v>
      </c>
      <c r="N150" s="1">
        <v>3.4577220912956901E-7</v>
      </c>
      <c r="O150" s="1">
        <v>1.00924530908247E-8</v>
      </c>
      <c r="P150" s="1">
        <v>-5.1550944880005602E-8</v>
      </c>
      <c r="Q150">
        <v>72.600739087029297</v>
      </c>
      <c r="R150">
        <v>0.17677726814009301</v>
      </c>
      <c r="S150">
        <v>12.5789578854671</v>
      </c>
      <c r="T150">
        <v>0.24187070262825899</v>
      </c>
      <c r="V150">
        <v>0.56250274141159495</v>
      </c>
      <c r="W150">
        <v>0.197278018897319</v>
      </c>
      <c r="X150">
        <v>0.18070000345810999</v>
      </c>
      <c r="AA150">
        <v>0.54281476441027299</v>
      </c>
      <c r="AB150">
        <v>3.2336470824007102</v>
      </c>
      <c r="AC150">
        <v>4.7470513535327603</v>
      </c>
      <c r="AD150">
        <v>4.9566170503494197E-2</v>
      </c>
      <c r="AE150">
        <v>4.8880949221208798</v>
      </c>
    </row>
    <row r="151" spans="1:31" x14ac:dyDescent="0.2">
      <c r="A151">
        <v>150</v>
      </c>
      <c r="B151">
        <v>753</v>
      </c>
      <c r="C151">
        <v>180</v>
      </c>
      <c r="D151">
        <v>0.401491497344444</v>
      </c>
      <c r="E151">
        <v>8.7311859140260104</v>
      </c>
      <c r="F151">
        <v>2.2143930351608598</v>
      </c>
      <c r="G151">
        <v>-141.95522324573577</v>
      </c>
      <c r="H151">
        <v>-119.34877856512337</v>
      </c>
      <c r="I151">
        <v>22.0303510019124</v>
      </c>
      <c r="J151">
        <v>11.7019721406951</v>
      </c>
      <c r="K151">
        <v>3.9429251155460499</v>
      </c>
      <c r="L151">
        <v>1.4027815650106143E-4</v>
      </c>
      <c r="M151">
        <v>1.7217024949882016E-5</v>
      </c>
      <c r="N151" s="1">
        <v>2.4953336629397397E-7</v>
      </c>
      <c r="O151" s="1">
        <v>7.2695209971916402E-9</v>
      </c>
      <c r="P151" s="1">
        <v>-3.7057224081655099E-8</v>
      </c>
      <c r="Q151">
        <v>72.356377808894095</v>
      </c>
      <c r="R151">
        <v>0.17594761140609699</v>
      </c>
      <c r="S151">
        <v>12.8370105240569</v>
      </c>
      <c r="T151">
        <v>0.23850718256380199</v>
      </c>
      <c r="V151">
        <v>0.55815324452613502</v>
      </c>
      <c r="W151">
        <v>0.271234521246979</v>
      </c>
      <c r="X151">
        <v>0.18014198501377299</v>
      </c>
      <c r="AA151">
        <v>0.54843216880039802</v>
      </c>
      <c r="AB151">
        <v>3.1165801251582601</v>
      </c>
      <c r="AC151">
        <v>4.7637398003000504</v>
      </c>
      <c r="AD151">
        <v>6.8719187279541197E-2</v>
      </c>
      <c r="AE151">
        <v>4.8851558407539502</v>
      </c>
    </row>
    <row r="152" spans="1:31" x14ac:dyDescent="0.2">
      <c r="A152">
        <v>151</v>
      </c>
      <c r="B152">
        <v>771</v>
      </c>
      <c r="C152">
        <v>165</v>
      </c>
      <c r="D152">
        <v>0.42881817746492201</v>
      </c>
      <c r="E152">
        <v>103.792428336754</v>
      </c>
      <c r="F152">
        <v>2.1949023276083199</v>
      </c>
      <c r="G152">
        <v>-1697.8599861034995</v>
      </c>
      <c r="H152">
        <v>-1421.6689407938429</v>
      </c>
      <c r="I152">
        <v>264.51280497021997</v>
      </c>
      <c r="J152">
        <v>139.02056366068101</v>
      </c>
      <c r="K152">
        <v>47.287948548422101</v>
      </c>
      <c r="L152">
        <v>1.3931937122751441E-4</v>
      </c>
      <c r="M152">
        <v>1.7368918136283727E-5</v>
      </c>
      <c r="N152" s="1">
        <v>2.8655486498488698E-6</v>
      </c>
      <c r="O152" s="1">
        <v>8.7076886880211998E-8</v>
      </c>
      <c r="P152" s="1">
        <v>-4.4251533073876501E-7</v>
      </c>
      <c r="Q152">
        <v>73.569913743872206</v>
      </c>
      <c r="R152">
        <v>6.6478837720348793E-2</v>
      </c>
      <c r="S152">
        <v>12.1877869153977</v>
      </c>
      <c r="T152">
        <v>0.15538974871472599</v>
      </c>
      <c r="V152">
        <v>0.361178529485777</v>
      </c>
      <c r="W152">
        <v>2.3123073989686299E-2</v>
      </c>
      <c r="X152">
        <v>4.81730708118474E-2</v>
      </c>
      <c r="AA152">
        <v>0.52026916476794605</v>
      </c>
      <c r="AB152">
        <v>3.82494182246062</v>
      </c>
      <c r="AC152">
        <v>4.4415571288522404</v>
      </c>
      <c r="AD152">
        <v>5.7807684974215097E-3</v>
      </c>
      <c r="AE152">
        <v>4.79540719542931</v>
      </c>
    </row>
    <row r="153" spans="1:31" x14ac:dyDescent="0.2">
      <c r="A153">
        <v>152</v>
      </c>
      <c r="B153">
        <v>770</v>
      </c>
      <c r="C153">
        <v>165</v>
      </c>
      <c r="D153">
        <v>0.428203518190098</v>
      </c>
      <c r="E153">
        <v>103.66942929343099</v>
      </c>
      <c r="F153">
        <v>2.1952225128299001</v>
      </c>
      <c r="G153">
        <v>-1695.5494459804877</v>
      </c>
      <c r="H153">
        <v>-1420.1154364889242</v>
      </c>
      <c r="I153">
        <v>264.04065521886901</v>
      </c>
      <c r="J153">
        <v>138.831321691623</v>
      </c>
      <c r="K153">
        <v>47.2250210115551</v>
      </c>
      <c r="L153">
        <v>1.3922012059201664E-4</v>
      </c>
      <c r="M153">
        <v>1.7358705613275094E-5</v>
      </c>
      <c r="N153" s="1">
        <v>2.8641581115123099E-6</v>
      </c>
      <c r="O153" s="1">
        <v>8.6874715652352894E-8</v>
      </c>
      <c r="P153" s="1">
        <v>-4.41637406326797E-7</v>
      </c>
      <c r="Q153">
        <v>73.584562506406996</v>
      </c>
      <c r="R153">
        <v>6.6557711825247501E-2</v>
      </c>
      <c r="S153">
        <v>12.178806088395699</v>
      </c>
      <c r="T153">
        <v>0.15579433481234201</v>
      </c>
      <c r="V153">
        <v>0.361408892004145</v>
      </c>
      <c r="W153">
        <v>2.3150508460955101E-2</v>
      </c>
      <c r="X153">
        <v>4.8230225960325598E-2</v>
      </c>
      <c r="AA153">
        <v>0.51849652938116697</v>
      </c>
      <c r="AB153">
        <v>3.8192978164456899</v>
      </c>
      <c r="AC153">
        <v>4.4446600048567202</v>
      </c>
      <c r="AD153">
        <v>5.7876271152385297E-3</v>
      </c>
      <c r="AE153">
        <v>4.7932477543353897</v>
      </c>
    </row>
    <row r="154" spans="1:31" x14ac:dyDescent="0.2">
      <c r="A154">
        <v>153</v>
      </c>
      <c r="B154">
        <v>769</v>
      </c>
      <c r="C154">
        <v>165</v>
      </c>
      <c r="D154">
        <v>0.42758767931679997</v>
      </c>
      <c r="E154">
        <v>103.206465963159</v>
      </c>
      <c r="F154">
        <v>2.1955641599299698</v>
      </c>
      <c r="G154">
        <v>-1687.5902210386228</v>
      </c>
      <c r="H154">
        <v>-1413.8830721387171</v>
      </c>
      <c r="I154">
        <v>262.63699937619799</v>
      </c>
      <c r="J154">
        <v>138.155604336278</v>
      </c>
      <c r="K154">
        <v>47.006809387183303</v>
      </c>
      <c r="L154">
        <v>1.3897126056303539E-4</v>
      </c>
      <c r="M154">
        <v>1.7340428576887219E-5</v>
      </c>
      <c r="N154" s="1">
        <v>2.85015472497538E-6</v>
      </c>
      <c r="O154" s="1">
        <v>8.62994950295861E-8</v>
      </c>
      <c r="P154" s="1">
        <v>-4.3864467728488798E-7</v>
      </c>
      <c r="Q154">
        <v>73.639403232074699</v>
      </c>
      <c r="R154">
        <v>6.68562762575661E-2</v>
      </c>
      <c r="S154">
        <v>12.144900283274801</v>
      </c>
      <c r="T154">
        <v>0.15667157684038099</v>
      </c>
      <c r="V154">
        <v>0.36286959076186398</v>
      </c>
      <c r="W154">
        <v>2.3254356959152601E-2</v>
      </c>
      <c r="X154">
        <v>4.8446576998238101E-2</v>
      </c>
      <c r="AA154">
        <v>0.51200268077337996</v>
      </c>
      <c r="AB154">
        <v>3.7978979588008599</v>
      </c>
      <c r="AC154">
        <v>4.4561789289951301</v>
      </c>
      <c r="AD154">
        <v>5.8135892397878199E-3</v>
      </c>
      <c r="AE154">
        <v>4.78570494902399</v>
      </c>
    </row>
    <row r="155" spans="1:31" x14ac:dyDescent="0.2">
      <c r="A155">
        <v>154</v>
      </c>
      <c r="B155">
        <v>768</v>
      </c>
      <c r="C155">
        <v>165</v>
      </c>
      <c r="D155">
        <v>0.42697065744609403</v>
      </c>
      <c r="E155">
        <v>102.74178788916301</v>
      </c>
      <c r="F155">
        <v>2.1959074644366399</v>
      </c>
      <c r="G155">
        <v>-1679.6073251905104</v>
      </c>
      <c r="H155">
        <v>-1407.6274096941142</v>
      </c>
      <c r="I155">
        <v>261.23028909993297</v>
      </c>
      <c r="J155">
        <v>137.47794234854899</v>
      </c>
      <c r="K155">
        <v>46.7878494668361</v>
      </c>
      <c r="L155">
        <v>1.3872090212465048E-4</v>
      </c>
      <c r="M155">
        <v>1.7322141825812726E-5</v>
      </c>
      <c r="N155" s="1">
        <v>2.8360806465132E-6</v>
      </c>
      <c r="O155" s="1">
        <v>8.5724015856986903E-8</v>
      </c>
      <c r="P155" s="1">
        <v>-4.3564500392559397E-7</v>
      </c>
      <c r="Q155">
        <v>73.694541107774199</v>
      </c>
      <c r="R155">
        <v>6.7158652207256794E-2</v>
      </c>
      <c r="S155">
        <v>12.1108753661004</v>
      </c>
      <c r="T155">
        <v>0.157559029377871</v>
      </c>
      <c r="V155">
        <v>0.36434982646949998</v>
      </c>
      <c r="W155">
        <v>2.3359531202523098E-2</v>
      </c>
      <c r="X155">
        <v>4.8665690005260699E-2</v>
      </c>
      <c r="AA155">
        <v>0.50577878883472804</v>
      </c>
      <c r="AB155">
        <v>3.7762568045726401</v>
      </c>
      <c r="AC155">
        <v>4.4674935488586502</v>
      </c>
      <c r="AD155">
        <v>5.83988280063036E-3</v>
      </c>
      <c r="AE155">
        <v>4.7781217717961999</v>
      </c>
    </row>
    <row r="156" spans="1:31" x14ac:dyDescent="0.2">
      <c r="A156">
        <v>155</v>
      </c>
      <c r="B156">
        <v>767</v>
      </c>
      <c r="C156">
        <v>165</v>
      </c>
      <c r="D156">
        <v>0.42635244916598902</v>
      </c>
      <c r="E156">
        <v>102.275574924596</v>
      </c>
      <c r="F156">
        <v>2.1962521944760902</v>
      </c>
      <c r="G156">
        <v>-1671.60383802151</v>
      </c>
      <c r="H156">
        <v>-1401.3509522711786</v>
      </c>
      <c r="I156">
        <v>259.82106979794298</v>
      </c>
      <c r="J156">
        <v>136.79859623125199</v>
      </c>
      <c r="K156">
        <v>46.568228904601803</v>
      </c>
      <c r="L156">
        <v>1.3846916301710015E-4</v>
      </c>
      <c r="M156">
        <v>1.7303856973801543E-5</v>
      </c>
      <c r="N156" s="1">
        <v>2.8219449670601099E-6</v>
      </c>
      <c r="O156" s="1">
        <v>8.5148547649019794E-8</v>
      </c>
      <c r="P156" s="1">
        <v>-4.3263986424210999E-7</v>
      </c>
      <c r="Q156">
        <v>73.749973945953101</v>
      </c>
      <c r="R156">
        <v>6.74647881968609E-2</v>
      </c>
      <c r="S156">
        <v>12.0767329310573</v>
      </c>
      <c r="T156">
        <v>0.15845660658170399</v>
      </c>
      <c r="V156">
        <v>0.36584928842355502</v>
      </c>
      <c r="W156">
        <v>2.3466013285863601E-2</v>
      </c>
      <c r="X156">
        <v>4.8887527678887301E-2</v>
      </c>
      <c r="AA156">
        <v>0.499820769621105</v>
      </c>
      <c r="AB156">
        <v>3.7543925823500501</v>
      </c>
      <c r="AC156">
        <v>4.4785845932122896</v>
      </c>
      <c r="AD156">
        <v>5.8665033214653998E-3</v>
      </c>
      <c r="AE156">
        <v>4.7705044503176603</v>
      </c>
    </row>
    <row r="157" spans="1:31" x14ac:dyDescent="0.2">
      <c r="A157">
        <v>156</v>
      </c>
      <c r="B157">
        <v>766</v>
      </c>
      <c r="C157">
        <v>165</v>
      </c>
      <c r="D157">
        <v>0.42573305105134501</v>
      </c>
      <c r="E157">
        <v>101.80800204229</v>
      </c>
      <c r="F157">
        <v>2.1965981139507398</v>
      </c>
      <c r="G157">
        <v>-1663.5827564121773</v>
      </c>
      <c r="H157">
        <v>-1395.0561370283767</v>
      </c>
      <c r="I157">
        <v>258.40987286128001</v>
      </c>
      <c r="J157">
        <v>136.11781942541401</v>
      </c>
      <c r="K157">
        <v>46.348033077011401</v>
      </c>
      <c r="L157">
        <v>1.3821616254608822E-4</v>
      </c>
      <c r="M157">
        <v>1.7285585815975747E-5</v>
      </c>
      <c r="N157" s="1">
        <v>2.8077566508840099E-6</v>
      </c>
      <c r="O157" s="1">
        <v>8.4573354119072397E-8</v>
      </c>
      <c r="P157" s="1">
        <v>-4.2963070638164698E-7</v>
      </c>
      <c r="Q157">
        <v>73.805699821757599</v>
      </c>
      <c r="R157">
        <v>6.77746332467455E-2</v>
      </c>
      <c r="S157">
        <v>12.0424744190918</v>
      </c>
      <c r="T157">
        <v>0.15936422320898999</v>
      </c>
      <c r="V157">
        <v>0.367367669132175</v>
      </c>
      <c r="W157">
        <v>2.3573785477127601E-2</v>
      </c>
      <c r="X157">
        <v>4.9112053077354903E-2</v>
      </c>
      <c r="AA157">
        <v>0.49412440861790802</v>
      </c>
      <c r="AB157">
        <v>3.7323238418230398</v>
      </c>
      <c r="AC157">
        <v>4.4894323795437803</v>
      </c>
      <c r="AD157">
        <v>5.8934463692813296E-3</v>
      </c>
      <c r="AE157">
        <v>4.7628593186540904</v>
      </c>
    </row>
    <row r="158" spans="1:31" x14ac:dyDescent="0.2">
      <c r="A158">
        <v>157</v>
      </c>
      <c r="B158">
        <v>765</v>
      </c>
      <c r="C158">
        <v>165</v>
      </c>
      <c r="D158">
        <v>0.42511245966382499</v>
      </c>
      <c r="E158">
        <v>100.87896329331301</v>
      </c>
      <c r="F158">
        <v>2.19709477305015</v>
      </c>
      <c r="G158">
        <v>-1647.913665027261</v>
      </c>
      <c r="H158">
        <v>-1382.339349465077</v>
      </c>
      <c r="I158">
        <v>255.814974292909</v>
      </c>
      <c r="J158">
        <v>134.82197150339201</v>
      </c>
      <c r="K158">
        <v>45.914707244633902</v>
      </c>
      <c r="L158">
        <v>1.379588590740043E-4</v>
      </c>
      <c r="M158">
        <v>1.7262497485202666E-5</v>
      </c>
      <c r="N158" s="1">
        <v>2.7796277649102101E-6</v>
      </c>
      <c r="O158" s="1">
        <v>8.3584534736204795E-8</v>
      </c>
      <c r="P158" s="1">
        <v>-4.2467887551960501E-7</v>
      </c>
      <c r="Q158">
        <v>73.841030066731705</v>
      </c>
      <c r="R158">
        <v>6.8398799657941906E-2</v>
      </c>
      <c r="S158">
        <v>12.0172955235504</v>
      </c>
      <c r="T158">
        <v>0.16104085786345201</v>
      </c>
      <c r="V158">
        <v>0.37056287761676299</v>
      </c>
      <c r="W158">
        <v>2.37908868375429E-2</v>
      </c>
      <c r="X158">
        <v>4.9564347578223901E-2</v>
      </c>
      <c r="AA158">
        <v>0.48708350048547</v>
      </c>
      <c r="AB158">
        <v>3.7071819568503801</v>
      </c>
      <c r="AC158">
        <v>4.5149776191708204</v>
      </c>
      <c r="AD158">
        <v>5.9477217093847302E-3</v>
      </c>
      <c r="AE158">
        <v>4.7531258419478304</v>
      </c>
    </row>
    <row r="159" spans="1:31" x14ac:dyDescent="0.2">
      <c r="A159">
        <v>158</v>
      </c>
      <c r="B159">
        <v>764</v>
      </c>
      <c r="C159">
        <v>165</v>
      </c>
      <c r="D159">
        <v>0.424490671551851</v>
      </c>
      <c r="E159">
        <v>98.374571715473607</v>
      </c>
      <c r="F159">
        <v>2.19810678047316</v>
      </c>
      <c r="G159">
        <v>-1606.1541135779303</v>
      </c>
      <c r="H159">
        <v>-1347.7172460370557</v>
      </c>
      <c r="I159">
        <v>249.17983661078301</v>
      </c>
      <c r="J159">
        <v>131.42524633142099</v>
      </c>
      <c r="K159">
        <v>44.754227860712803</v>
      </c>
      <c r="L159">
        <v>1.3768059279466678E-4</v>
      </c>
      <c r="M159">
        <v>1.7223017907511341E-5</v>
      </c>
      <c r="N159" s="1">
        <v>2.7040654112542201E-6</v>
      </c>
      <c r="O159" s="1">
        <v>8.1187313260801903E-8</v>
      </c>
      <c r="P159" s="1">
        <v>-4.1306446759928002E-7</v>
      </c>
      <c r="Q159">
        <v>73.810016306309294</v>
      </c>
      <c r="R159">
        <v>7.0140076644572003E-2</v>
      </c>
      <c r="S159">
        <v>12.0211825668225</v>
      </c>
      <c r="T159">
        <v>0.16544074191034899</v>
      </c>
      <c r="V159">
        <v>0.37972648064785097</v>
      </c>
      <c r="W159">
        <v>2.4396548398109501E-2</v>
      </c>
      <c r="X159">
        <v>5.0826142496072903E-2</v>
      </c>
      <c r="AA159">
        <v>0.476006508601861</v>
      </c>
      <c r="AB159">
        <v>3.6705741604486701</v>
      </c>
      <c r="AC159">
        <v>4.5893778832773799</v>
      </c>
      <c r="AD159">
        <v>6.0991370995262303E-3</v>
      </c>
      <c r="AE159">
        <v>4.7362134473436903</v>
      </c>
    </row>
    <row r="160" spans="1:31" x14ac:dyDescent="0.2">
      <c r="A160">
        <v>159</v>
      </c>
      <c r="B160">
        <v>763</v>
      </c>
      <c r="C160">
        <v>165</v>
      </c>
      <c r="D160">
        <v>0.42386768325049901</v>
      </c>
      <c r="E160">
        <v>95.575256739712898</v>
      </c>
      <c r="F160">
        <v>2.1992035208700398</v>
      </c>
      <c r="G160">
        <v>-1559.5815022868142</v>
      </c>
      <c r="H160">
        <v>-1309.0403427907336</v>
      </c>
      <c r="I160">
        <v>241.800086373672</v>
      </c>
      <c r="J160">
        <v>127.635193327487</v>
      </c>
      <c r="K160">
        <v>43.459032250867601</v>
      </c>
      <c r="L160">
        <v>1.3738287106006923E-4</v>
      </c>
      <c r="M160">
        <v>1.7181557127724468E-5</v>
      </c>
      <c r="N160" s="1">
        <v>2.6200722647358102E-6</v>
      </c>
      <c r="O160" s="1">
        <v>7.8546303959915898E-8</v>
      </c>
      <c r="P160" s="1">
        <v>-4.0016491266011102E-7</v>
      </c>
      <c r="Q160">
        <v>73.7768589725613</v>
      </c>
      <c r="R160">
        <v>7.2194417628315299E-2</v>
      </c>
      <c r="S160">
        <v>12.0249885466735</v>
      </c>
      <c r="T160">
        <v>0.17058481551438201</v>
      </c>
      <c r="V160">
        <v>0.39057977659765297</v>
      </c>
      <c r="W160">
        <v>2.5111101783758999E-2</v>
      </c>
      <c r="X160">
        <v>5.2314795382843997E-2</v>
      </c>
      <c r="AA160">
        <v>0.46685725423754199</v>
      </c>
      <c r="AB160">
        <v>3.6295425285718301</v>
      </c>
      <c r="AC160">
        <v>4.66657050404286</v>
      </c>
      <c r="AD160">
        <v>6.2777754459386699E-3</v>
      </c>
      <c r="AE160">
        <v>4.7181195115599301</v>
      </c>
    </row>
    <row r="161" spans="1:31" x14ac:dyDescent="0.2">
      <c r="A161">
        <v>160</v>
      </c>
      <c r="B161">
        <v>762</v>
      </c>
      <c r="C161">
        <v>165</v>
      </c>
      <c r="D161">
        <v>0.42324349128146099</v>
      </c>
      <c r="E161">
        <v>85.161596291756098</v>
      </c>
      <c r="F161">
        <v>2.2010960157605899</v>
      </c>
      <c r="G161">
        <v>-1388.4914392298767</v>
      </c>
      <c r="H161">
        <v>-1165.7212209927957</v>
      </c>
      <c r="I161">
        <v>215.20573659574001</v>
      </c>
      <c r="J161">
        <v>113.697107695722</v>
      </c>
      <c r="K161">
        <v>38.690541294868602</v>
      </c>
      <c r="L161">
        <v>1.3718058080178911E-4</v>
      </c>
      <c r="M161">
        <v>1.7146130855189082E-5</v>
      </c>
      <c r="N161" s="1">
        <v>2.3291612964215699E-6</v>
      </c>
      <c r="O161" s="1">
        <v>6.9715251805252104E-8</v>
      </c>
      <c r="P161" s="1">
        <v>-3.5552661181464902E-7</v>
      </c>
      <c r="Q161">
        <v>73.694960270929798</v>
      </c>
      <c r="R161">
        <v>8.1022436173715698E-2</v>
      </c>
      <c r="S161">
        <v>12.0276722652173</v>
      </c>
      <c r="T161">
        <v>0.19154889708280701</v>
      </c>
      <c r="V161">
        <v>0.43824605999196398</v>
      </c>
      <c r="W161">
        <v>2.81817169299819E-2</v>
      </c>
      <c r="X161">
        <v>5.8711910270822801E-2</v>
      </c>
      <c r="AA161">
        <v>0.47121089071998701</v>
      </c>
      <c r="AB161">
        <v>3.57994794922744</v>
      </c>
      <c r="AC161">
        <v>4.7196788182895499</v>
      </c>
      <c r="AD161">
        <v>7.0454292324932501E-3</v>
      </c>
      <c r="AE161">
        <v>4.70177335593403</v>
      </c>
    </row>
    <row r="162" spans="1:31" x14ac:dyDescent="0.2">
      <c r="A162">
        <v>161</v>
      </c>
      <c r="B162">
        <v>761</v>
      </c>
      <c r="C162">
        <v>165</v>
      </c>
      <c r="D162">
        <v>0.42261809215297602</v>
      </c>
      <c r="E162">
        <v>67.793367760141393</v>
      </c>
      <c r="F162">
        <v>2.20416139956663</v>
      </c>
      <c r="G162">
        <v>-1103.9053490186304</v>
      </c>
      <c r="H162">
        <v>-926.89152860089325</v>
      </c>
      <c r="I162">
        <v>171.168418911896</v>
      </c>
      <c r="J162">
        <v>90.509579273579703</v>
      </c>
      <c r="K162">
        <v>30.756988927158599</v>
      </c>
      <c r="L162">
        <v>1.372443965914894E-4</v>
      </c>
      <c r="M162">
        <v>1.7130164719644663E-5</v>
      </c>
      <c r="N162" s="1">
        <v>1.8530067304432499E-6</v>
      </c>
      <c r="O162" s="1">
        <v>5.5365333005761098E-8</v>
      </c>
      <c r="P162" s="1">
        <v>-2.8248900819465499E-7</v>
      </c>
      <c r="Q162">
        <v>73.528871447796405</v>
      </c>
      <c r="R162">
        <v>0.10177986767693301</v>
      </c>
      <c r="S162">
        <v>12.026501766224699</v>
      </c>
      <c r="T162">
        <v>0.24027292307063999</v>
      </c>
      <c r="V162">
        <v>0.55083646201099201</v>
      </c>
      <c r="W162">
        <v>3.5401693105007397E-2</v>
      </c>
      <c r="X162">
        <v>7.3753527302155494E-2</v>
      </c>
      <c r="AA162">
        <v>0.489143012333347</v>
      </c>
      <c r="AB162">
        <v>3.5345131289562501</v>
      </c>
      <c r="AC162">
        <v>4.7165300657604998</v>
      </c>
      <c r="AD162">
        <v>8.8504232762464906E-3</v>
      </c>
      <c r="AE162">
        <v>4.6935456824866497</v>
      </c>
    </row>
    <row r="163" spans="1:31" x14ac:dyDescent="0.2">
      <c r="A163">
        <v>162</v>
      </c>
      <c r="B163">
        <v>760</v>
      </c>
      <c r="C163">
        <v>165</v>
      </c>
      <c r="D163">
        <v>0.42199148235977502</v>
      </c>
      <c r="E163">
        <v>55.989624268937398</v>
      </c>
      <c r="F163">
        <v>2.2071842034512601</v>
      </c>
      <c r="G163">
        <v>-910.52734436275637</v>
      </c>
      <c r="H163">
        <v>-764.58561799862264</v>
      </c>
      <c r="I163">
        <v>141.2589908185</v>
      </c>
      <c r="J163">
        <v>74.753818299443196</v>
      </c>
      <c r="K163">
        <v>25.366992107586199</v>
      </c>
      <c r="L163">
        <v>1.3736723023339588E-4</v>
      </c>
      <c r="M163">
        <v>1.7118985383625032E-5</v>
      </c>
      <c r="N163" s="1">
        <v>1.5302840603630601E-6</v>
      </c>
      <c r="O163" s="1">
        <v>4.5640177759155698E-8</v>
      </c>
      <c r="P163" s="1">
        <v>-2.3300330872744599E-7</v>
      </c>
      <c r="Q163">
        <v>73.3593922627539</v>
      </c>
      <c r="R163">
        <v>0.12323711920012501</v>
      </c>
      <c r="S163">
        <v>12.023429599932699</v>
      </c>
      <c r="T163">
        <v>0.29049717019215399</v>
      </c>
      <c r="V163">
        <v>0.66735095448149395</v>
      </c>
      <c r="W163">
        <v>4.2865084939152302E-2</v>
      </c>
      <c r="X163">
        <v>8.9302260289997396E-2</v>
      </c>
      <c r="AA163">
        <v>0.50110284404290695</v>
      </c>
      <c r="AB163">
        <v>3.4990454499606698</v>
      </c>
      <c r="AC163">
        <v>4.7051250504595004</v>
      </c>
      <c r="AD163">
        <v>1.0716271234780301E-2</v>
      </c>
      <c r="AE163">
        <v>4.6879359325124899</v>
      </c>
    </row>
    <row r="164" spans="1:31" x14ac:dyDescent="0.2">
      <c r="A164">
        <v>163</v>
      </c>
      <c r="B164">
        <v>759</v>
      </c>
      <c r="C164">
        <v>165</v>
      </c>
      <c r="D164">
        <v>0.42136365838299</v>
      </c>
      <c r="E164">
        <v>26.3730980764003</v>
      </c>
      <c r="F164">
        <v>2.20942870092667</v>
      </c>
      <c r="G164">
        <v>-429.0059134673603</v>
      </c>
      <c r="H164">
        <v>-360.44215010165777</v>
      </c>
      <c r="I164">
        <v>66.428099952238099</v>
      </c>
      <c r="J164">
        <v>35.234677783970703</v>
      </c>
      <c r="K164">
        <v>11.9366142321492</v>
      </c>
      <c r="L164">
        <v>1.3688536217930643E-4</v>
      </c>
      <c r="M164">
        <v>1.7073863108639888E-5</v>
      </c>
      <c r="N164" s="1">
        <v>7.1763320530010397E-7</v>
      </c>
      <c r="O164" s="1">
        <v>2.1370173409214201E-8</v>
      </c>
      <c r="P164" s="1">
        <v>-1.08899404529857E-7</v>
      </c>
      <c r="Q164">
        <v>73.222341803544197</v>
      </c>
      <c r="R164">
        <v>0.15062081886015299</v>
      </c>
      <c r="S164">
        <v>12.1776641069745</v>
      </c>
      <c r="T164">
        <v>0.257012188435088</v>
      </c>
      <c r="V164">
        <v>0.59198195644825802</v>
      </c>
      <c r="W164">
        <v>9.1001822882029307E-2</v>
      </c>
      <c r="X164">
        <v>0.17516039101901801</v>
      </c>
      <c r="AA164">
        <v>0.53221175536366605</v>
      </c>
      <c r="AB164">
        <v>3.3582764197352</v>
      </c>
      <c r="AC164">
        <v>4.7590562222015897</v>
      </c>
      <c r="AD164">
        <v>2.2750455720483599E-2</v>
      </c>
      <c r="AE164">
        <v>4.6619220588157297</v>
      </c>
    </row>
    <row r="165" spans="1:31" x14ac:dyDescent="0.2">
      <c r="A165">
        <v>164</v>
      </c>
      <c r="B165">
        <v>758</v>
      </c>
      <c r="C165">
        <v>165</v>
      </c>
      <c r="D165">
        <v>0.42073461669010398</v>
      </c>
      <c r="E165">
        <v>15.0429590898529</v>
      </c>
      <c r="F165">
        <v>2.2119988995201698</v>
      </c>
      <c r="G165">
        <v>-244.65544887871906</v>
      </c>
      <c r="H165">
        <v>-205.64157799162919</v>
      </c>
      <c r="I165">
        <v>37.835301253057096</v>
      </c>
      <c r="J165">
        <v>20.104532677456</v>
      </c>
      <c r="K165">
        <v>6.8006178000884399</v>
      </c>
      <c r="L165">
        <v>1.3665716432228941E-4</v>
      </c>
      <c r="M165">
        <v>1.7058074965261089E-5</v>
      </c>
      <c r="N165" s="1">
        <v>4.08455742894709E-7</v>
      </c>
      <c r="O165" s="1">
        <v>1.21428154457929E-8</v>
      </c>
      <c r="P165" s="1">
        <v>-6.1738369607303295E-8</v>
      </c>
      <c r="Q165">
        <v>72.999211104450296</v>
      </c>
      <c r="R165">
        <v>0.18186229674382401</v>
      </c>
      <c r="S165">
        <v>12.4091055843198</v>
      </c>
      <c r="T165">
        <v>0.24378739130979199</v>
      </c>
      <c r="V165">
        <v>0.56448576924663396</v>
      </c>
      <c r="W165">
        <v>0.15954307830415501</v>
      </c>
      <c r="X165">
        <v>0.18751750342986501</v>
      </c>
      <c r="AA165">
        <v>0.54570648416471601</v>
      </c>
      <c r="AB165">
        <v>3.2236519137984998</v>
      </c>
      <c r="AC165">
        <v>4.7985671026254799</v>
      </c>
      <c r="AD165">
        <v>3.98857695759854E-2</v>
      </c>
      <c r="AE165">
        <v>4.6466760020308602</v>
      </c>
    </row>
    <row r="166" spans="1:31" x14ac:dyDescent="0.2">
      <c r="A166">
        <v>165</v>
      </c>
      <c r="B166">
        <v>757</v>
      </c>
      <c r="C166">
        <v>165</v>
      </c>
      <c r="D166">
        <v>0.42010435373489502</v>
      </c>
      <c r="E166">
        <v>10.179181635871</v>
      </c>
      <c r="F166">
        <v>2.21435614146402</v>
      </c>
      <c r="G166">
        <v>-165.51076588902754</v>
      </c>
      <c r="H166">
        <v>-139.16827761224798</v>
      </c>
      <c r="I166">
        <v>25.5715073307572</v>
      </c>
      <c r="J166">
        <v>13.610073808897701</v>
      </c>
      <c r="K166">
        <v>4.5969035627399197</v>
      </c>
      <c r="L166">
        <v>1.3659122200658543E-4</v>
      </c>
      <c r="M166">
        <v>1.7060985513070737E-5</v>
      </c>
      <c r="N166" s="1">
        <v>2.76387428480171E-7</v>
      </c>
      <c r="O166" s="1">
        <v>8.2013997750273E-9</v>
      </c>
      <c r="P166" s="1">
        <v>-4.1607464111682802E-8</v>
      </c>
      <c r="Q166">
        <v>72.754890858015301</v>
      </c>
      <c r="R166">
        <v>0.18613809675714801</v>
      </c>
      <c r="S166">
        <v>12.6669937614924</v>
      </c>
      <c r="T166">
        <v>0.238890498638309</v>
      </c>
      <c r="V166">
        <v>0.55663803104926401</v>
      </c>
      <c r="W166">
        <v>0.23410587717522</v>
      </c>
      <c r="X166">
        <v>0.18799124951531301</v>
      </c>
      <c r="AA166">
        <v>0.55272391083836003</v>
      </c>
      <c r="AB166">
        <v>3.1001359348313802</v>
      </c>
      <c r="AC166">
        <v>4.8212049273925102</v>
      </c>
      <c r="AD166">
        <v>5.8943834726789802E-2</v>
      </c>
      <c r="AE166">
        <v>4.6413430195678496</v>
      </c>
    </row>
    <row r="167" spans="1:31" x14ac:dyDescent="0.2">
      <c r="A167">
        <v>166</v>
      </c>
      <c r="B167">
        <v>778</v>
      </c>
      <c r="C167">
        <v>150</v>
      </c>
      <c r="D167">
        <v>0.44878514008467002</v>
      </c>
      <c r="E167">
        <v>103.53345346537699</v>
      </c>
      <c r="F167">
        <v>2.1952852785179502</v>
      </c>
      <c r="G167">
        <v>-1694.6980137961596</v>
      </c>
      <c r="H167">
        <v>-1418.0613919628613</v>
      </c>
      <c r="I167">
        <v>263.17520984949601</v>
      </c>
      <c r="J167">
        <v>138.48905636456001</v>
      </c>
      <c r="K167">
        <v>47.1617308595415</v>
      </c>
      <c r="L167">
        <v>1.3590634058619305E-4</v>
      </c>
      <c r="M167">
        <v>1.7232853927013099E-5</v>
      </c>
      <c r="N167" s="1">
        <v>2.7069973996316698E-6</v>
      </c>
      <c r="O167" s="1">
        <v>8.4215228278597603E-8</v>
      </c>
      <c r="P167" s="1">
        <v>-4.24804811692949E-7</v>
      </c>
      <c r="Q167">
        <v>73.753938890456794</v>
      </c>
      <c r="R167">
        <v>6.66451255033952E-2</v>
      </c>
      <c r="S167">
        <v>12.218273008956499</v>
      </c>
      <c r="T167">
        <v>0.15531057277548599</v>
      </c>
      <c r="V167">
        <v>0.36250295616023898</v>
      </c>
      <c r="W167">
        <v>2.3180913218571901E-2</v>
      </c>
      <c r="X167">
        <v>4.8293569205359599E-2</v>
      </c>
      <c r="AA167">
        <v>0.52157054741787401</v>
      </c>
      <c r="AB167">
        <v>3.8345093949054601</v>
      </c>
      <c r="AC167">
        <v>4.4526670807340096</v>
      </c>
      <c r="AD167">
        <v>5.7952283046428504E-3</v>
      </c>
      <c r="AE167">
        <v>4.5573127123615</v>
      </c>
    </row>
    <row r="168" spans="1:31" x14ac:dyDescent="0.2">
      <c r="A168">
        <v>167</v>
      </c>
      <c r="B168">
        <v>777</v>
      </c>
      <c r="C168">
        <v>150</v>
      </c>
      <c r="D168">
        <v>0.44819359139171</v>
      </c>
      <c r="E168">
        <v>103.533496075136</v>
      </c>
      <c r="F168">
        <v>2.1955826850099101</v>
      </c>
      <c r="G168">
        <v>-1694.4357049437156</v>
      </c>
      <c r="H168">
        <v>-1418.2005012784114</v>
      </c>
      <c r="I168">
        <v>263.04356869523701</v>
      </c>
      <c r="J168">
        <v>138.476594901184</v>
      </c>
      <c r="K168">
        <v>47.155361891856302</v>
      </c>
      <c r="L168">
        <v>1.3586779893179346E-4</v>
      </c>
      <c r="M168">
        <v>1.7226230518498293E-5</v>
      </c>
      <c r="N168" s="1">
        <v>2.7101360285594699E-6</v>
      </c>
      <c r="O168" s="1">
        <v>8.4155609296613402E-8</v>
      </c>
      <c r="P168" s="1">
        <v>-4.2472305172829302E-7</v>
      </c>
      <c r="Q168">
        <v>73.753908536642697</v>
      </c>
      <c r="R168">
        <v>6.6645098075241105E-2</v>
      </c>
      <c r="S168">
        <v>12.2182679804618</v>
      </c>
      <c r="T168">
        <v>0.15554105101851501</v>
      </c>
      <c r="V168">
        <v>0.362295362594314</v>
      </c>
      <c r="W168">
        <v>2.31809036783443E-2</v>
      </c>
      <c r="X168">
        <v>4.8293549329885797E-2</v>
      </c>
      <c r="AA168">
        <v>0.521570332762754</v>
      </c>
      <c r="AB168">
        <v>3.8345078167928102</v>
      </c>
      <c r="AC168">
        <v>4.45266524821528</v>
      </c>
      <c r="AD168">
        <v>5.7952259195858998E-3</v>
      </c>
      <c r="AE168">
        <v>4.5573288945085499</v>
      </c>
    </row>
    <row r="169" spans="1:31" x14ac:dyDescent="0.2">
      <c r="A169">
        <v>168</v>
      </c>
      <c r="B169">
        <v>776</v>
      </c>
      <c r="C169">
        <v>150</v>
      </c>
      <c r="D169">
        <v>0.447600915026452</v>
      </c>
      <c r="E169">
        <v>103.09568359828999</v>
      </c>
      <c r="F169">
        <v>2.1958932026403701</v>
      </c>
      <c r="G169">
        <v>-1686.8938492145207</v>
      </c>
      <c r="H169">
        <v>-1412.3130466451589</v>
      </c>
      <c r="I169">
        <v>261.71739271730598</v>
      </c>
      <c r="J169">
        <v>137.83868728652101</v>
      </c>
      <c r="K169">
        <v>46.949315874891802</v>
      </c>
      <c r="L169">
        <v>1.3564427224347915E-4</v>
      </c>
      <c r="M169">
        <v>1.72097066885462E-5</v>
      </c>
      <c r="N169" s="1">
        <v>2.6980111472405998E-6</v>
      </c>
      <c r="O169" s="1">
        <v>8.3633326041696596E-8</v>
      </c>
      <c r="P169" s="1">
        <v>-4.2203335055957601E-7</v>
      </c>
      <c r="Q169">
        <v>73.805487992093703</v>
      </c>
      <c r="R169">
        <v>6.6928117251598002E-2</v>
      </c>
      <c r="S169">
        <v>12.185856561084201</v>
      </c>
      <c r="T169">
        <v>0.156377055186986</v>
      </c>
      <c r="V169">
        <v>0.36367601497852098</v>
      </c>
      <c r="W169">
        <v>2.3279345130989899E-2</v>
      </c>
      <c r="X169">
        <v>4.8498635689565403E-2</v>
      </c>
      <c r="AA169">
        <v>0.51528574905980296</v>
      </c>
      <c r="AB169">
        <v>3.8140994850092902</v>
      </c>
      <c r="AC169">
        <v>4.4637369883263496</v>
      </c>
      <c r="AD169">
        <v>5.8198362827471999E-3</v>
      </c>
      <c r="AE169">
        <v>4.55095421990608</v>
      </c>
    </row>
    <row r="170" spans="1:31" x14ac:dyDescent="0.2">
      <c r="A170">
        <v>169</v>
      </c>
      <c r="B170">
        <v>775</v>
      </c>
      <c r="C170">
        <v>150</v>
      </c>
      <c r="D170">
        <v>0.44700710776129698</v>
      </c>
      <c r="E170">
        <v>102.646877950274</v>
      </c>
      <c r="F170">
        <v>2.1962055989368099</v>
      </c>
      <c r="G170">
        <v>-1679.1736535346661</v>
      </c>
      <c r="H170">
        <v>-1406.2744854936659</v>
      </c>
      <c r="I170">
        <v>260.36270385059402</v>
      </c>
      <c r="J170">
        <v>137.18553347285501</v>
      </c>
      <c r="K170">
        <v>46.7382826088621</v>
      </c>
      <c r="L170">
        <v>1.3541535156538144E-4</v>
      </c>
      <c r="M170">
        <v>1.7192955988354899E-5</v>
      </c>
      <c r="N170" s="1">
        <v>2.6854922394132198E-6</v>
      </c>
      <c r="O170" s="1">
        <v>8.31007688378887E-8</v>
      </c>
      <c r="P170" s="1">
        <v>-4.1928078606323802E-7</v>
      </c>
      <c r="Q170">
        <v>73.858448736958096</v>
      </c>
      <c r="R170">
        <v>6.7220748821436999E-2</v>
      </c>
      <c r="S170">
        <v>12.152637599035399</v>
      </c>
      <c r="T170">
        <v>0.15723554200922901</v>
      </c>
      <c r="V170">
        <v>0.36510887844954598</v>
      </c>
      <c r="W170">
        <v>2.3381130024846802E-2</v>
      </c>
      <c r="X170">
        <v>4.8710687551768099E-2</v>
      </c>
      <c r="AA170">
        <v>0.50911612972566</v>
      </c>
      <c r="AB170">
        <v>3.7930199500476798</v>
      </c>
      <c r="AC170">
        <v>4.4748707010278101</v>
      </c>
      <c r="AD170">
        <v>5.8452825062113101E-3</v>
      </c>
      <c r="AE170">
        <v>4.5444046138422101</v>
      </c>
    </row>
    <row r="171" spans="1:31" x14ac:dyDescent="0.2">
      <c r="A171">
        <v>170</v>
      </c>
      <c r="B171">
        <v>774</v>
      </c>
      <c r="C171">
        <v>150</v>
      </c>
      <c r="D171">
        <v>0.44641216635630598</v>
      </c>
      <c r="E171">
        <v>102.196799100175</v>
      </c>
      <c r="F171">
        <v>2.19651941482896</v>
      </c>
      <c r="G171">
        <v>-1671.4368356249281</v>
      </c>
      <c r="H171">
        <v>-1400.218624295348</v>
      </c>
      <c r="I171">
        <v>259.00607489813302</v>
      </c>
      <c r="J171">
        <v>136.5310233349</v>
      </c>
      <c r="K171">
        <v>46.526699655023698</v>
      </c>
      <c r="L171">
        <v>1.3518515783952093E-4</v>
      </c>
      <c r="M171">
        <v>1.7176203951418199E-5</v>
      </c>
      <c r="N171" s="1">
        <v>2.67291975556089E-6</v>
      </c>
      <c r="O171" s="1">
        <v>8.2568275954549506E-8</v>
      </c>
      <c r="P171" s="1">
        <v>-4.1652353980216101E-7</v>
      </c>
      <c r="Q171">
        <v>73.911663572910896</v>
      </c>
      <c r="R171">
        <v>6.7516791726877495E-2</v>
      </c>
      <c r="S171">
        <v>12.119319936338499</v>
      </c>
      <c r="T171">
        <v>0.158103301960939</v>
      </c>
      <c r="V171">
        <v>0.36655910647270101</v>
      </c>
      <c r="W171">
        <v>2.3484101470217199E-2</v>
      </c>
      <c r="X171">
        <v>4.8925211396290698E-2</v>
      </c>
      <c r="AA171">
        <v>0.50319741312891997</v>
      </c>
      <c r="AB171">
        <v>3.7717289518195298</v>
      </c>
      <c r="AC171">
        <v>4.4858064210826303</v>
      </c>
      <c r="AD171">
        <v>5.87102536755382E-3</v>
      </c>
      <c r="AE171">
        <v>4.5378241663248398</v>
      </c>
    </row>
    <row r="172" spans="1:31" x14ac:dyDescent="0.2">
      <c r="A172">
        <v>171</v>
      </c>
      <c r="B172">
        <v>773</v>
      </c>
      <c r="C172">
        <v>150</v>
      </c>
      <c r="D172">
        <v>0.44581608755914398</v>
      </c>
      <c r="E172">
        <v>101.745614586665</v>
      </c>
      <c r="F172">
        <v>2.1968344519796998</v>
      </c>
      <c r="G172">
        <v>-1663.6862492742191</v>
      </c>
      <c r="H172">
        <v>-1394.1477900533873</v>
      </c>
      <c r="I172">
        <v>257.64800384345602</v>
      </c>
      <c r="J172">
        <v>135.87539717375</v>
      </c>
      <c r="K172">
        <v>46.314648104219401</v>
      </c>
      <c r="L172">
        <v>1.3495379086908826E-4</v>
      </c>
      <c r="M172">
        <v>1.7159460367308961E-5</v>
      </c>
      <c r="N172" s="1">
        <v>2.6603013922113599E-6</v>
      </c>
      <c r="O172" s="1">
        <v>8.2036079396672997E-8</v>
      </c>
      <c r="P172" s="1">
        <v>-4.1376288502803701E-7</v>
      </c>
      <c r="Q172">
        <v>73.965130059719598</v>
      </c>
      <c r="R172">
        <v>6.7816190683312794E-2</v>
      </c>
      <c r="S172">
        <v>12.0859054393067</v>
      </c>
      <c r="T172">
        <v>0.15898024108613101</v>
      </c>
      <c r="V172">
        <v>0.36802636695289598</v>
      </c>
      <c r="W172">
        <v>2.3588240237672298E-2</v>
      </c>
      <c r="X172">
        <v>4.9142167161824901E-2</v>
      </c>
      <c r="AA172">
        <v>0.49752536174294099</v>
      </c>
      <c r="AB172">
        <v>3.7502432041069098</v>
      </c>
      <c r="AC172">
        <v>4.4965276965835503</v>
      </c>
      <c r="AD172">
        <v>5.8970600594173E-3</v>
      </c>
      <c r="AE172">
        <v>4.5312179723589399</v>
      </c>
    </row>
    <row r="173" spans="1:31" x14ac:dyDescent="0.2">
      <c r="A173">
        <v>172</v>
      </c>
      <c r="B173">
        <v>772</v>
      </c>
      <c r="C173">
        <v>150</v>
      </c>
      <c r="D173">
        <v>0.44521886810505501</v>
      </c>
      <c r="E173">
        <v>101.29348729021901</v>
      </c>
      <c r="F173">
        <v>2.1971505097475301</v>
      </c>
      <c r="G173">
        <v>-1655.9246686554663</v>
      </c>
      <c r="H173">
        <v>-1388.0642463854952</v>
      </c>
      <c r="I173">
        <v>256.28897504661597</v>
      </c>
      <c r="J173">
        <v>135.218888517647</v>
      </c>
      <c r="K173">
        <v>46.102206854212398</v>
      </c>
      <c r="L173">
        <v>1.3472135115088262E-4</v>
      </c>
      <c r="M173">
        <v>1.7142735111135595E-5</v>
      </c>
      <c r="N173" s="1">
        <v>2.6476447129113298E-6</v>
      </c>
      <c r="O173" s="1">
        <v>8.15044054261184E-8</v>
      </c>
      <c r="P173" s="1">
        <v>-4.1100006566049399E-7</v>
      </c>
      <c r="Q173">
        <v>74.018845961142802</v>
      </c>
      <c r="R173">
        <v>6.8118890805198395E-2</v>
      </c>
      <c r="S173">
        <v>12.052395851623301</v>
      </c>
      <c r="T173">
        <v>0.15986626594490899</v>
      </c>
      <c r="V173">
        <v>0.36951033033838698</v>
      </c>
      <c r="W173">
        <v>2.36935272365889E-2</v>
      </c>
      <c r="X173">
        <v>4.9361515076235103E-2</v>
      </c>
      <c r="AA173">
        <v>0.49209563505494902</v>
      </c>
      <c r="AB173">
        <v>3.7285796009032701</v>
      </c>
      <c r="AC173">
        <v>4.5070178606293503</v>
      </c>
      <c r="AD173">
        <v>5.9233818091463299E-3</v>
      </c>
      <c r="AE173">
        <v>4.5245911794357401</v>
      </c>
    </row>
    <row r="174" spans="1:31" x14ac:dyDescent="0.2">
      <c r="A174">
        <v>173</v>
      </c>
      <c r="B174">
        <v>771</v>
      </c>
      <c r="C174">
        <v>150</v>
      </c>
      <c r="D174">
        <v>0.44462050471675502</v>
      </c>
      <c r="E174">
        <v>100.840574640127</v>
      </c>
      <c r="F174">
        <v>2.1974673856217999</v>
      </c>
      <c r="G174">
        <v>-1648.1547753031789</v>
      </c>
      <c r="H174">
        <v>-1381.9701826613832</v>
      </c>
      <c r="I174">
        <v>254.929457110372</v>
      </c>
      <c r="J174">
        <v>134.561723029527</v>
      </c>
      <c r="K174">
        <v>45.889452239398103</v>
      </c>
      <c r="L174">
        <v>1.3448793955615228E-4</v>
      </c>
      <c r="M174">
        <v>1.7126038126133329E-5</v>
      </c>
      <c r="N174" s="1">
        <v>2.6349571195256599E-6</v>
      </c>
      <c r="O174" s="1">
        <v>8.0973473742447303E-8</v>
      </c>
      <c r="P174" s="1">
        <v>-4.0823629146941798E-7</v>
      </c>
      <c r="Q174">
        <v>74.072809298425497</v>
      </c>
      <c r="R174">
        <v>6.8424838162857202E-2</v>
      </c>
      <c r="S174">
        <v>12.018792765313901</v>
      </c>
      <c r="T174">
        <v>0.16076128477482499</v>
      </c>
      <c r="V174">
        <v>0.37101067277137401</v>
      </c>
      <c r="W174">
        <v>2.3799943708817901E-2</v>
      </c>
      <c r="X174">
        <v>4.9583216060046398E-2</v>
      </c>
      <c r="AA174">
        <v>0.48690381711500302</v>
      </c>
      <c r="AB174">
        <v>3.7067551622706598</v>
      </c>
      <c r="AC174">
        <v>4.5172600394147198</v>
      </c>
      <c r="AD174">
        <v>5.94998592720345E-3</v>
      </c>
      <c r="AE174">
        <v>4.517948976055</v>
      </c>
    </row>
    <row r="175" spans="1:31" x14ac:dyDescent="0.2">
      <c r="A175">
        <v>174</v>
      </c>
      <c r="B175">
        <v>770</v>
      </c>
      <c r="C175">
        <v>150</v>
      </c>
      <c r="D175">
        <v>0.44402099410439499</v>
      </c>
      <c r="E175">
        <v>100.387027929528</v>
      </c>
      <c r="F175">
        <v>2.1977848756224501</v>
      </c>
      <c r="G175">
        <v>-1640.3791468979805</v>
      </c>
      <c r="H175">
        <v>-1375.8677046182693</v>
      </c>
      <c r="I175">
        <v>253.56990104942801</v>
      </c>
      <c r="J175">
        <v>133.904117567139</v>
      </c>
      <c r="K175">
        <v>45.676457711129103</v>
      </c>
      <c r="L175">
        <v>1.342536570396576E-4</v>
      </c>
      <c r="M175">
        <v>1.7109379408156766E-5</v>
      </c>
      <c r="N175" s="1">
        <v>2.62224582727385E-6</v>
      </c>
      <c r="O175" s="1">
        <v>8.0443496785224001E-8</v>
      </c>
      <c r="P175" s="1">
        <v>-4.0547273393194298E-7</v>
      </c>
      <c r="Q175">
        <v>74.1270183990964</v>
      </c>
      <c r="R175">
        <v>6.8733980299167996E-2</v>
      </c>
      <c r="S175">
        <v>11.985097594506099</v>
      </c>
      <c r="T175">
        <v>0.16166520857222</v>
      </c>
      <c r="V175">
        <v>0.37252707900930498</v>
      </c>
      <c r="W175">
        <v>2.3907471408404001E-2</v>
      </c>
      <c r="X175">
        <v>4.9807232100851799E-2</v>
      </c>
      <c r="AA175">
        <v>0.48194544277617002</v>
      </c>
      <c r="AB175">
        <v>3.6847869847260002</v>
      </c>
      <c r="AC175">
        <v>4.52723715830109</v>
      </c>
      <c r="AD175">
        <v>5.9768678520999404E-3</v>
      </c>
      <c r="AE175">
        <v>4.5112965813520702</v>
      </c>
    </row>
    <row r="176" spans="1:31" x14ac:dyDescent="0.2">
      <c r="A176">
        <v>175</v>
      </c>
      <c r="B176">
        <v>769</v>
      </c>
      <c r="C176">
        <v>150</v>
      </c>
      <c r="D176">
        <v>0.44342033296550898</v>
      </c>
      <c r="E176">
        <v>98.558906207264002</v>
      </c>
      <c r="F176">
        <v>2.1985502446524698</v>
      </c>
      <c r="G176">
        <v>-1609.8230827741586</v>
      </c>
      <c r="H176">
        <v>-1350.6414572324138</v>
      </c>
      <c r="I176">
        <v>248.69896420068599</v>
      </c>
      <c r="J176">
        <v>131.41722158167099</v>
      </c>
      <c r="K176">
        <v>44.829044251769297</v>
      </c>
      <c r="L176">
        <v>1.3400889368256463E-4</v>
      </c>
      <c r="M176">
        <v>1.7078567863063407E-5</v>
      </c>
      <c r="N176" s="1">
        <v>2.5702432361972E-6</v>
      </c>
      <c r="O176" s="1">
        <v>7.87227401896591E-8</v>
      </c>
      <c r="P176" s="1">
        <v>-3.9715574102059301E-7</v>
      </c>
      <c r="Q176">
        <v>74.121650099271307</v>
      </c>
      <c r="R176">
        <v>7.0008893823252802E-2</v>
      </c>
      <c r="S176">
        <v>11.9774952393813</v>
      </c>
      <c r="T176">
        <v>0.16492265487890201</v>
      </c>
      <c r="V176">
        <v>0.37920403690290999</v>
      </c>
      <c r="W176">
        <v>2.4350919590693899E-2</v>
      </c>
      <c r="X176">
        <v>5.0731082480624502E-2</v>
      </c>
      <c r="AA176">
        <v>0.47328589307837599</v>
      </c>
      <c r="AB176">
        <v>3.6529832842209502</v>
      </c>
      <c r="AC176">
        <v>4.5805806769165702</v>
      </c>
      <c r="AD176">
        <v>6.0877298976720496E-3</v>
      </c>
      <c r="AE176">
        <v>4.4986994895573602</v>
      </c>
    </row>
    <row r="177" spans="1:31" x14ac:dyDescent="0.2">
      <c r="A177">
        <v>176</v>
      </c>
      <c r="B177">
        <v>768</v>
      </c>
      <c r="C177">
        <v>150</v>
      </c>
      <c r="D177">
        <v>0.442818517984921</v>
      </c>
      <c r="E177">
        <v>95.915934187382604</v>
      </c>
      <c r="F177">
        <v>2.1995762681462998</v>
      </c>
      <c r="G177">
        <v>-1565.81445151247</v>
      </c>
      <c r="H177">
        <v>-1314.11105756288</v>
      </c>
      <c r="I177">
        <v>241.755168755309</v>
      </c>
      <c r="J177">
        <v>127.84600872563701</v>
      </c>
      <c r="K177">
        <v>43.606550759986099</v>
      </c>
      <c r="L177">
        <v>1.3374650335253011E-4</v>
      </c>
      <c r="M177">
        <v>1.7040023216699155E-5</v>
      </c>
      <c r="N177" s="1">
        <v>2.4952451863420002E-6</v>
      </c>
      <c r="O177" s="1">
        <v>7.6310045573603503E-8</v>
      </c>
      <c r="P177" s="1">
        <v>-3.8551814692178601E-7</v>
      </c>
      <c r="Q177">
        <v>74.0878687478736</v>
      </c>
      <c r="R177">
        <v>7.1937995062638802E-2</v>
      </c>
      <c r="S177">
        <v>11.9816003764559</v>
      </c>
      <c r="T177">
        <v>0.169761520922009</v>
      </c>
      <c r="V177">
        <v>0.38938812622222002</v>
      </c>
      <c r="W177">
        <v>2.5021911326132101E-2</v>
      </c>
      <c r="X177">
        <v>5.2128981929455698E-2</v>
      </c>
      <c r="AA177">
        <v>0.46433877246850302</v>
      </c>
      <c r="AB177">
        <v>3.6136057854664898</v>
      </c>
      <c r="AC177">
        <v>4.65544337027828</v>
      </c>
      <c r="AD177">
        <v>6.2554778315319897E-3</v>
      </c>
      <c r="AE177">
        <v>4.4826489341631897</v>
      </c>
    </row>
    <row r="178" spans="1:31" x14ac:dyDescent="0.2">
      <c r="A178">
        <v>177</v>
      </c>
      <c r="B178">
        <v>767</v>
      </c>
      <c r="C178">
        <v>150</v>
      </c>
      <c r="D178">
        <v>0.44221554583473799</v>
      </c>
      <c r="E178">
        <v>92.838130753327505</v>
      </c>
      <c r="F178">
        <v>2.2007083092305799</v>
      </c>
      <c r="G178">
        <v>-1514.7043552605214</v>
      </c>
      <c r="H178">
        <v>-1271.6018989493737</v>
      </c>
      <c r="I178">
        <v>233.71865241661999</v>
      </c>
      <c r="J178">
        <v>123.69630385168099</v>
      </c>
      <c r="K178">
        <v>42.1855683299463</v>
      </c>
      <c r="L178">
        <v>1.3346557474360458E-4</v>
      </c>
      <c r="M178">
        <v>1.6999482702815745E-5</v>
      </c>
      <c r="N178" s="1">
        <v>2.4086425887909399E-6</v>
      </c>
      <c r="O178" s="1">
        <v>7.35518603938413E-8</v>
      </c>
      <c r="P178" s="1">
        <v>-3.7208611459141897E-7</v>
      </c>
      <c r="Q178">
        <v>74.050726842723506</v>
      </c>
      <c r="R178">
        <v>7.4322909606332602E-2</v>
      </c>
      <c r="S178">
        <v>11.985681821681</v>
      </c>
      <c r="T178">
        <v>0.175677662415195</v>
      </c>
      <c r="V178">
        <v>0.40203798598606999</v>
      </c>
      <c r="W178">
        <v>2.5851446819589501E-2</v>
      </c>
      <c r="X178">
        <v>5.3857180874164801E-2</v>
      </c>
      <c r="AA178">
        <v>0.45788467185574999</v>
      </c>
      <c r="AB178">
        <v>3.56912921693251</v>
      </c>
      <c r="AC178">
        <v>4.73294618659446</v>
      </c>
      <c r="AD178">
        <v>6.4628617048958503E-3</v>
      </c>
      <c r="AE178">
        <v>4.4654212128064099</v>
      </c>
    </row>
    <row r="179" spans="1:31" x14ac:dyDescent="0.2">
      <c r="A179">
        <v>178</v>
      </c>
      <c r="B179">
        <v>766</v>
      </c>
      <c r="C179">
        <v>150</v>
      </c>
      <c r="D179">
        <v>0.44161141317423203</v>
      </c>
      <c r="E179">
        <v>79.059933597443106</v>
      </c>
      <c r="F179">
        <v>2.2030461008179301</v>
      </c>
      <c r="G179">
        <v>-1288.6293649195441</v>
      </c>
      <c r="H179">
        <v>-1082.027046838524</v>
      </c>
      <c r="I179">
        <v>198.818571025376</v>
      </c>
      <c r="J179">
        <v>105.320187204897</v>
      </c>
      <c r="K179">
        <v>35.886645117453497</v>
      </c>
      <c r="L179">
        <v>1.3335128340517973E-4</v>
      </c>
      <c r="M179">
        <v>1.6970460546937041E-5</v>
      </c>
      <c r="N179" s="1">
        <v>2.0473411562144299E-6</v>
      </c>
      <c r="O179" s="1">
        <v>6.2418135892424699E-8</v>
      </c>
      <c r="P179" s="1">
        <v>-3.1600386370133598E-7</v>
      </c>
      <c r="Q179">
        <v>73.937511127505104</v>
      </c>
      <c r="R179">
        <v>8.7275560274741398E-2</v>
      </c>
      <c r="S179">
        <v>11.988371948330901</v>
      </c>
      <c r="T179">
        <v>0.20624310072143601</v>
      </c>
      <c r="V179">
        <v>0.47214904697830401</v>
      </c>
      <c r="W179">
        <v>3.03567166172935E-2</v>
      </c>
      <c r="X179">
        <v>6.3243159619397499E-2</v>
      </c>
      <c r="AA179">
        <v>0.47185187649709798</v>
      </c>
      <c r="AB179">
        <v>3.5154737075956199</v>
      </c>
      <c r="AC179">
        <v>4.7679362764156297</v>
      </c>
      <c r="AD179">
        <v>7.5891791543216697E-3</v>
      </c>
      <c r="AE179">
        <v>4.4519983002900796</v>
      </c>
    </row>
    <row r="180" spans="1:31" x14ac:dyDescent="0.2">
      <c r="A180">
        <v>179</v>
      </c>
      <c r="B180">
        <v>765</v>
      </c>
      <c r="C180">
        <v>150</v>
      </c>
      <c r="D180">
        <v>0.44100611664981298</v>
      </c>
      <c r="E180">
        <v>64.332290512304596</v>
      </c>
      <c r="F180">
        <v>2.2060166123300702</v>
      </c>
      <c r="G180">
        <v>-1047.2796130920565</v>
      </c>
      <c r="H180">
        <v>-879.46892209578834</v>
      </c>
      <c r="I180">
        <v>161.64397341065199</v>
      </c>
      <c r="J180">
        <v>85.700930088378499</v>
      </c>
      <c r="K180">
        <v>29.162196763493299</v>
      </c>
      <c r="L180">
        <v>1.334120245004635E-4</v>
      </c>
      <c r="M180">
        <v>1.6954802367233744E-5</v>
      </c>
      <c r="N180" s="1">
        <v>1.66496357613488E-6</v>
      </c>
      <c r="O180" s="1">
        <v>5.0671682977685202E-8</v>
      </c>
      <c r="P180" s="1">
        <v>-2.5666423861322702E-7</v>
      </c>
      <c r="Q180">
        <v>73.776234610674805</v>
      </c>
      <c r="R180">
        <v>0.10725562458686699</v>
      </c>
      <c r="S180">
        <v>11.987803220634699</v>
      </c>
      <c r="T180">
        <v>0.25310826158845401</v>
      </c>
      <c r="V180">
        <v>0.58055365689054195</v>
      </c>
      <c r="W180">
        <v>3.7306304204112697E-2</v>
      </c>
      <c r="X180">
        <v>7.7721467091971405E-2</v>
      </c>
      <c r="AA180">
        <v>0.49003863939523401</v>
      </c>
      <c r="AB180">
        <v>3.4702836617481201</v>
      </c>
      <c r="AC180">
        <v>4.7660792491167596</v>
      </c>
      <c r="AD180">
        <v>9.3265760510264101E-3</v>
      </c>
      <c r="AE180">
        <v>4.4442887280172796</v>
      </c>
    </row>
    <row r="181" spans="1:31" x14ac:dyDescent="0.2">
      <c r="A181">
        <v>180</v>
      </c>
      <c r="B181">
        <v>764</v>
      </c>
      <c r="C181">
        <v>150</v>
      </c>
      <c r="D181">
        <v>0.44039965289495597</v>
      </c>
      <c r="E181">
        <v>41.720359249889903</v>
      </c>
      <c r="F181">
        <v>2.2087445220508699</v>
      </c>
      <c r="G181">
        <v>-678.70647006458603</v>
      </c>
      <c r="H181">
        <v>-570.11621337494557</v>
      </c>
      <c r="I181">
        <v>104.700628346565</v>
      </c>
      <c r="J181">
        <v>55.588847345981499</v>
      </c>
      <c r="K181">
        <v>18.8887210962504</v>
      </c>
      <c r="L181">
        <v>1.3323764633567511E-4</v>
      </c>
      <c r="M181">
        <v>1.6924432522147481E-5</v>
      </c>
      <c r="N181" s="1">
        <v>1.0770709183414199E-6</v>
      </c>
      <c r="O181" s="1">
        <v>3.2726589698306499E-8</v>
      </c>
      <c r="P181" s="1">
        <v>-1.6570482936853401E-7</v>
      </c>
      <c r="Q181">
        <v>73.628221200148602</v>
      </c>
      <c r="R181">
        <v>0.13311990371202001</v>
      </c>
      <c r="S181">
        <v>12.0405079392589</v>
      </c>
      <c r="T181">
        <v>0.26923891396751598</v>
      </c>
      <c r="V181">
        <v>0.61876809129460497</v>
      </c>
      <c r="W181">
        <v>5.7525870897323299E-2</v>
      </c>
      <c r="X181">
        <v>0.116095620038979</v>
      </c>
      <c r="AA181">
        <v>0.51775577229494196</v>
      </c>
      <c r="AB181">
        <v>3.3843958069181399</v>
      </c>
      <c r="AC181">
        <v>4.7917744926649002</v>
      </c>
      <c r="AD181">
        <v>1.4381467724328301E-2</v>
      </c>
      <c r="AE181">
        <v>4.4282149210796096</v>
      </c>
    </row>
    <row r="182" spans="1:31" x14ac:dyDescent="0.2">
      <c r="A182">
        <v>181</v>
      </c>
      <c r="B182">
        <v>763</v>
      </c>
      <c r="C182">
        <v>150</v>
      </c>
      <c r="D182">
        <v>0.43979201853014099</v>
      </c>
      <c r="E182">
        <v>25.127343852624499</v>
      </c>
      <c r="F182">
        <v>2.21100280435284</v>
      </c>
      <c r="G182">
        <v>-408.73090328548204</v>
      </c>
      <c r="H182">
        <v>-343.47636375683874</v>
      </c>
      <c r="I182">
        <v>62.977888846830297</v>
      </c>
      <c r="J182">
        <v>33.498212374870498</v>
      </c>
      <c r="K182">
        <v>11.364682036203501</v>
      </c>
      <c r="L182">
        <v>1.3297957742289203E-4</v>
      </c>
      <c r="M182">
        <v>1.6894411705404812E-5</v>
      </c>
      <c r="N182" s="1">
        <v>6.4701274337948904E-7</v>
      </c>
      <c r="O182" s="1">
        <v>1.9627085787620599E-8</v>
      </c>
      <c r="P182" s="1">
        <v>-9.9260076606519399E-8</v>
      </c>
      <c r="Q182">
        <v>73.482825678561099</v>
      </c>
      <c r="R182">
        <v>0.15557550234787501</v>
      </c>
      <c r="S182">
        <v>12.155592168689701</v>
      </c>
      <c r="T182">
        <v>0.25735748333928099</v>
      </c>
      <c r="V182">
        <v>0.59292991736509904</v>
      </c>
      <c r="W182">
        <v>9.5513477830179494E-2</v>
      </c>
      <c r="X182">
        <v>0.18287938617980801</v>
      </c>
      <c r="AA182">
        <v>0.53935105508639403</v>
      </c>
      <c r="AB182">
        <v>3.2794034974223001</v>
      </c>
      <c r="AC182">
        <v>4.8230020064475303</v>
      </c>
      <c r="AD182">
        <v>2.38783694575402E-2</v>
      </c>
      <c r="AE182">
        <v>4.4116914572730499</v>
      </c>
    </row>
    <row r="183" spans="1:31" x14ac:dyDescent="0.2">
      <c r="A183">
        <v>182</v>
      </c>
      <c r="B183">
        <v>762</v>
      </c>
      <c r="C183">
        <v>150</v>
      </c>
      <c r="D183">
        <v>0.439183210162781</v>
      </c>
      <c r="E183">
        <v>14.906845859530399</v>
      </c>
      <c r="F183">
        <v>2.2134781233431502</v>
      </c>
      <c r="G183">
        <v>-242.43442701046166</v>
      </c>
      <c r="H183">
        <v>-203.81364993514845</v>
      </c>
      <c r="I183">
        <v>37.309353306586701</v>
      </c>
      <c r="J183">
        <v>19.879527465750499</v>
      </c>
      <c r="K183">
        <v>6.7345801624710102</v>
      </c>
      <c r="L183">
        <v>1.3276457123613229E-4</v>
      </c>
      <c r="M183">
        <v>1.6879058454920712E-5</v>
      </c>
      <c r="N183" s="1">
        <v>3.83053598844671E-7</v>
      </c>
      <c r="O183" s="1">
        <v>1.16005606686619E-8</v>
      </c>
      <c r="P183" s="1">
        <v>-5.85364767152941E-8</v>
      </c>
      <c r="Q183">
        <v>73.266367499448194</v>
      </c>
      <c r="R183">
        <v>0.18628415945125401</v>
      </c>
      <c r="S183">
        <v>12.3778962042239</v>
      </c>
      <c r="T183">
        <v>0.24467844046441301</v>
      </c>
      <c r="V183">
        <v>0.56654697572186197</v>
      </c>
      <c r="W183">
        <v>0.160999853531333</v>
      </c>
      <c r="X183">
        <v>0.194318317691235</v>
      </c>
      <c r="AA183">
        <v>0.55345584071774401</v>
      </c>
      <c r="AB183">
        <v>3.1485910131205999</v>
      </c>
      <c r="AC183">
        <v>4.8629717217813697</v>
      </c>
      <c r="AD183">
        <v>4.0249963382813302E-2</v>
      </c>
      <c r="AE183">
        <v>4.3976400104650999</v>
      </c>
    </row>
    <row r="184" spans="1:31" x14ac:dyDescent="0.2">
      <c r="A184">
        <v>183</v>
      </c>
      <c r="B184">
        <v>761</v>
      </c>
      <c r="C184">
        <v>150</v>
      </c>
      <c r="D184">
        <v>0.43857322438717999</v>
      </c>
      <c r="E184">
        <v>10.3418790118602</v>
      </c>
      <c r="F184">
        <v>2.2157552381400301</v>
      </c>
      <c r="G184">
        <v>-168.15437257710556</v>
      </c>
      <c r="H184">
        <v>-141.41834679341537</v>
      </c>
      <c r="I184">
        <v>25.8531410179279</v>
      </c>
      <c r="J184">
        <v>13.797209645806401</v>
      </c>
      <c r="K184">
        <v>4.6674284387753504</v>
      </c>
      <c r="L184">
        <v>1.3267962641537817E-4</v>
      </c>
      <c r="M184">
        <v>1.687887885171696E-5</v>
      </c>
      <c r="N184" s="1">
        <v>2.65671063286426E-7</v>
      </c>
      <c r="O184" s="1">
        <v>8.0311480954057795E-9</v>
      </c>
      <c r="P184" s="1">
        <v>-4.04370536414443E-8</v>
      </c>
      <c r="Q184">
        <v>73.035754868413207</v>
      </c>
      <c r="R184">
        <v>0.197252047371033</v>
      </c>
      <c r="S184">
        <v>12.619343992664501</v>
      </c>
      <c r="T184">
        <v>0.238180395483792</v>
      </c>
      <c r="V184">
        <v>0.55466606416610897</v>
      </c>
      <c r="W184">
        <v>0.23108932891789899</v>
      </c>
      <c r="X184">
        <v>0.19607382835376799</v>
      </c>
      <c r="AA184">
        <v>0.56049319691606603</v>
      </c>
      <c r="AB184">
        <v>3.0301685693300602</v>
      </c>
      <c r="AC184">
        <v>4.8876090895474604</v>
      </c>
      <c r="AD184">
        <v>5.8016536386751603E-2</v>
      </c>
      <c r="AE184">
        <v>4.3913520824492602</v>
      </c>
    </row>
    <row r="185" spans="1:31" x14ac:dyDescent="0.2">
      <c r="A185">
        <v>184</v>
      </c>
      <c r="B185">
        <v>785</v>
      </c>
      <c r="C185">
        <v>135</v>
      </c>
      <c r="D185">
        <v>0.46848792704248099</v>
      </c>
      <c r="E185">
        <v>103.261052045409</v>
      </c>
      <c r="F185">
        <v>2.1965043365339301</v>
      </c>
      <c r="G185">
        <v>-1691.1985548522598</v>
      </c>
      <c r="H185">
        <v>-1414.3000874968388</v>
      </c>
      <c r="I185">
        <v>261.68167779182602</v>
      </c>
      <c r="J185">
        <v>137.91549232086001</v>
      </c>
      <c r="K185">
        <v>47.011540258715698</v>
      </c>
      <c r="L185">
        <v>1.3205106715658257E-4</v>
      </c>
      <c r="M185">
        <v>1.7046455675853359E-5</v>
      </c>
      <c r="N185" s="1">
        <v>2.5418078417762802E-6</v>
      </c>
      <c r="O185" s="1">
        <v>8.0978724451943195E-8</v>
      </c>
      <c r="P185" s="1">
        <v>-4.0457451623028301E-7</v>
      </c>
      <c r="Q185">
        <v>73.948500898917402</v>
      </c>
      <c r="R185">
        <v>6.6820934547187794E-2</v>
      </c>
      <c r="S185">
        <v>12.250504666985099</v>
      </c>
      <c r="T185">
        <v>0.155297401537771</v>
      </c>
      <c r="V185">
        <v>0.36383974550630999</v>
      </c>
      <c r="W185">
        <v>2.3242064190325901E-2</v>
      </c>
      <c r="X185">
        <v>4.8420967063180199E-2</v>
      </c>
      <c r="AA185">
        <v>0.52294644428233805</v>
      </c>
      <c r="AB185">
        <v>3.8446247848164199</v>
      </c>
      <c r="AC185">
        <v>4.4644131632250801</v>
      </c>
      <c r="AD185">
        <v>5.8105160475813503E-3</v>
      </c>
      <c r="AE185">
        <v>4.3055784128812302</v>
      </c>
    </row>
    <row r="186" spans="1:31" x14ac:dyDescent="0.2">
      <c r="A186">
        <v>185</v>
      </c>
      <c r="B186">
        <v>784</v>
      </c>
      <c r="C186">
        <v>135</v>
      </c>
      <c r="D186">
        <v>0.467918932980182</v>
      </c>
      <c r="E186">
        <v>103.039483681305</v>
      </c>
      <c r="F186">
        <v>2.19678453696591</v>
      </c>
      <c r="G186">
        <v>-1687.252957625941</v>
      </c>
      <c r="H186">
        <v>-1411.3881590688206</v>
      </c>
      <c r="I186">
        <v>260.951424639001</v>
      </c>
      <c r="J186">
        <v>137.587770986442</v>
      </c>
      <c r="K186">
        <v>46.904683617091699</v>
      </c>
      <c r="L186">
        <v>1.3192978383065257E-4</v>
      </c>
      <c r="M186">
        <v>1.7035820787651206E-5</v>
      </c>
      <c r="N186" s="1">
        <v>2.5376903820456601E-6</v>
      </c>
      <c r="O186" s="1">
        <v>8.0702385812439894E-8</v>
      </c>
      <c r="P186" s="1">
        <v>-4.0326871304085603E-7</v>
      </c>
      <c r="Q186">
        <v>73.974372962859604</v>
      </c>
      <c r="R186">
        <v>6.6964621264420807E-2</v>
      </c>
      <c r="S186">
        <v>12.233903523415</v>
      </c>
      <c r="T186">
        <v>0.15582827822283199</v>
      </c>
      <c r="V186">
        <v>0.36444491323900002</v>
      </c>
      <c r="W186">
        <v>2.3292042178928201E-2</v>
      </c>
      <c r="X186">
        <v>4.8525087872770399E-2</v>
      </c>
      <c r="AA186">
        <v>0.51970863727170002</v>
      </c>
      <c r="AB186">
        <v>3.83419251407074</v>
      </c>
      <c r="AC186">
        <v>4.4700865370507996</v>
      </c>
      <c r="AD186">
        <v>5.8230105447317397E-3</v>
      </c>
      <c r="AE186">
        <v>4.3028578720093904</v>
      </c>
    </row>
    <row r="187" spans="1:31" x14ac:dyDescent="0.2">
      <c r="A187">
        <v>186</v>
      </c>
      <c r="B187">
        <v>783</v>
      </c>
      <c r="C187">
        <v>135</v>
      </c>
      <c r="D187">
        <v>0.46734886143066801</v>
      </c>
      <c r="E187">
        <v>102.605965307758</v>
      </c>
      <c r="F187">
        <v>2.1970649971699698</v>
      </c>
      <c r="G187">
        <v>-1679.7851174743598</v>
      </c>
      <c r="H187">
        <v>-1405.5591349176709</v>
      </c>
      <c r="I187">
        <v>259.646813953216</v>
      </c>
      <c r="J187">
        <v>136.95827778921199</v>
      </c>
      <c r="K187">
        <v>46.701379085245499</v>
      </c>
      <c r="L187">
        <v>1.3172234223377341E-4</v>
      </c>
      <c r="M187">
        <v>1.7020682240234345E-5</v>
      </c>
      <c r="N187" s="1">
        <v>2.5266727628188102E-6</v>
      </c>
      <c r="O187" s="1">
        <v>8.0212703604587699E-8</v>
      </c>
      <c r="P187" s="1">
        <v>-4.0076527218011802E-7</v>
      </c>
      <c r="Q187">
        <v>74.025214590187701</v>
      </c>
      <c r="R187">
        <v>6.7247552121400406E-2</v>
      </c>
      <c r="S187">
        <v>12.2014775490223</v>
      </c>
      <c r="T187">
        <v>0.15665648918311001</v>
      </c>
      <c r="V187">
        <v>0.36583191244243801</v>
      </c>
      <c r="W187">
        <v>2.3390452911790399E-2</v>
      </c>
      <c r="X187">
        <v>4.8730110232901303E-2</v>
      </c>
      <c r="AA187">
        <v>0.51357406859655297</v>
      </c>
      <c r="AB187">
        <v>3.8136841446506602</v>
      </c>
      <c r="AC187">
        <v>4.4810450553277104</v>
      </c>
      <c r="AD187">
        <v>5.84761322794718E-3</v>
      </c>
      <c r="AE187">
        <v>4.2973004620953796</v>
      </c>
    </row>
    <row r="188" spans="1:31" x14ac:dyDescent="0.2">
      <c r="A188">
        <v>187</v>
      </c>
      <c r="B188">
        <v>782</v>
      </c>
      <c r="C188">
        <v>135</v>
      </c>
      <c r="D188">
        <v>0.466777709330429</v>
      </c>
      <c r="E188">
        <v>102.171396301229</v>
      </c>
      <c r="F188">
        <v>2.19734686148474</v>
      </c>
      <c r="G188">
        <v>-1672.3040128284365</v>
      </c>
      <c r="H188">
        <v>-1399.7157822861541</v>
      </c>
      <c r="I188">
        <v>258.34073879759501</v>
      </c>
      <c r="J188">
        <v>136.32770496267301</v>
      </c>
      <c r="K188">
        <v>46.497618601822502</v>
      </c>
      <c r="L188">
        <v>1.3151373896075398E-4</v>
      </c>
      <c r="M188">
        <v>1.7005540318812659E-5</v>
      </c>
      <c r="N188" s="1">
        <v>2.51560866010059E-6</v>
      </c>
      <c r="O188" s="1">
        <v>7.9723119031065304E-8</v>
      </c>
      <c r="P188" s="1">
        <v>-3.9825779863521597E-7</v>
      </c>
      <c r="Q188">
        <v>74.076272785187697</v>
      </c>
      <c r="R188">
        <v>6.7533578377034401E-2</v>
      </c>
      <c r="S188">
        <v>12.1689699075626</v>
      </c>
      <c r="T188">
        <v>0.157493178838958</v>
      </c>
      <c r="V188">
        <v>0.367234610064264</v>
      </c>
      <c r="W188">
        <v>2.3489940305054101E-2</v>
      </c>
      <c r="X188">
        <v>4.89373756355354E-2</v>
      </c>
      <c r="AA188">
        <v>0.50767694163352695</v>
      </c>
      <c r="AB188">
        <v>3.7929748557464298</v>
      </c>
      <c r="AC188">
        <v>4.49182852893769</v>
      </c>
      <c r="AD188">
        <v>5.8724850762629502E-3</v>
      </c>
      <c r="AE188">
        <v>4.2917158126348003</v>
      </c>
    </row>
    <row r="189" spans="1:31" x14ac:dyDescent="0.2">
      <c r="A189">
        <v>188</v>
      </c>
      <c r="B189">
        <v>781</v>
      </c>
      <c r="C189">
        <v>135</v>
      </c>
      <c r="D189">
        <v>0.46620547360432502</v>
      </c>
      <c r="E189">
        <v>101.735935129609</v>
      </c>
      <c r="F189">
        <v>2.1976299635339802</v>
      </c>
      <c r="G189">
        <v>-1664.812331849789</v>
      </c>
      <c r="H189">
        <v>-1393.8602972587407</v>
      </c>
      <c r="I189">
        <v>257.03366180434301</v>
      </c>
      <c r="J189">
        <v>135.69627790311199</v>
      </c>
      <c r="K189">
        <v>46.293478346103598</v>
      </c>
      <c r="L189">
        <v>1.3130405714164065E-4</v>
      </c>
      <c r="M189">
        <v>1.699040311211319E-5</v>
      </c>
      <c r="N189" s="1">
        <v>2.5045046110415798E-6</v>
      </c>
      <c r="O189" s="1">
        <v>7.9233834404990394E-8</v>
      </c>
      <c r="P189" s="1">
        <v>-3.9574739902209302E-7</v>
      </c>
      <c r="Q189">
        <v>74.127544851475704</v>
      </c>
      <c r="R189">
        <v>6.7822642915796899E-2</v>
      </c>
      <c r="S189">
        <v>12.1363827102966</v>
      </c>
      <c r="T189">
        <v>0.15833824946448999</v>
      </c>
      <c r="V189">
        <v>0.36865266360349802</v>
      </c>
      <c r="W189">
        <v>2.35904844924496E-2</v>
      </c>
      <c r="X189">
        <v>4.9146842692610201E-2</v>
      </c>
      <c r="AA189">
        <v>0.50201307050714095</v>
      </c>
      <c r="AB189">
        <v>3.7720797143590499</v>
      </c>
      <c r="AC189">
        <v>4.5024231521225797</v>
      </c>
      <c r="AD189">
        <v>5.8976211231117296E-3</v>
      </c>
      <c r="AE189">
        <v>4.2861079969468703</v>
      </c>
    </row>
    <row r="190" spans="1:31" x14ac:dyDescent="0.2">
      <c r="A190">
        <v>189</v>
      </c>
      <c r="B190">
        <v>780</v>
      </c>
      <c r="C190">
        <v>135</v>
      </c>
      <c r="D190">
        <v>0.46563215116555001</v>
      </c>
      <c r="E190">
        <v>101.299736543612</v>
      </c>
      <c r="F190">
        <v>2.1979141355388698</v>
      </c>
      <c r="G190">
        <v>-1657.3126983248014</v>
      </c>
      <c r="H190">
        <v>-1387.9948251298972</v>
      </c>
      <c r="I190">
        <v>255.72603446318601</v>
      </c>
      <c r="J190">
        <v>135.064216543133</v>
      </c>
      <c r="K190">
        <v>46.089032735928797</v>
      </c>
      <c r="L190">
        <v>1.3109338032139833E-4</v>
      </c>
      <c r="M190">
        <v>1.6975278747291233E-5</v>
      </c>
      <c r="N190" s="1">
        <v>2.4933670477323901E-6</v>
      </c>
      <c r="O190" s="1">
        <v>7.8745047312332394E-8</v>
      </c>
      <c r="P190" s="1">
        <v>-3.9323515656212002E-7</v>
      </c>
      <c r="Q190">
        <v>74.179028206127597</v>
      </c>
      <c r="R190">
        <v>6.8114688501974094E-2</v>
      </c>
      <c r="S190">
        <v>12.1037179932569</v>
      </c>
      <c r="T190">
        <v>0.15919160286061901</v>
      </c>
      <c r="V190">
        <v>0.37008573007912299</v>
      </c>
      <c r="W190">
        <v>2.3692065565902299E-2</v>
      </c>
      <c r="X190">
        <v>4.9358469928970798E-2</v>
      </c>
      <c r="AA190">
        <v>0.49657816701185498</v>
      </c>
      <c r="AB190">
        <v>3.7510139136140999</v>
      </c>
      <c r="AC190">
        <v>4.5128150300529404</v>
      </c>
      <c r="AD190">
        <v>5.9230163914748201E-3</v>
      </c>
      <c r="AE190">
        <v>4.2804811166084002</v>
      </c>
    </row>
    <row r="191" spans="1:31" x14ac:dyDescent="0.2">
      <c r="A191">
        <v>190</v>
      </c>
      <c r="B191">
        <v>779</v>
      </c>
      <c r="C191">
        <v>135</v>
      </c>
      <c r="D191">
        <v>0.46505773891555402</v>
      </c>
      <c r="E191">
        <v>100.86295089884599</v>
      </c>
      <c r="F191">
        <v>2.1981992087325</v>
      </c>
      <c r="G191">
        <v>-1649.8076604930482</v>
      </c>
      <c r="H191">
        <v>-1382.1214511036828</v>
      </c>
      <c r="I191">
        <v>254.41829528999199</v>
      </c>
      <c r="J191">
        <v>134.43173441659201</v>
      </c>
      <c r="K191">
        <v>45.884354110474</v>
      </c>
      <c r="L191">
        <v>1.3088179217476075E-4</v>
      </c>
      <c r="M191">
        <v>1.696017537253545E-5</v>
      </c>
      <c r="N191" s="1">
        <v>2.4822022734725502E-6</v>
      </c>
      <c r="O191" s="1">
        <v>7.8256949917605202E-8</v>
      </c>
      <c r="P191" s="1">
        <v>-3.9072212704457302E-7</v>
      </c>
      <c r="Q191">
        <v>74.230720421717294</v>
      </c>
      <c r="R191">
        <v>6.8409658239328403E-2</v>
      </c>
      <c r="S191">
        <v>12.0709776937685</v>
      </c>
      <c r="T191">
        <v>0.16005314131019999</v>
      </c>
      <c r="V191">
        <v>0.37153346863482201</v>
      </c>
      <c r="W191">
        <v>2.3794663735416499E-2</v>
      </c>
      <c r="X191">
        <v>4.9572216115460199E-2</v>
      </c>
      <c r="AA191">
        <v>0.49136786419782902</v>
      </c>
      <c r="AB191">
        <v>3.7297927225933001</v>
      </c>
      <c r="AC191">
        <v>4.5229901928598002</v>
      </c>
      <c r="AD191">
        <v>5.9486659338532097E-3</v>
      </c>
      <c r="AE191">
        <v>4.2748392908939898</v>
      </c>
    </row>
    <row r="192" spans="1:31" x14ac:dyDescent="0.2">
      <c r="A192">
        <v>191</v>
      </c>
      <c r="B192">
        <v>778</v>
      </c>
      <c r="C192">
        <v>135</v>
      </c>
      <c r="D192">
        <v>0.464482233743996</v>
      </c>
      <c r="E192">
        <v>100.42572356588001</v>
      </c>
      <c r="F192">
        <v>2.19848501373116</v>
      </c>
      <c r="G192">
        <v>-1642.2996813537354</v>
      </c>
      <c r="H192">
        <v>-1376.2421921980949</v>
      </c>
      <c r="I192">
        <v>253.11086824491201</v>
      </c>
      <c r="J192">
        <v>133.79903784830299</v>
      </c>
      <c r="K192">
        <v>45.6795124545527</v>
      </c>
      <c r="L192">
        <v>1.3066937625207006E-4</v>
      </c>
      <c r="M192">
        <v>1.69451011419871E-5</v>
      </c>
      <c r="N192" s="1">
        <v>2.4710164421536499E-6</v>
      </c>
      <c r="O192" s="1">
        <v>7.7769728372729497E-8</v>
      </c>
      <c r="P192" s="1">
        <v>-3.88209335362914E-7</v>
      </c>
      <c r="Q192">
        <v>74.282619264278793</v>
      </c>
      <c r="R192">
        <v>6.8707495998012402E-2</v>
      </c>
      <c r="S192">
        <v>12.0381636292064</v>
      </c>
      <c r="T192">
        <v>0.160922768467299</v>
      </c>
      <c r="V192">
        <v>0.37299554295626203</v>
      </c>
      <c r="W192">
        <v>2.38982594775674E-2</v>
      </c>
      <c r="X192">
        <v>4.97880405782751E-2</v>
      </c>
      <c r="AA192">
        <v>0.48637773898333198</v>
      </c>
      <c r="AB192">
        <v>3.70843143983618</v>
      </c>
      <c r="AC192">
        <v>4.5329346078561903</v>
      </c>
      <c r="AD192">
        <v>5.97456486939085E-3</v>
      </c>
      <c r="AE192">
        <v>4.2691866474921802</v>
      </c>
    </row>
    <row r="193" spans="1:31" x14ac:dyDescent="0.2">
      <c r="A193">
        <v>192</v>
      </c>
      <c r="B193">
        <v>777</v>
      </c>
      <c r="C193">
        <v>135</v>
      </c>
      <c r="D193">
        <v>0.46390563252868899</v>
      </c>
      <c r="E193">
        <v>99.988194427215006</v>
      </c>
      <c r="F193">
        <v>2.1987713808837501</v>
      </c>
      <c r="G193">
        <v>-1634.7911304229083</v>
      </c>
      <c r="H193">
        <v>-1370.3589903383763</v>
      </c>
      <c r="I193">
        <v>251.804161390784</v>
      </c>
      <c r="J193">
        <v>133.16632526549199</v>
      </c>
      <c r="K193">
        <v>45.474575163438203</v>
      </c>
      <c r="L193">
        <v>1.304562157426871E-4</v>
      </c>
      <c r="M193">
        <v>1.6930064201713999E-5</v>
      </c>
      <c r="N193" s="1">
        <v>2.4598155403240898E-6</v>
      </c>
      <c r="O193" s="1">
        <v>7.7283562315287506E-8</v>
      </c>
      <c r="P193" s="1">
        <v>-3.85697772542251E-7</v>
      </c>
      <c r="Q193">
        <v>74.334722727799402</v>
      </c>
      <c r="R193">
        <v>6.9008146807001403E-2</v>
      </c>
      <c r="S193">
        <v>12.0052774779231</v>
      </c>
      <c r="T193">
        <v>0.161800390177471</v>
      </c>
      <c r="V193">
        <v>0.37447162349018298</v>
      </c>
      <c r="W193">
        <v>2.4002833671998101E-2</v>
      </c>
      <c r="X193">
        <v>5.0005903483340199E-2</v>
      </c>
      <c r="AA193">
        <v>0.48160333344943301</v>
      </c>
      <c r="AB193">
        <v>3.6869453505485001</v>
      </c>
      <c r="AC193">
        <v>4.5426341904065204</v>
      </c>
      <c r="AD193">
        <v>6.0007084179983803E-3</v>
      </c>
      <c r="AE193">
        <v>4.2635273138249898</v>
      </c>
    </row>
    <row r="194" spans="1:31" x14ac:dyDescent="0.2">
      <c r="A194">
        <v>193</v>
      </c>
      <c r="B194">
        <v>776</v>
      </c>
      <c r="C194">
        <v>135</v>
      </c>
      <c r="D194">
        <v>0.46332793213554102</v>
      </c>
      <c r="E194">
        <v>99.550497484096795</v>
      </c>
      <c r="F194">
        <v>2.1990581405909801</v>
      </c>
      <c r="G194">
        <v>-1627.284277315533</v>
      </c>
      <c r="H194">
        <v>-1364.4737069511241</v>
      </c>
      <c r="I194">
        <v>250.498565852746</v>
      </c>
      <c r="J194">
        <v>132.53378666303499</v>
      </c>
      <c r="K194">
        <v>45.269606858754003</v>
      </c>
      <c r="L194">
        <v>1.3024239326927254E-4</v>
      </c>
      <c r="M194">
        <v>1.6915072677401112E-5</v>
      </c>
      <c r="N194" s="1">
        <v>2.4486053727451401E-6</v>
      </c>
      <c r="O194" s="1">
        <v>7.6798624479905202E-8</v>
      </c>
      <c r="P194" s="1">
        <v>-3.8318839340452999E-7</v>
      </c>
      <c r="Q194">
        <v>74.387029062166903</v>
      </c>
      <c r="R194">
        <v>6.9311557193398807E-2</v>
      </c>
      <c r="S194">
        <v>11.9723207639863</v>
      </c>
      <c r="T194">
        <v>0.16268591519015399</v>
      </c>
      <c r="V194">
        <v>0.37596138936073897</v>
      </c>
      <c r="W194">
        <v>2.4108367719440402E-2</v>
      </c>
      <c r="X194">
        <v>5.02257660821794E-2</v>
      </c>
      <c r="AA194">
        <v>0.47704017465377702</v>
      </c>
      <c r="AB194">
        <v>3.66534968847286</v>
      </c>
      <c r="AC194">
        <v>4.55207481382803</v>
      </c>
      <c r="AD194">
        <v>6.0270919298588401E-3</v>
      </c>
      <c r="AE194">
        <v>4.2578654094162998</v>
      </c>
    </row>
    <row r="195" spans="1:31" x14ac:dyDescent="0.2">
      <c r="A195">
        <v>194</v>
      </c>
      <c r="B195">
        <v>775</v>
      </c>
      <c r="C195">
        <v>135</v>
      </c>
      <c r="D195">
        <v>0.46274912941850099</v>
      </c>
      <c r="E195">
        <v>99.112760555220305</v>
      </c>
      <c r="F195">
        <v>2.1993451235906001</v>
      </c>
      <c r="G195">
        <v>-1619.7812868505989</v>
      </c>
      <c r="H195">
        <v>-1358.5881188114522</v>
      </c>
      <c r="I195">
        <v>249.19445502947701</v>
      </c>
      <c r="J195">
        <v>131.901603196596</v>
      </c>
      <c r="K195">
        <v>45.0646692472761</v>
      </c>
      <c r="L195">
        <v>1.3002799070843617E-4</v>
      </c>
      <c r="M195">
        <v>1.6900134663543369E-5</v>
      </c>
      <c r="N195" s="1">
        <v>2.4373915509046399E-6</v>
      </c>
      <c r="O195" s="1">
        <v>7.6315080404982206E-8</v>
      </c>
      <c r="P195" s="1">
        <v>-3.8068211477681702E-7</v>
      </c>
      <c r="Q195">
        <v>74.439536796373901</v>
      </c>
      <c r="R195">
        <v>6.96176754773771E-2</v>
      </c>
      <c r="S195">
        <v>11.939294844468201</v>
      </c>
      <c r="T195">
        <v>0.16357925578103</v>
      </c>
      <c r="V195">
        <v>0.37746453003205499</v>
      </c>
      <c r="W195">
        <v>2.4214843644302101E-2</v>
      </c>
      <c r="X195">
        <v>5.0447590925642598E-2</v>
      </c>
      <c r="AA195">
        <v>0.47268379260453203</v>
      </c>
      <c r="AB195">
        <v>3.6436596015721001</v>
      </c>
      <c r="AC195">
        <v>4.5612423190287101</v>
      </c>
      <c r="AD195">
        <v>6.0537109110741201E-3</v>
      </c>
      <c r="AE195">
        <v>4.2522050391809296</v>
      </c>
    </row>
    <row r="196" spans="1:31" x14ac:dyDescent="0.2">
      <c r="A196">
        <v>195</v>
      </c>
      <c r="B196">
        <v>774</v>
      </c>
      <c r="C196">
        <v>135</v>
      </c>
      <c r="D196">
        <v>0.46216922121950399</v>
      </c>
      <c r="E196">
        <v>96.815335930915197</v>
      </c>
      <c r="F196">
        <v>2.20023450383328</v>
      </c>
      <c r="G196">
        <v>-1581.4644777478215</v>
      </c>
      <c r="H196">
        <v>-1326.8363829349009</v>
      </c>
      <c r="I196">
        <v>243.162961192685</v>
      </c>
      <c r="J196">
        <v>128.79965173439101</v>
      </c>
      <c r="K196">
        <v>44.002280557932302</v>
      </c>
      <c r="L196">
        <v>1.2980320261626839E-4</v>
      </c>
      <c r="M196">
        <v>1.6866555091480099E-5</v>
      </c>
      <c r="N196" s="1">
        <v>2.3761862469622702E-6</v>
      </c>
      <c r="O196" s="1">
        <v>7.4284795109508698E-8</v>
      </c>
      <c r="P196" s="1">
        <v>-3.7103503193534899E-7</v>
      </c>
      <c r="Q196">
        <v>74.413024704015001</v>
      </c>
      <c r="R196">
        <v>7.1269700545417897E-2</v>
      </c>
      <c r="S196">
        <v>11.9403791181361</v>
      </c>
      <c r="T196">
        <v>0.16774021417654</v>
      </c>
      <c r="V196">
        <v>0.38617049784052898</v>
      </c>
      <c r="W196">
        <v>2.47894610592722E-2</v>
      </c>
      <c r="X196">
        <v>5.1644710540166401E-2</v>
      </c>
      <c r="AA196">
        <v>0.46411366113497998</v>
      </c>
      <c r="AB196">
        <v>3.60770472900519</v>
      </c>
      <c r="AC196">
        <v>4.6280258909314602</v>
      </c>
      <c r="AD196">
        <v>6.1973652648165903E-3</v>
      </c>
      <c r="AE196">
        <v>4.2389399473504001</v>
      </c>
    </row>
    <row r="197" spans="1:31" x14ac:dyDescent="0.2">
      <c r="A197">
        <v>196</v>
      </c>
      <c r="B197">
        <v>773</v>
      </c>
      <c r="C197">
        <v>135</v>
      </c>
      <c r="D197">
        <v>0.46158820436839998</v>
      </c>
      <c r="E197">
        <v>94.088482703595901</v>
      </c>
      <c r="F197">
        <v>2.2012511745888301</v>
      </c>
      <c r="G197">
        <v>-1536.0977713781347</v>
      </c>
      <c r="H197">
        <v>-1289.1523783392327</v>
      </c>
      <c r="I197">
        <v>236.05161118281401</v>
      </c>
      <c r="J197">
        <v>125.127824990843</v>
      </c>
      <c r="K197">
        <v>42.7431834175718</v>
      </c>
      <c r="L197">
        <v>1.2956455854791743E-4</v>
      </c>
      <c r="M197">
        <v>1.6829800492822545E-5</v>
      </c>
      <c r="N197" s="1">
        <v>2.3038455998086202E-6</v>
      </c>
      <c r="O197" s="1">
        <v>7.1915586364209107E-8</v>
      </c>
      <c r="P197" s="1">
        <v>-3.5971157311810898E-7</v>
      </c>
      <c r="Q197">
        <v>74.376807679626296</v>
      </c>
      <c r="R197">
        <v>7.3335224479465499E-2</v>
      </c>
      <c r="S197">
        <v>11.9447125952085</v>
      </c>
      <c r="T197">
        <v>0.172888789720303</v>
      </c>
      <c r="V197">
        <v>0.397104020201763</v>
      </c>
      <c r="W197">
        <v>2.5507904166765599E-2</v>
      </c>
      <c r="X197">
        <v>5.3141467014117497E-2</v>
      </c>
      <c r="AA197">
        <v>0.45687433492850898</v>
      </c>
      <c r="AB197">
        <v>3.5667936885259399</v>
      </c>
      <c r="AC197">
        <v>4.7022921548285197</v>
      </c>
      <c r="AD197">
        <v>6.3769760416893598E-3</v>
      </c>
      <c r="AE197">
        <v>4.2241651652579399</v>
      </c>
    </row>
    <row r="198" spans="1:31" x14ac:dyDescent="0.2">
      <c r="A198">
        <v>197</v>
      </c>
      <c r="B198">
        <v>772</v>
      </c>
      <c r="C198">
        <v>135</v>
      </c>
      <c r="D198">
        <v>0.46100607568291702</v>
      </c>
      <c r="E198">
        <v>90.833454191666902</v>
      </c>
      <c r="F198">
        <v>2.2023866587934502</v>
      </c>
      <c r="G198">
        <v>-1482.1027418677813</v>
      </c>
      <c r="H198">
        <v>-1244.2061185280829</v>
      </c>
      <c r="I198">
        <v>227.61959846882999</v>
      </c>
      <c r="J198">
        <v>120.75511216972301</v>
      </c>
      <c r="K198">
        <v>41.243191257537198</v>
      </c>
      <c r="L198">
        <v>1.2930997783069592E-4</v>
      </c>
      <c r="M198">
        <v>1.6791222927974846E-5</v>
      </c>
      <c r="N198" s="1">
        <v>2.2183376371583601E-6</v>
      </c>
      <c r="O198" s="1">
        <v>6.9144466303976603E-8</v>
      </c>
      <c r="P198" s="1">
        <v>-3.4632637315947098E-7</v>
      </c>
      <c r="Q198">
        <v>74.336253348865597</v>
      </c>
      <c r="R198">
        <v>7.5963201679427397E-2</v>
      </c>
      <c r="S198">
        <v>11.9491059469521</v>
      </c>
      <c r="T198">
        <v>0.17936127952324701</v>
      </c>
      <c r="V198">
        <v>0.41108504817032099</v>
      </c>
      <c r="W198">
        <v>2.6421983192838099E-2</v>
      </c>
      <c r="X198">
        <v>5.5045798318440503E-2</v>
      </c>
      <c r="AA198">
        <v>0.45253189590017201</v>
      </c>
      <c r="AB198">
        <v>3.5205347731594498</v>
      </c>
      <c r="AC198">
        <v>4.7787648446858597</v>
      </c>
      <c r="AD198">
        <v>6.6054957982072098E-3</v>
      </c>
      <c r="AE198">
        <v>4.2083263837542502</v>
      </c>
    </row>
    <row r="199" spans="1:31" x14ac:dyDescent="0.2">
      <c r="A199">
        <v>198</v>
      </c>
      <c r="B199">
        <v>771</v>
      </c>
      <c r="C199">
        <v>135</v>
      </c>
      <c r="D199">
        <v>0.46042283196858502</v>
      </c>
      <c r="E199">
        <v>78.707886372060798</v>
      </c>
      <c r="F199">
        <v>2.2045851808610699</v>
      </c>
      <c r="G199">
        <v>-1283.0530630681983</v>
      </c>
      <c r="H199">
        <v>-1077.3331489003976</v>
      </c>
      <c r="I199">
        <v>197.02141853929001</v>
      </c>
      <c r="J199">
        <v>104.616058133761</v>
      </c>
      <c r="K199">
        <v>35.701903040697601</v>
      </c>
      <c r="L199">
        <v>1.2918751946802199E-4</v>
      </c>
      <c r="M199">
        <v>1.6761900368700936E-5</v>
      </c>
      <c r="N199" s="1">
        <v>1.9184648306308702E-6</v>
      </c>
      <c r="O199" s="1">
        <v>5.9703133228096994E-8</v>
      </c>
      <c r="P199" s="1">
        <v>-2.99277844250876E-7</v>
      </c>
      <c r="Q199">
        <v>74.230091039436005</v>
      </c>
      <c r="R199">
        <v>8.7665929274026597E-2</v>
      </c>
      <c r="S199">
        <v>11.9529079844742</v>
      </c>
      <c r="T199">
        <v>0.206971024213188</v>
      </c>
      <c r="V199">
        <v>0.474435964702494</v>
      </c>
      <c r="W199">
        <v>3.0492497138778E-2</v>
      </c>
      <c r="X199">
        <v>6.35260357058509E-2</v>
      </c>
      <c r="AA199">
        <v>0.46734781389919999</v>
      </c>
      <c r="AB199">
        <v>3.46516397173307</v>
      </c>
      <c r="AC199">
        <v>4.8184326438429599</v>
      </c>
      <c r="AD199">
        <v>7.6231242846891197E-3</v>
      </c>
      <c r="AE199">
        <v>4.1953419712954103</v>
      </c>
    </row>
    <row r="200" spans="1:31" x14ac:dyDescent="0.2">
      <c r="A200">
        <v>199</v>
      </c>
      <c r="B200">
        <v>770</v>
      </c>
      <c r="C200">
        <v>135</v>
      </c>
      <c r="D200">
        <v>0.45983847001869499</v>
      </c>
      <c r="E200">
        <v>64.778098720681299</v>
      </c>
      <c r="F200">
        <v>2.2074525494283499</v>
      </c>
      <c r="G200">
        <v>-1054.7222494053974</v>
      </c>
      <c r="H200">
        <v>-885.71999136858881</v>
      </c>
      <c r="I200">
        <v>162.01146339146601</v>
      </c>
      <c r="J200">
        <v>86.100325886486104</v>
      </c>
      <c r="K200">
        <v>29.345182861328698</v>
      </c>
      <c r="L200">
        <v>1.2922980484289106E-4</v>
      </c>
      <c r="M200">
        <v>1.6745361496461319E-5</v>
      </c>
      <c r="N200" s="1">
        <v>1.5778011813102799E-6</v>
      </c>
      <c r="O200" s="1">
        <v>4.9017158632919303E-8</v>
      </c>
      <c r="P200" s="1">
        <v>-2.4583135655250002E-7</v>
      </c>
      <c r="Q200">
        <v>74.075339271351396</v>
      </c>
      <c r="R200">
        <v>0.106517482548444</v>
      </c>
      <c r="S200">
        <v>11.9536790567573</v>
      </c>
      <c r="T200">
        <v>0.25115453695578299</v>
      </c>
      <c r="V200">
        <v>0.57674883026172097</v>
      </c>
      <c r="W200">
        <v>3.7049559147263898E-2</v>
      </c>
      <c r="X200">
        <v>7.71865815568991E-2</v>
      </c>
      <c r="AA200">
        <v>0.48755416796851198</v>
      </c>
      <c r="AB200">
        <v>3.4174189081775999</v>
      </c>
      <c r="AC200">
        <v>4.8205335054524099</v>
      </c>
      <c r="AD200">
        <v>9.2623897868058108E-3</v>
      </c>
      <c r="AE200">
        <v>4.1875557100357099</v>
      </c>
    </row>
    <row r="201" spans="1:31" x14ac:dyDescent="0.2">
      <c r="A201">
        <v>200</v>
      </c>
      <c r="B201">
        <v>769</v>
      </c>
      <c r="C201">
        <v>135</v>
      </c>
      <c r="D201">
        <v>0.45925298661421299</v>
      </c>
      <c r="E201">
        <v>46.0142863418804</v>
      </c>
      <c r="F201">
        <v>2.2101475280816398</v>
      </c>
      <c r="G201">
        <v>-748.59386267443722</v>
      </c>
      <c r="H201">
        <v>-628.79387880361583</v>
      </c>
      <c r="I201">
        <v>114.954645560448</v>
      </c>
      <c r="J201">
        <v>61.167328939058301</v>
      </c>
      <c r="K201">
        <v>20.8195542411685</v>
      </c>
      <c r="L201">
        <v>1.2911851141117307E-4</v>
      </c>
      <c r="M201">
        <v>1.6718974194912763E-5</v>
      </c>
      <c r="N201" s="1">
        <v>1.11852447653613E-6</v>
      </c>
      <c r="O201" s="1">
        <v>3.4692391298918701E-8</v>
      </c>
      <c r="P201" s="1">
        <v>-1.7397016777541701E-7</v>
      </c>
      <c r="Q201">
        <v>73.929555683415003</v>
      </c>
      <c r="R201">
        <v>0.130123007374608</v>
      </c>
      <c r="S201">
        <v>11.989587948127101</v>
      </c>
      <c r="T201">
        <v>0.274518881467334</v>
      </c>
      <c r="V201">
        <v>0.63151481374789498</v>
      </c>
      <c r="W201">
        <v>5.21577142839336E-2</v>
      </c>
      <c r="X201">
        <v>0.106340013589991</v>
      </c>
      <c r="AA201">
        <v>0.51465656419919803</v>
      </c>
      <c r="AB201">
        <v>3.34218551153428</v>
      </c>
      <c r="AC201">
        <v>4.8419150031636704</v>
      </c>
      <c r="AD201">
        <v>1.30394285709661E-2</v>
      </c>
      <c r="AE201">
        <v>4.1744054305259404</v>
      </c>
    </row>
    <row r="202" spans="1:31" x14ac:dyDescent="0.2">
      <c r="A202">
        <v>201</v>
      </c>
      <c r="B202">
        <v>768</v>
      </c>
      <c r="C202">
        <v>135</v>
      </c>
      <c r="D202">
        <v>0.45866637852374798</v>
      </c>
      <c r="E202">
        <v>27.673012596436902</v>
      </c>
      <c r="F202">
        <v>2.2123629168588099</v>
      </c>
      <c r="G202">
        <v>-450.15441269743894</v>
      </c>
      <c r="H202">
        <v>-378.2722232112867</v>
      </c>
      <c r="I202">
        <v>69.041146315278397</v>
      </c>
      <c r="J202">
        <v>36.803244670882897</v>
      </c>
      <c r="K202">
        <v>12.508351313232</v>
      </c>
      <c r="L202">
        <v>1.2883273008922844E-4</v>
      </c>
      <c r="M202">
        <v>1.6685653464307646E-5</v>
      </c>
      <c r="N202" s="1">
        <v>6.7064162213329597E-7</v>
      </c>
      <c r="O202" s="1">
        <v>2.0767986437346401E-8</v>
      </c>
      <c r="P202" s="1">
        <v>-1.04021652879855E-7</v>
      </c>
      <c r="Q202">
        <v>73.792071292397594</v>
      </c>
      <c r="R202">
        <v>0.154570511983948</v>
      </c>
      <c r="S202">
        <v>12.097622240113299</v>
      </c>
      <c r="T202">
        <v>0.261965286453399</v>
      </c>
      <c r="V202">
        <v>0.60392223001441003</v>
      </c>
      <c r="W202">
        <v>8.6727095275042798E-2</v>
      </c>
      <c r="X202">
        <v>0.16791197199449701</v>
      </c>
      <c r="AA202">
        <v>0.54235625427380996</v>
      </c>
      <c r="AB202">
        <v>3.2323363485861201</v>
      </c>
      <c r="AC202">
        <v>4.88181839895958</v>
      </c>
      <c r="AD202">
        <v>2.1681773818731001E-2</v>
      </c>
      <c r="AE202">
        <v>4.1570165961294903</v>
      </c>
    </row>
    <row r="203" spans="1:31" x14ac:dyDescent="0.2">
      <c r="A203">
        <v>202</v>
      </c>
      <c r="B203">
        <v>767</v>
      </c>
      <c r="C203">
        <v>135</v>
      </c>
      <c r="D203">
        <v>0.45807864250348701</v>
      </c>
      <c r="E203">
        <v>17.262905311437599</v>
      </c>
      <c r="F203">
        <v>2.2146452458190198</v>
      </c>
      <c r="G203">
        <v>-280.77047678123085</v>
      </c>
      <c r="H203">
        <v>-236.03024419626175</v>
      </c>
      <c r="I203">
        <v>43.013250574406598</v>
      </c>
      <c r="J203">
        <v>22.9679409638054</v>
      </c>
      <c r="K203">
        <v>7.7948851374854797</v>
      </c>
      <c r="L203">
        <v>1.2862793884791136E-4</v>
      </c>
      <c r="M203">
        <v>1.6666375145340878E-5</v>
      </c>
      <c r="N203" s="1">
        <v>4.1750054880654398E-7</v>
      </c>
      <c r="O203" s="1">
        <v>1.29075670395806E-8</v>
      </c>
      <c r="P203" s="1">
        <v>-6.45347814531781E-8</v>
      </c>
      <c r="Q203">
        <v>73.608592628677201</v>
      </c>
      <c r="R203">
        <v>0.18150448020732801</v>
      </c>
      <c r="S203">
        <v>12.270386994259701</v>
      </c>
      <c r="T203">
        <v>0.25023207892263699</v>
      </c>
      <c r="V203">
        <v>0.57907261659831799</v>
      </c>
      <c r="W203">
        <v>0.139026424388039</v>
      </c>
      <c r="X203">
        <v>0.19988905052470901</v>
      </c>
      <c r="AA203">
        <v>0.55866105790845699</v>
      </c>
      <c r="AB203">
        <v>3.11680735454543</v>
      </c>
      <c r="AC203">
        <v>4.9172849865253196</v>
      </c>
      <c r="AD203">
        <v>3.4756606096958E-2</v>
      </c>
      <c r="AE203">
        <v>4.1437857213458598</v>
      </c>
    </row>
    <row r="204" spans="1:31" x14ac:dyDescent="0.2">
      <c r="A204">
        <v>203</v>
      </c>
      <c r="B204">
        <v>766</v>
      </c>
      <c r="C204">
        <v>135</v>
      </c>
      <c r="D204">
        <v>0.45748977529712298</v>
      </c>
      <c r="E204">
        <v>11.761049106775699</v>
      </c>
      <c r="F204">
        <v>2.2169006739709101</v>
      </c>
      <c r="G204">
        <v>-191.24711068783631</v>
      </c>
      <c r="H204">
        <v>-160.83304116322776</v>
      </c>
      <c r="I204">
        <v>29.268218760148599</v>
      </c>
      <c r="J204">
        <v>15.653147876136</v>
      </c>
      <c r="K204">
        <v>5.3051763865041996</v>
      </c>
      <c r="L204">
        <v>1.2849731924889459E-4</v>
      </c>
      <c r="M204">
        <v>1.6659711650575462E-5</v>
      </c>
      <c r="N204" s="1">
        <v>2.8414636197872602E-7</v>
      </c>
      <c r="O204" s="1">
        <v>8.7696046766569199E-9</v>
      </c>
      <c r="P204" s="1">
        <v>-4.3749596970803097E-8</v>
      </c>
      <c r="Q204">
        <v>73.392853968465005</v>
      </c>
      <c r="R204">
        <v>0.20525735500497999</v>
      </c>
      <c r="S204">
        <v>12.4926873298243</v>
      </c>
      <c r="T204">
        <v>0.24050680034131999</v>
      </c>
      <c r="V204">
        <v>0.55936810140836302</v>
      </c>
      <c r="W204">
        <v>0.20406342820349299</v>
      </c>
      <c r="X204">
        <v>0.20403745308483201</v>
      </c>
      <c r="AA204">
        <v>0.56754797345644503</v>
      </c>
      <c r="AB204">
        <v>2.9992501700352001</v>
      </c>
      <c r="AC204">
        <v>4.9485863481468</v>
      </c>
      <c r="AD204">
        <v>5.1015857050782203E-2</v>
      </c>
      <c r="AE204">
        <v>4.1348252149783802</v>
      </c>
    </row>
    <row r="205" spans="1:31" x14ac:dyDescent="0.2">
      <c r="A205">
        <v>204</v>
      </c>
      <c r="B205">
        <v>765</v>
      </c>
      <c r="C205">
        <v>135</v>
      </c>
      <c r="D205">
        <v>0.45689977363579698</v>
      </c>
      <c r="E205">
        <v>8.8296443552287105</v>
      </c>
      <c r="F205">
        <v>2.2189725068348598</v>
      </c>
      <c r="G205">
        <v>-143.54655509949666</v>
      </c>
      <c r="H205">
        <v>-120.75965765176828</v>
      </c>
      <c r="I205">
        <v>21.9495231399396</v>
      </c>
      <c r="J205">
        <v>11.756358361580901</v>
      </c>
      <c r="K205">
        <v>3.9791589702133199</v>
      </c>
      <c r="L205">
        <v>1.2845603346380168E-4</v>
      </c>
      <c r="M205">
        <v>1.6663716608754012E-5</v>
      </c>
      <c r="N205" s="1">
        <v>2.13396601712993E-7</v>
      </c>
      <c r="O205" s="1">
        <v>6.5739116355795302E-9</v>
      </c>
      <c r="P205" s="1">
        <v>-3.2727600540500298E-8</v>
      </c>
      <c r="Q205">
        <v>73.172852670811196</v>
      </c>
      <c r="R205">
        <v>0.209443929140924</v>
      </c>
      <c r="S205">
        <v>12.723036549893299</v>
      </c>
      <c r="T205">
        <v>0.23606080387294101</v>
      </c>
      <c r="V205">
        <v>0.55201677595680798</v>
      </c>
      <c r="W205">
        <v>0.27023569047843499</v>
      </c>
      <c r="X205">
        <v>0.20442687110478999</v>
      </c>
      <c r="AA205">
        <v>0.572604865439588</v>
      </c>
      <c r="AB205">
        <v>2.8926695747628699</v>
      </c>
      <c r="AC205">
        <v>4.9671498812713502</v>
      </c>
      <c r="AD205">
        <v>6.7952906805675298E-2</v>
      </c>
      <c r="AE205">
        <v>4.1315494804619899</v>
      </c>
    </row>
    <row r="206" spans="1:31" x14ac:dyDescent="0.2">
      <c r="A206">
        <v>205</v>
      </c>
      <c r="B206">
        <v>794</v>
      </c>
      <c r="C206">
        <v>120</v>
      </c>
      <c r="D206">
        <v>0.489022630370612</v>
      </c>
      <c r="E206">
        <v>102.971125264675</v>
      </c>
      <c r="F206">
        <v>2.19821230252247</v>
      </c>
      <c r="G206">
        <v>-1687.7846331765056</v>
      </c>
      <c r="H206">
        <v>-1410.0612019737277</v>
      </c>
      <c r="I206">
        <v>260.247791971867</v>
      </c>
      <c r="J206">
        <v>137.31254947271901</v>
      </c>
      <c r="K206">
        <v>46.843121179203102</v>
      </c>
      <c r="L206">
        <v>1.2771361325926469E-4</v>
      </c>
      <c r="M206">
        <v>1.6810437953031676E-5</v>
      </c>
      <c r="N206" s="1">
        <v>2.3622411606957099E-6</v>
      </c>
      <c r="O206" s="1">
        <v>7.7391924109559805E-8</v>
      </c>
      <c r="P206" s="1">
        <v>-3.8143869695900301E-7</v>
      </c>
      <c r="Q206">
        <v>74.156711217579101</v>
      </c>
      <c r="R206">
        <v>6.7009076401412002E-2</v>
      </c>
      <c r="S206">
        <v>12.284997340259199</v>
      </c>
      <c r="T206">
        <v>0.15491957323130301</v>
      </c>
      <c r="V206">
        <v>0.36559760021746102</v>
      </c>
      <c r="W206">
        <v>2.33075048352736E-2</v>
      </c>
      <c r="X206">
        <v>4.8557301740153998E-2</v>
      </c>
      <c r="AA206">
        <v>0.52441885879365802</v>
      </c>
      <c r="AB206">
        <v>3.8554497581681799</v>
      </c>
      <c r="AC206">
        <v>4.4769832204421203</v>
      </c>
      <c r="AD206">
        <v>5.8268762088183297E-3</v>
      </c>
      <c r="AE206">
        <v>4.03622167212324</v>
      </c>
    </row>
    <row r="207" spans="1:31" x14ac:dyDescent="0.2">
      <c r="A207">
        <v>206</v>
      </c>
      <c r="B207">
        <v>793</v>
      </c>
      <c r="C207">
        <v>120</v>
      </c>
      <c r="D207">
        <v>0.488477700136005</v>
      </c>
      <c r="E207">
        <v>102.931235198191</v>
      </c>
      <c r="F207">
        <v>2.1984747068077501</v>
      </c>
      <c r="G207">
        <v>-1686.8633229508023</v>
      </c>
      <c r="H207">
        <v>-1409.6489727838282</v>
      </c>
      <c r="I207">
        <v>260.014397755451</v>
      </c>
      <c r="J207">
        <v>137.24453631922799</v>
      </c>
      <c r="K207">
        <v>46.819385676558703</v>
      </c>
      <c r="L207">
        <v>1.2767326359788145E-4</v>
      </c>
      <c r="M207">
        <v>1.6804488400533643E-5</v>
      </c>
      <c r="N207" s="1">
        <v>2.36405268648623E-6</v>
      </c>
      <c r="O207" s="1">
        <v>7.7308494993457903E-8</v>
      </c>
      <c r="P207" s="1">
        <v>-3.8120264304649301E-7</v>
      </c>
      <c r="Q207">
        <v>74.161085672981002</v>
      </c>
      <c r="R207">
        <v>6.7035045161113901E-2</v>
      </c>
      <c r="S207">
        <v>12.2818961827289</v>
      </c>
      <c r="T207">
        <v>0.155193639228381</v>
      </c>
      <c r="V207">
        <v>0.36554669921022498</v>
      </c>
      <c r="W207">
        <v>2.3316537447343601E-2</v>
      </c>
      <c r="X207">
        <v>4.8576119681967601E-2</v>
      </c>
      <c r="AA207">
        <v>0.52382085977049397</v>
      </c>
      <c r="AB207">
        <v>3.8535180180148001</v>
      </c>
      <c r="AC207">
        <v>4.4780073570166703</v>
      </c>
      <c r="AD207">
        <v>5.8291343618357104E-3</v>
      </c>
      <c r="AE207">
        <v>4.03617473439727</v>
      </c>
    </row>
    <row r="208" spans="1:31" x14ac:dyDescent="0.2">
      <c r="A208">
        <v>207</v>
      </c>
      <c r="B208">
        <v>792</v>
      </c>
      <c r="C208">
        <v>120</v>
      </c>
      <c r="D208">
        <v>0.48793174670234402</v>
      </c>
      <c r="E208">
        <v>102.511910460446</v>
      </c>
      <c r="F208">
        <v>2.19872271842747</v>
      </c>
      <c r="G208">
        <v>-1679.6299129087399</v>
      </c>
      <c r="H208">
        <v>-1404.0150443951711</v>
      </c>
      <c r="I208">
        <v>258.75685914056101</v>
      </c>
      <c r="J208">
        <v>136.63724397222401</v>
      </c>
      <c r="K208">
        <v>46.623391663393797</v>
      </c>
      <c r="L208">
        <v>1.2748676677756828E-4</v>
      </c>
      <c r="M208">
        <v>1.6791019699408926E-5</v>
      </c>
      <c r="N208" s="1">
        <v>2.3544625899412601E-6</v>
      </c>
      <c r="O208" s="1">
        <v>7.6861503538697894E-8</v>
      </c>
      <c r="P208" s="1">
        <v>-3.78948087035394E-7</v>
      </c>
      <c r="Q208">
        <v>74.209952866626196</v>
      </c>
      <c r="R208">
        <v>6.7309251861640093E-2</v>
      </c>
      <c r="S208">
        <v>12.250215393705</v>
      </c>
      <c r="T208">
        <v>0.15599248235456101</v>
      </c>
      <c r="V208">
        <v>0.36689437664811497</v>
      </c>
      <c r="W208">
        <v>2.34119136910045E-2</v>
      </c>
      <c r="X208">
        <v>4.8774820189596203E-2</v>
      </c>
      <c r="AA208">
        <v>0.51776025280788096</v>
      </c>
      <c r="AB208">
        <v>3.83352715717109</v>
      </c>
      <c r="AC208">
        <v>4.4887607776795804</v>
      </c>
      <c r="AD208">
        <v>5.8529784227507597E-3</v>
      </c>
      <c r="AE208">
        <v>4.0315477288424999</v>
      </c>
    </row>
    <row r="209" spans="1:31" x14ac:dyDescent="0.2">
      <c r="A209">
        <v>208</v>
      </c>
      <c r="B209">
        <v>791</v>
      </c>
      <c r="C209">
        <v>120</v>
      </c>
      <c r="D209">
        <v>0.48738476718508</v>
      </c>
      <c r="E209">
        <v>102.09176623306099</v>
      </c>
      <c r="F209">
        <v>2.1989720721866299</v>
      </c>
      <c r="G209">
        <v>-1672.3867891663472</v>
      </c>
      <c r="H209">
        <v>-1398.3698932361829</v>
      </c>
      <c r="I209">
        <v>257.49837516343001</v>
      </c>
      <c r="J209">
        <v>136.029165124743</v>
      </c>
      <c r="K209">
        <v>46.427040854385098</v>
      </c>
      <c r="L209">
        <v>1.2729924201036326E-4</v>
      </c>
      <c r="M209">
        <v>1.6777548609434196E-5</v>
      </c>
      <c r="N209" s="1">
        <v>2.3448339750574899E-6</v>
      </c>
      <c r="O209" s="1">
        <v>7.6414679775084605E-8</v>
      </c>
      <c r="P209" s="1">
        <v>-3.76690322732666E-7</v>
      </c>
      <c r="Q209">
        <v>74.259001318854502</v>
      </c>
      <c r="R209">
        <v>6.7586253569640195E-2</v>
      </c>
      <c r="S209">
        <v>12.218469058169299</v>
      </c>
      <c r="T209">
        <v>0.15679903551375801</v>
      </c>
      <c r="V209">
        <v>0.36825618033789198</v>
      </c>
      <c r="W209">
        <v>2.3508262111178201E-2</v>
      </c>
      <c r="X209">
        <v>4.8975546064958901E-2</v>
      </c>
      <c r="AA209">
        <v>0.51192414123627406</v>
      </c>
      <c r="AB209">
        <v>3.8133485552834498</v>
      </c>
      <c r="AC209">
        <v>4.4993563582955902</v>
      </c>
      <c r="AD209">
        <v>5.8770655277941104E-3</v>
      </c>
      <c r="AE209">
        <v>4.0268982250355903</v>
      </c>
    </row>
    <row r="210" spans="1:31" x14ac:dyDescent="0.2">
      <c r="A210">
        <v>209</v>
      </c>
      <c r="B210">
        <v>790</v>
      </c>
      <c r="C210">
        <v>120</v>
      </c>
      <c r="D210">
        <v>0.486836758688802</v>
      </c>
      <c r="E210">
        <v>101.670950561403</v>
      </c>
      <c r="F210">
        <v>2.1992226283619898</v>
      </c>
      <c r="G210">
        <v>-1665.1364546657585</v>
      </c>
      <c r="H210">
        <v>-1392.715567184888</v>
      </c>
      <c r="I210">
        <v>256.23937119020798</v>
      </c>
      <c r="J210">
        <v>135.42050872168301</v>
      </c>
      <c r="K210">
        <v>46.230403984670502</v>
      </c>
      <c r="L210">
        <v>1.2711075835802283E-4</v>
      </c>
      <c r="M210">
        <v>1.6764081785881382E-5</v>
      </c>
      <c r="N210" s="1">
        <v>2.33517231598807E-6</v>
      </c>
      <c r="O210" s="1">
        <v>7.5968197729547898E-8</v>
      </c>
      <c r="P210" s="1">
        <v>-3.7443029666401598E-7</v>
      </c>
      <c r="Q210">
        <v>74.308228262383096</v>
      </c>
      <c r="R210">
        <v>6.7865992812104994E-2</v>
      </c>
      <c r="S210">
        <v>12.186659396108301</v>
      </c>
      <c r="T210">
        <v>0.157613200076338</v>
      </c>
      <c r="V210">
        <v>0.369631765897594</v>
      </c>
      <c r="W210">
        <v>2.3605562717252698E-2</v>
      </c>
      <c r="X210">
        <v>4.9178255660948501E-2</v>
      </c>
      <c r="AA210">
        <v>0.50630840439455305</v>
      </c>
      <c r="AB210">
        <v>3.79299585099549</v>
      </c>
      <c r="AC210">
        <v>4.5097824557138901</v>
      </c>
      <c r="AD210">
        <v>5.9013906793126403E-3</v>
      </c>
      <c r="AE210">
        <v>4.0222294625609996</v>
      </c>
    </row>
    <row r="211" spans="1:31" x14ac:dyDescent="0.2">
      <c r="A211">
        <v>210</v>
      </c>
      <c r="B211">
        <v>789</v>
      </c>
      <c r="C211">
        <v>120</v>
      </c>
      <c r="D211">
        <v>0.48628771830721002</v>
      </c>
      <c r="E211">
        <v>101.249608312606</v>
      </c>
      <c r="F211">
        <v>2.1994742464942001</v>
      </c>
      <c r="G211">
        <v>-1657.881356804442</v>
      </c>
      <c r="H211">
        <v>-1387.0540705411738</v>
      </c>
      <c r="I211">
        <v>254.98026292262699</v>
      </c>
      <c r="J211">
        <v>134.81147901263</v>
      </c>
      <c r="K211">
        <v>46.0335502786589</v>
      </c>
      <c r="L211">
        <v>1.2692138507300866E-4</v>
      </c>
      <c r="M211">
        <v>1.6750625889880587E-5</v>
      </c>
      <c r="N211" s="1">
        <v>2.32548299958584E-6</v>
      </c>
      <c r="O211" s="1">
        <v>7.5522227404481297E-8</v>
      </c>
      <c r="P211" s="1">
        <v>-3.7216893594910299E-7</v>
      </c>
      <c r="Q211">
        <v>74.357630991398196</v>
      </c>
      <c r="R211">
        <v>6.8148411781471005E-2</v>
      </c>
      <c r="S211">
        <v>12.154788579096801</v>
      </c>
      <c r="T211">
        <v>0.158434876566551</v>
      </c>
      <c r="V211">
        <v>0.371020787185392</v>
      </c>
      <c r="W211">
        <v>2.37037954022493E-2</v>
      </c>
      <c r="X211">
        <v>4.9382907088026E-2</v>
      </c>
      <c r="AA211">
        <v>0.50090882892492505</v>
      </c>
      <c r="AB211">
        <v>3.7724827600128998</v>
      </c>
      <c r="AC211">
        <v>4.5200274213018297</v>
      </c>
      <c r="AD211">
        <v>5.9259488505616197E-3</v>
      </c>
      <c r="AE211">
        <v>4.0175446923910103</v>
      </c>
    </row>
    <row r="212" spans="1:31" x14ac:dyDescent="0.2">
      <c r="A212">
        <v>211</v>
      </c>
      <c r="B212">
        <v>788</v>
      </c>
      <c r="C212">
        <v>120</v>
      </c>
      <c r="D212">
        <v>0.48573764312303003</v>
      </c>
      <c r="E212">
        <v>100.827880606105</v>
      </c>
      <c r="F212">
        <v>2.1997267857423202</v>
      </c>
      <c r="G212">
        <v>-1650.6238780383524</v>
      </c>
      <c r="H212">
        <v>-1381.3873562093718</v>
      </c>
      <c r="I212">
        <v>253.721454864045</v>
      </c>
      <c r="J212">
        <v>134.202274767945</v>
      </c>
      <c r="K212">
        <v>45.8365471837812</v>
      </c>
      <c r="L212">
        <v>1.2673119136382801E-4</v>
      </c>
      <c r="M212">
        <v>1.6737187573478559E-5</v>
      </c>
      <c r="N212" s="1">
        <v>2.3157713067438701E-6</v>
      </c>
      <c r="O212" s="1">
        <v>7.5076934218662406E-8</v>
      </c>
      <c r="P212" s="1">
        <v>-3.69907145083228E-7</v>
      </c>
      <c r="Q212">
        <v>74.407206894437294</v>
      </c>
      <c r="R212">
        <v>6.8433452716870194E-2</v>
      </c>
      <c r="S212">
        <v>12.1228587112172</v>
      </c>
      <c r="T212">
        <v>0.15926396544923799</v>
      </c>
      <c r="V212">
        <v>0.37242289846486398</v>
      </c>
      <c r="W212">
        <v>2.3802940075431399E-2</v>
      </c>
      <c r="X212">
        <v>4.9589458490489603E-2</v>
      </c>
      <c r="AA212">
        <v>0.49572112912949401</v>
      </c>
      <c r="AB212">
        <v>3.75182303042416</v>
      </c>
      <c r="AC212">
        <v>4.5300796162771997</v>
      </c>
      <c r="AD212">
        <v>5.9507350188570301E-3</v>
      </c>
      <c r="AE212">
        <v>4.0128471682987596</v>
      </c>
    </row>
    <row r="213" spans="1:31" x14ac:dyDescent="0.2">
      <c r="A213">
        <v>212</v>
      </c>
      <c r="B213">
        <v>787</v>
      </c>
      <c r="C213">
        <v>120</v>
      </c>
      <c r="D213">
        <v>0.48518653020799002</v>
      </c>
      <c r="E213">
        <v>100.405904312507</v>
      </c>
      <c r="F213">
        <v>2.19998010521289</v>
      </c>
      <c r="G213">
        <v>-1643.3663276337898</v>
      </c>
      <c r="H213">
        <v>-1375.7173188169161</v>
      </c>
      <c r="I213">
        <v>252.46333897738299</v>
      </c>
      <c r="J213">
        <v>133.59308859124201</v>
      </c>
      <c r="K213">
        <v>45.639460136295803</v>
      </c>
      <c r="L213">
        <v>1.2654024617860459E-4</v>
      </c>
      <c r="M213">
        <v>1.6723773466042393E-5</v>
      </c>
      <c r="N213" s="1">
        <v>2.3060423958584998E-6</v>
      </c>
      <c r="O213" s="1">
        <v>7.4632478521402E-8</v>
      </c>
      <c r="P213" s="1">
        <v>-3.67645803116786E-7</v>
      </c>
      <c r="Q213">
        <v>74.4569534845905</v>
      </c>
      <c r="R213">
        <v>6.8721058260919898E-2</v>
      </c>
      <c r="S213">
        <v>12.0908718116152</v>
      </c>
      <c r="T213">
        <v>0.160100367868028</v>
      </c>
      <c r="V213">
        <v>0.37383775642949801</v>
      </c>
      <c r="W213">
        <v>2.3902976786405E-2</v>
      </c>
      <c r="X213">
        <v>4.9797868305018901E-2</v>
      </c>
      <c r="AA213">
        <v>0.49074096649954901</v>
      </c>
      <c r="AB213">
        <v>3.7310304009742699</v>
      </c>
      <c r="AC213">
        <v>4.5399274254998403</v>
      </c>
      <c r="AD213">
        <v>5.9757441966003201E-3</v>
      </c>
      <c r="AE213">
        <v>4.0081401389740501</v>
      </c>
    </row>
    <row r="214" spans="1:31" x14ac:dyDescent="0.2">
      <c r="A214">
        <v>213</v>
      </c>
      <c r="B214">
        <v>786</v>
      </c>
      <c r="C214">
        <v>120</v>
      </c>
      <c r="D214">
        <v>0.48463437662276798</v>
      </c>
      <c r="E214">
        <v>99.983811622392693</v>
      </c>
      <c r="F214">
        <v>2.2002340642631699</v>
      </c>
      <c r="G214">
        <v>-1636.1109345909076</v>
      </c>
      <c r="H214">
        <v>-1370.0457887902633</v>
      </c>
      <c r="I214">
        <v>251.206293537878</v>
      </c>
      <c r="J214">
        <v>132.98410633009101</v>
      </c>
      <c r="K214">
        <v>45.442352359850197</v>
      </c>
      <c r="L214">
        <v>1.2634861800718506E-4</v>
      </c>
      <c r="M214">
        <v>1.6710390161940348E-5</v>
      </c>
      <c r="N214" s="1">
        <v>2.2963012884342898E-6</v>
      </c>
      <c r="O214" s="1">
        <v>7.41890151797569E-8</v>
      </c>
      <c r="P214" s="1">
        <v>-3.6538576123534E-7</v>
      </c>
      <c r="Q214">
        <v>74.506868426795805</v>
      </c>
      <c r="R214">
        <v>6.9011171789082601E-2</v>
      </c>
      <c r="S214">
        <v>12.0588297987851</v>
      </c>
      <c r="T214">
        <v>0.16094398632904999</v>
      </c>
      <c r="V214">
        <v>0.37526502206969498</v>
      </c>
      <c r="W214">
        <v>2.4003885839678801E-2</v>
      </c>
      <c r="X214">
        <v>5.0008095499340398E-2</v>
      </c>
      <c r="AA214">
        <v>0.48596396818634302</v>
      </c>
      <c r="AB214">
        <v>3.71011856244266</v>
      </c>
      <c r="AC214">
        <v>4.5495592699784897</v>
      </c>
      <c r="AD214">
        <v>6.00097145991863E-3</v>
      </c>
      <c r="AE214">
        <v>4.0034268408246403</v>
      </c>
    </row>
    <row r="215" spans="1:31" x14ac:dyDescent="0.2">
      <c r="A215">
        <v>214</v>
      </c>
      <c r="B215">
        <v>785</v>
      </c>
      <c r="C215">
        <v>120</v>
      </c>
      <c r="D215">
        <v>0.48408117941691098</v>
      </c>
      <c r="E215">
        <v>99.561729696342994</v>
      </c>
      <c r="F215">
        <v>2.2004885227812201</v>
      </c>
      <c r="G215">
        <v>-1628.8598419213631</v>
      </c>
      <c r="H215">
        <v>-1364.3745275420147</v>
      </c>
      <c r="I215">
        <v>249.95068220890099</v>
      </c>
      <c r="J215">
        <v>132.37550660034501</v>
      </c>
      <c r="K215">
        <v>45.245284701828602</v>
      </c>
      <c r="L215">
        <v>1.2615637470460625E-4</v>
      </c>
      <c r="M215">
        <v>1.669704420949753E-5</v>
      </c>
      <c r="N215" s="1">
        <v>2.2865528571022799E-6</v>
      </c>
      <c r="O215" s="1">
        <v>7.3746693246657202E-8</v>
      </c>
      <c r="P215" s="1">
        <v>-3.6312784078716698E-7</v>
      </c>
      <c r="Q215">
        <v>74.556949560868006</v>
      </c>
      <c r="R215">
        <v>6.9303737701673196E-2</v>
      </c>
      <c r="S215">
        <v>12.0267344774346</v>
      </c>
      <c r="T215">
        <v>0.161794725309307</v>
      </c>
      <c r="V215">
        <v>0.37670436232601601</v>
      </c>
      <c r="W215">
        <v>2.4105647896231801E-2</v>
      </c>
      <c r="X215">
        <v>5.0220099783826598E-2</v>
      </c>
      <c r="AA215">
        <v>0.48138574430825498</v>
      </c>
      <c r="AB215">
        <v>3.6891011226971</v>
      </c>
      <c r="AC215">
        <v>4.5589636182004396</v>
      </c>
      <c r="AD215">
        <v>6.0264119740567898E-3</v>
      </c>
      <c r="AE215">
        <v>3.9987104915003702</v>
      </c>
    </row>
    <row r="216" spans="1:31" x14ac:dyDescent="0.2">
      <c r="A216">
        <v>215</v>
      </c>
      <c r="B216">
        <v>784</v>
      </c>
      <c r="C216">
        <v>120</v>
      </c>
      <c r="D216">
        <v>0.48352693562881199</v>
      </c>
      <c r="E216">
        <v>99.139780388772607</v>
      </c>
      <c r="F216">
        <v>2.2007433414473998</v>
      </c>
      <c r="G216">
        <v>-1621.6151021516878</v>
      </c>
      <c r="H216">
        <v>-1358.7052236661573</v>
      </c>
      <c r="I216">
        <v>248.696853318384</v>
      </c>
      <c r="J216">
        <v>131.76746041294399</v>
      </c>
      <c r="K216">
        <v>45.048315503964901</v>
      </c>
      <c r="L216">
        <v>1.2596358333041369E-4</v>
      </c>
      <c r="M216">
        <v>1.6683742100748951E-5</v>
      </c>
      <c r="N216" s="1">
        <v>2.27680181573085E-6</v>
      </c>
      <c r="O216" s="1">
        <v>7.3305655699110198E-8</v>
      </c>
      <c r="P216" s="1">
        <v>-3.6087283169996402E-7</v>
      </c>
      <c r="Q216">
        <v>74.607194921030199</v>
      </c>
      <c r="R216">
        <v>6.9598701681022501E-2</v>
      </c>
      <c r="S216">
        <v>11.994587527447999</v>
      </c>
      <c r="T216">
        <v>0.16265249179517799</v>
      </c>
      <c r="V216">
        <v>0.37815545154255598</v>
      </c>
      <c r="W216">
        <v>2.4208244062961799E-2</v>
      </c>
      <c r="X216">
        <v>5.0433841797848399E-2</v>
      </c>
      <c r="AA216">
        <v>0.47700190382325702</v>
      </c>
      <c r="AB216">
        <v>3.6679915750509999</v>
      </c>
      <c r="AC216">
        <v>4.5681289968576104</v>
      </c>
      <c r="AD216">
        <v>6.0520610157391496E-3</v>
      </c>
      <c r="AE216">
        <v>3.9939942838945499</v>
      </c>
    </row>
    <row r="217" spans="1:31" x14ac:dyDescent="0.2">
      <c r="A217">
        <v>216</v>
      </c>
      <c r="B217">
        <v>783</v>
      </c>
      <c r="C217">
        <v>120</v>
      </c>
      <c r="D217">
        <v>0.48297164228566197</v>
      </c>
      <c r="E217">
        <v>98.718080051432196</v>
      </c>
      <c r="F217">
        <v>2.2009983819660501</v>
      </c>
      <c r="G217">
        <v>-1614.3786741472913</v>
      </c>
      <c r="H217">
        <v>-1353.0394902203036</v>
      </c>
      <c r="I217">
        <v>247.44513935235301</v>
      </c>
      <c r="J217">
        <v>131.16013091154201</v>
      </c>
      <c r="K217">
        <v>44.851500510078402</v>
      </c>
      <c r="L217">
        <v>1.2577031001337964E-4</v>
      </c>
      <c r="M217">
        <v>1.6670490262639938E-5</v>
      </c>
      <c r="N217" s="1">
        <v>2.2670527119711901E-6</v>
      </c>
      <c r="O217" s="1">
        <v>7.2866039256097998E-8</v>
      </c>
      <c r="P217" s="1">
        <v>-3.5862149135119497E-7</v>
      </c>
      <c r="Q217">
        <v>74.657602750666797</v>
      </c>
      <c r="R217">
        <v>6.9896010907073799E-2</v>
      </c>
      <c r="S217">
        <v>11.9623904954754</v>
      </c>
      <c r="T217">
        <v>0.16351719573675899</v>
      </c>
      <c r="V217">
        <v>0.37961797268302699</v>
      </c>
      <c r="W217">
        <v>2.4311655967675101E-2</v>
      </c>
      <c r="X217">
        <v>5.0649283266002099E-2</v>
      </c>
      <c r="AA217">
        <v>0.47280806888515298</v>
      </c>
      <c r="AB217">
        <v>3.6468032701437498</v>
      </c>
      <c r="AC217">
        <v>4.5770440012745102</v>
      </c>
      <c r="AD217">
        <v>6.0779139919173702E-3</v>
      </c>
      <c r="AE217">
        <v>3.9892813810018599</v>
      </c>
    </row>
    <row r="218" spans="1:31" x14ac:dyDescent="0.2">
      <c r="A218">
        <v>217</v>
      </c>
      <c r="B218">
        <v>782</v>
      </c>
      <c r="C218">
        <v>120</v>
      </c>
      <c r="D218">
        <v>0.48241529640335601</v>
      </c>
      <c r="E218">
        <v>98.296739415843206</v>
      </c>
      <c r="F218">
        <v>2.2012535072871402</v>
      </c>
      <c r="G218">
        <v>-1607.152421236879</v>
      </c>
      <c r="H218">
        <v>-1347.378863083951</v>
      </c>
      <c r="I218">
        <v>246.195856658227</v>
      </c>
      <c r="J218">
        <v>130.55367321880499</v>
      </c>
      <c r="K218">
        <v>44.654892810135799</v>
      </c>
      <c r="L218">
        <v>1.2557661983093792E-4</v>
      </c>
      <c r="M218">
        <v>1.665729504860025E-5</v>
      </c>
      <c r="N218" s="1">
        <v>2.25730992189756E-6</v>
      </c>
      <c r="O218" s="1">
        <v>7.2427974265201202E-8</v>
      </c>
      <c r="P218" s="1">
        <v>-3.56374543826927E-7</v>
      </c>
      <c r="Q218">
        <v>74.708171512416897</v>
      </c>
      <c r="R218">
        <v>7.0195614228972095E-2</v>
      </c>
      <c r="S218">
        <v>11.9301447893037</v>
      </c>
      <c r="T218">
        <v>0.16438875041328399</v>
      </c>
      <c r="V218">
        <v>0.38109161829500399</v>
      </c>
      <c r="W218">
        <v>2.44158658187698E-2</v>
      </c>
      <c r="X218">
        <v>5.0866387122451E-2</v>
      </c>
      <c r="AA218">
        <v>0.46879988755155699</v>
      </c>
      <c r="AB218">
        <v>3.6255493912338799</v>
      </c>
      <c r="AC218">
        <v>4.58569730607321</v>
      </c>
      <c r="AD218">
        <v>6.1039664546908897E-3</v>
      </c>
      <c r="AE218">
        <v>3.9845749110874298</v>
      </c>
    </row>
    <row r="219" spans="1:31" x14ac:dyDescent="0.2">
      <c r="A219">
        <v>218</v>
      </c>
      <c r="B219">
        <v>781</v>
      </c>
      <c r="C219">
        <v>120</v>
      </c>
      <c r="D219">
        <v>0.48185789498648202</v>
      </c>
      <c r="E219">
        <v>97.577929693785094</v>
      </c>
      <c r="F219">
        <v>2.2016044745133301</v>
      </c>
      <c r="G219">
        <v>-1594.9979132230735</v>
      </c>
      <c r="H219">
        <v>-1337.5798201522016</v>
      </c>
      <c r="I219">
        <v>244.194937220387</v>
      </c>
      <c r="J219">
        <v>129.55337689731601</v>
      </c>
      <c r="K219">
        <v>44.3212806039353</v>
      </c>
      <c r="L219">
        <v>1.2538254055896418E-4</v>
      </c>
      <c r="M219">
        <v>1.6641223556014696E-5</v>
      </c>
      <c r="N219" s="1">
        <v>2.2400903313761899E-6</v>
      </c>
      <c r="O219" s="1">
        <v>7.1754082853764095E-8</v>
      </c>
      <c r="P219" s="1">
        <v>-3.5305898142945901E-7</v>
      </c>
      <c r="Q219">
        <v>74.745983262310901</v>
      </c>
      <c r="R219">
        <v>7.0712711590147997E-2</v>
      </c>
      <c r="S219">
        <v>11.9033997205873</v>
      </c>
      <c r="T219">
        <v>0.16578785971814899</v>
      </c>
      <c r="V219">
        <v>0.38372964995664499</v>
      </c>
      <c r="W219">
        <v>2.4595725770482701E-2</v>
      </c>
      <c r="X219">
        <v>5.1241095355188102E-2</v>
      </c>
      <c r="AA219">
        <v>0.46426974622862799</v>
      </c>
      <c r="AB219">
        <v>3.60193986300767</v>
      </c>
      <c r="AC219">
        <v>4.6034603207718403</v>
      </c>
      <c r="AD219">
        <v>6.14893144261895E-3</v>
      </c>
      <c r="AE219">
        <v>3.9787311132602401</v>
      </c>
    </row>
    <row r="220" spans="1:31" x14ac:dyDescent="0.2">
      <c r="A220">
        <v>219</v>
      </c>
      <c r="B220">
        <v>780</v>
      </c>
      <c r="C220">
        <v>120</v>
      </c>
      <c r="D220">
        <v>0.48129943502824801</v>
      </c>
      <c r="E220">
        <v>95.070373387627399</v>
      </c>
      <c r="F220">
        <v>2.2025285342767802</v>
      </c>
      <c r="G220">
        <v>-1553.2179211471573</v>
      </c>
      <c r="H220">
        <v>-1302.9138861147833</v>
      </c>
      <c r="I220">
        <v>237.67177992914</v>
      </c>
      <c r="J220">
        <v>126.182979041914</v>
      </c>
      <c r="K220">
        <v>43.164196017485096</v>
      </c>
      <c r="L220">
        <v>1.2518218484049577E-4</v>
      </c>
      <c r="M220">
        <v>1.6607981346687569E-5</v>
      </c>
      <c r="N220" s="1">
        <v>2.1780859743618301E-6</v>
      </c>
      <c r="O220" s="1">
        <v>6.9663499455042196E-8</v>
      </c>
      <c r="P220" s="1">
        <v>-3.43284089881856E-7</v>
      </c>
      <c r="Q220">
        <v>74.710090009404297</v>
      </c>
      <c r="R220">
        <v>7.2577815297592704E-2</v>
      </c>
      <c r="S220">
        <v>11.9078733358175</v>
      </c>
      <c r="T220">
        <v>0.17044248398593601</v>
      </c>
      <c r="V220">
        <v>0.393597221813416</v>
      </c>
      <c r="W220">
        <v>2.5244457494810899E-2</v>
      </c>
      <c r="X220">
        <v>5.2592619780873998E-2</v>
      </c>
      <c r="AA220">
        <v>0.45674160704411698</v>
      </c>
      <c r="AB220">
        <v>3.5635667139399998</v>
      </c>
      <c r="AC220">
        <v>4.6748796971112299</v>
      </c>
      <c r="AD220">
        <v>6.3111143737008997E-3</v>
      </c>
      <c r="AE220">
        <v>3.9660829239364199</v>
      </c>
    </row>
    <row r="221" spans="1:31" x14ac:dyDescent="0.2">
      <c r="A221">
        <v>220</v>
      </c>
      <c r="B221">
        <v>779</v>
      </c>
      <c r="C221">
        <v>120</v>
      </c>
      <c r="D221">
        <v>0.48073991351043299</v>
      </c>
      <c r="E221">
        <v>92.265371851670906</v>
      </c>
      <c r="F221">
        <v>2.2035292176391401</v>
      </c>
      <c r="G221">
        <v>-1506.5847162336217</v>
      </c>
      <c r="H221">
        <v>-1264.1586667230756</v>
      </c>
      <c r="I221">
        <v>230.410159683073</v>
      </c>
      <c r="J221">
        <v>122.419114519622</v>
      </c>
      <c r="K221">
        <v>41.871635335302599</v>
      </c>
      <c r="L221">
        <v>1.249705667827624E-4</v>
      </c>
      <c r="M221">
        <v>1.6573436334288432E-5</v>
      </c>
      <c r="N221" s="1">
        <v>2.1091183917177598E-6</v>
      </c>
      <c r="O221" s="1">
        <v>6.7357854116768097E-8</v>
      </c>
      <c r="P221" s="1">
        <v>-3.3240874188225002E-7</v>
      </c>
      <c r="Q221">
        <v>74.671436312903495</v>
      </c>
      <c r="R221">
        <v>7.4784286471994907E-2</v>
      </c>
      <c r="S221">
        <v>11.9124174208636</v>
      </c>
      <c r="T221">
        <v>0.17590244818724099</v>
      </c>
      <c r="V221">
        <v>0.40531276431860203</v>
      </c>
      <c r="W221">
        <v>2.60119257293847E-2</v>
      </c>
      <c r="X221">
        <v>5.4191511936240201E-2</v>
      </c>
      <c r="AA221">
        <v>0.45115823185892001</v>
      </c>
      <c r="AB221">
        <v>3.5214521229091802</v>
      </c>
      <c r="AC221">
        <v>4.7481097368605099</v>
      </c>
      <c r="AD221">
        <v>6.5029814323440396E-3</v>
      </c>
      <c r="AE221">
        <v>3.9527202565283202</v>
      </c>
    </row>
    <row r="222" spans="1:31" x14ac:dyDescent="0.2">
      <c r="A222">
        <v>221</v>
      </c>
      <c r="B222">
        <v>778</v>
      </c>
      <c r="C222">
        <v>120</v>
      </c>
      <c r="D222">
        <v>0.48017932740332298</v>
      </c>
      <c r="E222">
        <v>88.8491164658831</v>
      </c>
      <c r="F222">
        <v>2.2046601307437901</v>
      </c>
      <c r="G222">
        <v>-1449.9636021328795</v>
      </c>
      <c r="H222">
        <v>-1216.9994590121178</v>
      </c>
      <c r="I222">
        <v>221.62787720188501</v>
      </c>
      <c r="J222">
        <v>117.846231752785</v>
      </c>
      <c r="K222">
        <v>40.300595645963703</v>
      </c>
      <c r="L222">
        <v>1.2474626925985954E-4</v>
      </c>
      <c r="M222">
        <v>1.653731977441888E-5</v>
      </c>
      <c r="N222" s="1">
        <v>2.0260089073777898E-6</v>
      </c>
      <c r="O222" s="1">
        <v>6.4609258379732602E-8</v>
      </c>
      <c r="P222" s="1">
        <v>-3.1929380804885098E-7</v>
      </c>
      <c r="Q222">
        <v>74.627475715546296</v>
      </c>
      <c r="R222">
        <v>7.7659748058948402E-2</v>
      </c>
      <c r="S222">
        <v>11.917114098409</v>
      </c>
      <c r="T222">
        <v>0.182929797431369</v>
      </c>
      <c r="V222">
        <v>0.420659623380087</v>
      </c>
      <c r="W222">
        <v>2.7012086281366601E-2</v>
      </c>
      <c r="X222">
        <v>5.6275179752877803E-2</v>
      </c>
      <c r="AA222">
        <v>0.44884681319896402</v>
      </c>
      <c r="AB222">
        <v>3.4738934587018599</v>
      </c>
      <c r="AC222">
        <v>4.8229375878410199</v>
      </c>
      <c r="AD222">
        <v>6.7530215703385799E-3</v>
      </c>
      <c r="AE222">
        <v>3.9384428698276999</v>
      </c>
    </row>
    <row r="223" spans="1:31" x14ac:dyDescent="0.2">
      <c r="A223">
        <v>222</v>
      </c>
      <c r="B223">
        <v>777</v>
      </c>
      <c r="C223">
        <v>120</v>
      </c>
      <c r="D223">
        <v>0.47961767366567098</v>
      </c>
      <c r="E223">
        <v>79.182883185623595</v>
      </c>
      <c r="F223">
        <v>2.2065994638076099</v>
      </c>
      <c r="G223">
        <v>-1291.1286258734317</v>
      </c>
      <c r="H223">
        <v>-1083.9332521837666</v>
      </c>
      <c r="I223">
        <v>197.30074150327599</v>
      </c>
      <c r="J223">
        <v>105.002979591284</v>
      </c>
      <c r="K223">
        <v>35.8845746517988</v>
      </c>
      <c r="L223">
        <v>1.2460509887853407E-4</v>
      </c>
      <c r="M223">
        <v>1.6506974930014724E-5</v>
      </c>
      <c r="N223" s="1">
        <v>1.8018185968853999E-6</v>
      </c>
      <c r="O223" s="1">
        <v>5.7371799980498001E-8</v>
      </c>
      <c r="P223" s="1">
        <v>-2.8379025650044502E-7</v>
      </c>
      <c r="Q223">
        <v>74.535265327966897</v>
      </c>
      <c r="R223">
        <v>8.7140044949181802E-2</v>
      </c>
      <c r="S223">
        <v>11.922021890095699</v>
      </c>
      <c r="T223">
        <v>0.20530348598378401</v>
      </c>
      <c r="V223">
        <v>0.47197324774747501</v>
      </c>
      <c r="W223">
        <v>3.0309580851876999E-2</v>
      </c>
      <c r="X223">
        <v>6.3144960108132794E-2</v>
      </c>
      <c r="AA223">
        <v>0.46240596544705198</v>
      </c>
      <c r="AB223">
        <v>3.4175813838055702</v>
      </c>
      <c r="AC223">
        <v>4.8715587789168797</v>
      </c>
      <c r="AD223">
        <v>7.5773952129641496E-3</v>
      </c>
      <c r="AE223">
        <v>3.9257179389143402</v>
      </c>
    </row>
    <row r="224" spans="1:31" x14ac:dyDescent="0.2">
      <c r="A224">
        <v>223</v>
      </c>
      <c r="B224">
        <v>776</v>
      </c>
      <c r="C224">
        <v>120</v>
      </c>
      <c r="D224">
        <v>0.47905494924462999</v>
      </c>
      <c r="E224">
        <v>65.914974856672103</v>
      </c>
      <c r="F224">
        <v>2.2093392009886101</v>
      </c>
      <c r="G224">
        <v>-1073.5725762247994</v>
      </c>
      <c r="H224">
        <v>-901.41118651773752</v>
      </c>
      <c r="I224">
        <v>164.096067966508</v>
      </c>
      <c r="J224">
        <v>87.4070155461729</v>
      </c>
      <c r="K224">
        <v>29.834701175435999</v>
      </c>
      <c r="L224">
        <v>1.2463023323810182E-4</v>
      </c>
      <c r="M224">
        <v>1.6489749978497875E-5</v>
      </c>
      <c r="N224" s="1">
        <v>1.4986702117247999E-6</v>
      </c>
      <c r="O224" s="1">
        <v>4.7638575738579498E-8</v>
      </c>
      <c r="P224" s="1">
        <v>-2.35758089852042E-7</v>
      </c>
      <c r="Q224">
        <v>74.3879839864057</v>
      </c>
      <c r="R224">
        <v>0.10468030997516101</v>
      </c>
      <c r="S224">
        <v>11.924360631289501</v>
      </c>
      <c r="T224">
        <v>0.24634081990579801</v>
      </c>
      <c r="V224">
        <v>0.56723490734645698</v>
      </c>
      <c r="W224">
        <v>3.6410542600035997E-2</v>
      </c>
      <c r="X224">
        <v>7.5855297083499001E-2</v>
      </c>
      <c r="AA224">
        <v>0.484703864231741</v>
      </c>
      <c r="AB224">
        <v>3.3673330451479502</v>
      </c>
      <c r="AC224">
        <v>4.8779895859510498</v>
      </c>
      <c r="AD224">
        <v>9.1026356500007403E-3</v>
      </c>
      <c r="AE224">
        <v>3.9180043744130599</v>
      </c>
    </row>
    <row r="225" spans="1:31" x14ac:dyDescent="0.2">
      <c r="A225">
        <v>224</v>
      </c>
      <c r="B225">
        <v>775</v>
      </c>
      <c r="C225">
        <v>120</v>
      </c>
      <c r="D225">
        <v>0.478491151075708</v>
      </c>
      <c r="E225">
        <v>55.9979579168402</v>
      </c>
      <c r="F225">
        <v>2.2120872144826</v>
      </c>
      <c r="G225">
        <v>-910.99678674849906</v>
      </c>
      <c r="H225">
        <v>-764.99300575473342</v>
      </c>
      <c r="I225">
        <v>139.29664742047001</v>
      </c>
      <c r="J225">
        <v>74.257409254556705</v>
      </c>
      <c r="K225">
        <v>25.3145344135709</v>
      </c>
      <c r="L225">
        <v>1.2470366266540095E-4</v>
      </c>
      <c r="M225">
        <v>1.6476489017795695E-5</v>
      </c>
      <c r="N225" s="1">
        <v>1.27274522370948E-6</v>
      </c>
      <c r="O225" s="1">
        <v>4.0386992229434002E-8</v>
      </c>
      <c r="P225" s="1">
        <v>-1.9997693506150901E-7</v>
      </c>
      <c r="Q225">
        <v>74.236405609921206</v>
      </c>
      <c r="R225">
        <v>0.123218778982053</v>
      </c>
      <c r="S225">
        <v>11.924270173569999</v>
      </c>
      <c r="T225">
        <v>0.28960591855988599</v>
      </c>
      <c r="V225">
        <v>0.66801469637701505</v>
      </c>
      <c r="W225">
        <v>4.2858705732863503E-2</v>
      </c>
      <c r="X225">
        <v>8.9288970276911295E-2</v>
      </c>
      <c r="AA225">
        <v>0.50136931009077801</v>
      </c>
      <c r="AB225">
        <v>3.3260384182949099</v>
      </c>
      <c r="AC225">
        <v>4.8760568117000904</v>
      </c>
      <c r="AD225">
        <v>1.0714676433207299E-2</v>
      </c>
      <c r="AE225">
        <v>3.9121579300608902</v>
      </c>
    </row>
    <row r="226" spans="1:31" x14ac:dyDescent="0.2">
      <c r="A226">
        <v>225</v>
      </c>
      <c r="B226">
        <v>774</v>
      </c>
      <c r="C226">
        <v>120</v>
      </c>
      <c r="D226">
        <v>0.47792627608270499</v>
      </c>
      <c r="E226">
        <v>32.048563259817499</v>
      </c>
      <c r="F226">
        <v>2.2141866321880701</v>
      </c>
      <c r="G226">
        <v>-521.37177145368162</v>
      </c>
      <c r="H226">
        <v>-438.0182449266095</v>
      </c>
      <c r="I226">
        <v>79.600369122926097</v>
      </c>
      <c r="J226">
        <v>42.515028928575397</v>
      </c>
      <c r="K226">
        <v>14.4741923711042</v>
      </c>
      <c r="L226">
        <v>1.2431702374452643E-4</v>
      </c>
      <c r="M226">
        <v>1.6434176441061572E-5</v>
      </c>
      <c r="N226" s="1">
        <v>7.2535210667826299E-7</v>
      </c>
      <c r="O226" s="1">
        <v>2.29838434381759E-8</v>
      </c>
      <c r="P226" s="1">
        <v>-1.13654924436859E-7</v>
      </c>
      <c r="Q226">
        <v>74.1142621023196</v>
      </c>
      <c r="R226">
        <v>0.15068036490802</v>
      </c>
      <c r="S226">
        <v>12.0339488954319</v>
      </c>
      <c r="T226">
        <v>0.269258855145734</v>
      </c>
      <c r="V226">
        <v>0.62205593892592703</v>
      </c>
      <c r="W226">
        <v>7.4886352331683295E-2</v>
      </c>
      <c r="X226">
        <v>0.14741730797324201</v>
      </c>
      <c r="AA226">
        <v>0.54262966483532704</v>
      </c>
      <c r="AB226">
        <v>3.1971455101088</v>
      </c>
      <c r="AC226">
        <v>4.9377165722053604</v>
      </c>
      <c r="AD226">
        <v>1.8721588082905E-2</v>
      </c>
      <c r="AE226">
        <v>3.8912768477314001</v>
      </c>
    </row>
    <row r="227" spans="1:31" x14ac:dyDescent="0.2">
      <c r="A227">
        <v>226</v>
      </c>
      <c r="B227">
        <v>773</v>
      </c>
      <c r="C227">
        <v>120</v>
      </c>
      <c r="D227">
        <v>0.47736032117765198</v>
      </c>
      <c r="E227">
        <v>21.800357674051099</v>
      </c>
      <c r="F227">
        <v>2.2161969594984599</v>
      </c>
      <c r="G227">
        <v>-354.61408215113801</v>
      </c>
      <c r="H227">
        <v>-298.03270004278141</v>
      </c>
      <c r="I227">
        <v>54.0853435055744</v>
      </c>
      <c r="J227">
        <v>28.935307087844901</v>
      </c>
      <c r="K227">
        <v>9.8368322276665694</v>
      </c>
      <c r="L227">
        <v>1.24139691434271E-4</v>
      </c>
      <c r="M227">
        <v>1.6411232695888924E-5</v>
      </c>
      <c r="N227" s="1">
        <v>4.9249816938004396E-7</v>
      </c>
      <c r="O227" s="1">
        <v>1.5579713130928899E-8</v>
      </c>
      <c r="P227" s="1">
        <v>-7.6955986383362896E-8</v>
      </c>
      <c r="Q227">
        <v>73.9744490222688</v>
      </c>
      <c r="R227">
        <v>0.16993846039070801</v>
      </c>
      <c r="S227">
        <v>12.141628184264301</v>
      </c>
      <c r="T227">
        <v>0.25934672498146299</v>
      </c>
      <c r="V227">
        <v>0.60050680430678705</v>
      </c>
      <c r="W227">
        <v>0.110089936866289</v>
      </c>
      <c r="X227">
        <v>0.20749281504498199</v>
      </c>
      <c r="AA227">
        <v>0.561064387149946</v>
      </c>
      <c r="AB227">
        <v>3.10386720070573</v>
      </c>
      <c r="AC227">
        <v>4.9643942940988302</v>
      </c>
      <c r="AD227">
        <v>2.7522484216542398E-2</v>
      </c>
      <c r="AE227">
        <v>3.8796996857054702</v>
      </c>
    </row>
    <row r="228" spans="1:31" x14ac:dyDescent="0.2">
      <c r="A228">
        <v>227</v>
      </c>
      <c r="B228">
        <v>772</v>
      </c>
      <c r="C228">
        <v>120</v>
      </c>
      <c r="D228">
        <v>0.47679328326077502</v>
      </c>
      <c r="E228">
        <v>13.944644057730001</v>
      </c>
      <c r="F228">
        <v>2.2184663133973701</v>
      </c>
      <c r="G228">
        <v>-226.7834306369252</v>
      </c>
      <c r="H228">
        <v>-190.67320867174723</v>
      </c>
      <c r="I228">
        <v>34.550276960415196</v>
      </c>
      <c r="J228">
        <v>18.5136716668638</v>
      </c>
      <c r="K228">
        <v>6.28571368134733</v>
      </c>
      <c r="L228">
        <v>1.2396421732889179E-4</v>
      </c>
      <c r="M228">
        <v>1.6399296545576499E-5</v>
      </c>
      <c r="N228" s="1">
        <v>3.1448614358492997E-7</v>
      </c>
      <c r="O228" s="1">
        <v>9.9321686063927297E-9</v>
      </c>
      <c r="P228" s="1">
        <v>-4.8946404767158498E-8</v>
      </c>
      <c r="Q228">
        <v>73.765502058408103</v>
      </c>
      <c r="R228">
        <v>0.200274713260605</v>
      </c>
      <c r="S228">
        <v>12.3562543533855</v>
      </c>
      <c r="T228">
        <v>0.247660567134564</v>
      </c>
      <c r="V228">
        <v>0.57615038329310497</v>
      </c>
      <c r="W228">
        <v>0.172109090060869</v>
      </c>
      <c r="X228">
        <v>0.21016996898134199</v>
      </c>
      <c r="AA228">
        <v>0.57493811804780004</v>
      </c>
      <c r="AB228">
        <v>2.9797528407243798</v>
      </c>
      <c r="AC228">
        <v>5.0055319935465397</v>
      </c>
      <c r="AD228">
        <v>4.3027272515163001E-2</v>
      </c>
      <c r="AE228">
        <v>3.86862864064183</v>
      </c>
    </row>
    <row r="229" spans="1:31" x14ac:dyDescent="0.2">
      <c r="A229">
        <v>228</v>
      </c>
      <c r="B229">
        <v>771</v>
      </c>
      <c r="C229">
        <v>120</v>
      </c>
      <c r="D229">
        <v>0.47622515922041903</v>
      </c>
      <c r="E229">
        <v>10.2766245104257</v>
      </c>
      <c r="F229">
        <v>2.2205327010821101</v>
      </c>
      <c r="G229">
        <v>-167.09622031988172</v>
      </c>
      <c r="H229">
        <v>-140.5398524897374</v>
      </c>
      <c r="I229">
        <v>25.433479701330601</v>
      </c>
      <c r="J229">
        <v>13.648488911691601</v>
      </c>
      <c r="K229">
        <v>4.6279996261337102</v>
      </c>
      <c r="L229">
        <v>1.2387772719238372E-4</v>
      </c>
      <c r="M229">
        <v>1.6396434220039143E-5</v>
      </c>
      <c r="N229" s="1">
        <v>2.31655211972525E-7</v>
      </c>
      <c r="O229" s="1">
        <v>7.3033706880604701E-9</v>
      </c>
      <c r="P229" s="1">
        <v>-3.59153644029287E-8</v>
      </c>
      <c r="Q229">
        <v>73.559955746973301</v>
      </c>
      <c r="R229">
        <v>0.219984910378418</v>
      </c>
      <c r="S229">
        <v>12.5664557747925</v>
      </c>
      <c r="T229">
        <v>0.23952491068040799</v>
      </c>
      <c r="V229">
        <v>0.55984649100477601</v>
      </c>
      <c r="W229">
        <v>0.233539718957681</v>
      </c>
      <c r="X229">
        <v>0.21337846264296101</v>
      </c>
      <c r="AA229">
        <v>0.581349205070402</v>
      </c>
      <c r="AB229">
        <v>2.8738848105457402</v>
      </c>
      <c r="AC229">
        <v>5.0312620063001701</v>
      </c>
      <c r="AD229">
        <v>5.8384929739333E-2</v>
      </c>
      <c r="AE229">
        <v>3.8624330329141299</v>
      </c>
    </row>
    <row r="230" spans="1:31" x14ac:dyDescent="0.2">
      <c r="A230">
        <v>229</v>
      </c>
      <c r="B230">
        <v>804</v>
      </c>
      <c r="C230">
        <v>105</v>
      </c>
      <c r="D230">
        <v>0.50973448451933401</v>
      </c>
      <c r="E230">
        <v>102.659863418906</v>
      </c>
      <c r="F230">
        <v>2.2009774642190201</v>
      </c>
      <c r="G230">
        <v>-1684.093679342393</v>
      </c>
      <c r="H230">
        <v>-1405.4408564926414</v>
      </c>
      <c r="I230">
        <v>258.69453915401903</v>
      </c>
      <c r="J230">
        <v>136.655954581706</v>
      </c>
      <c r="K230">
        <v>46.642850773273999</v>
      </c>
      <c r="L230">
        <v>1.2273080454560777E-4</v>
      </c>
      <c r="M230">
        <v>1.6504252879345597E-5</v>
      </c>
      <c r="N230" s="1">
        <v>2.1700117051833602E-6</v>
      </c>
      <c r="O230" s="1">
        <v>7.3300395896197404E-8</v>
      </c>
      <c r="P230" s="1">
        <v>-3.5475444391320998E-7</v>
      </c>
      <c r="Q230">
        <v>74.381552299978296</v>
      </c>
      <c r="R230">
        <v>6.72122460541794E-2</v>
      </c>
      <c r="S230">
        <v>12.3222451099333</v>
      </c>
      <c r="T230">
        <v>0.15443465416690699</v>
      </c>
      <c r="V230">
        <v>0.367565069346309</v>
      </c>
      <c r="W230">
        <v>2.33781725405839E-2</v>
      </c>
      <c r="X230">
        <v>4.8704526126217403E-2</v>
      </c>
      <c r="AA230">
        <v>0.52600888216314201</v>
      </c>
      <c r="AB230">
        <v>3.8671393744215998</v>
      </c>
      <c r="AC230">
        <v>4.4905573088371602</v>
      </c>
      <c r="AD230">
        <v>5.8445431351459003E-3</v>
      </c>
      <c r="AE230">
        <v>3.74535781329699</v>
      </c>
    </row>
    <row r="231" spans="1:31" x14ac:dyDescent="0.2">
      <c r="A231">
        <v>230</v>
      </c>
      <c r="B231">
        <v>803</v>
      </c>
      <c r="C231">
        <v>105</v>
      </c>
      <c r="D231">
        <v>0.50921386423825798</v>
      </c>
      <c r="E231">
        <v>102.653617230731</v>
      </c>
      <c r="F231">
        <v>2.2012235269687999</v>
      </c>
      <c r="G231">
        <v>-1683.7348154466888</v>
      </c>
      <c r="H231">
        <v>-1405.490733980914</v>
      </c>
      <c r="I231">
        <v>258.555109850647</v>
      </c>
      <c r="J231">
        <v>136.63641921729899</v>
      </c>
      <c r="K231">
        <v>46.634799225542899</v>
      </c>
      <c r="L231">
        <v>1.2270982397814194E-4</v>
      </c>
      <c r="M231">
        <v>1.6499748965907366E-5</v>
      </c>
      <c r="N231" s="1">
        <v>2.1727342052640802E-6</v>
      </c>
      <c r="O231" s="1">
        <v>7.3256549931781E-8</v>
      </c>
      <c r="P231" s="1">
        <v>-3.5472485304389798E-7</v>
      </c>
      <c r="Q231">
        <v>74.381877947614299</v>
      </c>
      <c r="R231">
        <v>6.7216335733119706E-2</v>
      </c>
      <c r="S231">
        <v>12.3216406389892</v>
      </c>
      <c r="T231">
        <v>0.154655479905869</v>
      </c>
      <c r="V231">
        <v>0.36739718868355198</v>
      </c>
      <c r="W231">
        <v>2.33795950376064E-2</v>
      </c>
      <c r="X231">
        <v>4.8707489661681903E-2</v>
      </c>
      <c r="AA231">
        <v>0.52590369613499899</v>
      </c>
      <c r="AB231">
        <v>3.8667836695176701</v>
      </c>
      <c r="AC231">
        <v>4.4907080905597301</v>
      </c>
      <c r="AD231">
        <v>5.84489875940143E-3</v>
      </c>
      <c r="AE231">
        <v>3.7458849694027601</v>
      </c>
    </row>
    <row r="232" spans="1:31" x14ac:dyDescent="0.2">
      <c r="A232">
        <v>231</v>
      </c>
      <c r="B232">
        <v>802</v>
      </c>
      <c r="C232">
        <v>105</v>
      </c>
      <c r="D232">
        <v>0.50869227549644302</v>
      </c>
      <c r="E232">
        <v>102.246970569666</v>
      </c>
      <c r="F232">
        <v>2.2014391842263401</v>
      </c>
      <c r="G232">
        <v>-1676.7116689766358</v>
      </c>
      <c r="H232">
        <v>-1400.0317389425077</v>
      </c>
      <c r="I232">
        <v>257.34077108694299</v>
      </c>
      <c r="J232">
        <v>136.04936901324899</v>
      </c>
      <c r="K232">
        <v>46.445512236850398</v>
      </c>
      <c r="L232">
        <v>1.2254314171233351E-4</v>
      </c>
      <c r="M232">
        <v>1.6487983984627743E-5</v>
      </c>
      <c r="N232" s="1">
        <v>2.16448081617979E-6</v>
      </c>
      <c r="O232" s="1">
        <v>7.2851943141964602E-8</v>
      </c>
      <c r="P232" s="1">
        <v>-3.5271688930307399E-7</v>
      </c>
      <c r="Q232">
        <v>74.428990101203496</v>
      </c>
      <c r="R232">
        <v>6.7483661976064896E-2</v>
      </c>
      <c r="S232">
        <v>12.290628344865199</v>
      </c>
      <c r="T232">
        <v>0.15542788253375101</v>
      </c>
      <c r="V232">
        <v>0.36871680484919001</v>
      </c>
      <c r="W232">
        <v>2.3472578078630599E-2</v>
      </c>
      <c r="X232">
        <v>4.8901204330483498E-2</v>
      </c>
      <c r="AA232">
        <v>0.52001424411908204</v>
      </c>
      <c r="AB232">
        <v>3.8471920862028801</v>
      </c>
      <c r="AC232">
        <v>4.5011983515204701</v>
      </c>
      <c r="AD232">
        <v>5.8681445196573602E-3</v>
      </c>
      <c r="AE232">
        <v>3.7421065958009798</v>
      </c>
    </row>
    <row r="233" spans="1:31" x14ac:dyDescent="0.2">
      <c r="A233">
        <v>232</v>
      </c>
      <c r="B233">
        <v>801</v>
      </c>
      <c r="C233">
        <v>105</v>
      </c>
      <c r="D233">
        <v>0.50816971558907198</v>
      </c>
      <c r="E233">
        <v>101.839787478422</v>
      </c>
      <c r="F233">
        <v>2.2016560574287598</v>
      </c>
      <c r="G233">
        <v>-1669.6832780133186</v>
      </c>
      <c r="H233">
        <v>-1394.5653553031523</v>
      </c>
      <c r="I233">
        <v>256.12616739763098</v>
      </c>
      <c r="J233">
        <v>135.46190163370099</v>
      </c>
      <c r="K233">
        <v>46.255993135166399</v>
      </c>
      <c r="L233">
        <v>1.2237559488321949E-4</v>
      </c>
      <c r="M233">
        <v>1.6476221352965142E-5</v>
      </c>
      <c r="N233" s="1">
        <v>2.1561986748916998E-6</v>
      </c>
      <c r="O233" s="1">
        <v>7.2447645789892102E-8</v>
      </c>
      <c r="P233" s="1">
        <v>-3.5070689721523601E-7</v>
      </c>
      <c r="Q233">
        <v>74.4762494244642</v>
      </c>
      <c r="R233">
        <v>6.7753479959510296E-2</v>
      </c>
      <c r="S233">
        <v>12.259566650410401</v>
      </c>
      <c r="T233">
        <v>0.15620721972693499</v>
      </c>
      <c r="V233">
        <v>0.370048959550836</v>
      </c>
      <c r="W233">
        <v>2.3566427812002699E-2</v>
      </c>
      <c r="X233">
        <v>4.9096724608342801E-2</v>
      </c>
      <c r="AA233">
        <v>0.51433574747125199</v>
      </c>
      <c r="AB233">
        <v>3.8274316531217498</v>
      </c>
      <c r="AC233">
        <v>4.5115403206334603</v>
      </c>
      <c r="AD233">
        <v>5.8916069530003199E-3</v>
      </c>
      <c r="AE233">
        <v>3.7383117852880998</v>
      </c>
    </row>
    <row r="234" spans="1:31" x14ac:dyDescent="0.2">
      <c r="A234">
        <v>233</v>
      </c>
      <c r="B234">
        <v>800</v>
      </c>
      <c r="C234">
        <v>105</v>
      </c>
      <c r="D234">
        <v>0.50764618180124099</v>
      </c>
      <c r="E234">
        <v>101.43220440801799</v>
      </c>
      <c r="F234">
        <v>2.2018740290413401</v>
      </c>
      <c r="G234">
        <v>-1662.6519420388959</v>
      </c>
      <c r="H234">
        <v>-1389.0934674854045</v>
      </c>
      <c r="I234">
        <v>254.911684809664</v>
      </c>
      <c r="J234">
        <v>134.87420813008299</v>
      </c>
      <c r="K234">
        <v>46.066306732443003</v>
      </c>
      <c r="L234">
        <v>1.2220724071598549E-4</v>
      </c>
      <c r="M234">
        <v>1.6464466506148117E-5</v>
      </c>
      <c r="N234" s="1">
        <v>2.1478922782488798E-6</v>
      </c>
      <c r="O234" s="1">
        <v>7.2043804561859305E-8</v>
      </c>
      <c r="P234" s="1">
        <v>-3.4869566876444702E-7</v>
      </c>
      <c r="Q234">
        <v>74.523653187437105</v>
      </c>
      <c r="R234">
        <v>6.80257324611062E-2</v>
      </c>
      <c r="S234">
        <v>12.228457791683301</v>
      </c>
      <c r="T234">
        <v>0.156993393087725</v>
      </c>
      <c r="V234">
        <v>0.37139331008687798</v>
      </c>
      <c r="W234">
        <v>2.36611243342967E-2</v>
      </c>
      <c r="X234">
        <v>4.9294009029789698E-2</v>
      </c>
      <c r="AA234">
        <v>0.50886411885433003</v>
      </c>
      <c r="AB234">
        <v>3.8075147886562299</v>
      </c>
      <c r="AC234">
        <v>4.5217241678310298</v>
      </c>
      <c r="AD234">
        <v>5.9152810835736902E-3</v>
      </c>
      <c r="AE234">
        <v>3.7345030954545502</v>
      </c>
    </row>
    <row r="235" spans="1:31" x14ac:dyDescent="0.2">
      <c r="A235">
        <v>234</v>
      </c>
      <c r="B235">
        <v>799</v>
      </c>
      <c r="C235">
        <v>105</v>
      </c>
      <c r="D235">
        <v>0.50712167140791897</v>
      </c>
      <c r="E235">
        <v>101.024354747495</v>
      </c>
      <c r="F235">
        <v>2.2020929813896899</v>
      </c>
      <c r="G235">
        <v>-1655.6199069578818</v>
      </c>
      <c r="H235">
        <v>-1383.6179178261468</v>
      </c>
      <c r="I235">
        <v>253.69770007157101</v>
      </c>
      <c r="J235">
        <v>134.286475051938</v>
      </c>
      <c r="K235">
        <v>45.8765163874873</v>
      </c>
      <c r="L235">
        <v>1.2203813638438829E-4</v>
      </c>
      <c r="M235">
        <v>1.645272485854313E-5</v>
      </c>
      <c r="N235" s="1">
        <v>2.1395660426248902E-6</v>
      </c>
      <c r="O235" s="1">
        <v>7.1640562469779003E-8</v>
      </c>
      <c r="P235" s="1">
        <v>-3.46683978450765E-7</v>
      </c>
      <c r="Q235">
        <v>74.571198701930797</v>
      </c>
      <c r="R235">
        <v>6.8300361999304907E-2</v>
      </c>
      <c r="S235">
        <v>12.1973039649491</v>
      </c>
      <c r="T235">
        <v>0.157786303582343</v>
      </c>
      <c r="V235">
        <v>0.372749512374769</v>
      </c>
      <c r="W235">
        <v>2.37566476519309E-2</v>
      </c>
      <c r="X235">
        <v>4.9493015941528398E-2</v>
      </c>
      <c r="AA235">
        <v>0.50359519859169199</v>
      </c>
      <c r="AB235">
        <v>3.7874539299736401</v>
      </c>
      <c r="AC235">
        <v>4.5317401197578704</v>
      </c>
      <c r="AD235">
        <v>5.9391619129821301E-3</v>
      </c>
      <c r="AE235">
        <v>3.7306830813338299</v>
      </c>
    </row>
    <row r="236" spans="1:31" x14ac:dyDescent="0.2">
      <c r="A236">
        <v>235</v>
      </c>
      <c r="B236">
        <v>798</v>
      </c>
      <c r="C236">
        <v>105</v>
      </c>
      <c r="D236">
        <v>0.50659618167390597</v>
      </c>
      <c r="E236">
        <v>100.616368366534</v>
      </c>
      <c r="F236">
        <v>2.2023127969432199</v>
      </c>
      <c r="G236">
        <v>-1648.5893575555715</v>
      </c>
      <c r="H236">
        <v>-1378.1405002971273</v>
      </c>
      <c r="I236">
        <v>252.484579431866</v>
      </c>
      <c r="J236">
        <v>133.69888382027199</v>
      </c>
      <c r="K236">
        <v>45.686683792687703</v>
      </c>
      <c r="L236">
        <v>1.2186833882760153E-4</v>
      </c>
      <c r="M236">
        <v>1.6441001791918594E-5</v>
      </c>
      <c r="N236" s="1">
        <v>2.13122429015224E-6</v>
      </c>
      <c r="O236" s="1">
        <v>7.1238058431374006E-8</v>
      </c>
      <c r="P236" s="1">
        <v>-3.4467258089053298E-7</v>
      </c>
      <c r="Q236">
        <v>74.6188833470991</v>
      </c>
      <c r="R236">
        <v>6.8577311147468401E-2</v>
      </c>
      <c r="S236">
        <v>12.166107311277599</v>
      </c>
      <c r="T236">
        <v>0.158585852183769</v>
      </c>
      <c r="V236">
        <v>0.37411722273963299</v>
      </c>
      <c r="W236">
        <v>2.3852977790422301E-2</v>
      </c>
      <c r="X236">
        <v>4.96937037300531E-2</v>
      </c>
      <c r="AA236">
        <v>0.49852477206422002</v>
      </c>
      <c r="AB236">
        <v>3.7672614948124798</v>
      </c>
      <c r="AC236">
        <v>4.5415784737776903</v>
      </c>
      <c r="AD236">
        <v>5.9632444476048997E-3</v>
      </c>
      <c r="AE236">
        <v>3.7268542889298999</v>
      </c>
    </row>
    <row r="237" spans="1:31" x14ac:dyDescent="0.2">
      <c r="A237">
        <v>236</v>
      </c>
      <c r="B237">
        <v>797</v>
      </c>
      <c r="C237">
        <v>105</v>
      </c>
      <c r="D237">
        <v>0.50606970985375799</v>
      </c>
      <c r="E237">
        <v>100.208371222395</v>
      </c>
      <c r="F237">
        <v>2.2025333585848101</v>
      </c>
      <c r="G237">
        <v>-1641.5624110352278</v>
      </c>
      <c r="H237">
        <v>-1372.662955107148</v>
      </c>
      <c r="I237">
        <v>251.27267759480401</v>
      </c>
      <c r="J237">
        <v>133.11161019111199</v>
      </c>
      <c r="K237">
        <v>45.496868790574098</v>
      </c>
      <c r="L237">
        <v>1.2169790458095246E-4</v>
      </c>
      <c r="M237">
        <v>1.6429302644584877E-5</v>
      </c>
      <c r="N237" s="1">
        <v>2.12287123667729E-6</v>
      </c>
      <c r="O237" s="1">
        <v>7.0836426911220201E-8</v>
      </c>
      <c r="P237" s="1">
        <v>-3.4266220874112099E-7</v>
      </c>
      <c r="Q237">
        <v>74.666704592018803</v>
      </c>
      <c r="R237">
        <v>6.8856522821698796E-2</v>
      </c>
      <c r="S237">
        <v>12.1348699031349</v>
      </c>
      <c r="T237">
        <v>0.15939194046244101</v>
      </c>
      <c r="V237">
        <v>0.37549609955199997</v>
      </c>
      <c r="W237">
        <v>2.39500948945023E-2</v>
      </c>
      <c r="X237">
        <v>4.9896031030220403E-2</v>
      </c>
      <c r="AA237">
        <v>0.49364858641564202</v>
      </c>
      <c r="AB237">
        <v>3.7469498462672099</v>
      </c>
      <c r="AC237">
        <v>4.55122961048039</v>
      </c>
      <c r="AD237">
        <v>5.9875237236248196E-3</v>
      </c>
      <c r="AE237">
        <v>3.7230192491985199</v>
      </c>
    </row>
    <row r="238" spans="1:31" x14ac:dyDescent="0.2">
      <c r="A238">
        <v>237</v>
      </c>
      <c r="B238">
        <v>796</v>
      </c>
      <c r="C238">
        <v>105</v>
      </c>
      <c r="D238">
        <v>0.50554225319178703</v>
      </c>
      <c r="E238">
        <v>99.8004850172359</v>
      </c>
      <c r="F238">
        <v>2.2027545498553498</v>
      </c>
      <c r="G238">
        <v>-1634.5411114017127</v>
      </c>
      <c r="H238">
        <v>-1367.1869639937804</v>
      </c>
      <c r="I238">
        <v>250.06233681703401</v>
      </c>
      <c r="J238">
        <v>132.524823789614</v>
      </c>
      <c r="K238">
        <v>45.307129214096598</v>
      </c>
      <c r="L238">
        <v>1.2152688962080607E-4</v>
      </c>
      <c r="M238">
        <v>1.641763270162164E-5</v>
      </c>
      <c r="N238" s="1">
        <v>2.1145109811886801E-6</v>
      </c>
      <c r="O238" s="1">
        <v>7.0435797613620698E-8</v>
      </c>
      <c r="P238" s="1">
        <v>-3.40653570906933E-7</v>
      </c>
      <c r="Q238">
        <v>74.714660016741604</v>
      </c>
      <c r="R238">
        <v>6.9137940550173999E-2</v>
      </c>
      <c r="S238">
        <v>12.103593731845301</v>
      </c>
      <c r="T238">
        <v>0.160204471140623</v>
      </c>
      <c r="V238">
        <v>0.37688580475866801</v>
      </c>
      <c r="W238">
        <v>2.4047979321797801E-2</v>
      </c>
      <c r="X238">
        <v>5.0099956920420297E-2</v>
      </c>
      <c r="AA238">
        <v>0.48896236622257999</v>
      </c>
      <c r="AB238">
        <v>3.7265312599676701</v>
      </c>
      <c r="AC238">
        <v>4.5606840051264799</v>
      </c>
      <c r="AD238">
        <v>6.0119948304486097E-3</v>
      </c>
      <c r="AE238">
        <v>3.71918047257416</v>
      </c>
    </row>
    <row r="239" spans="1:31" x14ac:dyDescent="0.2">
      <c r="A239">
        <v>238</v>
      </c>
      <c r="B239">
        <v>795</v>
      </c>
      <c r="C239">
        <v>105</v>
      </c>
      <c r="D239">
        <v>0.50501380892196901</v>
      </c>
      <c r="E239">
        <v>99.392826924867904</v>
      </c>
      <c r="F239">
        <v>2.2029762551821102</v>
      </c>
      <c r="G239">
        <v>-1627.5274250030436</v>
      </c>
      <c r="H239">
        <v>-1361.7141464655003</v>
      </c>
      <c r="I239">
        <v>248.853886193459</v>
      </c>
      <c r="J239">
        <v>131.938687741</v>
      </c>
      <c r="K239">
        <v>45.117520759047501</v>
      </c>
      <c r="L239">
        <v>1.2135534922644017E-4</v>
      </c>
      <c r="M239">
        <v>1.6405997186062893E-5</v>
      </c>
      <c r="N239" s="1">
        <v>2.1061474971073299E-6</v>
      </c>
      <c r="O239" s="1">
        <v>7.0036295239614402E-8</v>
      </c>
      <c r="P239" s="1">
        <v>-3.38647351095038E-7</v>
      </c>
      <c r="Q239">
        <v>74.762747329542407</v>
      </c>
      <c r="R239">
        <v>6.9421508709234997E-2</v>
      </c>
      <c r="S239">
        <v>12.0722806974457</v>
      </c>
      <c r="T239">
        <v>0.16102334858012801</v>
      </c>
      <c r="V239">
        <v>0.37828600522316502</v>
      </c>
      <c r="W239">
        <v>2.41466117249493E-2</v>
      </c>
      <c r="X239">
        <v>5.03054410936533E-2</v>
      </c>
      <c r="AA239">
        <v>0.484461828193678</v>
      </c>
      <c r="AB239">
        <v>3.70601789458602</v>
      </c>
      <c r="AC239">
        <v>4.5699322379442098</v>
      </c>
      <c r="AD239">
        <v>6.0366529312364204E-3</v>
      </c>
      <c r="AE239">
        <v>3.7153404440254998</v>
      </c>
    </row>
    <row r="240" spans="1:31" x14ac:dyDescent="0.2">
      <c r="A240">
        <v>239</v>
      </c>
      <c r="B240">
        <v>794</v>
      </c>
      <c r="C240">
        <v>105</v>
      </c>
      <c r="D240">
        <v>0.50448437426791004</v>
      </c>
      <c r="E240">
        <v>98.9855093681537</v>
      </c>
      <c r="F240">
        <v>2.2031983600880398</v>
      </c>
      <c r="G240">
        <v>-1620.5232369159069</v>
      </c>
      <c r="H240">
        <v>-1356.2460567358178</v>
      </c>
      <c r="I240">
        <v>247.64764108146801</v>
      </c>
      <c r="J240">
        <v>131.35335837165201</v>
      </c>
      <c r="K240">
        <v>44.928096880118403</v>
      </c>
      <c r="L240">
        <v>1.211833378533553E-4</v>
      </c>
      <c r="M240">
        <v>1.6394401250787455E-5</v>
      </c>
      <c r="N240" s="1">
        <v>2.09778462494752E-6</v>
      </c>
      <c r="O240" s="1">
        <v>6.9638039291399504E-8</v>
      </c>
      <c r="P240" s="1">
        <v>-3.3664420663032702E-7</v>
      </c>
      <c r="Q240">
        <v>74.810964382387795</v>
      </c>
      <c r="R240">
        <v>6.9707172737145703E-2</v>
      </c>
      <c r="S240">
        <v>12.0409325995959</v>
      </c>
      <c r="T240">
        <v>0.16184847922586099</v>
      </c>
      <c r="V240">
        <v>0.37969637393745098</v>
      </c>
      <c r="W240">
        <v>2.4245973125961402E-2</v>
      </c>
      <c r="X240">
        <v>5.0512444012429901E-2</v>
      </c>
      <c r="AA240">
        <v>0.48014269461140602</v>
      </c>
      <c r="AB240">
        <v>3.6854217648465499</v>
      </c>
      <c r="AC240">
        <v>4.5789650037502998</v>
      </c>
      <c r="AD240">
        <v>6.0614932814893104E-3</v>
      </c>
      <c r="AE240">
        <v>3.7115016184876501</v>
      </c>
    </row>
    <row r="241" spans="1:31" x14ac:dyDescent="0.2">
      <c r="A241">
        <v>240</v>
      </c>
      <c r="B241">
        <v>793</v>
      </c>
      <c r="C241">
        <v>105</v>
      </c>
      <c r="D241">
        <v>0.503953946442809</v>
      </c>
      <c r="E241">
        <v>98.578639865106098</v>
      </c>
      <c r="F241">
        <v>2.2034207513790198</v>
      </c>
      <c r="G241">
        <v>-1613.5303484720409</v>
      </c>
      <c r="H241">
        <v>-1350.7841815962145</v>
      </c>
      <c r="I241">
        <v>246.44390271146301</v>
      </c>
      <c r="J241">
        <v>130.76898500569601</v>
      </c>
      <c r="K241">
        <v>44.738908718822699</v>
      </c>
      <c r="L241">
        <v>1.2101090902772914E-4</v>
      </c>
      <c r="M241">
        <v>1.6382849971604944E-5</v>
      </c>
      <c r="N241" s="1">
        <v>2.0894260668961102E-6</v>
      </c>
      <c r="O241" s="1">
        <v>6.92411439412443E-8</v>
      </c>
      <c r="P241" s="1">
        <v>-3.3464476763157499E-7</v>
      </c>
      <c r="Q241">
        <v>74.859309182083905</v>
      </c>
      <c r="R241">
        <v>6.99948793109961E-2</v>
      </c>
      <c r="S241">
        <v>12.0095511310132</v>
      </c>
      <c r="T241">
        <v>0.16267977197506001</v>
      </c>
      <c r="V241">
        <v>0.38111659102306</v>
      </c>
      <c r="W241">
        <v>2.4346044977735199E-2</v>
      </c>
      <c r="X241">
        <v>5.0720927036959601E-2</v>
      </c>
      <c r="AA241">
        <v>0.47600070560595598</v>
      </c>
      <c r="AB241">
        <v>3.6647547178459998</v>
      </c>
      <c r="AC241">
        <v>4.5877731209110797</v>
      </c>
      <c r="AD241">
        <v>6.0865112444327104E-3</v>
      </c>
      <c r="AE241">
        <v>3.7076664169715001</v>
      </c>
    </row>
    <row r="242" spans="1:31" x14ac:dyDescent="0.2">
      <c r="A242">
        <v>241</v>
      </c>
      <c r="B242">
        <v>792</v>
      </c>
      <c r="C242">
        <v>105</v>
      </c>
      <c r="D242">
        <v>0.50342252264939402</v>
      </c>
      <c r="E242">
        <v>98.172320931729402</v>
      </c>
      <c r="F242">
        <v>2.2036433173199899</v>
      </c>
      <c r="G242">
        <v>-1606.5504757222593</v>
      </c>
      <c r="H242">
        <v>-1345.3299390633924</v>
      </c>
      <c r="I242">
        <v>245.24295794852</v>
      </c>
      <c r="J242">
        <v>130.18570983959501</v>
      </c>
      <c r="K242">
        <v>44.550005057589601</v>
      </c>
      <c r="L242">
        <v>1.2083811525176024E-4</v>
      </c>
      <c r="M242">
        <v>1.6371348340724249E-5</v>
      </c>
      <c r="N242" s="1">
        <v>2.0810753828104701E-6</v>
      </c>
      <c r="O242" s="1">
        <v>6.8845717948343103E-8</v>
      </c>
      <c r="P242" s="1">
        <v>-3.3264963645389399E-7</v>
      </c>
      <c r="Q242">
        <v>74.907779898502497</v>
      </c>
      <c r="R242">
        <v>7.0284576492783996E-2</v>
      </c>
      <c r="S242">
        <v>11.978137872683501</v>
      </c>
      <c r="T242">
        <v>0.163517138484675</v>
      </c>
      <c r="V242">
        <v>0.38254634455515701</v>
      </c>
      <c r="W242">
        <v>2.4446809214878601E-2</v>
      </c>
      <c r="X242">
        <v>5.0930852531009402E-2</v>
      </c>
      <c r="AA242">
        <v>0.47203163007766202</v>
      </c>
      <c r="AB242">
        <v>3.6440284121019002</v>
      </c>
      <c r="AC242">
        <v>4.5963475401231699</v>
      </c>
      <c r="AD242">
        <v>6.1117023037184403E-3</v>
      </c>
      <c r="AE242">
        <v>3.70383722292893</v>
      </c>
    </row>
    <row r="243" spans="1:31" x14ac:dyDescent="0.2">
      <c r="A243">
        <v>242</v>
      </c>
      <c r="B243">
        <v>791</v>
      </c>
      <c r="C243">
        <v>105</v>
      </c>
      <c r="D243">
        <v>0.502890100079881</v>
      </c>
      <c r="E243">
        <v>97.766650036707105</v>
      </c>
      <c r="F243">
        <v>2.2038659477938198</v>
      </c>
      <c r="G243">
        <v>-1599.5852487554316</v>
      </c>
      <c r="H243">
        <v>-1339.884677732623</v>
      </c>
      <c r="I243">
        <v>244.045079192603</v>
      </c>
      <c r="J243">
        <v>129.60366788794499</v>
      </c>
      <c r="K243">
        <v>44.3614322979018</v>
      </c>
      <c r="L243">
        <v>1.2066500792294511E-4</v>
      </c>
      <c r="M243">
        <v>1.6359901260856856E-5</v>
      </c>
      <c r="N243" s="1">
        <v>2.0727359876038801E-6</v>
      </c>
      <c r="O243" s="1">
        <v>6.8451864621829193E-8</v>
      </c>
      <c r="P243" s="1">
        <v>-3.3065938739464199E-7</v>
      </c>
      <c r="Q243">
        <v>74.956374869841497</v>
      </c>
      <c r="R243">
        <v>7.0576213846026706E-2</v>
      </c>
      <c r="S243">
        <v>11.9466942906963</v>
      </c>
      <c r="T243">
        <v>0.16436049341995801</v>
      </c>
      <c r="V243">
        <v>0.38398533121789702</v>
      </c>
      <c r="W243">
        <v>2.4548248294267199E-2</v>
      </c>
      <c r="X243">
        <v>5.1142183946402998E-2</v>
      </c>
      <c r="AA243">
        <v>0.468231275225094</v>
      </c>
      <c r="AB243">
        <v>3.6232542990515202</v>
      </c>
      <c r="AC243">
        <v>4.6046793533764498</v>
      </c>
      <c r="AD243">
        <v>6.1370620735655603E-3</v>
      </c>
      <c r="AE243">
        <v>3.70001637901081</v>
      </c>
    </row>
    <row r="244" spans="1:31" x14ac:dyDescent="0.2">
      <c r="A244">
        <v>243</v>
      </c>
      <c r="B244">
        <v>790</v>
      </c>
      <c r="C244">
        <v>105</v>
      </c>
      <c r="D244">
        <v>0.50235667591591204</v>
      </c>
      <c r="E244">
        <v>97.361719620545102</v>
      </c>
      <c r="F244">
        <v>2.2040885344461998</v>
      </c>
      <c r="G244">
        <v>-1592.6362120781346</v>
      </c>
      <c r="H244">
        <v>-1334.4496770097855</v>
      </c>
      <c r="I244">
        <v>242.85052444937099</v>
      </c>
      <c r="J244">
        <v>129.022987017943</v>
      </c>
      <c r="K244">
        <v>44.173234468100901</v>
      </c>
      <c r="L244">
        <v>1.2049163727138073E-4</v>
      </c>
      <c r="M244">
        <v>1.6348513540039493E-5</v>
      </c>
      <c r="N244" s="1">
        <v>2.0644111503251299E-6</v>
      </c>
      <c r="O244" s="1">
        <v>6.8059681839372801E-8</v>
      </c>
      <c r="P244" s="1">
        <v>-3.2867456671717701E-7</v>
      </c>
      <c r="Q244">
        <v>75.005092603195607</v>
      </c>
      <c r="R244">
        <v>7.0869742511658604E-2</v>
      </c>
      <c r="S244">
        <v>11.915221735783</v>
      </c>
      <c r="T244">
        <v>0.16520975462026499</v>
      </c>
      <c r="V244">
        <v>0.385433256727016</v>
      </c>
      <c r="W244">
        <v>2.4650345221443201E-2</v>
      </c>
      <c r="X244">
        <v>5.1354885878021103E-2</v>
      </c>
      <c r="AA244">
        <v>0.46459549476261602</v>
      </c>
      <c r="AB244">
        <v>3.6024436075277602</v>
      </c>
      <c r="AC244">
        <v>4.6127598031667301</v>
      </c>
      <c r="AD244">
        <v>6.16258630535939E-3</v>
      </c>
      <c r="AE244">
        <v>3.6962061843003999</v>
      </c>
    </row>
    <row r="245" spans="1:31" x14ac:dyDescent="0.2">
      <c r="A245">
        <v>244</v>
      </c>
      <c r="B245">
        <v>789</v>
      </c>
      <c r="C245">
        <v>105</v>
      </c>
      <c r="D245">
        <v>0.50182224732853298</v>
      </c>
      <c r="E245">
        <v>96.957617159208596</v>
      </c>
      <c r="F245">
        <v>2.2043109708263802</v>
      </c>
      <c r="G245">
        <v>-1585.704825719781</v>
      </c>
      <c r="H245">
        <v>-1329.0261479473086</v>
      </c>
      <c r="I245">
        <v>241.65953751586099</v>
      </c>
      <c r="J245">
        <v>128.443788044</v>
      </c>
      <c r="K245">
        <v>43.985453251570803</v>
      </c>
      <c r="L245">
        <v>1.2031805230340275E-4</v>
      </c>
      <c r="M245">
        <v>1.6337189886317966E-5</v>
      </c>
      <c r="N245" s="1">
        <v>2.0561039942486499E-6</v>
      </c>
      <c r="O245" s="1">
        <v>6.7669262099014902E-8</v>
      </c>
      <c r="P245" s="1">
        <v>-3.2669569286782901E-7</v>
      </c>
      <c r="Q245">
        <v>75.053931772426097</v>
      </c>
      <c r="R245">
        <v>7.1165115255155703E-2</v>
      </c>
      <c r="S245">
        <v>11.8837214443663</v>
      </c>
      <c r="T245">
        <v>0.166064843207713</v>
      </c>
      <c r="V245">
        <v>0.38688983608746103</v>
      </c>
      <c r="W245">
        <v>2.4753083567007301E-2</v>
      </c>
      <c r="X245">
        <v>5.1568924097947E-2</v>
      </c>
      <c r="AA245">
        <v>0.46112019566858797</v>
      </c>
      <c r="AB245">
        <v>3.58160733016831</v>
      </c>
      <c r="AC245">
        <v>4.6205802926963502</v>
      </c>
      <c r="AD245">
        <v>6.1882708917503099E-3</v>
      </c>
      <c r="AE245">
        <v>3.6924088915672</v>
      </c>
    </row>
    <row r="246" spans="1:31" x14ac:dyDescent="0.2">
      <c r="A246">
        <v>245</v>
      </c>
      <c r="B246">
        <v>788</v>
      </c>
      <c r="C246">
        <v>105</v>
      </c>
      <c r="D246">
        <v>0.50128681147811704</v>
      </c>
      <c r="E246">
        <v>95.0917615792481</v>
      </c>
      <c r="F246">
        <v>2.2049982270189901</v>
      </c>
      <c r="G246">
        <v>-1554.5458740508031</v>
      </c>
      <c r="H246">
        <v>-1303.2769432962355</v>
      </c>
      <c r="I246">
        <v>236.78926707305001</v>
      </c>
      <c r="J246">
        <v>125.932408094314</v>
      </c>
      <c r="K246">
        <v>43.125550131532499</v>
      </c>
      <c r="L246">
        <v>1.2014821535896105E-4</v>
      </c>
      <c r="M246">
        <v>1.6312168838381162E-5</v>
      </c>
      <c r="N246" s="1">
        <v>2.0139559658566899E-6</v>
      </c>
      <c r="O246" s="1">
        <v>6.6179130828353298E-8</v>
      </c>
      <c r="P246" s="1">
        <v>-3.1983854207783401E-7</v>
      </c>
      <c r="Q246">
        <v>75.041028014032705</v>
      </c>
      <c r="R246">
        <v>7.2561490978900994E-2</v>
      </c>
      <c r="S246">
        <v>11.8782827390406</v>
      </c>
      <c r="T246">
        <v>0.16956765093666801</v>
      </c>
      <c r="V246">
        <v>0.39426138237324199</v>
      </c>
      <c r="W246">
        <v>2.5238779470917998E-2</v>
      </c>
      <c r="X246">
        <v>5.2580790564430997E-2</v>
      </c>
      <c r="AA246">
        <v>0.45515972315433401</v>
      </c>
      <c r="AB246">
        <v>3.5486022167016702</v>
      </c>
      <c r="AC246">
        <v>4.6729750024965</v>
      </c>
      <c r="AD246">
        <v>6.3096948677275897E-3</v>
      </c>
      <c r="AE246">
        <v>3.6834325153821501</v>
      </c>
    </row>
    <row r="247" spans="1:31" x14ac:dyDescent="0.2">
      <c r="A247">
        <v>246</v>
      </c>
      <c r="B247">
        <v>787</v>
      </c>
      <c r="C247">
        <v>105</v>
      </c>
      <c r="D247">
        <v>0.50075036551431296</v>
      </c>
      <c r="E247">
        <v>92.465578246260804</v>
      </c>
      <c r="F247">
        <v>2.2059177098746301</v>
      </c>
      <c r="G247">
        <v>-1510.8380444049576</v>
      </c>
      <c r="H247">
        <v>-1266.987540996965</v>
      </c>
      <c r="I247">
        <v>230.01509541856601</v>
      </c>
      <c r="J247">
        <v>122.416563285889</v>
      </c>
      <c r="K247">
        <v>41.917056938409303</v>
      </c>
      <c r="L247">
        <v>1.1997257122819171E-4</v>
      </c>
      <c r="M247">
        <v>1.6281005445964093E-5</v>
      </c>
      <c r="N247" s="1">
        <v>1.9545122574290899E-6</v>
      </c>
      <c r="O247" s="1">
        <v>6.4130940368252194E-8</v>
      </c>
      <c r="P247" s="1">
        <v>-3.1042064660973101E-7</v>
      </c>
      <c r="Q247">
        <v>75.0023823631157</v>
      </c>
      <c r="R247">
        <v>7.4622363595934105E-2</v>
      </c>
      <c r="S247">
        <v>11.882919524936</v>
      </c>
      <c r="T247">
        <v>0.17465565652774401</v>
      </c>
      <c r="V247">
        <v>0.40521435284076601</v>
      </c>
      <c r="W247">
        <v>2.5955604729012899E-2</v>
      </c>
      <c r="X247">
        <v>5.4074176518811301E-2</v>
      </c>
      <c r="AA247">
        <v>0.44964056737775798</v>
      </c>
      <c r="AB247">
        <v>3.5082546360905198</v>
      </c>
      <c r="AC247">
        <v>4.7437846881201304</v>
      </c>
      <c r="AD247">
        <v>6.4889011822497301E-3</v>
      </c>
      <c r="AE247">
        <v>3.6720071649652799</v>
      </c>
    </row>
    <row r="248" spans="1:31" x14ac:dyDescent="0.2">
      <c r="A248">
        <v>247</v>
      </c>
      <c r="B248">
        <v>786</v>
      </c>
      <c r="C248">
        <v>105</v>
      </c>
      <c r="D248">
        <v>0.50021290657603101</v>
      </c>
      <c r="E248">
        <v>89.441871456184302</v>
      </c>
      <c r="F248">
        <v>2.2069290274678099</v>
      </c>
      <c r="G248">
        <v>-1460.6385825051721</v>
      </c>
      <c r="H248">
        <v>-1225.2336962163251</v>
      </c>
      <c r="I248">
        <v>222.258307405794</v>
      </c>
      <c r="J248">
        <v>118.37616502435699</v>
      </c>
      <c r="K248">
        <v>40.527751614562902</v>
      </c>
      <c r="L248">
        <v>1.1978783068874321E-4</v>
      </c>
      <c r="M248">
        <v>1.6248684393193916E-5</v>
      </c>
      <c r="N248" s="1">
        <v>1.88655907539835E-6</v>
      </c>
      <c r="O248" s="1">
        <v>6.1810925158787896E-8</v>
      </c>
      <c r="P248" s="1">
        <v>-2.9964328086883699E-7</v>
      </c>
      <c r="Q248">
        <v>74.959948394954793</v>
      </c>
      <c r="R248">
        <v>7.7145076323464706E-2</v>
      </c>
      <c r="S248">
        <v>11.887692315305101</v>
      </c>
      <c r="T248">
        <v>0.18082419959900101</v>
      </c>
      <c r="V248">
        <v>0.41867557795200799</v>
      </c>
      <c r="W248">
        <v>2.6833070025544199E-2</v>
      </c>
      <c r="X248">
        <v>5.5902229219923098E-2</v>
      </c>
      <c r="AA248">
        <v>0.44648891108911198</v>
      </c>
      <c r="AB248">
        <v>3.4638750858190601</v>
      </c>
      <c r="AC248">
        <v>4.8159590764699702</v>
      </c>
      <c r="AD248">
        <v>6.7082675063821397E-3</v>
      </c>
      <c r="AE248">
        <v>3.6599477957354498</v>
      </c>
    </row>
    <row r="249" spans="1:31" x14ac:dyDescent="0.2">
      <c r="A249">
        <v>248</v>
      </c>
      <c r="B249">
        <v>785</v>
      </c>
      <c r="C249">
        <v>105</v>
      </c>
      <c r="D249">
        <v>0.49967443179133703</v>
      </c>
      <c r="E249">
        <v>85.5430148244496</v>
      </c>
      <c r="F249">
        <v>2.2081134575169501</v>
      </c>
      <c r="G249">
        <v>-1396.1322683102635</v>
      </c>
      <c r="H249">
        <v>-1171.4500599714117</v>
      </c>
      <c r="I249">
        <v>212.334932040686</v>
      </c>
      <c r="J249">
        <v>113.18055465438199</v>
      </c>
      <c r="K249">
        <v>38.740316777310603</v>
      </c>
      <c r="L249">
        <v>1.1959481892085219E-4</v>
      </c>
      <c r="M249">
        <v>1.6215105307979228E-5</v>
      </c>
      <c r="N249" s="1">
        <v>1.80005963124146E-6</v>
      </c>
      <c r="O249" s="1">
        <v>5.88918236562223E-8</v>
      </c>
      <c r="P249" s="1">
        <v>-2.8589809183896199E-7</v>
      </c>
      <c r="Q249">
        <v>74.9095525013133</v>
      </c>
      <c r="R249">
        <v>8.0661173962141106E-2</v>
      </c>
      <c r="S249">
        <v>11.8928046591236</v>
      </c>
      <c r="T249">
        <v>0.189302898782087</v>
      </c>
      <c r="V249">
        <v>0.437544478196153</v>
      </c>
      <c r="W249">
        <v>2.8056060508560601E-2</v>
      </c>
      <c r="X249">
        <v>5.8450126059546803E-2</v>
      </c>
      <c r="AA249">
        <v>0.447791920143505</v>
      </c>
      <c r="AB249">
        <v>3.4133053845021002</v>
      </c>
      <c r="AC249">
        <v>4.8884104791296803</v>
      </c>
      <c r="AD249">
        <v>7.0140151271356303E-3</v>
      </c>
      <c r="AE249">
        <v>3.6471063031519901</v>
      </c>
    </row>
    <row r="250" spans="1:31" x14ac:dyDescent="0.2">
      <c r="A250">
        <v>249</v>
      </c>
      <c r="B250">
        <v>784</v>
      </c>
      <c r="C250">
        <v>105</v>
      </c>
      <c r="D250">
        <v>0.49913493827744299</v>
      </c>
      <c r="E250">
        <v>76.003233053170106</v>
      </c>
      <c r="F250">
        <v>2.2101028746915001</v>
      </c>
      <c r="G250">
        <v>-1239.3755052077283</v>
      </c>
      <c r="H250">
        <v>-1040.1471543826049</v>
      </c>
      <c r="I250">
        <v>188.45797741581001</v>
      </c>
      <c r="J250">
        <v>100.541101965645</v>
      </c>
      <c r="K250">
        <v>34.389002395998801</v>
      </c>
      <c r="L250">
        <v>1.1948774073076025E-4</v>
      </c>
      <c r="M250">
        <v>1.6187917034284791E-5</v>
      </c>
      <c r="N250" s="1">
        <v>1.59632414853902E-6</v>
      </c>
      <c r="O250" s="1">
        <v>5.2146224170396402E-8</v>
      </c>
      <c r="P250" s="1">
        <v>-2.5337242637012599E-7</v>
      </c>
      <c r="Q250">
        <v>74.810880071879495</v>
      </c>
      <c r="R250">
        <v>9.0785611648577305E-2</v>
      </c>
      <c r="S250">
        <v>11.898532961866501</v>
      </c>
      <c r="T250">
        <v>0.213063844229987</v>
      </c>
      <c r="V250">
        <v>0.49246422793910399</v>
      </c>
      <c r="W250">
        <v>3.1577604051661899E-2</v>
      </c>
      <c r="X250">
        <v>6.5786675107705694E-2</v>
      </c>
      <c r="AA250">
        <v>0.46525319185223701</v>
      </c>
      <c r="AB250">
        <v>3.35564549204781</v>
      </c>
      <c r="AC250">
        <v>4.9320110990645798</v>
      </c>
      <c r="AD250">
        <v>7.8944010129078403E-3</v>
      </c>
      <c r="AE250">
        <v>3.6361048192993399</v>
      </c>
    </row>
    <row r="251" spans="1:31" x14ac:dyDescent="0.2">
      <c r="A251">
        <v>250</v>
      </c>
      <c r="B251">
        <v>783</v>
      </c>
      <c r="C251">
        <v>105</v>
      </c>
      <c r="D251">
        <v>0.498594423140655</v>
      </c>
      <c r="E251">
        <v>64.368680960373396</v>
      </c>
      <c r="F251">
        <v>2.2126963014830201</v>
      </c>
      <c r="G251">
        <v>-1048.527288391401</v>
      </c>
      <c r="H251">
        <v>-880.10169161272461</v>
      </c>
      <c r="I251">
        <v>159.471284172396</v>
      </c>
      <c r="J251">
        <v>85.148711090559203</v>
      </c>
      <c r="K251">
        <v>29.090608104343701</v>
      </c>
      <c r="L251">
        <v>1.1951274439169082E-4</v>
      </c>
      <c r="M251">
        <v>1.6171515384499023E-5</v>
      </c>
      <c r="N251" s="1">
        <v>1.3509350885606899E-6</v>
      </c>
      <c r="O251" s="1">
        <v>4.4056331855983297E-8</v>
      </c>
      <c r="P251" s="1">
        <v>-2.1417158588730701E-7</v>
      </c>
      <c r="Q251">
        <v>74.670523265518398</v>
      </c>
      <c r="R251">
        <v>0.10719498826221401</v>
      </c>
      <c r="S251">
        <v>11.9017841534249</v>
      </c>
      <c r="T251">
        <v>0.25130862338946902</v>
      </c>
      <c r="V251">
        <v>0.58171602175385895</v>
      </c>
      <c r="W251">
        <v>3.7285213308575302E-2</v>
      </c>
      <c r="X251">
        <v>7.7677527726292397E-2</v>
      </c>
      <c r="AA251">
        <v>0.48778426972593197</v>
      </c>
      <c r="AB251">
        <v>3.3059831622701399</v>
      </c>
      <c r="AC251">
        <v>4.9402363831171803</v>
      </c>
      <c r="AD251">
        <v>9.3213033271328204E-3</v>
      </c>
      <c r="AE251">
        <v>3.6291850881758001</v>
      </c>
    </row>
    <row r="252" spans="1:31" x14ac:dyDescent="0.2">
      <c r="A252">
        <v>251</v>
      </c>
      <c r="B252">
        <v>782</v>
      </c>
      <c r="C252">
        <v>105</v>
      </c>
      <c r="D252">
        <v>0.49805288347628701</v>
      </c>
      <c r="E252">
        <v>55.363737714791903</v>
      </c>
      <c r="F252">
        <v>2.2153163098447801</v>
      </c>
      <c r="G252">
        <v>-900.84740127323141</v>
      </c>
      <c r="H252">
        <v>-756.23530451729403</v>
      </c>
      <c r="I252">
        <v>137.05359120119101</v>
      </c>
      <c r="J252">
        <v>73.237276370768498</v>
      </c>
      <c r="K252">
        <v>24.991346594054001</v>
      </c>
      <c r="L252">
        <v>1.1957866933512687E-4</v>
      </c>
      <c r="M252">
        <v>1.6158453367470996E-5</v>
      </c>
      <c r="N252" s="1">
        <v>1.16153456191278E-6</v>
      </c>
      <c r="O252" s="1">
        <v>3.7814790470837899E-8</v>
      </c>
      <c r="P252" s="1">
        <v>-1.8392826580569701E-7</v>
      </c>
      <c r="Q252">
        <v>74.525787165136293</v>
      </c>
      <c r="R252">
        <v>0.12463031371811099</v>
      </c>
      <c r="S252">
        <v>11.9026424559652</v>
      </c>
      <c r="T252">
        <v>0.29184856083722999</v>
      </c>
      <c r="V252">
        <v>0.67663439524318203</v>
      </c>
      <c r="W252">
        <v>4.3349674336704398E-2</v>
      </c>
      <c r="X252">
        <v>9.0311821534934694E-2</v>
      </c>
      <c r="AA252">
        <v>0.50527481077589698</v>
      </c>
      <c r="AB252">
        <v>3.2641691196546199</v>
      </c>
      <c r="AC252">
        <v>4.9407626787407697</v>
      </c>
      <c r="AD252">
        <v>1.0837418584160799E-2</v>
      </c>
      <c r="AE252">
        <v>3.6237515854727</v>
      </c>
    </row>
    <row r="253" spans="1:31" x14ac:dyDescent="0.2">
      <c r="A253">
        <v>252</v>
      </c>
      <c r="B253">
        <v>781</v>
      </c>
      <c r="C253">
        <v>105</v>
      </c>
      <c r="D253">
        <v>0.49751031636863902</v>
      </c>
      <c r="E253">
        <v>34.257328259812098</v>
      </c>
      <c r="F253">
        <v>2.2173056592900302</v>
      </c>
      <c r="G253">
        <v>-557.35950007792428</v>
      </c>
      <c r="H253">
        <v>-468.09029916717412</v>
      </c>
      <c r="I253">
        <v>84.683584794146697</v>
      </c>
      <c r="J253">
        <v>45.330852529502202</v>
      </c>
      <c r="K253">
        <v>15.4499800766219</v>
      </c>
      <c r="L253">
        <v>1.1925058505741676E-4</v>
      </c>
      <c r="M253">
        <v>1.611986259677849E-5</v>
      </c>
      <c r="N253" s="1">
        <v>7.1597676829460104E-7</v>
      </c>
      <c r="O253" s="1">
        <v>2.3275930786608602E-8</v>
      </c>
      <c r="P253" s="1">
        <v>-1.13090375548055E-7</v>
      </c>
      <c r="Q253">
        <v>74.4093738247781</v>
      </c>
      <c r="R253">
        <v>0.15060909255240601</v>
      </c>
      <c r="S253">
        <v>11.996924819749101</v>
      </c>
      <c r="T253">
        <v>0.276403627568724</v>
      </c>
      <c r="V253">
        <v>0.64160147622702901</v>
      </c>
      <c r="W253">
        <v>7.0058002824873997E-2</v>
      </c>
      <c r="X253">
        <v>0.13908377993731599</v>
      </c>
      <c r="AA253">
        <v>0.54728657319792695</v>
      </c>
      <c r="AB253">
        <v>3.1440667415300401</v>
      </c>
      <c r="AC253">
        <v>5.0012900229242598</v>
      </c>
      <c r="AD253">
        <v>1.7514500706189099E-2</v>
      </c>
      <c r="AE253">
        <v>3.6057875380039301</v>
      </c>
    </row>
    <row r="254" spans="1:31" x14ac:dyDescent="0.2">
      <c r="A254">
        <v>253</v>
      </c>
      <c r="B254">
        <v>780</v>
      </c>
      <c r="C254">
        <v>105</v>
      </c>
      <c r="D254">
        <v>0.49696671889094501</v>
      </c>
      <c r="E254">
        <v>23.526810573831401</v>
      </c>
      <c r="F254">
        <v>2.2192243360173101</v>
      </c>
      <c r="G254">
        <v>-382.73313746616975</v>
      </c>
      <c r="H254">
        <v>-321.55341810389757</v>
      </c>
      <c r="I254">
        <v>58.092123023569499</v>
      </c>
      <c r="J254">
        <v>31.146473366201501</v>
      </c>
      <c r="K254">
        <v>10.6013665189222</v>
      </c>
      <c r="L254">
        <v>1.1906970867040066E-4</v>
      </c>
      <c r="M254">
        <v>1.6095985062377145E-5</v>
      </c>
      <c r="N254" s="1">
        <v>4.9072088143109197E-7</v>
      </c>
      <c r="O254" s="1">
        <v>1.5927358643236101E-8</v>
      </c>
      <c r="P254" s="1">
        <v>-7.73024880362108E-8</v>
      </c>
      <c r="Q254">
        <v>74.277485946315906</v>
      </c>
      <c r="R254">
        <v>0.17121152131362299</v>
      </c>
      <c r="S254">
        <v>12.097276242405799</v>
      </c>
      <c r="T254">
        <v>0.266124676049669</v>
      </c>
      <c r="V254">
        <v>0.61892439814159395</v>
      </c>
      <c r="W254">
        <v>0.102011277409096</v>
      </c>
      <c r="X254">
        <v>0.19422343191560901</v>
      </c>
      <c r="AA254">
        <v>0.56938106528927701</v>
      </c>
      <c r="AB254">
        <v>3.0499820120844001</v>
      </c>
      <c r="AC254">
        <v>5.0334489230948503</v>
      </c>
      <c r="AD254">
        <v>2.5502819352228898E-2</v>
      </c>
      <c r="AE254">
        <v>3.5944276866278799</v>
      </c>
    </row>
    <row r="255" spans="1:31" x14ac:dyDescent="0.2">
      <c r="A255">
        <v>254</v>
      </c>
      <c r="B255">
        <v>779</v>
      </c>
      <c r="C255">
        <v>105</v>
      </c>
      <c r="D255">
        <v>0.49642208810530802</v>
      </c>
      <c r="E255">
        <v>15.8999024248906</v>
      </c>
      <c r="F255">
        <v>2.2212782317359498</v>
      </c>
      <c r="G255">
        <v>-258.61619832938163</v>
      </c>
      <c r="H255">
        <v>-217.35808196895607</v>
      </c>
      <c r="I255">
        <v>39.213150558784903</v>
      </c>
      <c r="J255">
        <v>21.057018216350301</v>
      </c>
      <c r="K255">
        <v>7.15799677758723</v>
      </c>
      <c r="L255">
        <v>1.1891526204571996E-4</v>
      </c>
      <c r="M255">
        <v>1.6081232258593045E-5</v>
      </c>
      <c r="N255" s="1">
        <v>3.3110731534886E-7</v>
      </c>
      <c r="O255" s="1">
        <v>1.0729233697444801E-8</v>
      </c>
      <c r="P255" s="1">
        <v>-5.1977467164079701E-8</v>
      </c>
      <c r="Q255">
        <v>74.101971163568606</v>
      </c>
      <c r="R255">
        <v>0.19729821562820299</v>
      </c>
      <c r="S255">
        <v>12.2622632158341</v>
      </c>
      <c r="T255">
        <v>0.25545538667012901</v>
      </c>
      <c r="V255">
        <v>0.59619429288759196</v>
      </c>
      <c r="W255">
        <v>0.15094432254131099</v>
      </c>
      <c r="X255">
        <v>0.21744960869270599</v>
      </c>
      <c r="AA255">
        <v>0.58472913234272395</v>
      </c>
      <c r="AB255">
        <v>2.9425461128941302</v>
      </c>
      <c r="AC255">
        <v>5.0688452601504501</v>
      </c>
      <c r="AD255">
        <v>3.7736080635248401E-2</v>
      </c>
      <c r="AE255">
        <v>3.58456720815468</v>
      </c>
    </row>
    <row r="256" spans="1:31" x14ac:dyDescent="0.2">
      <c r="A256">
        <v>255</v>
      </c>
      <c r="B256">
        <v>778</v>
      </c>
      <c r="C256">
        <v>105</v>
      </c>
      <c r="D256">
        <v>0.49587642106264601</v>
      </c>
      <c r="E256">
        <v>11.4591395199286</v>
      </c>
      <c r="F256">
        <v>2.2233069991330101</v>
      </c>
      <c r="G256">
        <v>-186.34909628624666</v>
      </c>
      <c r="H256">
        <v>-156.67623238443193</v>
      </c>
      <c r="I256">
        <v>28.2289529580124</v>
      </c>
      <c r="J256">
        <v>15.1806934721819</v>
      </c>
      <c r="K256">
        <v>5.1540968136191703</v>
      </c>
      <c r="L256">
        <v>1.1881391012318662E-4</v>
      </c>
      <c r="M256">
        <v>1.6076028351357479E-5</v>
      </c>
      <c r="N256" s="1">
        <v>2.3844969175378998E-7</v>
      </c>
      <c r="O256" s="1">
        <v>7.7135863440830697E-9</v>
      </c>
      <c r="P256" s="1">
        <v>-3.7286049525250001E-8</v>
      </c>
      <c r="Q256">
        <v>73.903499064598805</v>
      </c>
      <c r="R256">
        <v>0.22037616165246601</v>
      </c>
      <c r="S256">
        <v>12.4633316854529</v>
      </c>
      <c r="T256">
        <v>0.246428923407363</v>
      </c>
      <c r="V256">
        <v>0.57767784976941805</v>
      </c>
      <c r="W256">
        <v>0.20943980966668599</v>
      </c>
      <c r="X256">
        <v>0.22115804838023001</v>
      </c>
      <c r="AA256">
        <v>0.59310010035319805</v>
      </c>
      <c r="AB256">
        <v>2.8358214665296799</v>
      </c>
      <c r="AC256">
        <v>5.0990413945366901</v>
      </c>
      <c r="AD256">
        <v>5.23599524165499E-2</v>
      </c>
      <c r="AE256">
        <v>3.5777655432358602</v>
      </c>
    </row>
    <row r="257" spans="1:31" x14ac:dyDescent="0.2">
      <c r="A257">
        <v>256</v>
      </c>
      <c r="B257">
        <v>777</v>
      </c>
      <c r="C257">
        <v>105</v>
      </c>
      <c r="D257">
        <v>0.49532971480264998</v>
      </c>
      <c r="E257">
        <v>8.9899105361306493</v>
      </c>
      <c r="F257">
        <v>2.2251894957243401</v>
      </c>
      <c r="G257">
        <v>-146.16566085766769</v>
      </c>
      <c r="H257">
        <v>-122.93271417258724</v>
      </c>
      <c r="I257">
        <v>22.123455396924602</v>
      </c>
      <c r="J257">
        <v>11.913578885452299</v>
      </c>
      <c r="K257">
        <v>4.0400651510375001</v>
      </c>
      <c r="L257">
        <v>1.1876186616000461E-4</v>
      </c>
      <c r="M257">
        <v>1.6076123856239944E-5</v>
      </c>
      <c r="N257" s="1">
        <v>1.87070898760147E-7</v>
      </c>
      <c r="O257" s="1">
        <v>6.0407963372115501E-9</v>
      </c>
      <c r="P257" s="1">
        <v>-2.9140113083871E-8</v>
      </c>
      <c r="Q257">
        <v>73.709838514276001</v>
      </c>
      <c r="R257">
        <v>0.23682530512672501</v>
      </c>
      <c r="S257">
        <v>12.6602903770443</v>
      </c>
      <c r="T257">
        <v>0.23952568837621999</v>
      </c>
      <c r="V257">
        <v>0.563928476731965</v>
      </c>
      <c r="W257">
        <v>0.26696594925522499</v>
      </c>
      <c r="X257">
        <v>0.22362229405023101</v>
      </c>
      <c r="AA257">
        <v>0.59742990911381999</v>
      </c>
      <c r="AB257">
        <v>2.7412808113140299</v>
      </c>
      <c r="AC257">
        <v>5.1198087082095904</v>
      </c>
      <c r="AD257">
        <v>6.6741487313634801E-2</v>
      </c>
      <c r="AE257">
        <v>3.57374247918822</v>
      </c>
    </row>
    <row r="258" spans="1:31" x14ac:dyDescent="0.2">
      <c r="A258">
        <v>257</v>
      </c>
      <c r="B258">
        <v>815</v>
      </c>
      <c r="C258">
        <v>90</v>
      </c>
      <c r="D258">
        <v>0.53056150346919295</v>
      </c>
      <c r="E258">
        <v>102.323332245657</v>
      </c>
      <c r="F258">
        <v>2.2051176828204602</v>
      </c>
      <c r="G258">
        <v>-1680.0189915287422</v>
      </c>
      <c r="H258">
        <v>-1400.3964142106913</v>
      </c>
      <c r="I258">
        <v>256.97061739470701</v>
      </c>
      <c r="J258">
        <v>135.933383860985</v>
      </c>
      <c r="K258">
        <v>46.402662788854002</v>
      </c>
      <c r="L258">
        <v>1.1696092708744082E-4</v>
      </c>
      <c r="M258">
        <v>1.611151994863241E-5</v>
      </c>
      <c r="N258" s="1">
        <v>1.9637905777042301E-6</v>
      </c>
      <c r="O258" s="1">
        <v>6.8601328101623895E-8</v>
      </c>
      <c r="P258" s="1">
        <v>-3.2391692129450097E-7</v>
      </c>
      <c r="Q258">
        <v>74.626185762499802</v>
      </c>
      <c r="R258">
        <v>6.7433300387780004E-2</v>
      </c>
      <c r="S258">
        <v>12.3627717377602</v>
      </c>
      <c r="T258">
        <v>0.153871502275298</v>
      </c>
      <c r="V258">
        <v>0.36973771633646801</v>
      </c>
      <c r="W258">
        <v>2.3455061004444999E-2</v>
      </c>
      <c r="X258">
        <v>4.8864710425928097E-2</v>
      </c>
      <c r="AA258">
        <v>0.52773887260001595</v>
      </c>
      <c r="AB258">
        <v>3.87985800781862</v>
      </c>
      <c r="AC258">
        <v>4.5053263012704603</v>
      </c>
      <c r="AD258">
        <v>5.8637652511111501E-3</v>
      </c>
      <c r="AE258">
        <v>3.4288932623697699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F551A-AEAF-4E00-A0E8-4B2F7A591688}">
  <sheetPr codeName="Sheet5"/>
  <dimension ref="A1:P258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3.8651671527062001</v>
      </c>
      <c r="F3">
        <v>0.60069908635206304</v>
      </c>
      <c r="G3">
        <v>-82.640175210913668</v>
      </c>
      <c r="H3">
        <v>-49.512729931394695</v>
      </c>
      <c r="I3">
        <v>32.191186028219001</v>
      </c>
      <c r="J3">
        <v>14.3371878930545</v>
      </c>
      <c r="K3">
        <v>6.4344481963151701</v>
      </c>
      <c r="L3">
        <v>1.1063432971336173E-3</v>
      </c>
      <c r="M3">
        <v>1.6577449469837026E-4</v>
      </c>
      <c r="N3" s="1">
        <v>4.7386395406977304E-6</v>
      </c>
      <c r="O3" s="1">
        <v>7.6834124649221299E-7</v>
      </c>
      <c r="P3" s="1">
        <v>-3.1249687334952899E-6</v>
      </c>
    </row>
    <row r="4" spans="1:16" x14ac:dyDescent="0.2">
      <c r="A4">
        <v>3</v>
      </c>
      <c r="B4">
        <v>755</v>
      </c>
      <c r="C4">
        <v>300</v>
      </c>
      <c r="D4">
        <v>0.27440597189125798</v>
      </c>
      <c r="E4">
        <v>4.0943888288450401</v>
      </c>
      <c r="F4">
        <v>0.62663465339989899</v>
      </c>
      <c r="G4">
        <v>-86.408717853397903</v>
      </c>
      <c r="H4">
        <v>-52.77925681641571</v>
      </c>
      <c r="I4">
        <v>32.7107736936577</v>
      </c>
      <c r="J4">
        <v>14.6412125676065</v>
      </c>
      <c r="K4">
        <v>6.5339329809328701</v>
      </c>
      <c r="L4">
        <v>1.0924352746884576E-3</v>
      </c>
      <c r="M4">
        <v>1.6333628823152918E-4</v>
      </c>
      <c r="N4" s="1">
        <v>4.78543452768638E-6</v>
      </c>
      <c r="O4" s="1">
        <v>7.6823865652934503E-7</v>
      </c>
      <c r="P4" s="1">
        <v>-3.1334294740928902E-6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4.3224608115969598</v>
      </c>
      <c r="F5">
        <v>0.65167845136963998</v>
      </c>
      <c r="G5">
        <v>-90.157035791965882</v>
      </c>
      <c r="H5">
        <v>-56.030105144682786</v>
      </c>
      <c r="I5">
        <v>33.2269470383699</v>
      </c>
      <c r="J5">
        <v>14.9436453094889</v>
      </c>
      <c r="K5">
        <v>6.63281224430912</v>
      </c>
      <c r="L5">
        <v>1.0790092422355657E-3</v>
      </c>
      <c r="M5">
        <v>1.6097936839330409E-4</v>
      </c>
      <c r="N5" s="1">
        <v>4.8323497656759902E-6</v>
      </c>
      <c r="O5" s="1">
        <v>7.6810092940987499E-7</v>
      </c>
      <c r="P5" s="1">
        <v>-3.1417749513660601E-6</v>
      </c>
    </row>
    <row r="6" spans="1:16" x14ac:dyDescent="0.2">
      <c r="A6">
        <v>5</v>
      </c>
      <c r="B6">
        <v>753</v>
      </c>
      <c r="C6">
        <v>300</v>
      </c>
      <c r="D6">
        <v>0.27285533304097898</v>
      </c>
      <c r="E6">
        <v>4.5493927866668598</v>
      </c>
      <c r="F6">
        <v>0.67587746391394299</v>
      </c>
      <c r="G6">
        <v>-93.885299142594718</v>
      </c>
      <c r="H6">
        <v>-59.26540758017844</v>
      </c>
      <c r="I6">
        <v>33.739732578321203</v>
      </c>
      <c r="J6">
        <v>15.244498534676399</v>
      </c>
      <c r="K6">
        <v>6.73109110684317</v>
      </c>
      <c r="L6">
        <v>1.0660396859413371E-3</v>
      </c>
      <c r="M6">
        <v>1.5869946004871499E-4</v>
      </c>
      <c r="N6" s="1">
        <v>4.8793829949322997E-6</v>
      </c>
      <c r="O6" s="1">
        <v>7.6792841031597201E-7</v>
      </c>
      <c r="P6" s="1">
        <v>-3.1500054248873501E-6</v>
      </c>
    </row>
    <row r="7" spans="1:16" x14ac:dyDescent="0.2">
      <c r="A7">
        <v>6</v>
      </c>
      <c r="B7">
        <v>752</v>
      </c>
      <c r="C7">
        <v>300</v>
      </c>
      <c r="D7">
        <v>0.27207774472028401</v>
      </c>
      <c r="E7">
        <v>4.7751943349060202</v>
      </c>
      <c r="F7">
        <v>0.69927543253815705</v>
      </c>
      <c r="G7">
        <v>-97.593676172109284</v>
      </c>
      <c r="H7">
        <v>-62.485295352936681</v>
      </c>
      <c r="I7">
        <v>34.249156527916703</v>
      </c>
      <c r="J7">
        <v>15.5437845144699</v>
      </c>
      <c r="K7">
        <v>6.8287746325843504</v>
      </c>
      <c r="L7">
        <v>1.0535028524034232E-3</v>
      </c>
      <c r="M7">
        <v>1.564925832056887E-4</v>
      </c>
      <c r="N7" s="1">
        <v>4.9265319415019897E-6</v>
      </c>
      <c r="O7" s="1">
        <v>7.6772144194077698E-7</v>
      </c>
      <c r="P7" s="1">
        <v>-3.15812115166159E-6</v>
      </c>
    </row>
    <row r="8" spans="1:16" x14ac:dyDescent="0.2">
      <c r="A8">
        <v>7</v>
      </c>
      <c r="B8">
        <v>751</v>
      </c>
      <c r="C8">
        <v>300</v>
      </c>
      <c r="D8">
        <v>0.27129863789483999</v>
      </c>
      <c r="E8">
        <v>4.9998749307629904</v>
      </c>
      <c r="F8">
        <v>0.72191313125312595</v>
      </c>
      <c r="G8">
        <v>-101.28233327381264</v>
      </c>
      <c r="H8">
        <v>-65.689898236367441</v>
      </c>
      <c r="I8">
        <v>34.755244796875097</v>
      </c>
      <c r="J8">
        <v>15.841515373435101</v>
      </c>
      <c r="K8">
        <v>6.9258678285626996</v>
      </c>
      <c r="L8">
        <v>1.0413765995329451E-3</v>
      </c>
      <c r="M8">
        <v>1.5435502801099195E-4</v>
      </c>
      <c r="N8" s="1">
        <v>4.97379431704909E-6</v>
      </c>
      <c r="O8" s="1">
        <v>7.6748036448589599E-7</v>
      </c>
      <c r="P8" s="1">
        <v>-3.1661223860709099E-6</v>
      </c>
    </row>
    <row r="9" spans="1:16" x14ac:dyDescent="0.2">
      <c r="A9">
        <v>8</v>
      </c>
      <c r="B9">
        <v>750</v>
      </c>
      <c r="C9">
        <v>300</v>
      </c>
      <c r="D9">
        <v>0.270518008112205</v>
      </c>
      <c r="E9">
        <v>5.2234439506328201</v>
      </c>
      <c r="F9">
        <v>0.74382861466736405</v>
      </c>
      <c r="G9">
        <v>-104.95143510807624</v>
      </c>
      <c r="H9">
        <v>-68.879344664807462</v>
      </c>
      <c r="I9">
        <v>35.258023011258203</v>
      </c>
      <c r="J9">
        <v>16.137703100718301</v>
      </c>
      <c r="K9">
        <v>7.0223756489506801</v>
      </c>
      <c r="L9">
        <v>1.0296402618320372E-3</v>
      </c>
      <c r="M9">
        <v>1.5228333217063794E-4</v>
      </c>
      <c r="N9" s="1">
        <v>5.0211678196362104E-6</v>
      </c>
      <c r="O9" s="1">
        <v>7.67205515804823E-7</v>
      </c>
      <c r="P9" s="1">
        <v>-3.1740093804224498E-6</v>
      </c>
    </row>
    <row r="10" spans="1:16" x14ac:dyDescent="0.2">
      <c r="A10">
        <v>9</v>
      </c>
      <c r="B10">
        <v>749</v>
      </c>
      <c r="C10">
        <v>300</v>
      </c>
      <c r="D10">
        <v>0.26973585090251001</v>
      </c>
      <c r="E10">
        <v>5.4459106677730897</v>
      </c>
      <c r="F10">
        <v>0.76505744043486601</v>
      </c>
      <c r="G10">
        <v>-108.60114451881331</v>
      </c>
      <c r="H10">
        <v>-72.053761660852828</v>
      </c>
      <c r="I10">
        <v>35.757516501458397</v>
      </c>
      <c r="J10">
        <v>16.432359543117101</v>
      </c>
      <c r="K10">
        <v>7.1183029926191903</v>
      </c>
      <c r="L10">
        <v>1.0182745296305059E-3</v>
      </c>
      <c r="M10">
        <v>1.5027426069574279E-4</v>
      </c>
      <c r="N10" s="1">
        <v>5.0686501331921296E-6</v>
      </c>
      <c r="O10" s="1">
        <v>7.6689723133960498E-7</v>
      </c>
      <c r="P10" s="1">
        <v>-3.1817823846478801E-6</v>
      </c>
    </row>
    <row r="11" spans="1:16" x14ac:dyDescent="0.2">
      <c r="A11">
        <v>10</v>
      </c>
      <c r="B11">
        <v>748</v>
      </c>
      <c r="C11">
        <v>300</v>
      </c>
      <c r="D11">
        <v>0.26895216177838999</v>
      </c>
      <c r="E11">
        <v>5.6672842584549397</v>
      </c>
      <c r="F11">
        <v>0.78563287118068303</v>
      </c>
      <c r="G11">
        <v>-112.23162263685344</v>
      </c>
      <c r="H11">
        <v>-75.213274921951182</v>
      </c>
      <c r="I11">
        <v>36.253750317187198</v>
      </c>
      <c r="J11">
        <v>16.725496413167999</v>
      </c>
      <c r="K11">
        <v>7.2136547060943403</v>
      </c>
      <c r="L11">
        <v>1.0072613394358093E-3</v>
      </c>
      <c r="M11">
        <v>1.4832478752414222E-4</v>
      </c>
      <c r="N11" s="1">
        <v>5.1162389279710298E-6</v>
      </c>
      <c r="O11" s="1">
        <v>7.6655584421067797E-7</v>
      </c>
      <c r="P11" s="1">
        <v>-3.18944164663483E-6</v>
      </c>
    </row>
    <row r="12" spans="1:16" x14ac:dyDescent="0.2">
      <c r="A12">
        <v>11</v>
      </c>
      <c r="B12">
        <v>747</v>
      </c>
      <c r="C12">
        <v>300</v>
      </c>
      <c r="D12">
        <v>0.26816693623486898</v>
      </c>
      <c r="E12">
        <v>5.8875737998534703</v>
      </c>
      <c r="F12">
        <v>0.80558605645588799</v>
      </c>
      <c r="G12">
        <v>-115.84302884613204</v>
      </c>
      <c r="H12">
        <v>-78.358008789832581</v>
      </c>
      <c r="I12">
        <v>36.746749222921203</v>
      </c>
      <c r="J12">
        <v>17.0171252863144</v>
      </c>
      <c r="K12">
        <v>7.3084355826060099</v>
      </c>
      <c r="L12">
        <v>9.9658377514762436E-4</v>
      </c>
      <c r="M12">
        <v>1.4643207895442971E-4</v>
      </c>
      <c r="N12" s="1">
        <v>5.1639318603405697E-6</v>
      </c>
      <c r="O12" s="1">
        <v>7.6618168520363902E-7</v>
      </c>
      <c r="P12" s="1">
        <v>-3.1969874121332901E-6</v>
      </c>
    </row>
    <row r="13" spans="1:16" x14ac:dyDescent="0.2">
      <c r="A13">
        <v>12</v>
      </c>
      <c r="B13">
        <v>746</v>
      </c>
      <c r="C13">
        <v>300</v>
      </c>
      <c r="D13">
        <v>0.26738016974930101</v>
      </c>
      <c r="E13">
        <v>6.1067882736844803</v>
      </c>
      <c r="F13">
        <v>0.82494619810498404</v>
      </c>
      <c r="G13">
        <v>-119.43552084586418</v>
      </c>
      <c r="H13">
        <v>-81.488086301294203</v>
      </c>
      <c r="I13">
        <v>37.236537707678302</v>
      </c>
      <c r="J13">
        <v>17.307257605979601</v>
      </c>
      <c r="K13">
        <v>7.4026503640026702</v>
      </c>
      <c r="L13">
        <v>9.8622597826455538E-4</v>
      </c>
      <c r="M13">
        <v>1.4459347859369681E-4</v>
      </c>
      <c r="N13" s="1">
        <v>5.2117265732090801E-6</v>
      </c>
      <c r="O13" s="1">
        <v>7.6577508284990203E-7</v>
      </c>
      <c r="P13" s="1">
        <v>-3.2044199250540601E-6</v>
      </c>
    </row>
    <row r="14" spans="1:16" x14ac:dyDescent="0.2">
      <c r="A14">
        <v>13</v>
      </c>
      <c r="B14">
        <v>745</v>
      </c>
      <c r="C14">
        <v>300</v>
      </c>
      <c r="D14">
        <v>0.26659185778126798</v>
      </c>
      <c r="E14">
        <v>6.3249365668779403</v>
      </c>
      <c r="F14">
        <v>0.84374070015076497</v>
      </c>
      <c r="G14">
        <v>-123.00925466198406</v>
      </c>
      <c r="H14">
        <v>-84.603629197393147</v>
      </c>
      <c r="I14">
        <v>37.723139985871498</v>
      </c>
      <c r="J14">
        <v>17.5959046839473</v>
      </c>
      <c r="K14">
        <v>7.4963037408859901</v>
      </c>
      <c r="L14">
        <v>9.7617306650356545E-4</v>
      </c>
      <c r="M14">
        <v>1.4280649371301298E-4</v>
      </c>
      <c r="N14" s="1">
        <v>5.25962069581234E-6</v>
      </c>
      <c r="O14" s="1">
        <v>7.6533636341201703E-7</v>
      </c>
      <c r="P14" s="1">
        <v>-3.21173942737128E-6</v>
      </c>
    </row>
    <row r="15" spans="1:16" x14ac:dyDescent="0.2">
      <c r="A15">
        <v>14</v>
      </c>
      <c r="B15">
        <v>744</v>
      </c>
      <c r="C15">
        <v>300</v>
      </c>
      <c r="D15">
        <v>0.26580199577250502</v>
      </c>
      <c r="E15">
        <v>6.5420274722032499</v>
      </c>
      <c r="F15">
        <v>0.86199530499249</v>
      </c>
      <c r="G15">
        <v>-126.56438465985963</v>
      </c>
      <c r="H15">
        <v>-87.704757931363829</v>
      </c>
      <c r="I15">
        <v>38.206580000675402</v>
      </c>
      <c r="J15">
        <v>17.883077701746</v>
      </c>
      <c r="K15">
        <v>7.5894003532423397</v>
      </c>
      <c r="L15">
        <v>9.6641105985249484E-4</v>
      </c>
      <c r="M15">
        <v>1.4106878284841592E-4</v>
      </c>
      <c r="N15" s="1">
        <v>5.3076118440431097E-6</v>
      </c>
      <c r="O15" s="1">
        <v>7.6486585094814695E-7</v>
      </c>
      <c r="P15" s="1">
        <v>-3.2189461593566399E-6</v>
      </c>
    </row>
    <row r="16" spans="1:16" x14ac:dyDescent="0.2">
      <c r="A16">
        <v>15</v>
      </c>
      <c r="B16">
        <v>743</v>
      </c>
      <c r="C16">
        <v>300</v>
      </c>
      <c r="D16">
        <v>0.265010579146782</v>
      </c>
      <c r="E16">
        <v>6.7580696913576199</v>
      </c>
      <c r="F16">
        <v>0.87973421765725701</v>
      </c>
      <c r="G16">
        <v>-130.10106359545037</v>
      </c>
      <c r="H16">
        <v>-90.791591712189458</v>
      </c>
      <c r="I16">
        <v>38.686881430157399</v>
      </c>
      <c r="J16">
        <v>18.168787714055</v>
      </c>
      <c r="K16">
        <v>7.6819447916376804</v>
      </c>
      <c r="L16">
        <v>9.5692681310102052E-4</v>
      </c>
      <c r="M16">
        <v>1.3937814449150441E-4</v>
      </c>
      <c r="N16" s="1">
        <v>5.3556976203668496E-6</v>
      </c>
      <c r="O16" s="1">
        <v>7.6436386731437696E-7</v>
      </c>
      <c r="P16" s="1">
        <v>-3.2260403595548998E-6</v>
      </c>
    </row>
    <row r="17" spans="1:16" x14ac:dyDescent="0.2">
      <c r="A17">
        <v>16</v>
      </c>
      <c r="B17">
        <v>742</v>
      </c>
      <c r="C17">
        <v>300</v>
      </c>
      <c r="D17">
        <v>0.264217603309855</v>
      </c>
      <c r="E17">
        <v>6.9730718334638198</v>
      </c>
      <c r="F17">
        <v>0.89698021868043099</v>
      </c>
      <c r="G17">
        <v>-133.61944259232703</v>
      </c>
      <c r="H17">
        <v>-93.864248482447621</v>
      </c>
      <c r="I17">
        <v>39.1640676851584</v>
      </c>
      <c r="J17">
        <v>18.453045647094601</v>
      </c>
      <c r="K17">
        <v>7.7739415967523504</v>
      </c>
      <c r="L17">
        <v>9.4770795455860718E-4</v>
      </c>
      <c r="M17">
        <v>1.3773250681183672E-4</v>
      </c>
      <c r="N17" s="1">
        <v>5.40387561388995E-6</v>
      </c>
      <c r="O17" s="1">
        <v>7.6383073218873703E-7</v>
      </c>
      <c r="P17" s="1">
        <v>-3.2330222648514698E-6</v>
      </c>
    </row>
    <row r="18" spans="1:16" x14ac:dyDescent="0.2">
      <c r="A18">
        <v>17</v>
      </c>
      <c r="B18">
        <v>741</v>
      </c>
      <c r="C18">
        <v>300</v>
      </c>
      <c r="D18">
        <v>0.26342306364936202</v>
      </c>
      <c r="E18">
        <v>7.1870424191486597</v>
      </c>
      <c r="F18">
        <v>0.91375476759755103</v>
      </c>
      <c r="G18">
        <v>-137.11967121067067</v>
      </c>
      <c r="H18">
        <v>-96.922844975539192</v>
      </c>
      <c r="I18">
        <v>39.638161919581201</v>
      </c>
      <c r="J18">
        <v>18.7358623040871</v>
      </c>
      <c r="K18">
        <v>7.8653952614057197</v>
      </c>
      <c r="L18">
        <v>9.3874282985591999E-4</v>
      </c>
      <c r="M18">
        <v>1.3612991823760935E-4</v>
      </c>
      <c r="N18" s="1">
        <v>5.4521434007377697E-6</v>
      </c>
      <c r="O18" s="1">
        <v>7.6326676314033598E-7</v>
      </c>
      <c r="P18" s="1">
        <v>-3.2398921107306799E-6</v>
      </c>
    </row>
    <row r="19" spans="1:16" x14ac:dyDescent="0.2">
      <c r="A19">
        <v>18</v>
      </c>
      <c r="B19">
        <v>740</v>
      </c>
      <c r="C19">
        <v>300</v>
      </c>
      <c r="D19">
        <v>0.26262695553471999</v>
      </c>
      <c r="E19">
        <v>7.3999898804236901</v>
      </c>
      <c r="F19">
        <v>0.93007809728401702</v>
      </c>
      <c r="G19">
        <v>-140.60189744552972</v>
      </c>
      <c r="H19">
        <v>-99.967496713657539</v>
      </c>
      <c r="I19">
        <v>40.109187029406897</v>
      </c>
      <c r="J19">
        <v>19.017248364616702</v>
      </c>
      <c r="K19">
        <v>7.9563102303267801</v>
      </c>
      <c r="L19">
        <v>9.3002045072465502E-4</v>
      </c>
      <c r="M19">
        <v>1.3456853886709887E-4</v>
      </c>
      <c r="N19" s="1">
        <v>5.5004985438155204E-6</v>
      </c>
      <c r="O19" s="1">
        <v>7.6267227560608504E-7</v>
      </c>
      <c r="P19" s="1">
        <v>-3.2466501311470701E-6</v>
      </c>
    </row>
    <row r="20" spans="1:16" x14ac:dyDescent="0.2">
      <c r="A20">
        <v>19</v>
      </c>
      <c r="B20">
        <v>739</v>
      </c>
      <c r="C20">
        <v>300</v>
      </c>
      <c r="D20">
        <v>0.261829274317047</v>
      </c>
      <c r="E20">
        <v>7.6119225620516202</v>
      </c>
      <c r="F20">
        <v>0.94596930038226701</v>
      </c>
      <c r="G20">
        <v>-144.0662677513796</v>
      </c>
      <c r="H20">
        <v>-102.99831802637748</v>
      </c>
      <c r="I20">
        <v>40.577165657319398</v>
      </c>
      <c r="J20">
        <v>19.297214386812598</v>
      </c>
      <c r="K20">
        <v>8.0466909010425898</v>
      </c>
      <c r="L20">
        <v>9.2153044807156579E-4</v>
      </c>
      <c r="M20">
        <v>1.3304663260095553E-4</v>
      </c>
      <c r="N20" s="1">
        <v>5.5489385931200797E-6</v>
      </c>
      <c r="O20" s="1">
        <v>7.62047582948425E-7</v>
      </c>
      <c r="P20" s="1">
        <v>-3.25329655873892E-6</v>
      </c>
    </row>
    <row r="21" spans="1:16" x14ac:dyDescent="0.2">
      <c r="A21">
        <v>20</v>
      </c>
      <c r="B21">
        <v>738</v>
      </c>
      <c r="C21">
        <v>300</v>
      </c>
      <c r="D21">
        <v>0.26103001532908299</v>
      </c>
      <c r="E21">
        <v>11.6124265418847</v>
      </c>
      <c r="F21">
        <v>1.17078790826601</v>
      </c>
      <c r="G21">
        <v>-208.94966062848565</v>
      </c>
      <c r="H21">
        <v>-158.28310419530379</v>
      </c>
      <c r="I21">
        <v>50.110188841221103</v>
      </c>
      <c r="J21">
        <v>24.634045419309398</v>
      </c>
      <c r="K21">
        <v>9.9184715351931505</v>
      </c>
      <c r="L21">
        <v>7.9421940717289271E-4</v>
      </c>
      <c r="M21">
        <v>1.142372461866385E-4</v>
      </c>
      <c r="N21" s="1">
        <v>5.8863644137124797E-6</v>
      </c>
      <c r="O21" s="1">
        <v>8.0438886598530804E-7</v>
      </c>
      <c r="P21" s="1">
        <v>-3.4437764163293099E-6</v>
      </c>
    </row>
    <row r="22" spans="1:16" x14ac:dyDescent="0.2">
      <c r="A22">
        <v>21</v>
      </c>
      <c r="B22">
        <v>737</v>
      </c>
      <c r="C22">
        <v>300</v>
      </c>
      <c r="D22">
        <v>0.260229173885068</v>
      </c>
      <c r="E22">
        <v>16.881498372907998</v>
      </c>
      <c r="F22">
        <v>1.36169081366703</v>
      </c>
      <c r="G22">
        <v>-294.51993341511979</v>
      </c>
      <c r="H22">
        <v>-231.1369349356564</v>
      </c>
      <c r="I22">
        <v>62.748641048421398</v>
      </c>
      <c r="J22">
        <v>31.7050505850349</v>
      </c>
      <c r="K22">
        <v>12.3974533744897</v>
      </c>
      <c r="L22">
        <v>6.8621595448600608E-4</v>
      </c>
      <c r="M22">
        <v>9.8299929924141883E-5</v>
      </c>
      <c r="N22" s="1">
        <v>6.3316400595008296E-6</v>
      </c>
      <c r="O22" s="1">
        <v>8.6260489275916701E-7</v>
      </c>
      <c r="P22" s="1">
        <v>-3.7034236946695098E-6</v>
      </c>
    </row>
    <row r="23" spans="1:16" x14ac:dyDescent="0.2">
      <c r="A23">
        <v>22</v>
      </c>
      <c r="B23">
        <v>736</v>
      </c>
      <c r="C23">
        <v>300</v>
      </c>
      <c r="D23">
        <v>0.25942674528068399</v>
      </c>
      <c r="E23">
        <v>37.413967548185603</v>
      </c>
      <c r="F23">
        <v>1.67998895004843</v>
      </c>
      <c r="G23">
        <v>-630.54287870610119</v>
      </c>
      <c r="H23">
        <v>-516.12625258149353</v>
      </c>
      <c r="I23">
        <v>113.382519826075</v>
      </c>
      <c r="J23">
        <v>59.923894451056</v>
      </c>
      <c r="K23">
        <v>22.270365258716101</v>
      </c>
      <c r="L23">
        <v>5.0828443454157895E-4</v>
      </c>
      <c r="M23">
        <v>7.222580855217444E-5</v>
      </c>
      <c r="N23" s="1">
        <v>8.1498878766621707E-6</v>
      </c>
      <c r="O23" s="1">
        <v>1.1308167227336601E-6</v>
      </c>
      <c r="P23" s="1">
        <v>-4.8679531613537604E-6</v>
      </c>
    </row>
    <row r="24" spans="1:16" x14ac:dyDescent="0.2">
      <c r="A24">
        <v>23</v>
      </c>
      <c r="B24">
        <v>735</v>
      </c>
      <c r="C24">
        <v>300</v>
      </c>
      <c r="D24">
        <v>0.25862272479293502</v>
      </c>
      <c r="E24">
        <v>52.747480643043197</v>
      </c>
      <c r="F24">
        <v>1.7806335523329899</v>
      </c>
      <c r="G24">
        <v>-881.61069412209474</v>
      </c>
      <c r="H24">
        <v>-729.15718447491929</v>
      </c>
      <c r="I24">
        <v>151.22494226003701</v>
      </c>
      <c r="J24">
        <v>81.166019584446104</v>
      </c>
      <c r="K24">
        <v>29.622872473638999</v>
      </c>
      <c r="L24">
        <v>4.4955375242541049E-4</v>
      </c>
      <c r="M24">
        <v>6.359101572812084E-5</v>
      </c>
      <c r="N24" s="1">
        <v>9.4830961291739896E-6</v>
      </c>
      <c r="O24" s="1">
        <v>1.3193836917910401E-6</v>
      </c>
      <c r="P24" s="1">
        <v>-5.6955452808089697E-6</v>
      </c>
    </row>
    <row r="25" spans="1:16" x14ac:dyDescent="0.2">
      <c r="A25">
        <v>24</v>
      </c>
      <c r="B25">
        <v>734</v>
      </c>
      <c r="C25">
        <v>300</v>
      </c>
      <c r="D25">
        <v>0.25781710768008598</v>
      </c>
      <c r="E25">
        <v>92.564137763213594</v>
      </c>
      <c r="F25">
        <v>1.9031316072487701</v>
      </c>
      <c r="G25">
        <v>-1529.5586753844761</v>
      </c>
      <c r="H25">
        <v>-1278.3931272259917</v>
      </c>
      <c r="I25">
        <v>249.38783622779599</v>
      </c>
      <c r="J25">
        <v>136.16517049216</v>
      </c>
      <c r="K25">
        <v>48.637801721462097</v>
      </c>
      <c r="L25">
        <v>3.8130244188727658E-4</v>
      </c>
      <c r="M25">
        <v>5.3610489740470383E-5</v>
      </c>
      <c r="N25" s="1">
        <v>1.2916756287962501E-5</v>
      </c>
      <c r="O25" s="1">
        <v>1.8163832184546801E-6</v>
      </c>
      <c r="P25" s="1">
        <v>-7.8624820798456307E-6</v>
      </c>
    </row>
    <row r="26" spans="1:16" x14ac:dyDescent="0.2">
      <c r="A26">
        <v>25</v>
      </c>
      <c r="B26">
        <v>733</v>
      </c>
      <c r="C26">
        <v>300</v>
      </c>
      <c r="D26">
        <v>0.257009889181535</v>
      </c>
      <c r="E26">
        <v>99.529532061089995</v>
      </c>
      <c r="F26">
        <v>1.9165181725785201</v>
      </c>
      <c r="G26">
        <v>-1642.7135050009401</v>
      </c>
      <c r="H26">
        <v>-1374.6884655793633</v>
      </c>
      <c r="I26">
        <v>266.39238640947201</v>
      </c>
      <c r="J26">
        <v>145.838918734679</v>
      </c>
      <c r="K26">
        <v>51.932474987795601</v>
      </c>
      <c r="L26">
        <v>3.7363955775449525E-4</v>
      </c>
      <c r="M26">
        <v>5.2394076637272097E-5</v>
      </c>
      <c r="N26" s="1">
        <v>1.35409287572365E-5</v>
      </c>
      <c r="O26" s="1">
        <v>1.8928545465563399E-6</v>
      </c>
      <c r="P26" s="1">
        <v>-8.2168899406315304E-6</v>
      </c>
    </row>
    <row r="27" spans="1:16" x14ac:dyDescent="0.2">
      <c r="A27">
        <v>26</v>
      </c>
      <c r="B27">
        <v>757</v>
      </c>
      <c r="C27">
        <v>285</v>
      </c>
      <c r="D27">
        <v>0.291967674610496</v>
      </c>
      <c r="E27">
        <v>3.94010278347448</v>
      </c>
      <c r="F27">
        <v>0.564464844426534</v>
      </c>
      <c r="G27">
        <v>-85.309342228182715</v>
      </c>
      <c r="H27">
        <v>-50.17266311207964</v>
      </c>
      <c r="I27">
        <v>34.110502242261603</v>
      </c>
      <c r="J27">
        <v>15.155803009778699</v>
      </c>
      <c r="K27">
        <v>6.9802447794200697</v>
      </c>
      <c r="L27">
        <v>1.165136991931093E-3</v>
      </c>
      <c r="M27">
        <v>1.8284864222289883E-4</v>
      </c>
      <c r="N27" s="1">
        <v>5.3400203270652803E-6</v>
      </c>
      <c r="O27" s="1">
        <v>9.8821536357444404E-7</v>
      </c>
      <c r="P27" s="1">
        <v>-3.8059284089220699E-6</v>
      </c>
    </row>
    <row r="28" spans="1:16" x14ac:dyDescent="0.2">
      <c r="A28">
        <v>27</v>
      </c>
      <c r="B28">
        <v>756</v>
      </c>
      <c r="C28">
        <v>285</v>
      </c>
      <c r="D28">
        <v>0.29121167954136901</v>
      </c>
      <c r="E28">
        <v>4.0794719220486702</v>
      </c>
      <c r="F28">
        <v>0.57966376923185503</v>
      </c>
      <c r="G28">
        <v>-87.588788078512934</v>
      </c>
      <c r="H28">
        <v>-52.165352081883128</v>
      </c>
      <c r="I28">
        <v>34.422285612206601</v>
      </c>
      <c r="J28">
        <v>15.3444181937796</v>
      </c>
      <c r="K28">
        <v>7.03765206415195</v>
      </c>
      <c r="L28">
        <v>1.1571620071850282E-3</v>
      </c>
      <c r="M28">
        <v>1.8118422347913993E-4</v>
      </c>
      <c r="N28" s="1">
        <v>5.38895506051815E-6</v>
      </c>
      <c r="O28" s="1">
        <v>9.8673336335354607E-7</v>
      </c>
      <c r="P28" s="1">
        <v>-3.8113705869595802E-6</v>
      </c>
    </row>
    <row r="29" spans="1:16" x14ac:dyDescent="0.2">
      <c r="A29">
        <v>28</v>
      </c>
      <c r="B29">
        <v>755</v>
      </c>
      <c r="C29">
        <v>285</v>
      </c>
      <c r="D29">
        <v>0.29045421387929599</v>
      </c>
      <c r="E29">
        <v>4.3049069142013598</v>
      </c>
      <c r="F29">
        <v>0.60336742837483404</v>
      </c>
      <c r="G29">
        <v>-91.293410677234306</v>
      </c>
      <c r="H29">
        <v>-55.380500334749513</v>
      </c>
      <c r="I29">
        <v>34.931845090167698</v>
      </c>
      <c r="J29">
        <v>15.644354958884501</v>
      </c>
      <c r="K29">
        <v>7.13480163454728</v>
      </c>
      <c r="L29">
        <v>1.1441545533292284E-3</v>
      </c>
      <c r="M29">
        <v>1.7874544980756973E-4</v>
      </c>
      <c r="N29" s="1">
        <v>5.4440196674362899E-6</v>
      </c>
      <c r="O29" s="1">
        <v>9.8631347759664096E-7</v>
      </c>
      <c r="P29" s="1">
        <v>-3.8209336572588903E-6</v>
      </c>
    </row>
    <row r="30" spans="1:16" x14ac:dyDescent="0.2">
      <c r="A30">
        <v>29</v>
      </c>
      <c r="B30">
        <v>754</v>
      </c>
      <c r="C30">
        <v>285</v>
      </c>
      <c r="D30">
        <v>0.28969527332911499</v>
      </c>
      <c r="E30">
        <v>4.5292227459802801</v>
      </c>
      <c r="F30">
        <v>0.62633058917345596</v>
      </c>
      <c r="G30">
        <v>-94.978351409747148</v>
      </c>
      <c r="H30">
        <v>-58.580381089460069</v>
      </c>
      <c r="I30">
        <v>35.438099020663401</v>
      </c>
      <c r="J30">
        <v>15.9427527912835</v>
      </c>
      <c r="K30">
        <v>7.2313612400079599</v>
      </c>
      <c r="L30">
        <v>1.1315570443944049E-3</v>
      </c>
      <c r="M30">
        <v>1.7638016688466282E-4</v>
      </c>
      <c r="N30" s="1">
        <v>5.4992487252514403E-6</v>
      </c>
      <c r="O30" s="1">
        <v>9.8585260666993591E-7</v>
      </c>
      <c r="P30" s="1">
        <v>-3.8303680748610198E-6</v>
      </c>
    </row>
    <row r="31" spans="1:16" x14ac:dyDescent="0.2">
      <c r="A31">
        <v>30</v>
      </c>
      <c r="B31">
        <v>753</v>
      </c>
      <c r="C31">
        <v>285</v>
      </c>
      <c r="D31">
        <v>0.28893485357891502</v>
      </c>
      <c r="E31">
        <v>4.7524286833297698</v>
      </c>
      <c r="F31">
        <v>0.64858889828495703</v>
      </c>
      <c r="G31">
        <v>-98.643773226446569</v>
      </c>
      <c r="H31">
        <v>-61.765121246969201</v>
      </c>
      <c r="I31">
        <v>35.941072870842902</v>
      </c>
      <c r="J31">
        <v>16.239623549735299</v>
      </c>
      <c r="K31">
        <v>7.3273358453967701</v>
      </c>
      <c r="L31">
        <v>1.1193496186470992E-3</v>
      </c>
      <c r="M31">
        <v>1.7408484355196672E-4</v>
      </c>
      <c r="N31" s="1">
        <v>5.55463949943989E-6</v>
      </c>
      <c r="O31" s="1">
        <v>9.8535114360395104E-7</v>
      </c>
      <c r="P31" s="1">
        <v>-3.8396740218713897E-6</v>
      </c>
    </row>
    <row r="32" spans="1:16" x14ac:dyDescent="0.2">
      <c r="A32">
        <v>31</v>
      </c>
      <c r="B32">
        <v>752</v>
      </c>
      <c r="C32">
        <v>285</v>
      </c>
      <c r="D32">
        <v>0.28817295029995899</v>
      </c>
      <c r="E32">
        <v>4.9745338957520797</v>
      </c>
      <c r="F32">
        <v>0.67017575096535698</v>
      </c>
      <c r="G32">
        <v>-102.28983737539043</v>
      </c>
      <c r="H32">
        <v>-64.934846389848445</v>
      </c>
      <c r="I32">
        <v>36.4407918326866</v>
      </c>
      <c r="J32">
        <v>16.5349789613695</v>
      </c>
      <c r="K32">
        <v>7.4227303637687401</v>
      </c>
      <c r="L32">
        <v>1.1075136685996161E-3</v>
      </c>
      <c r="M32">
        <v>1.7185617182130026E-4</v>
      </c>
      <c r="N32" s="1">
        <v>5.61018923646498E-6</v>
      </c>
      <c r="O32" s="1">
        <v>9.8480947906692201E-7</v>
      </c>
      <c r="P32" s="1">
        <v>-3.8488516790409001E-6</v>
      </c>
    </row>
    <row r="33" spans="1:16" x14ac:dyDescent="0.2">
      <c r="A33">
        <v>32</v>
      </c>
      <c r="B33">
        <v>751</v>
      </c>
      <c r="C33">
        <v>285</v>
      </c>
      <c r="D33">
        <v>0.28740955914661298</v>
      </c>
      <c r="E33">
        <v>5.1955474518876503</v>
      </c>
      <c r="F33">
        <v>0.69112246554718904</v>
      </c>
      <c r="G33">
        <v>-105.91670332964569</v>
      </c>
      <c r="H33">
        <v>-68.089680719069491</v>
      </c>
      <c r="I33">
        <v>36.937280812447803</v>
      </c>
      <c r="J33">
        <v>16.828830615603302</v>
      </c>
      <c r="K33">
        <v>7.5175496542051103</v>
      </c>
      <c r="L33">
        <v>1.0960317438343126E-3</v>
      </c>
      <c r="M33">
        <v>1.6969104957594629E-4</v>
      </c>
      <c r="N33" s="1">
        <v>5.6658951633326804E-6</v>
      </c>
      <c r="O33" s="1">
        <v>9.8422800129292207E-7</v>
      </c>
      <c r="P33" s="1">
        <v>-3.8579012254662599E-6</v>
      </c>
    </row>
    <row r="34" spans="1:16" x14ac:dyDescent="0.2">
      <c r="A34">
        <v>33</v>
      </c>
      <c r="B34">
        <v>750</v>
      </c>
      <c r="C34">
        <v>285</v>
      </c>
      <c r="D34">
        <v>0.28664467575624197</v>
      </c>
      <c r="E34">
        <v>5.4154783236970401</v>
      </c>
      <c r="F34">
        <v>0.71145844266316804</v>
      </c>
      <c r="G34">
        <v>-109.52452885827485</v>
      </c>
      <c r="H34">
        <v>-71.229747112608948</v>
      </c>
      <c r="I34">
        <v>37.430564441358399</v>
      </c>
      <c r="J34">
        <v>17.121189969784801</v>
      </c>
      <c r="K34">
        <v>7.6117985239243797</v>
      </c>
      <c r="L34">
        <v>1.0848874622980287E-3</v>
      </c>
      <c r="M34">
        <v>1.6758656479023097E-4</v>
      </c>
      <c r="N34" s="1">
        <v>5.7217544880464404E-6</v>
      </c>
      <c r="O34" s="1">
        <v>9.836070961713409E-7</v>
      </c>
      <c r="P34" s="1">
        <v>-3.8668228389176798E-6</v>
      </c>
    </row>
    <row r="35" spans="1:16" x14ac:dyDescent="0.2">
      <c r="A35">
        <v>34</v>
      </c>
      <c r="B35">
        <v>749</v>
      </c>
      <c r="C35">
        <v>285</v>
      </c>
      <c r="D35">
        <v>0.28587829574915702</v>
      </c>
      <c r="E35">
        <v>5.6343353885674698</v>
      </c>
      <c r="F35">
        <v>0.73121130987705096</v>
      </c>
      <c r="G35">
        <v>-113.11347006267172</v>
      </c>
      <c r="H35">
        <v>-74.355167154667654</v>
      </c>
      <c r="I35">
        <v>37.920667081245902</v>
      </c>
      <c r="J35">
        <v>17.412068352030602</v>
      </c>
      <c r="K35">
        <v>7.7054817293715701</v>
      </c>
      <c r="L35">
        <v>1.0740654297325513E-3</v>
      </c>
      <c r="M35">
        <v>1.6553998119401336E-4</v>
      </c>
      <c r="N35" s="1">
        <v>5.7777643998816903E-6</v>
      </c>
      <c r="O35" s="1">
        <v>9.8294714729917794E-7</v>
      </c>
      <c r="P35" s="1">
        <v>-3.8756166960260804E-6</v>
      </c>
    </row>
    <row r="36" spans="1:16" x14ac:dyDescent="0.2">
      <c r="A36">
        <v>35</v>
      </c>
      <c r="B36">
        <v>748</v>
      </c>
      <c r="C36">
        <v>285</v>
      </c>
      <c r="D36">
        <v>0.28511041472849202</v>
      </c>
      <c r="E36">
        <v>5.8521274291915297</v>
      </c>
      <c r="F36">
        <v>0.75040705324162904</v>
      </c>
      <c r="G36">
        <v>-116.68368137576009</v>
      </c>
      <c r="H36">
        <v>-77.466061133321617</v>
      </c>
      <c r="I36">
        <v>38.407612824729597</v>
      </c>
      <c r="J36">
        <v>17.701476961066898</v>
      </c>
      <c r="K36">
        <v>7.7986039762171098</v>
      </c>
      <c r="L36">
        <v>1.0635511663939722E-3</v>
      </c>
      <c r="M36">
        <v>1.6354872523132144E-4</v>
      </c>
      <c r="N36" s="1">
        <v>5.83392206942968E-6</v>
      </c>
      <c r="O36" s="1">
        <v>9.8224853599356804E-7</v>
      </c>
      <c r="P36" s="1">
        <v>-3.88428297231621E-6</v>
      </c>
    </row>
    <row r="37" spans="1:16" x14ac:dyDescent="0.2">
      <c r="A37">
        <v>36</v>
      </c>
      <c r="B37">
        <v>747</v>
      </c>
      <c r="C37">
        <v>285</v>
      </c>
      <c r="D37">
        <v>0.28434102828015601</v>
      </c>
      <c r="E37">
        <v>6.0688631337997903</v>
      </c>
      <c r="F37">
        <v>0.76907013734760699</v>
      </c>
      <c r="G37">
        <v>-120.23531556684974</v>
      </c>
      <c r="H37">
        <v>-80.562548043254282</v>
      </c>
      <c r="I37">
        <v>38.891425495983299</v>
      </c>
      <c r="J37">
        <v>17.989426866418999</v>
      </c>
      <c r="K37">
        <v>7.8911699194695899</v>
      </c>
      <c r="L37">
        <v>1.0533310401817327E-3</v>
      </c>
      <c r="M37">
        <v>1.6161037416023797E-4</v>
      </c>
      <c r="N37" s="1">
        <v>5.8902246486279203E-6</v>
      </c>
      <c r="O37" s="1">
        <v>9.8151164130071091E-7</v>
      </c>
      <c r="P37" s="1">
        <v>-3.89282184222477E-6</v>
      </c>
    </row>
    <row r="38" spans="1:16" x14ac:dyDescent="0.2">
      <c r="A38">
        <v>37</v>
      </c>
      <c r="B38">
        <v>746</v>
      </c>
      <c r="C38">
        <v>285</v>
      </c>
      <c r="D38">
        <v>0.28357013197272302</v>
      </c>
      <c r="E38">
        <v>6.2845511001815799</v>
      </c>
      <c r="F38">
        <v>0.78722361527108697</v>
      </c>
      <c r="G38">
        <v>-123.7685238100231</v>
      </c>
      <c r="H38">
        <v>-83.644745642083748</v>
      </c>
      <c r="I38">
        <v>39.372128661251203</v>
      </c>
      <c r="J38">
        <v>18.275929013946101</v>
      </c>
      <c r="K38">
        <v>7.9831841655530598</v>
      </c>
      <c r="L38">
        <v>1.0433922053838824E-3</v>
      </c>
      <c r="M38">
        <v>1.5972264515652242E-4</v>
      </c>
      <c r="N38" s="1">
        <v>5.9466692712984302E-6</v>
      </c>
      <c r="O38" s="1">
        <v>9.807368400884709E-7</v>
      </c>
      <c r="P38" s="1">
        <v>-3.9012334794525604E-6</v>
      </c>
    </row>
    <row r="39" spans="1:16" x14ac:dyDescent="0.2">
      <c r="A39">
        <v>38</v>
      </c>
      <c r="B39">
        <v>745</v>
      </c>
      <c r="C39">
        <v>285</v>
      </c>
      <c r="D39">
        <v>0.28279772135736497</v>
      </c>
      <c r="E39">
        <v>6.4991998355954896</v>
      </c>
      <c r="F39">
        <v>0.80488922884248104</v>
      </c>
      <c r="G39">
        <v>-127.28345568306402</v>
      </c>
      <c r="H39">
        <v>-86.71277044870223</v>
      </c>
      <c r="I39">
        <v>39.849745628160001</v>
      </c>
      <c r="J39">
        <v>18.560994225337001</v>
      </c>
      <c r="K39">
        <v>8.07465127212852</v>
      </c>
      <c r="L39">
        <v>1.0337225468252621E-3</v>
      </c>
      <c r="M39">
        <v>1.5788338537394718E-4</v>
      </c>
      <c r="N39" s="1">
        <v>6.00325305301136E-6</v>
      </c>
      <c r="O39" s="1">
        <v>9.7992450702470604E-7</v>
      </c>
      <c r="P39" s="1">
        <v>-3.9095180568656099E-6</v>
      </c>
    </row>
    <row r="40" spans="1:16" x14ac:dyDescent="0.2">
      <c r="A40">
        <v>39</v>
      </c>
      <c r="B40">
        <v>744</v>
      </c>
      <c r="C40">
        <v>285</v>
      </c>
      <c r="D40">
        <v>0.28202379196775501</v>
      </c>
      <c r="E40">
        <v>6.7128177567582403</v>
      </c>
      <c r="F40">
        <v>0.82208750045967904</v>
      </c>
      <c r="G40">
        <v>-130.78025916915749</v>
      </c>
      <c r="H40">
        <v>-89.766737742307726</v>
      </c>
      <c r="I40">
        <v>40.324299447070601</v>
      </c>
      <c r="J40">
        <v>18.844633198465601</v>
      </c>
      <c r="K40">
        <v>8.1655757483293296</v>
      </c>
      <c r="L40">
        <v>1.0243106287268098E-3</v>
      </c>
      <c r="M40">
        <v>1.5609056284258903E-4</v>
      </c>
      <c r="N40" s="1">
        <v>6.0599730913612404E-6</v>
      </c>
      <c r="O40" s="1">
        <v>9.79075014624012E-7</v>
      </c>
      <c r="P40" s="1">
        <v>-3.9176757466679097E-6</v>
      </c>
    </row>
    <row r="41" spans="1:16" x14ac:dyDescent="0.2">
      <c r="A41">
        <v>40</v>
      </c>
      <c r="B41">
        <v>743</v>
      </c>
      <c r="C41">
        <v>285</v>
      </c>
      <c r="D41">
        <v>0.281248339319983</v>
      </c>
      <c r="E41">
        <v>6.9254131935386702</v>
      </c>
      <c r="F41">
        <v>0.83883781758078901</v>
      </c>
      <c r="G41">
        <v>-134.25908071923175</v>
      </c>
      <c r="H41">
        <v>-92.806761614286842</v>
      </c>
      <c r="I41">
        <v>40.795812920105398</v>
      </c>
      <c r="J41">
        <v>19.1268565122122</v>
      </c>
      <c r="K41">
        <v>8.2559620565410103</v>
      </c>
      <c r="L41">
        <v>1.0151456476312098E-3</v>
      </c>
      <c r="M41">
        <v>1.5434225809543282E-4</v>
      </c>
      <c r="N41" s="1">
        <v>6.1168264663592704E-6</v>
      </c>
      <c r="O41" s="1">
        <v>9.7818873330899498E-7</v>
      </c>
      <c r="P41" s="1">
        <v>-3.9257067206358898E-6</v>
      </c>
    </row>
    <row r="42" spans="1:16" x14ac:dyDescent="0.2">
      <c r="A42">
        <v>41</v>
      </c>
      <c r="B42">
        <v>742</v>
      </c>
      <c r="C42">
        <v>285</v>
      </c>
      <c r="D42">
        <v>0.28047135891247499</v>
      </c>
      <c r="E42">
        <v>7.1369943879237203</v>
      </c>
      <c r="F42">
        <v>0.85515850996408604</v>
      </c>
      <c r="G42">
        <v>-137.72006523555675</v>
      </c>
      <c r="H42">
        <v>-95.832954953054156</v>
      </c>
      <c r="I42">
        <v>41.264308598703501</v>
      </c>
      <c r="J42">
        <v>19.4076746249102</v>
      </c>
      <c r="K42">
        <v>8.3458146118705407</v>
      </c>
      <c r="L42">
        <v>1.0062173893821906E-3</v>
      </c>
      <c r="M42">
        <v>1.5263665651071186E-4</v>
      </c>
      <c r="N42" s="1">
        <v>6.1738102403225797E-6</v>
      </c>
      <c r="O42" s="1">
        <v>9.7726603139134708E-7</v>
      </c>
      <c r="P42" s="1">
        <v>-3.9336111500331003E-6</v>
      </c>
    </row>
    <row r="43" spans="1:16" x14ac:dyDescent="0.2">
      <c r="A43">
        <v>42</v>
      </c>
      <c r="B43">
        <v>741</v>
      </c>
      <c r="C43">
        <v>285</v>
      </c>
      <c r="D43">
        <v>0.27969284622590601</v>
      </c>
      <c r="E43">
        <v>7.3475694963917997</v>
      </c>
      <c r="F43">
        <v>0.87106692090246196</v>
      </c>
      <c r="G43">
        <v>-141.16335611260664</v>
      </c>
      <c r="H43">
        <v>-98.845429477069572</v>
      </c>
      <c r="I43">
        <v>41.729808790120003</v>
      </c>
      <c r="J43">
        <v>19.6870978776691</v>
      </c>
      <c r="K43">
        <v>8.4351377834201298</v>
      </c>
      <c r="L43">
        <v>9.9751618944000702E-4</v>
      </c>
      <c r="M43">
        <v>1.5097204125171673E-4</v>
      </c>
      <c r="N43" s="1">
        <v>6.2309214582963002E-6</v>
      </c>
      <c r="O43" s="1">
        <v>9.7630727513526809E-7</v>
      </c>
      <c r="P43" s="1">
        <v>-3.94138920585578E-6</v>
      </c>
    </row>
    <row r="44" spans="1:16" x14ac:dyDescent="0.2">
      <c r="A44">
        <v>43</v>
      </c>
      <c r="B44">
        <v>740</v>
      </c>
      <c r="C44">
        <v>285</v>
      </c>
      <c r="D44">
        <v>0.27891279672309399</v>
      </c>
      <c r="E44">
        <v>10.583506859574999</v>
      </c>
      <c r="F44">
        <v>1.0634875059778</v>
      </c>
      <c r="G44">
        <v>-193.70104354706453</v>
      </c>
      <c r="H44">
        <v>-143.62031350942104</v>
      </c>
      <c r="I44">
        <v>49.433148538295697</v>
      </c>
      <c r="J44">
        <v>24.0023005621692</v>
      </c>
      <c r="K44">
        <v>9.9516983510249908</v>
      </c>
      <c r="L44">
        <v>8.8482538074456131E-4</v>
      </c>
      <c r="M44">
        <v>1.33456939326071E-4</v>
      </c>
      <c r="N44" s="1">
        <v>6.5307305131774102E-6</v>
      </c>
      <c r="O44" s="1">
        <v>1.01619953253238E-6</v>
      </c>
      <c r="P44" s="1">
        <v>-4.1144847101827397E-6</v>
      </c>
    </row>
    <row r="45" spans="1:16" x14ac:dyDescent="0.2">
      <c r="A45">
        <v>44</v>
      </c>
      <c r="B45">
        <v>739</v>
      </c>
      <c r="C45">
        <v>285</v>
      </c>
      <c r="D45">
        <v>0.27813120584893603</v>
      </c>
      <c r="E45">
        <v>23.5890616279708</v>
      </c>
      <c r="F45">
        <v>1.4586567750563799</v>
      </c>
      <c r="G45">
        <v>-406.10987818240403</v>
      </c>
      <c r="H45">
        <v>-323.9846149724421</v>
      </c>
      <c r="I45">
        <v>81.142321765524898</v>
      </c>
      <c r="J45">
        <v>41.6788875243506</v>
      </c>
      <c r="K45">
        <v>16.1717698305408</v>
      </c>
      <c r="L45">
        <v>6.5424255899241255E-4</v>
      </c>
      <c r="M45">
        <v>9.8034152271954313E-5</v>
      </c>
      <c r="N45" s="1">
        <v>7.7107783517384195E-6</v>
      </c>
      <c r="O45" s="1">
        <v>1.2069378560497701E-6</v>
      </c>
      <c r="P45" s="1">
        <v>-4.9007079241963997E-6</v>
      </c>
    </row>
    <row r="46" spans="1:16" x14ac:dyDescent="0.2">
      <c r="A46">
        <v>45</v>
      </c>
      <c r="B46">
        <v>738</v>
      </c>
      <c r="C46">
        <v>285</v>
      </c>
      <c r="D46">
        <v>0.277348069030313</v>
      </c>
      <c r="E46">
        <v>43.618415641296203</v>
      </c>
      <c r="F46">
        <v>1.6900037609526499</v>
      </c>
      <c r="G46">
        <v>-733.93250035152755</v>
      </c>
      <c r="H46">
        <v>-602.14042359603991</v>
      </c>
      <c r="I46">
        <v>130.34245410176899</v>
      </c>
      <c r="J46">
        <v>69.110083730311899</v>
      </c>
      <c r="K46">
        <v>25.809655960001098</v>
      </c>
      <c r="L46">
        <v>5.1997614906244545E-4</v>
      </c>
      <c r="M46">
        <v>7.7384570709122365E-5</v>
      </c>
      <c r="N46" s="1">
        <v>9.5696370312751705E-6</v>
      </c>
      <c r="O46" s="1">
        <v>1.5127277388654999E-6</v>
      </c>
      <c r="P46" s="1">
        <v>-6.1597758416774296E-6</v>
      </c>
    </row>
    <row r="47" spans="1:16" x14ac:dyDescent="0.2">
      <c r="A47">
        <v>46</v>
      </c>
      <c r="B47">
        <v>737</v>
      </c>
      <c r="C47">
        <v>285</v>
      </c>
      <c r="D47">
        <v>0.27656338167599098</v>
      </c>
      <c r="E47">
        <v>71.897777229449702</v>
      </c>
      <c r="F47">
        <v>1.8253760247906801</v>
      </c>
      <c r="G47">
        <v>-1194.7243654982024</v>
      </c>
      <c r="H47">
        <v>-992.89142961379844</v>
      </c>
      <c r="I47">
        <v>199.809641327419</v>
      </c>
      <c r="J47">
        <v>107.84243840401599</v>
      </c>
      <c r="K47">
        <v>39.3879267904234</v>
      </c>
      <c r="L47">
        <v>4.4319587994750973E-4</v>
      </c>
      <c r="M47">
        <v>6.5543889236399839E-5</v>
      </c>
      <c r="N47" s="1">
        <v>1.2203007359770399E-5</v>
      </c>
      <c r="O47" s="1">
        <v>1.9465679448111699E-6</v>
      </c>
      <c r="P47" s="1">
        <v>-7.9489304966177105E-6</v>
      </c>
    </row>
    <row r="48" spans="1:16" x14ac:dyDescent="0.2">
      <c r="A48">
        <v>47</v>
      </c>
      <c r="B48">
        <v>736</v>
      </c>
      <c r="C48">
        <v>285</v>
      </c>
      <c r="D48">
        <v>0.27577713917653601</v>
      </c>
      <c r="E48">
        <v>94.504781612489595</v>
      </c>
      <c r="F48">
        <v>1.88175221994592</v>
      </c>
      <c r="G48">
        <v>-1562.5899886044722</v>
      </c>
      <c r="H48">
        <v>-1304.9702639851653</v>
      </c>
      <c r="I48">
        <v>255.28946332860701</v>
      </c>
      <c r="J48">
        <v>138.84966180976599</v>
      </c>
      <c r="K48">
        <v>50.221692638792398</v>
      </c>
      <c r="L48">
        <v>4.1192550176965718E-4</v>
      </c>
      <c r="M48">
        <v>6.0644198917460659E-5</v>
      </c>
      <c r="N48" s="1">
        <v>1.43332916140783E-5</v>
      </c>
      <c r="O48" s="1">
        <v>2.2903347759518901E-6</v>
      </c>
      <c r="P48" s="1">
        <v>-9.3798297895725806E-6</v>
      </c>
    </row>
    <row r="49" spans="1:16" x14ac:dyDescent="0.2">
      <c r="A49">
        <v>48</v>
      </c>
      <c r="B49">
        <v>735</v>
      </c>
      <c r="C49">
        <v>285</v>
      </c>
      <c r="D49">
        <v>0.27498933690423</v>
      </c>
      <c r="E49">
        <v>100.038642380037</v>
      </c>
      <c r="F49">
        <v>1.8928016219341699</v>
      </c>
      <c r="G49">
        <v>-1652.4273838571166</v>
      </c>
      <c r="H49">
        <v>-1381.4964704949293</v>
      </c>
      <c r="I49">
        <v>268.74647437858903</v>
      </c>
      <c r="J49">
        <v>146.488241549739</v>
      </c>
      <c r="K49">
        <v>52.852153770774997</v>
      </c>
      <c r="L49">
        <v>4.0587461318841267E-4</v>
      </c>
      <c r="M49">
        <v>5.9587497175630408E-5</v>
      </c>
      <c r="N49" s="1">
        <v>1.48968398662896E-5</v>
      </c>
      <c r="O49" s="1">
        <v>2.3657224727512698E-6</v>
      </c>
      <c r="P49" s="1">
        <v>-9.7171409988809096E-6</v>
      </c>
    </row>
    <row r="50" spans="1:16" x14ac:dyDescent="0.2">
      <c r="A50">
        <v>49</v>
      </c>
      <c r="B50">
        <v>757</v>
      </c>
      <c r="C50">
        <v>270</v>
      </c>
      <c r="D50">
        <v>0.30798475950104598</v>
      </c>
      <c r="E50">
        <v>4.1905551292465102</v>
      </c>
      <c r="F50">
        <v>0.54848886699449595</v>
      </c>
      <c r="G50">
        <v>-90.844972699459461</v>
      </c>
      <c r="H50">
        <v>-53.336259369925173</v>
      </c>
      <c r="I50">
        <v>36.413251878375704</v>
      </c>
      <c r="J50">
        <v>16.209435406570599</v>
      </c>
      <c r="K50">
        <v>7.6401826571414597</v>
      </c>
      <c r="L50">
        <v>1.2173661204471144E-3</v>
      </c>
      <c r="M50">
        <v>2.004394785585751E-4</v>
      </c>
      <c r="N50" s="1">
        <v>5.9962259289255498E-6</v>
      </c>
      <c r="O50" s="1">
        <v>1.2778913093117799E-6</v>
      </c>
      <c r="P50" s="1">
        <v>-4.6510996667517804E-6</v>
      </c>
    </row>
    <row r="51" spans="1:16" x14ac:dyDescent="0.2">
      <c r="A51">
        <v>50</v>
      </c>
      <c r="B51">
        <v>756</v>
      </c>
      <c r="C51">
        <v>270</v>
      </c>
      <c r="D51">
        <v>0.30724432784336703</v>
      </c>
      <c r="E51">
        <v>4.2973475973112603</v>
      </c>
      <c r="F51">
        <v>0.55943045283840498</v>
      </c>
      <c r="G51">
        <v>-92.582953772711846</v>
      </c>
      <c r="H51">
        <v>-54.868076608681477</v>
      </c>
      <c r="I51">
        <v>36.648961546646902</v>
      </c>
      <c r="J51">
        <v>16.3569372370259</v>
      </c>
      <c r="K51">
        <v>7.68164760339313</v>
      </c>
      <c r="L51">
        <v>1.2117866090197045E-3</v>
      </c>
      <c r="M51">
        <v>1.9905017651947307E-4</v>
      </c>
      <c r="N51" s="1">
        <v>6.0530846048188303E-6</v>
      </c>
      <c r="O51" s="1">
        <v>1.2753403821068101E-6</v>
      </c>
      <c r="P51" s="1">
        <v>-4.6559252645658298E-6</v>
      </c>
    </row>
    <row r="52" spans="1:16" x14ac:dyDescent="0.2">
      <c r="A52">
        <v>51</v>
      </c>
      <c r="B52">
        <v>755</v>
      </c>
      <c r="C52">
        <v>270</v>
      </c>
      <c r="D52">
        <v>0.30650245586733499</v>
      </c>
      <c r="E52">
        <v>4.5188669065444396</v>
      </c>
      <c r="F52">
        <v>0.581112874750773</v>
      </c>
      <c r="G52">
        <v>-96.22120387736696</v>
      </c>
      <c r="H52">
        <v>-58.030041355200268</v>
      </c>
      <c r="I52">
        <v>37.1478586568727</v>
      </c>
      <c r="J52">
        <v>16.6526310561791</v>
      </c>
      <c r="K52">
        <v>7.7762292024290298</v>
      </c>
      <c r="L52">
        <v>1.1996256014842549E-3</v>
      </c>
      <c r="M52">
        <v>1.9659414422001708E-4</v>
      </c>
      <c r="N52" s="1">
        <v>6.1183397870403204E-6</v>
      </c>
      <c r="O52" s="1">
        <v>1.2744810029331399E-6</v>
      </c>
      <c r="P52" s="1">
        <v>-4.6669409337136899E-6</v>
      </c>
    </row>
    <row r="53" spans="1:16" x14ac:dyDescent="0.2">
      <c r="A53">
        <v>52</v>
      </c>
      <c r="B53">
        <v>754</v>
      </c>
      <c r="C53">
        <v>270</v>
      </c>
      <c r="D53">
        <v>0.30575913936620902</v>
      </c>
      <c r="E53">
        <v>4.7392994737315304</v>
      </c>
      <c r="F53">
        <v>0.60218004625324495</v>
      </c>
      <c r="G53">
        <v>-99.840345113325995</v>
      </c>
      <c r="H53">
        <v>-61.177177159741959</v>
      </c>
      <c r="I53">
        <v>37.643560349663503</v>
      </c>
      <c r="J53">
        <v>16.9468403091659</v>
      </c>
      <c r="K53">
        <v>7.8702366563279096</v>
      </c>
      <c r="L53">
        <v>1.1878130957499551E-3</v>
      </c>
      <c r="M53">
        <v>1.9420492927833051E-4</v>
      </c>
      <c r="N53" s="1">
        <v>6.18382105998013E-6</v>
      </c>
      <c r="O53" s="1">
        <v>1.27357302066428E-6</v>
      </c>
      <c r="P53" s="1">
        <v>-4.6778117386043897E-6</v>
      </c>
    </row>
    <row r="54" spans="1:16" x14ac:dyDescent="0.2">
      <c r="A54">
        <v>53</v>
      </c>
      <c r="B54">
        <v>753</v>
      </c>
      <c r="C54">
        <v>270</v>
      </c>
      <c r="D54">
        <v>0.30501437411684701</v>
      </c>
      <c r="E54">
        <v>4.9586541433380598</v>
      </c>
      <c r="F54">
        <v>0.62265904704539299</v>
      </c>
      <c r="G54">
        <v>-103.44053319614748</v>
      </c>
      <c r="H54">
        <v>-64.309605143408419</v>
      </c>
      <c r="I54">
        <v>38.136090996221803</v>
      </c>
      <c r="J54">
        <v>17.239576266555702</v>
      </c>
      <c r="K54">
        <v>7.9636747701130899</v>
      </c>
      <c r="L54">
        <v>1.1763336145783156E-3</v>
      </c>
      <c r="M54">
        <v>1.9187959627346089E-4</v>
      </c>
      <c r="N54" s="1">
        <v>6.2495250751856803E-6</v>
      </c>
      <c r="O54" s="1">
        <v>1.2726168818771501E-6</v>
      </c>
      <c r="P54" s="1">
        <v>-4.6885377241990402E-6</v>
      </c>
    </row>
    <row r="55" spans="1:16" x14ac:dyDescent="0.2">
      <c r="A55">
        <v>54</v>
      </c>
      <c r="B55">
        <v>752</v>
      </c>
      <c r="C55">
        <v>270</v>
      </c>
      <c r="D55">
        <v>0.30426815587962902</v>
      </c>
      <c r="E55">
        <v>5.17693966797939</v>
      </c>
      <c r="F55">
        <v>0.64257539030720501</v>
      </c>
      <c r="G55">
        <v>-107.0219222208014</v>
      </c>
      <c r="H55">
        <v>-67.427445170814366</v>
      </c>
      <c r="I55">
        <v>38.625474707671003</v>
      </c>
      <c r="J55">
        <v>17.530850074231299</v>
      </c>
      <c r="K55">
        <v>8.0565482993433299</v>
      </c>
      <c r="L55">
        <v>1.1651725758268217E-3</v>
      </c>
      <c r="M55">
        <v>1.8961537975805605E-4</v>
      </c>
      <c r="N55" s="1">
        <v>6.3154484553009896E-6</v>
      </c>
      <c r="O55" s="1">
        <v>1.2716130309452501E-6</v>
      </c>
      <c r="P55" s="1">
        <v>-4.6991189349103604E-6</v>
      </c>
    </row>
    <row r="56" spans="1:16" x14ac:dyDescent="0.2">
      <c r="A56">
        <v>55</v>
      </c>
      <c r="B56">
        <v>751</v>
      </c>
      <c r="C56">
        <v>270</v>
      </c>
      <c r="D56">
        <v>0.30352048039838297</v>
      </c>
      <c r="E56">
        <v>5.3941647042672596</v>
      </c>
      <c r="F56">
        <v>0.66195313389299304</v>
      </c>
      <c r="G56">
        <v>-110.5846645938622</v>
      </c>
      <c r="H56">
        <v>-70.530815790511753</v>
      </c>
      <c r="I56">
        <v>39.111735325748199</v>
      </c>
      <c r="J56">
        <v>17.8206727479227</v>
      </c>
      <c r="K56">
        <v>8.1488619481922999</v>
      </c>
      <c r="L56">
        <v>1.1543162289422055E-3</v>
      </c>
      <c r="M56">
        <v>1.8740967218956525E-4</v>
      </c>
      <c r="N56" s="1">
        <v>6.3815877938307404E-6</v>
      </c>
      <c r="O56" s="1">
        <v>1.2705619099828999E-6</v>
      </c>
      <c r="P56" s="1">
        <v>-4.7095554144074102E-6</v>
      </c>
    </row>
    <row r="57" spans="1:16" x14ac:dyDescent="0.2">
      <c r="A57">
        <v>56</v>
      </c>
      <c r="B57">
        <v>750</v>
      </c>
      <c r="C57">
        <v>270</v>
      </c>
      <c r="D57">
        <v>0.302771343400284</v>
      </c>
      <c r="E57">
        <v>5.6103378176827698</v>
      </c>
      <c r="F57">
        <v>0.68081498289681996</v>
      </c>
      <c r="G57">
        <v>-114.12891111663717</v>
      </c>
      <c r="H57">
        <v>-73.619834303262579</v>
      </c>
      <c r="I57">
        <v>39.594896436007801</v>
      </c>
      <c r="J57">
        <v>18.109055180138</v>
      </c>
      <c r="K57">
        <v>8.2406203720887099</v>
      </c>
      <c r="L57">
        <v>1.1437515963516221E-3</v>
      </c>
      <c r="M57">
        <v>1.8526001280491381E-4</v>
      </c>
      <c r="N57" s="1">
        <v>6.4479396559789101E-6</v>
      </c>
      <c r="O57" s="1">
        <v>1.26946395900426E-6</v>
      </c>
      <c r="P57" s="1">
        <v>-4.7198472062138297E-6</v>
      </c>
    </row>
    <row r="58" spans="1:16" x14ac:dyDescent="0.2">
      <c r="A58">
        <v>57</v>
      </c>
      <c r="B58">
        <v>749</v>
      </c>
      <c r="C58">
        <v>270</v>
      </c>
      <c r="D58">
        <v>0.30202074059580297</v>
      </c>
      <c r="E58">
        <v>5.82546748456598</v>
      </c>
      <c r="F58">
        <v>0.69918238348682205</v>
      </c>
      <c r="G58">
        <v>-117.65481101810718</v>
      </c>
      <c r="H58">
        <v>-76.694616790047704</v>
      </c>
      <c r="I58">
        <v>40.074981371392802</v>
      </c>
      <c r="J58">
        <v>18.396008142150301</v>
      </c>
      <c r="K58">
        <v>8.3318281783851198</v>
      </c>
      <c r="L58">
        <v>1.1334664198501799E-3</v>
      </c>
      <c r="M58">
        <v>1.8316407744039872E-4</v>
      </c>
      <c r="N58" s="1">
        <v>6.5145005786220604E-6</v>
      </c>
      <c r="O58" s="1">
        <v>1.26831961590325E-6</v>
      </c>
      <c r="P58" s="1">
        <v>-4.7299943536493801E-6</v>
      </c>
    </row>
    <row r="59" spans="1:16" x14ac:dyDescent="0.2">
      <c r="A59">
        <v>58</v>
      </c>
      <c r="B59">
        <v>748</v>
      </c>
      <c r="C59">
        <v>270</v>
      </c>
      <c r="D59">
        <v>0.301268667678598</v>
      </c>
      <c r="E59">
        <v>6.0395620894771698</v>
      </c>
      <c r="F59">
        <v>0.717075608627184</v>
      </c>
      <c r="G59">
        <v>-121.16251191351104</v>
      </c>
      <c r="H59">
        <v>-79.755278073645556</v>
      </c>
      <c r="I59">
        <v>40.552013208065901</v>
      </c>
      <c r="J59">
        <v>18.681542281175702</v>
      </c>
      <c r="K59">
        <v>8.4224899254901509</v>
      </c>
      <c r="L59">
        <v>1.1234491116423641E-3</v>
      </c>
      <c r="M59">
        <v>1.8111966922771877E-4</v>
      </c>
      <c r="N59" s="1">
        <v>6.5812670705862097E-6</v>
      </c>
      <c r="O59" s="1">
        <v>1.2671293164945101E-6</v>
      </c>
      <c r="P59" s="1">
        <v>-4.7399968999971596E-6</v>
      </c>
    </row>
    <row r="60" spans="1:16" x14ac:dyDescent="0.2">
      <c r="A60">
        <v>59</v>
      </c>
      <c r="B60">
        <v>747</v>
      </c>
      <c r="C60">
        <v>270</v>
      </c>
      <c r="D60">
        <v>0.30051512032544198</v>
      </c>
      <c r="E60">
        <v>6.2526299289305101</v>
      </c>
      <c r="F60">
        <v>0.73451383740915299</v>
      </c>
      <c r="G60">
        <v>-124.65215986681538</v>
      </c>
      <c r="H60">
        <v>-82.801931771245208</v>
      </c>
      <c r="I60">
        <v>41.026014773813202</v>
      </c>
      <c r="J60">
        <v>18.965668124951399</v>
      </c>
      <c r="K60">
        <v>8.5126101245217907</v>
      </c>
      <c r="L60">
        <v>1.1136887090095308E-3</v>
      </c>
      <c r="M60">
        <v>1.7912470998879062E-4</v>
      </c>
      <c r="N60" s="1">
        <v>6.6482356129525903E-6</v>
      </c>
      <c r="O60" s="1">
        <v>1.2658934945557499E-6</v>
      </c>
      <c r="P60" s="1">
        <v>-4.7498548886790797E-6</v>
      </c>
    </row>
    <row r="61" spans="1:16" x14ac:dyDescent="0.2">
      <c r="A61">
        <v>60</v>
      </c>
      <c r="B61">
        <v>746</v>
      </c>
      <c r="C61">
        <v>270</v>
      </c>
      <c r="D61">
        <v>0.29976009419614502</v>
      </c>
      <c r="E61">
        <v>6.4646792136738096</v>
      </c>
      <c r="F61">
        <v>0.75151522791827197</v>
      </c>
      <c r="G61">
        <v>-128.12389942959402</v>
      </c>
      <c r="H61">
        <v>-85.83469032626914</v>
      </c>
      <c r="I61">
        <v>41.497008653749603</v>
      </c>
      <c r="J61">
        <v>19.248396084709899</v>
      </c>
      <c r="K61">
        <v>8.6021932404233894</v>
      </c>
      <c r="L61">
        <v>1.1041748326766931E-3</v>
      </c>
      <c r="M61">
        <v>1.7717723233062771E-4</v>
      </c>
      <c r="N61" s="1">
        <v>6.7154026594228199E-6</v>
      </c>
      <c r="O61" s="1">
        <v>1.26461258187777E-6</v>
      </c>
      <c r="P61" s="1">
        <v>-4.7595683634630202E-6</v>
      </c>
    </row>
    <row r="62" spans="1:16" x14ac:dyDescent="0.2">
      <c r="A62">
        <v>61</v>
      </c>
      <c r="B62">
        <v>745</v>
      </c>
      <c r="C62">
        <v>270</v>
      </c>
      <c r="D62">
        <v>0.29900358493345802</v>
      </c>
      <c r="E62">
        <v>6.6757180659686899</v>
      </c>
      <c r="F62">
        <v>0.76809698398063897</v>
      </c>
      <c r="G62">
        <v>-131.57787359739382</v>
      </c>
      <c r="H62">
        <v>-88.853664969053497</v>
      </c>
      <c r="I62">
        <v>41.965017184889398</v>
      </c>
      <c r="J62">
        <v>19.5297364518139</v>
      </c>
      <c r="K62">
        <v>8.6912436908318202</v>
      </c>
      <c r="L62">
        <v>1.0948976486934308E-3</v>
      </c>
      <c r="M62">
        <v>1.7527537240031622E-4</v>
      </c>
      <c r="N62" s="1">
        <v>6.7827646363626196E-6</v>
      </c>
      <c r="O62" s="1">
        <v>1.26328700825457E-6</v>
      </c>
      <c r="P62" s="1">
        <v>-4.7691373684452698E-6</v>
      </c>
    </row>
    <row r="63" spans="1:16" x14ac:dyDescent="0.2">
      <c r="A63">
        <v>62</v>
      </c>
      <c r="B63">
        <v>744</v>
      </c>
      <c r="C63">
        <v>270</v>
      </c>
      <c r="D63">
        <v>0.298245588163005</v>
      </c>
      <c r="E63">
        <v>6.8857545258419304</v>
      </c>
      <c r="F63">
        <v>0.78427541738465201</v>
      </c>
      <c r="G63">
        <v>-135.0142239145743</v>
      </c>
      <c r="H63">
        <v>-91.85896580507405</v>
      </c>
      <c r="I63">
        <v>42.430062471260698</v>
      </c>
      <c r="J63">
        <v>19.809699405995399</v>
      </c>
      <c r="K63">
        <v>8.7797658490993697</v>
      </c>
      <c r="L63">
        <v>1.0858478328689171E-3</v>
      </c>
      <c r="M63">
        <v>1.7341736313793117E-4</v>
      </c>
      <c r="N63" s="1">
        <v>6.8503179435699404E-6</v>
      </c>
      <c r="O63" s="1">
        <v>1.2619172016038E-6</v>
      </c>
      <c r="P63" s="1">
        <v>-4.77856194852741E-6</v>
      </c>
    </row>
    <row r="64" spans="1:16" x14ac:dyDescent="0.2">
      <c r="A64">
        <v>63</v>
      </c>
      <c r="B64">
        <v>743</v>
      </c>
      <c r="C64">
        <v>270</v>
      </c>
      <c r="D64">
        <v>0.297486099493184</v>
      </c>
      <c r="E64">
        <v>7.0947965474063501</v>
      </c>
      <c r="F64">
        <v>0.80006600461771904</v>
      </c>
      <c r="G64">
        <v>-138.43309041410438</v>
      </c>
      <c r="H64">
        <v>-94.850701762193623</v>
      </c>
      <c r="I64">
        <v>42.892166375426598</v>
      </c>
      <c r="J64">
        <v>20.088295010408199</v>
      </c>
      <c r="K64">
        <v>8.8677640425383792</v>
      </c>
      <c r="L64">
        <v>1.0770165383737896E-3</v>
      </c>
      <c r="M64">
        <v>1.7160152811698722E-4</v>
      </c>
      <c r="N64" s="1">
        <v>6.9180589540743804E-6</v>
      </c>
      <c r="O64" s="1">
        <v>1.2605035879048301E-6</v>
      </c>
      <c r="P64" s="1">
        <v>-4.7878421492072E-6</v>
      </c>
    </row>
    <row r="65" spans="1:16" x14ac:dyDescent="0.2">
      <c r="A65">
        <v>64</v>
      </c>
      <c r="B65">
        <v>742</v>
      </c>
      <c r="C65">
        <v>270</v>
      </c>
      <c r="D65">
        <v>0.29672511451509398</v>
      </c>
      <c r="E65">
        <v>10.055258035681399</v>
      </c>
      <c r="F65">
        <v>0.980127371922622</v>
      </c>
      <c r="G65">
        <v>-186.55308449901591</v>
      </c>
      <c r="H65">
        <v>-135.85979913246331</v>
      </c>
      <c r="I65">
        <v>49.939286511454704</v>
      </c>
      <c r="J65">
        <v>24.036802327403802</v>
      </c>
      <c r="K65">
        <v>10.2591339898578</v>
      </c>
      <c r="L65">
        <v>9.6779756113508811E-4</v>
      </c>
      <c r="M65">
        <v>1.5368471936787434E-4</v>
      </c>
      <c r="N65" s="1">
        <v>7.2163941925972804E-6</v>
      </c>
      <c r="O65" s="1">
        <v>1.3039531533189199E-6</v>
      </c>
      <c r="P65" s="1">
        <v>-4.9679780732644997E-6</v>
      </c>
    </row>
    <row r="66" spans="1:16" x14ac:dyDescent="0.2">
      <c r="A66">
        <v>65</v>
      </c>
      <c r="B66">
        <v>741</v>
      </c>
      <c r="C66">
        <v>270</v>
      </c>
      <c r="D66">
        <v>0.295962628802445</v>
      </c>
      <c r="E66">
        <v>32.606472648745601</v>
      </c>
      <c r="F66">
        <v>1.5447293872835299</v>
      </c>
      <c r="G66">
        <v>-555.53229984232121</v>
      </c>
      <c r="H66">
        <v>-449.01239796905224</v>
      </c>
      <c r="I66">
        <v>105.037024628073</v>
      </c>
      <c r="J66">
        <v>54.723149363627002</v>
      </c>
      <c r="K66">
        <v>21.108210225795801</v>
      </c>
      <c r="L66">
        <v>6.2612119357392478E-4</v>
      </c>
      <c r="M66">
        <v>9.856783331750664E-5</v>
      </c>
      <c r="N66" s="1">
        <v>9.3479973649638603E-6</v>
      </c>
      <c r="O66" s="1">
        <v>1.7095616106216599E-6</v>
      </c>
      <c r="P66" s="1">
        <v>-6.5323761710410197E-6</v>
      </c>
    </row>
    <row r="67" spans="1:16" x14ac:dyDescent="0.2">
      <c r="A67">
        <v>66</v>
      </c>
      <c r="B67">
        <v>740</v>
      </c>
      <c r="C67">
        <v>270</v>
      </c>
      <c r="D67">
        <v>0.295198637911468</v>
      </c>
      <c r="E67">
        <v>49.1883029345287</v>
      </c>
      <c r="F67">
        <v>1.6910123994577499</v>
      </c>
      <c r="G67">
        <v>-826.86400499532533</v>
      </c>
      <c r="H67">
        <v>-679.39168235646287</v>
      </c>
      <c r="I67">
        <v>145.56218108517999</v>
      </c>
      <c r="J67">
        <v>77.338620175646398</v>
      </c>
      <c r="K67">
        <v>29.0880793956931</v>
      </c>
      <c r="L67">
        <v>5.3794532533525544E-4</v>
      </c>
      <c r="M67">
        <v>8.4230639523267688E-5</v>
      </c>
      <c r="N67" s="1">
        <v>1.0954355806385E-5</v>
      </c>
      <c r="O67" s="1">
        <v>2.0064053118582598E-6</v>
      </c>
      <c r="P67" s="1">
        <v>-7.6896129511963508E-6</v>
      </c>
    </row>
    <row r="68" spans="1:16" x14ac:dyDescent="0.2">
      <c r="A68">
        <v>67</v>
      </c>
      <c r="B68">
        <v>739</v>
      </c>
      <c r="C68">
        <v>270</v>
      </c>
      <c r="D68">
        <v>0.29443313738082399</v>
      </c>
      <c r="E68">
        <v>84.733156701373304</v>
      </c>
      <c r="F68">
        <v>1.83630309548992</v>
      </c>
      <c r="G68">
        <v>-1405.2857275712331</v>
      </c>
      <c r="H68">
        <v>-1170.0349194001053</v>
      </c>
      <c r="I68">
        <v>232.432062518799</v>
      </c>
      <c r="J68">
        <v>125.768418533996</v>
      </c>
      <c r="K68">
        <v>46.143339250194103</v>
      </c>
      <c r="L68">
        <v>4.5280109412633028E-4</v>
      </c>
      <c r="M68">
        <v>7.0434069101795544E-5</v>
      </c>
      <c r="N68" s="1">
        <v>1.4364792869287899E-5</v>
      </c>
      <c r="O68" s="1">
        <v>2.6499079002538199E-6</v>
      </c>
      <c r="P68" s="1">
        <v>-1.01859909815666E-5</v>
      </c>
    </row>
    <row r="69" spans="1:16" x14ac:dyDescent="0.2">
      <c r="A69">
        <v>68</v>
      </c>
      <c r="B69">
        <v>738</v>
      </c>
      <c r="C69">
        <v>270</v>
      </c>
      <c r="D69">
        <v>0.29366612273154402</v>
      </c>
      <c r="E69">
        <v>97.229221592467098</v>
      </c>
      <c r="F69">
        <v>1.86553925336272</v>
      </c>
      <c r="G69">
        <v>-1608.4632366709079</v>
      </c>
      <c r="H69">
        <v>-1342.6779599873573</v>
      </c>
      <c r="I69">
        <v>262.86014804861901</v>
      </c>
      <c r="J69">
        <v>142.83557983538299</v>
      </c>
      <c r="K69">
        <v>52.118561116956798</v>
      </c>
      <c r="L69">
        <v>4.3607377436801452E-4</v>
      </c>
      <c r="M69">
        <v>6.7595740151556275E-5</v>
      </c>
      <c r="N69" s="1">
        <v>1.5623866420730499E-5</v>
      </c>
      <c r="O69" s="1">
        <v>2.8681057068189401E-6</v>
      </c>
      <c r="P69" s="1">
        <v>-1.10582531469657E-5</v>
      </c>
    </row>
    <row r="70" spans="1:16" x14ac:dyDescent="0.2">
      <c r="A70">
        <v>69</v>
      </c>
      <c r="B70">
        <v>737</v>
      </c>
      <c r="C70">
        <v>270</v>
      </c>
      <c r="D70">
        <v>0.29289758946691402</v>
      </c>
      <c r="E70">
        <v>101.070469608712</v>
      </c>
      <c r="F70">
        <v>1.87381593091604</v>
      </c>
      <c r="G70">
        <v>-1670.7177528917809</v>
      </c>
      <c r="H70">
        <v>-1395.8579352717857</v>
      </c>
      <c r="I70">
        <v>272.103866244247</v>
      </c>
      <c r="J70">
        <v>148.11474736751899</v>
      </c>
      <c r="K70">
        <v>53.938312691846299</v>
      </c>
      <c r="L70">
        <v>4.3159984408247531E-4</v>
      </c>
      <c r="M70">
        <v>6.6719064828027653E-5</v>
      </c>
      <c r="N70" s="1">
        <v>1.60711249423776E-5</v>
      </c>
      <c r="O70" s="1">
        <v>2.9272625918328098E-6</v>
      </c>
      <c r="P70" s="1">
        <v>-1.1320879718795299E-5</v>
      </c>
    </row>
    <row r="71" spans="1:16" x14ac:dyDescent="0.2">
      <c r="A71">
        <v>70</v>
      </c>
      <c r="B71">
        <v>757</v>
      </c>
      <c r="C71">
        <v>255</v>
      </c>
      <c r="D71">
        <v>0.32400184439159502</v>
      </c>
      <c r="E71">
        <v>4.43645206405954</v>
      </c>
      <c r="F71">
        <v>0.53143867304734604</v>
      </c>
      <c r="G71">
        <v>-96.298882329909731</v>
      </c>
      <c r="H71">
        <v>-56.431056606777084</v>
      </c>
      <c r="I71">
        <v>38.703455354494999</v>
      </c>
      <c r="J71">
        <v>17.260905944976699</v>
      </c>
      <c r="K71">
        <v>8.3480038037508297</v>
      </c>
      <c r="L71">
        <v>1.2747331376960433E-3</v>
      </c>
      <c r="M71">
        <v>2.2120537379198216E-4</v>
      </c>
      <c r="N71" s="1">
        <v>6.6217323051565099E-6</v>
      </c>
      <c r="O71" s="1">
        <v>1.6663023501877299E-6</v>
      </c>
      <c r="P71" s="1">
        <v>-5.6987494094654304E-6</v>
      </c>
    </row>
    <row r="72" spans="1:16" x14ac:dyDescent="0.2">
      <c r="A72">
        <v>71</v>
      </c>
      <c r="B72">
        <v>756</v>
      </c>
      <c r="C72">
        <v>255</v>
      </c>
      <c r="D72">
        <v>0.32327697614536499</v>
      </c>
      <c r="E72">
        <v>4.5235906750533097</v>
      </c>
      <c r="F72">
        <v>0.53985615437572299</v>
      </c>
      <c r="G72">
        <v>-97.70924832930163</v>
      </c>
      <c r="H72">
        <v>-57.685266524275029</v>
      </c>
      <c r="I72">
        <v>38.892798475254601</v>
      </c>
      <c r="J72">
        <v>17.384162291597999</v>
      </c>
      <c r="K72">
        <v>8.3792518403060203</v>
      </c>
      <c r="L72">
        <v>1.2706530122497811E-3</v>
      </c>
      <c r="M72">
        <v>2.1995923189044815E-4</v>
      </c>
      <c r="N72" s="1">
        <v>6.6898752307045504E-6</v>
      </c>
      <c r="O72" s="1">
        <v>1.6625300432735601E-6</v>
      </c>
      <c r="P72" s="1">
        <v>-5.7038061790790697E-6</v>
      </c>
    </row>
    <row r="73" spans="1:16" x14ac:dyDescent="0.2">
      <c r="A73">
        <v>72</v>
      </c>
      <c r="B73">
        <v>755</v>
      </c>
      <c r="C73">
        <v>255</v>
      </c>
      <c r="D73">
        <v>0.322550697855369</v>
      </c>
      <c r="E73">
        <v>4.7410249825353201</v>
      </c>
      <c r="F73">
        <v>0.559678029408889</v>
      </c>
      <c r="G73">
        <v>-101.27800476466508</v>
      </c>
      <c r="H73">
        <v>-60.79167016571305</v>
      </c>
      <c r="I73">
        <v>39.3803266608627</v>
      </c>
      <c r="J73">
        <v>17.6754571948582</v>
      </c>
      <c r="K73">
        <v>8.4709864125676209</v>
      </c>
      <c r="L73">
        <v>1.2593174248940627E-3</v>
      </c>
      <c r="M73">
        <v>2.17471506645087E-4</v>
      </c>
      <c r="N73" s="1">
        <v>6.7677628936941102E-6</v>
      </c>
      <c r="O73" s="1">
        <v>1.66107039886384E-6</v>
      </c>
      <c r="P73" s="1">
        <v>-5.7168106481493401E-6</v>
      </c>
    </row>
    <row r="74" spans="1:16" x14ac:dyDescent="0.2">
      <c r="A74">
        <v>73</v>
      </c>
      <c r="B74">
        <v>754</v>
      </c>
      <c r="C74">
        <v>255</v>
      </c>
      <c r="D74">
        <v>0.321823005403299</v>
      </c>
      <c r="E74">
        <v>4.9574070536009103</v>
      </c>
      <c r="F74">
        <v>0.57899003177901098</v>
      </c>
      <c r="G74">
        <v>-104.82825944948789</v>
      </c>
      <c r="H74">
        <v>-63.883713646739267</v>
      </c>
      <c r="I74">
        <v>39.864771975403102</v>
      </c>
      <c r="J74">
        <v>17.965324003259301</v>
      </c>
      <c r="K74">
        <v>8.5621630451369395</v>
      </c>
      <c r="L74">
        <v>1.2482767116716023E-3</v>
      </c>
      <c r="M74">
        <v>2.1504468484140015E-4</v>
      </c>
      <c r="N74" s="1">
        <v>6.8459659715813497E-6</v>
      </c>
      <c r="O74" s="1">
        <v>1.65955206261263E-6</v>
      </c>
      <c r="P74" s="1">
        <v>-5.7296511186690801E-6</v>
      </c>
    </row>
    <row r="75" spans="1:16" x14ac:dyDescent="0.2">
      <c r="A75">
        <v>74</v>
      </c>
      <c r="B75">
        <v>753</v>
      </c>
      <c r="C75">
        <v>255</v>
      </c>
      <c r="D75">
        <v>0.321093894654779</v>
      </c>
      <c r="E75">
        <v>5.1727453032958399</v>
      </c>
      <c r="F75">
        <v>0.59781266723098203</v>
      </c>
      <c r="G75">
        <v>-108.36016069633943</v>
      </c>
      <c r="H75">
        <v>-66.9615122030023</v>
      </c>
      <c r="I75">
        <v>40.3461576402348</v>
      </c>
      <c r="J75">
        <v>18.253773360742802</v>
      </c>
      <c r="K75">
        <v>8.6527863774709992</v>
      </c>
      <c r="L75">
        <v>1.2375188609845759E-3</v>
      </c>
      <c r="M75">
        <v>2.1267632108393033E-4</v>
      </c>
      <c r="N75" s="1">
        <v>6.9244803691549297E-6</v>
      </c>
      <c r="O75" s="1">
        <v>1.6579755377823001E-6</v>
      </c>
      <c r="P75" s="1">
        <v>-5.7423274061611003E-6</v>
      </c>
    </row>
    <row r="76" spans="1:16" x14ac:dyDescent="0.2">
      <c r="A76">
        <v>75</v>
      </c>
      <c r="B76">
        <v>752</v>
      </c>
      <c r="C76">
        <v>255</v>
      </c>
      <c r="D76">
        <v>0.3203633614593</v>
      </c>
      <c r="E76">
        <v>5.3870480588779603</v>
      </c>
      <c r="F76">
        <v>0.61616535567888597</v>
      </c>
      <c r="G76">
        <v>-111.87385527093545</v>
      </c>
      <c r="H76">
        <v>-70.025179867828598</v>
      </c>
      <c r="I76">
        <v>40.824506631241803</v>
      </c>
      <c r="J76">
        <v>18.540815792888701</v>
      </c>
      <c r="K76">
        <v>8.7428610018856805</v>
      </c>
      <c r="L76">
        <v>1.2270324969632983E-3</v>
      </c>
      <c r="M76">
        <v>2.1036409965501798E-4</v>
      </c>
      <c r="N76" s="1">
        <v>7.0033019453541903E-6</v>
      </c>
      <c r="O76" s="1">
        <v>1.6563413258524E-6</v>
      </c>
      <c r="P76" s="1">
        <v>-5.7548393262936503E-6</v>
      </c>
    </row>
    <row r="77" spans="1:16" x14ac:dyDescent="0.2">
      <c r="A77">
        <v>76</v>
      </c>
      <c r="B77">
        <v>751</v>
      </c>
      <c r="C77">
        <v>255</v>
      </c>
      <c r="D77">
        <v>0.31963140165015202</v>
      </c>
      <c r="E77">
        <v>5.6003235597538801</v>
      </c>
      <c r="F77">
        <v>0.63406650202010495</v>
      </c>
      <c r="G77">
        <v>-115.36948839202836</v>
      </c>
      <c r="H77">
        <v>-73.074829470796772</v>
      </c>
      <c r="I77">
        <v>41.299841678919101</v>
      </c>
      <c r="J77">
        <v>18.826461706760998</v>
      </c>
      <c r="K77">
        <v>8.8323914635318594</v>
      </c>
      <c r="L77">
        <v>1.2168068380233427E-3</v>
      </c>
      <c r="M77">
        <v>2.0810582605745265E-4</v>
      </c>
      <c r="N77" s="1">
        <v>7.0824265134178804E-6</v>
      </c>
      <c r="O77" s="1">
        <v>1.6546499265284701E-6</v>
      </c>
      <c r="P77" s="1">
        <v>-5.7671866949667897E-6</v>
      </c>
    </row>
    <row r="78" spans="1:16" x14ac:dyDescent="0.2">
      <c r="A78">
        <v>77</v>
      </c>
      <c r="B78">
        <v>750</v>
      </c>
      <c r="C78">
        <v>255</v>
      </c>
      <c r="D78">
        <v>0.31889801104432502</v>
      </c>
      <c r="E78">
        <v>5.8125799571472099</v>
      </c>
      <c r="F78">
        <v>0.65153356145292696</v>
      </c>
      <c r="G78">
        <v>-118.84720372710267</v>
      </c>
      <c r="H78">
        <v>-76.110572632420997</v>
      </c>
      <c r="I78">
        <v>41.772185268162801</v>
      </c>
      <c r="J78">
        <v>19.11072139054</v>
      </c>
      <c r="K78">
        <v>8.9213822603168698</v>
      </c>
      <c r="L78">
        <v>1.2068316586410239E-3</v>
      </c>
      <c r="M78">
        <v>2.0589941921326897E-4</v>
      </c>
      <c r="N78" s="1">
        <v>7.1618498410978099E-6</v>
      </c>
      <c r="O78" s="1">
        <v>1.65290183776371E-6</v>
      </c>
      <c r="P78" s="1">
        <v>-5.7793693284446303E-6</v>
      </c>
    </row>
    <row r="79" spans="1:16" x14ac:dyDescent="0.2">
      <c r="A79">
        <v>78</v>
      </c>
      <c r="B79">
        <v>749</v>
      </c>
      <c r="C79">
        <v>255</v>
      </c>
      <c r="D79">
        <v>0.31816318544244998</v>
      </c>
      <c r="E79">
        <v>6.0238253179094698</v>
      </c>
      <c r="F79">
        <v>0.66858310013331101</v>
      </c>
      <c r="G79">
        <v>-122.30714345649281</v>
      </c>
      <c r="H79">
        <v>-79.132519817791547</v>
      </c>
      <c r="I79">
        <v>42.241559647318702</v>
      </c>
      <c r="J79">
        <v>19.3936050184092</v>
      </c>
      <c r="K79">
        <v>9.00983784470227</v>
      </c>
      <c r="L79">
        <v>1.1970972538388179E-3</v>
      </c>
      <c r="M79">
        <v>2.0374290422272326E-4</v>
      </c>
      <c r="N79" s="1">
        <v>7.2415676511462901E-6</v>
      </c>
      <c r="O79" s="1">
        <v>1.65109755584048E-6</v>
      </c>
      <c r="P79" s="1">
        <v>-5.7913870436983904E-6</v>
      </c>
    </row>
    <row r="80" spans="1:16" x14ac:dyDescent="0.2">
      <c r="A80">
        <v>79</v>
      </c>
      <c r="B80">
        <v>748</v>
      </c>
      <c r="C80">
        <v>255</v>
      </c>
      <c r="D80">
        <v>0.31742692062870498</v>
      </c>
      <c r="E80">
        <v>6.2340676242105202</v>
      </c>
      <c r="F80">
        <v>0.68523085092884295</v>
      </c>
      <c r="G80">
        <v>-125.74944826977689</v>
      </c>
      <c r="H80">
        <v>-82.140780331489495</v>
      </c>
      <c r="I80">
        <v>42.707986828473302</v>
      </c>
      <c r="J80">
        <v>19.675122650410898</v>
      </c>
      <c r="K80">
        <v>9.0977626237349298</v>
      </c>
      <c r="L80">
        <v>1.1875944065592987E-3</v>
      </c>
      <c r="M80">
        <v>2.016344057050725E-4</v>
      </c>
      <c r="N80" s="1">
        <v>7.3215756216740501E-6</v>
      </c>
      <c r="O80" s="1">
        <v>1.6492375754160999E-6</v>
      </c>
      <c r="P80" s="1">
        <v>-5.8032396586302199E-6</v>
      </c>
    </row>
    <row r="81" spans="1:16" x14ac:dyDescent="0.2">
      <c r="A81">
        <v>80</v>
      </c>
      <c r="B81">
        <v>747</v>
      </c>
      <c r="C81">
        <v>255</v>
      </c>
      <c r="D81">
        <v>0.316689212370732</v>
      </c>
      <c r="E81">
        <v>6.4433147728715197</v>
      </c>
      <c r="F81">
        <v>0.70149176501009702</v>
      </c>
      <c r="G81">
        <v>-129.17425735574528</v>
      </c>
      <c r="H81">
        <v>-85.135462307559891</v>
      </c>
      <c r="I81">
        <v>43.171488586290302</v>
      </c>
      <c r="J81">
        <v>19.955284231569301</v>
      </c>
      <c r="K81">
        <v>9.1851609587730003</v>
      </c>
      <c r="L81">
        <v>1.1783143574753167E-3</v>
      </c>
      <c r="M81">
        <v>1.9957214163619883E-4</v>
      </c>
      <c r="N81" s="1">
        <v>7.4018693863372198E-6</v>
      </c>
      <c r="O81" s="1">
        <v>1.6473223895262E-6</v>
      </c>
      <c r="P81" s="1">
        <v>-5.81492699214913E-6</v>
      </c>
    </row>
    <row r="82" spans="1:16" x14ac:dyDescent="0.2">
      <c r="A82">
        <v>81</v>
      </c>
      <c r="B82">
        <v>746</v>
      </c>
      <c r="C82">
        <v>255</v>
      </c>
      <c r="D82">
        <v>0.31595005641956603</v>
      </c>
      <c r="E82">
        <v>6.6515745813547804</v>
      </c>
      <c r="F82">
        <v>0.71738006013348199</v>
      </c>
      <c r="G82">
        <v>-132.58170850254976</v>
      </c>
      <c r="H82">
        <v>-88.116672794171109</v>
      </c>
      <c r="I82">
        <v>43.6320864720456</v>
      </c>
      <c r="J82">
        <v>20.2340995996136</v>
      </c>
      <c r="K82">
        <v>9.2720371682997804</v>
      </c>
      <c r="L82">
        <v>1.1692487767098886E-3</v>
      </c>
      <c r="M82">
        <v>1.9755441758706195E-4</v>
      </c>
      <c r="N82" s="1">
        <v>7.4824445350719004E-6</v>
      </c>
      <c r="O82" s="1">
        <v>1.6453524897039101E-6</v>
      </c>
      <c r="P82" s="1">
        <v>-5.8264488646593703E-6</v>
      </c>
    </row>
    <row r="83" spans="1:16" x14ac:dyDescent="0.2">
      <c r="A83">
        <v>82</v>
      </c>
      <c r="B83">
        <v>745</v>
      </c>
      <c r="C83">
        <v>255</v>
      </c>
      <c r="D83">
        <v>0.31520944850955201</v>
      </c>
      <c r="E83">
        <v>6.8588547826385602</v>
      </c>
      <c r="F83">
        <v>0.73290926460932304</v>
      </c>
      <c r="G83">
        <v>-135.97193801415528</v>
      </c>
      <c r="H83">
        <v>-91.08451768011048</v>
      </c>
      <c r="I83">
        <v>44.089801802664702</v>
      </c>
      <c r="J83">
        <v>20.5115784785161</v>
      </c>
      <c r="K83">
        <v>9.3583955256653208</v>
      </c>
      <c r="L83">
        <v>1.1603897381272743E-3</v>
      </c>
      <c r="M83">
        <v>1.9557962146779718E-4</v>
      </c>
      <c r="N83" s="1">
        <v>7.5632966140517697E-6</v>
      </c>
      <c r="O83" s="1">
        <v>1.6433283659257099E-6</v>
      </c>
      <c r="P83" s="1">
        <v>-5.8378050979391304E-6</v>
      </c>
    </row>
    <row r="84" spans="1:16" x14ac:dyDescent="0.2">
      <c r="A84">
        <v>83</v>
      </c>
      <c r="B84">
        <v>744</v>
      </c>
      <c r="C84">
        <v>255</v>
      </c>
      <c r="D84">
        <v>0.31446738435825899</v>
      </c>
      <c r="E84">
        <v>18.817031959278399</v>
      </c>
      <c r="F84">
        <v>1.2451690518293099</v>
      </c>
      <c r="G84">
        <v>-331.63265687635288</v>
      </c>
      <c r="H84">
        <v>-257.21698107836187</v>
      </c>
      <c r="I84">
        <v>73.163940835892504</v>
      </c>
      <c r="J84">
        <v>36.704661511145098</v>
      </c>
      <c r="K84">
        <v>15.1120299140375</v>
      </c>
      <c r="L84">
        <v>8.380538354011692E-4</v>
      </c>
      <c r="M84">
        <v>1.4038781921122556E-4</v>
      </c>
      <c r="N84" s="1">
        <v>8.7362216381251307E-6</v>
      </c>
      <c r="O84" s="1">
        <v>1.8978200442179701E-6</v>
      </c>
      <c r="P84" s="1">
        <v>-6.7628824812740799E-6</v>
      </c>
    </row>
    <row r="85" spans="1:16" x14ac:dyDescent="0.2">
      <c r="A85">
        <v>84</v>
      </c>
      <c r="B85">
        <v>743</v>
      </c>
      <c r="C85">
        <v>255</v>
      </c>
      <c r="D85">
        <v>0.31372385966638899</v>
      </c>
      <c r="E85">
        <v>40.854787369767898</v>
      </c>
      <c r="F85">
        <v>1.58748635512287</v>
      </c>
      <c r="G85">
        <v>-692.30447610828492</v>
      </c>
      <c r="H85">
        <v>-563.43010007823909</v>
      </c>
      <c r="I85">
        <v>126.829872611065</v>
      </c>
      <c r="J85">
        <v>66.605865120556402</v>
      </c>
      <c r="K85">
        <v>25.735520332460101</v>
      </c>
      <c r="L85">
        <v>6.2274925713652043E-4</v>
      </c>
      <c r="M85">
        <v>1.0357433516272195E-4</v>
      </c>
      <c r="N85" s="1">
        <v>1.0877484632859599E-5</v>
      </c>
      <c r="O85" s="1">
        <v>2.3735845650403199E-6</v>
      </c>
      <c r="P85" s="1">
        <v>-8.4844461926681797E-6</v>
      </c>
    </row>
    <row r="86" spans="1:16" x14ac:dyDescent="0.2">
      <c r="A86">
        <v>85</v>
      </c>
      <c r="B86">
        <v>742</v>
      </c>
      <c r="C86">
        <v>255</v>
      </c>
      <c r="D86">
        <v>0.31297887011771702</v>
      </c>
      <c r="E86">
        <v>67.515777102322701</v>
      </c>
      <c r="F86">
        <v>1.75122897894555</v>
      </c>
      <c r="G86">
        <v>-1126.8798856991646</v>
      </c>
      <c r="H86">
        <v>-932.29300169433816</v>
      </c>
      <c r="I86">
        <v>191.68755387739401</v>
      </c>
      <c r="J86">
        <v>102.75996150711499</v>
      </c>
      <c r="K86">
        <v>38.553369041994202</v>
      </c>
      <c r="L86">
        <v>5.2143998742516437E-4</v>
      </c>
      <c r="M86">
        <v>8.6195863984532366E-5</v>
      </c>
      <c r="N86" s="1">
        <v>1.34871531605627E-5</v>
      </c>
      <c r="O86" s="1">
        <v>2.9484954634154798E-6</v>
      </c>
      <c r="P86" s="1">
        <v>-1.05722991811684E-5</v>
      </c>
    </row>
    <row r="87" spans="1:16" x14ac:dyDescent="0.2">
      <c r="A87">
        <v>86</v>
      </c>
      <c r="B87">
        <v>741</v>
      </c>
      <c r="C87">
        <v>255</v>
      </c>
      <c r="D87">
        <v>0.31223241137898899</v>
      </c>
      <c r="E87">
        <v>92.057230465927802</v>
      </c>
      <c r="F87">
        <v>1.8293630177623299</v>
      </c>
      <c r="G87">
        <v>-1526.0599654579732</v>
      </c>
      <c r="H87">
        <v>-1271.2049523076644</v>
      </c>
      <c r="I87">
        <v>251.30465200467299</v>
      </c>
      <c r="J87">
        <v>136.04904708814701</v>
      </c>
      <c r="K87">
        <v>50.322013494364697</v>
      </c>
      <c r="L87">
        <v>4.7401399570248484E-4</v>
      </c>
      <c r="M87">
        <v>7.7980235324869639E-5</v>
      </c>
      <c r="N87" s="1">
        <v>1.5923590806623899E-5</v>
      </c>
      <c r="O87" s="1">
        <v>3.4732916369842701E-6</v>
      </c>
      <c r="P87" s="1">
        <v>-1.2493144909555499E-5</v>
      </c>
    </row>
    <row r="88" spans="1:16" x14ac:dyDescent="0.2">
      <c r="A88">
        <v>87</v>
      </c>
      <c r="B88">
        <v>740</v>
      </c>
      <c r="C88">
        <v>255</v>
      </c>
      <c r="D88">
        <v>0.31148447909983901</v>
      </c>
      <c r="E88">
        <v>99.117044316044797</v>
      </c>
      <c r="F88">
        <v>1.84622265356576</v>
      </c>
      <c r="G88">
        <v>-1640.7010133804808</v>
      </c>
      <c r="H88">
        <v>-1368.8442141975545</v>
      </c>
      <c r="I88">
        <v>268.33405408859301</v>
      </c>
      <c r="J88">
        <v>145.65827365325299</v>
      </c>
      <c r="K88">
        <v>53.686398075882899</v>
      </c>
      <c r="L88">
        <v>4.6414387427580012E-4</v>
      </c>
      <c r="M88">
        <v>7.6123102491826308E-5</v>
      </c>
      <c r="N88" s="1">
        <v>1.6707345622386899E-5</v>
      </c>
      <c r="O88" s="1">
        <v>3.6138698410990499E-6</v>
      </c>
      <c r="P88" s="1">
        <v>-1.3040076216890901E-5</v>
      </c>
    </row>
    <row r="89" spans="1:16" x14ac:dyDescent="0.2">
      <c r="A89">
        <v>88</v>
      </c>
      <c r="B89">
        <v>757</v>
      </c>
      <c r="C89">
        <v>240</v>
      </c>
      <c r="D89">
        <v>0.340018929282145</v>
      </c>
      <c r="E89">
        <v>4.6790875129094402</v>
      </c>
      <c r="F89">
        <v>0.51317002723357097</v>
      </c>
      <c r="G89">
        <v>-101.6999600256099</v>
      </c>
      <c r="H89">
        <v>-59.470950743318383</v>
      </c>
      <c r="I89">
        <v>40.9956675663692</v>
      </c>
      <c r="J89">
        <v>18.314281269159501</v>
      </c>
      <c r="K89">
        <v>9.1180062447016894</v>
      </c>
      <c r="L89">
        <v>1.3377124825460231E-3</v>
      </c>
      <c r="M89">
        <v>2.4594200378070396E-4</v>
      </c>
      <c r="N89" s="1">
        <v>7.14039343500869E-6</v>
      </c>
      <c r="O89" s="1">
        <v>2.19540460329889E-6</v>
      </c>
      <c r="P89" s="1">
        <v>-7.0068261176886803E-6</v>
      </c>
    </row>
    <row r="90" spans="1:16" x14ac:dyDescent="0.2">
      <c r="A90">
        <v>89</v>
      </c>
      <c r="B90">
        <v>756</v>
      </c>
      <c r="C90">
        <v>240</v>
      </c>
      <c r="D90">
        <v>0.33930962444735902</v>
      </c>
      <c r="E90">
        <v>4.7637019407193799</v>
      </c>
      <c r="F90">
        <v>0.52080993567739697</v>
      </c>
      <c r="G90">
        <v>-103.06630480808924</v>
      </c>
      <c r="H90">
        <v>-60.690911083975344</v>
      </c>
      <c r="I90">
        <v>41.177742988859201</v>
      </c>
      <c r="J90">
        <v>18.4355598533189</v>
      </c>
      <c r="K90">
        <v>9.1467186287900102</v>
      </c>
      <c r="L90">
        <v>1.334127890260761E-3</v>
      </c>
      <c r="M90">
        <v>2.446648232325666E-4</v>
      </c>
      <c r="N90" s="1">
        <v>7.2242109426878902E-6</v>
      </c>
      <c r="O90" s="1">
        <v>2.1903637736041899E-6</v>
      </c>
      <c r="P90" s="1">
        <v>-7.0137437276579796E-6</v>
      </c>
    </row>
    <row r="91" spans="1:16" x14ac:dyDescent="0.2">
      <c r="A91">
        <v>90</v>
      </c>
      <c r="B91">
        <v>755</v>
      </c>
      <c r="C91">
        <v>240</v>
      </c>
      <c r="D91">
        <v>0.338598939843407</v>
      </c>
      <c r="E91">
        <v>4.9768368945485202</v>
      </c>
      <c r="F91">
        <v>0.53889466428029298</v>
      </c>
      <c r="G91">
        <v>-106.56169147048081</v>
      </c>
      <c r="H91">
        <v>-63.738737026813276</v>
      </c>
      <c r="I91">
        <v>41.653106225468498</v>
      </c>
      <c r="J91">
        <v>18.722301813731399</v>
      </c>
      <c r="K91">
        <v>9.2352684567682708</v>
      </c>
      <c r="L91">
        <v>1.3236282816474192E-3</v>
      </c>
      <c r="M91">
        <v>2.4213331588201936E-4</v>
      </c>
      <c r="N91" s="1">
        <v>7.3177403561662401E-6</v>
      </c>
      <c r="O91" s="1">
        <v>2.1880968409355998E-6</v>
      </c>
      <c r="P91" s="1">
        <v>-7.0295617072133698E-6</v>
      </c>
    </row>
    <row r="92" spans="1:16" x14ac:dyDescent="0.2">
      <c r="A92">
        <v>91</v>
      </c>
      <c r="B92">
        <v>754</v>
      </c>
      <c r="C92">
        <v>240</v>
      </c>
      <c r="D92">
        <v>0.33788687144039198</v>
      </c>
      <c r="E92">
        <v>5.1889564141359203</v>
      </c>
      <c r="F92">
        <v>0.55655928789700404</v>
      </c>
      <c r="G92">
        <v>-110.03922161949836</v>
      </c>
      <c r="H92">
        <v>-66.772704678307832</v>
      </c>
      <c r="I92">
        <v>42.125502485766802</v>
      </c>
      <c r="J92">
        <v>19.007675120819101</v>
      </c>
      <c r="K92">
        <v>9.32327701104896</v>
      </c>
      <c r="L92">
        <v>1.3133758059185264E-3</v>
      </c>
      <c r="M92">
        <v>2.396572710924184E-4</v>
      </c>
      <c r="N92" s="1">
        <v>7.4117183687849601E-6</v>
      </c>
      <c r="O92" s="1">
        <v>2.18575765718078E-6</v>
      </c>
      <c r="P92" s="1">
        <v>-7.0451942139308799E-6</v>
      </c>
    </row>
    <row r="93" spans="1:16" x14ac:dyDescent="0.2">
      <c r="A93">
        <v>92</v>
      </c>
      <c r="B93">
        <v>753</v>
      </c>
      <c r="C93">
        <v>240</v>
      </c>
      <c r="D93">
        <v>0.33717341519271199</v>
      </c>
      <c r="E93">
        <v>5.4000684744993599</v>
      </c>
      <c r="F93">
        <v>0.57381921586819995</v>
      </c>
      <c r="G93">
        <v>-113.49903595825272</v>
      </c>
      <c r="H93">
        <v>-69.792923244329785</v>
      </c>
      <c r="I93">
        <v>42.594953790496596</v>
      </c>
      <c r="J93">
        <v>19.291689751030699</v>
      </c>
      <c r="K93">
        <v>9.4107487605289499</v>
      </c>
      <c r="L93">
        <v>1.3033612272591961E-3</v>
      </c>
      <c r="M93">
        <v>2.372346562690124E-4</v>
      </c>
      <c r="N93" s="1">
        <v>7.5061400771981604E-6</v>
      </c>
      <c r="O93" s="1">
        <v>2.1833467787093498E-6</v>
      </c>
      <c r="P93" s="1">
        <v>-7.0606406948844797E-6</v>
      </c>
    </row>
    <row r="94" spans="1:16" x14ac:dyDescent="0.2">
      <c r="A94">
        <v>93</v>
      </c>
      <c r="B94">
        <v>752</v>
      </c>
      <c r="C94">
        <v>240</v>
      </c>
      <c r="D94">
        <v>0.33645856703896998</v>
      </c>
      <c r="E94">
        <v>5.61018097074962</v>
      </c>
      <c r="F94">
        <v>0.59068911227820098</v>
      </c>
      <c r="G94">
        <v>-116.94127377932563</v>
      </c>
      <c r="H94">
        <v>-72.799500837107175</v>
      </c>
      <c r="I94">
        <v>43.061481937207098</v>
      </c>
      <c r="J94">
        <v>19.574355572922901</v>
      </c>
      <c r="K94">
        <v>9.4976881309221604</v>
      </c>
      <c r="L94">
        <v>1.293575756057974E-3</v>
      </c>
      <c r="M94">
        <v>2.3486353734358174E-4</v>
      </c>
      <c r="N94" s="1">
        <v>7.6010005038690697E-6</v>
      </c>
      <c r="O94" s="1">
        <v>2.1808647608814202E-6</v>
      </c>
      <c r="P94" s="1">
        <v>-7.0759005971290504E-6</v>
      </c>
    </row>
    <row r="95" spans="1:16" x14ac:dyDescent="0.2">
      <c r="A95">
        <v>94</v>
      </c>
      <c r="B95">
        <v>751</v>
      </c>
      <c r="C95">
        <v>240</v>
      </c>
      <c r="D95">
        <v>0.33574232290192102</v>
      </c>
      <c r="E95">
        <v>5.8193017129345304</v>
      </c>
      <c r="F95">
        <v>0.60718293998564399</v>
      </c>
      <c r="G95">
        <v>-120.3660728800903</v>
      </c>
      <c r="H95">
        <v>-75.792544401444573</v>
      </c>
      <c r="I95">
        <v>43.525108488523699</v>
      </c>
      <c r="J95">
        <v>19.855682340391301</v>
      </c>
      <c r="K95">
        <v>9.5840995023215303</v>
      </c>
      <c r="L95">
        <v>1.2840110225894737E-3</v>
      </c>
      <c r="M95">
        <v>2.3254207294901724E-4</v>
      </c>
      <c r="N95" s="1">
        <v>7.6962945967865495E-6</v>
      </c>
      <c r="O95" s="1">
        <v>2.1783121579436802E-6</v>
      </c>
      <c r="P95" s="1">
        <v>-7.0909733674770998E-6</v>
      </c>
    </row>
    <row r="96" spans="1:16" x14ac:dyDescent="0.2">
      <c r="A96">
        <v>95</v>
      </c>
      <c r="B96">
        <v>750</v>
      </c>
      <c r="C96">
        <v>240</v>
      </c>
      <c r="D96">
        <v>0.335024678688366</v>
      </c>
      <c r="E96">
        <v>6.0274384302054997</v>
      </c>
      <c r="F96">
        <v>0.62331400223301403</v>
      </c>
      <c r="G96">
        <v>-123.77356963308415</v>
      </c>
      <c r="H96">
        <v>-78.772159773353309</v>
      </c>
      <c r="I96">
        <v>43.985854782476302</v>
      </c>
      <c r="J96">
        <v>20.135679698230199</v>
      </c>
      <c r="K96">
        <v>9.6699872112807999</v>
      </c>
      <c r="L96">
        <v>1.274659052099944E-3</v>
      </c>
      <c r="M96">
        <v>2.3026850892272788E-4</v>
      </c>
      <c r="N96" s="1">
        <v>7.7920172300605105E-6</v>
      </c>
      <c r="O96" s="1">
        <v>2.1756895231802799E-6</v>
      </c>
      <c r="P96" s="1">
        <v>-7.1058584530999499E-6</v>
      </c>
    </row>
    <row r="97" spans="1:16" x14ac:dyDescent="0.2">
      <c r="A97">
        <v>96</v>
      </c>
      <c r="B97">
        <v>749</v>
      </c>
      <c r="C97">
        <v>240</v>
      </c>
      <c r="D97">
        <v>0.33430563028909699</v>
      </c>
      <c r="E97">
        <v>6.2345987712476303</v>
      </c>
      <c r="F97">
        <v>0.639094981067866</v>
      </c>
      <c r="G97">
        <v>-127.16389899431118</v>
      </c>
      <c r="H97">
        <v>-81.738451685593759</v>
      </c>
      <c r="I97">
        <v>44.443741934100998</v>
      </c>
      <c r="J97">
        <v>20.414357182802</v>
      </c>
      <c r="K97">
        <v>9.7553555511110606</v>
      </c>
      <c r="L97">
        <v>1.265512241819314E-3</v>
      </c>
      <c r="M97">
        <v>2.2804117322785191E-4</v>
      </c>
      <c r="N97" s="1">
        <v>7.8881632042506202E-6</v>
      </c>
      <c r="O97" s="1">
        <v>2.1729974089682401E-6</v>
      </c>
      <c r="P97" s="1">
        <v>-7.1205553018298301E-6</v>
      </c>
    </row>
    <row r="98" spans="1:16" x14ac:dyDescent="0.2">
      <c r="A98">
        <v>97</v>
      </c>
      <c r="B98">
        <v>748</v>
      </c>
      <c r="C98">
        <v>240</v>
      </c>
      <c r="D98">
        <v>0.33358517357881101</v>
      </c>
      <c r="E98">
        <v>6.4407903056105402</v>
      </c>
      <c r="F98">
        <v>0.654537973180493</v>
      </c>
      <c r="G98">
        <v>-130.53719452603573</v>
      </c>
      <c r="H98">
        <v>-84.691523786159479</v>
      </c>
      <c r="I98">
        <v>44.8987908385689</v>
      </c>
      <c r="J98">
        <v>20.691724223658099</v>
      </c>
      <c r="K98">
        <v>9.8402087724778209</v>
      </c>
      <c r="L98">
        <v>1.2565633395145246E-3</v>
      </c>
      <c r="M98">
        <v>2.2585847121692871E-4</v>
      </c>
      <c r="N98" s="1">
        <v>7.9847272466375904E-6</v>
      </c>
      <c r="O98" s="1">
        <v>2.1702363668164E-6</v>
      </c>
      <c r="P98" s="1">
        <v>-7.1350633624088801E-6</v>
      </c>
    </row>
    <row r="99" spans="1:16" x14ac:dyDescent="0.2">
      <c r="A99">
        <v>98</v>
      </c>
      <c r="B99">
        <v>747</v>
      </c>
      <c r="C99">
        <v>240</v>
      </c>
      <c r="D99">
        <v>0.33286330441601902</v>
      </c>
      <c r="E99">
        <v>6.6460205240858796</v>
      </c>
      <c r="F99">
        <v>0.66965452320952201</v>
      </c>
      <c r="G99">
        <v>-133.89358840461185</v>
      </c>
      <c r="H99">
        <v>-87.631478642961355</v>
      </c>
      <c r="I99">
        <v>45.351022173191303</v>
      </c>
      <c r="J99">
        <v>20.9677901443583</v>
      </c>
      <c r="K99">
        <v>9.9245510837928794</v>
      </c>
      <c r="L99">
        <v>1.2478054235636976E-3</v>
      </c>
      <c r="M99">
        <v>2.2371888122908263E-4</v>
      </c>
      <c r="N99" s="1">
        <v>8.0817040117198394E-6</v>
      </c>
      <c r="O99" s="1">
        <v>2.1674069474538099E-6</v>
      </c>
      <c r="P99" s="1">
        <v>-7.1493820849079104E-6</v>
      </c>
    </row>
    <row r="100" spans="1:16" x14ac:dyDescent="0.2">
      <c r="A100">
        <v>99</v>
      </c>
      <c r="B100">
        <v>746</v>
      </c>
      <c r="C100">
        <v>240</v>
      </c>
      <c r="D100">
        <v>0.33214001864298798</v>
      </c>
      <c r="E100">
        <v>31.847047501245299</v>
      </c>
      <c r="F100">
        <v>1.43972994371246</v>
      </c>
      <c r="G100">
        <v>-546.69121195416847</v>
      </c>
      <c r="H100">
        <v>-438.03050612591551</v>
      </c>
      <c r="I100">
        <v>106.622479119562</v>
      </c>
      <c r="J100">
        <v>55.062776593683502</v>
      </c>
      <c r="K100">
        <v>22.120153602643601</v>
      </c>
      <c r="L100">
        <v>7.434276516110975E-4</v>
      </c>
      <c r="M100">
        <v>1.3211135358083027E-4</v>
      </c>
      <c r="N100" s="1">
        <v>1.05099147721351E-5</v>
      </c>
      <c r="O100" s="1">
        <v>2.8375066780956502E-6</v>
      </c>
      <c r="P100" s="1">
        <v>-9.3898702934545994E-6</v>
      </c>
    </row>
    <row r="101" spans="1:16" x14ac:dyDescent="0.2">
      <c r="A101">
        <v>100</v>
      </c>
      <c r="B101">
        <v>745</v>
      </c>
      <c r="C101">
        <v>240</v>
      </c>
      <c r="D101">
        <v>0.33141531208564601</v>
      </c>
      <c r="E101">
        <v>48.538923797107003</v>
      </c>
      <c r="F101">
        <v>1.60863818779164</v>
      </c>
      <c r="G101">
        <v>-819.79329574462179</v>
      </c>
      <c r="H101">
        <v>-670.06691708537028</v>
      </c>
      <c r="I101">
        <v>147.06137119677601</v>
      </c>
      <c r="J101">
        <v>77.6210575302661</v>
      </c>
      <c r="K101">
        <v>30.173922368299401</v>
      </c>
      <c r="L101">
        <v>6.3303233733989642E-4</v>
      </c>
      <c r="M101">
        <v>1.1190085698147193E-4</v>
      </c>
      <c r="N101" s="1">
        <v>1.2161628164149101E-5</v>
      </c>
      <c r="O101" s="1">
        <v>3.2702363003497501E-6</v>
      </c>
      <c r="P101" s="1">
        <v>-1.08572847169291E-5</v>
      </c>
    </row>
    <row r="102" spans="1:16" x14ac:dyDescent="0.2">
      <c r="A102">
        <v>101</v>
      </c>
      <c r="B102">
        <v>744</v>
      </c>
      <c r="C102">
        <v>240</v>
      </c>
      <c r="D102">
        <v>0.33068918055350899</v>
      </c>
      <c r="E102">
        <v>80.206721963930093</v>
      </c>
      <c r="F102">
        <v>1.76655265193904</v>
      </c>
      <c r="G102">
        <v>-1334.988964411466</v>
      </c>
      <c r="H102">
        <v>-1107.4432389334395</v>
      </c>
      <c r="I102">
        <v>223.714252462453</v>
      </c>
      <c r="J102">
        <v>120.34140073980601</v>
      </c>
      <c r="K102">
        <v>45.402961454837801</v>
      </c>
      <c r="L102">
        <v>5.3204744006833248E-4</v>
      </c>
      <c r="M102">
        <v>9.34768566431771E-5</v>
      </c>
      <c r="N102" s="1">
        <v>1.52499890985225E-5</v>
      </c>
      <c r="O102" s="1">
        <v>4.0975959484580098E-6</v>
      </c>
      <c r="P102" s="1">
        <v>-1.36485030929298E-5</v>
      </c>
    </row>
    <row r="103" spans="1:16" x14ac:dyDescent="0.2">
      <c r="A103">
        <v>102</v>
      </c>
      <c r="B103">
        <v>743</v>
      </c>
      <c r="C103">
        <v>240</v>
      </c>
      <c r="D103">
        <v>0.32996161983958999</v>
      </c>
      <c r="E103">
        <v>96.239943133359901</v>
      </c>
      <c r="F103">
        <v>1.8129500275038599</v>
      </c>
      <c r="G103">
        <v>-1595.6668642156142</v>
      </c>
      <c r="H103">
        <v>-1329.0350317476441</v>
      </c>
      <c r="I103">
        <v>262.399841718544</v>
      </c>
      <c r="J103">
        <v>141.997640726302</v>
      </c>
      <c r="K103">
        <v>53.084719199826203</v>
      </c>
      <c r="L103">
        <v>5.0296669232052522E-4</v>
      </c>
      <c r="M103">
        <v>8.8022626263253379E-5</v>
      </c>
      <c r="N103" s="1">
        <v>1.6896475396816099E-5</v>
      </c>
      <c r="O103" s="1">
        <v>4.5051338340279097E-6</v>
      </c>
      <c r="P103" s="1">
        <v>-1.50554495658836E-5</v>
      </c>
    </row>
    <row r="104" spans="1:16" x14ac:dyDescent="0.2">
      <c r="A104">
        <v>103</v>
      </c>
      <c r="B104">
        <v>742</v>
      </c>
      <c r="C104">
        <v>240</v>
      </c>
      <c r="D104">
        <v>0.32923262572033701</v>
      </c>
      <c r="E104">
        <v>100.578542393316</v>
      </c>
      <c r="F104">
        <v>1.82399560648891</v>
      </c>
      <c r="G104">
        <v>-1665.9949396313868</v>
      </c>
      <c r="H104">
        <v>-1389.1195330755977</v>
      </c>
      <c r="I104">
        <v>272.74916930983198</v>
      </c>
      <c r="J104">
        <v>147.888557613963</v>
      </c>
      <c r="K104">
        <v>55.141877554696897</v>
      </c>
      <c r="L104">
        <v>4.9642465132803315E-4</v>
      </c>
      <c r="M104">
        <v>8.6625539924777838E-5</v>
      </c>
      <c r="N104" s="1">
        <v>1.74503415895439E-5</v>
      </c>
      <c r="O104" s="1">
        <v>4.6026826144812399E-6</v>
      </c>
      <c r="P104" s="1">
        <v>-1.5432456020977301E-5</v>
      </c>
    </row>
    <row r="105" spans="1:16" x14ac:dyDescent="0.2">
      <c r="A105">
        <v>104</v>
      </c>
      <c r="B105">
        <v>757</v>
      </c>
      <c r="C105">
        <v>225</v>
      </c>
      <c r="D105">
        <v>0.35603601417269398</v>
      </c>
      <c r="E105">
        <v>4.9198077249041603</v>
      </c>
      <c r="F105">
        <v>0.49351610243928701</v>
      </c>
      <c r="G105">
        <v>-107.07861021739478</v>
      </c>
      <c r="H105">
        <v>-62.469908374432634</v>
      </c>
      <c r="I105">
        <v>43.305846002090099</v>
      </c>
      <c r="J105">
        <v>19.3722374566103</v>
      </c>
      <c r="K105">
        <v>9.9688899725605093</v>
      </c>
      <c r="L105">
        <v>1.4066547857104819E-3</v>
      </c>
      <c r="M105">
        <v>2.7568331144484353E-4</v>
      </c>
      <c r="N105" s="1">
        <v>7.4211001086049399E-6</v>
      </c>
      <c r="O105" s="1">
        <v>2.9283389015500699E-6</v>
      </c>
      <c r="P105" s="1">
        <v>-8.6496851596196E-6</v>
      </c>
    </row>
    <row r="106" spans="1:16" x14ac:dyDescent="0.2">
      <c r="A106">
        <v>105</v>
      </c>
      <c r="B106">
        <v>756</v>
      </c>
      <c r="C106">
        <v>225</v>
      </c>
      <c r="D106">
        <v>0.35534227274935698</v>
      </c>
      <c r="E106">
        <v>5.0240904088557299</v>
      </c>
      <c r="F106">
        <v>0.50215132797782502</v>
      </c>
      <c r="G106">
        <v>-108.76843759038958</v>
      </c>
      <c r="H106">
        <v>-63.971365172888945</v>
      </c>
      <c r="I106">
        <v>43.5309634922463</v>
      </c>
      <c r="J106">
        <v>19.520269318521901</v>
      </c>
      <c r="K106">
        <v>10.005132176166599</v>
      </c>
      <c r="L106">
        <v>1.4024271254388764E-3</v>
      </c>
      <c r="M106">
        <v>2.741404239007483E-4</v>
      </c>
      <c r="N106" s="1">
        <v>7.5258675660921797E-6</v>
      </c>
      <c r="O106" s="1">
        <v>2.9222441326577301E-6</v>
      </c>
      <c r="P106" s="1">
        <v>-8.6613561177594901E-6</v>
      </c>
    </row>
    <row r="107" spans="1:16" x14ac:dyDescent="0.2">
      <c r="A107">
        <v>106</v>
      </c>
      <c r="B107">
        <v>755</v>
      </c>
      <c r="C107">
        <v>225</v>
      </c>
      <c r="D107">
        <v>0.354647181831445</v>
      </c>
      <c r="E107">
        <v>5.23266122025891</v>
      </c>
      <c r="F107">
        <v>0.51859434046947805</v>
      </c>
      <c r="G107">
        <v>-112.18572604189592</v>
      </c>
      <c r="H107">
        <v>-66.956880994918833</v>
      </c>
      <c r="I107">
        <v>43.993259412445703</v>
      </c>
      <c r="J107">
        <v>19.8023101433275</v>
      </c>
      <c r="K107">
        <v>10.0900854712796</v>
      </c>
      <c r="L107">
        <v>1.3928063253501486E-3</v>
      </c>
      <c r="M107">
        <v>2.7155609386417397E-4</v>
      </c>
      <c r="N107" s="1">
        <v>7.6385247214245804E-6</v>
      </c>
      <c r="O107" s="1">
        <v>2.9189126333386701E-6</v>
      </c>
      <c r="P107" s="1">
        <v>-8.6812525530274993E-6</v>
      </c>
    </row>
    <row r="108" spans="1:16" x14ac:dyDescent="0.2">
      <c r="A108">
        <v>107</v>
      </c>
      <c r="B108">
        <v>754</v>
      </c>
      <c r="C108">
        <v>225</v>
      </c>
      <c r="D108">
        <v>0.35395073747748601</v>
      </c>
      <c r="E108">
        <v>5.44025590486934</v>
      </c>
      <c r="F108">
        <v>0.53469439118559403</v>
      </c>
      <c r="G108">
        <v>-115.58584526119802</v>
      </c>
      <c r="H108">
        <v>-69.92907636299573</v>
      </c>
      <c r="I108">
        <v>44.452708409019301</v>
      </c>
      <c r="J108">
        <v>20.0830458338942</v>
      </c>
      <c r="K108">
        <v>10.174514628452499</v>
      </c>
      <c r="L108">
        <v>1.3833895033388091E-3</v>
      </c>
      <c r="M108">
        <v>2.6902201820117673E-4</v>
      </c>
      <c r="N108" s="1">
        <v>7.7518322915628792E-6</v>
      </c>
      <c r="O108" s="1">
        <v>2.91549048485777E-6</v>
      </c>
      <c r="P108" s="1">
        <v>-8.7009419041967992E-6</v>
      </c>
    </row>
    <row r="109" spans="1:16" x14ac:dyDescent="0.2">
      <c r="A109">
        <v>108</v>
      </c>
      <c r="B109">
        <v>753</v>
      </c>
      <c r="C109">
        <v>225</v>
      </c>
      <c r="D109">
        <v>0.35325293573064698</v>
      </c>
      <c r="E109">
        <v>5.6468819887021597</v>
      </c>
      <c r="F109">
        <v>0.55046291908733702</v>
      </c>
      <c r="G109">
        <v>-118.96892816474816</v>
      </c>
      <c r="H109">
        <v>-72.888054332603531</v>
      </c>
      <c r="I109">
        <v>44.909331259098103</v>
      </c>
      <c r="J109">
        <v>20.362485660318601</v>
      </c>
      <c r="K109">
        <v>10.258423942642001</v>
      </c>
      <c r="L109">
        <v>1.3741696616143978E-3</v>
      </c>
      <c r="M109">
        <v>2.6653651908006035E-4</v>
      </c>
      <c r="N109" s="1">
        <v>7.8657847298724695E-6</v>
      </c>
      <c r="O109" s="1">
        <v>2.9119782778299899E-6</v>
      </c>
      <c r="P109" s="1">
        <v>-8.7204230493021693E-6</v>
      </c>
    </row>
    <row r="110" spans="1:16" x14ac:dyDescent="0.2">
      <c r="A110">
        <v>109</v>
      </c>
      <c r="B110">
        <v>752</v>
      </c>
      <c r="C110">
        <v>225</v>
      </c>
      <c r="D110">
        <v>0.35255377261864101</v>
      </c>
      <c r="E110">
        <v>5.85254692073452</v>
      </c>
      <c r="F110">
        <v>0.56591085909478001</v>
      </c>
      <c r="G110">
        <v>-122.33510631192239</v>
      </c>
      <c r="H110">
        <v>-75.833916902959118</v>
      </c>
      <c r="I110">
        <v>45.363148527450797</v>
      </c>
      <c r="J110">
        <v>20.640638788243098</v>
      </c>
      <c r="K110">
        <v>10.3418176673551</v>
      </c>
      <c r="L110">
        <v>1.3651401100101483E-3</v>
      </c>
      <c r="M110">
        <v>2.6409799285620917E-4</v>
      </c>
      <c r="N110" s="1">
        <v>7.9803763696350494E-6</v>
      </c>
      <c r="O110" s="1">
        <v>2.9083766028989798E-6</v>
      </c>
      <c r="P110" s="1">
        <v>-8.7396948633213694E-6</v>
      </c>
    </row>
    <row r="111" spans="1:16" x14ac:dyDescent="0.2">
      <c r="A111">
        <v>110</v>
      </c>
      <c r="B111">
        <v>751</v>
      </c>
      <c r="C111">
        <v>225</v>
      </c>
      <c r="D111">
        <v>0.35185324415369101</v>
      </c>
      <c r="E111">
        <v>6.05725807263536</v>
      </c>
      <c r="F111">
        <v>0.58104866943514</v>
      </c>
      <c r="G111">
        <v>-125.68450990098704</v>
      </c>
      <c r="H111">
        <v>-78.766765012819192</v>
      </c>
      <c r="I111">
        <v>45.814180565603102</v>
      </c>
      <c r="J111">
        <v>20.917514278278301</v>
      </c>
      <c r="K111">
        <v>10.4247000144133</v>
      </c>
      <c r="L111">
        <v>1.3562944493170472E-3</v>
      </c>
      <c r="M111">
        <v>2.6170490604813401E-4</v>
      </c>
      <c r="N111" s="1">
        <v>8.0956014237553203E-6</v>
      </c>
      <c r="O111" s="1">
        <v>2.9046860507341098E-6</v>
      </c>
      <c r="P111" s="1">
        <v>-8.7587562183314797E-6</v>
      </c>
    </row>
    <row r="112" spans="1:16" x14ac:dyDescent="0.2">
      <c r="A112">
        <v>111</v>
      </c>
      <c r="B112">
        <v>750</v>
      </c>
      <c r="C112">
        <v>225</v>
      </c>
      <c r="D112">
        <v>0.35115134633240402</v>
      </c>
      <c r="E112">
        <v>8.1350556825497495</v>
      </c>
      <c r="F112">
        <v>0.71090504902225604</v>
      </c>
      <c r="G112">
        <v>-160.10139103605152</v>
      </c>
      <c r="H112">
        <v>-107.96606648349162</v>
      </c>
      <c r="I112">
        <v>50.9585600136731</v>
      </c>
      <c r="J112">
        <v>23.793262862229799</v>
      </c>
      <c r="K112">
        <v>11.4432380157354</v>
      </c>
      <c r="L112">
        <v>1.2699467522429742E-3</v>
      </c>
      <c r="M112">
        <v>2.4425708349175431E-4</v>
      </c>
      <c r="N112" s="1">
        <v>8.3984308738880196E-6</v>
      </c>
      <c r="O112" s="1">
        <v>2.9742828086229698E-6</v>
      </c>
      <c r="P112" s="1">
        <v>-8.9995437632397201E-6</v>
      </c>
    </row>
    <row r="113" spans="1:16" x14ac:dyDescent="0.2">
      <c r="A113">
        <v>112</v>
      </c>
      <c r="B113">
        <v>749</v>
      </c>
      <c r="C113">
        <v>225</v>
      </c>
      <c r="D113">
        <v>0.350448075135744</v>
      </c>
      <c r="E113">
        <v>23.744160857891298</v>
      </c>
      <c r="F113">
        <v>1.24855324616416</v>
      </c>
      <c r="G113">
        <v>-415.87300429664748</v>
      </c>
      <c r="H113">
        <v>-325.13064082481299</v>
      </c>
      <c r="I113">
        <v>88.779340176780096</v>
      </c>
      <c r="J113">
        <v>44.836013516191201</v>
      </c>
      <c r="K113">
        <v>19.017339413308001</v>
      </c>
      <c r="L113">
        <v>9.034725948248041E-4</v>
      </c>
      <c r="M113">
        <v>1.7266092435261286E-4</v>
      </c>
      <c r="N113" s="1">
        <v>9.8759061596787001E-6</v>
      </c>
      <c r="O113" s="1">
        <v>3.48401857885544E-6</v>
      </c>
      <c r="P113" s="1">
        <v>-1.05778550899479E-5</v>
      </c>
    </row>
    <row r="114" spans="1:16" x14ac:dyDescent="0.2">
      <c r="A114">
        <v>113</v>
      </c>
      <c r="B114">
        <v>748</v>
      </c>
      <c r="C114">
        <v>225</v>
      </c>
      <c r="D114">
        <v>0.34974342652891699</v>
      </c>
      <c r="E114">
        <v>43.353229381988399</v>
      </c>
      <c r="F114">
        <v>1.5207470398265801</v>
      </c>
      <c r="G114">
        <v>-736.75819838927259</v>
      </c>
      <c r="H114">
        <v>-597.7601627725694</v>
      </c>
      <c r="I114">
        <v>136.123106119977</v>
      </c>
      <c r="J114">
        <v>71.212736042237395</v>
      </c>
      <c r="K114">
        <v>28.5078505804175</v>
      </c>
      <c r="L114">
        <v>7.1779173511094256E-4</v>
      </c>
      <c r="M114">
        <v>1.3635264026880934E-4</v>
      </c>
      <c r="N114" s="1">
        <v>1.1716737104869E-5</v>
      </c>
      <c r="O114" s="1">
        <v>4.11356819588597E-6</v>
      </c>
      <c r="P114" s="1">
        <v>-1.25319271946205E-5</v>
      </c>
    </row>
    <row r="115" spans="1:16" x14ac:dyDescent="0.2">
      <c r="A115">
        <v>114</v>
      </c>
      <c r="B115">
        <v>747</v>
      </c>
      <c r="C115">
        <v>225</v>
      </c>
      <c r="D115">
        <v>0.34903739646130499</v>
      </c>
      <c r="E115">
        <v>71.921038053197293</v>
      </c>
      <c r="F115">
        <v>1.7007375176683801</v>
      </c>
      <c r="G115">
        <v>-1202.0123090618417</v>
      </c>
      <c r="H115">
        <v>-992.89518765879086</v>
      </c>
      <c r="I115">
        <v>204.99154188424899</v>
      </c>
      <c r="J115">
        <v>109.580046323354</v>
      </c>
      <c r="K115">
        <v>42.288146939803603</v>
      </c>
      <c r="L115">
        <v>5.9698103925241936E-4</v>
      </c>
      <c r="M115">
        <v>1.127237831319383E-4</v>
      </c>
      <c r="N115" s="1">
        <v>1.4392284479016101E-5</v>
      </c>
      <c r="O115" s="1">
        <v>5.0313319995490901E-6</v>
      </c>
      <c r="P115" s="1">
        <v>-1.5380300172234201E-5</v>
      </c>
    </row>
    <row r="116" spans="1:16" x14ac:dyDescent="0.2">
      <c r="A116">
        <v>115</v>
      </c>
      <c r="B116">
        <v>746</v>
      </c>
      <c r="C116">
        <v>225</v>
      </c>
      <c r="D116">
        <v>0.34832998086640898</v>
      </c>
      <c r="E116">
        <v>92.142786778635895</v>
      </c>
      <c r="F116">
        <v>1.7716280155678901</v>
      </c>
      <c r="G116">
        <v>-1530.795622748793</v>
      </c>
      <c r="H116">
        <v>-1272.3223362305725</v>
      </c>
      <c r="I116">
        <v>253.62207779277699</v>
      </c>
      <c r="J116">
        <v>136.74386281250099</v>
      </c>
      <c r="K116">
        <v>52.010233507793998</v>
      </c>
      <c r="L116">
        <v>5.502047804727061E-4</v>
      </c>
      <c r="M116">
        <v>1.0343678162051145E-4</v>
      </c>
      <c r="N116" s="1">
        <v>1.6365302595042098E-5</v>
      </c>
      <c r="O116" s="1">
        <v>5.6701121967931802E-6</v>
      </c>
      <c r="P116" s="1">
        <v>-1.73926775672125E-5</v>
      </c>
    </row>
    <row r="117" spans="1:16" x14ac:dyDescent="0.2">
      <c r="A117">
        <v>116</v>
      </c>
      <c r="B117">
        <v>745</v>
      </c>
      <c r="C117">
        <v>225</v>
      </c>
      <c r="D117">
        <v>0.347621175661739</v>
      </c>
      <c r="E117">
        <v>99.023977691798393</v>
      </c>
      <c r="F117">
        <v>1.7908682368683799</v>
      </c>
      <c r="G117">
        <v>-1642.4984544380768</v>
      </c>
      <c r="H117">
        <v>-1367.5535886233417</v>
      </c>
      <c r="I117">
        <v>270.04934598104501</v>
      </c>
      <c r="J117">
        <v>146.01386212280701</v>
      </c>
      <c r="K117">
        <v>55.293837733677798</v>
      </c>
      <c r="L117">
        <v>5.37986053180061E-4</v>
      </c>
      <c r="M117">
        <v>1.0081975440206728E-4</v>
      </c>
      <c r="N117" s="1">
        <v>1.71628049555985E-5</v>
      </c>
      <c r="O117" s="1">
        <v>5.8723334351357497E-6</v>
      </c>
      <c r="P117" s="1">
        <v>-1.80753449797859E-5</v>
      </c>
    </row>
    <row r="118" spans="1:16" x14ac:dyDescent="0.2">
      <c r="A118">
        <v>117</v>
      </c>
      <c r="B118">
        <v>757</v>
      </c>
      <c r="C118">
        <v>210</v>
      </c>
      <c r="D118">
        <v>0.37205309906324402</v>
      </c>
      <c r="E118">
        <v>5.1600527476756204</v>
      </c>
      <c r="F118">
        <v>0.47228630828451501</v>
      </c>
      <c r="G118">
        <v>-112.46775632396331</v>
      </c>
      <c r="H118">
        <v>-65.442330207578635</v>
      </c>
      <c r="I118">
        <v>45.651972057885203</v>
      </c>
      <c r="J118">
        <v>20.435079387954399</v>
      </c>
      <c r="K118">
        <v>10.9256877812496</v>
      </c>
      <c r="L118">
        <v>1.4816308393897995E-3</v>
      </c>
      <c r="M118">
        <v>3.1177489648632567E-4</v>
      </c>
      <c r="N118" s="1">
        <v>7.24725285216912E-6</v>
      </c>
      <c r="O118" s="1">
        <v>3.96174515013833E-6</v>
      </c>
      <c r="P118" s="1">
        <v>-1.07210021568504E-5</v>
      </c>
    </row>
    <row r="119" spans="1:16" x14ac:dyDescent="0.2">
      <c r="A119">
        <v>118</v>
      </c>
      <c r="B119">
        <v>756</v>
      </c>
      <c r="C119">
        <v>210</v>
      </c>
      <c r="D119">
        <v>0.371374921051355</v>
      </c>
      <c r="E119">
        <v>5.3123326630252699</v>
      </c>
      <c r="F119">
        <v>0.48371043352866999</v>
      </c>
      <c r="G119">
        <v>-114.95024121568552</v>
      </c>
      <c r="H119">
        <v>-67.628843002061487</v>
      </c>
      <c r="I119">
        <v>45.983924066195897</v>
      </c>
      <c r="J119">
        <v>20.646373925957299</v>
      </c>
      <c r="K119">
        <v>10.982464496934201</v>
      </c>
      <c r="L119">
        <v>1.4754712047902031E-3</v>
      </c>
      <c r="M119">
        <v>3.0964749785210522E-4</v>
      </c>
      <c r="N119" s="1">
        <v>7.37836119281438E-6</v>
      </c>
      <c r="O119" s="1">
        <v>3.9553859288707499E-6</v>
      </c>
      <c r="P119" s="1">
        <v>-1.0742301393035E-5</v>
      </c>
    </row>
    <row r="120" spans="1:16" x14ac:dyDescent="0.2">
      <c r="A120">
        <v>119</v>
      </c>
      <c r="B120">
        <v>755</v>
      </c>
      <c r="C120">
        <v>210</v>
      </c>
      <c r="D120">
        <v>0.37069542381948001</v>
      </c>
      <c r="E120">
        <v>5.51601808774367</v>
      </c>
      <c r="F120">
        <v>0.49858631706233802</v>
      </c>
      <c r="G120">
        <v>-118.28374320983316</v>
      </c>
      <c r="H120">
        <v>-70.547513786113569</v>
      </c>
      <c r="I120">
        <v>46.432127898899999</v>
      </c>
      <c r="J120">
        <v>20.9235734813862</v>
      </c>
      <c r="K120">
        <v>11.0633162182306</v>
      </c>
      <c r="L120">
        <v>1.4668063225408846E-3</v>
      </c>
      <c r="M120">
        <v>3.0700587680114661E-4</v>
      </c>
      <c r="N120" s="1">
        <v>7.5136829269735702E-6</v>
      </c>
      <c r="O120" s="1">
        <v>3.9506881731400801E-6</v>
      </c>
      <c r="P120" s="1">
        <v>-1.07681897773217E-5</v>
      </c>
    </row>
    <row r="121" spans="1:16" x14ac:dyDescent="0.2">
      <c r="A121">
        <v>120</v>
      </c>
      <c r="B121">
        <v>754</v>
      </c>
      <c r="C121">
        <v>210</v>
      </c>
      <c r="D121">
        <v>0.37001460351457899</v>
      </c>
      <c r="E121">
        <v>6.5526664348499999</v>
      </c>
      <c r="F121">
        <v>0.56673375373914603</v>
      </c>
      <c r="G121">
        <v>-135.44030115028036</v>
      </c>
      <c r="H121">
        <v>-85.155234543058683</v>
      </c>
      <c r="I121">
        <v>48.958833621834998</v>
      </c>
      <c r="J121">
        <v>22.350288038037299</v>
      </c>
      <c r="K121">
        <v>11.562160170657499</v>
      </c>
      <c r="L121">
        <v>1.4206887672369834E-3</v>
      </c>
      <c r="M121">
        <v>2.9648410327450339E-4</v>
      </c>
      <c r="N121" s="1">
        <v>7.7214495233036203E-6</v>
      </c>
      <c r="O121" s="1">
        <v>3.9869026633599601E-6</v>
      </c>
      <c r="P121" s="1">
        <v>-1.0906052645542401E-5</v>
      </c>
    </row>
    <row r="122" spans="1:16" x14ac:dyDescent="0.2">
      <c r="A122">
        <v>121</v>
      </c>
      <c r="B122">
        <v>753</v>
      </c>
      <c r="C122">
        <v>210</v>
      </c>
      <c r="D122">
        <v>0.36933245626858002</v>
      </c>
      <c r="E122">
        <v>9.0547029768405398</v>
      </c>
      <c r="F122">
        <v>0.707692269589689</v>
      </c>
      <c r="G122">
        <v>-176.87969909057881</v>
      </c>
      <c r="H122">
        <v>-120.3084017663066</v>
      </c>
      <c r="I122">
        <v>55.132667562135403</v>
      </c>
      <c r="J122">
        <v>25.7971302767724</v>
      </c>
      <c r="K122">
        <v>12.7946896778883</v>
      </c>
      <c r="L122">
        <v>1.3231658133037846E-3</v>
      </c>
      <c r="M122">
        <v>2.7521048880873629E-4</v>
      </c>
      <c r="N122" s="1">
        <v>8.0583805057742903E-6</v>
      </c>
      <c r="O122" s="1">
        <v>4.0939119143204399E-6</v>
      </c>
      <c r="P122" s="1">
        <v>-1.12391125872114E-5</v>
      </c>
    </row>
    <row r="123" spans="1:16" x14ac:dyDescent="0.2">
      <c r="A123">
        <v>122</v>
      </c>
      <c r="B123">
        <v>752</v>
      </c>
      <c r="C123">
        <v>210</v>
      </c>
      <c r="D123">
        <v>0.36864897819831499</v>
      </c>
      <c r="E123">
        <v>19.232749426852799</v>
      </c>
      <c r="F123">
        <v>1.08307695678038</v>
      </c>
      <c r="G123">
        <v>-343.84645817239834</v>
      </c>
      <c r="H123">
        <v>-262.08563760955241</v>
      </c>
      <c r="I123">
        <v>79.758314399717804</v>
      </c>
      <c r="J123">
        <v>39.4973474178869</v>
      </c>
      <c r="K123">
        <v>17.7575095716421</v>
      </c>
      <c r="L123">
        <v>1.0574758416740718E-3</v>
      </c>
      <c r="M123">
        <v>2.1884641279095661E-4</v>
      </c>
      <c r="N123" s="1">
        <v>8.9811092913484603E-6</v>
      </c>
      <c r="O123" s="1">
        <v>4.5116398581690598E-6</v>
      </c>
      <c r="P123" s="1">
        <v>-1.2430365329810801E-5</v>
      </c>
    </row>
    <row r="124" spans="1:16" x14ac:dyDescent="0.2">
      <c r="A124">
        <v>123</v>
      </c>
      <c r="B124">
        <v>751</v>
      </c>
      <c r="C124">
        <v>210</v>
      </c>
      <c r="D124">
        <v>0.36796416540546001</v>
      </c>
      <c r="E124">
        <v>40.277488706974196</v>
      </c>
      <c r="F124">
        <v>1.4394286744648399</v>
      </c>
      <c r="G124">
        <v>-688.26407954920649</v>
      </c>
      <c r="H124">
        <v>-554.7322368896705</v>
      </c>
      <c r="I124">
        <v>130.387064728224</v>
      </c>
      <c r="J124">
        <v>67.676691835125595</v>
      </c>
      <c r="K124">
        <v>27.981580068181199</v>
      </c>
      <c r="L124">
        <v>8.0405887280904169E-4</v>
      </c>
      <c r="M124">
        <v>1.6535229786444265E-4</v>
      </c>
      <c r="N124" s="1">
        <v>1.0747846977941499E-5</v>
      </c>
      <c r="O124" s="1">
        <v>5.3589235611169802E-6</v>
      </c>
      <c r="P124" s="1">
        <v>-1.4817634636587E-5</v>
      </c>
    </row>
    <row r="125" spans="1:16" x14ac:dyDescent="0.2">
      <c r="A125">
        <v>124</v>
      </c>
      <c r="B125">
        <v>750</v>
      </c>
      <c r="C125">
        <v>210</v>
      </c>
      <c r="D125">
        <v>0.36727801397644499</v>
      </c>
      <c r="E125">
        <v>53.531994155866897</v>
      </c>
      <c r="F125">
        <v>1.5559160831558001</v>
      </c>
      <c r="G125">
        <v>-905.05726755118008</v>
      </c>
      <c r="H125">
        <v>-739.1058949608032</v>
      </c>
      <c r="I125">
        <v>162.200902743352</v>
      </c>
      <c r="J125">
        <v>85.434868461030305</v>
      </c>
      <c r="K125">
        <v>34.4054507408201</v>
      </c>
      <c r="L125">
        <v>7.217487893517885E-4</v>
      </c>
      <c r="M125">
        <v>1.477681588033793E-4</v>
      </c>
      <c r="N125" s="1">
        <v>1.1948361487379501E-5</v>
      </c>
      <c r="O125" s="1">
        <v>5.8818934604075998E-6</v>
      </c>
      <c r="P125" s="1">
        <v>-1.63222584499463E-5</v>
      </c>
    </row>
    <row r="126" spans="1:16" x14ac:dyDescent="0.2">
      <c r="A126">
        <v>125</v>
      </c>
      <c r="B126">
        <v>749</v>
      </c>
      <c r="C126">
        <v>210</v>
      </c>
      <c r="D126">
        <v>0.36659051998239101</v>
      </c>
      <c r="E126">
        <v>87.916367414987107</v>
      </c>
      <c r="F126">
        <v>1.7234112617783399</v>
      </c>
      <c r="G126">
        <v>-1463.8487070812143</v>
      </c>
      <c r="H126">
        <v>-1213.7781480485487</v>
      </c>
      <c r="I126">
        <v>244.656955670424</v>
      </c>
      <c r="J126">
        <v>131.36082683936601</v>
      </c>
      <c r="K126">
        <v>51.012993453616197</v>
      </c>
      <c r="L126">
        <v>6.0567878076742783E-4</v>
      </c>
      <c r="M126">
        <v>1.232641943253259E-4</v>
      </c>
      <c r="N126" s="1">
        <v>1.48597775026767E-5</v>
      </c>
      <c r="O126" s="1">
        <v>7.2594477627783502E-6</v>
      </c>
      <c r="P126" s="1">
        <v>-2.0217279133366001E-5</v>
      </c>
    </row>
    <row r="127" spans="1:16" x14ac:dyDescent="0.2">
      <c r="A127">
        <v>126</v>
      </c>
      <c r="B127">
        <v>748</v>
      </c>
      <c r="C127">
        <v>210</v>
      </c>
      <c r="D127">
        <v>0.36590167947901903</v>
      </c>
      <c r="E127">
        <v>97.552959745637494</v>
      </c>
      <c r="F127">
        <v>1.7534247121627</v>
      </c>
      <c r="G127">
        <v>-1620.379924280501</v>
      </c>
      <c r="H127">
        <v>-1347.1025338601805</v>
      </c>
      <c r="I127">
        <v>267.62300932156103</v>
      </c>
      <c r="J127">
        <v>144.261534206639</v>
      </c>
      <c r="K127">
        <v>55.635670621588297</v>
      </c>
      <c r="L127">
        <v>5.8551956931697806E-4</v>
      </c>
      <c r="M127">
        <v>1.187516953174732E-4</v>
      </c>
      <c r="N127" s="1">
        <v>1.5846746697707799E-5</v>
      </c>
      <c r="O127" s="1">
        <v>7.6239417358109598E-6</v>
      </c>
      <c r="P127" s="1">
        <v>-2.1309249375457501E-5</v>
      </c>
    </row>
    <row r="128" spans="1:16" x14ac:dyDescent="0.2">
      <c r="A128">
        <v>127</v>
      </c>
      <c r="B128">
        <v>747</v>
      </c>
      <c r="C128">
        <v>210</v>
      </c>
      <c r="D128">
        <v>0.36521148850659502</v>
      </c>
      <c r="E128">
        <v>101.05228318942901</v>
      </c>
      <c r="F128">
        <v>1.7638281638240001</v>
      </c>
      <c r="G128">
        <v>-1677.0323986980657</v>
      </c>
      <c r="H128">
        <v>-1395.6218599212791</v>
      </c>
      <c r="I128">
        <v>275.85795430739802</v>
      </c>
      <c r="J128">
        <v>148.97350038628599</v>
      </c>
      <c r="K128">
        <v>57.291455744955897</v>
      </c>
      <c r="L128">
        <v>5.7902558642070122E-4</v>
      </c>
      <c r="M128">
        <v>1.1708512569234585E-4</v>
      </c>
      <c r="N128" s="1">
        <v>1.6355335547602001E-5</v>
      </c>
      <c r="O128" s="1">
        <v>7.73940653217588E-6</v>
      </c>
      <c r="P128" s="1">
        <v>-2.1710483027502599E-5</v>
      </c>
    </row>
    <row r="129" spans="1:16" x14ac:dyDescent="0.2">
      <c r="A129">
        <v>128</v>
      </c>
      <c r="B129">
        <v>759</v>
      </c>
      <c r="C129">
        <v>195</v>
      </c>
      <c r="D129">
        <v>0.38939156130407598</v>
      </c>
      <c r="E129">
        <v>5.3998876192525103</v>
      </c>
      <c r="F129">
        <v>0.44786796074135798</v>
      </c>
      <c r="G129">
        <v>-117.96704895731662</v>
      </c>
      <c r="H129">
        <v>-68.341300387616059</v>
      </c>
      <c r="I129">
        <v>48.082971193128301</v>
      </c>
      <c r="J129">
        <v>21.460718189817701</v>
      </c>
      <c r="K129">
        <v>12.0568741070784</v>
      </c>
      <c r="L129">
        <v>1.558324849206414E-3</v>
      </c>
      <c r="M129">
        <v>3.5706488191763059E-4</v>
      </c>
      <c r="N129" s="1">
        <v>5.9816368102284303E-6</v>
      </c>
      <c r="O129" s="1">
        <v>5.4756430250371901E-6</v>
      </c>
      <c r="P129" s="1">
        <v>-1.33073765140499E-5</v>
      </c>
    </row>
    <row r="130" spans="1:16" x14ac:dyDescent="0.2">
      <c r="A130">
        <v>129</v>
      </c>
      <c r="B130">
        <v>758</v>
      </c>
      <c r="C130">
        <v>195</v>
      </c>
      <c r="D130">
        <v>0.38873151335887302</v>
      </c>
      <c r="E130">
        <v>5.7047753308823399</v>
      </c>
      <c r="F130">
        <v>0.46767512167819802</v>
      </c>
      <c r="G130">
        <v>-122.98849454191432</v>
      </c>
      <c r="H130">
        <v>-72.612235288146664</v>
      </c>
      <c r="I130">
        <v>48.857452600128902</v>
      </c>
      <c r="J130">
        <v>21.9110282198092</v>
      </c>
      <c r="K130">
        <v>12.198158649986301</v>
      </c>
      <c r="L130">
        <v>1.5464647505826535E-3</v>
      </c>
      <c r="M130">
        <v>3.5331697961117571E-4</v>
      </c>
      <c r="N130" s="1">
        <v>6.1492645733180599E-6</v>
      </c>
      <c r="O130" s="1">
        <v>5.4828859635766199E-6</v>
      </c>
      <c r="P130" s="1">
        <v>-1.3374991090387199E-5</v>
      </c>
    </row>
    <row r="131" spans="1:16" x14ac:dyDescent="0.2">
      <c r="A131">
        <v>130</v>
      </c>
      <c r="B131">
        <v>757</v>
      </c>
      <c r="C131">
        <v>195</v>
      </c>
      <c r="D131">
        <v>0.388070183953793</v>
      </c>
      <c r="E131">
        <v>8.0414829989031702</v>
      </c>
      <c r="F131">
        <v>0.60223681196832701</v>
      </c>
      <c r="G131">
        <v>-161.70757902320665</v>
      </c>
      <c r="H131">
        <v>-105.46426792012137</v>
      </c>
      <c r="I131">
        <v>54.600295977866402</v>
      </c>
      <c r="J131">
        <v>25.116450506409901</v>
      </c>
      <c r="K131">
        <v>13.3526925606236</v>
      </c>
      <c r="L131">
        <v>1.4502836346605994E-3</v>
      </c>
      <c r="M131">
        <v>3.302465385340641E-4</v>
      </c>
      <c r="N131" s="1">
        <v>6.4422014398805303E-6</v>
      </c>
      <c r="O131" s="1">
        <v>5.6096887790491702E-6</v>
      </c>
      <c r="P131" s="1">
        <v>-1.3735692920529299E-5</v>
      </c>
    </row>
    <row r="132" spans="1:16" x14ac:dyDescent="0.2">
      <c r="A132">
        <v>131</v>
      </c>
      <c r="B132">
        <v>756</v>
      </c>
      <c r="C132">
        <v>195</v>
      </c>
      <c r="D132">
        <v>0.38740756935335302</v>
      </c>
      <c r="E132">
        <v>10.628124180035901</v>
      </c>
      <c r="F132">
        <v>0.72646004448116197</v>
      </c>
      <c r="G132">
        <v>-204.51687499312968</v>
      </c>
      <c r="H132">
        <v>-141.79804939271799</v>
      </c>
      <c r="I132">
        <v>60.945535661342802</v>
      </c>
      <c r="J132">
        <v>28.659886201622001</v>
      </c>
      <c r="K132">
        <v>14.6300188988735</v>
      </c>
      <c r="L132">
        <v>1.3612694665348125E-3</v>
      </c>
      <c r="M132">
        <v>3.0893926565064465E-4</v>
      </c>
      <c r="N132" s="1">
        <v>6.7570855800826601E-6</v>
      </c>
      <c r="O132" s="1">
        <v>5.7493727168000396E-6</v>
      </c>
      <c r="P132" s="1">
        <v>-1.41306465597513E-5</v>
      </c>
    </row>
    <row r="133" spans="1:16" x14ac:dyDescent="0.2">
      <c r="A133">
        <v>132</v>
      </c>
      <c r="B133">
        <v>755</v>
      </c>
      <c r="C133">
        <v>195</v>
      </c>
      <c r="D133">
        <v>0.38674366580751801</v>
      </c>
      <c r="E133">
        <v>20.913118970839001</v>
      </c>
      <c r="F133">
        <v>1.0634051265778199</v>
      </c>
      <c r="G133">
        <v>-373.21776790362043</v>
      </c>
      <c r="H133">
        <v>-285.0837239810362</v>
      </c>
      <c r="I133">
        <v>85.724487044402906</v>
      </c>
      <c r="J133">
        <v>42.436888312255803</v>
      </c>
      <c r="K133">
        <v>19.666182199196498</v>
      </c>
      <c r="L133">
        <v>1.113375294403558E-3</v>
      </c>
      <c r="M133">
        <v>2.5145959706162718E-4</v>
      </c>
      <c r="N133" s="1">
        <v>7.5191244061077497E-6</v>
      </c>
      <c r="O133" s="1">
        <v>6.2847139997551898E-6</v>
      </c>
      <c r="P133" s="1">
        <v>-1.55043647672483E-5</v>
      </c>
    </row>
    <row r="134" spans="1:16" x14ac:dyDescent="0.2">
      <c r="A134">
        <v>133</v>
      </c>
      <c r="B134">
        <v>754</v>
      </c>
      <c r="C134">
        <v>195</v>
      </c>
      <c r="D134">
        <v>0.38607846955167302</v>
      </c>
      <c r="E134">
        <v>40.807491796690996</v>
      </c>
      <c r="F134">
        <v>1.3892382240123899</v>
      </c>
      <c r="G134">
        <v>-698.81201613130713</v>
      </c>
      <c r="H134">
        <v>-561.79803065869066</v>
      </c>
      <c r="I134">
        <v>133.396451594675</v>
      </c>
      <c r="J134">
        <v>68.952443999898506</v>
      </c>
      <c r="K134">
        <v>29.3740059057913</v>
      </c>
      <c r="L134">
        <v>8.7246734640580631E-4</v>
      </c>
      <c r="M134">
        <v>1.95893767353825E-4</v>
      </c>
      <c r="N134" s="1">
        <v>8.8610726631080393E-6</v>
      </c>
      <c r="O134" s="1">
        <v>7.3012953192182096E-6</v>
      </c>
      <c r="P134" s="1">
        <v>-1.80798119065928E-5</v>
      </c>
    </row>
    <row r="135" spans="1:16" x14ac:dyDescent="0.2">
      <c r="A135">
        <v>134</v>
      </c>
      <c r="B135">
        <v>753</v>
      </c>
      <c r="C135">
        <v>195</v>
      </c>
      <c r="D135">
        <v>0.38541197680651201</v>
      </c>
      <c r="E135">
        <v>64.730635914903303</v>
      </c>
      <c r="F135">
        <v>1.5785069139733501</v>
      </c>
      <c r="G135">
        <v>-1088.7587738447367</v>
      </c>
      <c r="H135">
        <v>-893.17721112273216</v>
      </c>
      <c r="I135">
        <v>190.60220601831401</v>
      </c>
      <c r="J135">
        <v>100.787090770229</v>
      </c>
      <c r="K135">
        <v>41.007508641166403</v>
      </c>
      <c r="L135">
        <v>7.3417889302305843E-4</v>
      </c>
      <c r="M135">
        <v>1.6394061444319848E-4</v>
      </c>
      <c r="N135" s="1">
        <v>1.04965565006153E-5</v>
      </c>
      <c r="O135" s="1">
        <v>8.5188059547076205E-6</v>
      </c>
      <c r="P135" s="1">
        <v>-2.1173943493731099E-5</v>
      </c>
    </row>
    <row r="136" spans="1:16" x14ac:dyDescent="0.2">
      <c r="A136">
        <v>135</v>
      </c>
      <c r="B136">
        <v>752</v>
      </c>
      <c r="C136">
        <v>195</v>
      </c>
      <c r="D136">
        <v>0.38474418377798603</v>
      </c>
      <c r="E136">
        <v>86.685778319174702</v>
      </c>
      <c r="F136">
        <v>1.6784236921428599</v>
      </c>
      <c r="G136">
        <v>-1445.6799700583515</v>
      </c>
      <c r="H136">
        <v>-1196.5952174117472</v>
      </c>
      <c r="I136">
        <v>242.97936353308199</v>
      </c>
      <c r="J136">
        <v>129.979124395295</v>
      </c>
      <c r="K136">
        <v>51.647136968438502</v>
      </c>
      <c r="L136">
        <v>6.6222911883137363E-4</v>
      </c>
      <c r="M136">
        <v>1.4718708102067193E-4</v>
      </c>
      <c r="N136" s="1">
        <v>1.20706162397372E-5</v>
      </c>
      <c r="O136" s="1">
        <v>9.6242612759976106E-6</v>
      </c>
      <c r="P136" s="1">
        <v>-2.40118011802451E-5</v>
      </c>
    </row>
    <row r="137" spans="1:16" x14ac:dyDescent="0.2">
      <c r="A137">
        <v>136</v>
      </c>
      <c r="B137">
        <v>751</v>
      </c>
      <c r="C137">
        <v>195</v>
      </c>
      <c r="D137">
        <v>0.38407508665723</v>
      </c>
      <c r="E137">
        <v>96.857259499627204</v>
      </c>
      <c r="F137">
        <v>1.7128857940443301</v>
      </c>
      <c r="G137">
        <v>-1610.8979850605492</v>
      </c>
      <c r="H137">
        <v>-1337.3266519616368</v>
      </c>
      <c r="I137">
        <v>267.12608025271999</v>
      </c>
      <c r="J137">
        <v>143.52526906042101</v>
      </c>
      <c r="K137">
        <v>56.546244843875499</v>
      </c>
      <c r="L137">
        <v>6.3811778062029801E-4</v>
      </c>
      <c r="M137">
        <v>1.4132738732540513E-4</v>
      </c>
      <c r="N137" s="1">
        <v>1.2960920706078401E-5</v>
      </c>
      <c r="O137" s="1">
        <v>1.0115569190442601E-5</v>
      </c>
      <c r="P137" s="1">
        <v>-2.5333107846579899E-5</v>
      </c>
    </row>
    <row r="138" spans="1:16" x14ac:dyDescent="0.2">
      <c r="A138">
        <v>137</v>
      </c>
      <c r="B138">
        <v>750</v>
      </c>
      <c r="C138">
        <v>195</v>
      </c>
      <c r="D138">
        <v>0.38340468162048602</v>
      </c>
      <c r="E138">
        <v>100.685950622386</v>
      </c>
      <c r="F138">
        <v>1.7251090478823901</v>
      </c>
      <c r="G138">
        <v>-1672.9055351420559</v>
      </c>
      <c r="H138">
        <v>-1390.409824214204</v>
      </c>
      <c r="I138">
        <v>276.10972537622001</v>
      </c>
      <c r="J138">
        <v>148.65101121970599</v>
      </c>
      <c r="K138">
        <v>58.364977417503397</v>
      </c>
      <c r="L138">
        <v>6.3017535143503089E-4</v>
      </c>
      <c r="M138">
        <v>1.3914075356310382E-4</v>
      </c>
      <c r="N138" s="1">
        <v>1.3473621390541799E-5</v>
      </c>
      <c r="O138" s="1">
        <v>1.0279974397029999E-5</v>
      </c>
      <c r="P138" s="1">
        <v>-2.58425293266211E-5</v>
      </c>
    </row>
    <row r="139" spans="1:16" x14ac:dyDescent="0.2">
      <c r="A139">
        <v>138</v>
      </c>
      <c r="B139">
        <v>765</v>
      </c>
      <c r="C139">
        <v>180</v>
      </c>
      <c r="D139">
        <v>0.409218802677841</v>
      </c>
      <c r="E139">
        <v>5.6411594571839601</v>
      </c>
      <c r="F139">
        <v>0.41871137437891198</v>
      </c>
      <c r="G139">
        <v>-123.73590753982045</v>
      </c>
      <c r="H139">
        <v>-71.133538784617002</v>
      </c>
      <c r="I139">
        <v>50.672443262584103</v>
      </c>
      <c r="J139">
        <v>22.3820808407818</v>
      </c>
      <c r="K139">
        <v>13.4726682922136</v>
      </c>
      <c r="L139">
        <v>1.6274335457675544E-3</v>
      </c>
      <c r="M139">
        <v>4.1497905989361958E-4</v>
      </c>
      <c r="N139" s="1">
        <v>2.6411461662296802E-6</v>
      </c>
      <c r="O139" s="1">
        <v>7.7701377052141598E-6</v>
      </c>
      <c r="P139" s="1">
        <v>-1.6434018671045201E-5</v>
      </c>
    </row>
    <row r="140" spans="1:16" x14ac:dyDescent="0.2">
      <c r="A140">
        <v>139</v>
      </c>
      <c r="B140">
        <v>764</v>
      </c>
      <c r="C140">
        <v>180</v>
      </c>
      <c r="D140">
        <v>0.40858169020874802</v>
      </c>
      <c r="E140">
        <v>5.7337719915383802</v>
      </c>
      <c r="F140">
        <v>0.42471474317138702</v>
      </c>
      <c r="G140">
        <v>-125.22714541229794</v>
      </c>
      <c r="H140">
        <v>-72.446598658752947</v>
      </c>
      <c r="I140">
        <v>50.893100161790002</v>
      </c>
      <c r="J140">
        <v>22.532806197913899</v>
      </c>
      <c r="K140">
        <v>13.500289508962499</v>
      </c>
      <c r="L140">
        <v>1.6259219979929604E-3</v>
      </c>
      <c r="M140">
        <v>4.1341027586625103E-4</v>
      </c>
      <c r="N140" s="1">
        <v>2.8071402316639901E-6</v>
      </c>
      <c r="O140" s="1">
        <v>7.7602801701261807E-6</v>
      </c>
      <c r="P140" s="1">
        <v>-1.6476680788299699E-5</v>
      </c>
    </row>
    <row r="141" spans="1:16" x14ac:dyDescent="0.2">
      <c r="A141">
        <v>140</v>
      </c>
      <c r="B141">
        <v>763</v>
      </c>
      <c r="C141">
        <v>180</v>
      </c>
      <c r="D141">
        <v>0.40794334797085602</v>
      </c>
      <c r="E141">
        <v>6.2122814119585099</v>
      </c>
      <c r="F141">
        <v>0.45244827304458102</v>
      </c>
      <c r="G141">
        <v>-133.12940252622053</v>
      </c>
      <c r="H141">
        <v>-79.139922751639617</v>
      </c>
      <c r="I141">
        <v>52.108990678378902</v>
      </c>
      <c r="J141">
        <v>23.2261687975382</v>
      </c>
      <c r="K141">
        <v>13.730368269847199</v>
      </c>
      <c r="L141">
        <v>1.6081776086585352E-3</v>
      </c>
      <c r="M141">
        <v>4.0766705878315088E-4</v>
      </c>
      <c r="N141" s="1">
        <v>2.9846348068991501E-6</v>
      </c>
      <c r="O141" s="1">
        <v>7.7861733596066396E-6</v>
      </c>
      <c r="P141" s="1">
        <v>-1.6595740578309699E-5</v>
      </c>
    </row>
    <row r="142" spans="1:16" x14ac:dyDescent="0.2">
      <c r="A142">
        <v>141</v>
      </c>
      <c r="B142">
        <v>762</v>
      </c>
      <c r="C142">
        <v>180</v>
      </c>
      <c r="D142">
        <v>0.40730377240013699</v>
      </c>
      <c r="E142">
        <v>6.6928628003698201</v>
      </c>
      <c r="F142">
        <v>0.47938980454987401</v>
      </c>
      <c r="G142">
        <v>-141.06113544140683</v>
      </c>
      <c r="H142">
        <v>-85.861427524302457</v>
      </c>
      <c r="I142">
        <v>53.3284815835042</v>
      </c>
      <c r="J142">
        <v>23.922727488591502</v>
      </c>
      <c r="K142">
        <v>13.9612122261425</v>
      </c>
      <c r="L142">
        <v>1.5909386760421548E-3</v>
      </c>
      <c r="M142">
        <v>4.020806988525807E-4</v>
      </c>
      <c r="N142" s="1">
        <v>3.1653055911995102E-6</v>
      </c>
      <c r="O142" s="1">
        <v>7.8118623484383005E-6</v>
      </c>
      <c r="P142" s="1">
        <v>-1.67151699309772E-5</v>
      </c>
    </row>
    <row r="143" spans="1:16" x14ac:dyDescent="0.2">
      <c r="A143">
        <v>142</v>
      </c>
      <c r="B143">
        <v>761</v>
      </c>
      <c r="C143">
        <v>180</v>
      </c>
      <c r="D143">
        <v>0.40666295991877599</v>
      </c>
      <c r="E143">
        <v>7.8940555618735901</v>
      </c>
      <c r="F143">
        <v>0.54246399547698498</v>
      </c>
      <c r="G143">
        <v>-160.94010577428196</v>
      </c>
      <c r="H143">
        <v>-102.7291717869946</v>
      </c>
      <c r="I143">
        <v>56.291877555352599</v>
      </c>
      <c r="J143">
        <v>25.586813856457301</v>
      </c>
      <c r="K143">
        <v>14.552220290551</v>
      </c>
      <c r="L143">
        <v>1.546077526226462E-3</v>
      </c>
      <c r="M143">
        <v>3.8951973762145324E-4</v>
      </c>
      <c r="N143" s="1">
        <v>3.3680414305570901E-6</v>
      </c>
      <c r="O143" s="1">
        <v>7.8909078223230498E-6</v>
      </c>
      <c r="P143" s="1">
        <v>-1.6950002582650499E-5</v>
      </c>
    </row>
    <row r="144" spans="1:16" x14ac:dyDescent="0.2">
      <c r="A144">
        <v>143</v>
      </c>
      <c r="B144">
        <v>760</v>
      </c>
      <c r="C144">
        <v>180</v>
      </c>
      <c r="D144">
        <v>0.40602090693510101</v>
      </c>
      <c r="E144">
        <v>10.393061506275901</v>
      </c>
      <c r="F144">
        <v>0.658152112628409</v>
      </c>
      <c r="G144">
        <v>-202.30753493515331</v>
      </c>
      <c r="H144">
        <v>-137.84816975927959</v>
      </c>
      <c r="I144">
        <v>62.394384273710102</v>
      </c>
      <c r="J144">
        <v>28.9931669715337</v>
      </c>
      <c r="K144">
        <v>15.791275765673699</v>
      </c>
      <c r="L144">
        <v>1.4607976093413469E-3</v>
      </c>
      <c r="M144">
        <v>3.6680899080737987E-4</v>
      </c>
      <c r="N144" s="1">
        <v>3.6117335874891099E-6</v>
      </c>
      <c r="O144" s="1">
        <v>8.0653151044882902E-6</v>
      </c>
      <c r="P144" s="1">
        <v>-1.7392150769058099E-5</v>
      </c>
    </row>
    <row r="145" spans="1:16" x14ac:dyDescent="0.2">
      <c r="A145">
        <v>144</v>
      </c>
      <c r="B145">
        <v>759</v>
      </c>
      <c r="C145">
        <v>180</v>
      </c>
      <c r="D145">
        <v>0.40537760984353299</v>
      </c>
      <c r="E145">
        <v>13.1868859743616</v>
      </c>
      <c r="F145">
        <v>0.76777182923748299</v>
      </c>
      <c r="G145">
        <v>-248.48800207656453</v>
      </c>
      <c r="H145">
        <v>-177.06389115138967</v>
      </c>
      <c r="I145">
        <v>69.202726542753794</v>
      </c>
      <c r="J145">
        <v>32.7942447313659</v>
      </c>
      <c r="K145">
        <v>17.175527249362901</v>
      </c>
      <c r="L145">
        <v>1.3797059102764477E-3</v>
      </c>
      <c r="M145">
        <v>3.4527741645749756E-4</v>
      </c>
      <c r="N145" s="1">
        <v>3.87243728217936E-6</v>
      </c>
      <c r="O145" s="1">
        <v>8.2590245311891494E-6</v>
      </c>
      <c r="P145" s="1">
        <v>-1.7879404347368501E-5</v>
      </c>
    </row>
    <row r="146" spans="1:16" x14ac:dyDescent="0.2">
      <c r="A146">
        <v>145</v>
      </c>
      <c r="B146">
        <v>758</v>
      </c>
      <c r="C146">
        <v>180</v>
      </c>
      <c r="D146">
        <v>0.40473306502448703</v>
      </c>
      <c r="E146">
        <v>29.210418742279501</v>
      </c>
      <c r="F146">
        <v>1.1658620137493501</v>
      </c>
      <c r="G146">
        <v>-510.97845342479866</v>
      </c>
      <c r="H146">
        <v>-400.08717014709686</v>
      </c>
      <c r="I146">
        <v>107.54519438705201</v>
      </c>
      <c r="J146">
        <v>54.0792882331573</v>
      </c>
      <c r="K146">
        <v>25.054782124978999</v>
      </c>
      <c r="L146">
        <v>1.0750159226459513E-3</v>
      </c>
      <c r="M146">
        <v>2.6754876314451334E-4</v>
      </c>
      <c r="N146" s="1">
        <v>4.5180902923937601E-6</v>
      </c>
      <c r="O146" s="1">
        <v>9.3273428179726406E-6</v>
      </c>
      <c r="P146" s="1">
        <v>-2.0270843196971E-5</v>
      </c>
    </row>
    <row r="147" spans="1:16" x14ac:dyDescent="0.2">
      <c r="A147">
        <v>146</v>
      </c>
      <c r="B147">
        <v>757</v>
      </c>
      <c r="C147">
        <v>180</v>
      </c>
      <c r="D147">
        <v>0.40408726884434598</v>
      </c>
      <c r="E147">
        <v>45.554245050012099</v>
      </c>
      <c r="F147">
        <v>1.37757489187874</v>
      </c>
      <c r="G147">
        <v>-778.42097164444272</v>
      </c>
      <c r="H147">
        <v>-627.48055667651852</v>
      </c>
      <c r="I147">
        <v>146.527033335369</v>
      </c>
      <c r="J147">
        <v>75.755929493401098</v>
      </c>
      <c r="K147">
        <v>33.0684344775513</v>
      </c>
      <c r="L147">
        <v>9.1320926887663049E-4</v>
      </c>
      <c r="M147">
        <v>2.2614932382335141E-4</v>
      </c>
      <c r="N147" s="1">
        <v>5.2164580152480398E-6</v>
      </c>
      <c r="O147" s="1">
        <v>1.0399099316506399E-5</v>
      </c>
      <c r="P147" s="1">
        <v>-2.26884057959926E-5</v>
      </c>
    </row>
    <row r="148" spans="1:16" x14ac:dyDescent="0.2">
      <c r="A148">
        <v>147</v>
      </c>
      <c r="B148">
        <v>756</v>
      </c>
      <c r="C148">
        <v>180</v>
      </c>
      <c r="D148">
        <v>0.40344021765534699</v>
      </c>
      <c r="E148">
        <v>72.692991998428695</v>
      </c>
      <c r="F148">
        <v>1.56907477286674</v>
      </c>
      <c r="G148">
        <v>-1220.1870832682248</v>
      </c>
      <c r="H148">
        <v>-1002.9085666054787</v>
      </c>
      <c r="I148">
        <v>211.12927647027001</v>
      </c>
      <c r="J148">
        <v>111.656715188421</v>
      </c>
      <c r="K148">
        <v>46.328570986847701</v>
      </c>
      <c r="L148">
        <v>7.6860641430260602E-4</v>
      </c>
      <c r="M148">
        <v>1.8929170178001126E-4</v>
      </c>
      <c r="N148" s="1">
        <v>6.3018412198769003E-6</v>
      </c>
      <c r="O148" s="1">
        <v>1.21833829899454E-5</v>
      </c>
      <c r="P148" s="1">
        <v>-2.6685297002699499E-5</v>
      </c>
    </row>
    <row r="149" spans="1:16" x14ac:dyDescent="0.2">
      <c r="A149">
        <v>148</v>
      </c>
      <c r="B149">
        <v>755</v>
      </c>
      <c r="C149">
        <v>180</v>
      </c>
      <c r="D149">
        <v>0.40279190779555302</v>
      </c>
      <c r="E149">
        <v>89.592134672301697</v>
      </c>
      <c r="F149">
        <v>1.64240781956198</v>
      </c>
      <c r="G149">
        <v>-1494.8403670380615</v>
      </c>
      <c r="H149">
        <v>-1236.5468565663484</v>
      </c>
      <c r="I149">
        <v>251.22712251609801</v>
      </c>
      <c r="J149">
        <v>134.013723453138</v>
      </c>
      <c r="K149">
        <v>54.549262129180001</v>
      </c>
      <c r="L149">
        <v>7.1420873156973516E-4</v>
      </c>
      <c r="M149">
        <v>1.75165913240601E-4</v>
      </c>
      <c r="N149" s="1">
        <v>7.1272334720534101E-6</v>
      </c>
      <c r="O149" s="1">
        <v>1.32717731335849E-5</v>
      </c>
      <c r="P149" s="1">
        <v>-2.9183424348491999E-5</v>
      </c>
    </row>
    <row r="150" spans="1:16" x14ac:dyDescent="0.2">
      <c r="A150">
        <v>149</v>
      </c>
      <c r="B150">
        <v>754</v>
      </c>
      <c r="C150">
        <v>180</v>
      </c>
      <c r="D150">
        <v>0.402142335588766</v>
      </c>
      <c r="E150">
        <v>97.587044666508206</v>
      </c>
      <c r="F150">
        <v>1.67075951916856</v>
      </c>
      <c r="G150">
        <v>-1624.6334678351875</v>
      </c>
      <c r="H150">
        <v>-1347.2178213099946</v>
      </c>
      <c r="I150">
        <v>270.088620757797</v>
      </c>
      <c r="J150">
        <v>144.61333194057099</v>
      </c>
      <c r="K150">
        <v>58.408791658461503</v>
      </c>
      <c r="L150">
        <v>6.9395804340350328E-4</v>
      </c>
      <c r="M150">
        <v>1.6961936625437611E-4</v>
      </c>
      <c r="N150" s="1">
        <v>7.6964591709471504E-6</v>
      </c>
      <c r="O150" s="1">
        <v>1.3762969419683499E-5</v>
      </c>
      <c r="P150" s="1">
        <v>-3.0382816952628002E-5</v>
      </c>
    </row>
    <row r="151" spans="1:16" x14ac:dyDescent="0.2">
      <c r="A151">
        <v>150</v>
      </c>
      <c r="B151">
        <v>753</v>
      </c>
      <c r="C151">
        <v>180</v>
      </c>
      <c r="D151">
        <v>0.401491497344444</v>
      </c>
      <c r="E151">
        <v>100.960912089388</v>
      </c>
      <c r="F151">
        <v>1.6823623926339599</v>
      </c>
      <c r="G151">
        <v>-1679.2355852611927</v>
      </c>
      <c r="H151">
        <v>-1394.0224908399234</v>
      </c>
      <c r="I151">
        <v>277.950659484261</v>
      </c>
      <c r="J151">
        <v>149.112759003512</v>
      </c>
      <c r="K151">
        <v>60.0113938182607</v>
      </c>
      <c r="L151">
        <v>6.863740809093207E-4</v>
      </c>
      <c r="M151">
        <v>1.6724725694088456E-4</v>
      </c>
      <c r="N151" s="1">
        <v>8.1258983978426093E-6</v>
      </c>
      <c r="O151" s="1">
        <v>1.39472651602522E-5</v>
      </c>
      <c r="P151" s="1">
        <v>-3.0911330156877799E-5</v>
      </c>
    </row>
    <row r="152" spans="1:16" x14ac:dyDescent="0.2">
      <c r="A152">
        <v>151</v>
      </c>
      <c r="B152">
        <v>771</v>
      </c>
      <c r="C152">
        <v>165</v>
      </c>
      <c r="D152">
        <v>0.42881817746492201</v>
      </c>
      <c r="E152">
        <v>5.8899604232284402</v>
      </c>
      <c r="F152">
        <v>0.38754882039650401</v>
      </c>
      <c r="G152">
        <v>-129.73132220815313</v>
      </c>
      <c r="H152">
        <v>-73.971297494193479</v>
      </c>
      <c r="I152">
        <v>53.405540689554897</v>
      </c>
      <c r="J152">
        <v>23.2430975468734</v>
      </c>
      <c r="K152">
        <v>15.197983101077099</v>
      </c>
      <c r="L152">
        <v>1.6904426157878948E-3</v>
      </c>
      <c r="M152">
        <v>4.8582373139252773E-4</v>
      </c>
      <c r="N152" s="1">
        <v>-2.82486059457167E-6</v>
      </c>
      <c r="O152" s="1">
        <v>1.12025934335198E-5</v>
      </c>
      <c r="P152" s="1">
        <v>-2.02131552191986E-5</v>
      </c>
    </row>
    <row r="153" spans="1:16" x14ac:dyDescent="0.2">
      <c r="A153">
        <v>152</v>
      </c>
      <c r="B153">
        <v>770</v>
      </c>
      <c r="C153">
        <v>165</v>
      </c>
      <c r="D153">
        <v>0.428203518190098</v>
      </c>
      <c r="E153">
        <v>6.0129823401598097</v>
      </c>
      <c r="F153">
        <v>0.39460356247230799</v>
      </c>
      <c r="G153">
        <v>-131.724394044755</v>
      </c>
      <c r="H153">
        <v>-75.709694677497012</v>
      </c>
      <c r="I153">
        <v>53.7008815805778</v>
      </c>
      <c r="J153">
        <v>23.437650029796298</v>
      </c>
      <c r="K153">
        <v>15.238033591198899</v>
      </c>
      <c r="L153">
        <v>1.6886002627466729E-3</v>
      </c>
      <c r="M153">
        <v>4.8389203131378829E-4</v>
      </c>
      <c r="N153" s="1">
        <v>-2.6636877688754701E-6</v>
      </c>
      <c r="O153" s="1">
        <v>1.1194723747435901E-5</v>
      </c>
      <c r="P153" s="1">
        <v>-2.0278337325910499E-5</v>
      </c>
    </row>
    <row r="154" spans="1:16" x14ac:dyDescent="0.2">
      <c r="A154">
        <v>153</v>
      </c>
      <c r="B154">
        <v>769</v>
      </c>
      <c r="C154">
        <v>165</v>
      </c>
      <c r="D154">
        <v>0.42758767931679997</v>
      </c>
      <c r="E154">
        <v>6.47596411523066</v>
      </c>
      <c r="F154">
        <v>0.41893341013996099</v>
      </c>
      <c r="G154">
        <v>-139.366292596025</v>
      </c>
      <c r="H154">
        <v>-82.18828673570215</v>
      </c>
      <c r="I154">
        <v>54.868683268001497</v>
      </c>
      <c r="J154">
        <v>24.105971078177799</v>
      </c>
      <c r="K154">
        <v>15.458218319391399</v>
      </c>
      <c r="L154">
        <v>1.6735146260174142E-3</v>
      </c>
      <c r="M154">
        <v>4.7812394452317083E-4</v>
      </c>
      <c r="N154" s="1">
        <v>-2.51222702098287E-6</v>
      </c>
      <c r="O154" s="1">
        <v>1.12280583411355E-5</v>
      </c>
      <c r="P154" s="1">
        <v>-2.04188544095621E-5</v>
      </c>
    </row>
    <row r="155" spans="1:16" x14ac:dyDescent="0.2">
      <c r="A155">
        <v>154</v>
      </c>
      <c r="B155">
        <v>768</v>
      </c>
      <c r="C155">
        <v>165</v>
      </c>
      <c r="D155">
        <v>0.42697065744609403</v>
      </c>
      <c r="E155">
        <v>6.9406606005871501</v>
      </c>
      <c r="F155">
        <v>0.44267265544610201</v>
      </c>
      <c r="G155">
        <v>-147.03209745498614</v>
      </c>
      <c r="H155">
        <v>-88.690196605876352</v>
      </c>
      <c r="I155">
        <v>56.0392935130334</v>
      </c>
      <c r="J155">
        <v>24.776979886743899</v>
      </c>
      <c r="K155">
        <v>15.678991044957799</v>
      </c>
      <c r="L155">
        <v>1.658798357805196E-3</v>
      </c>
      <c r="M155">
        <v>4.7248894019495056E-4</v>
      </c>
      <c r="N155" s="1">
        <v>-2.3571707066316501E-6</v>
      </c>
      <c r="O155" s="1">
        <v>1.1261158298470301E-5</v>
      </c>
      <c r="P155" s="1">
        <v>-2.0559952856083699E-5</v>
      </c>
    </row>
    <row r="156" spans="1:16" x14ac:dyDescent="0.2">
      <c r="A156">
        <v>155</v>
      </c>
      <c r="B156">
        <v>767</v>
      </c>
      <c r="C156">
        <v>165</v>
      </c>
      <c r="D156">
        <v>0.42635244916598902</v>
      </c>
      <c r="E156">
        <v>7.4068919440020702</v>
      </c>
      <c r="F156">
        <v>0.465835051122725</v>
      </c>
      <c r="G156">
        <v>-154.7187292801149</v>
      </c>
      <c r="H156">
        <v>-95.212884679365644</v>
      </c>
      <c r="I156">
        <v>57.212201508292701</v>
      </c>
      <c r="J156">
        <v>25.4504190015777</v>
      </c>
      <c r="K156">
        <v>15.900246076697</v>
      </c>
      <c r="L156">
        <v>1.6444438391117467E-3</v>
      </c>
      <c r="M156">
        <v>4.66983884071406E-4</v>
      </c>
      <c r="N156" s="1">
        <v>-2.19847136256229E-6</v>
      </c>
      <c r="O156" s="1">
        <v>1.1293990613370499E-5</v>
      </c>
      <c r="P156" s="1">
        <v>-2.0701575065398401E-5</v>
      </c>
    </row>
    <row r="157" spans="1:16" x14ac:dyDescent="0.2">
      <c r="A157">
        <v>156</v>
      </c>
      <c r="B157">
        <v>766</v>
      </c>
      <c r="C157">
        <v>165</v>
      </c>
      <c r="D157">
        <v>0.42573305105134501</v>
      </c>
      <c r="E157">
        <v>7.8744831735614902</v>
      </c>
      <c r="F157">
        <v>0.48843453190451402</v>
      </c>
      <c r="G157">
        <v>-162.42319140035696</v>
      </c>
      <c r="H157">
        <v>-101.75387821585551</v>
      </c>
      <c r="I157">
        <v>58.386909687092803</v>
      </c>
      <c r="J157">
        <v>26.126037570035599</v>
      </c>
      <c r="K157">
        <v>16.121880537105199</v>
      </c>
      <c r="L157">
        <v>1.6304432148315934E-3</v>
      </c>
      <c r="M157">
        <v>4.6160560007950651E-4</v>
      </c>
      <c r="N157" s="1">
        <v>-2.0360836101942301E-6</v>
      </c>
      <c r="O157" s="1">
        <v>1.13265230588432E-5</v>
      </c>
      <c r="P157" s="1">
        <v>-2.0843663879733E-5</v>
      </c>
    </row>
    <row r="158" spans="1:16" x14ac:dyDescent="0.2">
      <c r="A158">
        <v>157</v>
      </c>
      <c r="B158">
        <v>765</v>
      </c>
      <c r="C158">
        <v>165</v>
      </c>
      <c r="D158">
        <v>0.42511245966382499</v>
      </c>
      <c r="E158">
        <v>8.8035430440961804</v>
      </c>
      <c r="F158">
        <v>0.53109770660226896</v>
      </c>
      <c r="G158">
        <v>-177.77595358762954</v>
      </c>
      <c r="H158">
        <v>-114.79109345037362</v>
      </c>
      <c r="I158">
        <v>60.673635885984297</v>
      </c>
      <c r="J158">
        <v>27.417544539538401</v>
      </c>
      <c r="K158">
        <v>16.576127018919699</v>
      </c>
      <c r="L158">
        <v>1.600601761805102E-3</v>
      </c>
      <c r="M158">
        <v>4.5175345127827858E-4</v>
      </c>
      <c r="N158" s="1">
        <v>-1.8795986353361399E-6</v>
      </c>
      <c r="O158" s="1">
        <v>1.14037444336275E-5</v>
      </c>
      <c r="P158" s="1">
        <v>-2.10693312906485E-5</v>
      </c>
    </row>
    <row r="159" spans="1:16" x14ac:dyDescent="0.2">
      <c r="A159">
        <v>158</v>
      </c>
      <c r="B159">
        <v>764</v>
      </c>
      <c r="C159">
        <v>165</v>
      </c>
      <c r="D159">
        <v>0.424490671551851</v>
      </c>
      <c r="E159">
        <v>11.3079642051199</v>
      </c>
      <c r="F159">
        <v>0.63441301085525703</v>
      </c>
      <c r="G159">
        <v>-219.2197681967549</v>
      </c>
      <c r="H159">
        <v>-149.98603194688815</v>
      </c>
      <c r="I159">
        <v>66.757256760214503</v>
      </c>
      <c r="J159">
        <v>30.8105163922285</v>
      </c>
      <c r="K159">
        <v>17.824294287211298</v>
      </c>
      <c r="L159">
        <v>1.5228260929624155E-3</v>
      </c>
      <c r="M159">
        <v>4.2837687380865776E-4</v>
      </c>
      <c r="N159" s="1">
        <v>-1.7486498650891299E-6</v>
      </c>
      <c r="O159" s="1">
        <v>1.16333526315761E-5</v>
      </c>
      <c r="P159" s="1">
        <v>-2.1579324423626501E-5</v>
      </c>
    </row>
    <row r="160" spans="1:16" x14ac:dyDescent="0.2">
      <c r="A160">
        <v>159</v>
      </c>
      <c r="B160">
        <v>763</v>
      </c>
      <c r="C160">
        <v>165</v>
      </c>
      <c r="D160">
        <v>0.42386768325049901</v>
      </c>
      <c r="E160">
        <v>14.1073077602253</v>
      </c>
      <c r="F160">
        <v>0.73404267016158198</v>
      </c>
      <c r="G160">
        <v>-265.47719647725944</v>
      </c>
      <c r="H160">
        <v>-189.27883152411701</v>
      </c>
      <c r="I160">
        <v>73.5434090814353</v>
      </c>
      <c r="J160">
        <v>34.595429605237101</v>
      </c>
      <c r="K160">
        <v>19.2186480891089</v>
      </c>
      <c r="L160">
        <v>1.4475026544721399E-3</v>
      </c>
      <c r="M160">
        <v>4.0582036572428445E-4</v>
      </c>
      <c r="N160" s="1">
        <v>-1.61303087875481E-6</v>
      </c>
      <c r="O160" s="1">
        <v>1.1888304568294899E-5</v>
      </c>
      <c r="P160" s="1">
        <v>-2.21404762012842E-5</v>
      </c>
    </row>
    <row r="161" spans="1:16" x14ac:dyDescent="0.2">
      <c r="A161">
        <v>160</v>
      </c>
      <c r="B161">
        <v>762</v>
      </c>
      <c r="C161">
        <v>165</v>
      </c>
      <c r="D161">
        <v>0.42324349128146099</v>
      </c>
      <c r="E161">
        <v>24.520977147575501</v>
      </c>
      <c r="F161">
        <v>1.0056694197671401</v>
      </c>
      <c r="G161">
        <v>-436.25258125729431</v>
      </c>
      <c r="H161">
        <v>-334.37516666272143</v>
      </c>
      <c r="I161">
        <v>98.421815288607803</v>
      </c>
      <c r="J161">
        <v>48.389501323748298</v>
      </c>
      <c r="K161">
        <v>24.382741152905901</v>
      </c>
      <c r="L161">
        <v>1.2345142515279351E-3</v>
      </c>
      <c r="M161">
        <v>3.4455055728786332E-4</v>
      </c>
      <c r="N161" s="1">
        <v>-1.5736877623585299E-6</v>
      </c>
      <c r="O161" s="1">
        <v>1.2804985369631499E-5</v>
      </c>
      <c r="P161" s="1">
        <v>-2.3943194517645902E-5</v>
      </c>
    </row>
    <row r="162" spans="1:16" x14ac:dyDescent="0.2">
      <c r="A162">
        <v>161</v>
      </c>
      <c r="B162">
        <v>761</v>
      </c>
      <c r="C162">
        <v>165</v>
      </c>
      <c r="D162">
        <v>0.42261809215297602</v>
      </c>
      <c r="E162">
        <v>41.889181935423998</v>
      </c>
      <c r="F162">
        <v>1.2705610789514801</v>
      </c>
      <c r="G162">
        <v>-720.52611341419151</v>
      </c>
      <c r="H162">
        <v>-576.04184145883312</v>
      </c>
      <c r="I162">
        <v>139.71732337268099</v>
      </c>
      <c r="J162">
        <v>71.294654021499696</v>
      </c>
      <c r="K162">
        <v>32.969042283266297</v>
      </c>
      <c r="L162">
        <v>1.0256836025385994E-3</v>
      </c>
      <c r="M162">
        <v>2.8480775619077443E-4</v>
      </c>
      <c r="N162" s="1">
        <v>-1.58693575798781E-6</v>
      </c>
      <c r="O162" s="1">
        <v>1.4307456569249799E-5</v>
      </c>
      <c r="P162" s="1">
        <v>-2.6859909818236298E-5</v>
      </c>
    </row>
    <row r="163" spans="1:16" x14ac:dyDescent="0.2">
      <c r="A163">
        <v>162</v>
      </c>
      <c r="B163">
        <v>760</v>
      </c>
      <c r="C163">
        <v>165</v>
      </c>
      <c r="D163">
        <v>0.42199148235977502</v>
      </c>
      <c r="E163">
        <v>53.692901298075597</v>
      </c>
      <c r="F163">
        <v>1.3843961119602199</v>
      </c>
      <c r="G163">
        <v>-913.59384654758367</v>
      </c>
      <c r="H163">
        <v>-740.329586944531</v>
      </c>
      <c r="I163">
        <v>167.70940952605099</v>
      </c>
      <c r="J163">
        <v>86.869257133834594</v>
      </c>
      <c r="K163">
        <v>38.784348521500398</v>
      </c>
      <c r="L163">
        <v>9.3681482490608323E-4</v>
      </c>
      <c r="M163">
        <v>2.5905504821141094E-4</v>
      </c>
      <c r="N163" s="1">
        <v>-1.48449133327496E-6</v>
      </c>
      <c r="O163" s="1">
        <v>1.5310692944012901E-5</v>
      </c>
      <c r="P163" s="1">
        <v>-2.88590974820181E-5</v>
      </c>
    </row>
    <row r="164" spans="1:16" x14ac:dyDescent="0.2">
      <c r="A164">
        <v>163</v>
      </c>
      <c r="B164">
        <v>759</v>
      </c>
      <c r="C164">
        <v>165</v>
      </c>
      <c r="D164">
        <v>0.42136365838299</v>
      </c>
      <c r="E164">
        <v>83.318656221333498</v>
      </c>
      <c r="F164">
        <v>1.5619590138349</v>
      </c>
      <c r="G164">
        <v>-1394.9601300926772</v>
      </c>
      <c r="H164">
        <v>-1149.443132898065</v>
      </c>
      <c r="I164">
        <v>237.87483650573</v>
      </c>
      <c r="J164">
        <v>125.79765967899399</v>
      </c>
      <c r="K164">
        <v>53.342408784959503</v>
      </c>
      <c r="L164">
        <v>7.9929413182744532E-4</v>
      </c>
      <c r="M164">
        <v>2.1984466749974197E-4</v>
      </c>
      <c r="N164" s="1">
        <v>-1.5233498638824301E-6</v>
      </c>
      <c r="O164" s="1">
        <v>1.7862549618133299E-5</v>
      </c>
      <c r="P164" s="1">
        <v>-3.38048169847366E-5</v>
      </c>
    </row>
    <row r="165" spans="1:16" x14ac:dyDescent="0.2">
      <c r="A165">
        <v>164</v>
      </c>
      <c r="B165">
        <v>758</v>
      </c>
      <c r="C165">
        <v>165</v>
      </c>
      <c r="D165">
        <v>0.42073461669010398</v>
      </c>
      <c r="E165">
        <v>94.649360983972599</v>
      </c>
      <c r="F165">
        <v>1.60775535458788</v>
      </c>
      <c r="G165">
        <v>-1579.016568661978</v>
      </c>
      <c r="H165">
        <v>-1306.2037997242417</v>
      </c>
      <c r="I165">
        <v>264.57701384350798</v>
      </c>
      <c r="J165">
        <v>140.71535724115299</v>
      </c>
      <c r="K165">
        <v>58.870499615430802</v>
      </c>
      <c r="L165">
        <v>7.6496857552581254E-4</v>
      </c>
      <c r="M165">
        <v>2.0962989356480361E-4</v>
      </c>
      <c r="N165" s="1">
        <v>-1.31802459027795E-6</v>
      </c>
      <c r="O165" s="1">
        <v>1.88034546512211E-5</v>
      </c>
      <c r="P165" s="1">
        <v>-3.5729628384706102E-5</v>
      </c>
    </row>
    <row r="166" spans="1:16" x14ac:dyDescent="0.2">
      <c r="A166">
        <v>165</v>
      </c>
      <c r="B166">
        <v>757</v>
      </c>
      <c r="C166">
        <v>165</v>
      </c>
      <c r="D166">
        <v>0.42010435373489502</v>
      </c>
      <c r="E166">
        <v>99.513132916819004</v>
      </c>
      <c r="F166">
        <v>1.6256941395212501</v>
      </c>
      <c r="G166">
        <v>-1657.8592467871861</v>
      </c>
      <c r="H166">
        <v>-1373.6104059076547</v>
      </c>
      <c r="I166">
        <v>275.93533894145298</v>
      </c>
      <c r="J166">
        <v>147.144572483437</v>
      </c>
      <c r="K166">
        <v>61.2127032371071</v>
      </c>
      <c r="L166">
        <v>7.524386087629151E-4</v>
      </c>
      <c r="M166">
        <v>2.0553111068759186E-4</v>
      </c>
      <c r="N166" s="1">
        <v>-1.0316538792809201E-6</v>
      </c>
      <c r="O166" s="1">
        <v>1.9178938336988701E-5</v>
      </c>
      <c r="P166" s="1">
        <v>-3.65911972516261E-5</v>
      </c>
    </row>
    <row r="167" spans="1:16" x14ac:dyDescent="0.2">
      <c r="A167">
        <v>166</v>
      </c>
      <c r="B167">
        <v>778</v>
      </c>
      <c r="C167">
        <v>150</v>
      </c>
      <c r="D167">
        <v>0.44878514008467002</v>
      </c>
      <c r="E167">
        <v>6.1488867636754199</v>
      </c>
      <c r="F167">
        <v>0.353769771240103</v>
      </c>
      <c r="G167">
        <v>-136.07559966122008</v>
      </c>
      <c r="H167">
        <v>-76.855618292516951</v>
      </c>
      <c r="I167">
        <v>56.341625970883399</v>
      </c>
      <c r="J167">
        <v>23.985404828943601</v>
      </c>
      <c r="K167">
        <v>17.381040618934499</v>
      </c>
      <c r="L167">
        <v>1.7376523710728438E-3</v>
      </c>
      <c r="M167">
        <v>5.7287218953501972E-4</v>
      </c>
      <c r="N167" s="1">
        <v>-1.0984826377370699E-5</v>
      </c>
      <c r="O167" s="1">
        <v>1.6473829397990699E-5</v>
      </c>
      <c r="P167" s="1">
        <v>-2.4695517900200302E-5</v>
      </c>
    </row>
    <row r="168" spans="1:16" x14ac:dyDescent="0.2">
      <c r="A168">
        <v>167</v>
      </c>
      <c r="B168">
        <v>777</v>
      </c>
      <c r="C168">
        <v>150</v>
      </c>
      <c r="D168">
        <v>0.44819359139171</v>
      </c>
      <c r="E168">
        <v>6.1488680678728898</v>
      </c>
      <c r="F168">
        <v>0.35438568187631497</v>
      </c>
      <c r="G168">
        <v>-136.01885588299072</v>
      </c>
      <c r="H168">
        <v>-76.87938277461113</v>
      </c>
      <c r="I168">
        <v>56.318613405962701</v>
      </c>
      <c r="J168">
        <v>24.011008835093001</v>
      </c>
      <c r="K168">
        <v>17.3507801876118</v>
      </c>
      <c r="L168">
        <v>1.7413067193394398E-3</v>
      </c>
      <c r="M168">
        <v>5.7244470538355817E-4</v>
      </c>
      <c r="N168" s="1">
        <v>-1.0845814237265299E-5</v>
      </c>
      <c r="O168" s="1">
        <v>1.6445699504445001E-5</v>
      </c>
      <c r="P168" s="1">
        <v>-2.47491295420997E-5</v>
      </c>
    </row>
    <row r="169" spans="1:16" x14ac:dyDescent="0.2">
      <c r="A169">
        <v>168</v>
      </c>
      <c r="B169">
        <v>776</v>
      </c>
      <c r="C169">
        <v>150</v>
      </c>
      <c r="D169">
        <v>0.447600915026452</v>
      </c>
      <c r="E169">
        <v>6.5866986695436402</v>
      </c>
      <c r="F169">
        <v>0.37518862700384498</v>
      </c>
      <c r="G169">
        <v>-143.24175605187665</v>
      </c>
      <c r="H169">
        <v>-83.008699785603298</v>
      </c>
      <c r="I169">
        <v>57.4146596817925</v>
      </c>
      <c r="J169">
        <v>24.6405659575735</v>
      </c>
      <c r="K169">
        <v>17.555699174954199</v>
      </c>
      <c r="L169">
        <v>1.7293040886799435E-3</v>
      </c>
      <c r="M169">
        <v>5.6680265798447597E-4</v>
      </c>
      <c r="N169" s="1">
        <v>-1.07535803405998E-5</v>
      </c>
      <c r="O169" s="1">
        <v>1.6488334359682701E-5</v>
      </c>
      <c r="P169" s="1">
        <v>-2.4910010945135301E-5</v>
      </c>
    </row>
    <row r="170" spans="1:16" x14ac:dyDescent="0.2">
      <c r="A170">
        <v>169</v>
      </c>
      <c r="B170">
        <v>775</v>
      </c>
      <c r="C170">
        <v>150</v>
      </c>
      <c r="D170">
        <v>0.44700710776129698</v>
      </c>
      <c r="E170">
        <v>7.03552228957202</v>
      </c>
      <c r="F170">
        <v>0.396005918301302</v>
      </c>
      <c r="G170">
        <v>-150.64322550596845</v>
      </c>
      <c r="H170">
        <v>-89.290830289552076</v>
      </c>
      <c r="I170">
        <v>58.537370310541696</v>
      </c>
      <c r="J170">
        <v>25.2856013257867</v>
      </c>
      <c r="K170">
        <v>17.766204908632201</v>
      </c>
      <c r="L170">
        <v>1.7172156792210772E-3</v>
      </c>
      <c r="M170">
        <v>5.611560332346243E-4</v>
      </c>
      <c r="N170" s="1">
        <v>-1.06588835973846E-5</v>
      </c>
      <c r="O170" s="1">
        <v>1.6532277722621901E-5</v>
      </c>
      <c r="P170" s="1">
        <v>-2.50740897982088E-5</v>
      </c>
    </row>
    <row r="171" spans="1:16" x14ac:dyDescent="0.2">
      <c r="A171">
        <v>170</v>
      </c>
      <c r="B171">
        <v>774</v>
      </c>
      <c r="C171">
        <v>150</v>
      </c>
      <c r="D171">
        <v>0.44641216635630598</v>
      </c>
      <c r="E171">
        <v>7.4856190874441397</v>
      </c>
      <c r="F171">
        <v>0.41639830250435</v>
      </c>
      <c r="G171">
        <v>-158.06154882857749</v>
      </c>
      <c r="H171">
        <v>-95.590208926105561</v>
      </c>
      <c r="I171">
        <v>59.661848761118698</v>
      </c>
      <c r="J171">
        <v>25.932707917516399</v>
      </c>
      <c r="K171">
        <v>17.977064369434899</v>
      </c>
      <c r="L171">
        <v>1.7053836986719772E-3</v>
      </c>
      <c r="M171">
        <v>5.5561825873344506E-4</v>
      </c>
      <c r="N171" s="1">
        <v>-1.0560554291099001E-5</v>
      </c>
      <c r="O171" s="1">
        <v>1.6575940767738901E-5</v>
      </c>
      <c r="P171" s="1">
        <v>-2.5238981760099199E-5</v>
      </c>
    </row>
    <row r="172" spans="1:16" x14ac:dyDescent="0.2">
      <c r="A172">
        <v>171</v>
      </c>
      <c r="B172">
        <v>773</v>
      </c>
      <c r="C172">
        <v>150</v>
      </c>
      <c r="D172">
        <v>0.44581608755914398</v>
      </c>
      <c r="E172">
        <v>7.9368215257804797</v>
      </c>
      <c r="F172">
        <v>0.43637252757704198</v>
      </c>
      <c r="G172">
        <v>-165.49387240879662</v>
      </c>
      <c r="H172">
        <v>-101.90447598229197</v>
      </c>
      <c r="I172">
        <v>60.787627985621199</v>
      </c>
      <c r="J172">
        <v>26.581649921322501</v>
      </c>
      <c r="K172">
        <v>18.1881787330876</v>
      </c>
      <c r="L172">
        <v>1.6938051289704477E-3</v>
      </c>
      <c r="M172">
        <v>5.5018760080852527E-4</v>
      </c>
      <c r="N172" s="1">
        <v>-1.04585111185248E-5</v>
      </c>
      <c r="O172" s="1">
        <v>1.6619284533688401E-5</v>
      </c>
      <c r="P172" s="1">
        <v>-2.5404633651946099E-5</v>
      </c>
    </row>
    <row r="173" spans="1:16" x14ac:dyDescent="0.2">
      <c r="A173">
        <v>172</v>
      </c>
      <c r="B173">
        <v>772</v>
      </c>
      <c r="C173">
        <v>150</v>
      </c>
      <c r="D173">
        <v>0.44521886810505501</v>
      </c>
      <c r="E173">
        <v>8.3889667252562603</v>
      </c>
      <c r="F173">
        <v>0.455935684662025</v>
      </c>
      <c r="G173">
        <v>-172.93742221885344</v>
      </c>
      <c r="H173">
        <v>-108.23133606289916</v>
      </c>
      <c r="I173">
        <v>61.914253754737999</v>
      </c>
      <c r="J173">
        <v>27.232197894212799</v>
      </c>
      <c r="K173">
        <v>18.399451956638998</v>
      </c>
      <c r="L173">
        <v>1.6824766354921958E-3</v>
      </c>
      <c r="M173">
        <v>5.4486223338316849E-4</v>
      </c>
      <c r="N173" s="1">
        <v>-1.03526741408081E-5</v>
      </c>
      <c r="O173" s="1">
        <v>1.66622710411013E-5</v>
      </c>
      <c r="P173" s="1">
        <v>-2.55709928695668E-5</v>
      </c>
    </row>
    <row r="174" spans="1:16" x14ac:dyDescent="0.2">
      <c r="A174">
        <v>173</v>
      </c>
      <c r="B174">
        <v>771</v>
      </c>
      <c r="C174">
        <v>150</v>
      </c>
      <c r="D174">
        <v>0.44462050471675502</v>
      </c>
      <c r="E174">
        <v>8.84189725786017</v>
      </c>
      <c r="F174">
        <v>0.475095183290559</v>
      </c>
      <c r="G174">
        <v>-180.38951684187089</v>
      </c>
      <c r="H174">
        <v>-114.5685690874902</v>
      </c>
      <c r="I174">
        <v>63.041286664037003</v>
      </c>
      <c r="J174">
        <v>27.884129872300001</v>
      </c>
      <c r="K174">
        <v>18.610791203186299</v>
      </c>
      <c r="L174">
        <v>1.6713945823836997E-3</v>
      </c>
      <c r="M174">
        <v>5.3964024452653105E-4</v>
      </c>
      <c r="N174" s="1">
        <v>-1.02429649053708E-5</v>
      </c>
      <c r="O174" s="1">
        <v>1.67048634147896E-5</v>
      </c>
      <c r="P174" s="1">
        <v>-2.5738007583019898E-5</v>
      </c>
    </row>
    <row r="175" spans="1:16" x14ac:dyDescent="0.2">
      <c r="A175">
        <v>174</v>
      </c>
      <c r="B175">
        <v>770</v>
      </c>
      <c r="C175">
        <v>150</v>
      </c>
      <c r="D175">
        <v>0.44402099410439499</v>
      </c>
      <c r="E175">
        <v>9.2954618316463993</v>
      </c>
      <c r="F175">
        <v>0.49385872314242202</v>
      </c>
      <c r="G175">
        <v>-187.84757868477817</v>
      </c>
      <c r="H175">
        <v>-120.91403978372517</v>
      </c>
      <c r="I175">
        <v>64.168303853504</v>
      </c>
      <c r="J175">
        <v>28.537232332455901</v>
      </c>
      <c r="K175">
        <v>18.822107206083899</v>
      </c>
      <c r="L175">
        <v>1.6605550509845989E-3</v>
      </c>
      <c r="M175">
        <v>5.3451964392483621E-4</v>
      </c>
      <c r="N175" s="1">
        <v>-1.01293065500369E-5</v>
      </c>
      <c r="O175" s="1">
        <v>1.67470259866617E-5</v>
      </c>
      <c r="P175" s="1">
        <v>-2.59056269111768E-5</v>
      </c>
    </row>
    <row r="176" spans="1:16" x14ac:dyDescent="0.2">
      <c r="A176">
        <v>175</v>
      </c>
      <c r="B176">
        <v>769</v>
      </c>
      <c r="C176">
        <v>150</v>
      </c>
      <c r="D176">
        <v>0.44342033296550898</v>
      </c>
      <c r="E176">
        <v>11.1236091088279</v>
      </c>
      <c r="F176">
        <v>0.56366019892868802</v>
      </c>
      <c r="G176">
        <v>-218.08650578003019</v>
      </c>
      <c r="H176">
        <v>-146.60159348339653</v>
      </c>
      <c r="I176">
        <v>68.597220995869606</v>
      </c>
      <c r="J176">
        <v>31.011088479241302</v>
      </c>
      <c r="K176">
        <v>19.734600970531201</v>
      </c>
      <c r="L176">
        <v>1.608650271544213E-3</v>
      </c>
      <c r="M176">
        <v>5.1615634007927793E-4</v>
      </c>
      <c r="N176" s="1">
        <v>-1.01238922581201E-5</v>
      </c>
      <c r="O176" s="1">
        <v>1.6967416162047499E-5</v>
      </c>
      <c r="P176" s="1">
        <v>-2.6351293109868E-5</v>
      </c>
    </row>
    <row r="177" spans="1:16" x14ac:dyDescent="0.2">
      <c r="A177">
        <v>176</v>
      </c>
      <c r="B177">
        <v>768</v>
      </c>
      <c r="C177">
        <v>150</v>
      </c>
      <c r="D177">
        <v>0.442818517984921</v>
      </c>
      <c r="E177">
        <v>13.7666094205007</v>
      </c>
      <c r="F177">
        <v>0.65366133070614896</v>
      </c>
      <c r="G177">
        <v>-261.77857710376219</v>
      </c>
      <c r="H177">
        <v>-183.71969733288137</v>
      </c>
      <c r="I177">
        <v>74.977321410555604</v>
      </c>
      <c r="J177">
        <v>34.563316472769699</v>
      </c>
      <c r="K177">
        <v>21.060767669442299</v>
      </c>
      <c r="L177">
        <v>1.5401432063430513E-3</v>
      </c>
      <c r="M177">
        <v>4.9254376210166771E-4</v>
      </c>
      <c r="N177" s="1">
        <v>-1.0175618318173501E-5</v>
      </c>
      <c r="O177" s="1">
        <v>1.72905334728834E-5</v>
      </c>
      <c r="P177" s="1">
        <v>-2.6960627223967601E-5</v>
      </c>
    </row>
    <row r="178" spans="1:16" x14ac:dyDescent="0.2">
      <c r="A178">
        <v>177</v>
      </c>
      <c r="B178">
        <v>767</v>
      </c>
      <c r="C178">
        <v>150</v>
      </c>
      <c r="D178">
        <v>0.44221554583473799</v>
      </c>
      <c r="E178">
        <v>16.844439656156801</v>
      </c>
      <c r="F178">
        <v>0.74517695781917404</v>
      </c>
      <c r="G178">
        <v>-312.57267922903026</v>
      </c>
      <c r="H178">
        <v>-226.87937104479437</v>
      </c>
      <c r="I178">
        <v>82.389227232517896</v>
      </c>
      <c r="J178">
        <v>38.687620920953897</v>
      </c>
      <c r="K178">
        <v>22.604616902612701</v>
      </c>
      <c r="L178">
        <v>1.4699507098343621E-3</v>
      </c>
      <c r="M178">
        <v>4.6851648435277559E-4</v>
      </c>
      <c r="N178" s="1">
        <v>-1.02496457350831E-5</v>
      </c>
      <c r="O178" s="1">
        <v>1.7663932633640401E-5</v>
      </c>
      <c r="P178" s="1">
        <v>-2.7653498217941001E-5</v>
      </c>
    </row>
    <row r="179" spans="1:16" x14ac:dyDescent="0.2">
      <c r="A179">
        <v>178</v>
      </c>
      <c r="B179">
        <v>766</v>
      </c>
      <c r="C179">
        <v>150</v>
      </c>
      <c r="D179">
        <v>0.44161141317423203</v>
      </c>
      <c r="E179">
        <v>30.622632784701299</v>
      </c>
      <c r="F179">
        <v>1.03818402649354</v>
      </c>
      <c r="G179">
        <v>-538.3323221728574</v>
      </c>
      <c r="H179">
        <v>-418.71658760813034</v>
      </c>
      <c r="I179">
        <v>115.11325530072</v>
      </c>
      <c r="J179">
        <v>56.777033210266097</v>
      </c>
      <c r="K179">
        <v>29.4963436185094</v>
      </c>
      <c r="L179">
        <v>1.2348256401679373E-3</v>
      </c>
      <c r="M179">
        <v>3.9171746033889144E-4</v>
      </c>
      <c r="N179" s="1">
        <v>-1.10512385923508E-5</v>
      </c>
      <c r="O179" s="1">
        <v>1.9273641173782301E-5</v>
      </c>
      <c r="P179" s="1">
        <v>-3.0294993577124799E-5</v>
      </c>
    </row>
    <row r="180" spans="1:16" x14ac:dyDescent="0.2">
      <c r="A180">
        <v>179</v>
      </c>
      <c r="B180">
        <v>765</v>
      </c>
      <c r="C180">
        <v>150</v>
      </c>
      <c r="D180">
        <v>0.44100611664981298</v>
      </c>
      <c r="E180">
        <v>45.3502532958438</v>
      </c>
      <c r="F180">
        <v>1.2310119931499299</v>
      </c>
      <c r="G180">
        <v>-779.36899309687351</v>
      </c>
      <c r="H180">
        <v>-623.67745889589639</v>
      </c>
      <c r="I180">
        <v>149.97458646383501</v>
      </c>
      <c r="J180">
        <v>76.078616939787096</v>
      </c>
      <c r="K180">
        <v>36.839814354530297</v>
      </c>
      <c r="L180">
        <v>1.0802864703790358E-3</v>
      </c>
      <c r="M180">
        <v>3.4114266917466149E-4</v>
      </c>
      <c r="N180" s="1">
        <v>-1.1869579227423599E-5</v>
      </c>
      <c r="O180" s="1">
        <v>2.0968254485332699E-5</v>
      </c>
      <c r="P180" s="1">
        <v>-3.3091769008417802E-5</v>
      </c>
    </row>
    <row r="181" spans="1:16" x14ac:dyDescent="0.2">
      <c r="A181">
        <v>180</v>
      </c>
      <c r="B181">
        <v>764</v>
      </c>
      <c r="C181">
        <v>150</v>
      </c>
      <c r="D181">
        <v>0.44039965289495597</v>
      </c>
      <c r="E181">
        <v>67.967283566515704</v>
      </c>
      <c r="F181">
        <v>1.4135750103996501</v>
      </c>
      <c r="G181">
        <v>-1147.7149880236825</v>
      </c>
      <c r="H181">
        <v>-936.76647679617372</v>
      </c>
      <c r="I181">
        <v>203.397457349153</v>
      </c>
      <c r="J181">
        <v>105.63896491038901</v>
      </c>
      <c r="K181">
        <v>48.081837232889001</v>
      </c>
      <c r="L181">
        <v>9.3509710345944291E-4</v>
      </c>
      <c r="M181">
        <v>2.9384300156092621E-4</v>
      </c>
      <c r="N181" s="1">
        <v>-1.3180627369125299E-5</v>
      </c>
      <c r="O181" s="1">
        <v>2.3573767306715801E-5</v>
      </c>
      <c r="P181" s="1">
        <v>-3.7354448866981001E-5</v>
      </c>
    </row>
    <row r="182" spans="1:16" x14ac:dyDescent="0.2">
      <c r="A182">
        <v>181</v>
      </c>
      <c r="B182">
        <v>763</v>
      </c>
      <c r="C182">
        <v>150</v>
      </c>
      <c r="D182">
        <v>0.43979201853014099</v>
      </c>
      <c r="E182">
        <v>84.564770770273697</v>
      </c>
      <c r="F182">
        <v>1.5021956603873801</v>
      </c>
      <c r="G182">
        <v>-1417.4568151533401</v>
      </c>
      <c r="H182">
        <v>-1166.2175299831063</v>
      </c>
      <c r="I182">
        <v>242.47924498518401</v>
      </c>
      <c r="J182">
        <v>127.32105613677</v>
      </c>
      <c r="K182">
        <v>56.294112012323403</v>
      </c>
      <c r="L182">
        <v>8.6577637566600185E-4</v>
      </c>
      <c r="M182">
        <v>2.7094041687441135E-4</v>
      </c>
      <c r="N182" s="1">
        <v>-1.4028103001882501E-5</v>
      </c>
      <c r="O182" s="1">
        <v>2.5457876912918101E-5</v>
      </c>
      <c r="P182" s="1">
        <v>-4.05040510180052E-5</v>
      </c>
    </row>
    <row r="183" spans="1:16" x14ac:dyDescent="0.2">
      <c r="A183">
        <v>182</v>
      </c>
      <c r="B183">
        <v>762</v>
      </c>
      <c r="C183">
        <v>150</v>
      </c>
      <c r="D183">
        <v>0.439183210162781</v>
      </c>
      <c r="E183">
        <v>94.785725156930894</v>
      </c>
      <c r="F183">
        <v>1.54578454227514</v>
      </c>
      <c r="G183">
        <v>-1583.4562150972658</v>
      </c>
      <c r="H183">
        <v>-1307.6455141749457</v>
      </c>
      <c r="I183">
        <v>266.45079908517403</v>
      </c>
      <c r="J183">
        <v>140.69304245485901</v>
      </c>
      <c r="K183">
        <v>61.318846556339501</v>
      </c>
      <c r="L183">
        <v>8.3270606686810546E-4</v>
      </c>
      <c r="M183">
        <v>2.5965602667112037E-4</v>
      </c>
      <c r="N183" s="1">
        <v>-1.4414638606125499E-5</v>
      </c>
      <c r="O183" s="1">
        <v>2.6590076412760801E-5</v>
      </c>
      <c r="P183" s="1">
        <v>-4.2478153388790197E-5</v>
      </c>
    </row>
    <row r="184" spans="1:16" x14ac:dyDescent="0.2">
      <c r="A184">
        <v>183</v>
      </c>
      <c r="B184">
        <v>761</v>
      </c>
      <c r="C184">
        <v>150</v>
      </c>
      <c r="D184">
        <v>0.43857322438717999</v>
      </c>
      <c r="E184">
        <v>99.350653336292893</v>
      </c>
      <c r="F184">
        <v>1.5638353670031699</v>
      </c>
      <c r="G184">
        <v>-1657.4323373039667</v>
      </c>
      <c r="H184">
        <v>-1370.9173379785971</v>
      </c>
      <c r="I184">
        <v>277.05938048652803</v>
      </c>
      <c r="J184">
        <v>146.69229943943799</v>
      </c>
      <c r="K184">
        <v>63.5301230759869</v>
      </c>
      <c r="L184">
        <v>8.2010863570617862E-4</v>
      </c>
      <c r="M184">
        <v>2.549046571742243E-4</v>
      </c>
      <c r="N184" s="1">
        <v>-1.44123527410586E-5</v>
      </c>
      <c r="O184" s="1">
        <v>2.7063760665919801E-5</v>
      </c>
      <c r="P184" s="1">
        <v>-4.3412066331857898E-5</v>
      </c>
    </row>
    <row r="185" spans="1:16" x14ac:dyDescent="0.2">
      <c r="A185">
        <v>184</v>
      </c>
      <c r="B185">
        <v>785</v>
      </c>
      <c r="C185">
        <v>135</v>
      </c>
      <c r="D185">
        <v>0.46848792704248099</v>
      </c>
      <c r="E185">
        <v>6.4212444342187798</v>
      </c>
      <c r="F185">
        <v>0.31822304734854601</v>
      </c>
      <c r="G185">
        <v>-142.8038889737517</v>
      </c>
      <c r="H185">
        <v>-79.842405615513968</v>
      </c>
      <c r="I185">
        <v>59.504945412855001</v>
      </c>
      <c r="J185">
        <v>24.5948404072332</v>
      </c>
      <c r="K185">
        <v>20.1784392668004</v>
      </c>
      <c r="L185">
        <v>1.7646164406930765E-3</v>
      </c>
      <c r="M185">
        <v>6.7890902519569243E-4</v>
      </c>
      <c r="N185" s="1">
        <v>-2.17263509594065E-5</v>
      </c>
      <c r="O185" s="1">
        <v>2.47464063150033E-5</v>
      </c>
      <c r="P185" s="1">
        <v>-3.0079687212391899E-5</v>
      </c>
    </row>
    <row r="186" spans="1:16" x14ac:dyDescent="0.2">
      <c r="A186">
        <v>185</v>
      </c>
      <c r="B186">
        <v>784</v>
      </c>
      <c r="C186">
        <v>135</v>
      </c>
      <c r="D186">
        <v>0.467918932980182</v>
      </c>
      <c r="E186">
        <v>6.64283312898975</v>
      </c>
      <c r="F186">
        <v>0.32782769323138999</v>
      </c>
      <c r="G186">
        <v>-146.42871489265244</v>
      </c>
      <c r="H186">
        <v>-82.957222929012786</v>
      </c>
      <c r="I186">
        <v>60.043677488960597</v>
      </c>
      <c r="J186">
        <v>24.924424515705201</v>
      </c>
      <c r="K186">
        <v>20.263184795376699</v>
      </c>
      <c r="L186">
        <v>1.7618104720973592E-3</v>
      </c>
      <c r="M186">
        <v>6.758875186519041E-4</v>
      </c>
      <c r="N186" s="1">
        <v>-2.1692026394755601E-5</v>
      </c>
      <c r="O186" s="1">
        <v>2.4759819005634001E-5</v>
      </c>
      <c r="P186" s="1">
        <v>-3.0207670959693899E-5</v>
      </c>
    </row>
    <row r="187" spans="1:16" x14ac:dyDescent="0.2">
      <c r="A187">
        <v>186</v>
      </c>
      <c r="B187">
        <v>783</v>
      </c>
      <c r="C187">
        <v>135</v>
      </c>
      <c r="D187">
        <v>0.46734886143066801</v>
      </c>
      <c r="E187">
        <v>7.0763689604621796</v>
      </c>
      <c r="F187">
        <v>0.34580539780766301</v>
      </c>
      <c r="G187">
        <v>-153.57595560952691</v>
      </c>
      <c r="H187">
        <v>-89.027131086933949</v>
      </c>
      <c r="I187">
        <v>61.120598545999499</v>
      </c>
      <c r="J187">
        <v>25.543288674802699</v>
      </c>
      <c r="K187">
        <v>20.463442749375599</v>
      </c>
      <c r="L187">
        <v>1.7524755744850252E-3</v>
      </c>
      <c r="M187">
        <v>6.7033758496219231E-4</v>
      </c>
      <c r="N187" s="1">
        <v>-2.1696593206618701E-5</v>
      </c>
      <c r="O187" s="1">
        <v>2.4819165211559901E-5</v>
      </c>
      <c r="P187" s="1">
        <v>-3.0392897113346198E-5</v>
      </c>
    </row>
    <row r="188" spans="1:16" x14ac:dyDescent="0.2">
      <c r="A188">
        <v>187</v>
      </c>
      <c r="B188">
        <v>782</v>
      </c>
      <c r="C188">
        <v>135</v>
      </c>
      <c r="D188">
        <v>0.466777709330429</v>
      </c>
      <c r="E188">
        <v>7.5109554076201999</v>
      </c>
      <c r="F188">
        <v>0.36348123921099201</v>
      </c>
      <c r="G188">
        <v>-160.73668826632587</v>
      </c>
      <c r="H188">
        <v>-95.111284423454649</v>
      </c>
      <c r="I188">
        <v>62.198847013923</v>
      </c>
      <c r="J188">
        <v>26.163916602464599</v>
      </c>
      <c r="K188">
        <v>20.663942447</v>
      </c>
      <c r="L188">
        <v>1.7433129423162527E-3</v>
      </c>
      <c r="M188">
        <v>6.6487550069779496E-4</v>
      </c>
      <c r="N188" s="1">
        <v>-2.16983066138457E-5</v>
      </c>
      <c r="O188" s="1">
        <v>2.48782408638732E-5</v>
      </c>
      <c r="P188" s="1">
        <v>-3.0579220800034201E-5</v>
      </c>
    </row>
    <row r="189" spans="1:16" x14ac:dyDescent="0.2">
      <c r="A189">
        <v>188</v>
      </c>
      <c r="B189">
        <v>781</v>
      </c>
      <c r="C189">
        <v>135</v>
      </c>
      <c r="D189">
        <v>0.46620547360432502</v>
      </c>
      <c r="E189">
        <v>7.9464340040164396</v>
      </c>
      <c r="F189">
        <v>0.38085743408380002</v>
      </c>
      <c r="G189">
        <v>-167.90822484810866</v>
      </c>
      <c r="H189">
        <v>-101.20745694863589</v>
      </c>
      <c r="I189">
        <v>63.277988372661497</v>
      </c>
      <c r="J189">
        <v>26.786089465353701</v>
      </c>
      <c r="K189">
        <v>20.864589457555301</v>
      </c>
      <c r="L189">
        <v>1.7343224741816893E-3</v>
      </c>
      <c r="M189">
        <v>6.5950066314394171E-4</v>
      </c>
      <c r="N189" s="1">
        <v>-2.16970633586139E-5</v>
      </c>
      <c r="O189" s="1">
        <v>2.4936998914063699E-5</v>
      </c>
      <c r="P189" s="1">
        <v>-3.0766595275118101E-5</v>
      </c>
    </row>
    <row r="190" spans="1:16" x14ac:dyDescent="0.2">
      <c r="A190">
        <v>189</v>
      </c>
      <c r="B190">
        <v>780</v>
      </c>
      <c r="C190">
        <v>135</v>
      </c>
      <c r="D190">
        <v>0.46563215116555001</v>
      </c>
      <c r="E190">
        <v>8.3826500004260396</v>
      </c>
      <c r="F190">
        <v>0.39793657382675601</v>
      </c>
      <c r="G190">
        <v>-175.08794168816917</v>
      </c>
      <c r="H190">
        <v>-107.31347427575014</v>
      </c>
      <c r="I190">
        <v>64.357598553721999</v>
      </c>
      <c r="J190">
        <v>27.4095935190321</v>
      </c>
      <c r="K190">
        <v>21.065291686597899</v>
      </c>
      <c r="L190">
        <v>1.7255037644327018E-3</v>
      </c>
      <c r="M190">
        <v>6.5421235270800868E-4</v>
      </c>
      <c r="N190" s="1">
        <v>-2.1692760570127201E-5</v>
      </c>
      <c r="O190" s="1">
        <v>2.4995393411095402E-5</v>
      </c>
      <c r="P190" s="1">
        <v>-3.0954974374655798E-5</v>
      </c>
    </row>
    <row r="191" spans="1:16" x14ac:dyDescent="0.2">
      <c r="A191">
        <v>190</v>
      </c>
      <c r="B191">
        <v>779</v>
      </c>
      <c r="C191">
        <v>135</v>
      </c>
      <c r="D191">
        <v>0.46505773891555402</v>
      </c>
      <c r="E191">
        <v>8.8194530427472593</v>
      </c>
      <c r="F191">
        <v>0.41472160894820198</v>
      </c>
      <c r="G191">
        <v>-182.27329063984658</v>
      </c>
      <c r="H191">
        <v>-113.42722303318071</v>
      </c>
      <c r="I191">
        <v>65.437265662558104</v>
      </c>
      <c r="J191">
        <v>28.0342210505076</v>
      </c>
      <c r="K191">
        <v>21.265959748552099</v>
      </c>
      <c r="L191">
        <v>1.7168561109002774E-3</v>
      </c>
      <c r="M191">
        <v>6.4900973757725619E-4</v>
      </c>
      <c r="N191" s="1">
        <v>-2.16852959271043E-5</v>
      </c>
      <c r="O191" s="1">
        <v>2.50533796484507E-5</v>
      </c>
      <c r="P191" s="1">
        <v>-3.1144312706509699E-5</v>
      </c>
    </row>
    <row r="192" spans="1:16" x14ac:dyDescent="0.2">
      <c r="A192">
        <v>191</v>
      </c>
      <c r="B192">
        <v>778</v>
      </c>
      <c r="C192">
        <v>135</v>
      </c>
      <c r="D192">
        <v>0.464482233743996</v>
      </c>
      <c r="E192">
        <v>9.2566977618508499</v>
      </c>
      <c r="F192">
        <v>0.43121583021052101</v>
      </c>
      <c r="G192">
        <v>-189.46180876959849</v>
      </c>
      <c r="H192">
        <v>-119.54665905540342</v>
      </c>
      <c r="I192">
        <v>66.5165914654944</v>
      </c>
      <c r="J192">
        <v>28.659771199759302</v>
      </c>
      <c r="K192">
        <v>21.466507287850899</v>
      </c>
      <c r="L192">
        <v>1.708378525361362E-3</v>
      </c>
      <c r="M192">
        <v>6.4389187937771567E-4</v>
      </c>
      <c r="N192" s="1">
        <v>-2.1674567798885101E-5</v>
      </c>
      <c r="O192" s="1">
        <v>2.5110914288197599E-5</v>
      </c>
      <c r="P192" s="1">
        <v>-3.1334565817188298E-5</v>
      </c>
    </row>
    <row r="193" spans="1:16" x14ac:dyDescent="0.2">
      <c r="A193">
        <v>192</v>
      </c>
      <c r="B193">
        <v>777</v>
      </c>
      <c r="C193">
        <v>135</v>
      </c>
      <c r="D193">
        <v>0.46390563252868899</v>
      </c>
      <c r="E193">
        <v>9.6942442767303501</v>
      </c>
      <c r="F193">
        <v>0.44742284719852998</v>
      </c>
      <c r="G193">
        <v>-196.65112660269472</v>
      </c>
      <c r="H193">
        <v>-125.66981437292074</v>
      </c>
      <c r="I193">
        <v>67.595192650576806</v>
      </c>
      <c r="J193">
        <v>29.286050663965</v>
      </c>
      <c r="K193">
        <v>21.6668512514042</v>
      </c>
      <c r="L193">
        <v>1.7000697463134741E-3</v>
      </c>
      <c r="M193">
        <v>6.3885773964498041E-4</v>
      </c>
      <c r="N193" s="1">
        <v>-2.16604753679115E-5</v>
      </c>
      <c r="O193" s="1">
        <v>2.5167955465303801E-5</v>
      </c>
      <c r="P193" s="1">
        <v>-3.1525690337829701E-5</v>
      </c>
    </row>
    <row r="194" spans="1:16" x14ac:dyDescent="0.2">
      <c r="A194">
        <v>193</v>
      </c>
      <c r="B194">
        <v>776</v>
      </c>
      <c r="C194">
        <v>135</v>
      </c>
      <c r="D194">
        <v>0.46332793213554102</v>
      </c>
      <c r="E194">
        <v>10.131958587552701</v>
      </c>
      <c r="F194">
        <v>0.46334656404136898</v>
      </c>
      <c r="G194">
        <v>-203.83897453995169</v>
      </c>
      <c r="H194">
        <v>-131.79480267950345</v>
      </c>
      <c r="I194">
        <v>68.672701803708605</v>
      </c>
      <c r="J194">
        <v>29.912874252492099</v>
      </c>
      <c r="K194">
        <v>21.866912099618101</v>
      </c>
      <c r="L194">
        <v>1.6919282543208538E-3</v>
      </c>
      <c r="M194">
        <v>6.339061871888953E-4</v>
      </c>
      <c r="N194" s="1">
        <v>-2.1642918729165201E-5</v>
      </c>
      <c r="O194" s="1">
        <v>2.5224462867187302E-5</v>
      </c>
      <c r="P194" s="1">
        <v>-3.1717644102471101E-5</v>
      </c>
    </row>
    <row r="195" spans="1:16" x14ac:dyDescent="0.2">
      <c r="A195">
        <v>194</v>
      </c>
      <c r="B195">
        <v>775</v>
      </c>
      <c r="C195">
        <v>135</v>
      </c>
      <c r="D195">
        <v>0.46274912941850099</v>
      </c>
      <c r="E195">
        <v>10.569712877023001</v>
      </c>
      <c r="F195">
        <v>0.47899115348289101</v>
      </c>
      <c r="G195">
        <v>-211.02318775477974</v>
      </c>
      <c r="H195">
        <v>-137.91982353448103</v>
      </c>
      <c r="I195">
        <v>69.748768147339604</v>
      </c>
      <c r="J195">
        <v>30.540065317550201</v>
      </c>
      <c r="K195">
        <v>22.066613965972799</v>
      </c>
      <c r="L195">
        <v>1.6839522890288411E-3</v>
      </c>
      <c r="M195">
        <v>6.2903600598910887E-4</v>
      </c>
      <c r="N195" s="1">
        <v>-2.1621798970248301E-5</v>
      </c>
      <c r="O195" s="1">
        <v>2.52803977924331E-5</v>
      </c>
      <c r="P195" s="1">
        <v>-3.1910386242807497E-5</v>
      </c>
    </row>
    <row r="196" spans="1:16" x14ac:dyDescent="0.2">
      <c r="A196">
        <v>195</v>
      </c>
      <c r="B196">
        <v>774</v>
      </c>
      <c r="C196">
        <v>135</v>
      </c>
      <c r="D196">
        <v>0.46216922121950399</v>
      </c>
      <c r="E196">
        <v>12.8671645860558</v>
      </c>
      <c r="F196">
        <v>0.55393599148738704</v>
      </c>
      <c r="G196">
        <v>-249.021731414935</v>
      </c>
      <c r="H196">
        <v>-170.20196015063803</v>
      </c>
      <c r="I196">
        <v>75.274451255205193</v>
      </c>
      <c r="J196">
        <v>33.609998411949803</v>
      </c>
      <c r="K196">
        <v>23.228612662459099</v>
      </c>
      <c r="L196">
        <v>1.6278987146602071E-3</v>
      </c>
      <c r="M196">
        <v>6.0615615253612615E-4</v>
      </c>
      <c r="N196" s="1">
        <v>-2.1882755891070099E-5</v>
      </c>
      <c r="O196" s="1">
        <v>2.5663359972645501E-5</v>
      </c>
      <c r="P196" s="1">
        <v>-3.2519008015633003E-5</v>
      </c>
    </row>
    <row r="197" spans="1:16" x14ac:dyDescent="0.2">
      <c r="A197">
        <v>196</v>
      </c>
      <c r="B197">
        <v>773</v>
      </c>
      <c r="C197">
        <v>135</v>
      </c>
      <c r="D197">
        <v>0.46158820436839998</v>
      </c>
      <c r="E197">
        <v>15.594044883285401</v>
      </c>
      <c r="F197">
        <v>0.63365043497203399</v>
      </c>
      <c r="G197">
        <v>-294.07071805584337</v>
      </c>
      <c r="H197">
        <v>-208.47968474722325</v>
      </c>
      <c r="I197">
        <v>81.8190295645323</v>
      </c>
      <c r="J197">
        <v>37.242343569182403</v>
      </c>
      <c r="K197">
        <v>24.609854302354702</v>
      </c>
      <c r="L197">
        <v>1.5675852876297803E-3</v>
      </c>
      <c r="M197">
        <v>5.818043553907573E-4</v>
      </c>
      <c r="N197" s="1">
        <v>-2.22001769460904E-5</v>
      </c>
      <c r="O197" s="1">
        <v>2.61168125944177E-5</v>
      </c>
      <c r="P197" s="1">
        <v>-3.3222044547614202E-5</v>
      </c>
    </row>
    <row r="198" spans="1:16" x14ac:dyDescent="0.2">
      <c r="A198">
        <v>197</v>
      </c>
      <c r="B198">
        <v>772</v>
      </c>
      <c r="C198">
        <v>135</v>
      </c>
      <c r="D198">
        <v>0.46100607568291702</v>
      </c>
      <c r="E198">
        <v>18.849098603527001</v>
      </c>
      <c r="F198">
        <v>0.71781932195703202</v>
      </c>
      <c r="G198">
        <v>-347.74859542513718</v>
      </c>
      <c r="H198">
        <v>-254.09496606416261</v>
      </c>
      <c r="I198">
        <v>89.611692818292099</v>
      </c>
      <c r="J198">
        <v>41.562998062075202</v>
      </c>
      <c r="K198">
        <v>26.2588342594869</v>
      </c>
      <c r="L198">
        <v>1.5031934963449208E-3</v>
      </c>
      <c r="M198">
        <v>5.5605909346771558E-4</v>
      </c>
      <c r="N198" s="1">
        <v>-2.2584195382400799E-5</v>
      </c>
      <c r="O198" s="1">
        <v>2.6653435928309601E-5</v>
      </c>
      <c r="P198" s="1">
        <v>-3.4036790498907202E-5</v>
      </c>
    </row>
    <row r="199" spans="1:16" x14ac:dyDescent="0.2">
      <c r="A199">
        <v>198</v>
      </c>
      <c r="B199">
        <v>771</v>
      </c>
      <c r="C199">
        <v>135</v>
      </c>
      <c r="D199">
        <v>0.46042283196858502</v>
      </c>
      <c r="E199">
        <v>30.974664667590499</v>
      </c>
      <c r="F199">
        <v>0.95605022800519601</v>
      </c>
      <c r="G199">
        <v>-546.48172662377226</v>
      </c>
      <c r="H199">
        <v>-422.95376136821619</v>
      </c>
      <c r="I199">
        <v>118.30895418046001</v>
      </c>
      <c r="J199">
        <v>57.372256603137401</v>
      </c>
      <c r="K199">
        <v>32.398574635790098</v>
      </c>
      <c r="L199">
        <v>1.3115161659438186E-3</v>
      </c>
      <c r="M199">
        <v>4.8306170541719375E-4</v>
      </c>
      <c r="N199" s="1">
        <v>-2.4156513889448499E-5</v>
      </c>
      <c r="O199" s="1">
        <v>2.8580890550318199E-5</v>
      </c>
      <c r="P199" s="1">
        <v>-3.6640876361074598E-5</v>
      </c>
    </row>
    <row r="200" spans="1:16" x14ac:dyDescent="0.2">
      <c r="A200">
        <v>199</v>
      </c>
      <c r="B200">
        <v>770</v>
      </c>
      <c r="C200">
        <v>135</v>
      </c>
      <c r="D200">
        <v>0.45983847001869499</v>
      </c>
      <c r="E200">
        <v>44.904431341152801</v>
      </c>
      <c r="F200">
        <v>1.13884753157048</v>
      </c>
      <c r="G200">
        <v>-774.49799926372248</v>
      </c>
      <c r="H200">
        <v>-616.81978744125468</v>
      </c>
      <c r="I200">
        <v>151.16031097315599</v>
      </c>
      <c r="J200">
        <v>75.494401581105393</v>
      </c>
      <c r="K200">
        <v>39.429713018062202</v>
      </c>
      <c r="L200">
        <v>1.1643921502559524E-3</v>
      </c>
      <c r="M200">
        <v>4.2703004282465908E-4</v>
      </c>
      <c r="N200" s="1">
        <v>-2.5930140470051099E-5</v>
      </c>
      <c r="O200" s="1">
        <v>3.0762507370965297E-5</v>
      </c>
      <c r="P200" s="1">
        <v>-3.9592554222545999E-5</v>
      </c>
    </row>
    <row r="201" spans="1:16" x14ac:dyDescent="0.2">
      <c r="A201">
        <v>200</v>
      </c>
      <c r="B201">
        <v>769</v>
      </c>
      <c r="C201">
        <v>135</v>
      </c>
      <c r="D201">
        <v>0.45925298661421299</v>
      </c>
      <c r="E201">
        <v>63.671979708293399</v>
      </c>
      <c r="F201">
        <v>1.3027624736091901</v>
      </c>
      <c r="G201">
        <v>-1080.3752141109055</v>
      </c>
      <c r="H201">
        <v>-876.82309555805261</v>
      </c>
      <c r="I201">
        <v>195.32431822327499</v>
      </c>
      <c r="J201">
        <v>99.851572679683798</v>
      </c>
      <c r="K201">
        <v>48.874588421245797</v>
      </c>
      <c r="L201">
        <v>1.033292690606613E-3</v>
      </c>
      <c r="M201">
        <v>3.772532311734514E-4</v>
      </c>
      <c r="N201" s="1">
        <v>-2.8330525030936399E-5</v>
      </c>
      <c r="O201" s="1">
        <v>3.3699628043776697E-5</v>
      </c>
      <c r="P201" s="1">
        <v>-4.3543692701035298E-5</v>
      </c>
    </row>
    <row r="202" spans="1:16" x14ac:dyDescent="0.2">
      <c r="A202">
        <v>201</v>
      </c>
      <c r="B202">
        <v>768</v>
      </c>
      <c r="C202">
        <v>135</v>
      </c>
      <c r="D202">
        <v>0.45866637852374798</v>
      </c>
      <c r="E202">
        <v>82.018467393265496</v>
      </c>
      <c r="F202">
        <v>1.41235853121614</v>
      </c>
      <c r="G202">
        <v>-1378.5909996483774</v>
      </c>
      <c r="H202">
        <v>-1130.40399426043</v>
      </c>
      <c r="I202">
        <v>238.38310135036701</v>
      </c>
      <c r="J202">
        <v>123.63166931245399</v>
      </c>
      <c r="K202">
        <v>58.071987799472701</v>
      </c>
      <c r="L202">
        <v>9.4664057347155551E-4</v>
      </c>
      <c r="M202">
        <v>3.4416912027651175E-4</v>
      </c>
      <c r="N202" s="1">
        <v>-3.0631139142486397E-5</v>
      </c>
      <c r="O202" s="1">
        <v>3.6547438124123001E-5</v>
      </c>
      <c r="P202" s="1">
        <v>-4.7410317289862097E-5</v>
      </c>
    </row>
    <row r="203" spans="1:16" x14ac:dyDescent="0.2">
      <c r="A203">
        <v>202</v>
      </c>
      <c r="B203">
        <v>767</v>
      </c>
      <c r="C203">
        <v>135</v>
      </c>
      <c r="D203">
        <v>0.45807864250348701</v>
      </c>
      <c r="E203">
        <v>92.429890817686399</v>
      </c>
      <c r="F203">
        <v>1.4612563424585701</v>
      </c>
      <c r="G203">
        <v>-1547.6898303432242</v>
      </c>
      <c r="H203">
        <v>-1274.4321015561482</v>
      </c>
      <c r="I203">
        <v>262.71551057365502</v>
      </c>
      <c r="J203">
        <v>137.14601938736001</v>
      </c>
      <c r="K203">
        <v>63.253714034987503</v>
      </c>
      <c r="L203">
        <v>9.0926529045989239E-4</v>
      </c>
      <c r="M203">
        <v>3.2940313443280216E-4</v>
      </c>
      <c r="N203" s="1">
        <v>-3.1834898059490102E-5</v>
      </c>
      <c r="O203" s="1">
        <v>3.81266976733335E-5</v>
      </c>
      <c r="P203" s="1">
        <v>-4.9655670589682502E-5</v>
      </c>
    </row>
    <row r="204" spans="1:16" x14ac:dyDescent="0.2">
      <c r="A204">
        <v>203</v>
      </c>
      <c r="B204">
        <v>766</v>
      </c>
      <c r="C204">
        <v>135</v>
      </c>
      <c r="D204">
        <v>0.45748977529712298</v>
      </c>
      <c r="E204">
        <v>97.931723448305604</v>
      </c>
      <c r="F204">
        <v>1.48474276353898</v>
      </c>
      <c r="G204">
        <v>-1636.9076218522214</v>
      </c>
      <c r="H204">
        <v>-1350.6405705344157</v>
      </c>
      <c r="I204">
        <v>275.48765041051502</v>
      </c>
      <c r="J204">
        <v>144.31237328373501</v>
      </c>
      <c r="K204">
        <v>65.958714097301595</v>
      </c>
      <c r="L204">
        <v>8.9250916417370782E-4</v>
      </c>
      <c r="M204">
        <v>3.2228219273433518E-4</v>
      </c>
      <c r="N204" s="1">
        <v>-3.2368122356071597E-5</v>
      </c>
      <c r="O204" s="1">
        <v>3.8928366109098303E-5</v>
      </c>
      <c r="P204" s="1">
        <v>-5.0902261739050398E-5</v>
      </c>
    </row>
    <row r="205" spans="1:16" x14ac:dyDescent="0.2">
      <c r="A205">
        <v>204</v>
      </c>
      <c r="B205">
        <v>765</v>
      </c>
      <c r="C205">
        <v>135</v>
      </c>
      <c r="D205">
        <v>0.45689977363579698</v>
      </c>
      <c r="E205">
        <v>100.863076476515</v>
      </c>
      <c r="F205">
        <v>1.4971665138729799</v>
      </c>
      <c r="G205">
        <v>-1684.3028929442048</v>
      </c>
      <c r="H205">
        <v>-1391.3294504607236</v>
      </c>
      <c r="I205">
        <v>282.21302568820101</v>
      </c>
      <c r="J205">
        <v>148.15511444330701</v>
      </c>
      <c r="K205">
        <v>67.369310989728007</v>
      </c>
      <c r="L205">
        <v>8.8472152637062112E-4</v>
      </c>
      <c r="M205">
        <v>3.1847806463945348E-4</v>
      </c>
      <c r="N205" s="1">
        <v>-3.2550664812234098E-5</v>
      </c>
      <c r="O205" s="1">
        <v>3.9324556680784001E-5</v>
      </c>
      <c r="P205" s="1">
        <v>-5.16265681919078E-5</v>
      </c>
    </row>
    <row r="206" spans="1:16" x14ac:dyDescent="0.2">
      <c r="A206">
        <v>205</v>
      </c>
      <c r="B206">
        <v>794</v>
      </c>
      <c r="C206">
        <v>120</v>
      </c>
      <c r="D206">
        <v>0.489022630370612</v>
      </c>
      <c r="E206">
        <v>6.7110871260379703</v>
      </c>
      <c r="F206">
        <v>0.28023998025739999</v>
      </c>
      <c r="G206">
        <v>-150.14987014569246</v>
      </c>
      <c r="H206">
        <v>-82.924009754914351</v>
      </c>
      <c r="I206">
        <v>62.999298024588398</v>
      </c>
      <c r="J206">
        <v>24.9854130585056</v>
      </c>
      <c r="K206">
        <v>23.947643444285902</v>
      </c>
      <c r="L206">
        <v>1.7556500261124606E-3</v>
      </c>
      <c r="M206">
        <v>8.0852558045492451E-4</v>
      </c>
      <c r="N206" s="1">
        <v>-3.4681162373758003E-5</v>
      </c>
      <c r="O206" s="1">
        <v>3.8293599411636002E-5</v>
      </c>
      <c r="P206" s="1">
        <v>-3.6547116167827901E-5</v>
      </c>
    </row>
    <row r="207" spans="1:16" x14ac:dyDescent="0.2">
      <c r="A207">
        <v>206</v>
      </c>
      <c r="B207">
        <v>793</v>
      </c>
      <c r="C207">
        <v>120</v>
      </c>
      <c r="D207">
        <v>0.488477700136005</v>
      </c>
      <c r="E207">
        <v>6.7509992643836698</v>
      </c>
      <c r="F207">
        <v>0.28215664559666698</v>
      </c>
      <c r="G207">
        <v>-150.74836741035077</v>
      </c>
      <c r="H207">
        <v>-83.506222346911343</v>
      </c>
      <c r="I207">
        <v>63.073663657664703</v>
      </c>
      <c r="J207">
        <v>25.0669342049211</v>
      </c>
      <c r="K207">
        <v>23.926423033941099</v>
      </c>
      <c r="L207">
        <v>1.7591107407194119E-3</v>
      </c>
      <c r="M207">
        <v>8.0791419330235499E-4</v>
      </c>
      <c r="N207" s="1">
        <v>-3.4710821625760102E-5</v>
      </c>
      <c r="O207" s="1">
        <v>3.8260606743851297E-5</v>
      </c>
      <c r="P207" s="1">
        <v>-3.66385848747396E-5</v>
      </c>
    </row>
    <row r="208" spans="1:16" x14ac:dyDescent="0.2">
      <c r="A208">
        <v>207</v>
      </c>
      <c r="B208">
        <v>792</v>
      </c>
      <c r="C208">
        <v>120</v>
      </c>
      <c r="D208">
        <v>0.48793174670234402</v>
      </c>
      <c r="E208">
        <v>7.1703408483514002</v>
      </c>
      <c r="F208">
        <v>0.29731928926650802</v>
      </c>
      <c r="G208">
        <v>-157.65907324687294</v>
      </c>
      <c r="H208">
        <v>-89.378370238378096</v>
      </c>
      <c r="I208">
        <v>64.107925506626998</v>
      </c>
      <c r="J208">
        <v>25.6596295169375</v>
      </c>
      <c r="K208">
        <v>24.116635237628699</v>
      </c>
      <c r="L208">
        <v>1.7525112991467989E-3</v>
      </c>
      <c r="M208">
        <v>8.0261517607411179E-4</v>
      </c>
      <c r="N208" s="1">
        <v>-3.4844015951866002E-5</v>
      </c>
      <c r="O208" s="1">
        <v>3.8341436267291903E-5</v>
      </c>
      <c r="P208" s="1">
        <v>-3.6840178379689403E-5</v>
      </c>
    </row>
    <row r="209" spans="1:16" x14ac:dyDescent="0.2">
      <c r="A209">
        <v>208</v>
      </c>
      <c r="B209">
        <v>791</v>
      </c>
      <c r="C209">
        <v>120</v>
      </c>
      <c r="D209">
        <v>0.48738476718508</v>
      </c>
      <c r="E209">
        <v>7.5905019106054903</v>
      </c>
      <c r="F209">
        <v>0.31227680571362298</v>
      </c>
      <c r="G209">
        <v>-164.57971589359195</v>
      </c>
      <c r="H209">
        <v>-95.261620708853002</v>
      </c>
      <c r="I209">
        <v>65.143035699064797</v>
      </c>
      <c r="J209">
        <v>26.253754053292401</v>
      </c>
      <c r="K209">
        <v>24.306966677398499</v>
      </c>
      <c r="L209">
        <v>1.7460217528757688E-3</v>
      </c>
      <c r="M209">
        <v>7.9738405119319253E-4</v>
      </c>
      <c r="N209" s="1">
        <v>-3.4975893945044897E-5</v>
      </c>
      <c r="O209" s="1">
        <v>3.8422007512249197E-5</v>
      </c>
      <c r="P209" s="1">
        <v>-3.70430422881296E-5</v>
      </c>
    </row>
    <row r="210" spans="1:16" x14ac:dyDescent="0.2">
      <c r="A210">
        <v>209</v>
      </c>
      <c r="B210">
        <v>790</v>
      </c>
      <c r="C210">
        <v>120</v>
      </c>
      <c r="D210">
        <v>0.486836758688802</v>
      </c>
      <c r="E210">
        <v>8.0113344074181594</v>
      </c>
      <c r="F210">
        <v>0.32702891156686797</v>
      </c>
      <c r="G210">
        <v>-171.50779251960486</v>
      </c>
      <c r="H210">
        <v>-101.15389875538266</v>
      </c>
      <c r="I210">
        <v>66.178594208227807</v>
      </c>
      <c r="J210">
        <v>26.849107260948301</v>
      </c>
      <c r="K210">
        <v>24.497327679788501</v>
      </c>
      <c r="L210">
        <v>1.7396434012941903E-3</v>
      </c>
      <c r="M210">
        <v>7.9222100964312643E-4</v>
      </c>
      <c r="N210" s="1">
        <v>-3.5106354545446603E-5</v>
      </c>
      <c r="O210" s="1">
        <v>3.8502263373479802E-5</v>
      </c>
      <c r="P210" s="1">
        <v>-3.7247136155203903E-5</v>
      </c>
    </row>
    <row r="211" spans="1:16" x14ac:dyDescent="0.2">
      <c r="A211">
        <v>210</v>
      </c>
      <c r="B211">
        <v>789</v>
      </c>
      <c r="C211">
        <v>120</v>
      </c>
      <c r="D211">
        <v>0.48628771830721002</v>
      </c>
      <c r="E211">
        <v>8.4326934732918204</v>
      </c>
      <c r="F211">
        <v>0.34157564932892998</v>
      </c>
      <c r="G211">
        <v>-178.44085581355205</v>
      </c>
      <c r="H211">
        <v>-107.05317369369527</v>
      </c>
      <c r="I211">
        <v>67.214210046454497</v>
      </c>
      <c r="J211">
        <v>27.445492941794399</v>
      </c>
      <c r="K211">
        <v>24.687630660613301</v>
      </c>
      <c r="L211">
        <v>1.733377304102294E-3</v>
      </c>
      <c r="M211">
        <v>7.8712612482588712E-4</v>
      </c>
      <c r="N211" s="1">
        <v>-3.5235296475370801E-5</v>
      </c>
      <c r="O211" s="1">
        <v>3.8582148070947699E-5</v>
      </c>
      <c r="P211" s="1">
        <v>-3.7452420251038497E-5</v>
      </c>
    </row>
    <row r="212" spans="1:16" x14ac:dyDescent="0.2">
      <c r="A212">
        <v>211</v>
      </c>
      <c r="B212">
        <v>788</v>
      </c>
      <c r="C212">
        <v>120</v>
      </c>
      <c r="D212">
        <v>0.48573764312303003</v>
      </c>
      <c r="E212">
        <v>8.8544379904211006</v>
      </c>
      <c r="F212">
        <v>0.355917379796309</v>
      </c>
      <c r="G212">
        <v>-185.37652338119139</v>
      </c>
      <c r="H212">
        <v>-112.95746706898652</v>
      </c>
      <c r="I212">
        <v>68.249502708889693</v>
      </c>
      <c r="J212">
        <v>28.042720034781802</v>
      </c>
      <c r="K212">
        <v>24.8777904453231</v>
      </c>
      <c r="L212">
        <v>1.7272242832618264E-3</v>
      </c>
      <c r="M212">
        <v>7.8209935500245513E-4</v>
      </c>
      <c r="N212" s="1">
        <v>-3.5362618413751398E-5</v>
      </c>
      <c r="O212" s="1">
        <v>3.8661607322056098E-5</v>
      </c>
      <c r="P212" s="1">
        <v>-3.7658855737361903E-5</v>
      </c>
    </row>
    <row r="213" spans="1:16" x14ac:dyDescent="0.2">
      <c r="A213">
        <v>212</v>
      </c>
      <c r="B213">
        <v>787</v>
      </c>
      <c r="C213">
        <v>120</v>
      </c>
      <c r="D213">
        <v>0.48518653020799002</v>
      </c>
      <c r="E213">
        <v>9.2764310898643192</v>
      </c>
      <c r="F213">
        <v>0.37005477189438402</v>
      </c>
      <c r="G213">
        <v>-192.31248599486617</v>
      </c>
      <c r="H213">
        <v>-118.86485961881957</v>
      </c>
      <c r="I213">
        <v>69.284103436512098</v>
      </c>
      <c r="J213">
        <v>28.640603305741902</v>
      </c>
      <c r="K213">
        <v>25.067724548926599</v>
      </c>
      <c r="L213">
        <v>1.7211849270335085E-3</v>
      </c>
      <c r="M213">
        <v>7.7714054667834458E-4</v>
      </c>
      <c r="N213" s="1">
        <v>-3.5488219151056002E-5</v>
      </c>
      <c r="O213" s="1">
        <v>3.8740588490436901E-5</v>
      </c>
      <c r="P213" s="1">
        <v>-3.7866404824892399E-5</v>
      </c>
    </row>
    <row r="214" spans="1:16" x14ac:dyDescent="0.2">
      <c r="A214">
        <v>213</v>
      </c>
      <c r="B214">
        <v>786</v>
      </c>
      <c r="C214">
        <v>120</v>
      </c>
      <c r="D214">
        <v>0.48463437662276798</v>
      </c>
      <c r="E214">
        <v>9.69854058269636</v>
      </c>
      <c r="F214">
        <v>0.38398879024975602</v>
      </c>
      <c r="G214">
        <v>-199.24651467015198</v>
      </c>
      <c r="H214">
        <v>-124.77349726544124</v>
      </c>
      <c r="I214">
        <v>70.3176562953699</v>
      </c>
      <c r="J214">
        <v>29.238963942757799</v>
      </c>
      <c r="K214">
        <v>25.2573534148957</v>
      </c>
      <c r="L214">
        <v>1.7152595958985131E-3</v>
      </c>
      <c r="M214">
        <v>7.722494388215837E-4</v>
      </c>
      <c r="N214" s="1">
        <v>-3.5611997724305899E-5</v>
      </c>
      <c r="O214" s="1">
        <v>3.8819040711456703E-5</v>
      </c>
      <c r="P214" s="1">
        <v>-3.80750309112044E-5</v>
      </c>
    </row>
    <row r="215" spans="1:16" x14ac:dyDescent="0.2">
      <c r="A215">
        <v>214</v>
      </c>
      <c r="B215">
        <v>785</v>
      </c>
      <c r="C215">
        <v>120</v>
      </c>
      <c r="D215">
        <v>0.48408117941691098</v>
      </c>
      <c r="E215">
        <v>10.1206393099521</v>
      </c>
      <c r="F215">
        <v>0.39772068049867298</v>
      </c>
      <c r="G215">
        <v>-206.17646638862081</v>
      </c>
      <c r="H215">
        <v>-130.68159598316899</v>
      </c>
      <c r="I215">
        <v>71.349819045563507</v>
      </c>
      <c r="J215">
        <v>29.8376300424028</v>
      </c>
      <c r="K215">
        <v>25.446600607397599</v>
      </c>
      <c r="L215">
        <v>1.7094484304060352E-3</v>
      </c>
      <c r="M215">
        <v>7.6742566791507521E-4</v>
      </c>
      <c r="N215" s="1">
        <v>-3.5733853529710998E-5</v>
      </c>
      <c r="O215" s="1">
        <v>3.8896914992116398E-5</v>
      </c>
      <c r="P215" s="1">
        <v>-3.82846986963126E-5</v>
      </c>
    </row>
    <row r="216" spans="1:16" x14ac:dyDescent="0.2">
      <c r="A216">
        <v>215</v>
      </c>
      <c r="B216">
        <v>784</v>
      </c>
      <c r="C216">
        <v>120</v>
      </c>
      <c r="D216">
        <v>0.48352693562881199</v>
      </c>
      <c r="E216">
        <v>10.5426054188476</v>
      </c>
      <c r="F216">
        <v>0.41125195289864902</v>
      </c>
      <c r="G216">
        <v>-213.1002885962429</v>
      </c>
      <c r="H216">
        <v>-136.58744564656544</v>
      </c>
      <c r="I216">
        <v>72.380263821098396</v>
      </c>
      <c r="J216">
        <v>30.436436997469801</v>
      </c>
      <c r="K216">
        <v>25.6353929617589</v>
      </c>
      <c r="L216">
        <v>1.7037513605452543E-3</v>
      </c>
      <c r="M216">
        <v>7.6266877364308588E-4</v>
      </c>
      <c r="N216" s="1">
        <v>-3.5853686415733E-5</v>
      </c>
      <c r="O216" s="1">
        <v>3.8974164288875998E-5</v>
      </c>
      <c r="P216" s="1">
        <v>-3.8495374278945202E-5</v>
      </c>
    </row>
    <row r="217" spans="1:16" x14ac:dyDescent="0.2">
      <c r="A217">
        <v>216</v>
      </c>
      <c r="B217">
        <v>783</v>
      </c>
      <c r="C217">
        <v>120</v>
      </c>
      <c r="D217">
        <v>0.48297164228566197</v>
      </c>
      <c r="E217">
        <v>10.9643225592097</v>
      </c>
      <c r="F217">
        <v>0.424584364362452</v>
      </c>
      <c r="G217">
        <v>-220.01602237929578</v>
      </c>
      <c r="H217">
        <v>-142.48941277710841</v>
      </c>
      <c r="I217">
        <v>73.408677604358303</v>
      </c>
      <c r="J217">
        <v>31.0352277774324</v>
      </c>
      <c r="K217">
        <v>25.823660689139</v>
      </c>
      <c r="L217">
        <v>1.6981681165811275E-3</v>
      </c>
      <c r="M217">
        <v>7.5797820517025597E-4</v>
      </c>
      <c r="N217" s="1">
        <v>-3.5971396753573902E-5</v>
      </c>
      <c r="O217" s="1">
        <v>3.9050743560399498E-5</v>
      </c>
      <c r="P217" s="1">
        <v>-3.87070252300337E-5</v>
      </c>
    </row>
    <row r="218" spans="1:16" x14ac:dyDescent="0.2">
      <c r="A218">
        <v>217</v>
      </c>
      <c r="B218">
        <v>782</v>
      </c>
      <c r="C218">
        <v>120</v>
      </c>
      <c r="D218">
        <v>0.48241529640335601</v>
      </c>
      <c r="E218">
        <v>11.3856800010781</v>
      </c>
      <c r="F218">
        <v>0.437719899189214</v>
      </c>
      <c r="G218">
        <v>-226.9218043415386</v>
      </c>
      <c r="H218">
        <v>-148.38594220281229</v>
      </c>
      <c r="I218">
        <v>74.434762502652305</v>
      </c>
      <c r="J218">
        <v>31.633853104484299</v>
      </c>
      <c r="K218">
        <v>26.011337437863101</v>
      </c>
      <c r="L218">
        <v>1.6926982411684431E-3</v>
      </c>
      <c r="M218">
        <v>7.5335332791579717E-4</v>
      </c>
      <c r="N218" s="1">
        <v>-3.6086885488065203E-5</v>
      </c>
      <c r="O218" s="1">
        <v>3.9126609798913897E-5</v>
      </c>
      <c r="P218" s="1">
        <v>-3.8919620646565301E-5</v>
      </c>
    </row>
    <row r="219" spans="1:16" x14ac:dyDescent="0.2">
      <c r="A219">
        <v>218</v>
      </c>
      <c r="B219">
        <v>781</v>
      </c>
      <c r="C219">
        <v>120</v>
      </c>
      <c r="D219">
        <v>0.48185789498648202</v>
      </c>
      <c r="E219">
        <v>12.104508115828001</v>
      </c>
      <c r="F219">
        <v>0.45927682967795003</v>
      </c>
      <c r="G219">
        <v>-238.75609371544752</v>
      </c>
      <c r="H219">
        <v>-158.46670043834035</v>
      </c>
      <c r="I219">
        <v>76.168847362014802</v>
      </c>
      <c r="J219">
        <v>32.619827112624797</v>
      </c>
      <c r="K219">
        <v>26.355581935879101</v>
      </c>
      <c r="L219">
        <v>1.6804603808690363E-3</v>
      </c>
      <c r="M219">
        <v>7.4571827435348311E-4</v>
      </c>
      <c r="N219" s="1">
        <v>-3.6268250617052297E-5</v>
      </c>
      <c r="O219" s="1">
        <v>3.9274687078767603E-5</v>
      </c>
      <c r="P219" s="1">
        <v>-3.9205964458500898E-5</v>
      </c>
    </row>
    <row r="220" spans="1:16" x14ac:dyDescent="0.2">
      <c r="A220">
        <v>219</v>
      </c>
      <c r="B220">
        <v>780</v>
      </c>
      <c r="C220">
        <v>120</v>
      </c>
      <c r="D220">
        <v>0.48129943502824801</v>
      </c>
      <c r="E220">
        <v>14.612091267134</v>
      </c>
      <c r="F220">
        <v>0.52862191243007195</v>
      </c>
      <c r="G220">
        <v>-280.21641863403187</v>
      </c>
      <c r="H220">
        <v>-193.68943471065978</v>
      </c>
      <c r="I220">
        <v>82.164027031379902</v>
      </c>
      <c r="J220">
        <v>35.932740961929603</v>
      </c>
      <c r="K220">
        <v>27.6418569180424</v>
      </c>
      <c r="L220">
        <v>1.6298367968328028E-3</v>
      </c>
      <c r="M220">
        <v>7.2100673542470014E-4</v>
      </c>
      <c r="N220" s="1">
        <v>-3.6854765769627698E-5</v>
      </c>
      <c r="O220" s="1">
        <v>3.9857207243563702E-5</v>
      </c>
      <c r="P220" s="1">
        <v>-3.9929719441245602E-5</v>
      </c>
    </row>
    <row r="221" spans="1:16" x14ac:dyDescent="0.2">
      <c r="A221">
        <v>220</v>
      </c>
      <c r="B221">
        <v>779</v>
      </c>
      <c r="C221">
        <v>120</v>
      </c>
      <c r="D221">
        <v>0.48073991351043299</v>
      </c>
      <c r="E221">
        <v>17.417118525888501</v>
      </c>
      <c r="F221">
        <v>0.598918005804429</v>
      </c>
      <c r="G221">
        <v>-326.5304838692453</v>
      </c>
      <c r="H221">
        <v>-233.04284091031207</v>
      </c>
      <c r="I221">
        <v>88.857838542475406</v>
      </c>
      <c r="J221">
        <v>39.630263391074998</v>
      </c>
      <c r="K221">
        <v>29.080973283638301</v>
      </c>
      <c r="L221">
        <v>1.5780797173933401E-3</v>
      </c>
      <c r="M221">
        <v>6.9591692809671893E-4</v>
      </c>
      <c r="N221" s="1">
        <v>-3.7501307244425003E-5</v>
      </c>
      <c r="O221" s="1">
        <v>4.0504279729841203E-5</v>
      </c>
      <c r="P221" s="1">
        <v>-4.0723727702771701E-5</v>
      </c>
    </row>
    <row r="222" spans="1:16" x14ac:dyDescent="0.2">
      <c r="A222">
        <v>221</v>
      </c>
      <c r="B222">
        <v>778</v>
      </c>
      <c r="C222">
        <v>120</v>
      </c>
      <c r="D222">
        <v>0.48017932740332298</v>
      </c>
      <c r="E222">
        <v>20.833397402217301</v>
      </c>
      <c r="F222">
        <v>0.67564164852336805</v>
      </c>
      <c r="G222">
        <v>-382.83302492805223</v>
      </c>
      <c r="H222">
        <v>-280.88621484494718</v>
      </c>
      <c r="I222">
        <v>96.989988566135196</v>
      </c>
      <c r="J222">
        <v>44.1162659696761</v>
      </c>
      <c r="K222">
        <v>30.834981010642601</v>
      </c>
      <c r="L222">
        <v>1.5207256989206981E-3</v>
      </c>
      <c r="M222">
        <v>6.6847179566653701E-4</v>
      </c>
      <c r="N222" s="1">
        <v>-3.8272579189438403E-5</v>
      </c>
      <c r="O222" s="1">
        <v>4.1284915811482001E-5</v>
      </c>
      <c r="P222" s="1">
        <v>-4.1658388860336597E-5</v>
      </c>
    </row>
    <row r="223" spans="1:16" x14ac:dyDescent="0.2">
      <c r="A223">
        <v>222</v>
      </c>
      <c r="B223">
        <v>777</v>
      </c>
      <c r="C223">
        <v>120</v>
      </c>
      <c r="D223">
        <v>0.47961767366567098</v>
      </c>
      <c r="E223">
        <v>30.4996340602444</v>
      </c>
      <c r="F223">
        <v>0.85180333235401295</v>
      </c>
      <c r="G223">
        <v>-541.3499903598439</v>
      </c>
      <c r="H223">
        <v>-415.5489328633634</v>
      </c>
      <c r="I223">
        <v>119.797645593624</v>
      </c>
      <c r="J223">
        <v>56.627251678067097</v>
      </c>
      <c r="K223">
        <v>35.805957668604897</v>
      </c>
      <c r="L223">
        <v>1.3819214330615967E-3</v>
      </c>
      <c r="M223">
        <v>6.0512359149068537E-4</v>
      </c>
      <c r="N223" s="1">
        <v>-4.0314922179781201E-5</v>
      </c>
      <c r="O223" s="1">
        <v>4.3423848353473199E-5</v>
      </c>
      <c r="P223" s="1">
        <v>-4.3975469074570898E-5</v>
      </c>
    </row>
    <row r="224" spans="1:16" x14ac:dyDescent="0.2">
      <c r="A224">
        <v>223</v>
      </c>
      <c r="B224">
        <v>776</v>
      </c>
      <c r="C224">
        <v>120</v>
      </c>
      <c r="D224">
        <v>0.47905494924462999</v>
      </c>
      <c r="E224">
        <v>43.767523380566701</v>
      </c>
      <c r="F224">
        <v>1.02715353767261</v>
      </c>
      <c r="G224">
        <v>-758.58968694795408</v>
      </c>
      <c r="H224">
        <v>-600.1962263107531</v>
      </c>
      <c r="I224">
        <v>150.977650134794</v>
      </c>
      <c r="J224">
        <v>73.741701432092995</v>
      </c>
      <c r="K224">
        <v>42.610497627976599</v>
      </c>
      <c r="L224">
        <v>1.2428619278591279E-3</v>
      </c>
      <c r="M224">
        <v>5.4202249672497731E-4</v>
      </c>
      <c r="N224" s="1">
        <v>-4.3061485089458802E-5</v>
      </c>
      <c r="O224" s="1">
        <v>4.6313186461236698E-5</v>
      </c>
      <c r="P224" s="1">
        <v>-4.7072267853412301E-5</v>
      </c>
    </row>
    <row r="225" spans="1:16" x14ac:dyDescent="0.2">
      <c r="A225">
        <v>224</v>
      </c>
      <c r="B225">
        <v>775</v>
      </c>
      <c r="C225">
        <v>120</v>
      </c>
      <c r="D225">
        <v>0.478491151075708</v>
      </c>
      <c r="E225">
        <v>53.684520073335698</v>
      </c>
      <c r="F225">
        <v>1.1260944202176899</v>
      </c>
      <c r="G225">
        <v>-920.8508793344273</v>
      </c>
      <c r="H225">
        <v>-738.24554428062868</v>
      </c>
      <c r="I225">
        <v>174.221533445332</v>
      </c>
      <c r="J225">
        <v>86.540650919579505</v>
      </c>
      <c r="K225">
        <v>47.673196056648202</v>
      </c>
      <c r="L225">
        <v>1.1655391568071692E-3</v>
      </c>
      <c r="M225">
        <v>5.0644297811580608E-4</v>
      </c>
      <c r="N225" s="1">
        <v>-4.5101792861376597E-5</v>
      </c>
      <c r="O225" s="1">
        <v>4.8446599297587898E-5</v>
      </c>
      <c r="P225" s="1">
        <v>-4.9420822063697697E-5</v>
      </c>
    </row>
    <row r="226" spans="1:16" x14ac:dyDescent="0.2">
      <c r="A226">
        <v>225</v>
      </c>
      <c r="B226">
        <v>774</v>
      </c>
      <c r="C226">
        <v>120</v>
      </c>
      <c r="D226">
        <v>0.47792627608270499</v>
      </c>
      <c r="E226">
        <v>77.641666273313007</v>
      </c>
      <c r="F226">
        <v>1.2961547921302801</v>
      </c>
      <c r="G226">
        <v>-1310.2910637610098</v>
      </c>
      <c r="H226">
        <v>-1069.1352492049728</v>
      </c>
      <c r="I226">
        <v>230.302554348591</v>
      </c>
      <c r="J226">
        <v>117.308766694496</v>
      </c>
      <c r="K226">
        <v>59.901538569868997</v>
      </c>
      <c r="L226">
        <v>1.0314670797568445E-3</v>
      </c>
      <c r="M226">
        <v>4.4616426054797364E-4</v>
      </c>
      <c r="N226" s="1">
        <v>-5.0028038101395001E-5</v>
      </c>
      <c r="O226" s="1">
        <v>5.3652219092729298E-5</v>
      </c>
      <c r="P226" s="1">
        <v>-5.49322046114617E-5</v>
      </c>
    </row>
    <row r="227" spans="1:16" x14ac:dyDescent="0.2">
      <c r="A227">
        <v>226</v>
      </c>
      <c r="B227">
        <v>773</v>
      </c>
      <c r="C227">
        <v>120</v>
      </c>
      <c r="D227">
        <v>0.47736032117765198</v>
      </c>
      <c r="E227">
        <v>87.892613438784394</v>
      </c>
      <c r="F227">
        <v>1.3504048268192099</v>
      </c>
      <c r="G227">
        <v>-1476.7844717086102</v>
      </c>
      <c r="H227">
        <v>-1210.879915579799</v>
      </c>
      <c r="I227">
        <v>254.179889129739</v>
      </c>
      <c r="J227">
        <v>130.49484789364499</v>
      </c>
      <c r="K227">
        <v>65.086122097037602</v>
      </c>
      <c r="L227">
        <v>9.9045968700426116E-4</v>
      </c>
      <c r="M227">
        <v>4.2693979579118727E-4</v>
      </c>
      <c r="N227" s="1">
        <v>-5.2109081251007203E-5</v>
      </c>
      <c r="O227" s="1">
        <v>5.5824240043199699E-5</v>
      </c>
      <c r="P227" s="1">
        <v>-5.7367194606972201E-5</v>
      </c>
    </row>
    <row r="228" spans="1:16" x14ac:dyDescent="0.2">
      <c r="A228">
        <v>227</v>
      </c>
      <c r="B228">
        <v>772</v>
      </c>
      <c r="C228">
        <v>120</v>
      </c>
      <c r="D228">
        <v>0.47679328326077502</v>
      </c>
      <c r="E228">
        <v>95.748392475994507</v>
      </c>
      <c r="F228">
        <v>1.3870053599428001</v>
      </c>
      <c r="G228">
        <v>-1604.308665082131</v>
      </c>
      <c r="H228">
        <v>-1319.6001556105964</v>
      </c>
      <c r="I228">
        <v>272.41488748218899</v>
      </c>
      <c r="J228">
        <v>140.61480593758901</v>
      </c>
      <c r="K228">
        <v>69.032460321525207</v>
      </c>
      <c r="L228">
        <v>9.6368930548783186E-4</v>
      </c>
      <c r="M228">
        <v>4.1402579311512896E-4</v>
      </c>
      <c r="N228" s="1">
        <v>-5.36884805538203E-5</v>
      </c>
      <c r="O228" s="1">
        <v>5.7462292185784499E-5</v>
      </c>
      <c r="P228" s="1">
        <v>-5.9269734216299803E-5</v>
      </c>
    </row>
    <row r="229" spans="1:16" x14ac:dyDescent="0.2">
      <c r="A229">
        <v>228</v>
      </c>
      <c r="B229">
        <v>771</v>
      </c>
      <c r="C229">
        <v>120</v>
      </c>
      <c r="D229">
        <v>0.47622515922041903</v>
      </c>
      <c r="E229">
        <v>99.416327055426905</v>
      </c>
      <c r="F229">
        <v>1.4034689025950899</v>
      </c>
      <c r="G229">
        <v>-1663.6878972387935</v>
      </c>
      <c r="H229">
        <v>-1370.4531330579459</v>
      </c>
      <c r="I229">
        <v>280.84159932073999</v>
      </c>
      <c r="J229">
        <v>145.36714661158899</v>
      </c>
      <c r="K229">
        <v>70.836145262357107</v>
      </c>
      <c r="L229">
        <v>9.5311312886440711E-4</v>
      </c>
      <c r="M229">
        <v>4.082232207136181E-4</v>
      </c>
      <c r="N229" s="1">
        <v>-5.44066392088631E-5</v>
      </c>
      <c r="O229" s="1">
        <v>5.8185929555970703E-5</v>
      </c>
      <c r="P229" s="1">
        <v>-6.0240027329364397E-5</v>
      </c>
    </row>
    <row r="230" spans="1:16" x14ac:dyDescent="0.2">
      <c r="A230">
        <v>229</v>
      </c>
      <c r="B230">
        <v>804</v>
      </c>
      <c r="C230">
        <v>105</v>
      </c>
      <c r="D230">
        <v>0.50973448451933401</v>
      </c>
      <c r="E230">
        <v>7.0222507843199304</v>
      </c>
      <c r="F230">
        <v>0.24118058765942599</v>
      </c>
      <c r="G230">
        <v>-158.18026881382116</v>
      </c>
      <c r="H230">
        <v>-86.163950928071529</v>
      </c>
      <c r="I230">
        <v>66.861937937022702</v>
      </c>
      <c r="J230">
        <v>25.1688878687123</v>
      </c>
      <c r="K230">
        <v>29.116152557999801</v>
      </c>
      <c r="L230">
        <v>1.7095645746523437E-3</v>
      </c>
      <c r="M230">
        <v>9.668163599041564E-4</v>
      </c>
      <c r="N230" s="1">
        <v>-4.8626338254700899E-5</v>
      </c>
      <c r="O230" s="1">
        <v>6.1465715527259196E-5</v>
      </c>
      <c r="P230" s="1">
        <v>-4.48251230198041E-5</v>
      </c>
    </row>
    <row r="231" spans="1:16" x14ac:dyDescent="0.2">
      <c r="A231">
        <v>230</v>
      </c>
      <c r="B231">
        <v>803</v>
      </c>
      <c r="C231">
        <v>105</v>
      </c>
      <c r="D231">
        <v>0.50921386423825798</v>
      </c>
      <c r="E231">
        <v>7.0285187174701802</v>
      </c>
      <c r="F231">
        <v>0.241798663907065</v>
      </c>
      <c r="G231">
        <v>-158.21400429036618</v>
      </c>
      <c r="H231">
        <v>-86.27757174418349</v>
      </c>
      <c r="I231">
        <v>66.849835927609305</v>
      </c>
      <c r="J231">
        <v>25.2035895782411</v>
      </c>
      <c r="K231">
        <v>29.067649108977498</v>
      </c>
      <c r="L231">
        <v>1.7140201451870828E-3</v>
      </c>
      <c r="M231">
        <v>9.6684387738630868E-4</v>
      </c>
      <c r="N231" s="1">
        <v>-4.8760493643063899E-5</v>
      </c>
      <c r="O231" s="1">
        <v>6.1406738240570401E-5</v>
      </c>
      <c r="P231" s="1">
        <v>-4.4911471801350298E-5</v>
      </c>
    </row>
    <row r="232" spans="1:16" x14ac:dyDescent="0.2">
      <c r="A232">
        <v>231</v>
      </c>
      <c r="B232">
        <v>802</v>
      </c>
      <c r="C232">
        <v>105</v>
      </c>
      <c r="D232">
        <v>0.50869227549644302</v>
      </c>
      <c r="E232">
        <v>7.4351814946574803</v>
      </c>
      <c r="F232">
        <v>0.25421053910826702</v>
      </c>
      <c r="G232">
        <v>-164.91211587573332</v>
      </c>
      <c r="H232">
        <v>-91.972167548381449</v>
      </c>
      <c r="I232">
        <v>67.845396123749097</v>
      </c>
      <c r="J232">
        <v>25.770490362891501</v>
      </c>
      <c r="K232">
        <v>29.2481244905855</v>
      </c>
      <c r="L232">
        <v>1.7099082672995586E-3</v>
      </c>
      <c r="M232">
        <v>9.6195922284921106E-4</v>
      </c>
      <c r="N232" s="1">
        <v>-4.9030637025645697E-5</v>
      </c>
      <c r="O232" s="1">
        <v>6.1517255297849105E-5</v>
      </c>
      <c r="P232" s="1">
        <v>-4.5122873824841498E-5</v>
      </c>
    </row>
    <row r="233" spans="1:16" x14ac:dyDescent="0.2">
      <c r="A233">
        <v>232</v>
      </c>
      <c r="B233">
        <v>801</v>
      </c>
      <c r="C233">
        <v>105</v>
      </c>
      <c r="D233">
        <v>0.50816971558907198</v>
      </c>
      <c r="E233">
        <v>7.8423806962371003</v>
      </c>
      <c r="F233">
        <v>0.26648877369060903</v>
      </c>
      <c r="G233">
        <v>-171.61569063157364</v>
      </c>
      <c r="H233">
        <v>-97.673981879196603</v>
      </c>
      <c r="I233">
        <v>68.841175812248693</v>
      </c>
      <c r="J233">
        <v>26.338394437908502</v>
      </c>
      <c r="K233">
        <v>29.4285593634125</v>
      </c>
      <c r="L233">
        <v>1.7058647586380533E-3</v>
      </c>
      <c r="M233">
        <v>9.5712528087123802E-4</v>
      </c>
      <c r="N233" s="1">
        <v>-4.93013371345821E-5</v>
      </c>
      <c r="O233" s="1">
        <v>6.1627483157353005E-5</v>
      </c>
      <c r="P233" s="1">
        <v>-4.5335533228170703E-5</v>
      </c>
    </row>
    <row r="234" spans="1:16" x14ac:dyDescent="0.2">
      <c r="A234">
        <v>233</v>
      </c>
      <c r="B234">
        <v>800</v>
      </c>
      <c r="C234">
        <v>105</v>
      </c>
      <c r="D234">
        <v>0.50764618180124099</v>
      </c>
      <c r="E234">
        <v>8.2499798729289093</v>
      </c>
      <c r="F234">
        <v>0.27863204752544102</v>
      </c>
      <c r="G234">
        <v>-178.32242913841128</v>
      </c>
      <c r="H234">
        <v>-103.38110601711689</v>
      </c>
      <c r="I234">
        <v>69.836811534097293</v>
      </c>
      <c r="J234">
        <v>26.907120285490102</v>
      </c>
      <c r="K234">
        <v>29.6088692818998</v>
      </c>
      <c r="L234">
        <v>1.7018912666750814E-3</v>
      </c>
      <c r="M234">
        <v>9.5234269378037691E-4</v>
      </c>
      <c r="N234" s="1">
        <v>-4.9572516004347397E-5</v>
      </c>
      <c r="O234" s="1">
        <v>6.1737351445886602E-5</v>
      </c>
      <c r="P234" s="1">
        <v>-4.5549413252255401E-5</v>
      </c>
    </row>
    <row r="235" spans="1:16" x14ac:dyDescent="0.2">
      <c r="A235">
        <v>234</v>
      </c>
      <c r="B235">
        <v>799</v>
      </c>
      <c r="C235">
        <v>105</v>
      </c>
      <c r="D235">
        <v>0.50712167140791897</v>
      </c>
      <c r="E235">
        <v>8.6578456374192907</v>
      </c>
      <c r="F235">
        <v>0.29063929008057299</v>
      </c>
      <c r="G235">
        <v>-185.03008553191415</v>
      </c>
      <c r="H235">
        <v>-109.09167405608326</v>
      </c>
      <c r="I235">
        <v>70.8319484932113</v>
      </c>
      <c r="J235">
        <v>27.476490575323002</v>
      </c>
      <c r="K235">
        <v>29.788971873070199</v>
      </c>
      <c r="L235">
        <v>1.6979892728861076E-3</v>
      </c>
      <c r="M235">
        <v>9.47611999458944E-4</v>
      </c>
      <c r="N235" s="1">
        <v>-4.9844095534083302E-5</v>
      </c>
      <c r="O235" s="1">
        <v>6.1846791584774499E-5</v>
      </c>
      <c r="P235" s="1">
        <v>-4.5764478076551902E-5</v>
      </c>
    </row>
    <row r="236" spans="1:16" x14ac:dyDescent="0.2">
      <c r="A236">
        <v>235</v>
      </c>
      <c r="B236">
        <v>798</v>
      </c>
      <c r="C236">
        <v>105</v>
      </c>
      <c r="D236">
        <v>0.50659618167390597</v>
      </c>
      <c r="E236">
        <v>9.0658481217903901</v>
      </c>
      <c r="F236">
        <v>0.302509677540516</v>
      </c>
      <c r="G236">
        <v>-191.73647504599492</v>
      </c>
      <c r="H236">
        <v>-114.80386925714025</v>
      </c>
      <c r="I236">
        <v>71.826241707326403</v>
      </c>
      <c r="J236">
        <v>28.046332783805699</v>
      </c>
      <c r="K236">
        <v>29.968787099633001</v>
      </c>
      <c r="L236">
        <v>1.6941600921151555E-3</v>
      </c>
      <c r="M236">
        <v>9.4293363222476393E-4</v>
      </c>
      <c r="N236" s="1">
        <v>-5.0115997655719197E-5</v>
      </c>
      <c r="O236" s="1">
        <v>6.19557369842768E-5</v>
      </c>
      <c r="P236" s="1">
        <v>-4.59806929746539E-5</v>
      </c>
    </row>
    <row r="237" spans="1:16" x14ac:dyDescent="0.2">
      <c r="A237">
        <v>236</v>
      </c>
      <c r="B237">
        <v>797</v>
      </c>
      <c r="C237">
        <v>105</v>
      </c>
      <c r="D237">
        <v>0.50606970985375799</v>
      </c>
      <c r="E237">
        <v>9.47386137054011</v>
      </c>
      <c r="F237">
        <v>0.31424262779197498</v>
      </c>
      <c r="G237">
        <v>-198.43948047557524</v>
      </c>
      <c r="H237">
        <v>-120.51592950739413</v>
      </c>
      <c r="I237">
        <v>72.819356991865305</v>
      </c>
      <c r="J237">
        <v>28.616479727644901</v>
      </c>
      <c r="K237">
        <v>30.148237484863699</v>
      </c>
      <c r="L237">
        <v>1.6904048735411081E-3</v>
      </c>
      <c r="M237">
        <v>9.3830792462395703E-4</v>
      </c>
      <c r="N237" s="1">
        <v>-5.0388144482361201E-5</v>
      </c>
      <c r="O237" s="1">
        <v>6.2064123209165602E-5</v>
      </c>
      <c r="P237" s="1">
        <v>-4.61980244512336E-5</v>
      </c>
    </row>
    <row r="238" spans="1:16" x14ac:dyDescent="0.2">
      <c r="A238">
        <v>237</v>
      </c>
      <c r="B238">
        <v>796</v>
      </c>
      <c r="C238">
        <v>105</v>
      </c>
      <c r="D238">
        <v>0.50554225319178703</v>
      </c>
      <c r="E238">
        <v>9.88176368328668</v>
      </c>
      <c r="F238">
        <v>0.32583779390039902</v>
      </c>
      <c r="G238">
        <v>-205.13705779416725</v>
      </c>
      <c r="H238">
        <v>-126.22615208159391</v>
      </c>
      <c r="I238">
        <v>73.810971811081203</v>
      </c>
      <c r="J238">
        <v>29.186770030001401</v>
      </c>
      <c r="K238">
        <v>30.327248306583101</v>
      </c>
      <c r="L238">
        <v>1.686724602814811E-3</v>
      </c>
      <c r="M238">
        <v>9.3373510987644355E-4</v>
      </c>
      <c r="N238" s="1">
        <v>-5.0660458439771502E-5</v>
      </c>
      <c r="O238" s="1">
        <v>6.21718881196279E-5</v>
      </c>
      <c r="P238" s="1">
        <v>-4.6416440363058997E-5</v>
      </c>
    </row>
    <row r="239" spans="1:16" x14ac:dyDescent="0.2">
      <c r="A239">
        <v>238</v>
      </c>
      <c r="B239">
        <v>795</v>
      </c>
      <c r="C239">
        <v>105</v>
      </c>
      <c r="D239">
        <v>0.50501380892196901</v>
      </c>
      <c r="E239">
        <v>10.2894378879591</v>
      </c>
      <c r="F239">
        <v>0.33729505574350999</v>
      </c>
      <c r="G239">
        <v>-211.82724061228009</v>
      </c>
      <c r="H239">
        <v>-131.93289744018765</v>
      </c>
      <c r="I239">
        <v>74.800775950810703</v>
      </c>
      <c r="J239">
        <v>29.757048494363701</v>
      </c>
      <c r="K239">
        <v>30.505747750371899</v>
      </c>
      <c r="L239">
        <v>1.6831201056427833E-3</v>
      </c>
      <c r="M239">
        <v>9.2921532511635078E-4</v>
      </c>
      <c r="N239" s="1">
        <v>-5.0932862375802997E-5</v>
      </c>
      <c r="O239" s="1">
        <v>6.2278971981928499E-5</v>
      </c>
      <c r="P239" s="1">
        <v>-4.6635910019602801E-5</v>
      </c>
    </row>
    <row r="240" spans="1:16" x14ac:dyDescent="0.2">
      <c r="A240">
        <v>239</v>
      </c>
      <c r="B240">
        <v>794</v>
      </c>
      <c r="C240">
        <v>105</v>
      </c>
      <c r="D240">
        <v>0.50448437426791004</v>
      </c>
      <c r="E240">
        <v>10.6967715634527</v>
      </c>
      <c r="F240">
        <v>0.348614510514548</v>
      </c>
      <c r="G240">
        <v>-218.50814379356024</v>
      </c>
      <c r="H240">
        <v>-137.6345923282839</v>
      </c>
      <c r="I240">
        <v>75.788472060847397</v>
      </c>
      <c r="J240">
        <v>30.327166411287401</v>
      </c>
      <c r="K240">
        <v>30.683667032862498</v>
      </c>
      <c r="L240">
        <v>1.6795920523148169E-3</v>
      </c>
      <c r="M240">
        <v>9.2474861513062447E-4</v>
      </c>
      <c r="N240" s="1">
        <v>-5.1205279653649103E-5</v>
      </c>
      <c r="O240" s="1">
        <v>6.2385317556719601E-5</v>
      </c>
      <c r="P240" s="1">
        <v>-4.68564042687438E-5</v>
      </c>
    </row>
    <row r="241" spans="1:16" x14ac:dyDescent="0.2">
      <c r="A241">
        <v>240</v>
      </c>
      <c r="B241">
        <v>793</v>
      </c>
      <c r="C241">
        <v>105</v>
      </c>
      <c r="D241">
        <v>0.503953946442809</v>
      </c>
      <c r="E241">
        <v>11.1036571934359</v>
      </c>
      <c r="F241">
        <v>0.35979646177630997</v>
      </c>
      <c r="G241">
        <v>-225.17796592780337</v>
      </c>
      <c r="H241">
        <v>-143.32973192246854</v>
      </c>
      <c r="I241">
        <v>76.773776021231299</v>
      </c>
      <c r="J241">
        <v>30.896981773596998</v>
      </c>
      <c r="K241">
        <v>30.8609404845655</v>
      </c>
      <c r="L241">
        <v>1.6761409634362676E-3</v>
      </c>
      <c r="M241">
        <v>9.2033493673110878E-4</v>
      </c>
      <c r="N241" s="1">
        <v>-5.1477634221771003E-5</v>
      </c>
      <c r="O241" s="1">
        <v>6.24908701570081E-5</v>
      </c>
      <c r="P241" s="1">
        <v>-4.7077895561250202E-5</v>
      </c>
    </row>
    <row r="242" spans="1:16" x14ac:dyDescent="0.2">
      <c r="A242">
        <v>241</v>
      </c>
      <c r="B242">
        <v>792</v>
      </c>
      <c r="C242">
        <v>105</v>
      </c>
      <c r="D242">
        <v>0.50342252264939402</v>
      </c>
      <c r="E242">
        <v>11.509992263617599</v>
      </c>
      <c r="F242">
        <v>0.37084140754634598</v>
      </c>
      <c r="G242">
        <v>-231.83499086960649</v>
      </c>
      <c r="H242">
        <v>-149.0168811970297</v>
      </c>
      <c r="I242">
        <v>77.756417166237199</v>
      </c>
      <c r="J242">
        <v>31.466359417205201</v>
      </c>
      <c r="K242">
        <v>31.037505600501699</v>
      </c>
      <c r="L242">
        <v>1.6727672165289338E-3</v>
      </c>
      <c r="M242">
        <v>9.1597416356014607E-4</v>
      </c>
      <c r="N242" s="1">
        <v>-5.1749850666515597E-5</v>
      </c>
      <c r="O242" s="1">
        <v>6.2595577683774805E-5</v>
      </c>
      <c r="P242" s="1">
        <v>-4.7300357999626503E-5</v>
      </c>
    </row>
    <row r="243" spans="1:16" x14ac:dyDescent="0.2">
      <c r="A243">
        <v>242</v>
      </c>
      <c r="B243">
        <v>791</v>
      </c>
      <c r="C243">
        <v>105</v>
      </c>
      <c r="D243">
        <v>0.502890100079881</v>
      </c>
      <c r="E243">
        <v>11.915679306957101</v>
      </c>
      <c r="F243">
        <v>0.381750027664641</v>
      </c>
      <c r="G243">
        <v>-238.47758841862159</v>
      </c>
      <c r="H243">
        <v>-154.69467557305165</v>
      </c>
      <c r="I243">
        <v>78.736138376873797</v>
      </c>
      <c r="J243">
        <v>32.035171093195103</v>
      </c>
      <c r="K243">
        <v>31.213303060778902</v>
      </c>
      <c r="L243">
        <v>1.6694710533285792E-3</v>
      </c>
      <c r="M243">
        <v>9.116660912247697E-4</v>
      </c>
      <c r="N243" s="1">
        <v>-5.2021854247552702E-5</v>
      </c>
      <c r="O243" s="1">
        <v>6.2699390640032397E-5</v>
      </c>
      <c r="P243" s="1">
        <v>-4.7523767371611999E-5</v>
      </c>
    </row>
    <row r="244" spans="1:16" x14ac:dyDescent="0.2">
      <c r="A244">
        <v>243</v>
      </c>
      <c r="B244">
        <v>790</v>
      </c>
      <c r="C244">
        <v>105</v>
      </c>
      <c r="D244">
        <v>0.50235667591591204</v>
      </c>
      <c r="E244">
        <v>12.3206258846061</v>
      </c>
      <c r="F244">
        <v>0.39252317024778799</v>
      </c>
      <c r="G244">
        <v>-245.10421394222601</v>
      </c>
      <c r="H244">
        <v>-160.36182068150677</v>
      </c>
      <c r="I244">
        <v>79.712696012512694</v>
      </c>
      <c r="J244">
        <v>32.603295455201902</v>
      </c>
      <c r="K244">
        <v>31.388276714540101</v>
      </c>
      <c r="L244">
        <v>1.6662525879426017E-3</v>
      </c>
      <c r="M244">
        <v>9.0741044284243979E-4</v>
      </c>
      <c r="N244" s="1">
        <v>-5.2293570912078201E-5</v>
      </c>
      <c r="O244" s="1">
        <v>6.2802262119014901E-5</v>
      </c>
      <c r="P244" s="1">
        <v>-4.7748101164712801E-5</v>
      </c>
    </row>
    <row r="245" spans="1:16" x14ac:dyDescent="0.2">
      <c r="A245">
        <v>244</v>
      </c>
      <c r="B245">
        <v>789</v>
      </c>
      <c r="C245">
        <v>105</v>
      </c>
      <c r="D245">
        <v>0.50182224732853298</v>
      </c>
      <c r="E245">
        <v>12.7247445221562</v>
      </c>
      <c r="F245">
        <v>0.40316183782005499</v>
      </c>
      <c r="G245">
        <v>-251.71340726939766</v>
      </c>
      <c r="H245">
        <v>-166.01709151315643</v>
      </c>
      <c r="I245">
        <v>80.685859733292304</v>
      </c>
      <c r="J245">
        <v>33.1706179888401</v>
      </c>
      <c r="K245">
        <v>31.5623735395205</v>
      </c>
      <c r="L245">
        <v>1.6631118154364095E-3</v>
      </c>
      <c r="M245">
        <v>9.0320687475076481E-4</v>
      </c>
      <c r="N245" s="1">
        <v>-5.2564927296124801E-5</v>
      </c>
      <c r="O245" s="1">
        <v>6.2904147777145494E-5</v>
      </c>
      <c r="P245" s="1">
        <v>-4.79733385694975E-5</v>
      </c>
    </row>
    <row r="246" spans="1:16" x14ac:dyDescent="0.2">
      <c r="A246">
        <v>245</v>
      </c>
      <c r="B246">
        <v>788</v>
      </c>
      <c r="C246">
        <v>105</v>
      </c>
      <c r="D246">
        <v>0.50128681147811704</v>
      </c>
      <c r="E246">
        <v>14.5906233812401</v>
      </c>
      <c r="F246">
        <v>0.44859521132112601</v>
      </c>
      <c r="G246">
        <v>-282.55057481413303</v>
      </c>
      <c r="H246">
        <v>-192.22060303551473</v>
      </c>
      <c r="I246">
        <v>85.128573951617199</v>
      </c>
      <c r="J246">
        <v>35.619834479437998</v>
      </c>
      <c r="K246">
        <v>32.525142964121898</v>
      </c>
      <c r="L246">
        <v>1.6330581423334551E-3</v>
      </c>
      <c r="M246">
        <v>8.843256112164745E-4</v>
      </c>
      <c r="N246" s="1">
        <v>-5.3264874267975503E-5</v>
      </c>
      <c r="O246" s="1">
        <v>6.3512893909286596E-5</v>
      </c>
      <c r="P246" s="1">
        <v>-4.8587983088415599E-5</v>
      </c>
    </row>
    <row r="247" spans="1:16" x14ac:dyDescent="0.2">
      <c r="A247">
        <v>246</v>
      </c>
      <c r="B247">
        <v>787</v>
      </c>
      <c r="C247">
        <v>105</v>
      </c>
      <c r="D247">
        <v>0.50075036551431296</v>
      </c>
      <c r="E247">
        <v>17.2168319117172</v>
      </c>
      <c r="F247">
        <v>0.50794569339372797</v>
      </c>
      <c r="G247">
        <v>-325.93715910881588</v>
      </c>
      <c r="H247">
        <v>-229.0769060680112</v>
      </c>
      <c r="I247">
        <v>91.368701517302298</v>
      </c>
      <c r="J247">
        <v>39.046308121492999</v>
      </c>
      <c r="K247">
        <v>33.895024873007003</v>
      </c>
      <c r="L247">
        <v>1.5919919275280364E-3</v>
      </c>
      <c r="M247">
        <v>8.5953730342552544E-4</v>
      </c>
      <c r="N247" s="1">
        <v>-5.4185412407190399E-5</v>
      </c>
      <c r="O247" s="1">
        <v>6.4377676419212902E-5</v>
      </c>
      <c r="P247" s="1">
        <v>-4.9403210687427399E-5</v>
      </c>
    </row>
    <row r="248" spans="1:16" x14ac:dyDescent="0.2">
      <c r="A248">
        <v>247</v>
      </c>
      <c r="B248">
        <v>786</v>
      </c>
      <c r="C248">
        <v>105</v>
      </c>
      <c r="D248">
        <v>0.50021290657603101</v>
      </c>
      <c r="E248">
        <v>20.240562365048302</v>
      </c>
      <c r="F248">
        <v>0.57058039628880397</v>
      </c>
      <c r="G248">
        <v>-375.81590779293731</v>
      </c>
      <c r="H248">
        <v>-271.45241289674539</v>
      </c>
      <c r="I248">
        <v>98.539244186413995</v>
      </c>
      <c r="J248">
        <v>42.980573849202401</v>
      </c>
      <c r="K248">
        <v>35.4736378899415</v>
      </c>
      <c r="L248">
        <v>1.5480563198146187E-3</v>
      </c>
      <c r="M248">
        <v>8.3330844897772018E-4</v>
      </c>
      <c r="N248" s="1">
        <v>-5.5215749844644099E-5</v>
      </c>
      <c r="O248" s="1">
        <v>6.5365645327406904E-5</v>
      </c>
      <c r="P248" s="1">
        <v>-5.0318655510846499E-5</v>
      </c>
    </row>
    <row r="249" spans="1:16" x14ac:dyDescent="0.2">
      <c r="A249">
        <v>248</v>
      </c>
      <c r="B249">
        <v>785</v>
      </c>
      <c r="C249">
        <v>105</v>
      </c>
      <c r="D249">
        <v>0.49967443179133703</v>
      </c>
      <c r="E249">
        <v>24.139439321060198</v>
      </c>
      <c r="F249">
        <v>0.64350082025123401</v>
      </c>
      <c r="G249">
        <v>-440.00208929825914</v>
      </c>
      <c r="H249">
        <v>-325.97953012301554</v>
      </c>
      <c r="I249">
        <v>107.760707560236</v>
      </c>
      <c r="J249">
        <v>48.030776551390403</v>
      </c>
      <c r="K249">
        <v>37.512678401304498</v>
      </c>
      <c r="L249">
        <v>1.4957141142728822E-3</v>
      </c>
      <c r="M249">
        <v>8.0264959791021353E-4</v>
      </c>
      <c r="N249" s="1">
        <v>-5.6483789937189297E-5</v>
      </c>
      <c r="O249" s="1">
        <v>6.6625613088890101E-5</v>
      </c>
      <c r="P249" s="1">
        <v>-5.1450192125904497E-5</v>
      </c>
    </row>
    <row r="250" spans="1:16" x14ac:dyDescent="0.2">
      <c r="A250">
        <v>249</v>
      </c>
      <c r="B250">
        <v>784</v>
      </c>
      <c r="C250">
        <v>105</v>
      </c>
      <c r="D250">
        <v>0.49913493827744299</v>
      </c>
      <c r="E250">
        <v>33.679221093028502</v>
      </c>
      <c r="F250">
        <v>0.79218217710725902</v>
      </c>
      <c r="G250">
        <v>-596.43934052501015</v>
      </c>
      <c r="H250">
        <v>-458.83680499722345</v>
      </c>
      <c r="I250">
        <v>130.1680678683</v>
      </c>
      <c r="J250">
        <v>60.250377606702401</v>
      </c>
      <c r="K250">
        <v>42.514489805882697</v>
      </c>
      <c r="L250">
        <v>1.3832570685654614E-3</v>
      </c>
      <c r="M250">
        <v>7.3964606142494635E-4</v>
      </c>
      <c r="N250" s="1">
        <v>-5.9244602371423403E-5</v>
      </c>
      <c r="O250" s="1">
        <v>6.9623763013242995E-5</v>
      </c>
      <c r="P250" s="1">
        <v>-5.3935660188838599E-5</v>
      </c>
    </row>
    <row r="251" spans="1:16" x14ac:dyDescent="0.2">
      <c r="A251">
        <v>250</v>
      </c>
      <c r="B251">
        <v>783</v>
      </c>
      <c r="C251">
        <v>105</v>
      </c>
      <c r="D251">
        <v>0.498594423140655</v>
      </c>
      <c r="E251">
        <v>45.313756017063596</v>
      </c>
      <c r="F251">
        <v>0.93244908577843799</v>
      </c>
      <c r="G251">
        <v>-786.96956218206788</v>
      </c>
      <c r="H251">
        <v>-620.74170184281036</v>
      </c>
      <c r="I251">
        <v>157.395012450336</v>
      </c>
      <c r="J251">
        <v>75.1144823493361</v>
      </c>
      <c r="K251">
        <v>48.5964935868152</v>
      </c>
      <c r="L251">
        <v>1.2767117355560666E-3</v>
      </c>
      <c r="M251">
        <v>6.8017112911945821E-4</v>
      </c>
      <c r="N251" s="1">
        <v>-6.2541447760945098E-5</v>
      </c>
      <c r="O251" s="1">
        <v>7.32273093047372E-5</v>
      </c>
      <c r="P251" s="1">
        <v>-5.6907714323817703E-5</v>
      </c>
    </row>
    <row r="252" spans="1:16" x14ac:dyDescent="0.2">
      <c r="A252">
        <v>251</v>
      </c>
      <c r="B252">
        <v>782</v>
      </c>
      <c r="C252">
        <v>105</v>
      </c>
      <c r="D252">
        <v>0.49805288347628701</v>
      </c>
      <c r="E252">
        <v>54.318680650273798</v>
      </c>
      <c r="F252">
        <v>1.01948949117461</v>
      </c>
      <c r="G252">
        <v>-934.33300127685982</v>
      </c>
      <c r="H252">
        <v>-746.08526723088232</v>
      </c>
      <c r="I252">
        <v>178.413310757815</v>
      </c>
      <c r="J252">
        <v>86.624605145617906</v>
      </c>
      <c r="K252">
        <v>53.280275197039899</v>
      </c>
      <c r="L252">
        <v>1.2116847874510887E-3</v>
      </c>
      <c r="M252">
        <v>6.4333737167696211E-4</v>
      </c>
      <c r="N252" s="1">
        <v>-6.5132262151713002E-5</v>
      </c>
      <c r="O252" s="1">
        <v>7.5986154045227706E-5</v>
      </c>
      <c r="P252" s="1">
        <v>-5.9240578124373801E-5</v>
      </c>
    </row>
    <row r="253" spans="1:16" x14ac:dyDescent="0.2">
      <c r="A253">
        <v>252</v>
      </c>
      <c r="B253">
        <v>781</v>
      </c>
      <c r="C253">
        <v>105</v>
      </c>
      <c r="D253">
        <v>0.49751031636863902</v>
      </c>
      <c r="E253">
        <v>75.432081477061701</v>
      </c>
      <c r="F253">
        <v>1.1735542593445101</v>
      </c>
      <c r="G253">
        <v>-1277.6213844217057</v>
      </c>
      <c r="H253">
        <v>-1037.6606927542941</v>
      </c>
      <c r="I253">
        <v>227.639523483239</v>
      </c>
      <c r="J253">
        <v>113.476747417562</v>
      </c>
      <c r="K253">
        <v>64.276603213211601</v>
      </c>
      <c r="L253">
        <v>1.0946794839507628E-3</v>
      </c>
      <c r="M253">
        <v>5.7883193997555369E-4</v>
      </c>
      <c r="N253" s="1">
        <v>-7.0999236061750499E-5</v>
      </c>
      <c r="O253" s="1">
        <v>8.2519300549425503E-5</v>
      </c>
      <c r="P253" s="1">
        <v>-6.4540671300643399E-5</v>
      </c>
    </row>
    <row r="254" spans="1:16" x14ac:dyDescent="0.2">
      <c r="A254">
        <v>253</v>
      </c>
      <c r="B254">
        <v>780</v>
      </c>
      <c r="C254">
        <v>105</v>
      </c>
      <c r="D254">
        <v>0.49696671889094501</v>
      </c>
      <c r="E254">
        <v>86.165661961067698</v>
      </c>
      <c r="F254">
        <v>1.23415365342101</v>
      </c>
      <c r="G254">
        <v>-1451.9863443128049</v>
      </c>
      <c r="H254">
        <v>-1186.0143270880105</v>
      </c>
      <c r="I254">
        <v>252.554481494437</v>
      </c>
      <c r="J254">
        <v>127.141684453886</v>
      </c>
      <c r="K254">
        <v>69.817612841173101</v>
      </c>
      <c r="L254">
        <v>1.0503890077138674E-3</v>
      </c>
      <c r="M254">
        <v>5.535529300449458E-4</v>
      </c>
      <c r="N254" s="1">
        <v>-7.4064053627659904E-5</v>
      </c>
      <c r="O254" s="1">
        <v>8.5775314402893298E-5</v>
      </c>
      <c r="P254" s="1">
        <v>-6.73040392593623E-5</v>
      </c>
    </row>
    <row r="255" spans="1:16" x14ac:dyDescent="0.2">
      <c r="A255">
        <v>254</v>
      </c>
      <c r="B255">
        <v>779</v>
      </c>
      <c r="C255">
        <v>105</v>
      </c>
      <c r="D255">
        <v>0.49642208810530802</v>
      </c>
      <c r="E255">
        <v>93.793344556294898</v>
      </c>
      <c r="F255">
        <v>1.27224025888487</v>
      </c>
      <c r="G255">
        <v>-1575.8059088423299</v>
      </c>
      <c r="H255">
        <v>-1291.5298425868086</v>
      </c>
      <c r="I255">
        <v>270.19147364505602</v>
      </c>
      <c r="J255">
        <v>136.86658921978599</v>
      </c>
      <c r="K255">
        <v>73.722981096750701</v>
      </c>
      <c r="L255">
        <v>1.0236436030313643E-3</v>
      </c>
      <c r="M255">
        <v>5.3775647926781556E-4</v>
      </c>
      <c r="N255" s="1">
        <v>-7.6295426824530798E-5</v>
      </c>
      <c r="O255" s="1">
        <v>8.8051107763851907E-5</v>
      </c>
      <c r="P255" s="1">
        <v>-6.9314135667005198E-5</v>
      </c>
    </row>
    <row r="256" spans="1:16" x14ac:dyDescent="0.2">
      <c r="A256">
        <v>255</v>
      </c>
      <c r="B256">
        <v>778</v>
      </c>
      <c r="C256">
        <v>105</v>
      </c>
      <c r="D256">
        <v>0.49587642106264601</v>
      </c>
      <c r="E256">
        <v>98.234070815108694</v>
      </c>
      <c r="F256">
        <v>1.29323675690585</v>
      </c>
      <c r="G256">
        <v>-1647.7634360902102</v>
      </c>
      <c r="H256">
        <v>-1353.0408944222397</v>
      </c>
      <c r="I256">
        <v>280.386743992687</v>
      </c>
      <c r="J256">
        <v>142.54838913369599</v>
      </c>
      <c r="K256">
        <v>75.9598505768884</v>
      </c>
      <c r="L256">
        <v>1.0102268958219448E-3</v>
      </c>
      <c r="M256">
        <v>5.2912461895829462E-4</v>
      </c>
      <c r="N256" s="1">
        <v>-7.7673070891749E-5</v>
      </c>
      <c r="O256" s="1">
        <v>8.9333493701800301E-5</v>
      </c>
      <c r="P256" s="1">
        <v>-7.0553217658497807E-5</v>
      </c>
    </row>
    <row r="257" spans="1:16" x14ac:dyDescent="0.2">
      <c r="A257">
        <v>256</v>
      </c>
      <c r="B257">
        <v>777</v>
      </c>
      <c r="C257">
        <v>105</v>
      </c>
      <c r="D257">
        <v>0.49532971480264998</v>
      </c>
      <c r="E257">
        <v>100.70319827873701</v>
      </c>
      <c r="F257">
        <v>1.3049999089392601</v>
      </c>
      <c r="G257">
        <v>-1687.6368670605339</v>
      </c>
      <c r="H257">
        <v>-1387.3152261018695</v>
      </c>
      <c r="I257">
        <v>285.98550302432398</v>
      </c>
      <c r="J257">
        <v>145.72941081140601</v>
      </c>
      <c r="K257">
        <v>77.167207130758101</v>
      </c>
      <c r="L257">
        <v>1.0040190929110526E-3</v>
      </c>
      <c r="M257">
        <v>5.243539506548222E-4</v>
      </c>
      <c r="N257" s="1">
        <v>-7.8522950003866905E-5</v>
      </c>
      <c r="O257" s="1">
        <v>9.0005036851100001E-5</v>
      </c>
      <c r="P257" s="1">
        <v>-7.1316853007117502E-5</v>
      </c>
    </row>
    <row r="258" spans="1:16" x14ac:dyDescent="0.2">
      <c r="A258">
        <v>257</v>
      </c>
      <c r="B258">
        <v>815</v>
      </c>
      <c r="C258">
        <v>90</v>
      </c>
      <c r="D258">
        <v>0.53056150346919295</v>
      </c>
      <c r="E258">
        <v>7.3586721547963903</v>
      </c>
      <c r="F258">
        <v>0.20194282472099101</v>
      </c>
      <c r="G258">
        <v>-167.03464101472491</v>
      </c>
      <c r="H258">
        <v>-89.604996450561075</v>
      </c>
      <c r="I258">
        <v>71.161012404765003</v>
      </c>
      <c r="J258">
        <v>25.155841887903598</v>
      </c>
      <c r="K258">
        <v>36.4393840928157</v>
      </c>
      <c r="L258">
        <v>1.6259194069559839E-3</v>
      </c>
      <c r="M258">
        <v>1.1632231565617819E-3</v>
      </c>
      <c r="N258" s="1">
        <v>-6.2160000467137005E-5</v>
      </c>
      <c r="O258">
        <v>1.03828537984964E-4</v>
      </c>
      <c r="P258" s="1">
        <v>-5.6476163595934901E-5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E4DD-9A14-452A-ABDC-4B2550F9079C}">
  <sheetPr codeName="Sheet6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3.2621141298046399E-2</v>
      </c>
      <c r="F2">
        <v>4.6618029995359898</v>
      </c>
      <c r="G2">
        <v>-0.30828656272222033</v>
      </c>
      <c r="H2">
        <v>-0.25079094304117711</v>
      </c>
      <c r="I2">
        <v>5.7087444453202803E-2</v>
      </c>
      <c r="J2">
        <v>2.9865812794329101E-2</v>
      </c>
      <c r="K2">
        <v>6.9975374981082099E-3</v>
      </c>
      <c r="L2">
        <v>3.1689388981001022E-5</v>
      </c>
      <c r="M2">
        <v>5.5247479311711326E-7</v>
      </c>
      <c r="N2" s="1">
        <v>3.59412241447232E-11</v>
      </c>
      <c r="O2" s="1">
        <v>1.53024656108009E-14</v>
      </c>
      <c r="P2" s="1">
        <v>5.1583504825657101E-14</v>
      </c>
      <c r="R2">
        <v>47.299034317427498</v>
      </c>
      <c r="S2">
        <v>2.2810978298851099</v>
      </c>
      <c r="T2">
        <v>9.7000138831766698</v>
      </c>
      <c r="V2">
        <v>37.757938156063702</v>
      </c>
      <c r="W2">
        <v>0.65695753230415699</v>
      </c>
      <c r="X2">
        <v>2.30495828114281</v>
      </c>
      <c r="AJ2">
        <v>8.4711408689309695E-2</v>
      </c>
      <c r="AK2">
        <v>8.9974604591498905E-2</v>
      </c>
      <c r="AL2">
        <v>0.77845686661373104</v>
      </c>
      <c r="AM2">
        <v>1.3718079791528301E-2</v>
      </c>
      <c r="AN2">
        <v>3.3139040313931098E-2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4.3601154995705799E-2</v>
      </c>
      <c r="F3">
        <v>4.6642655420233803</v>
      </c>
      <c r="G3">
        <v>-0.41254753583941528</v>
      </c>
      <c r="H3">
        <v>-0.33570854013668266</v>
      </c>
      <c r="I3">
        <v>7.6369324357931298E-2</v>
      </c>
      <c r="J3">
        <v>3.9875432702562302E-2</v>
      </c>
      <c r="K3">
        <v>9.3479143935684701E-3</v>
      </c>
      <c r="L3">
        <v>3.1593993478000632E-5</v>
      </c>
      <c r="M3">
        <v>5.521946122707774E-7</v>
      </c>
      <c r="N3" s="1">
        <v>5.2698702296716003E-11</v>
      </c>
      <c r="O3" s="1">
        <v>2.0436423129336099E-14</v>
      </c>
      <c r="P3" s="1">
        <v>6.2524763393276206E-14</v>
      </c>
      <c r="R3">
        <v>47.250095777273202</v>
      </c>
      <c r="S3">
        <v>2.35089646064141</v>
      </c>
      <c r="T3">
        <v>9.7299095420602395</v>
      </c>
      <c r="V3">
        <v>37.371373601375197</v>
      </c>
      <c r="W3">
        <v>0.98958846391703104</v>
      </c>
      <c r="X3">
        <v>2.3081361547327899</v>
      </c>
      <c r="AJ3">
        <v>8.4795636928942306E-2</v>
      </c>
      <c r="AK3">
        <v>9.0217261845687097E-2</v>
      </c>
      <c r="AL3">
        <v>0.77019127077468097</v>
      </c>
      <c r="AM3">
        <v>2.06558894389757E-2</v>
      </c>
      <c r="AN3">
        <v>3.4139941011713602E-2</v>
      </c>
    </row>
    <row r="4" spans="1:40" x14ac:dyDescent="0.2">
      <c r="A4">
        <v>47</v>
      </c>
      <c r="B4">
        <v>736</v>
      </c>
      <c r="C4">
        <v>285</v>
      </c>
      <c r="D4">
        <v>0.27577713917653601</v>
      </c>
      <c r="E4">
        <v>3.2824478466174298E-2</v>
      </c>
      <c r="F4">
        <v>4.66005119358669</v>
      </c>
      <c r="G4">
        <v>-0.3107924451059571</v>
      </c>
      <c r="H4">
        <v>-0.25272033149165896</v>
      </c>
      <c r="I4">
        <v>5.7545571633848297E-2</v>
      </c>
      <c r="J4">
        <v>3.0066330910514302E-2</v>
      </c>
      <c r="K4">
        <v>7.0438021177424799E-3</v>
      </c>
      <c r="L4">
        <v>3.1655162119067805E-5</v>
      </c>
      <c r="M4">
        <v>5.5257468965205676E-7</v>
      </c>
      <c r="N4" s="1">
        <v>3.6361260267092802E-11</v>
      </c>
      <c r="O4" s="1">
        <v>1.53905394583213E-14</v>
      </c>
      <c r="P4" s="1">
        <v>5.2869254188097302E-14</v>
      </c>
      <c r="R4">
        <v>47.292432397203797</v>
      </c>
      <c r="S4">
        <v>2.2832916430582899</v>
      </c>
      <c r="T4">
        <v>9.7670524456791803</v>
      </c>
      <c r="V4">
        <v>37.531492029939599</v>
      </c>
      <c r="W4">
        <v>0.74985071064421405</v>
      </c>
      <c r="X4">
        <v>2.3758807734748402</v>
      </c>
      <c r="AJ4">
        <v>8.7271571219947996E-2</v>
      </c>
      <c r="AK4">
        <v>9.0548326461071305E-2</v>
      </c>
      <c r="AL4">
        <v>0.77337731689955402</v>
      </c>
      <c r="AM4">
        <v>1.56494887046283E-2</v>
      </c>
      <c r="AN4">
        <v>3.3153296714797997E-2</v>
      </c>
    </row>
    <row r="5" spans="1:40" x14ac:dyDescent="0.2">
      <c r="A5">
        <v>48</v>
      </c>
      <c r="B5">
        <v>735</v>
      </c>
      <c r="C5">
        <v>285</v>
      </c>
      <c r="D5">
        <v>0.27498933690423</v>
      </c>
      <c r="E5">
        <v>4.2488162466822701E-2</v>
      </c>
      <c r="F5">
        <v>4.6623619635375899</v>
      </c>
      <c r="G5">
        <v>-0.40273935150482998</v>
      </c>
      <c r="H5">
        <v>-0.32758566409439127</v>
      </c>
      <c r="I5">
        <v>7.4546136398788501E-2</v>
      </c>
      <c r="J5">
        <v>3.8878766499298098E-2</v>
      </c>
      <c r="K5">
        <v>9.1130124171192803E-3</v>
      </c>
      <c r="L5">
        <v>3.1563963642762011E-5</v>
      </c>
      <c r="M5">
        <v>5.522977722946987E-7</v>
      </c>
      <c r="N5" s="1">
        <v>5.0959374024620499E-11</v>
      </c>
      <c r="O5" s="1">
        <v>1.9903898880148199E-14</v>
      </c>
      <c r="P5" s="1">
        <v>6.3192182868510896E-14</v>
      </c>
      <c r="R5">
        <v>47.242729865477799</v>
      </c>
      <c r="S5">
        <v>2.3517975413852401</v>
      </c>
      <c r="T5">
        <v>9.7989026784414097</v>
      </c>
      <c r="V5">
        <v>37.1662764449988</v>
      </c>
      <c r="W5">
        <v>1.0619062940944799</v>
      </c>
      <c r="X5">
        <v>2.37838717560216</v>
      </c>
      <c r="AJ5">
        <v>8.7331409783843003E-2</v>
      </c>
      <c r="AK5">
        <v>9.0810092319009106E-2</v>
      </c>
      <c r="AL5">
        <v>0.76556913841614305</v>
      </c>
      <c r="AM5">
        <v>2.2153956832573801E-2</v>
      </c>
      <c r="AN5">
        <v>3.4135402648430797E-2</v>
      </c>
    </row>
    <row r="6" spans="1:40" x14ac:dyDescent="0.2">
      <c r="A6">
        <v>67</v>
      </c>
      <c r="B6">
        <v>739</v>
      </c>
      <c r="C6">
        <v>270</v>
      </c>
      <c r="D6">
        <v>0.29443313738082399</v>
      </c>
      <c r="E6">
        <v>1.1173498883699701E-2</v>
      </c>
      <c r="F6">
        <v>4.6560851636988998</v>
      </c>
      <c r="G6">
        <v>-0.10585460544976959</v>
      </c>
      <c r="H6">
        <v>-8.6010071660864509E-2</v>
      </c>
      <c r="I6">
        <v>1.9606317036906601E-2</v>
      </c>
      <c r="J6">
        <v>1.0249031226316299E-2</v>
      </c>
      <c r="K6">
        <v>2.3997625668047899E-3</v>
      </c>
      <c r="L6">
        <v>3.170174907265405E-5</v>
      </c>
      <c r="M6">
        <v>5.5290958984625017E-7</v>
      </c>
      <c r="N6" s="1">
        <v>1.11633681261758E-11</v>
      </c>
      <c r="O6" s="1">
        <v>5.2393700721376803E-15</v>
      </c>
      <c r="P6" s="1">
        <v>2.0115436330619401E-14</v>
      </c>
      <c r="R6">
        <v>47.323793425303201</v>
      </c>
      <c r="S6">
        <v>2.2163566744808301</v>
      </c>
      <c r="T6">
        <v>9.8211196213299399</v>
      </c>
      <c r="V6">
        <v>37.682900320787397</v>
      </c>
      <c r="W6">
        <v>0.51646255623169302</v>
      </c>
      <c r="X6">
        <v>2.4393674018668499</v>
      </c>
      <c r="AJ6">
        <v>8.9593685415813903E-2</v>
      </c>
      <c r="AK6">
        <v>9.1039516545358204E-2</v>
      </c>
      <c r="AL6">
        <v>0.77641149327875103</v>
      </c>
      <c r="AM6">
        <v>1.0777455039951299E-2</v>
      </c>
      <c r="AN6">
        <v>3.2177849720125301E-2</v>
      </c>
    </row>
    <row r="7" spans="1:40" x14ac:dyDescent="0.2">
      <c r="A7">
        <v>68</v>
      </c>
      <c r="B7">
        <v>738</v>
      </c>
      <c r="C7">
        <v>270</v>
      </c>
      <c r="D7">
        <v>0.29366612273154402</v>
      </c>
      <c r="E7">
        <v>3.3587549437404898E-2</v>
      </c>
      <c r="F7">
        <v>4.6589316118016599</v>
      </c>
      <c r="G7">
        <v>-0.31865852698409602</v>
      </c>
      <c r="H7">
        <v>-0.25899888416026229</v>
      </c>
      <c r="I7">
        <v>5.9001773054278499E-2</v>
      </c>
      <c r="J7">
        <v>3.0771981808283399E-2</v>
      </c>
      <c r="K7">
        <v>7.2092814911305899E-3</v>
      </c>
      <c r="L7">
        <v>3.160236443515933E-5</v>
      </c>
      <c r="M7">
        <v>5.5263050315011278E-7</v>
      </c>
      <c r="N7" s="1">
        <v>3.7975093695688802E-11</v>
      </c>
      <c r="O7" s="1">
        <v>1.5737667262024098E-14</v>
      </c>
      <c r="P7" s="1">
        <v>5.4356604391251603E-14</v>
      </c>
      <c r="R7">
        <v>47.277270536592901</v>
      </c>
      <c r="S7">
        <v>2.2870248028628799</v>
      </c>
      <c r="T7">
        <v>9.8502060101685807</v>
      </c>
      <c r="V7">
        <v>37.228215790022901</v>
      </c>
      <c r="W7">
        <v>0.90979214281251997</v>
      </c>
      <c r="X7">
        <v>2.44749071754006</v>
      </c>
      <c r="AJ7">
        <v>8.9853074419225396E-2</v>
      </c>
      <c r="AK7">
        <v>9.1269560258447693E-2</v>
      </c>
      <c r="AL7">
        <v>0.76671076188684195</v>
      </c>
      <c r="AM7">
        <v>1.8977161943314301E-2</v>
      </c>
      <c r="AN7">
        <v>3.3189441492169798E-2</v>
      </c>
    </row>
    <row r="8" spans="1:40" x14ac:dyDescent="0.2">
      <c r="A8">
        <v>69</v>
      </c>
      <c r="B8">
        <v>737</v>
      </c>
      <c r="C8">
        <v>270</v>
      </c>
      <c r="D8">
        <v>0.29289758946691402</v>
      </c>
      <c r="E8">
        <v>4.1509135330988003E-2</v>
      </c>
      <c r="F8">
        <v>4.6610794332974299</v>
      </c>
      <c r="G8">
        <v>-0.39420436529181868</v>
      </c>
      <c r="H8">
        <v>-0.32049667450742436</v>
      </c>
      <c r="I8">
        <v>7.2967074973414106E-2</v>
      </c>
      <c r="J8">
        <v>3.7995119038386399E-2</v>
      </c>
      <c r="K8">
        <v>8.9054769233191996E-3</v>
      </c>
      <c r="L8">
        <v>3.1517281058581759E-5</v>
      </c>
      <c r="M8">
        <v>5.5235868426154159E-7</v>
      </c>
      <c r="N8" s="1">
        <v>4.9814513184784499E-11</v>
      </c>
      <c r="O8" s="1">
        <v>1.9429976575554901E-14</v>
      </c>
      <c r="P8" s="1">
        <v>6.3460800904055597E-14</v>
      </c>
      <c r="R8">
        <v>47.2260059708086</v>
      </c>
      <c r="S8">
        <v>2.3535516196508399</v>
      </c>
      <c r="T8">
        <v>9.8855807360472099</v>
      </c>
      <c r="V8">
        <v>36.890090666421699</v>
      </c>
      <c r="W8">
        <v>1.1961694849741999</v>
      </c>
      <c r="X8">
        <v>2.4486015220973898</v>
      </c>
      <c r="AJ8">
        <v>8.9862956899446594E-2</v>
      </c>
      <c r="AK8">
        <v>9.15658504282965E-2</v>
      </c>
      <c r="AL8">
        <v>0.75948597901319304</v>
      </c>
      <c r="AM8">
        <v>2.49420704970243E-2</v>
      </c>
      <c r="AN8">
        <v>3.4143143162038703E-2</v>
      </c>
    </row>
    <row r="9" spans="1:40" x14ac:dyDescent="0.2">
      <c r="A9">
        <v>86</v>
      </c>
      <c r="B9">
        <v>741</v>
      </c>
      <c r="C9">
        <v>255</v>
      </c>
      <c r="D9">
        <v>0.31223241137898899</v>
      </c>
      <c r="E9">
        <v>1.9171286744903902E-2</v>
      </c>
      <c r="F9">
        <v>4.6551970364337203</v>
      </c>
      <c r="G9">
        <v>-0.18202706971330382</v>
      </c>
      <c r="H9">
        <v>-0.14783662434084641</v>
      </c>
      <c r="I9">
        <v>3.3713400751819098E-2</v>
      </c>
      <c r="J9">
        <v>1.7588024517338399E-2</v>
      </c>
      <c r="K9">
        <v>4.1182546291511704E-3</v>
      </c>
      <c r="L9">
        <v>3.1646177242443712E-5</v>
      </c>
      <c r="M9">
        <v>5.529643050113396E-7</v>
      </c>
      <c r="N9" s="1">
        <v>1.9978504490264799E-11</v>
      </c>
      <c r="O9" s="1">
        <v>8.9843664694345504E-15</v>
      </c>
      <c r="P9" s="1">
        <v>3.4073158944361899E-14</v>
      </c>
      <c r="R9">
        <v>47.310758785116199</v>
      </c>
      <c r="S9">
        <v>2.2237236830676999</v>
      </c>
      <c r="T9">
        <v>9.8995706093447193</v>
      </c>
      <c r="V9">
        <v>37.333985142944698</v>
      </c>
      <c r="W9">
        <v>0.71786657320551905</v>
      </c>
      <c r="X9">
        <v>2.51409520632104</v>
      </c>
      <c r="AJ9">
        <v>9.2283611692236797E-2</v>
      </c>
      <c r="AK9">
        <v>9.1712382799997799E-2</v>
      </c>
      <c r="AL9">
        <v>0.76876687488627204</v>
      </c>
      <c r="AM9">
        <v>1.49714473750904E-2</v>
      </c>
      <c r="AN9">
        <v>3.2265683246401701E-2</v>
      </c>
    </row>
    <row r="10" spans="1:40" x14ac:dyDescent="0.2">
      <c r="A10">
        <v>87</v>
      </c>
      <c r="B10">
        <v>740</v>
      </c>
      <c r="C10">
        <v>255</v>
      </c>
      <c r="D10">
        <v>0.31148447909983901</v>
      </c>
      <c r="E10">
        <v>3.3895173219253602E-2</v>
      </c>
      <c r="F10">
        <v>4.6577894174380399</v>
      </c>
      <c r="G10">
        <v>-0.32222206252270769</v>
      </c>
      <c r="H10">
        <v>-0.26177630373351857</v>
      </c>
      <c r="I10">
        <v>5.9661213827359297E-2</v>
      </c>
      <c r="J10">
        <v>3.10611608402739E-2</v>
      </c>
      <c r="K10">
        <v>7.2770943856661496E-3</v>
      </c>
      <c r="L10">
        <v>3.1548760532129085E-5</v>
      </c>
      <c r="M10">
        <v>5.5267422097010577E-7</v>
      </c>
      <c r="N10" s="1">
        <v>3.8777857186143301E-11</v>
      </c>
      <c r="O10" s="1">
        <v>1.5869329322272399E-14</v>
      </c>
      <c r="P10" s="1">
        <v>5.56435042180786E-14</v>
      </c>
      <c r="R10">
        <v>47.258952329427601</v>
      </c>
      <c r="S10">
        <v>2.2922783911662501</v>
      </c>
      <c r="T10">
        <v>9.9379460606316901</v>
      </c>
      <c r="V10">
        <v>36.923545300809103</v>
      </c>
      <c r="W10">
        <v>1.0680054298439901</v>
      </c>
      <c r="X10">
        <v>2.5192724881211901</v>
      </c>
      <c r="AJ10">
        <v>9.2437511515991805E-2</v>
      </c>
      <c r="AK10">
        <v>9.2031922233235294E-2</v>
      </c>
      <c r="AL10">
        <v>0.76001811554391996</v>
      </c>
      <c r="AM10">
        <v>2.22650541580241E-2</v>
      </c>
      <c r="AN10">
        <v>3.32473965488281E-2</v>
      </c>
    </row>
    <row r="11" spans="1:40" x14ac:dyDescent="0.2">
      <c r="A11">
        <v>102</v>
      </c>
      <c r="B11">
        <v>743</v>
      </c>
      <c r="C11">
        <v>240</v>
      </c>
      <c r="D11">
        <v>0.32996161983958999</v>
      </c>
      <c r="E11">
        <v>2.36185506231055E-2</v>
      </c>
      <c r="F11">
        <v>4.6543348936473699</v>
      </c>
      <c r="G11">
        <v>-0.22474960405689212</v>
      </c>
      <c r="H11">
        <v>-0.18245253378583828</v>
      </c>
      <c r="I11">
        <v>4.1624829278210602E-2</v>
      </c>
      <c r="J11">
        <v>2.1670413500520298E-2</v>
      </c>
      <c r="K11">
        <v>5.0745275453517799E-3</v>
      </c>
      <c r="L11">
        <v>3.1582700770809765E-5</v>
      </c>
      <c r="M11">
        <v>5.5298330292764669E-7</v>
      </c>
      <c r="N11" s="1">
        <v>2.54448232116464E-11</v>
      </c>
      <c r="O11" s="1">
        <v>1.10598193554545E-14</v>
      </c>
      <c r="P11" s="1">
        <v>4.17929354919624E-14</v>
      </c>
      <c r="R11">
        <v>47.290145649466403</v>
      </c>
      <c r="S11">
        <v>2.2348858299095302</v>
      </c>
      <c r="T11">
        <v>9.9885633917765002</v>
      </c>
      <c r="V11">
        <v>36.9754789074263</v>
      </c>
      <c r="W11">
        <v>0.92222347370160895</v>
      </c>
      <c r="X11">
        <v>2.5887027477196201</v>
      </c>
      <c r="AJ11">
        <v>9.4964764257777806E-2</v>
      </c>
      <c r="AK11">
        <v>9.2480910384450193E-2</v>
      </c>
      <c r="AL11">
        <v>0.76092449711020005</v>
      </c>
      <c r="AM11">
        <v>1.9221783251311599E-2</v>
      </c>
      <c r="AN11">
        <v>3.2408044996260398E-2</v>
      </c>
    </row>
    <row r="12" spans="1:40" x14ac:dyDescent="0.2">
      <c r="A12">
        <v>103</v>
      </c>
      <c r="B12">
        <v>742</v>
      </c>
      <c r="C12">
        <v>240</v>
      </c>
      <c r="D12">
        <v>0.32923262572033701</v>
      </c>
      <c r="E12">
        <v>3.4125898784291002E-2</v>
      </c>
      <c r="F12">
        <v>4.6566772885673604</v>
      </c>
      <c r="G12">
        <v>-0.32507447585655819</v>
      </c>
      <c r="H12">
        <v>-0.26397387035645092</v>
      </c>
      <c r="I12">
        <v>6.01887459982339E-2</v>
      </c>
      <c r="J12">
        <v>3.1280550183460203E-2</v>
      </c>
      <c r="K12">
        <v>7.3283795868942098E-3</v>
      </c>
      <c r="L12">
        <v>3.1493699223793135E-5</v>
      </c>
      <c r="M12">
        <v>5.5270105524179057E-7</v>
      </c>
      <c r="N12" s="1">
        <v>3.9229934429276201E-11</v>
      </c>
      <c r="O12" s="1">
        <v>1.5962713657006001E-14</v>
      </c>
      <c r="P12" s="1">
        <v>5.7272670407112298E-14</v>
      </c>
      <c r="R12">
        <v>47.236326080186899</v>
      </c>
      <c r="S12">
        <v>2.3007819702827201</v>
      </c>
      <c r="T12">
        <v>10.030990467106401</v>
      </c>
      <c r="V12">
        <v>36.607907598519503</v>
      </c>
      <c r="W12">
        <v>1.2325676809299899</v>
      </c>
      <c r="X12">
        <v>2.59142620297429</v>
      </c>
      <c r="AJ12">
        <v>9.5031179664392701E-2</v>
      </c>
      <c r="AK12">
        <v>9.2841008332101502E-2</v>
      </c>
      <c r="AL12">
        <v>0.75309476664212605</v>
      </c>
      <c r="AM12">
        <v>2.5681195929053099E-2</v>
      </c>
      <c r="AN12">
        <v>3.33518494323259E-2</v>
      </c>
    </row>
    <row r="13" spans="1:40" x14ac:dyDescent="0.2">
      <c r="A13">
        <v>115</v>
      </c>
      <c r="B13">
        <v>746</v>
      </c>
      <c r="C13">
        <v>225</v>
      </c>
      <c r="D13">
        <v>0.34832998086640898</v>
      </c>
      <c r="E13">
        <v>9.5072382808462901E-3</v>
      </c>
      <c r="F13">
        <v>4.6508348346702801</v>
      </c>
      <c r="G13">
        <v>-9.0561151062353309E-2</v>
      </c>
      <c r="H13">
        <v>-7.3463334150304177E-2</v>
      </c>
      <c r="I13">
        <v>1.6776546055093999E-2</v>
      </c>
      <c r="J13">
        <v>8.7339987822420192E-3</v>
      </c>
      <c r="K13">
        <v>2.04420036806581E-3</v>
      </c>
      <c r="L13">
        <v>3.1612839122222616E-5</v>
      </c>
      <c r="M13">
        <v>5.5326485715303372E-7</v>
      </c>
      <c r="N13" s="1">
        <v>9.5473229030506302E-12</v>
      </c>
      <c r="O13" s="1">
        <v>4.45216746327618E-15</v>
      </c>
      <c r="P13" s="1">
        <v>1.8133324154178802E-14</v>
      </c>
      <c r="R13">
        <v>47.315665292727701</v>
      </c>
      <c r="S13">
        <v>2.1846879817802298</v>
      </c>
      <c r="T13">
        <v>10.042038520589401</v>
      </c>
      <c r="V13">
        <v>37.025529665694499</v>
      </c>
      <c r="W13">
        <v>0.77484325764726902</v>
      </c>
      <c r="X13">
        <v>2.6572352815607299</v>
      </c>
      <c r="AJ13">
        <v>9.7455498398552498E-2</v>
      </c>
      <c r="AK13">
        <v>9.2953763041262502E-2</v>
      </c>
      <c r="AL13">
        <v>0.76177210458667</v>
      </c>
      <c r="AM13">
        <v>1.6146090734049798E-2</v>
      </c>
      <c r="AN13">
        <v>3.1672543239464203E-2</v>
      </c>
    </row>
    <row r="14" spans="1:40" x14ac:dyDescent="0.2">
      <c r="A14">
        <v>116</v>
      </c>
      <c r="B14">
        <v>745</v>
      </c>
      <c r="C14">
        <v>225</v>
      </c>
      <c r="D14">
        <v>0.347621175661739</v>
      </c>
      <c r="E14">
        <v>2.6661701808420101E-2</v>
      </c>
      <c r="F14">
        <v>4.6535413262955103</v>
      </c>
      <c r="G14">
        <v>-0.25427759993412946</v>
      </c>
      <c r="H14">
        <v>-0.2063303057057822</v>
      </c>
      <c r="I14">
        <v>4.7092564188329002E-2</v>
      </c>
      <c r="J14">
        <v>2.4465066329958401E-2</v>
      </c>
      <c r="K14">
        <v>5.7293359914446802E-3</v>
      </c>
      <c r="L14">
        <v>3.1514062282318866E-5</v>
      </c>
      <c r="M14">
        <v>5.5296835276066715E-7</v>
      </c>
      <c r="N14" s="1">
        <v>2.9360450221769401E-11</v>
      </c>
      <c r="O14" s="1">
        <v>1.24721401274061E-14</v>
      </c>
      <c r="P14" s="1">
        <v>4.7500927118789802E-14</v>
      </c>
      <c r="R14">
        <v>47.261393451451603</v>
      </c>
      <c r="S14">
        <v>2.25154396866651</v>
      </c>
      <c r="T14">
        <v>10.0877270552933</v>
      </c>
      <c r="V14">
        <v>36.598955924855801</v>
      </c>
      <c r="W14">
        <v>1.1369723780230201</v>
      </c>
      <c r="X14">
        <v>2.6634072217096101</v>
      </c>
      <c r="AJ14">
        <v>9.7643962712650301E-2</v>
      </c>
      <c r="AK14">
        <v>9.3340452622778694E-2</v>
      </c>
      <c r="AL14">
        <v>0.75270355625428198</v>
      </c>
      <c r="AM14">
        <v>2.3682902705600101E-2</v>
      </c>
      <c r="AN14">
        <v>3.2629125704688101E-2</v>
      </c>
    </row>
    <row r="15" spans="1:40" x14ac:dyDescent="0.2">
      <c r="A15">
        <v>126</v>
      </c>
      <c r="B15">
        <v>748</v>
      </c>
      <c r="C15">
        <v>210</v>
      </c>
      <c r="D15">
        <v>0.36590167947901903</v>
      </c>
      <c r="E15">
        <v>1.8850019268580698E-2</v>
      </c>
      <c r="F15">
        <v>4.6505542523154997</v>
      </c>
      <c r="G15">
        <v>-0.18001751801319391</v>
      </c>
      <c r="H15">
        <v>-0.14596483424380668</v>
      </c>
      <c r="I15">
        <v>3.3347386543981998E-2</v>
      </c>
      <c r="J15">
        <v>1.7314935972283001E-2</v>
      </c>
      <c r="K15">
        <v>4.0532844572655699E-3</v>
      </c>
      <c r="L15">
        <v>3.1525675889304865E-5</v>
      </c>
      <c r="M15">
        <v>5.5319364562624066E-7</v>
      </c>
      <c r="N15" s="1">
        <v>1.9897366155828699E-11</v>
      </c>
      <c r="O15" s="1">
        <v>8.8170704406297392E-15</v>
      </c>
      <c r="P15" s="1">
        <v>3.5495703558795798E-14</v>
      </c>
      <c r="R15">
        <v>47.278596530035102</v>
      </c>
      <c r="S15">
        <v>2.21237573354257</v>
      </c>
      <c r="T15">
        <v>10.150111432433301</v>
      </c>
      <c r="V15">
        <v>36.554632742033199</v>
      </c>
      <c r="W15">
        <v>1.0683381091686399</v>
      </c>
      <c r="X15">
        <v>2.7359454527870901</v>
      </c>
      <c r="AJ15">
        <v>0.100270443815694</v>
      </c>
      <c r="AK15">
        <v>9.3886915052825801E-2</v>
      </c>
      <c r="AL15">
        <v>0.751545668573115</v>
      </c>
      <c r="AM15">
        <v>2.22459735729688E-2</v>
      </c>
      <c r="AN15">
        <v>3.2050998985394902E-2</v>
      </c>
    </row>
    <row r="16" spans="1:40" x14ac:dyDescent="0.2">
      <c r="A16">
        <v>127</v>
      </c>
      <c r="B16">
        <v>747</v>
      </c>
      <c r="C16">
        <v>210</v>
      </c>
      <c r="D16">
        <v>0.36521148850659502</v>
      </c>
      <c r="E16">
        <v>2.9086972652270698E-2</v>
      </c>
      <c r="F16">
        <v>4.6528563525380404</v>
      </c>
      <c r="G16">
        <v>-0.27804813805147183</v>
      </c>
      <c r="H16">
        <v>-0.22551652778705117</v>
      </c>
      <c r="I16">
        <v>5.1494006042661002E-2</v>
      </c>
      <c r="J16">
        <v>2.6694006507348801E-2</v>
      </c>
      <c r="K16">
        <v>6.25142287842269E-3</v>
      </c>
      <c r="L16">
        <v>3.1441971487870841E-5</v>
      </c>
      <c r="M16">
        <v>5.5291775507682341E-7</v>
      </c>
      <c r="N16" s="1">
        <v>3.2347087639998999E-11</v>
      </c>
      <c r="O16" s="1">
        <v>1.35892472178237E-14</v>
      </c>
      <c r="P16" s="1">
        <v>5.2819747722892801E-14</v>
      </c>
      <c r="R16">
        <v>47.223265375021398</v>
      </c>
      <c r="S16">
        <v>2.2755963316597301</v>
      </c>
      <c r="T16">
        <v>10.1976134940173</v>
      </c>
      <c r="V16">
        <v>36.196779024518399</v>
      </c>
      <c r="W16">
        <v>1.36851268801032</v>
      </c>
      <c r="X16">
        <v>2.7382330867726501</v>
      </c>
      <c r="AJ16">
        <v>0.100320943440504</v>
      </c>
      <c r="AK16">
        <v>9.4294963702498805E-2</v>
      </c>
      <c r="AL16">
        <v>0.74394112787577205</v>
      </c>
      <c r="AM16">
        <v>2.8487032812029099E-2</v>
      </c>
      <c r="AN16">
        <v>3.2955932169195699E-2</v>
      </c>
    </row>
    <row r="17" spans="1:40" x14ac:dyDescent="0.2">
      <c r="A17">
        <v>136</v>
      </c>
      <c r="B17">
        <v>751</v>
      </c>
      <c r="C17">
        <v>195</v>
      </c>
      <c r="D17">
        <v>0.38407508665723</v>
      </c>
      <c r="E17">
        <v>1.2625039808924401E-2</v>
      </c>
      <c r="F17">
        <v>4.6479512234035898</v>
      </c>
      <c r="G17">
        <v>-0.12076232830784703</v>
      </c>
      <c r="H17">
        <v>-9.7846218716746744E-2</v>
      </c>
      <c r="I17">
        <v>2.2375735576917698E-2</v>
      </c>
      <c r="J17">
        <v>1.1607290130977801E-2</v>
      </c>
      <c r="K17">
        <v>2.71625910042992E-3</v>
      </c>
      <c r="L17">
        <v>3.1520219290806505E-5</v>
      </c>
      <c r="M17">
        <v>5.5335114311900641E-7</v>
      </c>
      <c r="N17" s="1">
        <v>1.2904796189697401E-11</v>
      </c>
      <c r="O17" s="1">
        <v>5.9032737583597699E-15</v>
      </c>
      <c r="P17" s="1">
        <v>2.48803539537688E-14</v>
      </c>
      <c r="R17">
        <v>47.283471424745599</v>
      </c>
      <c r="S17">
        <v>2.1873624706861601</v>
      </c>
      <c r="T17">
        <v>10.224078503796299</v>
      </c>
      <c r="V17">
        <v>36.434895643983701</v>
      </c>
      <c r="W17">
        <v>1.05972169077802</v>
      </c>
      <c r="X17">
        <v>2.8104702660101202</v>
      </c>
      <c r="AJ17">
        <v>0.10295931211205001</v>
      </c>
      <c r="AK17">
        <v>9.4532157349333706E-2</v>
      </c>
      <c r="AL17">
        <v>0.74877548273164696</v>
      </c>
      <c r="AM17">
        <v>2.2057467843917999E-2</v>
      </c>
      <c r="AN17">
        <v>3.1675579963049899E-2</v>
      </c>
    </row>
    <row r="18" spans="1:40" x14ac:dyDescent="0.2">
      <c r="A18">
        <v>137</v>
      </c>
      <c r="B18">
        <v>750</v>
      </c>
      <c r="C18">
        <v>195</v>
      </c>
      <c r="D18">
        <v>0.38340468162048602</v>
      </c>
      <c r="E18">
        <v>2.4545820507334001E-2</v>
      </c>
      <c r="F18">
        <v>4.6503613191079296</v>
      </c>
      <c r="G18">
        <v>-0.23502150643686415</v>
      </c>
      <c r="H18">
        <v>-0.19047756409798861</v>
      </c>
      <c r="I18">
        <v>4.3536082039657399E-2</v>
      </c>
      <c r="J18">
        <v>2.2545642436668199E-2</v>
      </c>
      <c r="K18">
        <v>5.2782609399569299E-3</v>
      </c>
      <c r="L18">
        <v>3.1434459048041127E-5</v>
      </c>
      <c r="M18">
        <v>5.5307105605178143E-7</v>
      </c>
      <c r="N18" s="1">
        <v>2.6549505179223501E-11</v>
      </c>
      <c r="O18" s="1">
        <v>1.14632448207972E-14</v>
      </c>
      <c r="P18" s="1">
        <v>4.6642753960059903E-14</v>
      </c>
      <c r="R18">
        <v>47.227146556499697</v>
      </c>
      <c r="S18">
        <v>2.2500064379736502</v>
      </c>
      <c r="T18">
        <v>10.274932779373399</v>
      </c>
      <c r="V18">
        <v>36.060966717796397</v>
      </c>
      <c r="W18">
        <v>1.3732735689806099</v>
      </c>
      <c r="X18">
        <v>2.8136739393760299</v>
      </c>
      <c r="AJ18">
        <v>0.10304200427395201</v>
      </c>
      <c r="AK18">
        <v>9.4970401734384494E-2</v>
      </c>
      <c r="AL18">
        <v>0.74084156922977096</v>
      </c>
      <c r="AM18">
        <v>2.85742463430937E-2</v>
      </c>
      <c r="AN18">
        <v>3.2571778418798103E-2</v>
      </c>
    </row>
    <row r="19" spans="1:40" x14ac:dyDescent="0.2">
      <c r="A19">
        <v>149</v>
      </c>
      <c r="B19">
        <v>754</v>
      </c>
      <c r="C19">
        <v>180</v>
      </c>
      <c r="D19">
        <v>0.402142335588766</v>
      </c>
      <c r="E19">
        <v>1.04265658460837E-2</v>
      </c>
      <c r="F19">
        <v>4.6459794592731196</v>
      </c>
      <c r="G19">
        <v>-9.9931049507352113E-2</v>
      </c>
      <c r="H19">
        <v>-8.090796999004142E-2</v>
      </c>
      <c r="I19">
        <v>1.8520254604790599E-2</v>
      </c>
      <c r="J19">
        <v>9.5923775502171505E-3</v>
      </c>
      <c r="K19">
        <v>2.2442126439609798E-3</v>
      </c>
      <c r="L19">
        <v>3.1489794728181223E-5</v>
      </c>
      <c r="M19">
        <v>5.5341360679058274E-7</v>
      </c>
      <c r="N19" s="1">
        <v>1.05141779790217E-11</v>
      </c>
      <c r="O19" s="1">
        <v>4.8717433488090898E-15</v>
      </c>
      <c r="P19" s="1">
        <v>2.1231552167597099E-14</v>
      </c>
      <c r="R19">
        <v>47.270822228650701</v>
      </c>
      <c r="S19">
        <v>2.1808142517324902</v>
      </c>
      <c r="T19">
        <v>10.3167500094925</v>
      </c>
      <c r="V19">
        <v>36.197700859422604</v>
      </c>
      <c r="W19">
        <v>1.1454957640500001</v>
      </c>
      <c r="X19">
        <v>2.8884168866515401</v>
      </c>
      <c r="AJ19">
        <v>0.105758955237634</v>
      </c>
      <c r="AK19">
        <v>9.5338637247850896E-2</v>
      </c>
      <c r="AL19">
        <v>0.743508112733402</v>
      </c>
      <c r="AM19">
        <v>2.38302148411162E-2</v>
      </c>
      <c r="AN19">
        <v>3.1564079939996097E-2</v>
      </c>
    </row>
    <row r="20" spans="1:40" x14ac:dyDescent="0.2">
      <c r="A20">
        <v>150</v>
      </c>
      <c r="B20">
        <v>753</v>
      </c>
      <c r="C20">
        <v>180</v>
      </c>
      <c r="D20">
        <v>0.401491497344444</v>
      </c>
      <c r="E20">
        <v>2.1922578564043602E-2</v>
      </c>
      <c r="F20">
        <v>4.6483465573436797</v>
      </c>
      <c r="G20">
        <v>-0.21030987417994154</v>
      </c>
      <c r="H20">
        <v>-0.17032301025097668</v>
      </c>
      <c r="I20">
        <v>3.8967854532928697E-2</v>
      </c>
      <c r="J20">
        <v>2.0150477902642201E-2</v>
      </c>
      <c r="K20">
        <v>4.71621001007536E-3</v>
      </c>
      <c r="L20">
        <v>3.1408005235243962E-5</v>
      </c>
      <c r="M20">
        <v>5.5314018175133549E-7</v>
      </c>
      <c r="N20" s="1">
        <v>2.3226310480557501E-11</v>
      </c>
      <c r="O20" s="1">
        <v>1.02303238743199E-14</v>
      </c>
      <c r="P20" s="1">
        <v>4.33630583243951E-14</v>
      </c>
      <c r="R20">
        <v>47.214201457913902</v>
      </c>
      <c r="S20">
        <v>2.2418242847648</v>
      </c>
      <c r="T20">
        <v>10.369334072686801</v>
      </c>
      <c r="V20">
        <v>35.832873505008202</v>
      </c>
      <c r="W20">
        <v>1.4506034769565801</v>
      </c>
      <c r="X20">
        <v>2.8911632026694898</v>
      </c>
      <c r="AJ20">
        <v>0.10582531100069401</v>
      </c>
      <c r="AK20">
        <v>9.5793616290181099E-2</v>
      </c>
      <c r="AL20">
        <v>0.73577669962908399</v>
      </c>
      <c r="AM20">
        <v>3.0167745348544099E-2</v>
      </c>
      <c r="AN20">
        <v>3.2436627731495603E-2</v>
      </c>
    </row>
    <row r="21" spans="1:40" x14ac:dyDescent="0.2">
      <c r="A21">
        <v>165</v>
      </c>
      <c r="B21">
        <v>757</v>
      </c>
      <c r="C21">
        <v>165</v>
      </c>
      <c r="D21">
        <v>0.42010435373489502</v>
      </c>
      <c r="E21">
        <v>1.2632249287785899E-2</v>
      </c>
      <c r="F21">
        <v>4.6447918524042002</v>
      </c>
      <c r="G21">
        <v>-0.12136388986514322</v>
      </c>
      <c r="H21">
        <v>-9.8187488044176888E-2</v>
      </c>
      <c r="I21">
        <v>2.2498084571146201E-2</v>
      </c>
      <c r="J21">
        <v>1.1626330745966E-2</v>
      </c>
      <c r="K21">
        <v>2.7196588543030899E-3</v>
      </c>
      <c r="L21">
        <v>3.1430691635387189E-5</v>
      </c>
      <c r="M21">
        <v>5.5335656415380493E-7</v>
      </c>
      <c r="N21" s="1">
        <v>1.2759437891434399E-11</v>
      </c>
      <c r="O21" s="1">
        <v>5.8947680010848302E-15</v>
      </c>
      <c r="P21" s="1">
        <v>2.63774609473617E-14</v>
      </c>
      <c r="R21">
        <v>47.234230545660701</v>
      </c>
      <c r="S21">
        <v>2.1970853992477801</v>
      </c>
      <c r="T21">
        <v>10.436387622211999</v>
      </c>
      <c r="V21">
        <v>35.817020253989703</v>
      </c>
      <c r="W21">
        <v>1.34526748323669</v>
      </c>
      <c r="X21">
        <v>2.9700086956529401</v>
      </c>
      <c r="AJ21">
        <v>0.108674133074846</v>
      </c>
      <c r="AK21">
        <v>9.6380110724135104E-2</v>
      </c>
      <c r="AL21">
        <v>0.73519977333789099</v>
      </c>
      <c r="AM21">
        <v>2.7967542202005799E-2</v>
      </c>
      <c r="AN21">
        <v>3.1778440661120302E-2</v>
      </c>
    </row>
    <row r="22" spans="1:40" x14ac:dyDescent="0.2">
      <c r="A22">
        <v>183</v>
      </c>
      <c r="B22">
        <v>761</v>
      </c>
      <c r="C22">
        <v>150</v>
      </c>
      <c r="D22">
        <v>0.43857322438717999</v>
      </c>
      <c r="E22">
        <v>7.3374396333935098E-3</v>
      </c>
      <c r="F22">
        <v>4.6421682693891997</v>
      </c>
      <c r="G22">
        <v>-7.0636581393136319E-2</v>
      </c>
      <c r="H22">
        <v>-5.7088278551450662E-2</v>
      </c>
      <c r="I22">
        <v>1.31009068720066E-2</v>
      </c>
      <c r="J22">
        <v>6.7600918048685999E-3</v>
      </c>
      <c r="K22">
        <v>1.58060613221996E-3</v>
      </c>
      <c r="L22">
        <v>3.1418038041536965E-5</v>
      </c>
      <c r="M22">
        <v>5.5341985592005533E-7</v>
      </c>
      <c r="N22" s="1">
        <v>7.1722423212761798E-12</v>
      </c>
      <c r="O22" s="1">
        <v>3.4214850340015001E-15</v>
      </c>
      <c r="P22" s="1">
        <v>1.6026377167802899E-14</v>
      </c>
      <c r="R22">
        <v>47.223513646488897</v>
      </c>
      <c r="S22">
        <v>2.1831095376550298</v>
      </c>
      <c r="T22">
        <v>10.5357015685271</v>
      </c>
      <c r="V22">
        <v>35.628354824314698</v>
      </c>
      <c r="W22">
        <v>1.3767908019708901</v>
      </c>
      <c r="X22">
        <v>3.0525296210431998</v>
      </c>
      <c r="AJ22">
        <v>0.111635876781319</v>
      </c>
      <c r="AK22">
        <v>9.7246978712630605E-2</v>
      </c>
      <c r="AL22">
        <v>0.73094907019841404</v>
      </c>
      <c r="AM22">
        <v>2.8608102311649002E-2</v>
      </c>
      <c r="AN22">
        <v>3.1559971995986598E-2</v>
      </c>
    </row>
    <row r="23" spans="1:40" x14ac:dyDescent="0.2">
      <c r="A23">
        <v>204</v>
      </c>
      <c r="B23">
        <v>765</v>
      </c>
      <c r="C23">
        <v>135</v>
      </c>
      <c r="D23">
        <v>0.45689977363579698</v>
      </c>
      <c r="E23">
        <v>8.7234619037725707E-3</v>
      </c>
      <c r="F23">
        <v>4.6408569799035098</v>
      </c>
      <c r="G23">
        <v>-8.4207780681995997E-2</v>
      </c>
      <c r="H23">
        <v>-6.798524960462439E-2</v>
      </c>
      <c r="I23">
        <v>1.5626384508377E-2</v>
      </c>
      <c r="J23">
        <v>8.04232563143863E-3</v>
      </c>
      <c r="K23">
        <v>1.8797092738578401E-3</v>
      </c>
      <c r="L23">
        <v>3.1360696556117545E-5</v>
      </c>
      <c r="M23">
        <v>5.5328474014365147E-7</v>
      </c>
      <c r="N23" s="1">
        <v>8.41185465065027E-12</v>
      </c>
      <c r="O23" s="1">
        <v>4.0608783847469604E-15</v>
      </c>
      <c r="P23" s="1">
        <v>1.9768191925917799E-14</v>
      </c>
      <c r="R23">
        <v>47.1711640818109</v>
      </c>
      <c r="S23">
        <v>2.2075229147441999</v>
      </c>
      <c r="T23">
        <v>10.682002150710799</v>
      </c>
      <c r="V23">
        <v>35.204141590381901</v>
      </c>
      <c r="W23">
        <v>1.595119132422</v>
      </c>
      <c r="X23">
        <v>3.1400501299301098</v>
      </c>
      <c r="AJ23">
        <v>0.114752005026774</v>
      </c>
      <c r="AK23">
        <v>9.8524699391805706E-2</v>
      </c>
      <c r="AL23">
        <v>0.72171363211825501</v>
      </c>
      <c r="AM23">
        <v>3.3120281465055003E-2</v>
      </c>
      <c r="AN23">
        <v>3.1889381998109201E-2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722C-C243-42E4-91F4-3590506C0951}">
  <sheetPr codeName="Sheet7"/>
  <dimension ref="A1:AN5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0.36545412584214498</v>
      </c>
      <c r="F2">
        <v>4.9424494904125904</v>
      </c>
      <c r="G2">
        <v>-2.4334873170045754</v>
      </c>
      <c r="H2">
        <v>-1.7876769408059172</v>
      </c>
      <c r="I2">
        <v>0.64122561306524095</v>
      </c>
      <c r="J2">
        <v>0.32369114450839498</v>
      </c>
      <c r="K2">
        <v>7.3941904019668103E-2</v>
      </c>
      <c r="L2">
        <v>3.5609227377914556E-5</v>
      </c>
      <c r="M2">
        <v>4.142145395853346E-7</v>
      </c>
      <c r="N2" s="1">
        <v>1.4423877215482399E-9</v>
      </c>
      <c r="O2" s="1">
        <v>1.7846497706412201E-13</v>
      </c>
      <c r="P2">
        <v>0</v>
      </c>
      <c r="R2">
        <v>8.93353361198551</v>
      </c>
      <c r="S2">
        <v>1.8450003831057</v>
      </c>
      <c r="T2">
        <v>50.018715860116401</v>
      </c>
      <c r="V2">
        <v>38.349953934263297</v>
      </c>
      <c r="X2">
        <v>0.85279621052896704</v>
      </c>
      <c r="AJ2">
        <v>0</v>
      </c>
      <c r="AK2">
        <v>-6.9140227340757296E-3</v>
      </c>
      <c r="AL2">
        <v>0.70684198429183698</v>
      </c>
      <c r="AM2">
        <v>4.7749222581959398E-2</v>
      </c>
      <c r="AN2">
        <v>0.25232281586027799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0.40860998952382099</v>
      </c>
      <c r="F3">
        <v>4.94287329287289</v>
      </c>
      <c r="G3">
        <v>-2.7198190669752509</v>
      </c>
      <c r="H3">
        <v>-1.9988639821732976</v>
      </c>
      <c r="I3">
        <v>0.71654831267897701</v>
      </c>
      <c r="J3">
        <v>0.36193314924798597</v>
      </c>
      <c r="K3">
        <v>8.2666490786440894E-2</v>
      </c>
      <c r="L3">
        <v>3.5701887412871027E-5</v>
      </c>
      <c r="M3">
        <v>4.1545408025914206E-7</v>
      </c>
      <c r="N3" s="1">
        <v>1.6178637572506101E-9</v>
      </c>
      <c r="O3" s="1">
        <v>2.0022088389386201E-13</v>
      </c>
      <c r="P3">
        <v>0</v>
      </c>
      <c r="R3">
        <v>8.8030564458429996</v>
      </c>
      <c r="S3">
        <v>1.9112309591730301</v>
      </c>
      <c r="T3">
        <v>50.189492121766598</v>
      </c>
      <c r="V3">
        <v>38.249331380534997</v>
      </c>
      <c r="X3">
        <v>0.84688909268227897</v>
      </c>
      <c r="AJ3">
        <v>0</v>
      </c>
      <c r="AK3">
        <v>-5.11640843086969E-3</v>
      </c>
      <c r="AL3">
        <v>0.70911778359927902</v>
      </c>
      <c r="AM3">
        <v>4.7409279931021203E-2</v>
      </c>
      <c r="AN3">
        <v>0.248589344900568</v>
      </c>
    </row>
    <row r="4" spans="1:40" x14ac:dyDescent="0.2">
      <c r="A4">
        <v>46</v>
      </c>
      <c r="B4">
        <v>737</v>
      </c>
      <c r="C4">
        <v>285</v>
      </c>
      <c r="D4">
        <v>0.27656338167599098</v>
      </c>
      <c r="E4">
        <v>0.234085768322814</v>
      </c>
      <c r="F4">
        <v>4.9413521649241696</v>
      </c>
      <c r="G4">
        <v>-1.5609737568767796</v>
      </c>
      <c r="H4">
        <v>-1.1454011539055609</v>
      </c>
      <c r="I4">
        <v>0.41139692419068202</v>
      </c>
      <c r="J4">
        <v>0.20736363525575499</v>
      </c>
      <c r="K4">
        <v>4.7372816287909E-2</v>
      </c>
      <c r="L4">
        <v>3.5523683441178595E-5</v>
      </c>
      <c r="M4">
        <v>4.1294425470398106E-7</v>
      </c>
      <c r="N4" s="1">
        <v>9.2029667925811299E-10</v>
      </c>
      <c r="O4" s="1">
        <v>1.1385094551959E-13</v>
      </c>
      <c r="P4">
        <v>0</v>
      </c>
      <c r="R4">
        <v>9.0783660674432696</v>
      </c>
      <c r="S4">
        <v>1.7801621949649999</v>
      </c>
      <c r="T4">
        <v>49.816594733651698</v>
      </c>
      <c r="V4">
        <v>38.469880860088402</v>
      </c>
      <c r="X4">
        <v>0.854996143851533</v>
      </c>
      <c r="AJ4">
        <v>0</v>
      </c>
      <c r="AK4">
        <v>-8.4739569216565908E-3</v>
      </c>
      <c r="AL4">
        <v>0.70412696664757202</v>
      </c>
      <c r="AM4">
        <v>4.7882006290544302E-2</v>
      </c>
      <c r="AN4">
        <v>0.25646498398353901</v>
      </c>
    </row>
    <row r="5" spans="1:40" x14ac:dyDescent="0.2">
      <c r="A5">
        <v>47</v>
      </c>
      <c r="B5">
        <v>736</v>
      </c>
      <c r="C5">
        <v>285</v>
      </c>
      <c r="D5">
        <v>0.27577713917653601</v>
      </c>
      <c r="E5">
        <v>0.384510681556542</v>
      </c>
      <c r="F5">
        <v>4.9405034409486399</v>
      </c>
      <c r="G5">
        <v>-2.5649715871220886</v>
      </c>
      <c r="H5">
        <v>-1.8832622876225624</v>
      </c>
      <c r="I5">
        <v>0.675528216320196</v>
      </c>
      <c r="J5">
        <v>0.34068141519621498</v>
      </c>
      <c r="K5">
        <v>7.7828238792342602E-2</v>
      </c>
      <c r="L5">
        <v>3.5653738322081897E-5</v>
      </c>
      <c r="M5">
        <v>4.148567769676722E-7</v>
      </c>
      <c r="N5" s="1">
        <v>1.5178068528441501E-9</v>
      </c>
      <c r="O5" s="1">
        <v>1.87659105728564E-13</v>
      </c>
      <c r="P5">
        <v>0</v>
      </c>
      <c r="R5">
        <v>8.9529084025169592</v>
      </c>
      <c r="S5">
        <v>1.85161088506882</v>
      </c>
      <c r="T5">
        <v>49.988906894127297</v>
      </c>
      <c r="V5">
        <v>38.325324223648401</v>
      </c>
      <c r="X5">
        <v>0.88124959463847496</v>
      </c>
      <c r="AJ5">
        <v>0</v>
      </c>
      <c r="AK5">
        <v>-8.3585809752384794E-3</v>
      </c>
      <c r="AL5">
        <v>0.70622843625952503</v>
      </c>
      <c r="AM5">
        <v>4.9328934424253297E-2</v>
      </c>
      <c r="AN5">
        <v>0.25280121029146002</v>
      </c>
    </row>
    <row r="6" spans="1:40" x14ac:dyDescent="0.2">
      <c r="A6">
        <v>48</v>
      </c>
      <c r="B6">
        <v>735</v>
      </c>
      <c r="C6">
        <v>285</v>
      </c>
      <c r="D6">
        <v>0.27498933690423</v>
      </c>
      <c r="E6">
        <v>0.41747428710141199</v>
      </c>
      <c r="F6">
        <v>4.9409164067958002</v>
      </c>
      <c r="G6">
        <v>-2.7838230141192004</v>
      </c>
      <c r="H6">
        <v>-2.0448129415509517</v>
      </c>
      <c r="I6">
        <v>0.73303583054927102</v>
      </c>
      <c r="J6">
        <v>0.36990496143629897</v>
      </c>
      <c r="K6">
        <v>8.4493290865478493E-2</v>
      </c>
      <c r="L6">
        <v>3.5742830424897484E-5</v>
      </c>
      <c r="M6">
        <v>4.1605630055972176E-7</v>
      </c>
      <c r="N6" s="1">
        <v>1.65301390933083E-9</v>
      </c>
      <c r="O6" s="1">
        <v>2.0442056708363999E-13</v>
      </c>
      <c r="P6">
        <v>0</v>
      </c>
      <c r="R6">
        <v>8.8264140349812195</v>
      </c>
      <c r="S6">
        <v>1.91603487520842</v>
      </c>
      <c r="T6">
        <v>50.1541949297362</v>
      </c>
      <c r="V6">
        <v>38.227874903666198</v>
      </c>
      <c r="X6">
        <v>0.87548125640788699</v>
      </c>
      <c r="AJ6">
        <v>0</v>
      </c>
      <c r="AK6">
        <v>-6.60894242104985E-3</v>
      </c>
      <c r="AL6">
        <v>0.70842979011151797</v>
      </c>
      <c r="AM6">
        <v>4.8996792214097598E-2</v>
      </c>
      <c r="AN6">
        <v>0.24918236009543299</v>
      </c>
    </row>
    <row r="7" spans="1:40" x14ac:dyDescent="0.2">
      <c r="A7">
        <v>67</v>
      </c>
      <c r="B7">
        <v>739</v>
      </c>
      <c r="C7">
        <v>270</v>
      </c>
      <c r="D7">
        <v>0.29443313738082399</v>
      </c>
      <c r="E7">
        <v>0.336918211874291</v>
      </c>
      <c r="F7">
        <v>4.93817483489312</v>
      </c>
      <c r="G7">
        <v>-2.2523024001463452</v>
      </c>
      <c r="H7">
        <v>-1.6521051414503223</v>
      </c>
      <c r="I7">
        <v>0.59299240102358597</v>
      </c>
      <c r="J7">
        <v>0.298595194832602</v>
      </c>
      <c r="K7">
        <v>6.8227274881729194E-2</v>
      </c>
      <c r="L7">
        <v>3.5606823883083207E-5</v>
      </c>
      <c r="M7">
        <v>4.1426986053154731E-7</v>
      </c>
      <c r="N7" s="1">
        <v>1.3259387694160799E-9</v>
      </c>
      <c r="O7" s="1">
        <v>1.6378237451375401E-13</v>
      </c>
      <c r="P7">
        <v>0</v>
      </c>
      <c r="R7">
        <v>9.1011116116186805</v>
      </c>
      <c r="S7">
        <v>1.7917080317382501</v>
      </c>
      <c r="T7">
        <v>49.791485421124797</v>
      </c>
      <c r="V7">
        <v>38.400734991215003</v>
      </c>
      <c r="X7">
        <v>0.91495994430315197</v>
      </c>
      <c r="AJ7">
        <v>0</v>
      </c>
      <c r="AK7">
        <v>-1.15702059681914E-2</v>
      </c>
      <c r="AL7">
        <v>0.703389942644563</v>
      </c>
      <c r="AM7">
        <v>5.1212313682219998E-2</v>
      </c>
      <c r="AN7">
        <v>0.25696794964140801</v>
      </c>
    </row>
    <row r="8" spans="1:40" x14ac:dyDescent="0.2">
      <c r="A8">
        <v>68</v>
      </c>
      <c r="B8">
        <v>738</v>
      </c>
      <c r="C8">
        <v>270</v>
      </c>
      <c r="D8">
        <v>0.29366612273154402</v>
      </c>
      <c r="E8">
        <v>0.40967337989096098</v>
      </c>
      <c r="F8">
        <v>4.9386885647431296</v>
      </c>
      <c r="G8">
        <v>-2.7374147463974889</v>
      </c>
      <c r="H8">
        <v>-2.0087452864065973</v>
      </c>
      <c r="I8">
        <v>0.72063438658051804</v>
      </c>
      <c r="J8">
        <v>0.36309356826621703</v>
      </c>
      <c r="K8">
        <v>8.2951855441054503E-2</v>
      </c>
      <c r="L8">
        <v>3.5715955615003354E-5</v>
      </c>
      <c r="M8">
        <v>4.1569241684618206E-7</v>
      </c>
      <c r="N8" s="1">
        <v>1.61815084666306E-9</v>
      </c>
      <c r="O8" s="1">
        <v>1.9992719492843299E-13</v>
      </c>
      <c r="P8">
        <v>0</v>
      </c>
      <c r="R8">
        <v>8.9565366963111401</v>
      </c>
      <c r="S8">
        <v>1.86085156616892</v>
      </c>
      <c r="T8">
        <v>49.985787013060403</v>
      </c>
      <c r="V8">
        <v>38.288253082333497</v>
      </c>
      <c r="X8">
        <v>0.90857164212597596</v>
      </c>
      <c r="AJ8">
        <v>0</v>
      </c>
      <c r="AK8">
        <v>-9.6809513168664499E-3</v>
      </c>
      <c r="AL8">
        <v>0.70599879344759697</v>
      </c>
      <c r="AM8">
        <v>5.08449524918764E-2</v>
      </c>
      <c r="AN8">
        <v>0.25283720537739202</v>
      </c>
    </row>
    <row r="9" spans="1:40" x14ac:dyDescent="0.2">
      <c r="A9">
        <v>69</v>
      </c>
      <c r="B9">
        <v>737</v>
      </c>
      <c r="C9">
        <v>270</v>
      </c>
      <c r="D9">
        <v>0.29289758946691402</v>
      </c>
      <c r="E9">
        <v>0.43082338236798901</v>
      </c>
      <c r="F9">
        <v>4.9390941490108</v>
      </c>
      <c r="G9">
        <v>-2.8776713532658449</v>
      </c>
      <c r="H9">
        <v>-2.1125607527087085</v>
      </c>
      <c r="I9">
        <v>0.75742275954772598</v>
      </c>
      <c r="J9">
        <v>0.381854979920636</v>
      </c>
      <c r="K9">
        <v>8.7227205914727102E-2</v>
      </c>
      <c r="L9">
        <v>3.5800367620262129E-5</v>
      </c>
      <c r="M9">
        <v>4.1683907908760185E-7</v>
      </c>
      <c r="N9" s="1">
        <v>1.70671024191647E-9</v>
      </c>
      <c r="O9" s="1">
        <v>2.10914276309244E-13</v>
      </c>
      <c r="P9">
        <v>0</v>
      </c>
      <c r="R9">
        <v>8.8353509472093208</v>
      </c>
      <c r="S9">
        <v>1.9226136716911</v>
      </c>
      <c r="T9">
        <v>50.144016501033001</v>
      </c>
      <c r="V9">
        <v>38.195108201116902</v>
      </c>
      <c r="X9">
        <v>0.90291067894957799</v>
      </c>
      <c r="AJ9">
        <v>0</v>
      </c>
      <c r="AK9">
        <v>-7.9964728394891198E-3</v>
      </c>
      <c r="AL9">
        <v>0.70810610957557096</v>
      </c>
      <c r="AM9">
        <v>5.0519059527596701E-2</v>
      </c>
      <c r="AN9">
        <v>0.24937130373631999</v>
      </c>
    </row>
    <row r="10" spans="1:40" x14ac:dyDescent="0.2">
      <c r="A10">
        <v>85</v>
      </c>
      <c r="B10">
        <v>742</v>
      </c>
      <c r="C10">
        <v>255</v>
      </c>
      <c r="D10">
        <v>0.31297887011771702</v>
      </c>
      <c r="E10">
        <v>0.18919132186590501</v>
      </c>
      <c r="F10">
        <v>4.9462761565523801</v>
      </c>
      <c r="G10">
        <v>-1.2572844469410986</v>
      </c>
      <c r="H10">
        <v>-0.9193794036681735</v>
      </c>
      <c r="I10">
        <v>0.33286218122733102</v>
      </c>
      <c r="J10">
        <v>0.16759919306676899</v>
      </c>
      <c r="K10">
        <v>3.8249243648735901E-2</v>
      </c>
      <c r="L10">
        <v>3.6351731528982183E-5</v>
      </c>
      <c r="M10">
        <v>4.2165665952653551E-7</v>
      </c>
      <c r="N10" s="1">
        <v>7.5900790692848001E-10</v>
      </c>
      <c r="O10" s="1">
        <v>9.40530126994645E-14</v>
      </c>
      <c r="P10">
        <v>0</v>
      </c>
      <c r="R10">
        <v>8.4822082972213906</v>
      </c>
      <c r="S10">
        <v>1.7989237441265</v>
      </c>
      <c r="T10">
        <v>50.919473725071697</v>
      </c>
      <c r="V10">
        <v>37.992004737438599</v>
      </c>
      <c r="X10">
        <v>0.80738949614174904</v>
      </c>
      <c r="AJ10">
        <v>0</v>
      </c>
      <c r="AK10">
        <v>-5.3970512139781901E-3</v>
      </c>
      <c r="AL10">
        <v>0.72031888350516304</v>
      </c>
      <c r="AM10">
        <v>4.5253818693167101E-2</v>
      </c>
      <c r="AN10">
        <v>0.239824349015647</v>
      </c>
    </row>
    <row r="11" spans="1:40" x14ac:dyDescent="0.2">
      <c r="A11">
        <v>86</v>
      </c>
      <c r="B11">
        <v>741</v>
      </c>
      <c r="C11">
        <v>255</v>
      </c>
      <c r="D11">
        <v>0.31223241137898899</v>
      </c>
      <c r="E11">
        <v>0.389817469909708</v>
      </c>
      <c r="F11">
        <v>4.9363529986879202</v>
      </c>
      <c r="G11">
        <v>-2.6103162764365671</v>
      </c>
      <c r="H11">
        <v>-1.9136449892569938</v>
      </c>
      <c r="I11">
        <v>0.68695093149886399</v>
      </c>
      <c r="J11">
        <v>0.34559325860811502</v>
      </c>
      <c r="K11">
        <v>7.8968718406751001E-2</v>
      </c>
      <c r="L11">
        <v>3.5678293124695123E-5</v>
      </c>
      <c r="M11">
        <v>4.1521338913373928E-7</v>
      </c>
      <c r="N11" s="1">
        <v>1.5354940991303299E-9</v>
      </c>
      <c r="O11" s="1">
        <v>1.89535040054693E-13</v>
      </c>
      <c r="P11">
        <v>0</v>
      </c>
      <c r="R11">
        <v>9.0952725547104301</v>
      </c>
      <c r="S11">
        <v>1.80565493655906</v>
      </c>
      <c r="T11">
        <v>49.801293114287901</v>
      </c>
      <c r="V11">
        <v>38.355149289872301</v>
      </c>
      <c r="X11">
        <v>0.94263010457025698</v>
      </c>
      <c r="AJ11">
        <v>0</v>
      </c>
      <c r="AK11">
        <v>-1.28067708938326E-2</v>
      </c>
      <c r="AL11">
        <v>0.70332996723421104</v>
      </c>
      <c r="AM11">
        <v>5.2746184771675197E-2</v>
      </c>
      <c r="AN11">
        <v>0.25673061888794502</v>
      </c>
    </row>
    <row r="12" spans="1:40" x14ac:dyDescent="0.2">
      <c r="A12">
        <v>87</v>
      </c>
      <c r="B12">
        <v>740</v>
      </c>
      <c r="C12">
        <v>255</v>
      </c>
      <c r="D12">
        <v>0.31148447909983901</v>
      </c>
      <c r="E12">
        <v>0.42810796328025102</v>
      </c>
      <c r="F12">
        <v>4.9368507750248503</v>
      </c>
      <c r="G12">
        <v>-2.8654326229020879</v>
      </c>
      <c r="H12">
        <v>-2.1015153848542401</v>
      </c>
      <c r="I12">
        <v>0.75400211029743602</v>
      </c>
      <c r="J12">
        <v>0.37955692401502</v>
      </c>
      <c r="K12">
        <v>8.6716812557109599E-2</v>
      </c>
      <c r="L12">
        <v>3.5779686989234777E-5</v>
      </c>
      <c r="M12">
        <v>4.1654829864043476E-7</v>
      </c>
      <c r="N12" s="1">
        <v>1.6920971075561701E-9</v>
      </c>
      <c r="O12" s="1">
        <v>2.08916703749412E-13</v>
      </c>
      <c r="P12">
        <v>0</v>
      </c>
      <c r="R12">
        <v>8.9589569244617593</v>
      </c>
      <c r="S12">
        <v>1.87103631838317</v>
      </c>
      <c r="T12">
        <v>49.984144723570601</v>
      </c>
      <c r="V12">
        <v>38.2494943052426</v>
      </c>
      <c r="X12">
        <v>0.93636772834176296</v>
      </c>
      <c r="AJ12">
        <v>0</v>
      </c>
      <c r="AK12">
        <v>-1.1008185224249E-2</v>
      </c>
      <c r="AL12">
        <v>0.70578473715927703</v>
      </c>
      <c r="AM12">
        <v>5.2386294267467097E-2</v>
      </c>
      <c r="AN12">
        <v>0.25283715379750299</v>
      </c>
    </row>
    <row r="13" spans="1:40" x14ac:dyDescent="0.2">
      <c r="A13">
        <v>101</v>
      </c>
      <c r="B13">
        <v>744</v>
      </c>
      <c r="C13">
        <v>240</v>
      </c>
      <c r="D13">
        <v>0.33068918055350899</v>
      </c>
      <c r="E13">
        <v>0.328457638838621</v>
      </c>
      <c r="F13">
        <v>4.9370775907918896</v>
      </c>
      <c r="G13">
        <v>-2.1973665246225664</v>
      </c>
      <c r="H13">
        <v>-1.6080392027459607</v>
      </c>
      <c r="I13">
        <v>0.57939077016822105</v>
      </c>
      <c r="J13">
        <v>0.29126000737340502</v>
      </c>
      <c r="K13">
        <v>6.6528757711085101E-2</v>
      </c>
      <c r="L13">
        <v>3.6234137177576772E-5</v>
      </c>
      <c r="M13">
        <v>4.2153044446594447E-7</v>
      </c>
      <c r="N13" s="1">
        <v>1.3111928600374299E-9</v>
      </c>
      <c r="O13" s="1">
        <v>1.61754704213257E-13</v>
      </c>
      <c r="P13">
        <v>0</v>
      </c>
      <c r="R13">
        <v>8.7795602856339894</v>
      </c>
      <c r="S13">
        <v>1.7954000901179701</v>
      </c>
      <c r="T13">
        <v>50.4417284551389</v>
      </c>
      <c r="V13">
        <v>38.005427052222103</v>
      </c>
      <c r="X13">
        <v>0.97788411688694199</v>
      </c>
      <c r="AJ13">
        <v>0</v>
      </c>
      <c r="AK13">
        <v>-1.50076921712692E-2</v>
      </c>
      <c r="AL13">
        <v>0.71244140722060101</v>
      </c>
      <c r="AM13">
        <v>5.4723999322685103E-2</v>
      </c>
      <c r="AN13">
        <v>0.247842285627982</v>
      </c>
    </row>
    <row r="14" spans="1:40" x14ac:dyDescent="0.2">
      <c r="A14">
        <v>102</v>
      </c>
      <c r="B14">
        <v>743</v>
      </c>
      <c r="C14">
        <v>240</v>
      </c>
      <c r="D14">
        <v>0.32996161983958999</v>
      </c>
      <c r="E14">
        <v>0.42118609060412299</v>
      </c>
      <c r="F14">
        <v>4.9345085257131203</v>
      </c>
      <c r="G14">
        <v>-2.8251501833811465</v>
      </c>
      <c r="H14">
        <v>-2.0699954795464368</v>
      </c>
      <c r="I14">
        <v>0.74315278633539295</v>
      </c>
      <c r="J14">
        <v>0.37353136635694201</v>
      </c>
      <c r="K14">
        <v>8.53552260391027E-2</v>
      </c>
      <c r="L14">
        <v>3.5753503221220554E-5</v>
      </c>
      <c r="M14">
        <v>4.1620181848097264E-7</v>
      </c>
      <c r="N14" s="1">
        <v>1.6607107839826299E-9</v>
      </c>
      <c r="O14" s="1">
        <v>2.0484729834232799E-13</v>
      </c>
      <c r="P14">
        <v>0</v>
      </c>
      <c r="R14">
        <v>9.0854477429681193</v>
      </c>
      <c r="S14">
        <v>1.82217403647906</v>
      </c>
      <c r="T14">
        <v>49.815974074641296</v>
      </c>
      <c r="V14">
        <v>38.305724913583198</v>
      </c>
      <c r="X14">
        <v>0.970679232328163</v>
      </c>
      <c r="AJ14">
        <v>0</v>
      </c>
      <c r="AK14">
        <v>-1.40067742634123E-2</v>
      </c>
      <c r="AL14">
        <v>0.70332953944655296</v>
      </c>
      <c r="AM14">
        <v>5.42996728347728E-2</v>
      </c>
      <c r="AN14">
        <v>0.256377561982086</v>
      </c>
    </row>
    <row r="15" spans="1:40" x14ac:dyDescent="0.2">
      <c r="A15">
        <v>103</v>
      </c>
      <c r="B15">
        <v>742</v>
      </c>
      <c r="C15">
        <v>240</v>
      </c>
      <c r="D15">
        <v>0.32923262572033701</v>
      </c>
      <c r="E15">
        <v>0.44283256496038198</v>
      </c>
      <c r="F15">
        <v>4.93498544822278</v>
      </c>
      <c r="G15">
        <v>-2.9690556513204749</v>
      </c>
      <c r="H15">
        <v>-2.176314593514884</v>
      </c>
      <c r="I15">
        <v>0.78091026725665202</v>
      </c>
      <c r="J15">
        <v>0.39274404268929802</v>
      </c>
      <c r="K15">
        <v>8.9733307140724597E-2</v>
      </c>
      <c r="L15">
        <v>3.5846852282758388E-5</v>
      </c>
      <c r="M15">
        <v>4.1744605900717211E-7</v>
      </c>
      <c r="N15" s="1">
        <v>1.75163649244569E-9</v>
      </c>
      <c r="O15" s="1">
        <v>2.1611415838671201E-13</v>
      </c>
      <c r="P15">
        <v>0</v>
      </c>
      <c r="R15">
        <v>8.9576189138805198</v>
      </c>
      <c r="S15">
        <v>1.8838633870686801</v>
      </c>
      <c r="T15">
        <v>49.986885243210402</v>
      </c>
      <c r="V15">
        <v>38.207032040929498</v>
      </c>
      <c r="X15">
        <v>0.964600414910741</v>
      </c>
      <c r="AJ15">
        <v>0</v>
      </c>
      <c r="AK15">
        <v>-1.2300526698651001E-2</v>
      </c>
      <c r="AL15">
        <v>0.70562260846418501</v>
      </c>
      <c r="AM15">
        <v>5.3950453460746998E-2</v>
      </c>
      <c r="AN15">
        <v>0.25272746477371799</v>
      </c>
    </row>
    <row r="16" spans="1:40" x14ac:dyDescent="0.2">
      <c r="A16">
        <v>114</v>
      </c>
      <c r="B16">
        <v>747</v>
      </c>
      <c r="C16">
        <v>225</v>
      </c>
      <c r="D16">
        <v>0.34903739646130499</v>
      </c>
      <c r="E16">
        <v>0.239070931519997</v>
      </c>
      <c r="F16">
        <v>4.9447902993373196</v>
      </c>
      <c r="G16">
        <v>-1.5907530718950418</v>
      </c>
      <c r="H16">
        <v>-1.1606491880466556</v>
      </c>
      <c r="I16">
        <v>0.42160847311511601</v>
      </c>
      <c r="J16">
        <v>0.21190053587244301</v>
      </c>
      <c r="K16">
        <v>4.8348042494751699E-2</v>
      </c>
      <c r="L16">
        <v>3.6855123569233918E-5</v>
      </c>
      <c r="M16">
        <v>4.2740302772111589E-7</v>
      </c>
      <c r="N16" s="1">
        <v>9.6946118074710598E-10</v>
      </c>
      <c r="O16" s="1">
        <v>1.20002911567653E-13</v>
      </c>
      <c r="P16">
        <v>0</v>
      </c>
      <c r="R16">
        <v>8.2347417332945607</v>
      </c>
      <c r="S16">
        <v>1.8085311976879801</v>
      </c>
      <c r="T16">
        <v>51.413529168247003</v>
      </c>
      <c r="V16">
        <v>37.684451158612397</v>
      </c>
      <c r="X16">
        <v>0.85874674215794</v>
      </c>
      <c r="AJ16">
        <v>0</v>
      </c>
      <c r="AK16">
        <v>-8.0610870107934492E-3</v>
      </c>
      <c r="AL16">
        <v>0.72715879433484298</v>
      </c>
      <c r="AM16">
        <v>4.8122501084646399E-2</v>
      </c>
      <c r="AN16">
        <v>0.23277979159130299</v>
      </c>
    </row>
    <row r="17" spans="1:40" x14ac:dyDescent="0.2">
      <c r="A17">
        <v>115</v>
      </c>
      <c r="B17">
        <v>746</v>
      </c>
      <c r="C17">
        <v>225</v>
      </c>
      <c r="D17">
        <v>0.34832998086640898</v>
      </c>
      <c r="E17">
        <v>0.40913959478398598</v>
      </c>
      <c r="F17">
        <v>4.9320668147049496</v>
      </c>
      <c r="G17">
        <v>-2.750468052329472</v>
      </c>
      <c r="H17">
        <v>-2.0134072116348896</v>
      </c>
      <c r="I17">
        <v>0.72321134346718496</v>
      </c>
      <c r="J17">
        <v>0.36296239073704001</v>
      </c>
      <c r="K17">
        <v>8.2954998412458097E-2</v>
      </c>
      <c r="L17">
        <v>3.572631296645351E-5</v>
      </c>
      <c r="M17">
        <v>4.1585057506512008E-7</v>
      </c>
      <c r="N17" s="1">
        <v>1.6092806276566401E-9</v>
      </c>
      <c r="O17" s="1">
        <v>1.98310156524863E-13</v>
      </c>
      <c r="P17">
        <v>0</v>
      </c>
      <c r="R17">
        <v>9.2095268743710896</v>
      </c>
      <c r="S17">
        <v>1.7790111977351699</v>
      </c>
      <c r="T17">
        <v>49.646181789562299</v>
      </c>
      <c r="V17">
        <v>38.359503103931203</v>
      </c>
      <c r="X17">
        <v>1.00577703440008</v>
      </c>
      <c r="AJ17">
        <v>0</v>
      </c>
      <c r="AK17">
        <v>-1.6922048291450199E-2</v>
      </c>
      <c r="AL17">
        <v>0.70082742967306899</v>
      </c>
      <c r="AM17">
        <v>5.6254620166635398E-2</v>
      </c>
      <c r="AN17">
        <v>0.25983999845174399</v>
      </c>
    </row>
    <row r="18" spans="1:40" x14ac:dyDescent="0.2">
      <c r="A18">
        <v>116</v>
      </c>
      <c r="B18">
        <v>745</v>
      </c>
      <c r="C18">
        <v>225</v>
      </c>
      <c r="D18">
        <v>0.347621175661739</v>
      </c>
      <c r="E18">
        <v>0.44268737318385598</v>
      </c>
      <c r="F18">
        <v>4.9326326420130897</v>
      </c>
      <c r="G18">
        <v>-2.974475665845651</v>
      </c>
      <c r="H18">
        <v>-2.1782184179654012</v>
      </c>
      <c r="I18">
        <v>0.78206280791656402</v>
      </c>
      <c r="J18">
        <v>0.39273946350454297</v>
      </c>
      <c r="K18">
        <v>8.9746673898502202E-2</v>
      </c>
      <c r="L18">
        <v>3.5834086746794843E-5</v>
      </c>
      <c r="M18">
        <v>4.1725374373318736E-7</v>
      </c>
      <c r="N18" s="1">
        <v>1.7474959039676301E-9</v>
      </c>
      <c r="O18" s="1">
        <v>2.153997229478E-13</v>
      </c>
      <c r="P18">
        <v>0</v>
      </c>
      <c r="R18">
        <v>9.0692956737391093</v>
      </c>
      <c r="S18">
        <v>1.84302509282618</v>
      </c>
      <c r="T18">
        <v>49.837977790131902</v>
      </c>
      <c r="V18">
        <v>38.250595713547497</v>
      </c>
      <c r="X18">
        <v>0.99910572975524803</v>
      </c>
      <c r="AJ18">
        <v>0</v>
      </c>
      <c r="AK18">
        <v>-1.5131098497607E-2</v>
      </c>
      <c r="AL18">
        <v>0.70341795970480303</v>
      </c>
      <c r="AM18">
        <v>5.5872195024525999E-2</v>
      </c>
      <c r="AN18">
        <v>0.25584094376827698</v>
      </c>
    </row>
    <row r="19" spans="1:40" x14ac:dyDescent="0.2">
      <c r="A19">
        <v>125</v>
      </c>
      <c r="B19">
        <v>749</v>
      </c>
      <c r="C19">
        <v>210</v>
      </c>
      <c r="D19">
        <v>0.36659051998239101</v>
      </c>
      <c r="E19">
        <v>0.390884933163402</v>
      </c>
      <c r="F19">
        <v>4.93195656480402</v>
      </c>
      <c r="G19">
        <v>-2.6281090957961584</v>
      </c>
      <c r="H19">
        <v>-1.9209740062362617</v>
      </c>
      <c r="I19">
        <v>0.69181146559692397</v>
      </c>
      <c r="J19">
        <v>0.34685472619590701</v>
      </c>
      <c r="K19">
        <v>7.9255550617148202E-2</v>
      </c>
      <c r="L19">
        <v>3.6044313369059511E-5</v>
      </c>
      <c r="M19">
        <v>4.1933943378258168E-7</v>
      </c>
      <c r="N19" s="1">
        <v>1.54835723587774E-9</v>
      </c>
      <c r="O19" s="1">
        <v>1.9073198114364501E-13</v>
      </c>
      <c r="P19">
        <v>0</v>
      </c>
      <c r="R19">
        <v>9.0485086602392002</v>
      </c>
      <c r="S19">
        <v>1.7701672498297301</v>
      </c>
      <c r="T19">
        <v>49.978934796045401</v>
      </c>
      <c r="V19">
        <v>38.175163571333698</v>
      </c>
      <c r="X19">
        <v>1.0272257225519601</v>
      </c>
      <c r="AJ19">
        <v>0</v>
      </c>
      <c r="AK19">
        <v>-1.8317994232824299E-2</v>
      </c>
      <c r="AL19">
        <v>0.70555382533170297</v>
      </c>
      <c r="AM19">
        <v>5.74566478535838E-2</v>
      </c>
      <c r="AN19">
        <v>0.25530752104753701</v>
      </c>
    </row>
    <row r="20" spans="1:40" x14ac:dyDescent="0.2">
      <c r="A20">
        <v>126</v>
      </c>
      <c r="B20">
        <v>748</v>
      </c>
      <c r="C20">
        <v>210</v>
      </c>
      <c r="D20">
        <v>0.36590167947901903</v>
      </c>
      <c r="E20">
        <v>0.443361899859334</v>
      </c>
      <c r="F20">
        <v>4.9302040805467104</v>
      </c>
      <c r="G20">
        <v>-2.9856255509570673</v>
      </c>
      <c r="H20">
        <v>-2.1843570530119822</v>
      </c>
      <c r="I20">
        <v>0.78467267095439897</v>
      </c>
      <c r="J20">
        <v>0.39347133002647899</v>
      </c>
      <c r="K20">
        <v>8.9927697234425605E-2</v>
      </c>
      <c r="L20">
        <v>3.5827886262917649E-5</v>
      </c>
      <c r="M20">
        <v>4.1714101109466483E-7</v>
      </c>
      <c r="N20" s="1">
        <v>1.7469373553438799E-9</v>
      </c>
      <c r="O20" s="1">
        <v>2.15124697863197E-13</v>
      </c>
      <c r="P20">
        <v>0</v>
      </c>
      <c r="R20">
        <v>9.1707706141366607</v>
      </c>
      <c r="S20">
        <v>1.8110597597154201</v>
      </c>
      <c r="T20">
        <v>49.698617806544299</v>
      </c>
      <c r="V20">
        <v>38.285405326128298</v>
      </c>
      <c r="X20">
        <v>1.0341464934751801</v>
      </c>
      <c r="AJ20">
        <v>0</v>
      </c>
      <c r="AK20">
        <v>-1.7793903474042298E-2</v>
      </c>
      <c r="AL20">
        <v>0.70131846132448505</v>
      </c>
      <c r="AM20">
        <v>5.78208228943329E-2</v>
      </c>
      <c r="AN20">
        <v>0.25865461925522398</v>
      </c>
    </row>
    <row r="21" spans="1:40" x14ac:dyDescent="0.2">
      <c r="A21">
        <v>127</v>
      </c>
      <c r="B21">
        <v>747</v>
      </c>
      <c r="C21">
        <v>210</v>
      </c>
      <c r="D21">
        <v>0.36521148850659502</v>
      </c>
      <c r="E21">
        <v>0.45866474104253102</v>
      </c>
      <c r="F21">
        <v>4.9307155504312998</v>
      </c>
      <c r="G21">
        <v>-3.0872297587195185</v>
      </c>
      <c r="H21">
        <v>-2.2595812330673231</v>
      </c>
      <c r="I21">
        <v>0.81130081424515499</v>
      </c>
      <c r="J21">
        <v>0.40706547644114499</v>
      </c>
      <c r="K21">
        <v>9.3021943032672E-2</v>
      </c>
      <c r="L21">
        <v>3.5921599025430384E-5</v>
      </c>
      <c r="M21">
        <v>4.1838676885713933E-7</v>
      </c>
      <c r="N21" s="1">
        <v>1.81300521025352E-9</v>
      </c>
      <c r="O21" s="1">
        <v>2.23315801746349E-13</v>
      </c>
      <c r="P21">
        <v>0</v>
      </c>
      <c r="R21">
        <v>9.04446058086147</v>
      </c>
      <c r="S21">
        <v>1.8700559759601101</v>
      </c>
      <c r="T21">
        <v>49.869671262717603</v>
      </c>
      <c r="V21">
        <v>38.187916087807302</v>
      </c>
      <c r="X21">
        <v>1.02789609265344</v>
      </c>
      <c r="AJ21">
        <v>0</v>
      </c>
      <c r="AK21">
        <v>-1.6138030488440001E-2</v>
      </c>
      <c r="AL21">
        <v>0.70362304801928299</v>
      </c>
      <c r="AM21">
        <v>5.7462432991496101E-2</v>
      </c>
      <c r="AN21">
        <v>0.25505254947765998</v>
      </c>
    </row>
    <row r="22" spans="1:40" x14ac:dyDescent="0.2">
      <c r="A22">
        <v>134</v>
      </c>
      <c r="B22">
        <v>753</v>
      </c>
      <c r="C22">
        <v>195</v>
      </c>
      <c r="D22">
        <v>0.38541197680651201</v>
      </c>
      <c r="E22">
        <v>0.160662310373343</v>
      </c>
      <c r="F22">
        <v>4.9506862256378801</v>
      </c>
      <c r="G22">
        <v>-1.0645407211957496</v>
      </c>
      <c r="H22">
        <v>-0.77344001741971791</v>
      </c>
      <c r="I22">
        <v>0.28368240878626999</v>
      </c>
      <c r="J22">
        <v>0.14238668006806099</v>
      </c>
      <c r="K22">
        <v>3.2452533457145598E-2</v>
      </c>
      <c r="L22">
        <v>3.7778616417242705E-5</v>
      </c>
      <c r="M22">
        <v>4.3674979820926404E-7</v>
      </c>
      <c r="N22" s="1">
        <v>6.6570222845282297E-10</v>
      </c>
      <c r="O22" s="1">
        <v>8.2588337781037798E-14</v>
      </c>
      <c r="P22">
        <v>0</v>
      </c>
      <c r="R22">
        <v>7.5547259608691002</v>
      </c>
      <c r="S22">
        <v>1.83777255599033</v>
      </c>
      <c r="T22">
        <v>52.652272944216598</v>
      </c>
      <c r="V22">
        <v>37.169409001563402</v>
      </c>
      <c r="X22">
        <v>0.78581953736046894</v>
      </c>
      <c r="AJ22">
        <v>0</v>
      </c>
      <c r="AK22">
        <v>-3.33016559032541E-3</v>
      </c>
      <c r="AL22">
        <v>0.74546522199870902</v>
      </c>
      <c r="AM22">
        <v>4.4082308459071802E-2</v>
      </c>
      <c r="AN22">
        <v>0.213782635132544</v>
      </c>
    </row>
    <row r="23" spans="1:40" x14ac:dyDescent="0.2">
      <c r="A23">
        <v>135</v>
      </c>
      <c r="B23">
        <v>752</v>
      </c>
      <c r="C23">
        <v>195</v>
      </c>
      <c r="D23">
        <v>0.38474418377798603</v>
      </c>
      <c r="E23">
        <v>0.38480967744823102</v>
      </c>
      <c r="F23">
        <v>4.9327792112912299</v>
      </c>
      <c r="G23">
        <v>-2.5853934375447061</v>
      </c>
      <c r="H23">
        <v>-1.8864971070266887</v>
      </c>
      <c r="I23">
        <v>0.68175031021608201</v>
      </c>
      <c r="J23">
        <v>0.34154372133336403</v>
      </c>
      <c r="K23">
        <v>7.8010723968223394E-2</v>
      </c>
      <c r="L23">
        <v>3.6521925130504408E-5</v>
      </c>
      <c r="M23">
        <v>4.2459850726416693E-7</v>
      </c>
      <c r="N23" s="1">
        <v>1.5416472525085401E-9</v>
      </c>
      <c r="O23" s="1">
        <v>1.89888020119778E-13</v>
      </c>
      <c r="P23">
        <v>0</v>
      </c>
      <c r="R23">
        <v>8.7505842157871108</v>
      </c>
      <c r="S23">
        <v>1.7862053293143301</v>
      </c>
      <c r="T23">
        <v>50.543345811363999</v>
      </c>
      <c r="V23">
        <v>37.877356861351799</v>
      </c>
      <c r="X23">
        <v>1.0425077821826401</v>
      </c>
      <c r="AJ23">
        <v>0</v>
      </c>
      <c r="AK23">
        <v>-1.8819748190074301E-2</v>
      </c>
      <c r="AL23">
        <v>0.71358132514503103</v>
      </c>
      <c r="AM23">
        <v>5.8316310220974603E-2</v>
      </c>
      <c r="AN23">
        <v>0.24692211282406801</v>
      </c>
    </row>
    <row r="24" spans="1:40" x14ac:dyDescent="0.2">
      <c r="A24">
        <v>136</v>
      </c>
      <c r="B24">
        <v>751</v>
      </c>
      <c r="C24">
        <v>195</v>
      </c>
      <c r="D24">
        <v>0.38407508665723</v>
      </c>
      <c r="E24">
        <v>0.44788305509794002</v>
      </c>
      <c r="F24">
        <v>4.9277253084052797</v>
      </c>
      <c r="G24">
        <v>-3.0229171682528024</v>
      </c>
      <c r="H24">
        <v>-2.209628699741585</v>
      </c>
      <c r="I24">
        <v>0.79411069522161504</v>
      </c>
      <c r="J24">
        <v>0.39763058432614701</v>
      </c>
      <c r="K24">
        <v>9.0890426528844798E-2</v>
      </c>
      <c r="L24">
        <v>3.5837595546181031E-5</v>
      </c>
      <c r="M24">
        <v>4.1721223584787751E-7</v>
      </c>
      <c r="N24" s="1">
        <v>1.7623150262237501E-9</v>
      </c>
      <c r="O24" s="1">
        <v>2.1681094284600201E-13</v>
      </c>
      <c r="P24">
        <v>0</v>
      </c>
      <c r="R24">
        <v>9.2523206837536005</v>
      </c>
      <c r="S24">
        <v>1.79210056799579</v>
      </c>
      <c r="T24">
        <v>49.582563036071498</v>
      </c>
      <c r="V24">
        <v>38.303569392336897</v>
      </c>
      <c r="X24">
        <v>1.0694463198420401</v>
      </c>
      <c r="AJ24">
        <v>0</v>
      </c>
      <c r="AK24">
        <v>-2.0181687921639099E-2</v>
      </c>
      <c r="AL24">
        <v>0.69951054743566898</v>
      </c>
      <c r="AM24">
        <v>5.9779947406311297E-2</v>
      </c>
      <c r="AN24">
        <v>0.26089119307965702</v>
      </c>
    </row>
    <row r="25" spans="1:40" x14ac:dyDescent="0.2">
      <c r="A25">
        <v>137</v>
      </c>
      <c r="B25">
        <v>750</v>
      </c>
      <c r="C25">
        <v>195</v>
      </c>
      <c r="D25">
        <v>0.38340468162048602</v>
      </c>
      <c r="E25">
        <v>0.463835880937501</v>
      </c>
      <c r="F25">
        <v>4.9282806271905901</v>
      </c>
      <c r="G25">
        <v>-3.1290015181827457</v>
      </c>
      <c r="H25">
        <v>-2.2880445410363008</v>
      </c>
      <c r="I25">
        <v>0.821929313538039</v>
      </c>
      <c r="J25">
        <v>0.41180611821192598</v>
      </c>
      <c r="K25">
        <v>9.41171812291694E-2</v>
      </c>
      <c r="L25">
        <v>3.5936421651498266E-5</v>
      </c>
      <c r="M25">
        <v>4.1851297328386392E-7</v>
      </c>
      <c r="N25" s="1">
        <v>1.83116914005822E-9</v>
      </c>
      <c r="O25" s="1">
        <v>2.2534088453445399E-13</v>
      </c>
      <c r="P25">
        <v>0</v>
      </c>
      <c r="R25">
        <v>9.1222713564437292</v>
      </c>
      <c r="S25">
        <v>1.85092509568815</v>
      </c>
      <c r="T25">
        <v>49.760880909844602</v>
      </c>
      <c r="V25">
        <v>38.203013099970903</v>
      </c>
      <c r="X25">
        <v>1.0629095380525899</v>
      </c>
      <c r="AJ25">
        <v>0</v>
      </c>
      <c r="AK25">
        <v>-1.8513759463559501E-2</v>
      </c>
      <c r="AL25">
        <v>0.70192205867756996</v>
      </c>
      <c r="AM25">
        <v>5.9405735701370803E-2</v>
      </c>
      <c r="AN25">
        <v>0.257185965084618</v>
      </c>
    </row>
    <row r="26" spans="1:40" x14ac:dyDescent="0.2">
      <c r="A26">
        <v>147</v>
      </c>
      <c r="B26">
        <v>756</v>
      </c>
      <c r="C26">
        <v>180</v>
      </c>
      <c r="D26">
        <v>0.40344021765534699</v>
      </c>
      <c r="E26">
        <v>0.246654395023061</v>
      </c>
      <c r="F26">
        <v>4.9454924810945302</v>
      </c>
      <c r="G26">
        <v>-1.6410742812839512</v>
      </c>
      <c r="H26">
        <v>-1.1918162458445178</v>
      </c>
      <c r="I26">
        <v>0.43653309569978399</v>
      </c>
      <c r="J26">
        <v>0.218749203853944</v>
      </c>
      <c r="K26">
        <v>4.9874587003410298E-2</v>
      </c>
      <c r="L26">
        <v>3.7764917713594773E-5</v>
      </c>
      <c r="M26">
        <v>4.3695398331803229E-7</v>
      </c>
      <c r="N26" s="1">
        <v>1.0197736574977901E-9</v>
      </c>
      <c r="O26" s="1">
        <v>1.2623265354128001E-13</v>
      </c>
      <c r="P26">
        <v>0</v>
      </c>
      <c r="R26">
        <v>7.7034197598606404</v>
      </c>
      <c r="S26">
        <v>1.8323207978026901</v>
      </c>
      <c r="T26">
        <v>52.419787956741899</v>
      </c>
      <c r="V26">
        <v>37.169544027967603</v>
      </c>
      <c r="X26">
        <v>0.87492745762713597</v>
      </c>
      <c r="AJ26">
        <v>0</v>
      </c>
      <c r="AK26">
        <v>-8.4430512320843708E-3</v>
      </c>
      <c r="AL26">
        <v>0.74158389881940301</v>
      </c>
      <c r="AM26">
        <v>4.9042016804655399E-2</v>
      </c>
      <c r="AN26">
        <v>0.21781713560802499</v>
      </c>
    </row>
    <row r="27" spans="1:40" x14ac:dyDescent="0.2">
      <c r="A27">
        <v>148</v>
      </c>
      <c r="B27">
        <v>755</v>
      </c>
      <c r="C27">
        <v>180</v>
      </c>
      <c r="D27">
        <v>0.40279190779555302</v>
      </c>
      <c r="E27">
        <v>0.40953376864450902</v>
      </c>
      <c r="F27">
        <v>4.9298399186860102</v>
      </c>
      <c r="G27">
        <v>-2.7589642913282009</v>
      </c>
      <c r="H27">
        <v>-2.0115558798273123</v>
      </c>
      <c r="I27">
        <v>0.72694491222184299</v>
      </c>
      <c r="J27">
        <v>0.36364594870815597</v>
      </c>
      <c r="K27">
        <v>8.3072427380900496E-2</v>
      </c>
      <c r="L27">
        <v>3.6494686819270348E-5</v>
      </c>
      <c r="M27">
        <v>4.242568103027303E-7</v>
      </c>
      <c r="N27" s="1">
        <v>1.63687677617457E-9</v>
      </c>
      <c r="O27" s="1">
        <v>2.01413777014644E-13</v>
      </c>
      <c r="P27">
        <v>0</v>
      </c>
      <c r="R27">
        <v>8.8510058587878699</v>
      </c>
      <c r="S27">
        <v>1.7818615521560199</v>
      </c>
      <c r="T27">
        <v>50.374629194480903</v>
      </c>
      <c r="V27">
        <v>37.912944880530802</v>
      </c>
      <c r="X27">
        <v>1.07955851404434</v>
      </c>
      <c r="AJ27">
        <v>0</v>
      </c>
      <c r="AK27">
        <v>-2.09808978482449E-2</v>
      </c>
      <c r="AL27">
        <v>0.71094650046807495</v>
      </c>
      <c r="AM27">
        <v>6.0367402451835903E-2</v>
      </c>
      <c r="AN27">
        <v>0.249666994928333</v>
      </c>
    </row>
    <row r="28" spans="1:40" x14ac:dyDescent="0.2">
      <c r="A28">
        <v>149</v>
      </c>
      <c r="B28">
        <v>754</v>
      </c>
      <c r="C28">
        <v>180</v>
      </c>
      <c r="D28">
        <v>0.402142335588766</v>
      </c>
      <c r="E28">
        <v>0.45843232135154999</v>
      </c>
      <c r="F28">
        <v>4.9252275428029604</v>
      </c>
      <c r="G28">
        <v>-3.1012172966203511</v>
      </c>
      <c r="H28">
        <v>-2.2648254737650149</v>
      </c>
      <c r="I28">
        <v>0.81428401193139799</v>
      </c>
      <c r="J28">
        <v>0.40716196640751501</v>
      </c>
      <c r="K28">
        <v>9.3078404473198206E-2</v>
      </c>
      <c r="L28">
        <v>3.587345665547661E-5</v>
      </c>
      <c r="M28">
        <v>4.1758123561896524E-7</v>
      </c>
      <c r="N28" s="1">
        <v>1.8026842224044201E-9</v>
      </c>
      <c r="O28" s="1">
        <v>2.2156993326768801E-13</v>
      </c>
      <c r="P28">
        <v>0</v>
      </c>
      <c r="R28">
        <v>9.3034091901929905</v>
      </c>
      <c r="S28">
        <v>1.7904738225690899</v>
      </c>
      <c r="T28">
        <v>49.504879063841599</v>
      </c>
      <c r="V28">
        <v>38.296574864500698</v>
      </c>
      <c r="X28">
        <v>1.1046630588955599</v>
      </c>
      <c r="AJ28">
        <v>0</v>
      </c>
      <c r="AK28">
        <v>-2.2179333289380699E-2</v>
      </c>
      <c r="AL28">
        <v>0.69819908158236299</v>
      </c>
      <c r="AM28">
        <v>6.1729440969693398E-2</v>
      </c>
      <c r="AN28">
        <v>0.26225081073732298</v>
      </c>
    </row>
    <row r="29" spans="1:40" x14ac:dyDescent="0.2">
      <c r="A29">
        <v>150</v>
      </c>
      <c r="B29">
        <v>753</v>
      </c>
      <c r="C29">
        <v>180</v>
      </c>
      <c r="D29">
        <v>0.401491497344444</v>
      </c>
      <c r="E29">
        <v>0.47148551401134903</v>
      </c>
      <c r="F29">
        <v>4.9257974717218902</v>
      </c>
      <c r="G29">
        <v>-3.1878576328743096</v>
      </c>
      <c r="H29">
        <v>-2.3289756602441378</v>
      </c>
      <c r="I29">
        <v>0.83699456476165401</v>
      </c>
      <c r="J29">
        <v>0.41876666703847099</v>
      </c>
      <c r="K29">
        <v>9.5717600392233204E-2</v>
      </c>
      <c r="L29">
        <v>3.5971647399574987E-5</v>
      </c>
      <c r="M29">
        <v>4.1887296337988008E-7</v>
      </c>
      <c r="N29" s="1">
        <v>1.86015145472451E-9</v>
      </c>
      <c r="O29" s="1">
        <v>2.2869438910007398E-13</v>
      </c>
      <c r="P29">
        <v>0</v>
      </c>
      <c r="R29">
        <v>9.1749140468327504</v>
      </c>
      <c r="S29">
        <v>1.8476794724255201</v>
      </c>
      <c r="T29">
        <v>49.682056247132898</v>
      </c>
      <c r="V29">
        <v>38.197306018086103</v>
      </c>
      <c r="X29">
        <v>1.09804421552256</v>
      </c>
      <c r="AJ29">
        <v>0</v>
      </c>
      <c r="AK29">
        <v>-2.0542957486227299E-2</v>
      </c>
      <c r="AL29">
        <v>0.70059958795055399</v>
      </c>
      <c r="AM29">
        <v>6.1350963484821802E-2</v>
      </c>
      <c r="AN29">
        <v>0.25859240605084999</v>
      </c>
    </row>
    <row r="30" spans="1:40" x14ac:dyDescent="0.2">
      <c r="A30">
        <v>163</v>
      </c>
      <c r="B30">
        <v>759</v>
      </c>
      <c r="C30">
        <v>165</v>
      </c>
      <c r="D30">
        <v>0.42136365838299</v>
      </c>
      <c r="E30">
        <v>0.36129306706852499</v>
      </c>
      <c r="F30">
        <v>4.9351249283542602</v>
      </c>
      <c r="G30">
        <v>-2.4228172857396517</v>
      </c>
      <c r="H30">
        <v>-1.7606394654152766</v>
      </c>
      <c r="I30">
        <v>0.64155192590648102</v>
      </c>
      <c r="J30">
        <v>0.32080159499966099</v>
      </c>
      <c r="K30">
        <v>7.3208494681208894E-2</v>
      </c>
      <c r="L30">
        <v>3.7535035705302029E-5</v>
      </c>
      <c r="M30">
        <v>4.3537206641268969E-7</v>
      </c>
      <c r="N30" s="1">
        <v>1.4815533075844599E-9</v>
      </c>
      <c r="O30" s="1">
        <v>1.82549817312914E-13</v>
      </c>
      <c r="P30">
        <v>0</v>
      </c>
      <c r="R30">
        <v>8.1032896523851203</v>
      </c>
      <c r="S30">
        <v>1.8249524990674</v>
      </c>
      <c r="T30">
        <v>51.752839302949504</v>
      </c>
      <c r="V30">
        <v>37.265818269838697</v>
      </c>
      <c r="X30">
        <v>1.0531002757592101</v>
      </c>
      <c r="AJ30">
        <v>0</v>
      </c>
      <c r="AK30">
        <v>-1.85616720436792E-2</v>
      </c>
      <c r="AL30">
        <v>0.730900274261993</v>
      </c>
      <c r="AM30">
        <v>5.8928435844852703E-2</v>
      </c>
      <c r="AN30">
        <v>0.22873296193683301</v>
      </c>
    </row>
    <row r="31" spans="1:40" x14ac:dyDescent="0.2">
      <c r="A31">
        <v>164</v>
      </c>
      <c r="B31">
        <v>758</v>
      </c>
      <c r="C31">
        <v>165</v>
      </c>
      <c r="D31">
        <v>0.42073461669010398</v>
      </c>
      <c r="E31">
        <v>0.44976852801960199</v>
      </c>
      <c r="F31">
        <v>4.9238479086989901</v>
      </c>
      <c r="G31">
        <v>-3.0466204675960831</v>
      </c>
      <c r="H31">
        <v>-2.2212189437257983</v>
      </c>
      <c r="I31">
        <v>0.80046697752051998</v>
      </c>
      <c r="J31">
        <v>0.39961247483958201</v>
      </c>
      <c r="K31">
        <v>9.1344927048821606E-2</v>
      </c>
      <c r="L31">
        <v>3.6077996938078945E-5</v>
      </c>
      <c r="M31">
        <v>4.1961932812174303E-7</v>
      </c>
      <c r="N31" s="1">
        <v>1.77467639051644E-9</v>
      </c>
      <c r="O31" s="1">
        <v>2.1797405196471E-13</v>
      </c>
      <c r="P31">
        <v>0</v>
      </c>
      <c r="R31">
        <v>9.2551191886818902</v>
      </c>
      <c r="S31">
        <v>1.7693298500221899</v>
      </c>
      <c r="T31">
        <v>49.639584892445797</v>
      </c>
      <c r="V31">
        <v>38.200467951100002</v>
      </c>
      <c r="X31">
        <v>1.13549811775008</v>
      </c>
      <c r="AJ31">
        <v>0</v>
      </c>
      <c r="AK31">
        <v>-2.4367730051578801E-2</v>
      </c>
      <c r="AL31">
        <v>0.700048830030503</v>
      </c>
      <c r="AM31">
        <v>6.3447988091625607E-2</v>
      </c>
      <c r="AN31">
        <v>0.260870911929449</v>
      </c>
    </row>
    <row r="32" spans="1:40" x14ac:dyDescent="0.2">
      <c r="A32">
        <v>165</v>
      </c>
      <c r="B32">
        <v>757</v>
      </c>
      <c r="C32">
        <v>165</v>
      </c>
      <c r="D32">
        <v>0.42010435373489502</v>
      </c>
      <c r="E32">
        <v>0.47295131654698502</v>
      </c>
      <c r="F32">
        <v>4.9227218769652099</v>
      </c>
      <c r="G32">
        <v>-3.2068356750717162</v>
      </c>
      <c r="H32">
        <v>-2.339875501578021</v>
      </c>
      <c r="I32">
        <v>0.84158634518632702</v>
      </c>
      <c r="J32">
        <v>0.420247432189156</v>
      </c>
      <c r="K32">
        <v>9.6075164993589396E-2</v>
      </c>
      <c r="L32">
        <v>3.5942591841775765E-5</v>
      </c>
      <c r="M32">
        <v>4.1832674018644322E-7</v>
      </c>
      <c r="N32" s="1">
        <v>1.8603705373090799E-9</v>
      </c>
      <c r="O32" s="1">
        <v>2.28454199993174E-13</v>
      </c>
      <c r="P32">
        <v>0</v>
      </c>
      <c r="R32">
        <v>9.3161613489146404</v>
      </c>
      <c r="S32">
        <v>1.8100728824079499</v>
      </c>
      <c r="T32">
        <v>49.476060800342303</v>
      </c>
      <c r="V32">
        <v>38.258142930309297</v>
      </c>
      <c r="X32">
        <v>1.1395620380257101</v>
      </c>
      <c r="AJ32">
        <v>0</v>
      </c>
      <c r="AK32">
        <v>-2.36874462433816E-2</v>
      </c>
      <c r="AL32">
        <v>0.69752342904428499</v>
      </c>
      <c r="AM32">
        <v>6.3655055633526997E-2</v>
      </c>
      <c r="AN32">
        <v>0.26250896156556902</v>
      </c>
    </row>
    <row r="33" spans="1:40" x14ac:dyDescent="0.2">
      <c r="A33">
        <v>180</v>
      </c>
      <c r="B33">
        <v>764</v>
      </c>
      <c r="C33">
        <v>150</v>
      </c>
      <c r="D33">
        <v>0.44039965289495597</v>
      </c>
      <c r="E33">
        <v>0.189501465770987</v>
      </c>
      <c r="F33">
        <v>4.9492049316953004</v>
      </c>
      <c r="G33">
        <v>-1.2577712199490623</v>
      </c>
      <c r="H33">
        <v>-0.90906224801216695</v>
      </c>
      <c r="I33">
        <v>0.33621845628587399</v>
      </c>
      <c r="J33">
        <v>0.16808440833125601</v>
      </c>
      <c r="K33">
        <v>3.82892744160577E-2</v>
      </c>
      <c r="L33">
        <v>3.8648192606920776E-5</v>
      </c>
      <c r="M33">
        <v>4.4551635483972648E-7</v>
      </c>
      <c r="N33" s="1">
        <v>7.9845556823981804E-10</v>
      </c>
      <c r="O33" s="1">
        <v>9.8994674016631694E-14</v>
      </c>
      <c r="P33">
        <v>0</v>
      </c>
      <c r="R33">
        <v>7.1038489773584699</v>
      </c>
      <c r="S33">
        <v>1.86910163478477</v>
      </c>
      <c r="T33">
        <v>53.507130725603403</v>
      </c>
      <c r="V33">
        <v>36.694336527554498</v>
      </c>
      <c r="X33">
        <v>0.82558213469870201</v>
      </c>
      <c r="AJ33">
        <v>0</v>
      </c>
      <c r="AK33">
        <v>-4.8658326230782804E-3</v>
      </c>
      <c r="AL33">
        <v>0.75753886113599</v>
      </c>
      <c r="AM33">
        <v>4.6311066644925201E-2</v>
      </c>
      <c r="AN33">
        <v>0.201015904842162</v>
      </c>
    </row>
    <row r="34" spans="1:40" x14ac:dyDescent="0.2">
      <c r="A34">
        <v>181</v>
      </c>
      <c r="B34">
        <v>763</v>
      </c>
      <c r="C34">
        <v>150</v>
      </c>
      <c r="D34">
        <v>0.43979201853014099</v>
      </c>
      <c r="E34">
        <v>0.37303067221785202</v>
      </c>
      <c r="F34">
        <v>4.9334333334875602</v>
      </c>
      <c r="G34">
        <v>-2.5054024184054007</v>
      </c>
      <c r="H34">
        <v>-1.8176869763502892</v>
      </c>
      <c r="I34">
        <v>0.66372189553164196</v>
      </c>
      <c r="J34">
        <v>0.33136662503651099</v>
      </c>
      <c r="K34">
        <v>7.5612792755455599E-2</v>
      </c>
      <c r="L34">
        <v>3.7767436317730541E-5</v>
      </c>
      <c r="M34">
        <v>4.3770970370738146E-7</v>
      </c>
      <c r="N34" s="1">
        <v>1.53578831432515E-9</v>
      </c>
      <c r="O34" s="1">
        <v>1.8910225179523899E-13</v>
      </c>
      <c r="P34">
        <v>0</v>
      </c>
      <c r="R34">
        <v>8.0175735675565498</v>
      </c>
      <c r="S34">
        <v>1.8350804655309301</v>
      </c>
      <c r="T34">
        <v>51.9235723183101</v>
      </c>
      <c r="V34">
        <v>37.138804475685603</v>
      </c>
      <c r="X34">
        <v>1.0849691729166699</v>
      </c>
      <c r="AJ34">
        <v>0</v>
      </c>
      <c r="AK34">
        <v>-2.0116598927868001E-2</v>
      </c>
      <c r="AL34">
        <v>0.73315334434502299</v>
      </c>
      <c r="AM34">
        <v>6.0698631321102002E-2</v>
      </c>
      <c r="AN34">
        <v>0.22626462326174199</v>
      </c>
    </row>
    <row r="35" spans="1:40" x14ac:dyDescent="0.2">
      <c r="A35">
        <v>182</v>
      </c>
      <c r="B35">
        <v>762</v>
      </c>
      <c r="C35">
        <v>150</v>
      </c>
      <c r="D35">
        <v>0.439183210162781</v>
      </c>
      <c r="E35">
        <v>0.45265298435147899</v>
      </c>
      <c r="F35">
        <v>4.9228739642078398</v>
      </c>
      <c r="G35">
        <v>-3.0691353075502152</v>
      </c>
      <c r="H35">
        <v>-2.233667831673082</v>
      </c>
      <c r="I35">
        <v>0.80709798181629</v>
      </c>
      <c r="J35">
        <v>0.40234027099582897</v>
      </c>
      <c r="K35">
        <v>9.1948928134770305E-2</v>
      </c>
      <c r="L35">
        <v>3.6386922538656179E-5</v>
      </c>
      <c r="M35">
        <v>4.2281289796136121E-7</v>
      </c>
      <c r="N35" s="1">
        <v>1.7973266107126099E-9</v>
      </c>
      <c r="O35" s="1">
        <v>2.20642396658244E-13</v>
      </c>
      <c r="P35">
        <v>0</v>
      </c>
      <c r="R35">
        <v>9.1054877495480806</v>
      </c>
      <c r="S35">
        <v>1.78288958411785</v>
      </c>
      <c r="T35">
        <v>49.927059058646002</v>
      </c>
      <c r="V35">
        <v>38.021987562719403</v>
      </c>
      <c r="X35">
        <v>1.16257604496855</v>
      </c>
      <c r="AJ35">
        <v>0</v>
      </c>
      <c r="AK35">
        <v>-2.5577776173495902E-2</v>
      </c>
      <c r="AL35">
        <v>0.70400720376123405</v>
      </c>
      <c r="AM35">
        <v>6.49521800052726E-2</v>
      </c>
      <c r="AN35">
        <v>0.25661839240698803</v>
      </c>
    </row>
    <row r="36" spans="1:40" x14ac:dyDescent="0.2">
      <c r="A36">
        <v>183</v>
      </c>
      <c r="B36">
        <v>761</v>
      </c>
      <c r="C36">
        <v>150</v>
      </c>
      <c r="D36">
        <v>0.43857322438717999</v>
      </c>
      <c r="E36">
        <v>0.47936420456794399</v>
      </c>
      <c r="F36">
        <v>4.9195929054585399</v>
      </c>
      <c r="G36">
        <v>-3.2597417350573665</v>
      </c>
      <c r="H36">
        <v>-2.375526005259665</v>
      </c>
      <c r="I36">
        <v>0.85501690257477203</v>
      </c>
      <c r="J36">
        <v>0.42615333889811102</v>
      </c>
      <c r="K36">
        <v>9.7439811338060997E-2</v>
      </c>
      <c r="L36">
        <v>3.5951856294081955E-5</v>
      </c>
      <c r="M36">
        <v>4.1821752679283879E-7</v>
      </c>
      <c r="N36" s="1">
        <v>1.88204782025375E-9</v>
      </c>
      <c r="O36" s="1">
        <v>2.3085352773650798E-13</v>
      </c>
      <c r="P36">
        <v>0</v>
      </c>
      <c r="R36">
        <v>9.4107291650954998</v>
      </c>
      <c r="S36">
        <v>1.8007087941097899</v>
      </c>
      <c r="T36">
        <v>49.326843040498503</v>
      </c>
      <c r="V36">
        <v>38.2808484655881</v>
      </c>
      <c r="X36">
        <v>1.1808705347080299</v>
      </c>
      <c r="AJ36">
        <v>0</v>
      </c>
      <c r="AK36">
        <v>-2.6192393699623399E-2</v>
      </c>
      <c r="AL36">
        <v>0.69517346462523399</v>
      </c>
      <c r="AM36">
        <v>6.5939157674013094E-2</v>
      </c>
      <c r="AN36">
        <v>0.26507977140037497</v>
      </c>
    </row>
    <row r="37" spans="1:40" x14ac:dyDescent="0.2">
      <c r="A37">
        <v>200</v>
      </c>
      <c r="B37">
        <v>769</v>
      </c>
      <c r="C37">
        <v>135</v>
      </c>
      <c r="D37">
        <v>0.45925298661421299</v>
      </c>
      <c r="E37">
        <v>0.13590502362499701</v>
      </c>
      <c r="F37">
        <v>4.9518250372604697</v>
      </c>
      <c r="G37">
        <v>-0.90040360167668487</v>
      </c>
      <c r="H37">
        <v>-0.64874992973060075</v>
      </c>
      <c r="I37">
        <v>0.241475480445314</v>
      </c>
      <c r="J37">
        <v>0.12054638409745699</v>
      </c>
      <c r="K37">
        <v>2.7445441347860099E-2</v>
      </c>
      <c r="L37">
        <v>3.9205624014305989E-5</v>
      </c>
      <c r="M37">
        <v>4.5074360307564816E-7</v>
      </c>
      <c r="N37" s="1">
        <v>5.7939685866596701E-10</v>
      </c>
      <c r="O37" s="1">
        <v>7.1919498805163303E-14</v>
      </c>
      <c r="P37">
        <v>0</v>
      </c>
      <c r="R37">
        <v>6.7141203074136202</v>
      </c>
      <c r="S37">
        <v>1.8988889160869999</v>
      </c>
      <c r="T37">
        <v>54.203027967831403</v>
      </c>
      <c r="V37">
        <v>36.3978243553033</v>
      </c>
      <c r="X37">
        <v>0.78613845336456001</v>
      </c>
      <c r="AJ37">
        <v>0</v>
      </c>
      <c r="AK37">
        <v>-1.9937652522063502E-3</v>
      </c>
      <c r="AL37">
        <v>0.76778677393365202</v>
      </c>
      <c r="AM37">
        <v>4.4121204678878798E-2</v>
      </c>
      <c r="AN37">
        <v>0.19008578663967499</v>
      </c>
    </row>
    <row r="38" spans="1:40" x14ac:dyDescent="0.2">
      <c r="A38">
        <v>201</v>
      </c>
      <c r="B38">
        <v>768</v>
      </c>
      <c r="C38">
        <v>135</v>
      </c>
      <c r="D38">
        <v>0.45866637852374798</v>
      </c>
      <c r="E38">
        <v>0.34172931556538999</v>
      </c>
      <c r="F38">
        <v>4.9363939810719204</v>
      </c>
      <c r="G38">
        <v>-2.2911254798947458</v>
      </c>
      <c r="H38">
        <v>-1.6571254214442126</v>
      </c>
      <c r="I38">
        <v>0.60894209138984101</v>
      </c>
      <c r="J38">
        <v>0.30356879326869701</v>
      </c>
      <c r="K38">
        <v>6.9226507623928402E-2</v>
      </c>
      <c r="L38">
        <v>3.8247832021637644E-5</v>
      </c>
      <c r="M38">
        <v>4.419982838123366E-7</v>
      </c>
      <c r="N38" s="1">
        <v>1.42133462165593E-9</v>
      </c>
      <c r="O38" s="1">
        <v>1.75276776647342E-13</v>
      </c>
      <c r="P38">
        <v>0</v>
      </c>
      <c r="R38">
        <v>7.6744023862679498</v>
      </c>
      <c r="S38">
        <v>1.8544231162057601</v>
      </c>
      <c r="T38">
        <v>52.535702958949301</v>
      </c>
      <c r="V38">
        <v>36.901407828454197</v>
      </c>
      <c r="X38">
        <v>1.0340637101226899</v>
      </c>
      <c r="AJ38">
        <v>0</v>
      </c>
      <c r="AK38">
        <v>-1.6851278613158601E-2</v>
      </c>
      <c r="AL38">
        <v>0.74225206972359503</v>
      </c>
      <c r="AM38">
        <v>5.78862492477503E-2</v>
      </c>
      <c r="AN38">
        <v>0.216712959641813</v>
      </c>
    </row>
    <row r="39" spans="1:40" x14ac:dyDescent="0.2">
      <c r="A39">
        <v>202</v>
      </c>
      <c r="B39">
        <v>767</v>
      </c>
      <c r="C39">
        <v>135</v>
      </c>
      <c r="D39">
        <v>0.45807864250348701</v>
      </c>
      <c r="E39">
        <v>0.436257841015254</v>
      </c>
      <c r="F39">
        <v>4.9246537114621898</v>
      </c>
      <c r="G39">
        <v>-2.9534800315979788</v>
      </c>
      <c r="H39">
        <v>-2.1430917930322817</v>
      </c>
      <c r="I39">
        <v>0.77910708894457203</v>
      </c>
      <c r="J39">
        <v>0.38788903967941302</v>
      </c>
      <c r="K39">
        <v>8.8586501016276298E-2</v>
      </c>
      <c r="L39">
        <v>3.7129723493346094E-5</v>
      </c>
      <c r="M39">
        <v>4.3058039164942659E-7</v>
      </c>
      <c r="N39" s="1">
        <v>1.76245894902373E-9</v>
      </c>
      <c r="O39" s="1">
        <v>2.1641630070711501E-13</v>
      </c>
      <c r="P39">
        <v>0</v>
      </c>
      <c r="R39">
        <v>8.6320815658044108</v>
      </c>
      <c r="S39">
        <v>1.81285641116341</v>
      </c>
      <c r="T39">
        <v>50.811162363720797</v>
      </c>
      <c r="V39">
        <v>37.570906243170299</v>
      </c>
      <c r="X39">
        <v>1.1729934161408899</v>
      </c>
      <c r="AJ39">
        <v>0</v>
      </c>
      <c r="AK39">
        <v>-2.5503429177603999E-2</v>
      </c>
      <c r="AL39">
        <v>0.71662678589971196</v>
      </c>
      <c r="AM39">
        <v>6.5548193219830297E-2</v>
      </c>
      <c r="AN39">
        <v>0.24332845005806</v>
      </c>
    </row>
    <row r="40" spans="1:40" x14ac:dyDescent="0.2">
      <c r="A40">
        <v>203</v>
      </c>
      <c r="B40">
        <v>766</v>
      </c>
      <c r="C40">
        <v>135</v>
      </c>
      <c r="D40">
        <v>0.45748977529712298</v>
      </c>
      <c r="E40">
        <v>0.47780756326269902</v>
      </c>
      <c r="F40">
        <v>4.91748441578111</v>
      </c>
      <c r="G40">
        <v>-3.2557642772420028</v>
      </c>
      <c r="H40">
        <v>-2.3679059134971725</v>
      </c>
      <c r="I40">
        <v>0.85440827959854604</v>
      </c>
      <c r="J40">
        <v>0.42497700564249002</v>
      </c>
      <c r="K40">
        <v>9.7165038638318199E-2</v>
      </c>
      <c r="L40">
        <v>3.6142531071236148E-5</v>
      </c>
      <c r="M40">
        <v>4.1991673897665465E-7</v>
      </c>
      <c r="N40" s="1">
        <v>1.8807410605676399E-9</v>
      </c>
      <c r="O40" s="1">
        <v>2.3049179033332198E-13</v>
      </c>
      <c r="P40">
        <v>0</v>
      </c>
      <c r="R40">
        <v>9.3845125028610799</v>
      </c>
      <c r="S40">
        <v>1.7897568638111201</v>
      </c>
      <c r="T40">
        <v>49.409999319226003</v>
      </c>
      <c r="V40">
        <v>38.198400031938299</v>
      </c>
      <c r="X40">
        <v>1.2173312821634099</v>
      </c>
      <c r="AJ40">
        <v>0</v>
      </c>
      <c r="AK40">
        <v>-2.8464624339437999E-2</v>
      </c>
      <c r="AL40">
        <v>0.69621191716410802</v>
      </c>
      <c r="AM40">
        <v>6.7962075135928501E-2</v>
      </c>
      <c r="AN40">
        <v>0.26429063203940101</v>
      </c>
    </row>
    <row r="41" spans="1:40" x14ac:dyDescent="0.2">
      <c r="A41">
        <v>204</v>
      </c>
      <c r="B41">
        <v>765</v>
      </c>
      <c r="C41">
        <v>135</v>
      </c>
      <c r="D41">
        <v>0.45689977363579698</v>
      </c>
      <c r="E41">
        <v>0.49111468266367903</v>
      </c>
      <c r="F41">
        <v>4.9164621196756499</v>
      </c>
      <c r="G41">
        <v>-3.3494132761953264</v>
      </c>
      <c r="H41">
        <v>-2.4378770251395268</v>
      </c>
      <c r="I41">
        <v>0.87803906088310901</v>
      </c>
      <c r="J41">
        <v>0.43684524385211199</v>
      </c>
      <c r="K41">
        <v>9.9891887847206401E-2</v>
      </c>
      <c r="L41">
        <v>3.601659208066381E-5</v>
      </c>
      <c r="M41">
        <v>4.1873388325473515E-7</v>
      </c>
      <c r="N41" s="1">
        <v>1.9276108422742501E-9</v>
      </c>
      <c r="O41" s="1">
        <v>2.3618954177438302E-13</v>
      </c>
      <c r="P41">
        <v>0</v>
      </c>
      <c r="R41">
        <v>9.44094263224288</v>
      </c>
      <c r="S41">
        <v>1.8269530959276301</v>
      </c>
      <c r="T41">
        <v>49.259517311715001</v>
      </c>
      <c r="V41">
        <v>38.251246332613398</v>
      </c>
      <c r="X41">
        <v>1.2213406275010601</v>
      </c>
      <c r="AJ41">
        <v>0</v>
      </c>
      <c r="AK41">
        <v>-2.78595206094082E-2</v>
      </c>
      <c r="AL41">
        <v>0.69389052185837097</v>
      </c>
      <c r="AM41">
        <v>6.8166163370086699E-2</v>
      </c>
      <c r="AN41">
        <v>0.26580283538094901</v>
      </c>
    </row>
    <row r="42" spans="1:40" x14ac:dyDescent="0.2">
      <c r="A42">
        <v>225</v>
      </c>
      <c r="B42">
        <v>774</v>
      </c>
      <c r="C42">
        <v>120</v>
      </c>
      <c r="D42">
        <v>0.47792627608270499</v>
      </c>
      <c r="E42">
        <v>0.28722569252947</v>
      </c>
      <c r="F42">
        <v>4.9407108282736596</v>
      </c>
      <c r="G42">
        <v>-1.9203317933362598</v>
      </c>
      <c r="H42">
        <v>-1.3835264536761156</v>
      </c>
      <c r="I42">
        <v>0.51263461744749494</v>
      </c>
      <c r="J42">
        <v>0.25512940651645399</v>
      </c>
      <c r="K42">
        <v>5.8134487629957203E-2</v>
      </c>
      <c r="L42">
        <v>3.8873542060807473E-5</v>
      </c>
      <c r="M42">
        <v>4.4749835024633486E-7</v>
      </c>
      <c r="N42" s="1">
        <v>1.2106614230190901E-9</v>
      </c>
      <c r="O42" s="1">
        <v>1.4961849618128901E-13</v>
      </c>
      <c r="P42">
        <v>0</v>
      </c>
      <c r="R42">
        <v>7.2100471757837896</v>
      </c>
      <c r="S42">
        <v>1.8855442930770601</v>
      </c>
      <c r="T42">
        <v>53.354911843266997</v>
      </c>
      <c r="V42">
        <v>36.590365638670598</v>
      </c>
      <c r="X42">
        <v>0.95913104920146997</v>
      </c>
      <c r="AJ42">
        <v>0</v>
      </c>
      <c r="AK42">
        <v>-1.1978118906609599E-2</v>
      </c>
      <c r="AL42">
        <v>0.75446742026558899</v>
      </c>
      <c r="AM42">
        <v>5.37372302332072E-2</v>
      </c>
      <c r="AN42">
        <v>0.20377346840781299</v>
      </c>
    </row>
    <row r="43" spans="1:40" x14ac:dyDescent="0.2">
      <c r="A43">
        <v>226</v>
      </c>
      <c r="B43">
        <v>773</v>
      </c>
      <c r="C43">
        <v>120</v>
      </c>
      <c r="D43">
        <v>0.47736032117765198</v>
      </c>
      <c r="E43">
        <v>0.40353931106306901</v>
      </c>
      <c r="F43">
        <v>4.92773819464451</v>
      </c>
      <c r="G43">
        <v>-2.7239213833956146</v>
      </c>
      <c r="H43">
        <v>-1.9687985988938208</v>
      </c>
      <c r="I43">
        <v>0.72181119772670599</v>
      </c>
      <c r="J43">
        <v>0.35889666199714798</v>
      </c>
      <c r="K43">
        <v>8.1891386093043098E-2</v>
      </c>
      <c r="L43">
        <v>3.8208495488438972E-5</v>
      </c>
      <c r="M43">
        <v>4.4188204818076414E-7</v>
      </c>
      <c r="N43" s="1">
        <v>1.67171424952392E-9</v>
      </c>
      <c r="O43" s="1">
        <v>2.0538448707750099E-13</v>
      </c>
      <c r="P43">
        <v>0</v>
      </c>
      <c r="R43">
        <v>7.9181400505672199</v>
      </c>
      <c r="S43">
        <v>1.86616577771667</v>
      </c>
      <c r="T43">
        <v>52.130776766337199</v>
      </c>
      <c r="V43">
        <v>36.903911232833103</v>
      </c>
      <c r="X43">
        <v>1.1810061725457299</v>
      </c>
      <c r="AJ43">
        <v>0</v>
      </c>
      <c r="AK43">
        <v>-2.4781953632985802E-2</v>
      </c>
      <c r="AL43">
        <v>0.73548549430714105</v>
      </c>
      <c r="AM43">
        <v>6.6018146450434703E-2</v>
      </c>
      <c r="AN43">
        <v>0.223278312875409</v>
      </c>
    </row>
    <row r="44" spans="1:40" x14ac:dyDescent="0.2">
      <c r="A44">
        <v>227</v>
      </c>
      <c r="B44">
        <v>772</v>
      </c>
      <c r="C44">
        <v>120</v>
      </c>
      <c r="D44">
        <v>0.47679328326077502</v>
      </c>
      <c r="E44">
        <v>0.46204508373386</v>
      </c>
      <c r="F44">
        <v>4.9192968514320397</v>
      </c>
      <c r="G44">
        <v>-3.1438003926645068</v>
      </c>
      <c r="H44">
        <v>-2.2785313910028262</v>
      </c>
      <c r="I44">
        <v>0.82788977817699005</v>
      </c>
      <c r="J44">
        <v>0.41111787138595601</v>
      </c>
      <c r="K44">
        <v>9.3925025809197801E-2</v>
      </c>
      <c r="L44">
        <v>3.6939278058986697E-5</v>
      </c>
      <c r="M44">
        <v>4.2807254189319947E-7</v>
      </c>
      <c r="N44" s="1">
        <v>1.8524593493323199E-9</v>
      </c>
      <c r="O44" s="1">
        <v>2.2709469871287799E-13</v>
      </c>
      <c r="P44">
        <v>0</v>
      </c>
      <c r="R44">
        <v>8.8863403844977693</v>
      </c>
      <c r="S44">
        <v>1.8193493025655101</v>
      </c>
      <c r="T44">
        <v>50.342531346839301</v>
      </c>
      <c r="V44">
        <v>37.723681455250002</v>
      </c>
      <c r="X44">
        <v>1.22809751084727</v>
      </c>
      <c r="AJ44">
        <v>0</v>
      </c>
      <c r="AK44">
        <v>-2.8419355626289101E-2</v>
      </c>
      <c r="AL44">
        <v>0.70951979593918602</v>
      </c>
      <c r="AM44">
        <v>6.85793812811233E-2</v>
      </c>
      <c r="AN44">
        <v>0.25032017840597898</v>
      </c>
    </row>
    <row r="45" spans="1:40" x14ac:dyDescent="0.2">
      <c r="A45">
        <v>228</v>
      </c>
      <c r="B45">
        <v>771</v>
      </c>
      <c r="C45">
        <v>120</v>
      </c>
      <c r="D45">
        <v>0.47622515922041903</v>
      </c>
      <c r="E45">
        <v>0.49019882586725799</v>
      </c>
      <c r="F45">
        <v>4.9136910687792303</v>
      </c>
      <c r="G45">
        <v>-3.3521203692542043</v>
      </c>
      <c r="H45">
        <v>-2.4341827418035757</v>
      </c>
      <c r="I45">
        <v>0.87912429004513504</v>
      </c>
      <c r="J45">
        <v>0.43628065220901202</v>
      </c>
      <c r="K45">
        <v>9.9761832603172701E-2</v>
      </c>
      <c r="L45">
        <v>3.617624733878813E-5</v>
      </c>
      <c r="M45">
        <v>4.1990314356938573E-7</v>
      </c>
      <c r="N45" s="1">
        <v>1.9263192019291599E-9</v>
      </c>
      <c r="O45" s="1">
        <v>2.3577946536666401E-13</v>
      </c>
      <c r="P45">
        <v>0</v>
      </c>
      <c r="R45">
        <v>9.45967549978762</v>
      </c>
      <c r="S45">
        <v>1.8101747296744699</v>
      </c>
      <c r="T45">
        <v>49.265865685556903</v>
      </c>
      <c r="V45">
        <v>38.200742654985099</v>
      </c>
      <c r="X45">
        <v>1.2635414299957</v>
      </c>
      <c r="AJ45">
        <v>0</v>
      </c>
      <c r="AK45">
        <v>-3.05774815289626E-2</v>
      </c>
      <c r="AL45">
        <v>0.69380880728209504</v>
      </c>
      <c r="AM45">
        <v>7.0504107643812999E-2</v>
      </c>
      <c r="AN45">
        <v>0.26626456660305398</v>
      </c>
    </row>
    <row r="46" spans="1:40" x14ac:dyDescent="0.2">
      <c r="A46">
        <v>252</v>
      </c>
      <c r="B46">
        <v>781</v>
      </c>
      <c r="C46">
        <v>105</v>
      </c>
      <c r="D46">
        <v>0.49751031636863902</v>
      </c>
      <c r="E46">
        <v>0.25331946248852899</v>
      </c>
      <c r="F46">
        <v>4.9421088646492901</v>
      </c>
      <c r="G46">
        <v>-1.692693557600758</v>
      </c>
      <c r="H46">
        <v>-1.21486909886602</v>
      </c>
      <c r="I46">
        <v>0.45327938029192899</v>
      </c>
      <c r="J46">
        <v>0.22506367201638</v>
      </c>
      <c r="K46">
        <v>5.1257361872481803E-2</v>
      </c>
      <c r="L46">
        <v>3.9409041358600547E-5</v>
      </c>
      <c r="M46">
        <v>4.5205506423973047E-7</v>
      </c>
      <c r="N46" s="1">
        <v>1.0786709241426801E-9</v>
      </c>
      <c r="O46" s="1">
        <v>1.33433814567205E-13</v>
      </c>
      <c r="P46">
        <v>0</v>
      </c>
      <c r="R46">
        <v>6.8709086164312598</v>
      </c>
      <c r="S46">
        <v>1.9204159921364601</v>
      </c>
      <c r="T46">
        <v>53.952273530989402</v>
      </c>
      <c r="V46">
        <v>36.327293244913498</v>
      </c>
      <c r="X46">
        <v>0.92910861552927804</v>
      </c>
      <c r="AJ46">
        <v>0</v>
      </c>
      <c r="AK46">
        <v>-9.5272321262134998E-3</v>
      </c>
      <c r="AL46">
        <v>0.76319343114601601</v>
      </c>
      <c r="AM46">
        <v>5.2074199697819103E-2</v>
      </c>
      <c r="AN46">
        <v>0.19425960128237801</v>
      </c>
    </row>
    <row r="47" spans="1:40" x14ac:dyDescent="0.2">
      <c r="A47">
        <v>253</v>
      </c>
      <c r="B47">
        <v>780</v>
      </c>
      <c r="C47">
        <v>105</v>
      </c>
      <c r="D47">
        <v>0.49696671889094501</v>
      </c>
      <c r="E47">
        <v>0.37820870216042102</v>
      </c>
      <c r="F47">
        <v>4.9296777906865499</v>
      </c>
      <c r="G47">
        <v>-2.5509987812366819</v>
      </c>
      <c r="H47">
        <v>-1.8367298563023713</v>
      </c>
      <c r="I47">
        <v>0.67822145462119299</v>
      </c>
      <c r="J47">
        <v>0.33644044044593202</v>
      </c>
      <c r="K47">
        <v>7.6720775316179102E-2</v>
      </c>
      <c r="L47">
        <v>3.8706901063090032E-5</v>
      </c>
      <c r="M47">
        <v>4.4595017232317121E-7</v>
      </c>
      <c r="N47" s="1">
        <v>1.58182094297343E-9</v>
      </c>
      <c r="O47" s="1">
        <v>1.94597716683146E-13</v>
      </c>
      <c r="P47">
        <v>0</v>
      </c>
      <c r="R47">
        <v>7.5935295872205302</v>
      </c>
      <c r="S47">
        <v>1.8945035952951601</v>
      </c>
      <c r="T47">
        <v>52.700972510718799</v>
      </c>
      <c r="V47">
        <v>36.672622540406799</v>
      </c>
      <c r="X47">
        <v>1.13837176635856</v>
      </c>
      <c r="AJ47">
        <v>0</v>
      </c>
      <c r="AK47">
        <v>-2.17830351791472E-2</v>
      </c>
      <c r="AL47">
        <v>0.74388916605414301</v>
      </c>
      <c r="AM47">
        <v>6.3665618693325293E-2</v>
      </c>
      <c r="AN47">
        <v>0.21422825043167701</v>
      </c>
    </row>
    <row r="48" spans="1:40" x14ac:dyDescent="0.2">
      <c r="A48">
        <v>254</v>
      </c>
      <c r="B48">
        <v>779</v>
      </c>
      <c r="C48">
        <v>105</v>
      </c>
      <c r="D48">
        <v>0.49642208810530802</v>
      </c>
      <c r="E48">
        <v>0.44677297813080002</v>
      </c>
      <c r="F48">
        <v>4.9201908940580399</v>
      </c>
      <c r="G48">
        <v>-3.0379045043233206</v>
      </c>
      <c r="H48">
        <v>-2.1934503672183241</v>
      </c>
      <c r="I48">
        <v>0.80259861911799202</v>
      </c>
      <c r="J48">
        <v>0.39772073302629701</v>
      </c>
      <c r="K48">
        <v>9.0803992721167306E-2</v>
      </c>
      <c r="L48">
        <v>3.7710985375737071E-5</v>
      </c>
      <c r="M48">
        <v>4.3572142500054646E-7</v>
      </c>
      <c r="N48" s="1">
        <v>1.8216287199659699E-9</v>
      </c>
      <c r="O48" s="1">
        <v>2.2334186717670899E-13</v>
      </c>
      <c r="P48">
        <v>0</v>
      </c>
      <c r="R48">
        <v>8.4207208731571104</v>
      </c>
      <c r="S48">
        <v>1.8592195981453301</v>
      </c>
      <c r="T48">
        <v>51.203028756474502</v>
      </c>
      <c r="V48">
        <v>37.2728347014938</v>
      </c>
      <c r="X48">
        <v>1.24419607072911</v>
      </c>
      <c r="AJ48">
        <v>0</v>
      </c>
      <c r="AK48">
        <v>-2.84413198050169E-2</v>
      </c>
      <c r="AL48">
        <v>0.72172565644033304</v>
      </c>
      <c r="AM48">
        <v>6.9485880044146298E-2</v>
      </c>
      <c r="AN48">
        <v>0.23722978332053599</v>
      </c>
    </row>
    <row r="49" spans="1:40" x14ac:dyDescent="0.2">
      <c r="A49">
        <v>255</v>
      </c>
      <c r="B49">
        <v>778</v>
      </c>
      <c r="C49">
        <v>105</v>
      </c>
      <c r="D49">
        <v>0.49587642106264601</v>
      </c>
      <c r="E49">
        <v>0.48139984536535901</v>
      </c>
      <c r="F49">
        <v>4.9139423452728996</v>
      </c>
      <c r="G49">
        <v>-3.292073712970053</v>
      </c>
      <c r="H49">
        <v>-2.382033997536515</v>
      </c>
      <c r="I49">
        <v>0.86575628162825202</v>
      </c>
      <c r="J49">
        <v>0.42868560471454797</v>
      </c>
      <c r="K49">
        <v>9.7966115908635701E-2</v>
      </c>
      <c r="L49">
        <v>3.6835170753969411E-5</v>
      </c>
      <c r="M49">
        <v>4.2634308864063015E-7</v>
      </c>
      <c r="N49" s="1">
        <v>1.9188462060576499E-9</v>
      </c>
      <c r="O49" s="1">
        <v>2.3484570176258698E-13</v>
      </c>
      <c r="P49">
        <v>0</v>
      </c>
      <c r="R49">
        <v>9.0838069270101105</v>
      </c>
      <c r="S49">
        <v>1.8400488550274301</v>
      </c>
      <c r="T49">
        <v>49.967667401487802</v>
      </c>
      <c r="V49">
        <v>37.823689207261602</v>
      </c>
      <c r="X49">
        <v>1.2847876092129999</v>
      </c>
      <c r="AJ49">
        <v>0</v>
      </c>
      <c r="AK49">
        <v>-3.1105227130093099E-2</v>
      </c>
      <c r="AL49">
        <v>0.70371851565640098</v>
      </c>
      <c r="AM49">
        <v>7.1692295312312707E-2</v>
      </c>
      <c r="AN49">
        <v>0.255694416161378</v>
      </c>
    </row>
    <row r="50" spans="1:40" x14ac:dyDescent="0.2">
      <c r="A50">
        <v>256</v>
      </c>
      <c r="B50">
        <v>777</v>
      </c>
      <c r="C50">
        <v>105</v>
      </c>
      <c r="D50">
        <v>0.49532971480264998</v>
      </c>
      <c r="E50">
        <v>0.50085385111814396</v>
      </c>
      <c r="F50">
        <v>4.9095576656248703</v>
      </c>
      <c r="G50">
        <v>-3.4384565521163233</v>
      </c>
      <c r="H50">
        <v>-2.491971453181431</v>
      </c>
      <c r="I50">
        <v>0.90128562484872699</v>
      </c>
      <c r="J50">
        <v>0.44609690091277499</v>
      </c>
      <c r="K50">
        <v>0.10201608479414701</v>
      </c>
      <c r="L50">
        <v>3.6242887273352822E-5</v>
      </c>
      <c r="M50">
        <v>4.200712890045421E-7</v>
      </c>
      <c r="N50" s="1">
        <v>1.9657449753127398E-9</v>
      </c>
      <c r="O50" s="1">
        <v>2.4028210909010698E-13</v>
      </c>
      <c r="P50">
        <v>0</v>
      </c>
      <c r="R50">
        <v>9.5209088044858294</v>
      </c>
      <c r="S50">
        <v>1.8406554467943601</v>
      </c>
      <c r="T50">
        <v>49.138605154342201</v>
      </c>
      <c r="V50">
        <v>38.186709909885401</v>
      </c>
      <c r="X50">
        <v>1.31312068449206</v>
      </c>
      <c r="AJ50">
        <v>0</v>
      </c>
      <c r="AK50">
        <v>-3.26519278891228E-2</v>
      </c>
      <c r="AL50">
        <v>0.69159911518399797</v>
      </c>
      <c r="AM50">
        <v>7.32263674642403E-2</v>
      </c>
      <c r="AN50">
        <v>0.267826445240883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D560-625B-4B12-92D7-F0C3403F76D4}">
  <sheetPr codeName="Sheet8"/>
  <dimension ref="A1:AP35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24</v>
      </c>
      <c r="B2">
        <v>734</v>
      </c>
      <c r="C2">
        <v>300</v>
      </c>
      <c r="D2">
        <v>0.25781710768008598</v>
      </c>
      <c r="E2">
        <v>0.16081008143928799</v>
      </c>
      <c r="F2">
        <v>3.59172810081775</v>
      </c>
      <c r="G2">
        <v>-2.0395635595567483</v>
      </c>
      <c r="H2">
        <v>-1.7340544292586839</v>
      </c>
      <c r="I2">
        <v>0.30334024752823702</v>
      </c>
      <c r="J2">
        <v>0.17923475301106701</v>
      </c>
      <c r="K2">
        <v>4.4772342706753197E-2</v>
      </c>
      <c r="L2">
        <v>4.4359261078011295E-5</v>
      </c>
      <c r="M2">
        <v>9.1537943076131467E-7</v>
      </c>
      <c r="N2" s="1">
        <v>2.52658021660322E-10</v>
      </c>
      <c r="O2" s="1">
        <v>4.3453523240169798E-14</v>
      </c>
      <c r="P2" s="1">
        <v>-3.1270937113019901E-13</v>
      </c>
      <c r="Q2">
        <v>49.656923387381198</v>
      </c>
      <c r="R2">
        <v>1.5765527615738299E-2</v>
      </c>
      <c r="S2">
        <v>2.1279987988925999</v>
      </c>
      <c r="T2">
        <v>0.55356963912608304</v>
      </c>
      <c r="V2">
        <v>32.580758811579202</v>
      </c>
      <c r="X2">
        <v>14.8632102758313</v>
      </c>
      <c r="AA2">
        <v>0.184608893566299</v>
      </c>
      <c r="AB2">
        <v>1.7164666007462401E-2</v>
      </c>
      <c r="AJ2">
        <v>-1.11540379937483</v>
      </c>
      <c r="AK2">
        <v>0.99095861308544797</v>
      </c>
      <c r="AL2">
        <v>1.0661142707191</v>
      </c>
      <c r="AM2">
        <v>4.0729548304848498E-2</v>
      </c>
      <c r="AN2">
        <v>-3.9801766561570001E-2</v>
      </c>
      <c r="AO2">
        <v>5.6100960538971401E-2</v>
      </c>
      <c r="AP2">
        <v>1.3021732880277399E-3</v>
      </c>
    </row>
    <row r="3" spans="1:42" x14ac:dyDescent="0.2">
      <c r="A3">
        <v>25</v>
      </c>
      <c r="B3">
        <v>733</v>
      </c>
      <c r="C3">
        <v>300</v>
      </c>
      <c r="D3">
        <v>0.257009889181535</v>
      </c>
      <c r="E3">
        <v>0.219521917847147</v>
      </c>
      <c r="F3">
        <v>3.59410535671765</v>
      </c>
      <c r="G3">
        <v>-2.7815604121404638</v>
      </c>
      <c r="H3">
        <v>-2.3652487760985084</v>
      </c>
      <c r="I3">
        <v>0.41376696918148997</v>
      </c>
      <c r="J3">
        <v>0.244556424416662</v>
      </c>
      <c r="K3">
        <v>6.1078320210297798E-2</v>
      </c>
      <c r="L3">
        <v>4.4325244023659528E-5</v>
      </c>
      <c r="M3">
        <v>9.1540619465965674E-7</v>
      </c>
      <c r="N3" s="1">
        <v>3.5629202456141803E-10</v>
      </c>
      <c r="O3" s="1">
        <v>5.9342920493164505E-14</v>
      </c>
      <c r="P3" s="1">
        <v>-5.1531618959061296E-13</v>
      </c>
      <c r="Q3">
        <v>49.559666191189002</v>
      </c>
      <c r="R3">
        <v>1.6067907928954499E-2</v>
      </c>
      <c r="S3">
        <v>2.2407941300141001</v>
      </c>
      <c r="T3">
        <v>0.56767197994337004</v>
      </c>
      <c r="V3">
        <v>32.666545027259097</v>
      </c>
      <c r="X3">
        <v>14.7586528260456</v>
      </c>
      <c r="AA3">
        <v>0.17376938450655</v>
      </c>
      <c r="AB3">
        <v>1.6832553113112301E-2</v>
      </c>
      <c r="AJ3">
        <v>-1.1220425396293701</v>
      </c>
      <c r="AK3">
        <v>0.99143404618769704</v>
      </c>
      <c r="AL3">
        <v>1.06944305010709</v>
      </c>
      <c r="AM3">
        <v>4.31652645044769E-2</v>
      </c>
      <c r="AN3">
        <v>-4.2219226585592601E-2</v>
      </c>
      <c r="AO3">
        <v>5.89418042030855E-2</v>
      </c>
      <c r="AP3">
        <v>1.2776012126068199E-3</v>
      </c>
    </row>
    <row r="4" spans="1:42" x14ac:dyDescent="0.2">
      <c r="A4">
        <v>47</v>
      </c>
      <c r="B4">
        <v>736</v>
      </c>
      <c r="C4">
        <v>285</v>
      </c>
      <c r="D4">
        <v>0.27577713917653601</v>
      </c>
      <c r="E4">
        <v>0.167348154024514</v>
      </c>
      <c r="F4">
        <v>3.5865391734476502</v>
      </c>
      <c r="G4">
        <v>-2.1295480245638325</v>
      </c>
      <c r="H4">
        <v>-1.8104007145962795</v>
      </c>
      <c r="I4">
        <v>0.31625358962250599</v>
      </c>
      <c r="J4">
        <v>0.18690221290445899</v>
      </c>
      <c r="K4">
        <v>4.66600658549748E-2</v>
      </c>
      <c r="L4">
        <v>4.4398927611735963E-5</v>
      </c>
      <c r="M4">
        <v>9.1431488397293568E-7</v>
      </c>
      <c r="N4" s="1">
        <v>2.5405668655619698E-10</v>
      </c>
      <c r="O4" s="1">
        <v>4.5731349060637903E-14</v>
      </c>
      <c r="P4" s="1">
        <v>-3.16309153606126E-13</v>
      </c>
      <c r="Q4">
        <v>49.755009879781703</v>
      </c>
      <c r="R4">
        <v>1.5936286138902699E-2</v>
      </c>
      <c r="S4">
        <v>2.1007396235363598</v>
      </c>
      <c r="T4">
        <v>0.54805715437931901</v>
      </c>
      <c r="V4">
        <v>32.2961871930301</v>
      </c>
      <c r="X4">
        <v>15.1056135580377</v>
      </c>
      <c r="AA4">
        <v>0.161357397559142</v>
      </c>
      <c r="AB4">
        <v>1.7098907536646099E-2</v>
      </c>
      <c r="AJ4">
        <v>-1.10463265020298</v>
      </c>
      <c r="AK4">
        <v>0.99195097584426795</v>
      </c>
      <c r="AL4">
        <v>1.05514811702206</v>
      </c>
      <c r="AM4">
        <v>4.0126778939753298E-2</v>
      </c>
      <c r="AN4">
        <v>-3.9190416370880402E-2</v>
      </c>
      <c r="AO4">
        <v>5.5302040796403301E-2</v>
      </c>
      <c r="AP4">
        <v>1.29515397137553E-3</v>
      </c>
    </row>
    <row r="5" spans="1:42" x14ac:dyDescent="0.2">
      <c r="A5">
        <v>48</v>
      </c>
      <c r="B5">
        <v>735</v>
      </c>
      <c r="C5">
        <v>285</v>
      </c>
      <c r="D5">
        <v>0.27498933690423</v>
      </c>
      <c r="E5">
        <v>0.21543218449135701</v>
      </c>
      <c r="F5">
        <v>3.5888688470631398</v>
      </c>
      <c r="G5">
        <v>-2.7388594894369462</v>
      </c>
      <c r="H5">
        <v>-2.3287394556009602</v>
      </c>
      <c r="I5">
        <v>0.40680457653720797</v>
      </c>
      <c r="J5">
        <v>0.24049799306265801</v>
      </c>
      <c r="K5">
        <v>6.0027878886588497E-2</v>
      </c>
      <c r="L5">
        <v>4.4369851059170045E-5</v>
      </c>
      <c r="M5">
        <v>9.1435176603724555E-7</v>
      </c>
      <c r="N5" s="1">
        <v>3.37662458052808E-10</v>
      </c>
      <c r="O5" s="1">
        <v>5.8909044092428605E-14</v>
      </c>
      <c r="P5" s="1">
        <v>-4.9516631958441995E-13</v>
      </c>
      <c r="Q5">
        <v>49.661016690043503</v>
      </c>
      <c r="R5">
        <v>1.6234612759251098E-2</v>
      </c>
      <c r="S5">
        <v>2.2094647844072002</v>
      </c>
      <c r="T5">
        <v>0.56157388620915405</v>
      </c>
      <c r="V5">
        <v>32.381238968837998</v>
      </c>
      <c r="X5">
        <v>15.0045147970378</v>
      </c>
      <c r="AA5">
        <v>0.14913873450798101</v>
      </c>
      <c r="AB5">
        <v>1.6817526196900998E-2</v>
      </c>
      <c r="AJ5">
        <v>-1.1111722165260201</v>
      </c>
      <c r="AK5">
        <v>0.99248014529678497</v>
      </c>
      <c r="AL5">
        <v>1.05843006793533</v>
      </c>
      <c r="AM5">
        <v>4.2470718350704303E-2</v>
      </c>
      <c r="AN5">
        <v>-4.1516373373934802E-2</v>
      </c>
      <c r="AO5">
        <v>5.8033211599450803E-2</v>
      </c>
      <c r="AP5">
        <v>1.2744467176841799E-3</v>
      </c>
    </row>
    <row r="6" spans="1:42" x14ac:dyDescent="0.2">
      <c r="A6">
        <v>67</v>
      </c>
      <c r="B6">
        <v>739</v>
      </c>
      <c r="C6">
        <v>270</v>
      </c>
      <c r="D6">
        <v>0.29443313738082399</v>
      </c>
      <c r="E6">
        <v>7.3004977373471794E-2</v>
      </c>
      <c r="F6">
        <v>3.5786687255312901</v>
      </c>
      <c r="G6">
        <v>-0.93307354076759508</v>
      </c>
      <c r="H6">
        <v>-0.79305410314905844</v>
      </c>
      <c r="I6">
        <v>0.13833862334489599</v>
      </c>
      <c r="J6">
        <v>8.1717008023794002E-2</v>
      </c>
      <c r="K6">
        <v>2.0400037827651402E-2</v>
      </c>
      <c r="L6">
        <v>4.4440566416429E-5</v>
      </c>
      <c r="M6">
        <v>9.1324811980953306E-7</v>
      </c>
      <c r="N6" s="1">
        <v>1.0303525000172E-10</v>
      </c>
      <c r="O6" s="1">
        <v>2.01219064906323E-14</v>
      </c>
      <c r="P6" s="1">
        <v>-8.7038069103927301E-14</v>
      </c>
      <c r="Q6">
        <v>49.951742093722402</v>
      </c>
      <c r="R6">
        <v>1.57639021756933E-2</v>
      </c>
      <c r="S6">
        <v>1.9582718696088799</v>
      </c>
      <c r="T6">
        <v>0.52795206869439004</v>
      </c>
      <c r="V6">
        <v>31.9078095881313</v>
      </c>
      <c r="X6">
        <v>15.443394637859299</v>
      </c>
      <c r="AA6">
        <v>0.177948745059372</v>
      </c>
      <c r="AB6">
        <v>1.7117094748601399E-2</v>
      </c>
      <c r="AJ6">
        <v>-1.0854407901256899</v>
      </c>
      <c r="AK6">
        <v>0.99127305130544996</v>
      </c>
      <c r="AL6">
        <v>1.0403243895607499</v>
      </c>
      <c r="AM6">
        <v>3.7060679671905399E-2</v>
      </c>
      <c r="AN6">
        <v>-3.6136342814626798E-2</v>
      </c>
      <c r="AO6">
        <v>5.1625136255967097E-2</v>
      </c>
      <c r="AP6">
        <v>1.29387614625066E-3</v>
      </c>
    </row>
    <row r="7" spans="1:42" x14ac:dyDescent="0.2">
      <c r="A7">
        <v>68</v>
      </c>
      <c r="B7">
        <v>738</v>
      </c>
      <c r="C7">
        <v>270</v>
      </c>
      <c r="D7">
        <v>0.29366612273154402</v>
      </c>
      <c r="E7">
        <v>0.181702493545952</v>
      </c>
      <c r="F7">
        <v>3.5812125482228101</v>
      </c>
      <c r="G7">
        <v>-2.3199063504181727</v>
      </c>
      <c r="H7">
        <v>-1.9720362023304008</v>
      </c>
      <c r="I7">
        <v>0.34403416712433499</v>
      </c>
      <c r="J7">
        <v>0.20329366972156701</v>
      </c>
      <c r="K7">
        <v>5.0737701574323502E-2</v>
      </c>
      <c r="L7">
        <v>4.441828655488178E-5</v>
      </c>
      <c r="M7">
        <v>9.1333390241105001E-7</v>
      </c>
      <c r="N7" s="1">
        <v>2.6502449394325898E-10</v>
      </c>
      <c r="O7" s="1">
        <v>5.0152846882403998E-14</v>
      </c>
      <c r="P7" s="1">
        <v>-2.9886524595286401E-13</v>
      </c>
      <c r="Q7">
        <v>49.852381235295297</v>
      </c>
      <c r="R7">
        <v>1.6082742149976001E-2</v>
      </c>
      <c r="S7">
        <v>2.0704958016483199</v>
      </c>
      <c r="T7">
        <v>0.54257751946899702</v>
      </c>
      <c r="V7">
        <v>32.005074821390401</v>
      </c>
      <c r="X7">
        <v>15.334548966264499</v>
      </c>
      <c r="AA7">
        <v>0.16201188480248199</v>
      </c>
      <c r="AB7">
        <v>1.6827028979817499E-2</v>
      </c>
      <c r="AJ7">
        <v>-1.0926703012821599</v>
      </c>
      <c r="AK7">
        <v>0.99195640802584495</v>
      </c>
      <c r="AL7">
        <v>1.0440493101263</v>
      </c>
      <c r="AM7">
        <v>3.9465644467309699E-2</v>
      </c>
      <c r="AN7">
        <v>-3.8522111641871103E-2</v>
      </c>
      <c r="AO7">
        <v>5.4448425248116501E-2</v>
      </c>
      <c r="AP7">
        <v>1.27262505645956E-3</v>
      </c>
    </row>
    <row r="8" spans="1:42" x14ac:dyDescent="0.2">
      <c r="A8">
        <v>69</v>
      </c>
      <c r="B8">
        <v>737</v>
      </c>
      <c r="C8">
        <v>270</v>
      </c>
      <c r="D8">
        <v>0.29289758946691402</v>
      </c>
      <c r="E8">
        <v>0.21637809614019399</v>
      </c>
      <c r="F8">
        <v>3.58344550393775</v>
      </c>
      <c r="G8">
        <v>-2.7601221753545353</v>
      </c>
      <c r="H8">
        <v>-2.3465946974272911</v>
      </c>
      <c r="I8">
        <v>0.40937234858906302</v>
      </c>
      <c r="J8">
        <v>0.24198808064879801</v>
      </c>
      <c r="K8">
        <v>6.03826947842298E-2</v>
      </c>
      <c r="L8">
        <v>4.4394065011796242E-5</v>
      </c>
      <c r="M8">
        <v>9.133920700663618E-7</v>
      </c>
      <c r="N8" s="1">
        <v>3.2512537153592498E-10</v>
      </c>
      <c r="O8" s="1">
        <v>5.9781476676503205E-14</v>
      </c>
      <c r="P8" s="1">
        <v>-4.4111075052364799E-13</v>
      </c>
      <c r="Q8">
        <v>49.763261652890698</v>
      </c>
      <c r="R8">
        <v>1.6369757251406901E-2</v>
      </c>
      <c r="S8">
        <v>2.17306131079765</v>
      </c>
      <c r="T8">
        <v>0.55523758224854902</v>
      </c>
      <c r="V8">
        <v>32.087407334057197</v>
      </c>
      <c r="X8">
        <v>15.2379116689492</v>
      </c>
      <c r="AA8">
        <v>0.150188308886512</v>
      </c>
      <c r="AB8">
        <v>1.65623849185773E-2</v>
      </c>
      <c r="AJ8">
        <v>-1.09891455349137</v>
      </c>
      <c r="AK8">
        <v>0.99246712173807405</v>
      </c>
      <c r="AL8">
        <v>1.04721393061983</v>
      </c>
      <c r="AM8">
        <v>4.1674937432143698E-2</v>
      </c>
      <c r="AN8">
        <v>-4.0714126859291599E-2</v>
      </c>
      <c r="AO8">
        <v>5.7019507487699198E-2</v>
      </c>
      <c r="AP8">
        <v>1.2531830729093801E-3</v>
      </c>
    </row>
    <row r="9" spans="1:42" x14ac:dyDescent="0.2">
      <c r="A9">
        <v>86</v>
      </c>
      <c r="B9">
        <v>741</v>
      </c>
      <c r="C9">
        <v>255</v>
      </c>
      <c r="D9">
        <v>0.31223241137898899</v>
      </c>
      <c r="E9">
        <v>0.12645344061972699</v>
      </c>
      <c r="F9">
        <v>3.5735443777384202</v>
      </c>
      <c r="G9">
        <v>-1.6214431325268248</v>
      </c>
      <c r="H9">
        <v>-1.3779762365032027</v>
      </c>
      <c r="I9">
        <v>0.24006990684181001</v>
      </c>
      <c r="J9">
        <v>0.14178447321399601</v>
      </c>
      <c r="K9">
        <v>3.5385999795462399E-2</v>
      </c>
      <c r="L9">
        <v>4.4448001857651035E-5</v>
      </c>
      <c r="M9">
        <v>9.1222488091622651E-7</v>
      </c>
      <c r="N9" s="1">
        <v>1.7259154254956E-10</v>
      </c>
      <c r="O9" s="1">
        <v>3.5187224723113401E-14</v>
      </c>
      <c r="P9" s="1">
        <v>-1.24849633481047E-13</v>
      </c>
      <c r="Q9">
        <v>50.040878847685697</v>
      </c>
      <c r="R9">
        <v>1.5941784951559401E-2</v>
      </c>
      <c r="S9">
        <v>1.93751286518076</v>
      </c>
      <c r="T9">
        <v>0.52401948719068103</v>
      </c>
      <c r="V9">
        <v>31.623950736778198</v>
      </c>
      <c r="X9">
        <v>15.664087823860701</v>
      </c>
      <c r="AA9">
        <v>0.17676979731458201</v>
      </c>
      <c r="AB9">
        <v>1.6838657037614901E-2</v>
      </c>
      <c r="AJ9">
        <v>-1.07412850424379</v>
      </c>
      <c r="AK9">
        <v>0.99135612082441105</v>
      </c>
      <c r="AL9">
        <v>1.0295476247266699</v>
      </c>
      <c r="AM9">
        <v>3.66030773450189E-2</v>
      </c>
      <c r="AN9">
        <v>-3.5669689774303799E-2</v>
      </c>
      <c r="AO9">
        <v>5.10204206381175E-2</v>
      </c>
      <c r="AP9">
        <v>1.27095048388136E-3</v>
      </c>
    </row>
    <row r="10" spans="1:42" x14ac:dyDescent="0.2">
      <c r="A10">
        <v>87</v>
      </c>
      <c r="B10">
        <v>740</v>
      </c>
      <c r="C10">
        <v>255</v>
      </c>
      <c r="D10">
        <v>0.31148447909983901</v>
      </c>
      <c r="E10">
        <v>0.19010245403147499</v>
      </c>
      <c r="F10">
        <v>3.5759284588746501</v>
      </c>
      <c r="G10">
        <v>-2.4351671318131585</v>
      </c>
      <c r="H10">
        <v>-2.0698026283786852</v>
      </c>
      <c r="I10">
        <v>0.36062231992742599</v>
      </c>
      <c r="J10">
        <v>0.21305751560248701</v>
      </c>
      <c r="K10">
        <v>5.3161705055839101E-2</v>
      </c>
      <c r="L10">
        <v>4.4429684943664928E-5</v>
      </c>
      <c r="M10">
        <v>9.1233390555228856E-7</v>
      </c>
      <c r="N10" s="1">
        <v>2.6715731732643701E-10</v>
      </c>
      <c r="O10" s="1">
        <v>5.2983972336675197E-14</v>
      </c>
      <c r="P10" s="1">
        <v>-2.6680127378526302E-13</v>
      </c>
      <c r="Q10">
        <v>49.948184241292701</v>
      </c>
      <c r="R10">
        <v>1.62432291797865E-2</v>
      </c>
      <c r="S10">
        <v>2.04171114743676</v>
      </c>
      <c r="T10">
        <v>0.53745699684644299</v>
      </c>
      <c r="V10">
        <v>31.715480345551502</v>
      </c>
      <c r="X10">
        <v>15.5612717210456</v>
      </c>
      <c r="AA10">
        <v>0.16309368197629801</v>
      </c>
      <c r="AB10">
        <v>1.6558636670755099E-2</v>
      </c>
      <c r="AJ10">
        <v>-1.0808267874476201</v>
      </c>
      <c r="AK10">
        <v>0.99194364014251002</v>
      </c>
      <c r="AL10">
        <v>1.0330449921481399</v>
      </c>
      <c r="AM10">
        <v>3.8835450142369901E-2</v>
      </c>
      <c r="AN10">
        <v>-3.7883936397606198E-2</v>
      </c>
      <c r="AO10">
        <v>5.3636199898625898E-2</v>
      </c>
      <c r="AP10">
        <v>1.2504415135785401E-3</v>
      </c>
    </row>
    <row r="11" spans="1:42" x14ac:dyDescent="0.2">
      <c r="A11">
        <v>102</v>
      </c>
      <c r="B11">
        <v>743</v>
      </c>
      <c r="C11">
        <v>240</v>
      </c>
      <c r="D11">
        <v>0.32996161983958999</v>
      </c>
      <c r="E11">
        <v>0.15508300465808</v>
      </c>
      <c r="F11">
        <v>3.5684972239882602</v>
      </c>
      <c r="G11">
        <v>-1.9949217237240764</v>
      </c>
      <c r="H11">
        <v>-1.6951830736073132</v>
      </c>
      <c r="I11">
        <v>0.29497480698397199</v>
      </c>
      <c r="J11">
        <v>0.174170192573113</v>
      </c>
      <c r="K11">
        <v>4.34589113914889E-2</v>
      </c>
      <c r="L11">
        <v>4.4447491194932422E-5</v>
      </c>
      <c r="M11">
        <v>9.1118788686355417E-7</v>
      </c>
      <c r="N11" s="1">
        <v>2.0545559653971999E-10</v>
      </c>
      <c r="O11" s="1">
        <v>4.3557885156606903E-14</v>
      </c>
      <c r="P11" s="1">
        <v>-1.22475510047998E-13</v>
      </c>
      <c r="Q11">
        <v>50.126658946242699</v>
      </c>
      <c r="R11">
        <v>1.61433960061102E-2</v>
      </c>
      <c r="S11">
        <v>1.9201928601937399</v>
      </c>
      <c r="T11">
        <v>0.52074066994289803</v>
      </c>
      <c r="V11">
        <v>31.3428749845075</v>
      </c>
      <c r="X11">
        <v>15.880369836217501</v>
      </c>
      <c r="AA11">
        <v>0.176466397583045</v>
      </c>
      <c r="AB11">
        <v>1.6552909306385099E-2</v>
      </c>
      <c r="AJ11">
        <v>-1.06301476016584</v>
      </c>
      <c r="AK11">
        <v>0.99140285484460999</v>
      </c>
      <c r="AL11">
        <v>1.0189140736353799</v>
      </c>
      <c r="AM11">
        <v>3.6217752450096098E-2</v>
      </c>
      <c r="AN11">
        <v>-3.5273934176335002E-2</v>
      </c>
      <c r="AO11">
        <v>5.05064462665685E-2</v>
      </c>
      <c r="AP11">
        <v>1.2475671455162401E-3</v>
      </c>
    </row>
    <row r="12" spans="1:42" x14ac:dyDescent="0.2">
      <c r="A12">
        <v>103</v>
      </c>
      <c r="B12">
        <v>742</v>
      </c>
      <c r="C12">
        <v>240</v>
      </c>
      <c r="D12">
        <v>0.32923262572033701</v>
      </c>
      <c r="E12">
        <v>0.19569921467298701</v>
      </c>
      <c r="F12">
        <v>3.5707343822346802</v>
      </c>
      <c r="G12">
        <v>-2.515031122117839</v>
      </c>
      <c r="H12">
        <v>-2.137454972124917</v>
      </c>
      <c r="I12">
        <v>0.37194124020383401</v>
      </c>
      <c r="J12">
        <v>0.219695065908</v>
      </c>
      <c r="K12">
        <v>5.4806432997828503E-2</v>
      </c>
      <c r="L12">
        <v>4.4433043482587383E-5</v>
      </c>
      <c r="M12">
        <v>9.1131400194869864E-7</v>
      </c>
      <c r="N12" s="1">
        <v>2.6604989431092999E-10</v>
      </c>
      <c r="O12" s="1">
        <v>5.5065256701117202E-14</v>
      </c>
      <c r="P12" s="1">
        <v>-2.3039915987545202E-13</v>
      </c>
      <c r="Q12">
        <v>50.040280171521196</v>
      </c>
      <c r="R12">
        <v>1.64287117376768E-2</v>
      </c>
      <c r="S12">
        <v>2.0169629263964399</v>
      </c>
      <c r="T12">
        <v>0.53306104702595203</v>
      </c>
      <c r="V12">
        <v>31.429105597053798</v>
      </c>
      <c r="X12">
        <v>15.7837670553804</v>
      </c>
      <c r="AA12">
        <v>0.164105136777904</v>
      </c>
      <c r="AB12">
        <v>1.6289354106527001E-2</v>
      </c>
      <c r="AJ12">
        <v>-1.06925193756862</v>
      </c>
      <c r="AK12">
        <v>0.99193374622648001</v>
      </c>
      <c r="AL12">
        <v>1.02219906528325</v>
      </c>
      <c r="AM12">
        <v>3.8290588368690502E-2</v>
      </c>
      <c r="AN12">
        <v>-3.73296363185978E-2</v>
      </c>
      <c r="AO12">
        <v>5.2929891733523297E-2</v>
      </c>
      <c r="AP12">
        <v>1.22828227527905E-3</v>
      </c>
    </row>
    <row r="13" spans="1:42" x14ac:dyDescent="0.2">
      <c r="A13">
        <v>115</v>
      </c>
      <c r="B13">
        <v>746</v>
      </c>
      <c r="C13">
        <v>225</v>
      </c>
      <c r="D13">
        <v>0.34832998086640898</v>
      </c>
      <c r="E13">
        <v>0.108022157412067</v>
      </c>
      <c r="F13">
        <v>3.5612465744849802</v>
      </c>
      <c r="G13">
        <v>-1.3953189079705257</v>
      </c>
      <c r="H13">
        <v>-1.1853670479412308</v>
      </c>
      <c r="I13">
        <v>0.20600682924917199</v>
      </c>
      <c r="J13">
        <v>0.121560695548524</v>
      </c>
      <c r="K13">
        <v>3.03326813105293E-2</v>
      </c>
      <c r="L13">
        <v>4.4448575283631576E-5</v>
      </c>
      <c r="M13">
        <v>9.0995979499840655E-7</v>
      </c>
      <c r="N13" s="1">
        <v>1.3632922649648801E-10</v>
      </c>
      <c r="O13" s="1">
        <v>3.0550092109333599E-14</v>
      </c>
      <c r="P13" s="1">
        <v>-2.3904680905631799E-14</v>
      </c>
      <c r="Q13">
        <v>50.295034656796801</v>
      </c>
      <c r="R13">
        <v>1.6089605118203398E-2</v>
      </c>
      <c r="S13">
        <v>1.8123915601409499</v>
      </c>
      <c r="T13">
        <v>0.505738783913113</v>
      </c>
      <c r="V13">
        <v>30.9736580948178</v>
      </c>
      <c r="X13">
        <v>16.1911875952825</v>
      </c>
      <c r="AA13">
        <v>0.18936418189620699</v>
      </c>
      <c r="AB13">
        <v>1.65355220343451E-2</v>
      </c>
      <c r="AJ13">
        <v>-1.0457691548835599</v>
      </c>
      <c r="AK13">
        <v>0.99088456272651304</v>
      </c>
      <c r="AL13">
        <v>1.00497402258733</v>
      </c>
      <c r="AM13">
        <v>3.3901491475467997E-2</v>
      </c>
      <c r="AN13">
        <v>-3.2962627939244503E-2</v>
      </c>
      <c r="AO13">
        <v>4.7727847158222203E-2</v>
      </c>
      <c r="AP13">
        <v>1.2438588752684201E-3</v>
      </c>
    </row>
    <row r="14" spans="1:42" x14ac:dyDescent="0.2">
      <c r="A14">
        <v>116</v>
      </c>
      <c r="B14">
        <v>745</v>
      </c>
      <c r="C14">
        <v>225</v>
      </c>
      <c r="D14">
        <v>0.347621175661739</v>
      </c>
      <c r="E14">
        <v>0.17287874048058399</v>
      </c>
      <c r="F14">
        <v>3.5635796084903801</v>
      </c>
      <c r="G14">
        <v>-2.2308445939432597</v>
      </c>
      <c r="H14">
        <v>-1.895429381663007</v>
      </c>
      <c r="I14">
        <v>0.32943594979153601</v>
      </c>
      <c r="J14">
        <v>0.194463211237589</v>
      </c>
      <c r="K14">
        <v>4.8512664083241903E-2</v>
      </c>
      <c r="L14">
        <v>4.4439549998534562E-5</v>
      </c>
      <c r="M14">
        <v>9.1013699432173787E-7</v>
      </c>
      <c r="N14" s="1">
        <v>2.23366739037531E-10</v>
      </c>
      <c r="O14" s="1">
        <v>4.9006578444866301E-14</v>
      </c>
      <c r="P14" s="1">
        <v>-1.06154571594162E-13</v>
      </c>
      <c r="Q14">
        <v>50.206940067429798</v>
      </c>
      <c r="R14">
        <v>1.6381582924139201E-2</v>
      </c>
      <c r="S14">
        <v>1.9088996036059001</v>
      </c>
      <c r="T14">
        <v>0.51848450902273502</v>
      </c>
      <c r="V14">
        <v>31.066594886192899</v>
      </c>
      <c r="X14">
        <v>16.090400629292201</v>
      </c>
      <c r="AA14">
        <v>0.17603943918436499</v>
      </c>
      <c r="AB14">
        <v>1.6259282347772099E-2</v>
      </c>
      <c r="AJ14">
        <v>-1.0522794346828599</v>
      </c>
      <c r="AK14">
        <v>0.99145493145388697</v>
      </c>
      <c r="AL14">
        <v>1.0084969568084901</v>
      </c>
      <c r="AM14">
        <v>3.5958895077301399E-2</v>
      </c>
      <c r="AN14">
        <v>-3.5002512725871203E-2</v>
      </c>
      <c r="AO14">
        <v>5.0147469102141698E-2</v>
      </c>
      <c r="AP14">
        <v>1.22369496690879E-3</v>
      </c>
    </row>
    <row r="15" spans="1:42" x14ac:dyDescent="0.2">
      <c r="A15">
        <v>125</v>
      </c>
      <c r="B15">
        <v>749</v>
      </c>
      <c r="C15">
        <v>210</v>
      </c>
      <c r="D15">
        <v>0.36659051998239101</v>
      </c>
      <c r="E15">
        <v>6.0265699520857703E-2</v>
      </c>
      <c r="F15">
        <v>3.5562675330397</v>
      </c>
      <c r="G15">
        <v>-0.78069800427870784</v>
      </c>
      <c r="H15">
        <v>-0.66294492392145177</v>
      </c>
      <c r="I15">
        <v>0.11520137001150101</v>
      </c>
      <c r="J15">
        <v>6.7910818879774598E-2</v>
      </c>
      <c r="K15">
        <v>1.69463345940528E-2</v>
      </c>
      <c r="L15">
        <v>4.4443246061114092E-5</v>
      </c>
      <c r="M15">
        <v>9.0911709982206209E-7</v>
      </c>
      <c r="N15" s="1">
        <v>7.3810192442371406E-11</v>
      </c>
      <c r="O15" s="1">
        <v>1.7095221808689401E-14</v>
      </c>
      <c r="P15" s="1">
        <v>1.35921716695006E-14</v>
      </c>
      <c r="Q15">
        <v>50.404244169288901</v>
      </c>
      <c r="R15">
        <v>1.5517969480898E-2</v>
      </c>
      <c r="S15">
        <v>1.7372444459330101</v>
      </c>
      <c r="T15">
        <v>0.50034129726626297</v>
      </c>
      <c r="V15">
        <v>30.737121879685098</v>
      </c>
      <c r="X15">
        <v>16.390599194844899</v>
      </c>
      <c r="AA15">
        <v>0.19852366415126199</v>
      </c>
      <c r="AB15">
        <v>1.64073793495297E-2</v>
      </c>
      <c r="AJ15">
        <v>-1.0346487576244201</v>
      </c>
      <c r="AK15">
        <v>0.99052496078902896</v>
      </c>
      <c r="AL15">
        <v>0.99608992119603601</v>
      </c>
      <c r="AM15">
        <v>3.2211229821434699E-2</v>
      </c>
      <c r="AN15">
        <v>-3.1306820581223298E-2</v>
      </c>
      <c r="AO15">
        <v>4.5896743597818201E-2</v>
      </c>
      <c r="AP15">
        <v>1.2327228013342901E-3</v>
      </c>
    </row>
    <row r="16" spans="1:42" x14ac:dyDescent="0.2">
      <c r="A16">
        <v>126</v>
      </c>
      <c r="B16">
        <v>748</v>
      </c>
      <c r="C16">
        <v>210</v>
      </c>
      <c r="D16">
        <v>0.36590167947901903</v>
      </c>
      <c r="E16">
        <v>0.15057950513658699</v>
      </c>
      <c r="F16">
        <v>3.55670444587569</v>
      </c>
      <c r="G16">
        <v>-1.9508625393556289</v>
      </c>
      <c r="H16">
        <v>-1.6570859054030613</v>
      </c>
      <c r="I16">
        <v>0.28769194922642799</v>
      </c>
      <c r="J16">
        <v>0.16970381023480399</v>
      </c>
      <c r="K16">
        <v>4.2336805722274003E-2</v>
      </c>
      <c r="L16">
        <v>4.4430949230987378E-5</v>
      </c>
      <c r="M16">
        <v>9.0889624198609809E-7</v>
      </c>
      <c r="N16" s="1">
        <v>1.87013614376394E-10</v>
      </c>
      <c r="O16" s="1">
        <v>4.2978915572476299E-14</v>
      </c>
      <c r="P16" s="1">
        <v>-1.6627319365631799E-14</v>
      </c>
      <c r="Q16">
        <v>50.359884447517899</v>
      </c>
      <c r="R16">
        <v>1.6397379209244001E-2</v>
      </c>
      <c r="S16">
        <v>1.8179975130763499</v>
      </c>
      <c r="T16">
        <v>0.506253124944545</v>
      </c>
      <c r="V16">
        <v>30.712204952750401</v>
      </c>
      <c r="X16">
        <v>16.384117470469</v>
      </c>
      <c r="AA16">
        <v>0.18694096509584701</v>
      </c>
      <c r="AB16">
        <v>1.6204146936538801E-2</v>
      </c>
      <c r="AJ16">
        <v>-1.0361589712433199</v>
      </c>
      <c r="AK16">
        <v>0.99102221875956498</v>
      </c>
      <c r="AL16">
        <v>0.99516078660793506</v>
      </c>
      <c r="AM16">
        <v>3.3998154094269803E-2</v>
      </c>
      <c r="AN16">
        <v>-3.3042608424810799E-2</v>
      </c>
      <c r="AO16">
        <v>4.7803115522238003E-2</v>
      </c>
      <c r="AP16">
        <v>1.2173046841261E-3</v>
      </c>
    </row>
    <row r="17" spans="1:42" x14ac:dyDescent="0.2">
      <c r="A17">
        <v>127</v>
      </c>
      <c r="B17">
        <v>747</v>
      </c>
      <c r="C17">
        <v>210</v>
      </c>
      <c r="D17">
        <v>0.36521148850659502</v>
      </c>
      <c r="E17">
        <v>0.18499174016629499</v>
      </c>
      <c r="F17">
        <v>3.5588384116074199</v>
      </c>
      <c r="G17">
        <v>-2.3944998931820636</v>
      </c>
      <c r="H17">
        <v>-2.0342136780254418</v>
      </c>
      <c r="I17">
        <v>0.35316984282372399</v>
      </c>
      <c r="J17">
        <v>0.20840532258116001</v>
      </c>
      <c r="K17">
        <v>5.1980932756859798E-2</v>
      </c>
      <c r="L17">
        <v>4.4424699397479961E-5</v>
      </c>
      <c r="M17">
        <v>9.0907546414442997E-7</v>
      </c>
      <c r="N17" s="1">
        <v>2.3435868420465802E-10</v>
      </c>
      <c r="O17" s="1">
        <v>5.2928391875990397E-14</v>
      </c>
      <c r="P17" s="1">
        <v>-8.7019227190252902E-14</v>
      </c>
      <c r="Q17">
        <v>50.279671952084698</v>
      </c>
      <c r="R17">
        <v>1.6669603059071701E-2</v>
      </c>
      <c r="S17">
        <v>1.90605874417488</v>
      </c>
      <c r="T17">
        <v>0.51759468567993006</v>
      </c>
      <c r="V17">
        <v>30.796903929520798</v>
      </c>
      <c r="X17">
        <v>16.2922125385894</v>
      </c>
      <c r="AA17">
        <v>0.17493391705098699</v>
      </c>
      <c r="AB17">
        <v>1.59546298400416E-2</v>
      </c>
      <c r="AJ17">
        <v>-1.0420717433561599</v>
      </c>
      <c r="AK17">
        <v>0.99153554072936101</v>
      </c>
      <c r="AL17">
        <v>0.99836182681345798</v>
      </c>
      <c r="AM17">
        <v>3.5877176864312799E-2</v>
      </c>
      <c r="AN17">
        <v>-3.49053231069913E-2</v>
      </c>
      <c r="AO17">
        <v>5.0003413492360801E-2</v>
      </c>
      <c r="AP17">
        <v>1.1991085636617201E-3</v>
      </c>
    </row>
    <row r="18" spans="1:42" x14ac:dyDescent="0.2">
      <c r="A18">
        <v>135</v>
      </c>
      <c r="B18">
        <v>752</v>
      </c>
      <c r="C18">
        <v>195</v>
      </c>
      <c r="D18">
        <v>0.38474418377798603</v>
      </c>
      <c r="E18">
        <v>4.0455567571661799E-2</v>
      </c>
      <c r="F18">
        <v>3.5525409518564102</v>
      </c>
      <c r="G18">
        <v>-0.52525156274937068</v>
      </c>
      <c r="H18">
        <v>-0.44579945284565176</v>
      </c>
      <c r="I18">
        <v>7.7502911675090505E-2</v>
      </c>
      <c r="J18">
        <v>4.5635494542478498E-2</v>
      </c>
      <c r="K18">
        <v>1.13877835948721E-2</v>
      </c>
      <c r="L18">
        <v>4.4435392742785956E-5</v>
      </c>
      <c r="M18">
        <v>9.0845508693117962E-7</v>
      </c>
      <c r="N18" s="1">
        <v>4.8608251946179797E-11</v>
      </c>
      <c r="O18" s="1">
        <v>1.14965803838902E-14</v>
      </c>
      <c r="P18" s="1">
        <v>2.30398771432071E-14</v>
      </c>
      <c r="Q18">
        <v>50.475589178291798</v>
      </c>
      <c r="R18">
        <v>1.4813644732221199E-2</v>
      </c>
      <c r="S18">
        <v>1.6906719713718099</v>
      </c>
      <c r="T18">
        <v>0.50113739513980304</v>
      </c>
      <c r="V18">
        <v>30.567959251764901</v>
      </c>
      <c r="X18">
        <v>16.5295595089096</v>
      </c>
      <c r="AA18">
        <v>0.204072628766551</v>
      </c>
      <c r="AB18">
        <v>1.6196421023104399E-2</v>
      </c>
      <c r="AJ18">
        <v>-1.0269988382365101</v>
      </c>
      <c r="AK18">
        <v>0.99031865836313004</v>
      </c>
      <c r="AL18">
        <v>0.98976651986229702</v>
      </c>
      <c r="AM18">
        <v>3.1097095318289501E-2</v>
      </c>
      <c r="AN18">
        <v>-3.0234468433700201E-2</v>
      </c>
      <c r="AO18">
        <v>4.4835193666796003E-2</v>
      </c>
      <c r="AP18">
        <v>1.21583945970088E-3</v>
      </c>
    </row>
    <row r="19" spans="1:42" x14ac:dyDescent="0.2">
      <c r="A19">
        <v>136</v>
      </c>
      <c r="B19">
        <v>751</v>
      </c>
      <c r="C19">
        <v>195</v>
      </c>
      <c r="D19">
        <v>0.38407508665723</v>
      </c>
      <c r="E19">
        <v>0.13551566039638799</v>
      </c>
      <c r="F19">
        <v>3.5502386242085802</v>
      </c>
      <c r="G19">
        <v>-1.7624563465850513</v>
      </c>
      <c r="H19">
        <v>-1.4966102184651648</v>
      </c>
      <c r="I19">
        <v>0.25957733546832601</v>
      </c>
      <c r="J19">
        <v>0.153004667760269</v>
      </c>
      <c r="K19">
        <v>3.8170859691606697E-2</v>
      </c>
      <c r="L19">
        <v>4.4409734030677347E-5</v>
      </c>
      <c r="M19">
        <v>9.0761657184516066E-7</v>
      </c>
      <c r="N19" s="1">
        <v>1.6376023080538099E-10</v>
      </c>
      <c r="O19" s="1">
        <v>3.8937069884147799E-14</v>
      </c>
      <c r="P19" s="1">
        <v>4.2435776013425501E-14</v>
      </c>
      <c r="Q19">
        <v>50.494498963378597</v>
      </c>
      <c r="R19">
        <v>1.6500148075036799E-2</v>
      </c>
      <c r="S19">
        <v>1.7486140254509901</v>
      </c>
      <c r="T19">
        <v>0.49719260486860301</v>
      </c>
      <c r="V19">
        <v>30.372196634282702</v>
      </c>
      <c r="X19">
        <v>16.659086907998201</v>
      </c>
      <c r="AA19">
        <v>0.19580244069375799</v>
      </c>
      <c r="AB19">
        <v>1.6108275251916802E-2</v>
      </c>
      <c r="AJ19">
        <v>-1.02127387149169</v>
      </c>
      <c r="AK19">
        <v>0.990677896706048</v>
      </c>
      <c r="AL19">
        <v>0.98242134679709003</v>
      </c>
      <c r="AM19">
        <v>3.2495676174344901E-2</v>
      </c>
      <c r="AN19">
        <v>-3.1535824382034998E-2</v>
      </c>
      <c r="AO19">
        <v>4.6006791331626898E-2</v>
      </c>
      <c r="AP19">
        <v>1.20798486462257E-3</v>
      </c>
    </row>
    <row r="20" spans="1:42" x14ac:dyDescent="0.2">
      <c r="A20">
        <v>137</v>
      </c>
      <c r="B20">
        <v>750</v>
      </c>
      <c r="C20">
        <v>195</v>
      </c>
      <c r="D20">
        <v>0.38340468162048602</v>
      </c>
      <c r="E20">
        <v>0.17380466970550201</v>
      </c>
      <c r="F20">
        <v>3.5523662493170902</v>
      </c>
      <c r="G20">
        <v>-2.258330538628023</v>
      </c>
      <c r="H20">
        <v>-1.9179629946338261</v>
      </c>
      <c r="I20">
        <v>0.332666318715922</v>
      </c>
      <c r="J20">
        <v>0.19615884011037399</v>
      </c>
      <c r="K20">
        <v>4.8926450007488499E-2</v>
      </c>
      <c r="L20">
        <v>4.4407646701128551E-5</v>
      </c>
      <c r="M20">
        <v>9.0782998401425074E-7</v>
      </c>
      <c r="N20" s="1">
        <v>2.1352916272893501E-10</v>
      </c>
      <c r="O20" s="1">
        <v>5.0076122628495698E-14</v>
      </c>
      <c r="P20" s="1">
        <v>-6.3676259822267497E-15</v>
      </c>
      <c r="Q20">
        <v>50.415837727758401</v>
      </c>
      <c r="R20">
        <v>1.6770006993712599E-2</v>
      </c>
      <c r="S20">
        <v>1.8336785493536001</v>
      </c>
      <c r="T20">
        <v>0.50835263932507802</v>
      </c>
      <c r="V20">
        <v>30.458371019120801</v>
      </c>
      <c r="X20">
        <v>16.567538198158299</v>
      </c>
      <c r="AA20">
        <v>0.18359263414883201</v>
      </c>
      <c r="AB20">
        <v>1.58592251411818E-2</v>
      </c>
      <c r="AJ20">
        <v>-1.02716024995263</v>
      </c>
      <c r="AK20">
        <v>0.99119848532508903</v>
      </c>
      <c r="AL20">
        <v>0.98566414852893902</v>
      </c>
      <c r="AM20">
        <v>3.4305135306226503E-2</v>
      </c>
      <c r="AN20">
        <v>-3.3329134262146801E-2</v>
      </c>
      <c r="AO20">
        <v>4.8131757108252703E-2</v>
      </c>
      <c r="AP20">
        <v>1.18985794627656E-3</v>
      </c>
    </row>
    <row r="21" spans="1:42" x14ac:dyDescent="0.2">
      <c r="A21">
        <v>148</v>
      </c>
      <c r="B21">
        <v>755</v>
      </c>
      <c r="C21">
        <v>180</v>
      </c>
      <c r="D21">
        <v>0.40279190779555302</v>
      </c>
      <c r="E21">
        <v>5.8147109973739702E-2</v>
      </c>
      <c r="F21">
        <v>3.5463202583088802</v>
      </c>
      <c r="G21">
        <v>-0.75784841345445386</v>
      </c>
      <c r="H21">
        <v>-0.64302359223665073</v>
      </c>
      <c r="I21">
        <v>0.111681001038567</v>
      </c>
      <c r="J21">
        <v>6.5712536889986795E-2</v>
      </c>
      <c r="K21">
        <v>1.6396463302349298E-2</v>
      </c>
      <c r="L21">
        <v>4.4405782914676577E-5</v>
      </c>
      <c r="M21">
        <v>9.0709121258482337E-7</v>
      </c>
      <c r="N21" s="1">
        <v>6.8640887103247E-11</v>
      </c>
      <c r="O21" s="1">
        <v>1.6648731469550299E-14</v>
      </c>
      <c r="P21" s="1">
        <v>5.1996217596386902E-14</v>
      </c>
      <c r="Q21">
        <v>50.591796875412797</v>
      </c>
      <c r="R21">
        <v>1.5136858739780001E-2</v>
      </c>
      <c r="S21">
        <v>1.6493116364351901</v>
      </c>
      <c r="T21">
        <v>0.49517021759323998</v>
      </c>
      <c r="V21">
        <v>30.228156735078599</v>
      </c>
      <c r="X21">
        <v>16.794541406987801</v>
      </c>
      <c r="AA21">
        <v>0.20983948322730001</v>
      </c>
      <c r="AB21">
        <v>1.6046786525214501E-2</v>
      </c>
      <c r="AJ21">
        <v>-1.01297703362903</v>
      </c>
      <c r="AK21">
        <v>0.99010789668965304</v>
      </c>
      <c r="AL21">
        <v>0.97706206969843801</v>
      </c>
      <c r="AM21">
        <v>3.0202770725285401E-2</v>
      </c>
      <c r="AN21">
        <v>-2.9322855165679299E-2</v>
      </c>
      <c r="AO21">
        <v>4.3724639659555802E-2</v>
      </c>
      <c r="AP21">
        <v>1.2025120217762401E-3</v>
      </c>
    </row>
    <row r="22" spans="1:42" x14ac:dyDescent="0.2">
      <c r="A22">
        <v>149</v>
      </c>
      <c r="B22">
        <v>754</v>
      </c>
      <c r="C22">
        <v>180</v>
      </c>
      <c r="D22">
        <v>0.402142335588766</v>
      </c>
      <c r="E22">
        <v>0.13460526513783799</v>
      </c>
      <c r="F22">
        <v>3.5443103376138301</v>
      </c>
      <c r="G22">
        <v>-1.7569889270749213</v>
      </c>
      <c r="H22">
        <v>-1.4914876734082869</v>
      </c>
      <c r="I22">
        <v>0.25848342858066897</v>
      </c>
      <c r="J22">
        <v>0.15223686920208801</v>
      </c>
      <c r="K22">
        <v>3.7977844013642403E-2</v>
      </c>
      <c r="L22">
        <v>4.437892525375032E-5</v>
      </c>
      <c r="M22">
        <v>9.0633035733773884E-7</v>
      </c>
      <c r="N22" s="1">
        <v>1.6012525384526701E-10</v>
      </c>
      <c r="O22" s="1">
        <v>3.8939782960271498E-14</v>
      </c>
      <c r="P22" s="1">
        <v>8.6348420601598996E-14</v>
      </c>
      <c r="Q22">
        <v>50.6062867741744</v>
      </c>
      <c r="R22">
        <v>1.6715436267449299E-2</v>
      </c>
      <c r="S22">
        <v>1.70482216490933</v>
      </c>
      <c r="T22">
        <v>0.49211030302315101</v>
      </c>
      <c r="V22">
        <v>30.052977714725699</v>
      </c>
      <c r="X22">
        <v>16.9093790353499</v>
      </c>
      <c r="AA22">
        <v>0.201753294467795</v>
      </c>
      <c r="AB22">
        <v>1.59552770820795E-2</v>
      </c>
      <c r="AJ22">
        <v>-1.00799682178932</v>
      </c>
      <c r="AK22">
        <v>0.99045833527883698</v>
      </c>
      <c r="AL22">
        <v>0.970512157926813</v>
      </c>
      <c r="AM22">
        <v>3.1532056539721999E-2</v>
      </c>
      <c r="AN22">
        <v>-3.0561265100648102E-2</v>
      </c>
      <c r="AO22">
        <v>4.4860975173818797E-2</v>
      </c>
      <c r="AP22">
        <v>1.1945619707770601E-3</v>
      </c>
    </row>
    <row r="23" spans="1:42" x14ac:dyDescent="0.2">
      <c r="A23">
        <v>150</v>
      </c>
      <c r="B23">
        <v>753</v>
      </c>
      <c r="C23">
        <v>180</v>
      </c>
      <c r="D23">
        <v>0.401491497344444</v>
      </c>
      <c r="E23">
        <v>0.16919829940289699</v>
      </c>
      <c r="F23">
        <v>3.5463737004176901</v>
      </c>
      <c r="G23">
        <v>-2.2065198536650885</v>
      </c>
      <c r="H23">
        <v>-1.8733614158065948</v>
      </c>
      <c r="I23">
        <v>0.32466836023826301</v>
      </c>
      <c r="J23">
        <v>0.191288840840494</v>
      </c>
      <c r="K23">
        <v>4.7710228446305201E-2</v>
      </c>
      <c r="L23">
        <v>4.4380131181707876E-5</v>
      </c>
      <c r="M23">
        <v>9.0656599642048455E-7</v>
      </c>
      <c r="N23" s="1">
        <v>2.0392272493887E-10</v>
      </c>
      <c r="O23" s="1">
        <v>4.9093606551643599E-14</v>
      </c>
      <c r="P23" s="1">
        <v>5.2267047138132601E-14</v>
      </c>
      <c r="Q23">
        <v>50.530996486756798</v>
      </c>
      <c r="R23">
        <v>1.6977638169220301E-2</v>
      </c>
      <c r="S23">
        <v>1.7854415737498801</v>
      </c>
      <c r="T23">
        <v>0.50274554546486705</v>
      </c>
      <c r="V23">
        <v>30.1375865416822</v>
      </c>
      <c r="X23">
        <v>16.820814122602599</v>
      </c>
      <c r="AA23">
        <v>0.18972313980205199</v>
      </c>
      <c r="AB23">
        <v>1.5714951772306002E-2</v>
      </c>
      <c r="AJ23">
        <v>-1.0136895174992799</v>
      </c>
      <c r="AK23">
        <v>0.99096997856102598</v>
      </c>
      <c r="AL23">
        <v>0.97368344445742605</v>
      </c>
      <c r="AM23">
        <v>3.3243657280993599E-2</v>
      </c>
      <c r="AN23">
        <v>-3.22571930562566E-2</v>
      </c>
      <c r="AO23">
        <v>4.68725306050808E-2</v>
      </c>
      <c r="AP23">
        <v>1.1770996510085E-3</v>
      </c>
    </row>
    <row r="24" spans="1:42" x14ac:dyDescent="0.2">
      <c r="A24">
        <v>164</v>
      </c>
      <c r="B24">
        <v>758</v>
      </c>
      <c r="C24">
        <v>165</v>
      </c>
      <c r="D24">
        <v>0.42073461669010398</v>
      </c>
      <c r="E24">
        <v>9.7284461893290805E-2</v>
      </c>
      <c r="F24">
        <v>3.53832671370454</v>
      </c>
      <c r="G24">
        <v>-1.2742939231810657</v>
      </c>
      <c r="H24">
        <v>-1.0810762213008185</v>
      </c>
      <c r="I24">
        <v>0.18738079026353799</v>
      </c>
      <c r="J24">
        <v>0.110203261938377</v>
      </c>
      <c r="K24">
        <v>2.7494482495494601E-2</v>
      </c>
      <c r="L24">
        <v>4.4348515010955394E-5</v>
      </c>
      <c r="M24">
        <v>9.0514328640090538E-7</v>
      </c>
      <c r="N24" s="1">
        <v>1.14025636918883E-10</v>
      </c>
      <c r="O24" s="1">
        <v>2.8192454772498E-14</v>
      </c>
      <c r="P24" s="1">
        <v>1.12778835006386E-13</v>
      </c>
      <c r="Q24">
        <v>50.735244020366601</v>
      </c>
      <c r="R24">
        <v>1.63600222191451E-2</v>
      </c>
      <c r="S24">
        <v>1.6209393598352</v>
      </c>
      <c r="T24">
        <v>0.48570611963382299</v>
      </c>
      <c r="V24">
        <v>29.760603051978201</v>
      </c>
      <c r="X24">
        <v>17.150432019867502</v>
      </c>
      <c r="AA24">
        <v>0.21479186772975201</v>
      </c>
      <c r="AB24">
        <v>1.5923538369631899E-2</v>
      </c>
      <c r="AJ24">
        <v>-0.994528405433456</v>
      </c>
      <c r="AK24">
        <v>0.98993620738598298</v>
      </c>
      <c r="AL24">
        <v>0.95964592267275906</v>
      </c>
      <c r="AM24">
        <v>2.9663157750281E-2</v>
      </c>
      <c r="AN24">
        <v>-2.8714416169036399E-2</v>
      </c>
      <c r="AO24">
        <v>4.2807115103043497E-2</v>
      </c>
      <c r="AP24">
        <v>1.1904186904252601E-3</v>
      </c>
    </row>
    <row r="25" spans="1:42" x14ac:dyDescent="0.2">
      <c r="A25">
        <v>165</v>
      </c>
      <c r="B25">
        <v>757</v>
      </c>
      <c r="C25">
        <v>165</v>
      </c>
      <c r="D25">
        <v>0.42010435373489502</v>
      </c>
      <c r="E25">
        <v>0.14651821150572999</v>
      </c>
      <c r="F25">
        <v>3.5390172462369498</v>
      </c>
      <c r="G25">
        <v>-1.9189698322500124</v>
      </c>
      <c r="H25">
        <v>-1.6284134623121176</v>
      </c>
      <c r="I25">
        <v>0.282052487441532</v>
      </c>
      <c r="J25">
        <v>0.165974413254418</v>
      </c>
      <c r="K25">
        <v>4.1400818733371099E-2</v>
      </c>
      <c r="L25">
        <v>4.4341675710072532E-5</v>
      </c>
      <c r="M25">
        <v>9.0506903706135233E-7</v>
      </c>
      <c r="N25" s="1">
        <v>1.7332528990914899E-10</v>
      </c>
      <c r="O25" s="1">
        <v>4.2699842473348401E-14</v>
      </c>
      <c r="P25" s="1">
        <v>1.2673726027594601E-13</v>
      </c>
      <c r="Q25">
        <v>50.691715056678497</v>
      </c>
      <c r="R25">
        <v>1.70705977554126E-2</v>
      </c>
      <c r="S25">
        <v>1.68990048465095</v>
      </c>
      <c r="T25">
        <v>0.49164387720664399</v>
      </c>
      <c r="V25">
        <v>29.7594352739032</v>
      </c>
      <c r="X25">
        <v>17.130482573057801</v>
      </c>
      <c r="AA25">
        <v>0.20401813772086699</v>
      </c>
      <c r="AB25">
        <v>1.5733999026454702E-2</v>
      </c>
      <c r="AJ25">
        <v>-0.99661539413550604</v>
      </c>
      <c r="AK25">
        <v>0.99039546727769501</v>
      </c>
      <c r="AL25">
        <v>0.95960713834040001</v>
      </c>
      <c r="AM25">
        <v>3.11715754668049E-2</v>
      </c>
      <c r="AN25">
        <v>-3.0181627736879098E-2</v>
      </c>
      <c r="AO25">
        <v>4.4446593143875598E-2</v>
      </c>
      <c r="AP25">
        <v>1.1762476436097799E-3</v>
      </c>
    </row>
    <row r="26" spans="1:42" x14ac:dyDescent="0.2">
      <c r="A26">
        <v>182</v>
      </c>
      <c r="B26">
        <v>762</v>
      </c>
      <c r="C26">
        <v>150</v>
      </c>
      <c r="D26">
        <v>0.439183210162781</v>
      </c>
      <c r="E26">
        <v>9.0989284857928607E-2</v>
      </c>
      <c r="F26">
        <v>3.5335883292514199</v>
      </c>
      <c r="G26">
        <v>-1.1953598677161712</v>
      </c>
      <c r="H26">
        <v>-1.0134198241408379</v>
      </c>
      <c r="I26">
        <v>0.175762008960376</v>
      </c>
      <c r="J26">
        <v>0.103212911829725</v>
      </c>
      <c r="K26">
        <v>2.57498260634124E-2</v>
      </c>
      <c r="L26">
        <v>4.4317122447191983E-5</v>
      </c>
      <c r="M26">
        <v>9.040936171881602E-7</v>
      </c>
      <c r="N26" s="1">
        <v>1.0625584130046799E-10</v>
      </c>
      <c r="O26" s="1">
        <v>2.6425264835866301E-14</v>
      </c>
      <c r="P26" s="1">
        <v>1.38482779670774E-13</v>
      </c>
      <c r="Q26">
        <v>50.818427999413899</v>
      </c>
      <c r="R26">
        <v>1.6095798349479301E-2</v>
      </c>
      <c r="S26">
        <v>1.58159875657027</v>
      </c>
      <c r="T26">
        <v>0.48699725128006499</v>
      </c>
      <c r="V26">
        <v>29.526326459720799</v>
      </c>
      <c r="X26">
        <v>17.332626327075602</v>
      </c>
      <c r="AA26">
        <v>0.222156203702956</v>
      </c>
      <c r="AB26">
        <v>1.5771203886830901E-2</v>
      </c>
      <c r="AJ26">
        <v>-0.98464543646028901</v>
      </c>
      <c r="AK26">
        <v>0.98965541681120295</v>
      </c>
      <c r="AL26">
        <v>0.95098352422116506</v>
      </c>
      <c r="AM26">
        <v>2.8715120676505501E-2</v>
      </c>
      <c r="AN26">
        <v>-2.7782788121814801E-2</v>
      </c>
      <c r="AO26">
        <v>4.1896504606615002E-2</v>
      </c>
      <c r="AP26">
        <v>1.1776582666147999E-3</v>
      </c>
    </row>
    <row r="27" spans="1:42" x14ac:dyDescent="0.2">
      <c r="A27">
        <v>183</v>
      </c>
      <c r="B27">
        <v>761</v>
      </c>
      <c r="C27">
        <v>150</v>
      </c>
      <c r="D27">
        <v>0.43857322438717999</v>
      </c>
      <c r="E27">
        <v>0.136986430847405</v>
      </c>
      <c r="F27">
        <v>3.5325017962151599</v>
      </c>
      <c r="G27">
        <v>-1.8012773409517684</v>
      </c>
      <c r="H27">
        <v>-1.5277135462234879</v>
      </c>
      <c r="I27">
        <v>0.26453009208362399</v>
      </c>
      <c r="J27">
        <v>0.155461209940395</v>
      </c>
      <c r="K27">
        <v>3.8778870825820003E-2</v>
      </c>
      <c r="L27">
        <v>4.4294299142578906E-5</v>
      </c>
      <c r="M27">
        <v>9.0358603376142128E-7</v>
      </c>
      <c r="N27" s="1">
        <v>1.61421262886818E-10</v>
      </c>
      <c r="O27" s="1">
        <v>4.0121075060043901E-14</v>
      </c>
      <c r="P27" s="1">
        <v>1.7442028098142299E-13</v>
      </c>
      <c r="Q27">
        <v>50.816494450896002</v>
      </c>
      <c r="R27">
        <v>1.7350696314924099E-2</v>
      </c>
      <c r="S27">
        <v>1.63479266590451</v>
      </c>
      <c r="T27">
        <v>0.48670067794107003</v>
      </c>
      <c r="V27">
        <v>29.414035967079101</v>
      </c>
      <c r="X27">
        <v>17.401456178131401</v>
      </c>
      <c r="AA27">
        <v>0.21350795629616201</v>
      </c>
      <c r="AB27">
        <v>1.5661407436645999E-2</v>
      </c>
      <c r="AJ27">
        <v>-0.98205505889384004</v>
      </c>
      <c r="AK27">
        <v>0.99002630098785205</v>
      </c>
      <c r="AL27">
        <v>0.94681349712907403</v>
      </c>
      <c r="AM27">
        <v>2.99496019008159E-2</v>
      </c>
      <c r="AN27">
        <v>-2.8945167726443701E-2</v>
      </c>
      <c r="AO27">
        <v>4.30420500986518E-2</v>
      </c>
      <c r="AP27">
        <v>1.16877650388859E-3</v>
      </c>
    </row>
    <row r="28" spans="1:42" x14ac:dyDescent="0.2">
      <c r="A28">
        <v>202</v>
      </c>
      <c r="B28">
        <v>767</v>
      </c>
      <c r="C28">
        <v>135</v>
      </c>
      <c r="D28">
        <v>0.45807864250348701</v>
      </c>
      <c r="E28">
        <v>5.9587673967865497E-2</v>
      </c>
      <c r="F28">
        <v>3.5306839669430801</v>
      </c>
      <c r="G28">
        <v>-0.78425660406735465</v>
      </c>
      <c r="H28">
        <v>-0.66415420264546088</v>
      </c>
      <c r="I28">
        <v>0.115466424479059</v>
      </c>
      <c r="J28">
        <v>6.7649735807987901E-2</v>
      </c>
      <c r="K28">
        <v>1.6877090820297098E-2</v>
      </c>
      <c r="L28">
        <v>4.4306062736107141E-5</v>
      </c>
      <c r="M28">
        <v>9.0356117489177206E-7</v>
      </c>
      <c r="N28" s="1">
        <v>6.9351961675816499E-11</v>
      </c>
      <c r="O28" s="1">
        <v>1.7236051556085601E-14</v>
      </c>
      <c r="P28" s="1">
        <v>1.1698721609475599E-13</v>
      </c>
      <c r="Q28">
        <v>50.865772366157898</v>
      </c>
      <c r="R28">
        <v>1.4970834683721099E-2</v>
      </c>
      <c r="S28">
        <v>1.53645306786375</v>
      </c>
      <c r="T28">
        <v>0.49531249850877301</v>
      </c>
      <c r="V28">
        <v>29.4275516800306</v>
      </c>
      <c r="X28">
        <v>17.413109182880302</v>
      </c>
      <c r="AA28">
        <v>0.23120777290172101</v>
      </c>
      <c r="AB28">
        <v>1.56225969731036E-2</v>
      </c>
      <c r="AJ28">
        <v>-0.97972239544700201</v>
      </c>
      <c r="AK28">
        <v>0.98929778929176204</v>
      </c>
      <c r="AL28">
        <v>0.94737953989633406</v>
      </c>
      <c r="AM28">
        <v>2.7530724479034999E-2</v>
      </c>
      <c r="AN28">
        <v>-2.66639409787746E-2</v>
      </c>
      <c r="AO28">
        <v>4.1012241379599197E-2</v>
      </c>
      <c r="AP28">
        <v>1.1660413790453401E-3</v>
      </c>
    </row>
    <row r="29" spans="1:42" x14ac:dyDescent="0.2">
      <c r="A29">
        <v>203</v>
      </c>
      <c r="B29">
        <v>766</v>
      </c>
      <c r="C29">
        <v>135</v>
      </c>
      <c r="D29">
        <v>0.45748977529712298</v>
      </c>
      <c r="E29">
        <v>0.114432311775614</v>
      </c>
      <c r="F29">
        <v>3.5264196613094798</v>
      </c>
      <c r="G29">
        <v>-1.5102462043711917</v>
      </c>
      <c r="H29">
        <v>-1.2797942216647584</v>
      </c>
      <c r="I29">
        <v>0.22176969899093699</v>
      </c>
      <c r="J29">
        <v>0.13008331420681801</v>
      </c>
      <c r="K29">
        <v>3.2449998232235898E-2</v>
      </c>
      <c r="L29">
        <v>4.4248952054072582E-5</v>
      </c>
      <c r="M29">
        <v>9.0222776800021467E-7</v>
      </c>
      <c r="N29" s="1">
        <v>1.35022628048613E-10</v>
      </c>
      <c r="O29" s="1">
        <v>3.35385204344739E-14</v>
      </c>
      <c r="P29" s="1">
        <v>2.0369229212975801E-13</v>
      </c>
      <c r="Q29">
        <v>50.936134253745898</v>
      </c>
      <c r="R29">
        <v>1.71902221590726E-2</v>
      </c>
      <c r="S29">
        <v>1.5658091817106701</v>
      </c>
      <c r="T29">
        <v>0.48414574759717</v>
      </c>
      <c r="V29">
        <v>29.1135392765439</v>
      </c>
      <c r="X29">
        <v>17.640606658379902</v>
      </c>
      <c r="AA29">
        <v>0.22693402521463499</v>
      </c>
      <c r="AB29">
        <v>1.5640634648626601E-2</v>
      </c>
      <c r="AJ29">
        <v>-0.96877019998481095</v>
      </c>
      <c r="AK29">
        <v>0.98948993150879605</v>
      </c>
      <c r="AL29">
        <v>0.935737407746702</v>
      </c>
      <c r="AM29">
        <v>2.83755004030176E-2</v>
      </c>
      <c r="AN29">
        <v>-2.7381846307915202E-2</v>
      </c>
      <c r="AO29">
        <v>4.1383728255751498E-2</v>
      </c>
      <c r="AP29">
        <v>1.1654783784580799E-3</v>
      </c>
    </row>
    <row r="30" spans="1:42" x14ac:dyDescent="0.2">
      <c r="A30">
        <v>204</v>
      </c>
      <c r="B30">
        <v>765</v>
      </c>
      <c r="C30">
        <v>135</v>
      </c>
      <c r="D30">
        <v>0.45689977363579698</v>
      </c>
      <c r="E30">
        <v>0.14569008426036101</v>
      </c>
      <c r="F30">
        <v>3.5270212026219401</v>
      </c>
      <c r="G30">
        <v>-1.922572233506763</v>
      </c>
      <c r="H30">
        <v>-1.629615006903286</v>
      </c>
      <c r="I30">
        <v>0.28219161643642698</v>
      </c>
      <c r="J30">
        <v>0.16561415460373899</v>
      </c>
      <c r="K30">
        <v>4.13068353975466E-2</v>
      </c>
      <c r="L30">
        <v>4.4243889207436581E-5</v>
      </c>
      <c r="M30">
        <v>9.0218401140621947E-7</v>
      </c>
      <c r="N30" s="1">
        <v>1.7284743010663501E-10</v>
      </c>
      <c r="O30" s="1">
        <v>4.2941131526887598E-14</v>
      </c>
      <c r="P30" s="1">
        <v>2.2137503840817999E-13</v>
      </c>
      <c r="Q30">
        <v>50.898722317224802</v>
      </c>
      <c r="R30">
        <v>1.7868035669617002E-2</v>
      </c>
      <c r="S30">
        <v>1.62579618569566</v>
      </c>
      <c r="T30">
        <v>0.48919290847976998</v>
      </c>
      <c r="V30">
        <v>29.111526446435899</v>
      </c>
      <c r="X30">
        <v>17.624898922629999</v>
      </c>
      <c r="AA30">
        <v>0.21652110102333</v>
      </c>
      <c r="AB30">
        <v>1.5474082840808199E-2</v>
      </c>
      <c r="AJ30">
        <v>-0.97058217658366197</v>
      </c>
      <c r="AK30">
        <v>0.98993121936878803</v>
      </c>
      <c r="AL30">
        <v>0.93566358473965205</v>
      </c>
      <c r="AM30">
        <v>2.9686604286243298E-2</v>
      </c>
      <c r="AN30">
        <v>-2.8653780310451599E-2</v>
      </c>
      <c r="AO30">
        <v>4.2801492154163998E-2</v>
      </c>
      <c r="AP30">
        <v>1.1530563452661899E-3</v>
      </c>
    </row>
    <row r="31" spans="1:42" x14ac:dyDescent="0.2">
      <c r="A31">
        <v>227</v>
      </c>
      <c r="B31">
        <v>772</v>
      </c>
      <c r="C31">
        <v>120</v>
      </c>
      <c r="D31">
        <v>0.47679328326077502</v>
      </c>
      <c r="E31">
        <v>8.4778364594463501E-2</v>
      </c>
      <c r="F31">
        <v>3.52345556219012</v>
      </c>
      <c r="G31">
        <v>-1.1209879885430496</v>
      </c>
      <c r="H31">
        <v>-0.94863741787539257</v>
      </c>
      <c r="I31">
        <v>0.16490510516926399</v>
      </c>
      <c r="J31">
        <v>9.6458235230141007E-2</v>
      </c>
      <c r="K31">
        <v>2.40611419948678E-2</v>
      </c>
      <c r="L31">
        <v>4.4237763703262526E-5</v>
      </c>
      <c r="M31">
        <v>9.016727517100201E-7</v>
      </c>
      <c r="N31" s="1">
        <v>1.00103570457579E-10</v>
      </c>
      <c r="O31" s="1">
        <v>2.4692498981273901E-14</v>
      </c>
      <c r="P31" s="1">
        <v>1.9437715859268399E-13</v>
      </c>
      <c r="Q31">
        <v>50.983325911808599</v>
      </c>
      <c r="R31">
        <v>1.59300404345466E-2</v>
      </c>
      <c r="S31">
        <v>1.5153243461349599</v>
      </c>
      <c r="T31">
        <v>0.494335791649959</v>
      </c>
      <c r="V31">
        <v>29.021945811929601</v>
      </c>
      <c r="X31">
        <v>17.7146395886443</v>
      </c>
      <c r="AA31">
        <v>0.23896420444673599</v>
      </c>
      <c r="AB31">
        <v>1.55343049511538E-2</v>
      </c>
      <c r="AJ31">
        <v>-0.963923989174721</v>
      </c>
      <c r="AK31">
        <v>0.989006797391628</v>
      </c>
      <c r="AL31">
        <v>0.93242742161004799</v>
      </c>
      <c r="AM31">
        <v>2.7041694016620599E-2</v>
      </c>
      <c r="AN31">
        <v>-2.6121244149758301E-2</v>
      </c>
      <c r="AO31">
        <v>4.0412219490244101E-2</v>
      </c>
      <c r="AP31">
        <v>1.15710081593826E-3</v>
      </c>
    </row>
    <row r="32" spans="1:42" x14ac:dyDescent="0.2">
      <c r="A32">
        <v>228</v>
      </c>
      <c r="B32">
        <v>771</v>
      </c>
      <c r="C32">
        <v>120</v>
      </c>
      <c r="D32">
        <v>0.47622515922041903</v>
      </c>
      <c r="E32">
        <v>0.122340728945456</v>
      </c>
      <c r="F32">
        <v>3.5203877594462001</v>
      </c>
      <c r="G32">
        <v>-1.6209458878872454</v>
      </c>
      <c r="H32">
        <v>-1.3724810042251481</v>
      </c>
      <c r="I32">
        <v>0.23795899407374099</v>
      </c>
      <c r="J32">
        <v>0.13932719337136501</v>
      </c>
      <c r="K32">
        <v>3.4752060655017798E-2</v>
      </c>
      <c r="L32">
        <v>4.4189741046762602E-5</v>
      </c>
      <c r="M32">
        <v>9.0065196638089615E-7</v>
      </c>
      <c r="N32" s="1">
        <v>1.46422990664521E-10</v>
      </c>
      <c r="O32" s="1">
        <v>3.6028912160859397E-14</v>
      </c>
      <c r="P32" s="1">
        <v>2.5657892345081399E-13</v>
      </c>
      <c r="Q32">
        <v>51.029079888474399</v>
      </c>
      <c r="R32">
        <v>1.7785205474330001E-2</v>
      </c>
      <c r="S32">
        <v>1.5485936791284201</v>
      </c>
      <c r="T32">
        <v>0.487015529060014</v>
      </c>
      <c r="V32">
        <v>28.786048442809602</v>
      </c>
      <c r="X32">
        <v>17.882868234102901</v>
      </c>
      <c r="AA32">
        <v>0.23309312196927801</v>
      </c>
      <c r="AB32">
        <v>1.5515898980903799E-2</v>
      </c>
      <c r="AJ32">
        <v>-0.95611256951134505</v>
      </c>
      <c r="AK32">
        <v>0.98926303375291302</v>
      </c>
      <c r="AL32">
        <v>0.92371252694504202</v>
      </c>
      <c r="AM32">
        <v>2.7920640159808802E-2</v>
      </c>
      <c r="AN32">
        <v>-2.68942595962125E-2</v>
      </c>
      <c r="AO32">
        <v>4.0956317904529201E-2</v>
      </c>
      <c r="AP32">
        <v>1.15431034526284E-3</v>
      </c>
    </row>
    <row r="33" spans="1:42" x14ac:dyDescent="0.2">
      <c r="A33">
        <v>254</v>
      </c>
      <c r="B33">
        <v>779</v>
      </c>
      <c r="C33">
        <v>105</v>
      </c>
      <c r="D33">
        <v>0.49642208810530802</v>
      </c>
      <c r="E33">
        <v>5.5458253653106498E-2</v>
      </c>
      <c r="F33">
        <v>3.5202923878678698</v>
      </c>
      <c r="G33">
        <v>-0.73485529252167925</v>
      </c>
      <c r="H33">
        <v>-0.62087482936700744</v>
      </c>
      <c r="I33">
        <v>0.108331001430092</v>
      </c>
      <c r="J33">
        <v>6.3163390154963195E-2</v>
      </c>
      <c r="K33">
        <v>1.5753877105275201E-2</v>
      </c>
      <c r="L33">
        <v>4.4224030622734243E-5</v>
      </c>
      <c r="M33">
        <v>9.0098971427656472E-7</v>
      </c>
      <c r="N33" s="1">
        <v>6.59976215025231E-11</v>
      </c>
      <c r="O33" s="1">
        <v>1.6049581592796799E-14</v>
      </c>
      <c r="P33" s="1">
        <v>1.5527034244495701E-13</v>
      </c>
      <c r="Q33">
        <v>51.0242635898692</v>
      </c>
      <c r="R33">
        <v>1.4913567345374299E-2</v>
      </c>
      <c r="S33">
        <v>1.4769941328782901</v>
      </c>
      <c r="T33">
        <v>0.50797185172514203</v>
      </c>
      <c r="V33">
        <v>28.9182362573566</v>
      </c>
      <c r="X33">
        <v>17.7917476763499</v>
      </c>
      <c r="AA33">
        <v>0.25042136818139199</v>
      </c>
      <c r="AB33">
        <v>1.54515562939672E-2</v>
      </c>
      <c r="AJ33">
        <v>-0.95900349387044603</v>
      </c>
      <c r="AK33">
        <v>0.98854638366873304</v>
      </c>
      <c r="AL33">
        <v>0.92868873268598595</v>
      </c>
      <c r="AM33">
        <v>2.59391856389562E-2</v>
      </c>
      <c r="AN33">
        <v>-2.5077845540736499E-2</v>
      </c>
      <c r="AO33">
        <v>3.9756604058060002E-2</v>
      </c>
      <c r="AP33">
        <v>1.1504333594459101E-3</v>
      </c>
    </row>
    <row r="34" spans="1:42" x14ac:dyDescent="0.2">
      <c r="A34">
        <v>255</v>
      </c>
      <c r="B34">
        <v>778</v>
      </c>
      <c r="C34">
        <v>105</v>
      </c>
      <c r="D34">
        <v>0.49587642106264601</v>
      </c>
      <c r="E34">
        <v>0.102668781537507</v>
      </c>
      <c r="F34">
        <v>3.5165722133310102</v>
      </c>
      <c r="G34">
        <v>-1.3636881491974588</v>
      </c>
      <c r="H34">
        <v>-1.1528674409061592</v>
      </c>
      <c r="I34">
        <v>0.20056196384083999</v>
      </c>
      <c r="J34">
        <v>0.117062129648093</v>
      </c>
      <c r="K34">
        <v>2.9195698341782601E-2</v>
      </c>
      <c r="L34">
        <v>4.4166909991097277E-5</v>
      </c>
      <c r="M34">
        <v>8.9979648457981332E-7</v>
      </c>
      <c r="N34" s="1">
        <v>1.24023884128656E-10</v>
      </c>
      <c r="O34" s="1">
        <v>3.0060789416474802E-14</v>
      </c>
      <c r="P34" s="1">
        <v>2.7007175037497599E-13</v>
      </c>
      <c r="Q34">
        <v>51.0856848043707</v>
      </c>
      <c r="R34">
        <v>1.69045229083894E-2</v>
      </c>
      <c r="S34">
        <v>1.5037714286855199</v>
      </c>
      <c r="T34">
        <v>0.49819198797335801</v>
      </c>
      <c r="V34">
        <v>28.641467368722001</v>
      </c>
      <c r="X34">
        <v>17.992056432353699</v>
      </c>
      <c r="AA34">
        <v>0.24647344118213901</v>
      </c>
      <c r="AB34">
        <v>1.54500138039925E-2</v>
      </c>
      <c r="AJ34">
        <v>-0.94943230625153097</v>
      </c>
      <c r="AK34">
        <v>0.98872517003628002</v>
      </c>
      <c r="AL34">
        <v>0.91847750614655499</v>
      </c>
      <c r="AM34">
        <v>2.6705520921922202E-2</v>
      </c>
      <c r="AN34">
        <v>-2.5730596544606198E-2</v>
      </c>
      <c r="AO34">
        <v>4.01060417300802E-2</v>
      </c>
      <c r="AP34">
        <v>1.1486639612996699E-3</v>
      </c>
    </row>
    <row r="35" spans="1:42" x14ac:dyDescent="0.2">
      <c r="A35">
        <v>256</v>
      </c>
      <c r="B35">
        <v>777</v>
      </c>
      <c r="C35">
        <v>105</v>
      </c>
      <c r="D35">
        <v>0.49532971480264998</v>
      </c>
      <c r="E35">
        <v>0.12872580569980199</v>
      </c>
      <c r="F35">
        <v>3.5143985335503198</v>
      </c>
      <c r="G35">
        <v>-1.7123244803153592</v>
      </c>
      <c r="H35">
        <v>-1.4482932594838969</v>
      </c>
      <c r="I35">
        <v>0.25142238806976303</v>
      </c>
      <c r="J35">
        <v>0.14687275921645099</v>
      </c>
      <c r="K35">
        <v>3.6628118430769199E-2</v>
      </c>
      <c r="L35">
        <v>4.4127520749611218E-5</v>
      </c>
      <c r="M35">
        <v>8.9902432038405852E-7</v>
      </c>
      <c r="N35" s="1">
        <v>1.5730101113440001E-10</v>
      </c>
      <c r="O35" s="1">
        <v>3.8048897054787503E-14</v>
      </c>
      <c r="P35" s="1">
        <v>3.1338093533792498E-13</v>
      </c>
      <c r="Q35">
        <v>51.113534221247498</v>
      </c>
      <c r="R35">
        <v>1.8472235132686698E-2</v>
      </c>
      <c r="S35">
        <v>1.5389883426192199</v>
      </c>
      <c r="T35">
        <v>0.49358168007437703</v>
      </c>
      <c r="V35">
        <v>28.4647134733912</v>
      </c>
      <c r="X35">
        <v>18.1158239261101</v>
      </c>
      <c r="AA35">
        <v>0.239479766976567</v>
      </c>
      <c r="AB35">
        <v>1.5406354448222401E-2</v>
      </c>
      <c r="AJ35">
        <v>-0.94395724010884696</v>
      </c>
      <c r="AK35">
        <v>0.98902586371729495</v>
      </c>
      <c r="AL35">
        <v>0.91196850769430604</v>
      </c>
      <c r="AM35">
        <v>2.7589211536707198E-2</v>
      </c>
      <c r="AN35">
        <v>-2.6524854774328699E-2</v>
      </c>
      <c r="AO35">
        <v>4.07541490252043E-2</v>
      </c>
      <c r="AP35">
        <v>1.14436290966291E-3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9BF64-6AF9-4B96-9977-411156FE1600}">
  <sheetPr codeName="Sheet9"/>
  <dimension ref="A1:AL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23</v>
      </c>
      <c r="B2">
        <v>735</v>
      </c>
      <c r="C2">
        <v>300</v>
      </c>
      <c r="D2">
        <v>0.25862272479293502</v>
      </c>
      <c r="E2">
        <v>0.91037142693083095</v>
      </c>
      <c r="F2">
        <v>2.2588114407447502</v>
      </c>
      <c r="G2">
        <v>-15.092763694215671</v>
      </c>
      <c r="H2">
        <v>-12.764534589859952</v>
      </c>
      <c r="I2">
        <v>2.3094074337704802</v>
      </c>
      <c r="J2">
        <v>1.4116633899578801</v>
      </c>
      <c r="K2">
        <v>0.40303117405438199</v>
      </c>
      <c r="L2">
        <v>1.2464071441427713E-5</v>
      </c>
      <c r="M2">
        <v>1.5426599334056842E-6</v>
      </c>
      <c r="N2">
        <v>0</v>
      </c>
      <c r="O2" s="1">
        <v>1.02251812844163E-12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0.110684738181155</v>
      </c>
      <c r="AE2">
        <v>7.4111683614555099</v>
      </c>
      <c r="AJ2">
        <v>5.1323903306148503E-3</v>
      </c>
      <c r="AK2">
        <v>0.89849592023769398</v>
      </c>
      <c r="AL2">
        <v>9.6371689431690402E-2</v>
      </c>
    </row>
    <row r="3" spans="1:38" x14ac:dyDescent="0.2">
      <c r="A3">
        <v>24</v>
      </c>
      <c r="B3">
        <v>734</v>
      </c>
      <c r="C3">
        <v>300</v>
      </c>
      <c r="D3">
        <v>0.25781710768008598</v>
      </c>
      <c r="E3">
        <v>3.0329278412175</v>
      </c>
      <c r="F3">
        <v>2.2588307363625502</v>
      </c>
      <c r="G3">
        <v>-50.275076715865339</v>
      </c>
      <c r="H3">
        <v>-42.53051313329361</v>
      </c>
      <c r="I3">
        <v>7.6895830636665101</v>
      </c>
      <c r="J3">
        <v>4.7019822582263204</v>
      </c>
      <c r="K3">
        <v>1.34269814572361</v>
      </c>
      <c r="L3">
        <v>1.246422679644097E-5</v>
      </c>
      <c r="M3">
        <v>1.5426791614689642E-6</v>
      </c>
      <c r="N3">
        <v>0</v>
      </c>
      <c r="O3" s="1">
        <v>3.4065610701191499E-12</v>
      </c>
      <c r="P3">
        <v>0</v>
      </c>
      <c r="Q3">
        <v>55.017941986220698</v>
      </c>
      <c r="S3">
        <v>23.340955074290701</v>
      </c>
      <c r="AB3">
        <v>14.116014854518101</v>
      </c>
      <c r="AC3">
        <v>0.109725336789848</v>
      </c>
      <c r="AE3">
        <v>7.4153627481804296</v>
      </c>
      <c r="AJ3">
        <v>5.0881159663494803E-3</v>
      </c>
      <c r="AK3">
        <v>0.89904198472366803</v>
      </c>
      <c r="AL3">
        <v>9.5869899309982201E-2</v>
      </c>
    </row>
    <row r="4" spans="1:38" x14ac:dyDescent="0.2">
      <c r="A4">
        <v>25</v>
      </c>
      <c r="B4">
        <v>733</v>
      </c>
      <c r="C4">
        <v>300</v>
      </c>
      <c r="D4">
        <v>0.257009889181535</v>
      </c>
      <c r="E4">
        <v>3.6842611826806801</v>
      </c>
      <c r="F4">
        <v>2.25885008191772</v>
      </c>
      <c r="G4">
        <v>-61.063484912117666</v>
      </c>
      <c r="H4">
        <v>-51.670314712442242</v>
      </c>
      <c r="I4">
        <v>9.3357553045524302</v>
      </c>
      <c r="J4">
        <v>5.7105157383487404</v>
      </c>
      <c r="K4">
        <v>1.63103395491957</v>
      </c>
      <c r="L4">
        <v>1.2464382155327028E-5</v>
      </c>
      <c r="M4">
        <v>1.5426983900115755E-6</v>
      </c>
      <c r="N4">
        <v>0</v>
      </c>
      <c r="O4" s="1">
        <v>4.1381497750459E-12</v>
      </c>
      <c r="P4">
        <v>0</v>
      </c>
      <c r="Q4">
        <v>55.015648282388298</v>
      </c>
      <c r="S4">
        <v>23.339981987399899</v>
      </c>
      <c r="AB4">
        <v>14.116050866994801</v>
      </c>
      <c r="AC4">
        <v>0.10877155240579001</v>
      </c>
      <c r="AE4">
        <v>7.4195473108109899</v>
      </c>
      <c r="AJ4">
        <v>5.0440979513190999E-3</v>
      </c>
      <c r="AK4">
        <v>0.89958682688870195</v>
      </c>
      <c r="AL4">
        <v>9.53690751599785E-2</v>
      </c>
    </row>
    <row r="5" spans="1:38" x14ac:dyDescent="0.2">
      <c r="A5">
        <v>48</v>
      </c>
      <c r="B5">
        <v>735</v>
      </c>
      <c r="C5">
        <v>285</v>
      </c>
      <c r="D5">
        <v>0.27498933690423</v>
      </c>
      <c r="E5">
        <v>0.10666397871991699</v>
      </c>
      <c r="F5">
        <v>2.2582718293314001</v>
      </c>
      <c r="G5">
        <v>-1.7689271463095335</v>
      </c>
      <c r="H5">
        <v>-1.4962241235805647</v>
      </c>
      <c r="I5">
        <v>0.27049846027770502</v>
      </c>
      <c r="J5">
        <v>0.165317617688266</v>
      </c>
      <c r="K5">
        <v>4.72325684333125E-2</v>
      </c>
      <c r="L5">
        <v>1.2461187579539849E-5</v>
      </c>
      <c r="M5">
        <v>1.5426834744123439E-6</v>
      </c>
      <c r="N5">
        <v>0</v>
      </c>
      <c r="O5" s="1">
        <v>1.19804586121062E-13</v>
      </c>
      <c r="P5">
        <v>0</v>
      </c>
      <c r="Q5">
        <v>55.035899597832604</v>
      </c>
      <c r="S5">
        <v>23.348573458234998</v>
      </c>
      <c r="AB5">
        <v>14.1216615078696</v>
      </c>
      <c r="AC5">
        <v>0.10818156930775</v>
      </c>
      <c r="AE5">
        <v>7.3856838667549098</v>
      </c>
      <c r="AJ5">
        <v>5.0148924896517297E-3</v>
      </c>
      <c r="AK5">
        <v>0.89515153003223202</v>
      </c>
      <c r="AL5">
        <v>9.9833577478116303E-2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8980E-5ABF-431C-8EF1-0CDF60EAF880}">
  <sheetPr codeName="Sheet10"/>
  <dimension ref="A1:AL16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23</v>
      </c>
      <c r="B5">
        <v>735</v>
      </c>
      <c r="C5">
        <v>300</v>
      </c>
      <c r="D5">
        <v>0.25862272479293502</v>
      </c>
      <c r="E5">
        <v>19.7362748635983</v>
      </c>
      <c r="F5">
        <v>2.5272419128810699</v>
      </c>
      <c r="G5">
        <v>-310.24786829599503</v>
      </c>
      <c r="H5">
        <v>-269.57399303255818</v>
      </c>
      <c r="I5">
        <v>40.345062999986901</v>
      </c>
      <c r="J5">
        <v>23.573451412459299</v>
      </c>
      <c r="K5">
        <v>7.8094126102470502</v>
      </c>
      <c r="L5">
        <v>2.9026293110357095E-5</v>
      </c>
      <c r="M5">
        <v>1.7925769290573486E-6</v>
      </c>
      <c r="N5" s="1">
        <v>-2.7056960370420901E-7</v>
      </c>
      <c r="O5" s="1">
        <v>7.3645715651010995E-11</v>
      </c>
      <c r="P5" s="1">
        <v>9.3632357962686808E-10</v>
      </c>
      <c r="Q5">
        <v>66.006926484517294</v>
      </c>
      <c r="S5">
        <v>18.963411836458299</v>
      </c>
      <c r="AA5">
        <v>0.243195012212787</v>
      </c>
      <c r="AB5">
        <v>4.47286891844956</v>
      </c>
      <c r="AC5">
        <v>10.3135977483619</v>
      </c>
      <c r="AJ5">
        <v>0.39260313815356601</v>
      </c>
      <c r="AK5">
        <v>1.17959534384472E-2</v>
      </c>
      <c r="AL5">
        <v>0.59560090840798596</v>
      </c>
    </row>
    <row r="6" spans="1:38" x14ac:dyDescent="0.2">
      <c r="A6">
        <v>24</v>
      </c>
      <c r="B6">
        <v>734</v>
      </c>
      <c r="C6">
        <v>300</v>
      </c>
      <c r="D6">
        <v>0.25781710768008598</v>
      </c>
      <c r="E6">
        <v>34.466969799898997</v>
      </c>
      <c r="F6">
        <v>2.5272429937545402</v>
      </c>
      <c r="G6">
        <v>-541.64342555791404</v>
      </c>
      <c r="H6">
        <v>-470.73907502357469</v>
      </c>
      <c r="I6">
        <v>70.400983502298004</v>
      </c>
      <c r="J6">
        <v>41.169866257268197</v>
      </c>
      <c r="K6">
        <v>13.638170086958599</v>
      </c>
      <c r="L6">
        <v>2.9025802881630809E-5</v>
      </c>
      <c r="M6">
        <v>1.792304923472325E-6</v>
      </c>
      <c r="N6" s="1">
        <v>-4.8419440276967097E-7</v>
      </c>
      <c r="O6" s="1">
        <v>1.28555198756056E-10</v>
      </c>
      <c r="P6" s="1">
        <v>1.6678845583290299E-9</v>
      </c>
      <c r="Q6">
        <v>65.9949872661943</v>
      </c>
      <c r="S6">
        <v>18.9583494630016</v>
      </c>
      <c r="AA6">
        <v>0.241804355652533</v>
      </c>
      <c r="AB6">
        <v>4.4329913404017898</v>
      </c>
      <c r="AC6">
        <v>10.3718675747497</v>
      </c>
      <c r="AJ6">
        <v>0.38918177804000398</v>
      </c>
      <c r="AK6">
        <v>1.1730878180531E-2</v>
      </c>
      <c r="AL6">
        <v>0.59908734377946404</v>
      </c>
    </row>
    <row r="7" spans="1:38" x14ac:dyDescent="0.2">
      <c r="A7">
        <v>25</v>
      </c>
      <c r="B7">
        <v>733</v>
      </c>
      <c r="C7">
        <v>300</v>
      </c>
      <c r="D7">
        <v>0.257009889181535</v>
      </c>
      <c r="E7">
        <v>36.956296552502799</v>
      </c>
      <c r="F7">
        <v>2.5272474933772799</v>
      </c>
      <c r="G7">
        <v>-580.58640001975391</v>
      </c>
      <c r="H7">
        <v>-504.6975678005744</v>
      </c>
      <c r="I7">
        <v>75.424968661908807</v>
      </c>
      <c r="J7">
        <v>44.145646952790003</v>
      </c>
      <c r="K7">
        <v>14.623141045484299</v>
      </c>
      <c r="L7">
        <v>2.9026444735213865E-5</v>
      </c>
      <c r="M7">
        <v>1.7920433440352724E-6</v>
      </c>
      <c r="N7" s="1">
        <v>-5.3203016743855301E-7</v>
      </c>
      <c r="O7" s="1">
        <v>1.3777463638259499E-10</v>
      </c>
      <c r="P7" s="1">
        <v>1.8243459171685201E-9</v>
      </c>
      <c r="Q7">
        <v>65.983249973289702</v>
      </c>
      <c r="S7">
        <v>18.9533707527433</v>
      </c>
      <c r="AA7">
        <v>0.24043560555173699</v>
      </c>
      <c r="AB7">
        <v>4.3937830762739001</v>
      </c>
      <c r="AC7">
        <v>10.4291605921412</v>
      </c>
      <c r="AJ7">
        <v>0.38581649027594001</v>
      </c>
      <c r="AK7">
        <v>1.16667998220286E-2</v>
      </c>
      <c r="AL7">
        <v>0.60251670990202999</v>
      </c>
    </row>
    <row r="8" spans="1:38" x14ac:dyDescent="0.2">
      <c r="A8">
        <v>43</v>
      </c>
      <c r="B8">
        <v>740</v>
      </c>
      <c r="C8">
        <v>285</v>
      </c>
      <c r="D8">
        <v>0.27891279672309399</v>
      </c>
      <c r="E8">
        <v>1.90656126606854</v>
      </c>
      <c r="F8">
        <v>2.5257572865292</v>
      </c>
      <c r="G8">
        <v>-29.986656766172523</v>
      </c>
      <c r="H8">
        <v>-26.02861424942714</v>
      </c>
      <c r="I8">
        <v>3.9066698087601801</v>
      </c>
      <c r="J8">
        <v>2.2717487095462499</v>
      </c>
      <c r="K8">
        <v>0.75484737834349203</v>
      </c>
      <c r="L8">
        <v>2.8760452746170682E-5</v>
      </c>
      <c r="M8">
        <v>1.7919631746856931E-6</v>
      </c>
      <c r="N8" s="1">
        <v>-2.0987346841555399E-8</v>
      </c>
      <c r="O8" s="1">
        <v>7.1645568400216101E-12</v>
      </c>
      <c r="P8" s="1">
        <v>7.5760523662126896E-11</v>
      </c>
      <c r="Q8">
        <v>65.996479949545105</v>
      </c>
      <c r="S8">
        <v>18.934565867384102</v>
      </c>
      <c r="AA8">
        <v>0.22183434848991701</v>
      </c>
      <c r="AB8">
        <v>4.3739659172251502</v>
      </c>
      <c r="AC8">
        <v>10.4731539173555</v>
      </c>
      <c r="AJ8">
        <v>0.384115202673732</v>
      </c>
      <c r="AK8">
        <v>1.0765288782842299E-2</v>
      </c>
      <c r="AL8">
        <v>0.605119508543425</v>
      </c>
    </row>
    <row r="9" spans="1:38" x14ac:dyDescent="0.2">
      <c r="A9">
        <v>44</v>
      </c>
      <c r="B9">
        <v>739</v>
      </c>
      <c r="C9">
        <v>285</v>
      </c>
      <c r="D9">
        <v>0.27813120584893603</v>
      </c>
      <c r="E9">
        <v>7.99928724729254</v>
      </c>
      <c r="F9">
        <v>2.5265874577598302</v>
      </c>
      <c r="G9">
        <v>-125.92645143515735</v>
      </c>
      <c r="H9">
        <v>-109.32491908649705</v>
      </c>
      <c r="I9">
        <v>16.402245071046998</v>
      </c>
      <c r="J9">
        <v>9.5489790214547892</v>
      </c>
      <c r="K9">
        <v>3.1660440736870301</v>
      </c>
      <c r="L9">
        <v>2.8969471107058214E-5</v>
      </c>
      <c r="M9">
        <v>1.794024738949599E-6</v>
      </c>
      <c r="N9" s="1">
        <v>-9.6785532414877095E-8</v>
      </c>
      <c r="O9" s="1">
        <v>2.9925974023043103E-11</v>
      </c>
      <c r="P9" s="1">
        <v>3.4309019748770102E-10</v>
      </c>
      <c r="Q9">
        <v>66.035043163130098</v>
      </c>
      <c r="S9">
        <v>18.983950952790899</v>
      </c>
      <c r="AA9">
        <v>0.25357935091621697</v>
      </c>
      <c r="AB9">
        <v>4.5893713929153499</v>
      </c>
      <c r="AC9">
        <v>10.1380551402473</v>
      </c>
      <c r="AJ9">
        <v>0.40259065835526497</v>
      </c>
      <c r="AK9">
        <v>1.2292357017070901E-2</v>
      </c>
      <c r="AL9">
        <v>0.58511698462766404</v>
      </c>
    </row>
    <row r="10" spans="1:38" x14ac:dyDescent="0.2">
      <c r="A10">
        <v>45</v>
      </c>
      <c r="B10">
        <v>738</v>
      </c>
      <c r="C10">
        <v>285</v>
      </c>
      <c r="D10">
        <v>0.277348069030313</v>
      </c>
      <c r="E10">
        <v>16.025444378930199</v>
      </c>
      <c r="F10">
        <v>2.5266478312666498</v>
      </c>
      <c r="G10">
        <v>-252.27361295185037</v>
      </c>
      <c r="H10">
        <v>-219.06143960299735</v>
      </c>
      <c r="I10">
        <v>32.8459411055263</v>
      </c>
      <c r="J10">
        <v>19.140132900524801</v>
      </c>
      <c r="K10">
        <v>6.3425714421373902</v>
      </c>
      <c r="L10">
        <v>2.9029933633913188E-5</v>
      </c>
      <c r="M10">
        <v>1.7946267966082285E-6</v>
      </c>
      <c r="N10" s="1">
        <v>-2.0248362170909501E-7</v>
      </c>
      <c r="O10" s="1">
        <v>5.9875570539088694E-11</v>
      </c>
      <c r="P10" s="1">
        <v>7.1185526229684703E-10</v>
      </c>
      <c r="Q10">
        <v>66.049569362655205</v>
      </c>
      <c r="S10">
        <v>18.9832903484178</v>
      </c>
      <c r="AA10">
        <v>0.24964485547104501</v>
      </c>
      <c r="AB10">
        <v>4.6200103894450004</v>
      </c>
      <c r="AC10">
        <v>10.0974850440107</v>
      </c>
      <c r="AJ10">
        <v>0.40521537341660802</v>
      </c>
      <c r="AK10">
        <v>1.20997493143374E-2</v>
      </c>
      <c r="AL10">
        <v>0.58268487726905405</v>
      </c>
    </row>
    <row r="11" spans="1:38" x14ac:dyDescent="0.2">
      <c r="A11">
        <v>46</v>
      </c>
      <c r="B11">
        <v>737</v>
      </c>
      <c r="C11">
        <v>285</v>
      </c>
      <c r="D11">
        <v>0.27656338167599098</v>
      </c>
      <c r="E11">
        <v>27.001859186613299</v>
      </c>
      <c r="F11">
        <v>2.5267401281617499</v>
      </c>
      <c r="G11">
        <v>-425.11213670748134</v>
      </c>
      <c r="H11">
        <v>-369.22190141958038</v>
      </c>
      <c r="I11">
        <v>55.328649495521397</v>
      </c>
      <c r="J11">
        <v>32.274253606695702</v>
      </c>
      <c r="K11">
        <v>10.6864409543603</v>
      </c>
      <c r="L11">
        <v>2.9117885156567884E-5</v>
      </c>
      <c r="M11">
        <v>1.7955926727056876E-6</v>
      </c>
      <c r="N11" s="1">
        <v>-3.5880420745577098E-7</v>
      </c>
      <c r="O11" s="1">
        <v>1.00715230012603E-10</v>
      </c>
      <c r="P11" s="1">
        <v>1.24987029755975E-9</v>
      </c>
      <c r="Q11">
        <v>66.074684167972293</v>
      </c>
      <c r="S11">
        <v>18.984445054750399</v>
      </c>
      <c r="AA11">
        <v>0.24473730353932299</v>
      </c>
      <c r="AB11">
        <v>4.67900459926497</v>
      </c>
      <c r="AC11">
        <v>10.0171288744728</v>
      </c>
      <c r="AJ11">
        <v>0.41026683937452002</v>
      </c>
      <c r="AK11">
        <v>1.18583401773654E-2</v>
      </c>
      <c r="AL11">
        <v>0.577874820448114</v>
      </c>
    </row>
    <row r="12" spans="1:38" x14ac:dyDescent="0.2">
      <c r="A12">
        <v>47</v>
      </c>
      <c r="B12">
        <v>736</v>
      </c>
      <c r="C12">
        <v>285</v>
      </c>
      <c r="D12">
        <v>0.27577713917653601</v>
      </c>
      <c r="E12">
        <v>35.624797676970999</v>
      </c>
      <c r="F12">
        <v>2.5268196330424799</v>
      </c>
      <c r="G12">
        <v>-560.89760826201939</v>
      </c>
      <c r="H12">
        <v>-487.25754827964266</v>
      </c>
      <c r="I12">
        <v>72.972362862187595</v>
      </c>
      <c r="J12">
        <v>42.609404389738302</v>
      </c>
      <c r="K12">
        <v>14.098670602015201</v>
      </c>
      <c r="L12">
        <v>2.9194740211643098E-5</v>
      </c>
      <c r="M12">
        <v>1.7963849970893842E-6</v>
      </c>
      <c r="N12" s="1">
        <v>-4.9580053875889602E-7</v>
      </c>
      <c r="O12" s="1">
        <v>1.32670508974225E-10</v>
      </c>
      <c r="P12" s="1">
        <v>1.71297754596397E-9</v>
      </c>
      <c r="Q12">
        <v>66.094442311061599</v>
      </c>
      <c r="S12">
        <v>18.9846146681225</v>
      </c>
      <c r="AA12">
        <v>0.240266943729258</v>
      </c>
      <c r="AB12">
        <v>4.7234792252562103</v>
      </c>
      <c r="AC12">
        <v>9.9571968518303393</v>
      </c>
      <c r="AJ12">
        <v>0.41407305278217399</v>
      </c>
      <c r="AK12">
        <v>1.16391100091897E-2</v>
      </c>
      <c r="AL12">
        <v>0.57428783720863497</v>
      </c>
    </row>
    <row r="13" spans="1:38" x14ac:dyDescent="0.2">
      <c r="A13">
        <v>48</v>
      </c>
      <c r="B13">
        <v>735</v>
      </c>
      <c r="C13">
        <v>285</v>
      </c>
      <c r="D13">
        <v>0.27498933690423</v>
      </c>
      <c r="E13">
        <v>37.674209101931602</v>
      </c>
      <c r="F13">
        <v>2.5268416818614399</v>
      </c>
      <c r="G13">
        <v>-593.06700017297146</v>
      </c>
      <c r="H13">
        <v>-515.31578666104713</v>
      </c>
      <c r="I13">
        <v>77.122663801938501</v>
      </c>
      <c r="J13">
        <v>45.074468544940402</v>
      </c>
      <c r="K13">
        <v>14.909604100791199</v>
      </c>
      <c r="L13">
        <v>2.9226531265871828E-5</v>
      </c>
      <c r="M13">
        <v>1.7965392607778833E-6</v>
      </c>
      <c r="N13" s="1">
        <v>-5.4207590958766397E-7</v>
      </c>
      <c r="O13" s="1">
        <v>1.4017219463564801E-10</v>
      </c>
      <c r="P13" s="1">
        <v>1.8617842630217099E-9</v>
      </c>
      <c r="Q13">
        <v>66.095307292519905</v>
      </c>
      <c r="S13">
        <v>18.9815188767049</v>
      </c>
      <c r="AA13">
        <v>0.237511052513142</v>
      </c>
      <c r="AB13">
        <v>4.71729077037606</v>
      </c>
      <c r="AC13">
        <v>9.9683720078858897</v>
      </c>
      <c r="AJ13">
        <v>0.41354356787095198</v>
      </c>
      <c r="AK13">
        <v>1.1505970022914E-2</v>
      </c>
      <c r="AL13">
        <v>0.57495046210613199</v>
      </c>
    </row>
    <row r="14" spans="1:38" x14ac:dyDescent="0.2">
      <c r="A14">
        <v>64</v>
      </c>
      <c r="B14">
        <v>742</v>
      </c>
      <c r="C14">
        <v>270</v>
      </c>
      <c r="D14">
        <v>0.29672511451509398</v>
      </c>
      <c r="E14">
        <v>1.7334750368007099</v>
      </c>
      <c r="F14">
        <v>2.5256641938220401</v>
      </c>
      <c r="G14">
        <v>-27.312784012195841</v>
      </c>
      <c r="H14">
        <v>-23.697443199927811</v>
      </c>
      <c r="I14">
        <v>3.5613858171383801</v>
      </c>
      <c r="J14">
        <v>2.06768643230828</v>
      </c>
      <c r="K14">
        <v>0.68634422622014202</v>
      </c>
      <c r="L14">
        <v>2.8883707606002683E-5</v>
      </c>
      <c r="M14">
        <v>1.7949268862870233E-6</v>
      </c>
      <c r="N14" s="1">
        <v>-1.8721294124161299E-8</v>
      </c>
      <c r="O14" s="1">
        <v>6.5032236140666198E-12</v>
      </c>
      <c r="P14" s="1">
        <v>6.7926629637112206E-11</v>
      </c>
      <c r="Q14">
        <v>66.049707724448993</v>
      </c>
      <c r="S14">
        <v>18.982619645889301</v>
      </c>
      <c r="AA14">
        <v>0.24905923418451301</v>
      </c>
      <c r="AB14">
        <v>4.6185603874077099</v>
      </c>
      <c r="AC14">
        <v>10.1000530080694</v>
      </c>
      <c r="AJ14">
        <v>0.40509118304554698</v>
      </c>
      <c r="AK14">
        <v>1.20714545356502E-2</v>
      </c>
      <c r="AL14">
        <v>0.58283736241880202</v>
      </c>
    </row>
    <row r="15" spans="1:38" x14ac:dyDescent="0.2">
      <c r="A15">
        <v>65</v>
      </c>
      <c r="B15">
        <v>741</v>
      </c>
      <c r="C15">
        <v>270</v>
      </c>
      <c r="D15">
        <v>0.295962628802445</v>
      </c>
      <c r="E15">
        <v>11.274774199344099</v>
      </c>
      <c r="F15">
        <v>2.52602663651462</v>
      </c>
      <c r="G15">
        <v>-177.69900380701273</v>
      </c>
      <c r="H15">
        <v>-154.20875178044025</v>
      </c>
      <c r="I15">
        <v>23.162502614576201</v>
      </c>
      <c r="J15">
        <v>13.4608667884828</v>
      </c>
      <c r="K15">
        <v>4.4634423233560598</v>
      </c>
      <c r="L15">
        <v>2.8989215844202442E-5</v>
      </c>
      <c r="M15">
        <v>1.7959875819629138E-6</v>
      </c>
      <c r="N15" s="1">
        <v>-1.2927925028254299E-7</v>
      </c>
      <c r="O15" s="1">
        <v>4.2202140322045699E-11</v>
      </c>
      <c r="P15" s="1">
        <v>4.6344076959400199E-10</v>
      </c>
      <c r="Q15">
        <v>66.070570715474005</v>
      </c>
      <c r="S15">
        <v>19.000120117935602</v>
      </c>
      <c r="AA15">
        <v>0.25862920907290299</v>
      </c>
      <c r="AB15">
        <v>4.7109322069643298</v>
      </c>
      <c r="AC15">
        <v>9.9597477505529692</v>
      </c>
      <c r="AJ15">
        <v>0.41299927689087301</v>
      </c>
      <c r="AK15">
        <v>1.2529415130725001E-2</v>
      </c>
      <c r="AL15">
        <v>0.57447130797840096</v>
      </c>
    </row>
    <row r="16" spans="1:38" x14ac:dyDescent="0.2">
      <c r="A16">
        <v>66</v>
      </c>
      <c r="B16">
        <v>740</v>
      </c>
      <c r="C16">
        <v>270</v>
      </c>
      <c r="D16">
        <v>0.295198637911468</v>
      </c>
      <c r="E16">
        <v>18.047473833696301</v>
      </c>
      <c r="F16">
        <v>2.5260680199302401</v>
      </c>
      <c r="G16">
        <v>-284.41565099983359</v>
      </c>
      <c r="H16">
        <v>-246.87152662089335</v>
      </c>
      <c r="I16">
        <v>37.056827102541703</v>
      </c>
      <c r="J16">
        <v>21.554581161831202</v>
      </c>
      <c r="K16">
        <v>7.1444924251068596</v>
      </c>
      <c r="L16">
        <v>2.9030193642656473E-5</v>
      </c>
      <c r="M16">
        <v>1.7963411162061082E-6</v>
      </c>
      <c r="N16" s="1">
        <v>-2.1497968772834501E-7</v>
      </c>
      <c r="O16" s="1">
        <v>6.7486746186486602E-11</v>
      </c>
      <c r="P16" s="1">
        <v>7.64782374465426E-10</v>
      </c>
      <c r="Q16">
        <v>66.077858627650897</v>
      </c>
      <c r="S16">
        <v>18.998135311638599</v>
      </c>
      <c r="AA16">
        <v>0.25529118888072599</v>
      </c>
      <c r="AB16">
        <v>4.7219695007379796</v>
      </c>
      <c r="AC16">
        <v>9.9467453710917297</v>
      </c>
      <c r="AJ16">
        <v>0.41394374120910998</v>
      </c>
      <c r="AK16">
        <v>1.23670113395508E-2</v>
      </c>
      <c r="AL16">
        <v>0.57368924745133798</v>
      </c>
    </row>
    <row r="17" spans="1:38" x14ac:dyDescent="0.2">
      <c r="A17">
        <v>67</v>
      </c>
      <c r="B17">
        <v>739</v>
      </c>
      <c r="C17">
        <v>270</v>
      </c>
      <c r="D17">
        <v>0.29443313738082399</v>
      </c>
      <c r="E17">
        <v>32.032041490149403</v>
      </c>
      <c r="F17">
        <v>2.52616276075931</v>
      </c>
      <c r="G17">
        <v>-504.84714878174492</v>
      </c>
      <c r="H17">
        <v>-438.29638605655686</v>
      </c>
      <c r="I17">
        <v>65.751877414600699</v>
      </c>
      <c r="J17">
        <v>38.282844673073498</v>
      </c>
      <c r="K17">
        <v>12.680117840277701</v>
      </c>
      <c r="L17">
        <v>2.9110371757625888E-5</v>
      </c>
      <c r="M17">
        <v>1.797234289230698E-6</v>
      </c>
      <c r="N17" s="1">
        <v>-4.0067847697148998E-7</v>
      </c>
      <c r="O17" s="1">
        <v>1.1959506889592201E-10</v>
      </c>
      <c r="P17" s="1">
        <v>1.41215912862213E-9</v>
      </c>
      <c r="Q17">
        <v>66.100899586563798</v>
      </c>
      <c r="S17">
        <v>18.999013899590999</v>
      </c>
      <c r="AA17">
        <v>0.250639740165224</v>
      </c>
      <c r="AB17">
        <v>4.7756183748099899</v>
      </c>
      <c r="AC17">
        <v>9.8738283988699003</v>
      </c>
      <c r="AJ17">
        <v>0.418532879641625</v>
      </c>
      <c r="AK17">
        <v>1.2138378874483199E-2</v>
      </c>
      <c r="AL17">
        <v>0.56932874148389101</v>
      </c>
    </row>
    <row r="18" spans="1:38" x14ac:dyDescent="0.2">
      <c r="A18">
        <v>68</v>
      </c>
      <c r="B18">
        <v>738</v>
      </c>
      <c r="C18">
        <v>270</v>
      </c>
      <c r="D18">
        <v>0.29366612273154402</v>
      </c>
      <c r="E18">
        <v>36.882074061444001</v>
      </c>
      <c r="F18">
        <v>2.52620294653082</v>
      </c>
      <c r="G18">
        <v>-581.22953556090613</v>
      </c>
      <c r="H18">
        <v>-504.71854509020284</v>
      </c>
      <c r="I18">
        <v>75.667300074868606</v>
      </c>
      <c r="J18">
        <v>44.096202877217699</v>
      </c>
      <c r="K18">
        <v>14.5998064455167</v>
      </c>
      <c r="L18">
        <v>2.9152823661825063E-5</v>
      </c>
      <c r="M18">
        <v>1.7975776891556031E-6</v>
      </c>
      <c r="N18" s="1">
        <v>-4.7894062428214198E-7</v>
      </c>
      <c r="O18" s="1">
        <v>1.37560612976668E-10</v>
      </c>
      <c r="P18" s="1">
        <v>1.6760831189377501E-9</v>
      </c>
      <c r="Q18">
        <v>66.107639059110994</v>
      </c>
      <c r="S18">
        <v>18.996898867783301</v>
      </c>
      <c r="AA18">
        <v>0.24732225348331199</v>
      </c>
      <c r="AB18">
        <v>4.7850920971686497</v>
      </c>
      <c r="AC18">
        <v>9.8630477224536204</v>
      </c>
      <c r="AJ18">
        <v>0.41934302781291899</v>
      </c>
      <c r="AK18">
        <v>1.1977139584899E-2</v>
      </c>
      <c r="AL18">
        <v>0.56867983260218102</v>
      </c>
    </row>
    <row r="19" spans="1:38" x14ac:dyDescent="0.2">
      <c r="A19">
        <v>69</v>
      </c>
      <c r="B19">
        <v>737</v>
      </c>
      <c r="C19">
        <v>270</v>
      </c>
      <c r="D19">
        <v>0.29289758946691402</v>
      </c>
      <c r="E19">
        <v>38.321939117057099</v>
      </c>
      <c r="F19">
        <v>2.52622399685215</v>
      </c>
      <c r="G19">
        <v>-603.82217924223278</v>
      </c>
      <c r="H19">
        <v>-524.4514506936905</v>
      </c>
      <c r="I19">
        <v>78.573210462349493</v>
      </c>
      <c r="J19">
        <v>45.830795035030803</v>
      </c>
      <c r="K19">
        <v>15.169652083429201</v>
      </c>
      <c r="L19">
        <v>2.918280742193013E-5</v>
      </c>
      <c r="M19">
        <v>1.7977326651976327E-6</v>
      </c>
      <c r="N19" s="1">
        <v>-5.1461204821947004E-7</v>
      </c>
      <c r="O19" s="1">
        <v>1.42806090286277E-10</v>
      </c>
      <c r="P19" s="1">
        <v>1.7896876894468301E-9</v>
      </c>
      <c r="Q19">
        <v>66.108754009959796</v>
      </c>
      <c r="S19">
        <v>18.993779828165</v>
      </c>
      <c r="AA19">
        <v>0.244488855323614</v>
      </c>
      <c r="AB19">
        <v>4.7793997374917003</v>
      </c>
      <c r="AC19">
        <v>9.8735775690597993</v>
      </c>
      <c r="AJ19">
        <v>0.41885629762288401</v>
      </c>
      <c r="AK19">
        <v>1.18402685217262E-2</v>
      </c>
      <c r="AL19">
        <v>0.56930343385538895</v>
      </c>
    </row>
    <row r="20" spans="1:38" x14ac:dyDescent="0.2">
      <c r="A20">
        <v>83</v>
      </c>
      <c r="B20">
        <v>744</v>
      </c>
      <c r="C20">
        <v>255</v>
      </c>
      <c r="D20">
        <v>0.31446738435825899</v>
      </c>
      <c r="E20">
        <v>5.14501295657589</v>
      </c>
      <c r="F20">
        <v>2.5254471628421298</v>
      </c>
      <c r="G20">
        <v>-81.191194703858471</v>
      </c>
      <c r="H20">
        <v>-70.414514834073643</v>
      </c>
      <c r="I20">
        <v>10.5949760308556</v>
      </c>
      <c r="J20">
        <v>6.1413654313248003</v>
      </c>
      <c r="K20">
        <v>2.0372681053384998</v>
      </c>
      <c r="L20">
        <v>2.8969340340669743E-5</v>
      </c>
      <c r="M20">
        <v>1.7975615633424825E-6</v>
      </c>
      <c r="N20" s="1">
        <v>-5.3740232647993497E-8</v>
      </c>
      <c r="O20" s="1">
        <v>1.92850496665289E-11</v>
      </c>
      <c r="P20" s="1">
        <v>1.9654648212727599E-10</v>
      </c>
      <c r="Q20">
        <v>66.096809159483698</v>
      </c>
      <c r="S20">
        <v>19.018589446029399</v>
      </c>
      <c r="AA20">
        <v>0.267744211653896</v>
      </c>
      <c r="AB20">
        <v>4.8178229173647997</v>
      </c>
      <c r="AC20">
        <v>9.7990342654681601</v>
      </c>
      <c r="AJ20">
        <v>0.42214112039736401</v>
      </c>
      <c r="AK20">
        <v>1.29639607137279E-2</v>
      </c>
      <c r="AL20">
        <v>0.56489491888890597</v>
      </c>
    </row>
    <row r="21" spans="1:38" x14ac:dyDescent="0.2">
      <c r="A21">
        <v>84</v>
      </c>
      <c r="B21">
        <v>743</v>
      </c>
      <c r="C21">
        <v>255</v>
      </c>
      <c r="D21">
        <v>0.31372385966638899</v>
      </c>
      <c r="E21">
        <v>14.3787025880073</v>
      </c>
      <c r="F21">
        <v>2.5254757064860001</v>
      </c>
      <c r="G21">
        <v>-226.87368235365722</v>
      </c>
      <c r="H21">
        <v>-196.80294118973762</v>
      </c>
      <c r="I21">
        <v>29.592817166677701</v>
      </c>
      <c r="J21">
        <v>17.167752460413801</v>
      </c>
      <c r="K21">
        <v>5.6934630379058904</v>
      </c>
      <c r="L21">
        <v>2.899912806764678E-5</v>
      </c>
      <c r="M21">
        <v>1.7977879624976559E-6</v>
      </c>
      <c r="N21" s="1">
        <v>-1.5563891404830299E-7</v>
      </c>
      <c r="O21" s="1">
        <v>5.3853736779790303E-11</v>
      </c>
      <c r="P21" s="1">
        <v>5.6486658422385697E-10</v>
      </c>
      <c r="Q21">
        <v>66.100605453541903</v>
      </c>
      <c r="S21">
        <v>19.015876973374201</v>
      </c>
      <c r="AA21">
        <v>0.26462058062008798</v>
      </c>
      <c r="AB21">
        <v>4.8191716554133901</v>
      </c>
      <c r="AC21">
        <v>9.7997253370502992</v>
      </c>
      <c r="AJ21">
        <v>0.42225643802813401</v>
      </c>
      <c r="AK21">
        <v>1.28126302211591E-2</v>
      </c>
      <c r="AL21">
        <v>0.56493093175070597</v>
      </c>
    </row>
    <row r="22" spans="1:38" x14ac:dyDescent="0.2">
      <c r="A22">
        <v>85</v>
      </c>
      <c r="B22">
        <v>742</v>
      </c>
      <c r="C22">
        <v>255</v>
      </c>
      <c r="D22">
        <v>0.31297887011771702</v>
      </c>
      <c r="E22">
        <v>25.253569646809002</v>
      </c>
      <c r="F22">
        <v>2.52552174808618</v>
      </c>
      <c r="G22">
        <v>-398.42998981506207</v>
      </c>
      <c r="H22">
        <v>-345.69479222582498</v>
      </c>
      <c r="I22">
        <v>51.948182622506103</v>
      </c>
      <c r="J22">
        <v>30.1629346802236</v>
      </c>
      <c r="K22">
        <v>9.9993475272767007</v>
      </c>
      <c r="L22">
        <v>2.9040627344742028E-5</v>
      </c>
      <c r="M22">
        <v>1.7981720554407216E-6</v>
      </c>
      <c r="N22" s="1">
        <v>-2.8415673855220597E-7</v>
      </c>
      <c r="O22" s="1">
        <v>9.4493880545826403E-11</v>
      </c>
      <c r="P22" s="1">
        <v>1.0229947990255801E-9</v>
      </c>
      <c r="Q22">
        <v>66.108933312690098</v>
      </c>
      <c r="S22">
        <v>19.014046667341798</v>
      </c>
      <c r="AA22">
        <v>0.26116736731936702</v>
      </c>
      <c r="AB22">
        <v>4.8329314577832001</v>
      </c>
      <c r="AC22">
        <v>9.7829211948654198</v>
      </c>
      <c r="AJ22">
        <v>0.423432553653252</v>
      </c>
      <c r="AK22">
        <v>1.2644547998511901E-2</v>
      </c>
      <c r="AL22">
        <v>0.56392289834823495</v>
      </c>
    </row>
    <row r="23" spans="1:38" x14ac:dyDescent="0.2">
      <c r="A23">
        <v>86</v>
      </c>
      <c r="B23">
        <v>741</v>
      </c>
      <c r="C23">
        <v>255</v>
      </c>
      <c r="D23">
        <v>0.31223241137898899</v>
      </c>
      <c r="E23">
        <v>35.090605049328502</v>
      </c>
      <c r="F23">
        <v>2.5255682325477098</v>
      </c>
      <c r="G23">
        <v>-553.58606405969476</v>
      </c>
      <c r="H23">
        <v>-480.41803974124656</v>
      </c>
      <c r="I23">
        <v>72.147142255532302</v>
      </c>
      <c r="J23">
        <v>41.928050927341701</v>
      </c>
      <c r="K23">
        <v>13.894142552597</v>
      </c>
      <c r="L23">
        <v>2.9083434041021931E-5</v>
      </c>
      <c r="M23">
        <v>1.7985613948578633E-6</v>
      </c>
      <c r="N23" s="1">
        <v>-4.1041753313520101E-7</v>
      </c>
      <c r="O23" s="1">
        <v>1.3117206458358301E-10</v>
      </c>
      <c r="P23" s="1">
        <v>1.4659905695894999E-9</v>
      </c>
      <c r="Q23">
        <v>66.117308841245006</v>
      </c>
      <c r="S23">
        <v>19.0122195553921</v>
      </c>
      <c r="AA23">
        <v>0.25770566616532697</v>
      </c>
      <c r="AB23">
        <v>4.8468058625730803</v>
      </c>
      <c r="AC23">
        <v>9.7659600746243598</v>
      </c>
      <c r="AJ23">
        <v>0.42461829868330297</v>
      </c>
      <c r="AK23">
        <v>1.24760710448858E-2</v>
      </c>
      <c r="AL23">
        <v>0.56290563027180995</v>
      </c>
    </row>
    <row r="24" spans="1:38" x14ac:dyDescent="0.2">
      <c r="A24">
        <v>87</v>
      </c>
      <c r="B24">
        <v>740</v>
      </c>
      <c r="C24">
        <v>255</v>
      </c>
      <c r="D24">
        <v>0.31148447909983901</v>
      </c>
      <c r="E24">
        <v>37.866714580375103</v>
      </c>
      <c r="F24">
        <v>2.5255877095618802</v>
      </c>
      <c r="G24">
        <v>-597.28473254710434</v>
      </c>
      <c r="H24">
        <v>-518.45395623440083</v>
      </c>
      <c r="I24">
        <v>77.807606289990105</v>
      </c>
      <c r="J24">
        <v>45.256503453312497</v>
      </c>
      <c r="K24">
        <v>14.993228877782199</v>
      </c>
      <c r="L24">
        <v>2.9110457000518138E-5</v>
      </c>
      <c r="M24">
        <v>1.7987111827041228E-6</v>
      </c>
      <c r="N24" s="1">
        <v>-4.5807352366746E-7</v>
      </c>
      <c r="O24" s="1">
        <v>1.4143826261146201E-10</v>
      </c>
      <c r="P24" s="1">
        <v>1.62520304987977E-9</v>
      </c>
      <c r="Q24">
        <v>66.118584050911295</v>
      </c>
      <c r="S24">
        <v>19.0090456655238</v>
      </c>
      <c r="AA24">
        <v>0.25478962178345499</v>
      </c>
      <c r="AB24">
        <v>4.8413268340167397</v>
      </c>
      <c r="AC24">
        <v>9.7762538277645792</v>
      </c>
      <c r="AJ24">
        <v>0.42415010545769999</v>
      </c>
      <c r="AK24">
        <v>1.23352427704028E-2</v>
      </c>
      <c r="AL24">
        <v>0.56351465177189597</v>
      </c>
    </row>
    <row r="25" spans="1:38" x14ac:dyDescent="0.2">
      <c r="A25">
        <v>99</v>
      </c>
      <c r="B25">
        <v>746</v>
      </c>
      <c r="C25">
        <v>240</v>
      </c>
      <c r="D25">
        <v>0.33214001864298798</v>
      </c>
      <c r="E25">
        <v>5.4958401701884698</v>
      </c>
      <c r="F25">
        <v>2.5680292205478001</v>
      </c>
      <c r="G25">
        <v>-88.790449485205585</v>
      </c>
      <c r="H25">
        <v>-77.065998162799104</v>
      </c>
      <c r="I25">
        <v>11.5041469090972</v>
      </c>
      <c r="J25">
        <v>6.7384180997888201</v>
      </c>
      <c r="K25">
        <v>2.14010032526659</v>
      </c>
      <c r="L25">
        <v>3.1972691277109419E-5</v>
      </c>
      <c r="M25">
        <v>1.820527929898022E-6</v>
      </c>
      <c r="N25" s="1">
        <v>-1.1085613517434601E-7</v>
      </c>
      <c r="O25" s="1">
        <v>1.8803809211319599E-11</v>
      </c>
      <c r="P25" s="1">
        <v>3.6729653575727799E-10</v>
      </c>
      <c r="Q25">
        <v>65.630405461436197</v>
      </c>
      <c r="S25">
        <v>21.0147152418876</v>
      </c>
      <c r="AA25">
        <v>2.02339735872259</v>
      </c>
      <c r="AB25">
        <v>9.0115705717328307</v>
      </c>
      <c r="AC25">
        <v>2.3199113662206301</v>
      </c>
      <c r="AJ25">
        <v>0.77312510159889103</v>
      </c>
      <c r="AK25">
        <v>9.5927086662674396E-2</v>
      </c>
      <c r="AL25">
        <v>0.13094781173843401</v>
      </c>
    </row>
    <row r="26" spans="1:38" x14ac:dyDescent="0.2">
      <c r="A26">
        <v>100</v>
      </c>
      <c r="B26">
        <v>745</v>
      </c>
      <c r="C26">
        <v>240</v>
      </c>
      <c r="D26">
        <v>0.33141531208564601</v>
      </c>
      <c r="E26">
        <v>8.7849638935682997</v>
      </c>
      <c r="F26">
        <v>2.5681994588969101</v>
      </c>
      <c r="G26">
        <v>-141.91656403543416</v>
      </c>
      <c r="H26">
        <v>-123.20435432200168</v>
      </c>
      <c r="I26">
        <v>18.378637443826999</v>
      </c>
      <c r="J26">
        <v>10.7769535871579</v>
      </c>
      <c r="K26">
        <v>3.42067040904276</v>
      </c>
      <c r="L26">
        <v>3.203157569360917E-5</v>
      </c>
      <c r="M26">
        <v>1.8207918252254468E-6</v>
      </c>
      <c r="N26" s="1">
        <v>-1.8306108490400199E-7</v>
      </c>
      <c r="O26" s="1">
        <v>3.0004632101642498E-11</v>
      </c>
      <c r="P26" s="1">
        <v>6.0386584847986095E-10</v>
      </c>
      <c r="Q26">
        <v>65.629044656283</v>
      </c>
      <c r="S26">
        <v>21.018567258853199</v>
      </c>
      <c r="AA26">
        <v>2.0268928374397901</v>
      </c>
      <c r="AB26">
        <v>9.0186366536839309</v>
      </c>
      <c r="AC26">
        <v>2.3068585937399901</v>
      </c>
      <c r="AJ26">
        <v>0.77370410907812204</v>
      </c>
      <c r="AK26">
        <v>9.6089424306085205E-2</v>
      </c>
      <c r="AL26">
        <v>0.13020646661579199</v>
      </c>
    </row>
    <row r="27" spans="1:38" x14ac:dyDescent="0.2">
      <c r="A27">
        <v>101</v>
      </c>
      <c r="B27">
        <v>744</v>
      </c>
      <c r="C27">
        <v>240</v>
      </c>
      <c r="D27">
        <v>0.33068918055350899</v>
      </c>
      <c r="E27">
        <v>15.234790591028499</v>
      </c>
      <c r="F27">
        <v>2.5681250806995699</v>
      </c>
      <c r="G27">
        <v>-246.07715493322598</v>
      </c>
      <c r="H27">
        <v>-213.6761937103513</v>
      </c>
      <c r="I27">
        <v>31.854653908346499</v>
      </c>
      <c r="J27">
        <v>18.699859897580101</v>
      </c>
      <c r="K27">
        <v>5.9322619079279697</v>
      </c>
      <c r="L27">
        <v>3.2100298260656584E-5</v>
      </c>
      <c r="M27">
        <v>1.821494538173323E-6</v>
      </c>
      <c r="N27" s="1">
        <v>-3.28075479447496E-7</v>
      </c>
      <c r="O27" s="1">
        <v>5.1962230170649702E-11</v>
      </c>
      <c r="P27" s="1">
        <v>1.0775180757617899E-9</v>
      </c>
      <c r="Q27">
        <v>65.648824763976606</v>
      </c>
      <c r="S27">
        <v>21.005288246774899</v>
      </c>
      <c r="AA27">
        <v>2.0113220987900702</v>
      </c>
      <c r="AB27">
        <v>9.0279029065595502</v>
      </c>
      <c r="AC27">
        <v>2.3066619838987701</v>
      </c>
      <c r="AJ27">
        <v>0.77446367567148</v>
      </c>
      <c r="AK27">
        <v>9.5346902537157802E-2</v>
      </c>
      <c r="AL27">
        <v>0.130189421791361</v>
      </c>
    </row>
    <row r="28" spans="1:38" x14ac:dyDescent="0.2">
      <c r="A28">
        <v>102</v>
      </c>
      <c r="B28">
        <v>743</v>
      </c>
      <c r="C28">
        <v>240</v>
      </c>
      <c r="D28">
        <v>0.32996161983958999</v>
      </c>
      <c r="E28">
        <v>18.529604348362799</v>
      </c>
      <c r="F28">
        <v>2.5681738832207301</v>
      </c>
      <c r="G28">
        <v>-299.26253246235507</v>
      </c>
      <c r="H28">
        <v>-259.91499572740247</v>
      </c>
      <c r="I28">
        <v>38.7221736308149</v>
      </c>
      <c r="J28">
        <v>22.757232060047201</v>
      </c>
      <c r="K28">
        <v>7.2150894724951096</v>
      </c>
      <c r="L28">
        <v>3.2166862070304495E-5</v>
      </c>
      <c r="M28">
        <v>1.8219851015882677E-6</v>
      </c>
      <c r="N28" s="1">
        <v>-4.12328044872802E-7</v>
      </c>
      <c r="O28" s="1">
        <v>6.3095617595037495E-11</v>
      </c>
      <c r="P28" s="1">
        <v>1.3485001182170599E-9</v>
      </c>
      <c r="Q28">
        <v>65.657989180531303</v>
      </c>
      <c r="S28">
        <v>21.0006103067083</v>
      </c>
      <c r="AA28">
        <v>2.0053243590194598</v>
      </c>
      <c r="AB28">
        <v>9.0360614894169604</v>
      </c>
      <c r="AC28">
        <v>2.3000146643238999</v>
      </c>
      <c r="AJ28">
        <v>0.77513225945831199</v>
      </c>
      <c r="AK28">
        <v>9.5058740072988396E-2</v>
      </c>
      <c r="AL28">
        <v>0.129809000468698</v>
      </c>
    </row>
    <row r="29" spans="1:38" x14ac:dyDescent="0.2">
      <c r="A29">
        <v>103</v>
      </c>
      <c r="B29">
        <v>742</v>
      </c>
      <c r="C29">
        <v>240</v>
      </c>
      <c r="D29">
        <v>0.32923262572033701</v>
      </c>
      <c r="E29">
        <v>19.472208986785901</v>
      </c>
      <c r="F29">
        <v>2.5682758722663301</v>
      </c>
      <c r="G29">
        <v>-314.45390243543619</v>
      </c>
      <c r="H29">
        <v>-273.16880326623613</v>
      </c>
      <c r="I29">
        <v>40.6689643591587</v>
      </c>
      <c r="J29">
        <v>23.929152402243901</v>
      </c>
      <c r="K29">
        <v>7.5818214067490297</v>
      </c>
      <c r="L29">
        <v>3.2233608921291883E-5</v>
      </c>
      <c r="M29">
        <v>1.8223873545091871E-6</v>
      </c>
      <c r="N29" s="1">
        <v>-4.4773950163806002E-7</v>
      </c>
      <c r="O29" s="1">
        <v>6.6185430932243295E-11</v>
      </c>
      <c r="P29" s="1">
        <v>1.4582575971200501E-9</v>
      </c>
      <c r="Q29">
        <v>65.662572989773807</v>
      </c>
      <c r="S29">
        <v>20.999639300471301</v>
      </c>
      <c r="AA29">
        <v>2.0034536997095298</v>
      </c>
      <c r="AB29">
        <v>9.0437306434501199</v>
      </c>
      <c r="AC29">
        <v>2.2906033665951702</v>
      </c>
      <c r="AJ29">
        <v>0.77576062334851503</v>
      </c>
      <c r="AK29">
        <v>9.4966452083970601E-2</v>
      </c>
      <c r="AL29">
        <v>0.12927292456751299</v>
      </c>
    </row>
    <row r="30" spans="1:38" x14ac:dyDescent="0.2">
      <c r="A30">
        <v>111</v>
      </c>
      <c r="B30">
        <v>750</v>
      </c>
      <c r="C30">
        <v>225</v>
      </c>
      <c r="D30">
        <v>0.35115134633240402</v>
      </c>
      <c r="E30">
        <v>1.17608811160212</v>
      </c>
      <c r="F30">
        <v>2.5669466256576898</v>
      </c>
      <c r="G30">
        <v>-19.018990589969668</v>
      </c>
      <c r="H30">
        <v>-16.494003765753881</v>
      </c>
      <c r="I30">
        <v>2.46785595877025</v>
      </c>
      <c r="J30">
        <v>1.43935415964653</v>
      </c>
      <c r="K30">
        <v>0.45816617293348799</v>
      </c>
      <c r="L30">
        <v>3.1772727387220985E-5</v>
      </c>
      <c r="M30">
        <v>1.8212505939125053E-6</v>
      </c>
      <c r="N30" s="1">
        <v>-2.07114497537563E-8</v>
      </c>
      <c r="O30" s="1">
        <v>4.0500719771407703E-12</v>
      </c>
      <c r="P30" s="1">
        <v>6.9968600622815003E-11</v>
      </c>
      <c r="Q30">
        <v>65.657838644848596</v>
      </c>
      <c r="S30">
        <v>21.002516668258099</v>
      </c>
      <c r="AA30">
        <v>2.0069322522612101</v>
      </c>
      <c r="AB30">
        <v>9.0407238033661894</v>
      </c>
      <c r="AC30">
        <v>2.2919886312658102</v>
      </c>
      <c r="AJ30">
        <v>0.77551422116847302</v>
      </c>
      <c r="AK30">
        <v>9.5132753536384798E-2</v>
      </c>
      <c r="AL30">
        <v>0.12935302529514101</v>
      </c>
    </row>
    <row r="31" spans="1:38" x14ac:dyDescent="0.2">
      <c r="A31">
        <v>112</v>
      </c>
      <c r="B31">
        <v>749</v>
      </c>
      <c r="C31">
        <v>225</v>
      </c>
      <c r="D31">
        <v>0.350448075135744</v>
      </c>
      <c r="E31">
        <v>4.5569075617273498</v>
      </c>
      <c r="F31">
        <v>2.5658779368548501</v>
      </c>
      <c r="G31">
        <v>-73.653986618267496</v>
      </c>
      <c r="H31">
        <v>-63.88574938660291</v>
      </c>
      <c r="I31">
        <v>9.5565594400670903</v>
      </c>
      <c r="J31">
        <v>5.5776310230515804</v>
      </c>
      <c r="K31">
        <v>1.7759642796231401</v>
      </c>
      <c r="L31">
        <v>3.1799187687401677E-5</v>
      </c>
      <c r="M31">
        <v>1.8221221988000903E-6</v>
      </c>
      <c r="N31" s="1">
        <v>-8.2317846130157697E-8</v>
      </c>
      <c r="O31" s="1">
        <v>1.5704991669926799E-11</v>
      </c>
      <c r="P31" s="1">
        <v>2.7697858702670398E-10</v>
      </c>
      <c r="Q31">
        <v>65.711142904685701</v>
      </c>
      <c r="S31">
        <v>20.9392058867654</v>
      </c>
      <c r="AA31">
        <v>1.94226238896212</v>
      </c>
      <c r="AB31">
        <v>8.9935320437067503</v>
      </c>
      <c r="AC31">
        <v>2.4138567758799199</v>
      </c>
      <c r="AJ31">
        <v>0.77164800304192105</v>
      </c>
      <c r="AK31">
        <v>9.2088975387196403E-2</v>
      </c>
      <c r="AL31">
        <v>0.13626302157088199</v>
      </c>
    </row>
    <row r="32" spans="1:38" x14ac:dyDescent="0.2">
      <c r="A32">
        <v>113</v>
      </c>
      <c r="B32">
        <v>748</v>
      </c>
      <c r="C32">
        <v>225</v>
      </c>
      <c r="D32">
        <v>0.34974342652891699</v>
      </c>
      <c r="E32">
        <v>8.1491412985972893</v>
      </c>
      <c r="F32">
        <v>2.5663455631066898</v>
      </c>
      <c r="G32">
        <v>-131.71147479057225</v>
      </c>
      <c r="H32">
        <v>-114.27027524430041</v>
      </c>
      <c r="I32">
        <v>17.079958425570901</v>
      </c>
      <c r="J32">
        <v>9.9791879345814092</v>
      </c>
      <c r="K32">
        <v>3.1753873740729999</v>
      </c>
      <c r="L32">
        <v>3.1843987689333945E-5</v>
      </c>
      <c r="M32">
        <v>1.8218770021183638E-6</v>
      </c>
      <c r="N32" s="1">
        <v>-1.52018189517881E-7</v>
      </c>
      <c r="O32" s="1">
        <v>2.8026183429460699E-11</v>
      </c>
      <c r="P32" s="1">
        <v>5.0911269825393096E-10</v>
      </c>
      <c r="Q32">
        <v>65.685226410157</v>
      </c>
      <c r="S32">
        <v>20.963387098697801</v>
      </c>
      <c r="AA32">
        <v>1.96825939609927</v>
      </c>
      <c r="AB32">
        <v>8.9991727160894506</v>
      </c>
      <c r="AC32">
        <v>2.3839543789562998</v>
      </c>
      <c r="AJ32">
        <v>0.77210991240420301</v>
      </c>
      <c r="AK32">
        <v>9.3318911544373495E-2</v>
      </c>
      <c r="AL32">
        <v>0.13457117605142199</v>
      </c>
    </row>
    <row r="33" spans="1:38" x14ac:dyDescent="0.2">
      <c r="A33">
        <v>114</v>
      </c>
      <c r="B33">
        <v>747</v>
      </c>
      <c r="C33">
        <v>225</v>
      </c>
      <c r="D33">
        <v>0.34903739646130499</v>
      </c>
      <c r="E33">
        <v>13.5783169902538</v>
      </c>
      <c r="F33">
        <v>2.5667393412457198</v>
      </c>
      <c r="G33">
        <v>-219.45073244697377</v>
      </c>
      <c r="H33">
        <v>-190.43520741374783</v>
      </c>
      <c r="I33">
        <v>28.4424104624084</v>
      </c>
      <c r="J33">
        <v>16.635667644344601</v>
      </c>
      <c r="K33">
        <v>5.2901035847542603</v>
      </c>
      <c r="L33">
        <v>3.1892215107741561E-5</v>
      </c>
      <c r="M33">
        <v>1.8217522298372261E-6</v>
      </c>
      <c r="N33" s="1">
        <v>-2.6159228029068197E-7</v>
      </c>
      <c r="O33" s="1">
        <v>4.6603394104787202E-11</v>
      </c>
      <c r="P33" s="1">
        <v>8.7206313553059696E-10</v>
      </c>
      <c r="Q33">
        <v>65.665195230882802</v>
      </c>
      <c r="S33">
        <v>20.982615769101098</v>
      </c>
      <c r="AA33">
        <v>1.9887972479076801</v>
      </c>
      <c r="AB33">
        <v>9.0049447664655293</v>
      </c>
      <c r="AC33">
        <v>2.3584469856428099</v>
      </c>
      <c r="AJ33">
        <v>0.77258265339078502</v>
      </c>
      <c r="AK33">
        <v>9.4289905424040102E-2</v>
      </c>
      <c r="AL33">
        <v>0.133127441185174</v>
      </c>
    </row>
    <row r="34" spans="1:38" x14ac:dyDescent="0.2">
      <c r="A34">
        <v>115</v>
      </c>
      <c r="B34">
        <v>746</v>
      </c>
      <c r="C34">
        <v>225</v>
      </c>
      <c r="D34">
        <v>0.34832998086640898</v>
      </c>
      <c r="E34">
        <v>17.483054655498002</v>
      </c>
      <c r="F34">
        <v>2.56703049430498</v>
      </c>
      <c r="G34">
        <v>-282.53954107585599</v>
      </c>
      <c r="H34">
        <v>-245.23817563654876</v>
      </c>
      <c r="I34">
        <v>36.6004665057227</v>
      </c>
      <c r="J34">
        <v>21.4304359927424</v>
      </c>
      <c r="K34">
        <v>6.8106143243271102</v>
      </c>
      <c r="L34">
        <v>3.194502411561076E-5</v>
      </c>
      <c r="M34">
        <v>1.821803206241032E-6</v>
      </c>
      <c r="N34" s="1">
        <v>-3.4789621449727998E-7</v>
      </c>
      <c r="O34" s="1">
        <v>5.9891508153393902E-11</v>
      </c>
      <c r="P34" s="1">
        <v>1.15454691518532E-9</v>
      </c>
      <c r="Q34">
        <v>65.653671491649504</v>
      </c>
      <c r="S34">
        <v>20.994816161514901</v>
      </c>
      <c r="AA34">
        <v>2.0015516035815799</v>
      </c>
      <c r="AB34">
        <v>9.0112496463344307</v>
      </c>
      <c r="AC34">
        <v>2.3387110969194702</v>
      </c>
      <c r="AJ34">
        <v>0.77309916314313099</v>
      </c>
      <c r="AK34">
        <v>9.48915986868131E-2</v>
      </c>
      <c r="AL34">
        <v>0.132009238170055</v>
      </c>
    </row>
    <row r="35" spans="1:38" x14ac:dyDescent="0.2">
      <c r="A35">
        <v>116</v>
      </c>
      <c r="B35">
        <v>745</v>
      </c>
      <c r="C35">
        <v>225</v>
      </c>
      <c r="D35">
        <v>0.347621175661739</v>
      </c>
      <c r="E35">
        <v>18.8525909680186</v>
      </c>
      <c r="F35">
        <v>2.5672234310417399</v>
      </c>
      <c r="G35">
        <v>-304.6462511341482</v>
      </c>
      <c r="H35">
        <v>-264.48526276904045</v>
      </c>
      <c r="I35">
        <v>39.4450605167291</v>
      </c>
      <c r="J35">
        <v>23.1213571716305</v>
      </c>
      <c r="K35">
        <v>7.3435723358011504</v>
      </c>
      <c r="L35">
        <v>3.2002528881655975E-5</v>
      </c>
      <c r="M35">
        <v>1.8220274508991089E-6</v>
      </c>
      <c r="N35" s="1">
        <v>-3.8754442232291902E-7</v>
      </c>
      <c r="O35" s="1">
        <v>6.44686074584833E-11</v>
      </c>
      <c r="P35" s="1">
        <v>1.28042919700098E-9</v>
      </c>
      <c r="Q35">
        <v>65.650443656126896</v>
      </c>
      <c r="S35">
        <v>21.0002200156224</v>
      </c>
      <c r="AA35">
        <v>2.0067630098431599</v>
      </c>
      <c r="AB35">
        <v>9.0182234940337604</v>
      </c>
      <c r="AC35">
        <v>2.3243498243736398</v>
      </c>
      <c r="AJ35">
        <v>0.77367058588384297</v>
      </c>
      <c r="AK35">
        <v>9.5135360735420393E-2</v>
      </c>
      <c r="AL35">
        <v>0.131194053380736</v>
      </c>
    </row>
    <row r="36" spans="1:38" x14ac:dyDescent="0.2">
      <c r="A36">
        <v>120</v>
      </c>
      <c r="B36">
        <v>754</v>
      </c>
      <c r="C36">
        <v>210</v>
      </c>
      <c r="D36">
        <v>0.37001460351457899</v>
      </c>
      <c r="E36">
        <v>0.51980683790465099</v>
      </c>
      <c r="F36">
        <v>2.5674692244037902</v>
      </c>
      <c r="G36">
        <v>-8.4180452739041502</v>
      </c>
      <c r="H36">
        <v>-7.2950287374457483</v>
      </c>
      <c r="I36">
        <v>1.0933325575216799</v>
      </c>
      <c r="J36">
        <v>0.63536088931804602</v>
      </c>
      <c r="K36">
        <v>0.20245883883003801</v>
      </c>
      <c r="L36">
        <v>3.1607084514936293E-5</v>
      </c>
      <c r="M36">
        <v>1.8206541363997141E-6</v>
      </c>
      <c r="N36" s="1">
        <v>-8.0493511229574095E-9</v>
      </c>
      <c r="O36" s="1">
        <v>1.79488432411501E-12</v>
      </c>
      <c r="P36" s="1">
        <v>2.77542621841109E-11</v>
      </c>
      <c r="Q36">
        <v>65.595276995182701</v>
      </c>
      <c r="S36">
        <v>21.084730165462702</v>
      </c>
      <c r="AA36">
        <v>2.0893571349309101</v>
      </c>
      <c r="AB36">
        <v>9.1168418929130102</v>
      </c>
      <c r="AC36">
        <v>2.1137938115105999</v>
      </c>
      <c r="AJ36">
        <v>0.78174677656022595</v>
      </c>
      <c r="AK36">
        <v>9.9002268690191395E-2</v>
      </c>
      <c r="AL36">
        <v>0.119250954749582</v>
      </c>
    </row>
    <row r="37" spans="1:38" x14ac:dyDescent="0.2">
      <c r="A37">
        <v>121</v>
      </c>
      <c r="B37">
        <v>753</v>
      </c>
      <c r="C37">
        <v>210</v>
      </c>
      <c r="D37">
        <v>0.36933245626858002</v>
      </c>
      <c r="E37">
        <v>1.96088948123328</v>
      </c>
      <c r="F37">
        <v>2.5652386214875298</v>
      </c>
      <c r="G37">
        <v>-31.72973411237475</v>
      </c>
      <c r="H37">
        <v>-27.499593617899748</v>
      </c>
      <c r="I37">
        <v>4.12234127025775</v>
      </c>
      <c r="J37">
        <v>2.3966221516087298</v>
      </c>
      <c r="K37">
        <v>0.764408217156889</v>
      </c>
      <c r="L37">
        <v>3.1634682520198516E-5</v>
      </c>
      <c r="M37">
        <v>1.8228029967473999E-6</v>
      </c>
      <c r="N37" s="1">
        <v>-3.1050009276855898E-8</v>
      </c>
      <c r="O37" s="1">
        <v>6.7916307838548104E-12</v>
      </c>
      <c r="P37" s="1">
        <v>1.0663170494945999E-10</v>
      </c>
      <c r="Q37">
        <v>65.723090591514506</v>
      </c>
      <c r="S37">
        <v>20.949460229774701</v>
      </c>
      <c r="AA37">
        <v>1.94793449755468</v>
      </c>
      <c r="AB37">
        <v>9.0470399165498101</v>
      </c>
      <c r="AC37">
        <v>2.3324747646061801</v>
      </c>
      <c r="AJ37">
        <v>0.77603266109126601</v>
      </c>
      <c r="AK37">
        <v>9.2333358495357398E-2</v>
      </c>
      <c r="AL37">
        <v>0.13163398041337601</v>
      </c>
    </row>
    <row r="38" spans="1:38" x14ac:dyDescent="0.2">
      <c r="A38">
        <v>122</v>
      </c>
      <c r="B38">
        <v>752</v>
      </c>
      <c r="C38">
        <v>210</v>
      </c>
      <c r="D38">
        <v>0.36864897819831499</v>
      </c>
      <c r="E38">
        <v>4.4781567074548603</v>
      </c>
      <c r="F38">
        <v>2.56358008362248</v>
      </c>
      <c r="G38">
        <v>-72.410496021710344</v>
      </c>
      <c r="H38">
        <v>-62.765055741825009</v>
      </c>
      <c r="I38">
        <v>9.4088087400725104</v>
      </c>
      <c r="J38">
        <v>5.4727236928488496</v>
      </c>
      <c r="K38">
        <v>1.74683706433191</v>
      </c>
      <c r="L38">
        <v>3.164279150079712E-5</v>
      </c>
      <c r="M38">
        <v>1.8238780612194232E-6</v>
      </c>
      <c r="N38" s="1">
        <v>-7.2452586768188699E-8</v>
      </c>
      <c r="O38" s="1">
        <v>1.5541047539542499E-11</v>
      </c>
      <c r="P38" s="1">
        <v>2.4787510651108402E-10</v>
      </c>
      <c r="Q38">
        <v>65.799504831783494</v>
      </c>
      <c r="S38">
        <v>20.855604345172001</v>
      </c>
      <c r="AA38">
        <v>1.8526722134329301</v>
      </c>
      <c r="AB38">
        <v>8.9712695502381603</v>
      </c>
      <c r="AC38">
        <v>2.5209490593732098</v>
      </c>
      <c r="AJ38">
        <v>0.76982447565718004</v>
      </c>
      <c r="AK38">
        <v>8.7851096712741605E-2</v>
      </c>
      <c r="AL38">
        <v>0.14232442763007799</v>
      </c>
    </row>
    <row r="39" spans="1:38" x14ac:dyDescent="0.2">
      <c r="A39">
        <v>123</v>
      </c>
      <c r="B39">
        <v>751</v>
      </c>
      <c r="C39">
        <v>210</v>
      </c>
      <c r="D39">
        <v>0.36796416540546001</v>
      </c>
      <c r="E39">
        <v>8.0124334928417493</v>
      </c>
      <c r="F39">
        <v>2.5643911091907401</v>
      </c>
      <c r="G39">
        <v>-129.56367063053739</v>
      </c>
      <c r="H39">
        <v>-112.33313160600791</v>
      </c>
      <c r="I39">
        <v>16.824233778772101</v>
      </c>
      <c r="J39">
        <v>9.7960747004594708</v>
      </c>
      <c r="K39">
        <v>3.1244974544347999</v>
      </c>
      <c r="L39">
        <v>3.1675005382111278E-5</v>
      </c>
      <c r="M39">
        <v>1.8231070147888073E-6</v>
      </c>
      <c r="N39" s="1">
        <v>-1.3384637594155E-7</v>
      </c>
      <c r="O39" s="1">
        <v>2.7735624170687201E-11</v>
      </c>
      <c r="P39" s="1">
        <v>4.5562867944590999E-10</v>
      </c>
      <c r="Q39">
        <v>65.747161268391906</v>
      </c>
      <c r="S39">
        <v>20.902387785244699</v>
      </c>
      <c r="AA39">
        <v>1.9034826854521001</v>
      </c>
      <c r="AB39">
        <v>8.9772735961824406</v>
      </c>
      <c r="AC39">
        <v>2.4696946647286602</v>
      </c>
      <c r="AJ39">
        <v>0.77031586873560698</v>
      </c>
      <c r="AK39">
        <v>9.0257667172554498E-2</v>
      </c>
      <c r="AL39">
        <v>0.13942646409183801</v>
      </c>
    </row>
    <row r="40" spans="1:38" x14ac:dyDescent="0.2">
      <c r="A40">
        <v>124</v>
      </c>
      <c r="B40">
        <v>750</v>
      </c>
      <c r="C40">
        <v>210</v>
      </c>
      <c r="D40">
        <v>0.36727801397644499</v>
      </c>
      <c r="E40">
        <v>10.291599524458499</v>
      </c>
      <c r="F40">
        <v>2.5649387226527698</v>
      </c>
      <c r="G40">
        <v>-166.41595089111524</v>
      </c>
      <c r="H40">
        <v>-144.31881709331992</v>
      </c>
      <c r="I40">
        <v>21.5971595541175</v>
      </c>
      <c r="J40">
        <v>12.588076744640899</v>
      </c>
      <c r="K40">
        <v>4.0124153585293003</v>
      </c>
      <c r="L40">
        <v>3.1714722692926304E-5</v>
      </c>
      <c r="M40">
        <v>1.8227400130453219E-6</v>
      </c>
      <c r="N40" s="1">
        <v>-1.7752119389796901E-7</v>
      </c>
      <c r="O40" s="1">
        <v>3.5549231980919902E-11</v>
      </c>
      <c r="P40" s="1">
        <v>6.0133137760775404E-10</v>
      </c>
      <c r="Q40">
        <v>65.715359752978301</v>
      </c>
      <c r="S40">
        <v>20.931728378106701</v>
      </c>
      <c r="AA40">
        <v>1.93510942385408</v>
      </c>
      <c r="AB40">
        <v>8.9833258029371397</v>
      </c>
      <c r="AC40">
        <v>2.4344766421237001</v>
      </c>
      <c r="AJ40">
        <v>0.77081149676309801</v>
      </c>
      <c r="AK40">
        <v>9.1754495383794696E-2</v>
      </c>
      <c r="AL40">
        <v>0.137434007853106</v>
      </c>
    </row>
    <row r="41" spans="1:38" x14ac:dyDescent="0.2">
      <c r="A41">
        <v>125</v>
      </c>
      <c r="B41">
        <v>749</v>
      </c>
      <c r="C41">
        <v>210</v>
      </c>
      <c r="D41">
        <v>0.36659051998239101</v>
      </c>
      <c r="E41">
        <v>16.4930626432505</v>
      </c>
      <c r="F41">
        <v>2.5657738451477199</v>
      </c>
      <c r="G41">
        <v>-266.70392867402995</v>
      </c>
      <c r="H41">
        <v>-231.34820259758303</v>
      </c>
      <c r="I41">
        <v>34.589567163769303</v>
      </c>
      <c r="J41">
        <v>20.182155340532599</v>
      </c>
      <c r="K41">
        <v>6.4281045948151103</v>
      </c>
      <c r="L41">
        <v>3.1746744954476406E-5</v>
      </c>
      <c r="M41">
        <v>1.8218732187734323E-6</v>
      </c>
      <c r="N41" s="1">
        <v>-2.9367895973304201E-7</v>
      </c>
      <c r="O41" s="1">
        <v>5.6817086575892799E-11</v>
      </c>
      <c r="P41" s="1">
        <v>9.9007699354124601E-10</v>
      </c>
      <c r="Q41">
        <v>65.658919386445106</v>
      </c>
      <c r="S41">
        <v>20.981093233419301</v>
      </c>
      <c r="AA41">
        <v>1.9890055228839401</v>
      </c>
      <c r="AB41">
        <v>8.98696785840065</v>
      </c>
      <c r="AC41">
        <v>2.38401399885085</v>
      </c>
      <c r="AJ41">
        <v>0.77110916085121395</v>
      </c>
      <c r="AK41">
        <v>9.4308199498923204E-2</v>
      </c>
      <c r="AL41">
        <v>0.134582639649861</v>
      </c>
    </row>
    <row r="42" spans="1:38" x14ac:dyDescent="0.2">
      <c r="A42">
        <v>126</v>
      </c>
      <c r="B42">
        <v>748</v>
      </c>
      <c r="C42">
        <v>210</v>
      </c>
      <c r="D42">
        <v>0.36590167947901903</v>
      </c>
      <c r="E42">
        <v>18.270520922104499</v>
      </c>
      <c r="F42">
        <v>2.56613216264144</v>
      </c>
      <c r="G42">
        <v>-295.43059011777581</v>
      </c>
      <c r="H42">
        <v>-256.32564030734488</v>
      </c>
      <c r="I42">
        <v>38.2950103417039</v>
      </c>
      <c r="J42">
        <v>22.367543898349101</v>
      </c>
      <c r="K42">
        <v>7.1198674752970499</v>
      </c>
      <c r="L42">
        <v>3.1793716162135073E-5</v>
      </c>
      <c r="M42">
        <v>1.821800228004901E-6</v>
      </c>
      <c r="N42" s="1">
        <v>-3.35970876562142E-7</v>
      </c>
      <c r="O42" s="1">
        <v>6.2821160677578595E-11</v>
      </c>
      <c r="P42" s="1">
        <v>1.1272939428252901E-9</v>
      </c>
      <c r="Q42">
        <v>65.641815272389294</v>
      </c>
      <c r="S42">
        <v>20.997917297869598</v>
      </c>
      <c r="AA42">
        <v>2.0068765595067801</v>
      </c>
      <c r="AB42">
        <v>8.99295872954721</v>
      </c>
      <c r="AC42">
        <v>2.3604321406870001</v>
      </c>
      <c r="AJ42">
        <v>0.77159993990201703</v>
      </c>
      <c r="AK42">
        <v>9.5152682344233297E-2</v>
      </c>
      <c r="AL42">
        <v>0.13324737775374901</v>
      </c>
    </row>
    <row r="43" spans="1:38" x14ac:dyDescent="0.2">
      <c r="A43">
        <v>127</v>
      </c>
      <c r="B43">
        <v>747</v>
      </c>
      <c r="C43">
        <v>210</v>
      </c>
      <c r="D43">
        <v>0.36521148850659502</v>
      </c>
      <c r="E43">
        <v>18.965373374229799</v>
      </c>
      <c r="F43">
        <v>2.5663376005004901</v>
      </c>
      <c r="G43">
        <v>-306.64076615863081</v>
      </c>
      <c r="H43">
        <v>-266.11141183967271</v>
      </c>
      <c r="I43">
        <v>39.728818623690699</v>
      </c>
      <c r="J43">
        <v>23.229454422079002</v>
      </c>
      <c r="K43">
        <v>7.39005397050299</v>
      </c>
      <c r="L43">
        <v>3.1846802222116217E-5</v>
      </c>
      <c r="M43">
        <v>1.8219913433562234E-6</v>
      </c>
      <c r="N43" s="1">
        <v>-3.6022553383216099E-7</v>
      </c>
      <c r="O43" s="1">
        <v>6.5101483648820798E-11</v>
      </c>
      <c r="P43" s="1">
        <v>1.20304032648403E-9</v>
      </c>
      <c r="Q43">
        <v>65.637535239883604</v>
      </c>
      <c r="S43">
        <v>21.0042054739802</v>
      </c>
      <c r="AA43">
        <v>2.0130630562571601</v>
      </c>
      <c r="AB43">
        <v>8.9999061777870999</v>
      </c>
      <c r="AC43">
        <v>2.3452900520917899</v>
      </c>
      <c r="AJ43">
        <v>0.77216928666559204</v>
      </c>
      <c r="AK43">
        <v>9.5442698626200403E-2</v>
      </c>
      <c r="AL43">
        <v>0.13238801470820699</v>
      </c>
    </row>
    <row r="44" spans="1:38" x14ac:dyDescent="0.2">
      <c r="A44">
        <v>129</v>
      </c>
      <c r="B44">
        <v>758</v>
      </c>
      <c r="C44">
        <v>195</v>
      </c>
      <c r="D44">
        <v>0.38873151335887302</v>
      </c>
      <c r="E44">
        <v>0.28243718750793401</v>
      </c>
      <c r="F44">
        <v>2.5671299109248902</v>
      </c>
      <c r="G44">
        <v>-4.5792592797083156</v>
      </c>
      <c r="H44">
        <v>-3.9652416414078506</v>
      </c>
      <c r="I44">
        <v>0.59546878562814598</v>
      </c>
      <c r="J44">
        <v>0.34480270446074601</v>
      </c>
      <c r="K44">
        <v>0.110020605621075</v>
      </c>
      <c r="L44">
        <v>3.1453771842179287E-5</v>
      </c>
      <c r="M44">
        <v>1.8207428347880906E-6</v>
      </c>
      <c r="N44" s="1">
        <v>-3.8357538408664203E-9</v>
      </c>
      <c r="O44" s="1">
        <v>9.7879424186726194E-13</v>
      </c>
      <c r="P44" s="1">
        <v>1.35299080912991E-11</v>
      </c>
      <c r="Q44">
        <v>65.576974210916006</v>
      </c>
      <c r="S44">
        <v>21.1177601022403</v>
      </c>
      <c r="AA44">
        <v>2.12087787546549</v>
      </c>
      <c r="AB44">
        <v>9.1626473929781493</v>
      </c>
      <c r="AC44">
        <v>2.0217404183998999</v>
      </c>
      <c r="AJ44">
        <v>0.785495359190439</v>
      </c>
      <c r="AK44">
        <v>0.10047293792090201</v>
      </c>
      <c r="AL44">
        <v>0.11403170288865699</v>
      </c>
    </row>
    <row r="45" spans="1:38" x14ac:dyDescent="0.2">
      <c r="A45">
        <v>130</v>
      </c>
      <c r="B45">
        <v>757</v>
      </c>
      <c r="C45">
        <v>195</v>
      </c>
      <c r="D45">
        <v>0.388070183953793</v>
      </c>
      <c r="E45">
        <v>1.6195457289097701</v>
      </c>
      <c r="F45">
        <v>2.5652277914400901</v>
      </c>
      <c r="G45">
        <v>-26.239950124273204</v>
      </c>
      <c r="H45">
        <v>-22.724178733892298</v>
      </c>
      <c r="I45">
        <v>3.4128732615453101</v>
      </c>
      <c r="J45">
        <v>1.9771400328689299</v>
      </c>
      <c r="K45">
        <v>0.63134577533973302</v>
      </c>
      <c r="L45">
        <v>3.1487410624197824E-5</v>
      </c>
      <c r="M45">
        <v>1.8228080068276373E-6</v>
      </c>
      <c r="N45" s="1">
        <v>-2.2534772748397201E-8</v>
      </c>
      <c r="O45" s="1">
        <v>5.6269962798435202E-12</v>
      </c>
      <c r="P45" s="1">
        <v>7.9116322306493E-11</v>
      </c>
      <c r="Q45">
        <v>65.693371968085003</v>
      </c>
      <c r="S45">
        <v>20.998914265847802</v>
      </c>
      <c r="AA45">
        <v>1.99566901818148</v>
      </c>
      <c r="AB45">
        <v>9.1104637427150106</v>
      </c>
      <c r="AC45">
        <v>2.20158100517058</v>
      </c>
      <c r="AJ45">
        <v>0.78122616857142702</v>
      </c>
      <c r="AK45">
        <v>9.4566127232962705E-2</v>
      </c>
      <c r="AL45">
        <v>0.124207704195609</v>
      </c>
    </row>
    <row r="46" spans="1:38" x14ac:dyDescent="0.2">
      <c r="A46">
        <v>131</v>
      </c>
      <c r="B46">
        <v>756</v>
      </c>
      <c r="C46">
        <v>195</v>
      </c>
      <c r="D46">
        <v>0.38740756935335302</v>
      </c>
      <c r="E46">
        <v>3.1158342008345201</v>
      </c>
      <c r="F46">
        <v>2.56294207085522</v>
      </c>
      <c r="G46">
        <v>-50.439210496248791</v>
      </c>
      <c r="H46">
        <v>-43.685438409948702</v>
      </c>
      <c r="I46">
        <v>6.5624759134237802</v>
      </c>
      <c r="J46">
        <v>3.80312218692566</v>
      </c>
      <c r="K46">
        <v>1.2157255664365401</v>
      </c>
      <c r="L46">
        <v>3.1500694903842815E-5</v>
      </c>
      <c r="M46">
        <v>1.8246968976041616E-6</v>
      </c>
      <c r="N46" s="1">
        <v>-4.4246215274721502E-8</v>
      </c>
      <c r="O46" s="1">
        <v>1.0860492872962801E-11</v>
      </c>
      <c r="P46" s="1">
        <v>1.5472111531339401E-10</v>
      </c>
      <c r="Q46">
        <v>65.814202471614493</v>
      </c>
      <c r="S46">
        <v>20.8647650632861</v>
      </c>
      <c r="AA46">
        <v>1.8568004063503101</v>
      </c>
      <c r="AB46">
        <v>9.0280384660559605</v>
      </c>
      <c r="AC46">
        <v>2.43619359269307</v>
      </c>
      <c r="AJ46">
        <v>0.77447735072011004</v>
      </c>
      <c r="AK46">
        <v>8.8022020533078199E-2</v>
      </c>
      <c r="AL46">
        <v>0.13750062874681099</v>
      </c>
    </row>
    <row r="47" spans="1:38" x14ac:dyDescent="0.2">
      <c r="A47">
        <v>132</v>
      </c>
      <c r="B47">
        <v>755</v>
      </c>
      <c r="C47">
        <v>195</v>
      </c>
      <c r="D47">
        <v>0.38674366580751801</v>
      </c>
      <c r="E47">
        <v>5.5188590773373596</v>
      </c>
      <c r="F47">
        <v>2.56139703474325</v>
      </c>
      <c r="G47">
        <v>-89.275349901103112</v>
      </c>
      <c r="H47">
        <v>-77.331940912736215</v>
      </c>
      <c r="I47">
        <v>11.6164071277215</v>
      </c>
      <c r="J47">
        <v>6.73498533532588</v>
      </c>
      <c r="K47">
        <v>2.1546285103318801</v>
      </c>
      <c r="L47">
        <v>3.1494347649171271E-5</v>
      </c>
      <c r="M47">
        <v>1.8253574257005966E-6</v>
      </c>
      <c r="N47" s="1">
        <v>-7.9953353530844705E-8</v>
      </c>
      <c r="O47" s="1">
        <v>1.9272063471602099E-11</v>
      </c>
      <c r="P47" s="1">
        <v>2.7851636888628702E-10</v>
      </c>
      <c r="Q47">
        <v>65.873892053607193</v>
      </c>
      <c r="S47">
        <v>20.7817284554712</v>
      </c>
      <c r="AA47">
        <v>1.77436660672707</v>
      </c>
      <c r="AB47">
        <v>8.94336223621697</v>
      </c>
      <c r="AC47">
        <v>2.62665064797749</v>
      </c>
      <c r="AJ47">
        <v>0.76753743960779897</v>
      </c>
      <c r="AK47">
        <v>8.4149762276357704E-2</v>
      </c>
      <c r="AL47">
        <v>0.148312798115842</v>
      </c>
    </row>
    <row r="48" spans="1:38" x14ac:dyDescent="0.2">
      <c r="A48">
        <v>133</v>
      </c>
      <c r="B48">
        <v>754</v>
      </c>
      <c r="C48">
        <v>195</v>
      </c>
      <c r="D48">
        <v>0.38607846955167302</v>
      </c>
      <c r="E48">
        <v>8.5297763094993506</v>
      </c>
      <c r="F48">
        <v>2.5624836919787102</v>
      </c>
      <c r="G48">
        <v>-137.99511127132354</v>
      </c>
      <c r="H48">
        <v>-119.56505722219678</v>
      </c>
      <c r="I48">
        <v>17.942904200094201</v>
      </c>
      <c r="J48">
        <v>10.4134758984175</v>
      </c>
      <c r="K48">
        <v>3.3287143782416702</v>
      </c>
      <c r="L48">
        <v>3.1518218723065517E-5</v>
      </c>
      <c r="M48">
        <v>1.824223174264237E-6</v>
      </c>
      <c r="N48" s="1">
        <v>-1.2760680442660501E-7</v>
      </c>
      <c r="O48" s="1">
        <v>2.9700599638296403E-11</v>
      </c>
      <c r="P48" s="1">
        <v>4.4211888382351602E-10</v>
      </c>
      <c r="Q48">
        <v>65.802364218051594</v>
      </c>
      <c r="S48">
        <v>20.8457648081176</v>
      </c>
      <c r="AA48">
        <v>1.8438872959188499</v>
      </c>
      <c r="AB48">
        <v>8.9518459136070891</v>
      </c>
      <c r="AC48">
        <v>2.5561377643047298</v>
      </c>
      <c r="AJ48">
        <v>0.76823200076236098</v>
      </c>
      <c r="AK48">
        <v>8.7442981689023896E-2</v>
      </c>
      <c r="AL48">
        <v>0.14432501754861399</v>
      </c>
    </row>
    <row r="49" spans="1:38" x14ac:dyDescent="0.2">
      <c r="A49">
        <v>134</v>
      </c>
      <c r="B49">
        <v>753</v>
      </c>
      <c r="C49">
        <v>195</v>
      </c>
      <c r="D49">
        <v>0.38541197680651201</v>
      </c>
      <c r="E49">
        <v>12.391401364163</v>
      </c>
      <c r="F49">
        <v>2.5635806131601799</v>
      </c>
      <c r="G49">
        <v>-200.48795531929088</v>
      </c>
      <c r="H49">
        <v>-173.75702199763822</v>
      </c>
      <c r="I49">
        <v>26.049732808704899</v>
      </c>
      <c r="J49">
        <v>15.133809542779799</v>
      </c>
      <c r="K49">
        <v>4.8336304700353798</v>
      </c>
      <c r="L49">
        <v>3.1540497235904015E-5</v>
      </c>
      <c r="M49">
        <v>1.8230048653996008E-6</v>
      </c>
      <c r="N49" s="1">
        <v>-1.913731376048E-7</v>
      </c>
      <c r="O49" s="1">
        <v>4.3019630496294703E-11</v>
      </c>
      <c r="P49" s="1">
        <v>6.5958150165330303E-10</v>
      </c>
      <c r="Q49">
        <v>65.727656004847802</v>
      </c>
      <c r="S49">
        <v>20.911540038899201</v>
      </c>
      <c r="AA49">
        <v>1.91558467502259</v>
      </c>
      <c r="AB49">
        <v>8.9578009850340798</v>
      </c>
      <c r="AC49">
        <v>2.4874182961962301</v>
      </c>
      <c r="AJ49">
        <v>0.76871913025013106</v>
      </c>
      <c r="AK49">
        <v>9.0840271546032497E-2</v>
      </c>
      <c r="AL49">
        <v>0.140440598203835</v>
      </c>
    </row>
    <row r="50" spans="1:38" x14ac:dyDescent="0.2">
      <c r="A50">
        <v>135</v>
      </c>
      <c r="B50">
        <v>752</v>
      </c>
      <c r="C50">
        <v>195</v>
      </c>
      <c r="D50">
        <v>0.38474418377798603</v>
      </c>
      <c r="E50">
        <v>16.077969899298701</v>
      </c>
      <c r="F50">
        <v>2.5645147276533198</v>
      </c>
      <c r="G50">
        <v>-260.15049624414132</v>
      </c>
      <c r="H50">
        <v>-225.52220112698893</v>
      </c>
      <c r="I50">
        <v>33.778759320248099</v>
      </c>
      <c r="J50">
        <v>19.643992826941499</v>
      </c>
      <c r="K50">
        <v>6.2694004935627801</v>
      </c>
      <c r="L50">
        <v>3.1566159184624218E-5</v>
      </c>
      <c r="M50">
        <v>1.821991727383869E-6</v>
      </c>
      <c r="N50" s="1">
        <v>-2.5630500676095099E-7</v>
      </c>
      <c r="O50" s="1">
        <v>5.5667155061575602E-11</v>
      </c>
      <c r="P50" s="1">
        <v>8.7885911664047399E-10</v>
      </c>
      <c r="Q50">
        <v>65.664128253748004</v>
      </c>
      <c r="S50">
        <v>20.9672130633199</v>
      </c>
      <c r="AA50">
        <v>1.9763388224549601</v>
      </c>
      <c r="AB50">
        <v>8.9621868694359303</v>
      </c>
      <c r="AC50">
        <v>2.43013299104111</v>
      </c>
      <c r="AJ50">
        <v>0.76907774842728505</v>
      </c>
      <c r="AK50">
        <v>9.3719172058759403E-2</v>
      </c>
      <c r="AL50">
        <v>0.137203079513955</v>
      </c>
    </row>
    <row r="51" spans="1:38" x14ac:dyDescent="0.2">
      <c r="A51">
        <v>136</v>
      </c>
      <c r="B51">
        <v>751</v>
      </c>
      <c r="C51">
        <v>195</v>
      </c>
      <c r="D51">
        <v>0.38407508665723</v>
      </c>
      <c r="E51">
        <v>17.835572705890101</v>
      </c>
      <c r="F51">
        <v>2.5650305175869899</v>
      </c>
      <c r="G51">
        <v>-288.58267577553789</v>
      </c>
      <c r="H51">
        <v>-250.2290436418684</v>
      </c>
      <c r="I51">
        <v>37.449233153023798</v>
      </c>
      <c r="J51">
        <v>21.8003500168087</v>
      </c>
      <c r="K51">
        <v>6.9533569225010998</v>
      </c>
      <c r="L51">
        <v>3.1603890049417058E-5</v>
      </c>
      <c r="M51">
        <v>1.8216474219083804E-6</v>
      </c>
      <c r="N51" s="1">
        <v>-2.9354894028130202E-7</v>
      </c>
      <c r="O51" s="1">
        <v>6.1628048147109298E-11</v>
      </c>
      <c r="P51" s="1">
        <v>1.00146620618916E-9</v>
      </c>
      <c r="Q51">
        <v>65.634180812745498</v>
      </c>
      <c r="S51">
        <v>20.994749413952199</v>
      </c>
      <c r="AA51">
        <v>2.0060444196264702</v>
      </c>
      <c r="AB51">
        <v>8.9676407260319202</v>
      </c>
      <c r="AC51">
        <v>2.39738462764379</v>
      </c>
      <c r="AJ51">
        <v>0.76952442481432304</v>
      </c>
      <c r="AK51">
        <v>9.5125191479130095E-2</v>
      </c>
      <c r="AL51">
        <v>0.13535038370654501</v>
      </c>
    </row>
    <row r="52" spans="1:38" x14ac:dyDescent="0.2">
      <c r="A52">
        <v>137</v>
      </c>
      <c r="B52">
        <v>750</v>
      </c>
      <c r="C52">
        <v>195</v>
      </c>
      <c r="D52">
        <v>0.38340468162048602</v>
      </c>
      <c r="E52">
        <v>18.5457133600204</v>
      </c>
      <c r="F52">
        <v>2.56530324262889</v>
      </c>
      <c r="G52">
        <v>-300.05186063745498</v>
      </c>
      <c r="H52">
        <v>-260.23281817566362</v>
      </c>
      <c r="I52">
        <v>38.9180887081965</v>
      </c>
      <c r="J52">
        <v>22.678079615282702</v>
      </c>
      <c r="K52">
        <v>7.2294429180290498</v>
      </c>
      <c r="L52">
        <v>3.1649871174358287E-5</v>
      </c>
      <c r="M52">
        <v>1.8217106168613968E-6</v>
      </c>
      <c r="N52" s="1">
        <v>-3.1521367711477003E-7</v>
      </c>
      <c r="O52" s="1">
        <v>6.3977454996126901E-11</v>
      </c>
      <c r="P52" s="1">
        <v>1.06999325308923E-9</v>
      </c>
      <c r="Q52">
        <v>65.624306606209203</v>
      </c>
      <c r="S52">
        <v>21.005678713096099</v>
      </c>
      <c r="AA52">
        <v>2.0173652144334602</v>
      </c>
      <c r="AB52">
        <v>8.97428916481112</v>
      </c>
      <c r="AC52">
        <v>2.3783603014499999</v>
      </c>
      <c r="AJ52">
        <v>0.77006931651305699</v>
      </c>
      <c r="AK52">
        <v>9.5658833037147298E-2</v>
      </c>
      <c r="AL52">
        <v>0.13427185044979401</v>
      </c>
    </row>
    <row r="53" spans="1:38" x14ac:dyDescent="0.2">
      <c r="A53">
        <v>139</v>
      </c>
      <c r="B53">
        <v>764</v>
      </c>
      <c r="C53">
        <v>180</v>
      </c>
      <c r="D53">
        <v>0.40858169020874802</v>
      </c>
      <c r="E53">
        <v>8.5864906030038393E-2</v>
      </c>
      <c r="F53">
        <v>2.56644565542245</v>
      </c>
      <c r="G53">
        <v>-1.3939543995345369</v>
      </c>
      <c r="H53">
        <v>-1.2055555501004829</v>
      </c>
      <c r="I53">
        <v>0.181650532164155</v>
      </c>
      <c r="J53">
        <v>0.104648877820561</v>
      </c>
      <c r="K53">
        <v>3.3456740394491001E-2</v>
      </c>
      <c r="L53">
        <v>3.1233707729626779E-5</v>
      </c>
      <c r="M53">
        <v>1.8201024077187389E-6</v>
      </c>
      <c r="N53" s="1">
        <v>-9.588052906850919E-10</v>
      </c>
      <c r="O53" s="1">
        <v>2.99095325635534E-13</v>
      </c>
      <c r="P53" s="1">
        <v>3.5133578170584601E-12</v>
      </c>
      <c r="Q53">
        <v>65.548308078744896</v>
      </c>
      <c r="S53">
        <v>21.147574444087201</v>
      </c>
      <c r="AA53">
        <v>2.1521638628145698</v>
      </c>
      <c r="AB53">
        <v>9.1769286277317494</v>
      </c>
      <c r="AC53">
        <v>1.9750249866215099</v>
      </c>
      <c r="AJ53">
        <v>0.78666338056729501</v>
      </c>
      <c r="AK53">
        <v>0.101947764066823</v>
      </c>
      <c r="AL53">
        <v>0.11138885536588</v>
      </c>
    </row>
    <row r="54" spans="1:38" x14ac:dyDescent="0.2">
      <c r="A54">
        <v>140</v>
      </c>
      <c r="B54">
        <v>763</v>
      </c>
      <c r="C54">
        <v>180</v>
      </c>
      <c r="D54">
        <v>0.40794334797085602</v>
      </c>
      <c r="E54">
        <v>0.53145656257768803</v>
      </c>
      <c r="F54">
        <v>2.5659050243354402</v>
      </c>
      <c r="G54">
        <v>-8.6254691868729694</v>
      </c>
      <c r="H54">
        <v>-7.4610960340735053</v>
      </c>
      <c r="I54">
        <v>1.1237496045934099</v>
      </c>
      <c r="J54">
        <v>0.647856898933864</v>
      </c>
      <c r="K54">
        <v>0.207122460705782</v>
      </c>
      <c r="L54">
        <v>3.1275155507895767E-5</v>
      </c>
      <c r="M54">
        <v>1.8211617903500359E-6</v>
      </c>
      <c r="N54" s="1">
        <v>-6.1164693684783801E-9</v>
      </c>
      <c r="O54" s="1">
        <v>1.8517237610942799E-12</v>
      </c>
      <c r="P54" s="1">
        <v>2.227102012631E-11</v>
      </c>
      <c r="Q54">
        <v>65.594993562302093</v>
      </c>
      <c r="S54">
        <v>21.106411969653401</v>
      </c>
      <c r="AA54">
        <v>2.1073109805800501</v>
      </c>
      <c r="AB54">
        <v>9.1730519464485898</v>
      </c>
      <c r="AC54">
        <v>2.0182315410156999</v>
      </c>
      <c r="AJ54">
        <v>0.78634694734639399</v>
      </c>
      <c r="AK54">
        <v>9.98251043249095E-2</v>
      </c>
      <c r="AL54">
        <v>0.113827948328696</v>
      </c>
    </row>
    <row r="55" spans="1:38" x14ac:dyDescent="0.2">
      <c r="A55">
        <v>141</v>
      </c>
      <c r="B55">
        <v>762</v>
      </c>
      <c r="C55">
        <v>180</v>
      </c>
      <c r="D55">
        <v>0.40730377240013699</v>
      </c>
      <c r="E55">
        <v>0.97905086076597603</v>
      </c>
      <c r="F55">
        <v>2.56536829178388</v>
      </c>
      <c r="G55">
        <v>-15.885510086246148</v>
      </c>
      <c r="H55">
        <v>-13.743661076948547</v>
      </c>
      <c r="I55">
        <v>2.0691194602691398</v>
      </c>
      <c r="J55">
        <v>1.19374122189988</v>
      </c>
      <c r="K55">
        <v>0.38164144458383797</v>
      </c>
      <c r="L55">
        <v>3.1316127370882887E-5</v>
      </c>
      <c r="M55">
        <v>1.8221827837909816E-6</v>
      </c>
      <c r="N55" s="1">
        <v>-1.16116102194814E-8</v>
      </c>
      <c r="O55" s="1">
        <v>3.41202916557867E-12</v>
      </c>
      <c r="P55" s="1">
        <v>4.20194431843189E-11</v>
      </c>
      <c r="Q55">
        <v>65.640211489496906</v>
      </c>
      <c r="S55">
        <v>21.066019471495</v>
      </c>
      <c r="AA55">
        <v>2.06343577087104</v>
      </c>
      <c r="AB55">
        <v>9.1679234874084194</v>
      </c>
      <c r="AC55">
        <v>2.06240978072855</v>
      </c>
      <c r="AJ55">
        <v>0.78592805791749498</v>
      </c>
      <c r="AK55">
        <v>9.7749278099437897E-2</v>
      </c>
      <c r="AL55">
        <v>0.116322663983066</v>
      </c>
    </row>
    <row r="56" spans="1:38" x14ac:dyDescent="0.2">
      <c r="A56">
        <v>142</v>
      </c>
      <c r="B56">
        <v>761</v>
      </c>
      <c r="C56">
        <v>180</v>
      </c>
      <c r="D56">
        <v>0.40666295991877599</v>
      </c>
      <c r="E56">
        <v>1.77149914715047</v>
      </c>
      <c r="F56">
        <v>2.5643340022597298</v>
      </c>
      <c r="G56">
        <v>-28.730839043793125</v>
      </c>
      <c r="H56">
        <v>-24.861068352152579</v>
      </c>
      <c r="I56">
        <v>3.7419820061311602</v>
      </c>
      <c r="J56">
        <v>2.1602067439666301</v>
      </c>
      <c r="K56">
        <v>0.69082231315788201</v>
      </c>
      <c r="L56">
        <v>3.1351724104505596E-5</v>
      </c>
      <c r="M56">
        <v>1.8235271671824337E-6</v>
      </c>
      <c r="N56" s="1">
        <v>-2.1597894030319199E-8</v>
      </c>
      <c r="O56" s="1">
        <v>6.1804825716698199E-12</v>
      </c>
      <c r="P56" s="1">
        <v>7.7717074887362702E-11</v>
      </c>
      <c r="Q56">
        <v>65.709503722125703</v>
      </c>
      <c r="S56">
        <v>20.997855131580302</v>
      </c>
      <c r="AA56">
        <v>1.99103109729596</v>
      </c>
      <c r="AB56">
        <v>9.1436358334653605</v>
      </c>
      <c r="AC56">
        <v>2.1579742155326298</v>
      </c>
      <c r="AJ56">
        <v>0.78394168117115504</v>
      </c>
      <c r="AK56">
        <v>9.4330832775854107E-2</v>
      </c>
      <c r="AL56">
        <v>0.12172748605299</v>
      </c>
    </row>
    <row r="57" spans="1:38" x14ac:dyDescent="0.2">
      <c r="A57">
        <v>143</v>
      </c>
      <c r="B57">
        <v>760</v>
      </c>
      <c r="C57">
        <v>180</v>
      </c>
      <c r="D57">
        <v>0.40602090693510101</v>
      </c>
      <c r="E57">
        <v>3.2084972270225398</v>
      </c>
      <c r="F57">
        <v>2.56228178963877</v>
      </c>
      <c r="G57">
        <v>-51.995848480086309</v>
      </c>
      <c r="H57">
        <v>-44.997468633227108</v>
      </c>
      <c r="I57">
        <v>6.7738274663497098</v>
      </c>
      <c r="J57">
        <v>3.9119242483279102</v>
      </c>
      <c r="K57">
        <v>1.2522031105231599</v>
      </c>
      <c r="L57">
        <v>3.1367150933133938E-5</v>
      </c>
      <c r="M57">
        <v>1.8253119925103318E-6</v>
      </c>
      <c r="N57" s="1">
        <v>-3.9965922801418102E-8</v>
      </c>
      <c r="O57" s="1">
        <v>1.12260880292315E-11</v>
      </c>
      <c r="P57" s="1">
        <v>1.4315936993945199E-10</v>
      </c>
      <c r="Q57">
        <v>65.820772135699301</v>
      </c>
      <c r="S57">
        <v>20.876017535740999</v>
      </c>
      <c r="AA57">
        <v>1.86455087004057</v>
      </c>
      <c r="AB57">
        <v>9.0721784296792993</v>
      </c>
      <c r="AC57">
        <v>2.3664810288397899</v>
      </c>
      <c r="AJ57">
        <v>0.77809324693437998</v>
      </c>
      <c r="AK57">
        <v>8.8370047773401295E-2</v>
      </c>
      <c r="AL57">
        <v>0.13353670529221801</v>
      </c>
    </row>
    <row r="58" spans="1:38" x14ac:dyDescent="0.2">
      <c r="A58">
        <v>144</v>
      </c>
      <c r="B58">
        <v>759</v>
      </c>
      <c r="C58">
        <v>180</v>
      </c>
      <c r="D58">
        <v>0.40537760984353299</v>
      </c>
      <c r="E58">
        <v>4.8397918676164</v>
      </c>
      <c r="F58">
        <v>2.5597429734381398</v>
      </c>
      <c r="G58">
        <v>-78.353700342591381</v>
      </c>
      <c r="H58">
        <v>-67.81372158693388</v>
      </c>
      <c r="I58">
        <v>10.211673454107901</v>
      </c>
      <c r="J58">
        <v>5.8986517754943204</v>
      </c>
      <c r="K58">
        <v>1.8907335298261501</v>
      </c>
      <c r="L58">
        <v>3.1355553042157772E-5</v>
      </c>
      <c r="M58">
        <v>1.8268391743342244E-6</v>
      </c>
      <c r="N58" s="1">
        <v>-6.12668154140741E-8</v>
      </c>
      <c r="O58" s="1">
        <v>1.69960676829991E-11</v>
      </c>
      <c r="P58" s="1">
        <v>2.18673314531092E-10</v>
      </c>
      <c r="Q58">
        <v>65.9364602118427</v>
      </c>
      <c r="S58">
        <v>20.735179495757901</v>
      </c>
      <c r="AA58">
        <v>1.7213638139776</v>
      </c>
      <c r="AB58">
        <v>8.9607578724080295</v>
      </c>
      <c r="AC58">
        <v>2.64623860601372</v>
      </c>
      <c r="AJ58">
        <v>0.76896478722492201</v>
      </c>
      <c r="AK58">
        <v>8.1629130375551404E-2</v>
      </c>
      <c r="AL58">
        <v>0.14940608239952599</v>
      </c>
    </row>
    <row r="59" spans="1:38" x14ac:dyDescent="0.2">
      <c r="A59">
        <v>145</v>
      </c>
      <c r="B59">
        <v>758</v>
      </c>
      <c r="C59">
        <v>180</v>
      </c>
      <c r="D59">
        <v>0.40473306502448703</v>
      </c>
      <c r="E59">
        <v>7.4153209180291499</v>
      </c>
      <c r="F59">
        <v>2.5596291694544799</v>
      </c>
      <c r="G59">
        <v>-120.01213733238684</v>
      </c>
      <c r="H59">
        <v>-103.88938356920913</v>
      </c>
      <c r="I59">
        <v>15.635701656575399</v>
      </c>
      <c r="J59">
        <v>9.0377258805264393</v>
      </c>
      <c r="K59">
        <v>2.8970293847719799</v>
      </c>
      <c r="L59">
        <v>3.1347822657245856E-5</v>
      </c>
      <c r="M59">
        <v>1.8261667492030155E-6</v>
      </c>
      <c r="N59" s="1">
        <v>-9.6183724574818595E-8</v>
      </c>
      <c r="O59" s="1">
        <v>2.60251695505194E-11</v>
      </c>
      <c r="P59" s="1">
        <v>3.4167954872111199E-10</v>
      </c>
      <c r="Q59">
        <v>65.913128290555804</v>
      </c>
      <c r="S59">
        <v>20.736440206493299</v>
      </c>
      <c r="AA59">
        <v>1.72784809810748</v>
      </c>
      <c r="AB59">
        <v>8.9120690539245295</v>
      </c>
      <c r="AC59">
        <v>2.7105143509187202</v>
      </c>
      <c r="AJ59">
        <v>0.76497148633290502</v>
      </c>
      <c r="AK59">
        <v>8.19564341162409E-2</v>
      </c>
      <c r="AL59">
        <v>0.153072079550853</v>
      </c>
    </row>
    <row r="60" spans="1:38" x14ac:dyDescent="0.2">
      <c r="A60">
        <v>146</v>
      </c>
      <c r="B60">
        <v>757</v>
      </c>
      <c r="C60">
        <v>180</v>
      </c>
      <c r="D60">
        <v>0.40408726884434598</v>
      </c>
      <c r="E60">
        <v>9.6206153902943399</v>
      </c>
      <c r="F60">
        <v>2.56081490581199</v>
      </c>
      <c r="G60">
        <v>-155.72342713861471</v>
      </c>
      <c r="H60">
        <v>-134.83882410154027</v>
      </c>
      <c r="I60">
        <v>20.273361196985299</v>
      </c>
      <c r="J60">
        <v>11.7298483458117</v>
      </c>
      <c r="K60">
        <v>3.75685699441201</v>
      </c>
      <c r="L60">
        <v>3.13681936874983E-5</v>
      </c>
      <c r="M60">
        <v>1.824947555711865E-6</v>
      </c>
      <c r="N60" s="1">
        <v>-1.28895766989886E-7</v>
      </c>
      <c r="O60" s="1">
        <v>3.3666626904598497E-11</v>
      </c>
      <c r="P60" s="1">
        <v>4.5519919911996699E-10</v>
      </c>
      <c r="Q60">
        <v>65.836499607731</v>
      </c>
      <c r="S60">
        <v>20.805921863076101</v>
      </c>
      <c r="AA60">
        <v>1.8030514317795201</v>
      </c>
      <c r="AB60">
        <v>8.9234613388785302</v>
      </c>
      <c r="AC60">
        <v>2.6310657585347799</v>
      </c>
      <c r="AJ60">
        <v>0.76590475683223702</v>
      </c>
      <c r="AK60">
        <v>8.5518549450542103E-2</v>
      </c>
      <c r="AL60">
        <v>0.14857669371721999</v>
      </c>
    </row>
    <row r="61" spans="1:38" x14ac:dyDescent="0.2">
      <c r="A61">
        <v>147</v>
      </c>
      <c r="B61">
        <v>756</v>
      </c>
      <c r="C61">
        <v>180</v>
      </c>
      <c r="D61">
        <v>0.40344021765534699</v>
      </c>
      <c r="E61">
        <v>13.6628400948777</v>
      </c>
      <c r="F61">
        <v>2.5624123766168401</v>
      </c>
      <c r="G61">
        <v>-221.19741138567989</v>
      </c>
      <c r="H61">
        <v>-191.58600079870618</v>
      </c>
      <c r="I61">
        <v>28.772686767695401</v>
      </c>
      <c r="J61">
        <v>16.664337309891501</v>
      </c>
      <c r="K61">
        <v>5.3320223628161001</v>
      </c>
      <c r="L61">
        <v>3.1376402044397861E-5</v>
      </c>
      <c r="M61">
        <v>1.8229998588838192E-6</v>
      </c>
      <c r="N61" s="1">
        <v>-1.8897913026171601E-7</v>
      </c>
      <c r="O61" s="1">
        <v>4.7636026758022901E-11</v>
      </c>
      <c r="P61" s="1">
        <v>6.6364186806570199E-10</v>
      </c>
      <c r="Q61">
        <v>65.724279558238095</v>
      </c>
      <c r="S61">
        <v>20.904215497624101</v>
      </c>
      <c r="AA61">
        <v>1.9103297011307501</v>
      </c>
      <c r="AB61">
        <v>8.93107451759432</v>
      </c>
      <c r="AC61">
        <v>2.5301007254125798</v>
      </c>
      <c r="AJ61">
        <v>0.76652743942118695</v>
      </c>
      <c r="AK61">
        <v>9.0603111242491402E-2</v>
      </c>
      <c r="AL61">
        <v>0.14286944933632001</v>
      </c>
    </row>
    <row r="62" spans="1:38" x14ac:dyDescent="0.2">
      <c r="A62">
        <v>148</v>
      </c>
      <c r="B62">
        <v>755</v>
      </c>
      <c r="C62">
        <v>180</v>
      </c>
      <c r="D62">
        <v>0.40279190779555302</v>
      </c>
      <c r="E62">
        <v>16.311362372830899</v>
      </c>
      <c r="F62">
        <v>2.5634292834912098</v>
      </c>
      <c r="G62">
        <v>-264.09668765329116</v>
      </c>
      <c r="H62">
        <v>-228.80148275350973</v>
      </c>
      <c r="I62">
        <v>34.3288478332747</v>
      </c>
      <c r="J62">
        <v>19.901744019664999</v>
      </c>
      <c r="K62">
        <v>6.3631021451920002</v>
      </c>
      <c r="L62">
        <v>3.1396528674301686E-5</v>
      </c>
      <c r="M62">
        <v>1.821864755879375E-6</v>
      </c>
      <c r="N62" s="1">
        <v>-2.3286404298842401E-7</v>
      </c>
      <c r="O62" s="1">
        <v>5.6715568445237202E-11</v>
      </c>
      <c r="P62" s="1">
        <v>8.1325047804403696E-10</v>
      </c>
      <c r="Q62">
        <v>65.654885467282398</v>
      </c>
      <c r="S62">
        <v>20.965149994070501</v>
      </c>
      <c r="AA62">
        <v>1.97679344706488</v>
      </c>
      <c r="AB62">
        <v>8.9361812111212604</v>
      </c>
      <c r="AC62">
        <v>2.4669898804608099</v>
      </c>
      <c r="AJ62">
        <v>0.76694517881122004</v>
      </c>
      <c r="AK62">
        <v>9.3752841161716699E-2</v>
      </c>
      <c r="AL62">
        <v>0.13930198002706201</v>
      </c>
    </row>
    <row r="63" spans="1:38" x14ac:dyDescent="0.2">
      <c r="A63">
        <v>149</v>
      </c>
      <c r="B63">
        <v>754</v>
      </c>
      <c r="C63">
        <v>180</v>
      </c>
      <c r="D63">
        <v>0.402142335588766</v>
      </c>
      <c r="E63">
        <v>17.618343442373199</v>
      </c>
      <c r="F63">
        <v>2.56398817065151</v>
      </c>
      <c r="G63">
        <v>-285.25389779579524</v>
      </c>
      <c r="H63">
        <v>-247.19012671516217</v>
      </c>
      <c r="I63">
        <v>37.057655727627903</v>
      </c>
      <c r="J63">
        <v>21.504268235370301</v>
      </c>
      <c r="K63">
        <v>6.8714605020569799</v>
      </c>
      <c r="L63">
        <v>3.1428998315727223E-5</v>
      </c>
      <c r="M63">
        <v>1.8214457484602489E-6</v>
      </c>
      <c r="N63" s="1">
        <v>-2.59652259248563E-7</v>
      </c>
      <c r="O63" s="1">
        <v>6.1140280620684099E-11</v>
      </c>
      <c r="P63" s="1">
        <v>9.0185790357969904E-10</v>
      </c>
      <c r="Q63">
        <v>65.621723995417696</v>
      </c>
      <c r="S63">
        <v>20.995508417186301</v>
      </c>
      <c r="AA63">
        <v>2.0095772330940598</v>
      </c>
      <c r="AB63">
        <v>8.9418712021801898</v>
      </c>
      <c r="AC63">
        <v>2.4313191521216</v>
      </c>
      <c r="AJ63">
        <v>0.76741128668148095</v>
      </c>
      <c r="AK63">
        <v>9.5304907558705104E-2</v>
      </c>
      <c r="AL63">
        <v>0.137283805759813</v>
      </c>
    </row>
    <row r="64" spans="1:38" x14ac:dyDescent="0.2">
      <c r="A64">
        <v>150</v>
      </c>
      <c r="B64">
        <v>753</v>
      </c>
      <c r="C64">
        <v>180</v>
      </c>
      <c r="D64">
        <v>0.401491497344444</v>
      </c>
      <c r="E64">
        <v>18.217702850512801</v>
      </c>
      <c r="F64">
        <v>2.5642965378618898</v>
      </c>
      <c r="G64">
        <v>-294.93943138349971</v>
      </c>
      <c r="H64">
        <v>-255.64148729955954</v>
      </c>
      <c r="I64">
        <v>38.296490848258202</v>
      </c>
      <c r="J64">
        <v>22.244304531152</v>
      </c>
      <c r="K64">
        <v>7.1043666680230002</v>
      </c>
      <c r="L64">
        <v>3.1469466133804807E-5</v>
      </c>
      <c r="M64">
        <v>1.8214384911864351E-6</v>
      </c>
      <c r="N64" s="1">
        <v>-2.77217430688506E-7</v>
      </c>
      <c r="O64" s="1">
        <v>6.3122175835170395E-11</v>
      </c>
      <c r="P64" s="1">
        <v>9.5768056573826995E-10</v>
      </c>
      <c r="Q64">
        <v>65.608984766669096</v>
      </c>
      <c r="S64">
        <v>21.008866100377201</v>
      </c>
      <c r="AA64">
        <v>2.02356998337038</v>
      </c>
      <c r="AB64">
        <v>8.9485014170664794</v>
      </c>
      <c r="AC64">
        <v>2.41007773251664</v>
      </c>
      <c r="AJ64">
        <v>0.76795477992951</v>
      </c>
      <c r="AK64">
        <v>9.5965328811308301E-2</v>
      </c>
      <c r="AL64">
        <v>0.13607989125918099</v>
      </c>
    </row>
    <row r="65" spans="1:38" x14ac:dyDescent="0.2">
      <c r="A65">
        <v>152</v>
      </c>
      <c r="B65">
        <v>770</v>
      </c>
      <c r="C65">
        <v>165</v>
      </c>
      <c r="D65">
        <v>0.428203518190098</v>
      </c>
      <c r="E65">
        <v>0.114884931699579</v>
      </c>
      <c r="F65">
        <v>2.5653886553267302</v>
      </c>
      <c r="G65">
        <v>-1.8673160746796369</v>
      </c>
      <c r="H65">
        <v>-1.6129192653408626</v>
      </c>
      <c r="I65">
        <v>0.24387366087214099</v>
      </c>
      <c r="J65">
        <v>0.139832030799729</v>
      </c>
      <c r="K65">
        <v>4.4782661473548799E-2</v>
      </c>
      <c r="L65">
        <v>3.1055870609509696E-5</v>
      </c>
      <c r="M65">
        <v>1.820092295019615E-6</v>
      </c>
      <c r="N65" s="1">
        <v>-1.05509674969037E-9</v>
      </c>
      <c r="O65" s="1">
        <v>4.0208891503224702E-13</v>
      </c>
      <c r="P65" s="1">
        <v>4.0385826257462702E-12</v>
      </c>
      <c r="Q65">
        <v>65.547326779450302</v>
      </c>
      <c r="S65">
        <v>21.152672546802499</v>
      </c>
      <c r="AA65">
        <v>2.1565988225303201</v>
      </c>
      <c r="AB65">
        <v>9.1881071939357692</v>
      </c>
      <c r="AC65">
        <v>1.9552946572809999</v>
      </c>
      <c r="AJ65">
        <v>0.78757786551861397</v>
      </c>
      <c r="AK65">
        <v>0.10215217143403101</v>
      </c>
      <c r="AL65">
        <v>0.11026996304735399</v>
      </c>
    </row>
    <row r="66" spans="1:38" x14ac:dyDescent="0.2">
      <c r="A66">
        <v>153</v>
      </c>
      <c r="B66">
        <v>769</v>
      </c>
      <c r="C66">
        <v>165</v>
      </c>
      <c r="D66">
        <v>0.42758767931679997</v>
      </c>
      <c r="E66">
        <v>0.54789106454242698</v>
      </c>
      <c r="F66">
        <v>2.5648766521996098</v>
      </c>
      <c r="G66">
        <v>-8.9029651430954235</v>
      </c>
      <c r="H66">
        <v>-7.6915049194842595</v>
      </c>
      <c r="I66">
        <v>1.16246243209822</v>
      </c>
      <c r="J66">
        <v>0.66697343060030001</v>
      </c>
      <c r="K66">
        <v>0.21361302660405199</v>
      </c>
      <c r="L66">
        <v>3.1092233814997759E-5</v>
      </c>
      <c r="M66">
        <v>1.8211094473772864E-6</v>
      </c>
      <c r="N66" s="1">
        <v>-5.1865289054247497E-9</v>
      </c>
      <c r="O66" s="1">
        <v>1.9182565683813002E-12</v>
      </c>
      <c r="P66" s="1">
        <v>1.97084430120111E-11</v>
      </c>
      <c r="Q66">
        <v>65.592303133735797</v>
      </c>
      <c r="S66">
        <v>21.1132523179425</v>
      </c>
      <c r="AA66">
        <v>2.1135821126835199</v>
      </c>
      <c r="AB66">
        <v>9.1849893329891099</v>
      </c>
      <c r="AC66">
        <v>1.9958731026490399</v>
      </c>
      <c r="AJ66">
        <v>0.78732351802012501</v>
      </c>
      <c r="AK66">
        <v>0.100116229059956</v>
      </c>
      <c r="AL66">
        <v>0.112560252919917</v>
      </c>
    </row>
    <row r="67" spans="1:38" x14ac:dyDescent="0.2">
      <c r="A67">
        <v>154</v>
      </c>
      <c r="B67">
        <v>768</v>
      </c>
      <c r="C67">
        <v>165</v>
      </c>
      <c r="D67">
        <v>0.42697065744609403</v>
      </c>
      <c r="E67">
        <v>0.98255833645205704</v>
      </c>
      <c r="F67">
        <v>2.5643691121079799</v>
      </c>
      <c r="G67">
        <v>-15.961862670554654</v>
      </c>
      <c r="H67">
        <v>-13.792475116214561</v>
      </c>
      <c r="I67">
        <v>2.0836455403545</v>
      </c>
      <c r="J67">
        <v>1.19631155195586</v>
      </c>
      <c r="K67">
        <v>0.38315792052430597</v>
      </c>
      <c r="L67">
        <v>3.1128116795215932E-5</v>
      </c>
      <c r="M67">
        <v>1.8220905993658145E-6</v>
      </c>
      <c r="N67" s="1">
        <v>-9.5856340826817296E-9</v>
      </c>
      <c r="O67" s="1">
        <v>3.4412040887529402E-12</v>
      </c>
      <c r="P67" s="1">
        <v>3.6167476042025098E-11</v>
      </c>
      <c r="Q67">
        <v>65.635888000903506</v>
      </c>
      <c r="S67">
        <v>21.0745878550388</v>
      </c>
      <c r="AA67">
        <v>2.07151360198531</v>
      </c>
      <c r="AB67">
        <v>9.1807519563201794</v>
      </c>
      <c r="AC67">
        <v>2.0372585857521002</v>
      </c>
      <c r="AJ67">
        <v>0.78697755321741802</v>
      </c>
      <c r="AK67">
        <v>9.81256781123023E-2</v>
      </c>
      <c r="AL67">
        <v>0.114896768670278</v>
      </c>
    </row>
    <row r="68" spans="1:38" x14ac:dyDescent="0.2">
      <c r="A68">
        <v>155</v>
      </c>
      <c r="B68">
        <v>767</v>
      </c>
      <c r="C68">
        <v>165</v>
      </c>
      <c r="D68">
        <v>0.42635244916598902</v>
      </c>
      <c r="E68">
        <v>1.4187227973680501</v>
      </c>
      <c r="F68">
        <v>2.5638658603022799</v>
      </c>
      <c r="G68">
        <v>-23.041280067781589</v>
      </c>
      <c r="H68">
        <v>-19.913489180961513</v>
      </c>
      <c r="I68">
        <v>3.0070575271067299</v>
      </c>
      <c r="J68">
        <v>1.7276513163221501</v>
      </c>
      <c r="K68">
        <v>0.55335297346670997</v>
      </c>
      <c r="L68">
        <v>3.1163534570010029E-5</v>
      </c>
      <c r="M68">
        <v>1.8230361421625871E-6</v>
      </c>
      <c r="N68" s="1">
        <v>-1.4261661815281701E-8</v>
      </c>
      <c r="O68" s="1">
        <v>4.9702175520051403E-12</v>
      </c>
      <c r="P68" s="1">
        <v>5.3440343304916199E-11</v>
      </c>
      <c r="Q68">
        <v>65.678097361994404</v>
      </c>
      <c r="S68">
        <v>21.0366650348852</v>
      </c>
      <c r="AA68">
        <v>2.0303779096883101</v>
      </c>
      <c r="AB68">
        <v>9.1753936510000695</v>
      </c>
      <c r="AC68">
        <v>2.0794660424319198</v>
      </c>
      <c r="AJ68">
        <v>0.78653984399241195</v>
      </c>
      <c r="AK68">
        <v>9.6179760638141806E-2</v>
      </c>
      <c r="AL68">
        <v>0.117280395369445</v>
      </c>
    </row>
    <row r="69" spans="1:38" x14ac:dyDescent="0.2">
      <c r="A69">
        <v>156</v>
      </c>
      <c r="B69">
        <v>766</v>
      </c>
      <c r="C69">
        <v>165</v>
      </c>
      <c r="D69">
        <v>0.42573305105134501</v>
      </c>
      <c r="E69">
        <v>1.85622508596838</v>
      </c>
      <c r="F69">
        <v>2.56336670281495</v>
      </c>
      <c r="G69">
        <v>-30.138564429090717</v>
      </c>
      <c r="H69">
        <v>-26.052269890520495</v>
      </c>
      <c r="I69">
        <v>3.9323432984364302</v>
      </c>
      <c r="J69">
        <v>2.2608033635812399</v>
      </c>
      <c r="K69">
        <v>0.72413560023619805</v>
      </c>
      <c r="L69">
        <v>3.1198503048720344E-5</v>
      </c>
      <c r="M69">
        <v>1.8239465055941255E-6</v>
      </c>
      <c r="N69" s="1">
        <v>-1.9224140018714801E-8</v>
      </c>
      <c r="O69" s="1">
        <v>6.5045973130761596E-12</v>
      </c>
      <c r="P69" s="1">
        <v>7.1552485782532396E-11</v>
      </c>
      <c r="Q69">
        <v>65.718949037832999</v>
      </c>
      <c r="S69">
        <v>20.9994682443762</v>
      </c>
      <c r="AA69">
        <v>1.9901579965749301</v>
      </c>
      <c r="AB69">
        <v>9.1689131979950407</v>
      </c>
      <c r="AC69">
        <v>2.1225115232207101</v>
      </c>
      <c r="AJ69">
        <v>0.78601027604537299</v>
      </c>
      <c r="AK69">
        <v>9.4277641383849406E-2</v>
      </c>
      <c r="AL69">
        <v>0.11971208257077701</v>
      </c>
    </row>
    <row r="70" spans="1:38" x14ac:dyDescent="0.2">
      <c r="A70">
        <v>157</v>
      </c>
      <c r="B70">
        <v>765</v>
      </c>
      <c r="C70">
        <v>165</v>
      </c>
      <c r="D70">
        <v>0.42511245966382499</v>
      </c>
      <c r="E70">
        <v>2.5164411627563399</v>
      </c>
      <c r="F70">
        <v>2.5625551213198099</v>
      </c>
      <c r="G70">
        <v>-40.84289514820194</v>
      </c>
      <c r="H70">
        <v>-35.311387416344452</v>
      </c>
      <c r="I70">
        <v>5.32823554578576</v>
      </c>
      <c r="J70">
        <v>3.06523365750482</v>
      </c>
      <c r="K70">
        <v>0.98200469594592499</v>
      </c>
      <c r="L70">
        <v>3.1229308874577975E-5</v>
      </c>
      <c r="M70">
        <v>1.8250274712411881E-6</v>
      </c>
      <c r="N70" s="1">
        <v>-2.68029106958271E-8</v>
      </c>
      <c r="O70" s="1">
        <v>8.8250349694276195E-12</v>
      </c>
      <c r="P70" s="1">
        <v>9.9137517501372304E-11</v>
      </c>
      <c r="Q70">
        <v>65.773778206060896</v>
      </c>
      <c r="S70">
        <v>20.945328178335998</v>
      </c>
      <c r="AA70">
        <v>1.9326982508985999</v>
      </c>
      <c r="AB70">
        <v>9.14916183775523</v>
      </c>
      <c r="AC70">
        <v>2.1990335269491399</v>
      </c>
      <c r="AJ70">
        <v>0.78439492861551097</v>
      </c>
      <c r="AK70">
        <v>9.15647494275246E-2</v>
      </c>
      <c r="AL70">
        <v>0.124040321956963</v>
      </c>
    </row>
    <row r="71" spans="1:38" x14ac:dyDescent="0.2">
      <c r="A71">
        <v>158</v>
      </c>
      <c r="B71">
        <v>764</v>
      </c>
      <c r="C71">
        <v>165</v>
      </c>
      <c r="D71">
        <v>0.424490671551851</v>
      </c>
      <c r="E71">
        <v>3.9570191677549702</v>
      </c>
      <c r="F71">
        <v>2.56056588635643</v>
      </c>
      <c r="G71">
        <v>-64.174159454581158</v>
      </c>
      <c r="H71">
        <v>-55.489116668820742</v>
      </c>
      <c r="I71">
        <v>8.3739505238011809</v>
      </c>
      <c r="J71">
        <v>4.8190187193850704</v>
      </c>
      <c r="K71">
        <v>1.54536900957687</v>
      </c>
      <c r="L71">
        <v>3.1237509430109004E-5</v>
      </c>
      <c r="M71">
        <v>1.8266184677502255E-6</v>
      </c>
      <c r="N71" s="1">
        <v>-4.3030069669022602E-8</v>
      </c>
      <c r="O71" s="1">
        <v>1.3916123490750799E-11</v>
      </c>
      <c r="P71" s="1">
        <v>1.5839086146684301E-10</v>
      </c>
      <c r="Q71">
        <v>65.877058805573398</v>
      </c>
      <c r="S71">
        <v>20.8291418317107</v>
      </c>
      <c r="AA71">
        <v>1.8127442093196899</v>
      </c>
      <c r="AB71">
        <v>9.0747195031505008</v>
      </c>
      <c r="AC71">
        <v>2.4063356502455999</v>
      </c>
      <c r="AJ71">
        <v>0.77830223280093502</v>
      </c>
      <c r="AK71">
        <v>8.5913692125268795E-2</v>
      </c>
      <c r="AL71">
        <v>0.135784075073795</v>
      </c>
    </row>
    <row r="72" spans="1:38" x14ac:dyDescent="0.2">
      <c r="A72">
        <v>159</v>
      </c>
      <c r="B72">
        <v>763</v>
      </c>
      <c r="C72">
        <v>165</v>
      </c>
      <c r="D72">
        <v>0.42386768325049901</v>
      </c>
      <c r="E72">
        <v>5.5909851113679903</v>
      </c>
      <c r="F72">
        <v>2.55812240869228</v>
      </c>
      <c r="G72">
        <v>-90.584464307595013</v>
      </c>
      <c r="H72">
        <v>-78.332520118234385</v>
      </c>
      <c r="I72">
        <v>11.8244889150804</v>
      </c>
      <c r="J72">
        <v>6.80614960966032</v>
      </c>
      <c r="K72">
        <v>2.1855815391672699</v>
      </c>
      <c r="L72">
        <v>3.1220091937530508E-5</v>
      </c>
      <c r="M72">
        <v>1.8279441382908562E-6</v>
      </c>
      <c r="N72" s="1">
        <v>-6.1747945061308897E-8</v>
      </c>
      <c r="O72" s="1">
        <v>1.9732267919592299E-11</v>
      </c>
      <c r="P72" s="1">
        <v>2.2643261893507E-10</v>
      </c>
      <c r="Q72">
        <v>65.983544294342096</v>
      </c>
      <c r="S72">
        <v>20.695571541590301</v>
      </c>
      <c r="AA72">
        <v>1.6777004192657099</v>
      </c>
      <c r="AB72">
        <v>8.9618448244746105</v>
      </c>
      <c r="AC72">
        <v>2.68133892032722</v>
      </c>
      <c r="AJ72">
        <v>0.76905463175597799</v>
      </c>
      <c r="AK72">
        <v>7.9558204956024295E-2</v>
      </c>
      <c r="AL72">
        <v>0.15138716328799701</v>
      </c>
    </row>
    <row r="73" spans="1:38" x14ac:dyDescent="0.2">
      <c r="A73">
        <v>160</v>
      </c>
      <c r="B73">
        <v>762</v>
      </c>
      <c r="C73">
        <v>165</v>
      </c>
      <c r="D73">
        <v>0.42324349128146099</v>
      </c>
      <c r="E73">
        <v>7.6461341754675898</v>
      </c>
      <c r="F73">
        <v>2.55683747499064</v>
      </c>
      <c r="G73">
        <v>-123.79401511899611</v>
      </c>
      <c r="H73">
        <v>-107.06621789361647</v>
      </c>
      <c r="I73">
        <v>16.1597809258365</v>
      </c>
      <c r="J73">
        <v>9.3049642617841304</v>
      </c>
      <c r="K73">
        <v>2.9904654676948299</v>
      </c>
      <c r="L73">
        <v>3.1187855573160351E-5</v>
      </c>
      <c r="M73">
        <v>1.8278056916157329E-6</v>
      </c>
      <c r="N73" s="1">
        <v>-8.5898532687181303E-8</v>
      </c>
      <c r="O73" s="1">
        <v>2.7026571396491301E-11</v>
      </c>
      <c r="P73" s="1">
        <v>3.1376502961583802E-10</v>
      </c>
      <c r="Q73">
        <v>66.009771572026594</v>
      </c>
      <c r="S73">
        <v>20.6350910473505</v>
      </c>
      <c r="AA73">
        <v>1.6216836155493499</v>
      </c>
      <c r="AB73">
        <v>8.8617334278937996</v>
      </c>
      <c r="AC73">
        <v>2.87172033717968</v>
      </c>
      <c r="AJ73">
        <v>0.76084293273193704</v>
      </c>
      <c r="AK73">
        <v>7.6940188927268394E-2</v>
      </c>
      <c r="AL73">
        <v>0.16221687834079401</v>
      </c>
    </row>
    <row r="74" spans="1:38" x14ac:dyDescent="0.2">
      <c r="A74">
        <v>161</v>
      </c>
      <c r="B74">
        <v>761</v>
      </c>
      <c r="C74">
        <v>165</v>
      </c>
      <c r="D74">
        <v>0.42261809215297602</v>
      </c>
      <c r="E74">
        <v>9.5415374648045805</v>
      </c>
      <c r="F74">
        <v>2.5584212233158001</v>
      </c>
      <c r="G74">
        <v>-154.51720849061681</v>
      </c>
      <c r="H74">
        <v>-133.67547745359363</v>
      </c>
      <c r="I74">
        <v>20.153489374871299</v>
      </c>
      <c r="J74">
        <v>11.6158943507297</v>
      </c>
      <c r="K74">
        <v>3.7294630680237999</v>
      </c>
      <c r="L74">
        <v>3.1202472874722178E-5</v>
      </c>
      <c r="M74">
        <v>1.8261929940222522E-6</v>
      </c>
      <c r="N74" s="1">
        <v>-1.10834535663471E-7</v>
      </c>
      <c r="O74" s="1">
        <v>3.36106002304406E-11</v>
      </c>
      <c r="P74" s="1">
        <v>4.02163143886465E-10</v>
      </c>
      <c r="Q74">
        <v>65.909686672222904</v>
      </c>
      <c r="S74">
        <v>20.7276754953728</v>
      </c>
      <c r="AA74">
        <v>1.72142017627759</v>
      </c>
      <c r="AB74">
        <v>8.8814217623089906</v>
      </c>
      <c r="AC74">
        <v>2.7597958938176901</v>
      </c>
      <c r="AJ74">
        <v>0.762457075241042</v>
      </c>
      <c r="AK74">
        <v>8.1663987832518395E-2</v>
      </c>
      <c r="AL74">
        <v>0.155878936926439</v>
      </c>
    </row>
    <row r="75" spans="1:38" x14ac:dyDescent="0.2">
      <c r="A75">
        <v>162</v>
      </c>
      <c r="B75">
        <v>760</v>
      </c>
      <c r="C75">
        <v>165</v>
      </c>
      <c r="D75">
        <v>0.42199148235977502</v>
      </c>
      <c r="E75">
        <v>10.975228537967901</v>
      </c>
      <c r="F75">
        <v>2.5595200665371598</v>
      </c>
      <c r="G75">
        <v>-177.75497057168448</v>
      </c>
      <c r="H75">
        <v>-153.81904055187744</v>
      </c>
      <c r="I75">
        <v>23.1679136812728</v>
      </c>
      <c r="J75">
        <v>13.3657954487862</v>
      </c>
      <c r="K75">
        <v>4.28800253666952</v>
      </c>
      <c r="L75">
        <v>3.1222377318413419E-5</v>
      </c>
      <c r="M75">
        <v>1.8251268121235327E-6</v>
      </c>
      <c r="N75" s="1">
        <v>-1.3170259644963599E-7</v>
      </c>
      <c r="O75" s="1">
        <v>3.8558551402115499E-11</v>
      </c>
      <c r="P75" s="1">
        <v>4.7483712316979496E-10</v>
      </c>
      <c r="Q75">
        <v>65.840938110139106</v>
      </c>
      <c r="S75">
        <v>20.790972283923399</v>
      </c>
      <c r="AA75">
        <v>1.78968221204835</v>
      </c>
      <c r="AB75">
        <v>8.8941600381854506</v>
      </c>
      <c r="AC75">
        <v>2.6842473557035502</v>
      </c>
      <c r="AJ75">
        <v>0.76350118602554995</v>
      </c>
      <c r="AK75">
        <v>8.4896832736203007E-2</v>
      </c>
      <c r="AL75">
        <v>0.151601981238246</v>
      </c>
    </row>
    <row r="76" spans="1:38" x14ac:dyDescent="0.2">
      <c r="A76">
        <v>163</v>
      </c>
      <c r="B76">
        <v>759</v>
      </c>
      <c r="C76">
        <v>165</v>
      </c>
      <c r="D76">
        <v>0.42136365838299</v>
      </c>
      <c r="E76">
        <v>15.079369967590299</v>
      </c>
      <c r="F76">
        <v>2.5616666367418399</v>
      </c>
      <c r="G76">
        <v>-244.30353405220828</v>
      </c>
      <c r="H76">
        <v>-211.47111111066178</v>
      </c>
      <c r="I76">
        <v>31.809739806759101</v>
      </c>
      <c r="J76">
        <v>18.370128702412998</v>
      </c>
      <c r="K76">
        <v>5.8865465753067996</v>
      </c>
      <c r="L76">
        <v>3.1215765006096087E-5</v>
      </c>
      <c r="M76">
        <v>1.8223738780737724E-6</v>
      </c>
      <c r="N76" s="1">
        <v>-1.8682323800347701E-7</v>
      </c>
      <c r="O76" s="1">
        <v>5.27381772591307E-11</v>
      </c>
      <c r="P76" s="1">
        <v>6.6951678152762E-10</v>
      </c>
      <c r="Q76">
        <v>65.687382019204804</v>
      </c>
      <c r="S76">
        <v>20.9250523838897</v>
      </c>
      <c r="AA76">
        <v>1.9361298819642301</v>
      </c>
      <c r="AB76">
        <v>8.9034769365507493</v>
      </c>
      <c r="AC76">
        <v>2.5479587783904298</v>
      </c>
      <c r="AJ76">
        <v>0.76426318962800599</v>
      </c>
      <c r="AK76">
        <v>9.1839303757067101E-2</v>
      </c>
      <c r="AL76">
        <v>0.14389750661492601</v>
      </c>
    </row>
    <row r="77" spans="1:38" x14ac:dyDescent="0.2">
      <c r="A77">
        <v>164</v>
      </c>
      <c r="B77">
        <v>758</v>
      </c>
      <c r="C77">
        <v>165</v>
      </c>
      <c r="D77">
        <v>0.42073461669010398</v>
      </c>
      <c r="E77">
        <v>16.762559587839601</v>
      </c>
      <c r="F77">
        <v>2.5625816677873101</v>
      </c>
      <c r="G77">
        <v>-271.58902997032777</v>
      </c>
      <c r="H77">
        <v>-235.14939224619732</v>
      </c>
      <c r="I77">
        <v>35.338833073879101</v>
      </c>
      <c r="J77">
        <v>20.427129818500699</v>
      </c>
      <c r="K77">
        <v>6.5412781955602597</v>
      </c>
      <c r="L77">
        <v>3.1234981943855193E-5</v>
      </c>
      <c r="M77">
        <v>1.8213967189473371E-6</v>
      </c>
      <c r="N77" s="1">
        <v>-2.14351918347847E-7</v>
      </c>
      <c r="O77" s="1">
        <v>5.8482881570458095E-11</v>
      </c>
      <c r="P77" s="1">
        <v>7.6359115364643103E-10</v>
      </c>
      <c r="Q77">
        <v>65.626445024860104</v>
      </c>
      <c r="S77">
        <v>20.979053297455401</v>
      </c>
      <c r="AA77">
        <v>1.99490000314936</v>
      </c>
      <c r="AB77">
        <v>8.9092525274749406</v>
      </c>
      <c r="AC77">
        <v>2.49034914706009</v>
      </c>
      <c r="AJ77">
        <v>0.76473604708419296</v>
      </c>
      <c r="AK77">
        <v>9.4624198580534294E-2</v>
      </c>
      <c r="AL77">
        <v>0.14063975433527201</v>
      </c>
    </row>
    <row r="78" spans="1:38" x14ac:dyDescent="0.2">
      <c r="A78">
        <v>165</v>
      </c>
      <c r="B78">
        <v>757</v>
      </c>
      <c r="C78">
        <v>165</v>
      </c>
      <c r="D78">
        <v>0.42010435373489502</v>
      </c>
      <c r="E78">
        <v>17.5364008724539</v>
      </c>
      <c r="F78">
        <v>2.56305712112266</v>
      </c>
      <c r="G78">
        <v>-284.11846635005418</v>
      </c>
      <c r="H78">
        <v>-246.05558931671118</v>
      </c>
      <c r="I78">
        <v>36.9488686437345</v>
      </c>
      <c r="J78">
        <v>21.3771391667267</v>
      </c>
      <c r="K78">
        <v>6.84198597367687</v>
      </c>
      <c r="L78">
        <v>3.1265982306614827E-5</v>
      </c>
      <c r="M78">
        <v>1.8211081159165618E-6</v>
      </c>
      <c r="N78" s="1">
        <v>-2.3149243941597899E-7</v>
      </c>
      <c r="O78" s="1">
        <v>6.1079521615987998E-11</v>
      </c>
      <c r="P78" s="1">
        <v>8.1978220035515404E-10</v>
      </c>
      <c r="Q78">
        <v>65.600304973339703</v>
      </c>
      <c r="S78">
        <v>21.0036858615386</v>
      </c>
      <c r="AA78">
        <v>2.0213215444001298</v>
      </c>
      <c r="AB78">
        <v>8.9155782934311691</v>
      </c>
      <c r="AC78">
        <v>2.4591093272903102</v>
      </c>
      <c r="AJ78">
        <v>0.76525453912126395</v>
      </c>
      <c r="AK78">
        <v>9.5874385068692697E-2</v>
      </c>
      <c r="AL78">
        <v>0.13887107581004199</v>
      </c>
    </row>
    <row r="79" spans="1:38" x14ac:dyDescent="0.2">
      <c r="A79">
        <v>168</v>
      </c>
      <c r="B79">
        <v>776</v>
      </c>
      <c r="C79">
        <v>150</v>
      </c>
      <c r="D79">
        <v>0.447600915026452</v>
      </c>
      <c r="E79">
        <v>0.41130603280115902</v>
      </c>
      <c r="F79">
        <v>2.5639139130494901</v>
      </c>
      <c r="G79">
        <v>-6.6927013469609831</v>
      </c>
      <c r="H79">
        <v>-5.7735524417107387</v>
      </c>
      <c r="I79">
        <v>0.87608912476790302</v>
      </c>
      <c r="J79">
        <v>0.50010382747132298</v>
      </c>
      <c r="K79">
        <v>0.16042115560422801</v>
      </c>
      <c r="L79">
        <v>3.0915936706315091E-5</v>
      </c>
      <c r="M79">
        <v>1.8207882931228772E-6</v>
      </c>
      <c r="N79" s="1">
        <v>-3.1038903661464901E-9</v>
      </c>
      <c r="O79" s="1">
        <v>1.4462821619313901E-12</v>
      </c>
      <c r="P79" s="1">
        <v>1.24910344185921E-11</v>
      </c>
      <c r="Q79">
        <v>65.578328557795103</v>
      </c>
      <c r="S79">
        <v>21.129735309955699</v>
      </c>
      <c r="AA79">
        <v>2.1304415261178899</v>
      </c>
      <c r="AB79">
        <v>9.1970600462900904</v>
      </c>
      <c r="AC79">
        <v>1.9644345598410999</v>
      </c>
      <c r="AJ79">
        <v>0.78831070022626704</v>
      </c>
      <c r="AK79">
        <v>0.100908745867015</v>
      </c>
      <c r="AL79">
        <v>0.110780553906716</v>
      </c>
    </row>
    <row r="80" spans="1:38" x14ac:dyDescent="0.2">
      <c r="A80">
        <v>169</v>
      </c>
      <c r="B80">
        <v>775</v>
      </c>
      <c r="C80">
        <v>150</v>
      </c>
      <c r="D80">
        <v>0.44700710776129698</v>
      </c>
      <c r="E80">
        <v>0.83298174710936801</v>
      </c>
      <c r="F80">
        <v>2.5634327394870402</v>
      </c>
      <c r="G80">
        <v>-13.550657264065208</v>
      </c>
      <c r="H80">
        <v>-11.69188661679194</v>
      </c>
      <c r="I80">
        <v>1.7733822900093199</v>
      </c>
      <c r="J80">
        <v>1.01293576009582</v>
      </c>
      <c r="K80">
        <v>0.324947767998021</v>
      </c>
      <c r="L80">
        <v>3.0947246086537223E-5</v>
      </c>
      <c r="M80">
        <v>1.8217398832245961E-6</v>
      </c>
      <c r="N80" s="1">
        <v>-6.4806320846384202E-9</v>
      </c>
      <c r="O80" s="1">
        <v>2.93022261722992E-12</v>
      </c>
      <c r="P80" s="1">
        <v>2.5862827641686499E-11</v>
      </c>
      <c r="Q80">
        <v>65.620677884159406</v>
      </c>
      <c r="S80">
        <v>21.092528928882999</v>
      </c>
      <c r="AA80">
        <v>2.08986424441524</v>
      </c>
      <c r="AB80">
        <v>9.1938918842711193</v>
      </c>
      <c r="AC80">
        <v>2.0030370582711199</v>
      </c>
      <c r="AJ80">
        <v>0.78805221983302098</v>
      </c>
      <c r="AK80">
        <v>9.8988437787242797E-2</v>
      </c>
      <c r="AL80">
        <v>0.112959342379735</v>
      </c>
    </row>
    <row r="81" spans="1:38" x14ac:dyDescent="0.2">
      <c r="A81">
        <v>170</v>
      </c>
      <c r="B81">
        <v>774</v>
      </c>
      <c r="C81">
        <v>150</v>
      </c>
      <c r="D81">
        <v>0.44641216635630598</v>
      </c>
      <c r="E81">
        <v>1.25590013422248</v>
      </c>
      <c r="F81">
        <v>2.5629563269192102</v>
      </c>
      <c r="G81">
        <v>-20.425266829677639</v>
      </c>
      <c r="H81">
        <v>-17.626848560761804</v>
      </c>
      <c r="I81">
        <v>2.6724139511204998</v>
      </c>
      <c r="J81">
        <v>1.5274026226033599</v>
      </c>
      <c r="K81">
        <v>0.49002010726110501</v>
      </c>
      <c r="L81">
        <v>3.097808146103187E-5</v>
      </c>
      <c r="M81">
        <v>1.8226580423179838E-6</v>
      </c>
      <c r="N81" s="1">
        <v>-1.00714328072512E-8</v>
      </c>
      <c r="O81" s="1">
        <v>4.4196216207758599E-12</v>
      </c>
      <c r="P81" s="1">
        <v>3.9867009903558502E-11</v>
      </c>
      <c r="Q81">
        <v>65.661722969813795</v>
      </c>
      <c r="S81">
        <v>21.056049374434298</v>
      </c>
      <c r="AA81">
        <v>2.0501909288591902</v>
      </c>
      <c r="AB81">
        <v>9.1897227622495201</v>
      </c>
      <c r="AC81">
        <v>2.0423139646430699</v>
      </c>
      <c r="AJ81">
        <v>0.78771182945169904</v>
      </c>
      <c r="AK81">
        <v>9.7111364371609901E-2</v>
      </c>
      <c r="AL81">
        <v>0.11517680617669</v>
      </c>
    </row>
    <row r="82" spans="1:38" x14ac:dyDescent="0.2">
      <c r="A82">
        <v>171</v>
      </c>
      <c r="B82">
        <v>773</v>
      </c>
      <c r="C82">
        <v>150</v>
      </c>
      <c r="D82">
        <v>0.44581608755914398</v>
      </c>
      <c r="E82">
        <v>1.67990710001871</v>
      </c>
      <c r="F82">
        <v>2.5624845326668</v>
      </c>
      <c r="G82">
        <v>-27.313973803939618</v>
      </c>
      <c r="H82">
        <v>-23.57624606193016</v>
      </c>
      <c r="I82">
        <v>3.5728411241308198</v>
      </c>
      <c r="J82">
        <v>2.0433202167928601</v>
      </c>
      <c r="K82">
        <v>0.65557745953315705</v>
      </c>
      <c r="L82">
        <v>3.1008459268767648E-5</v>
      </c>
      <c r="M82">
        <v>1.8235432094514234E-6</v>
      </c>
      <c r="N82" s="1">
        <v>-1.38833398910899E-8</v>
      </c>
      <c r="O82" s="1">
        <v>5.91381558142135E-12</v>
      </c>
      <c r="P82" s="1">
        <v>5.4522213512467897E-11</v>
      </c>
      <c r="Q82">
        <v>65.701480818789705</v>
      </c>
      <c r="S82">
        <v>21.020283348680799</v>
      </c>
      <c r="AA82">
        <v>2.0114066408637599</v>
      </c>
      <c r="AB82">
        <v>9.1845557105480697</v>
      </c>
      <c r="AC82">
        <v>2.0822734811176198</v>
      </c>
      <c r="AJ82">
        <v>0.78728976690728802</v>
      </c>
      <c r="AK82">
        <v>9.5276791536730202E-2</v>
      </c>
      <c r="AL82">
        <v>0.117433441555981</v>
      </c>
    </row>
    <row r="83" spans="1:38" x14ac:dyDescent="0.2">
      <c r="A83">
        <v>172</v>
      </c>
      <c r="B83">
        <v>772</v>
      </c>
      <c r="C83">
        <v>150</v>
      </c>
      <c r="D83">
        <v>0.44521886810505501</v>
      </c>
      <c r="E83">
        <v>2.10485291653257</v>
      </c>
      <c r="F83">
        <v>2.5620172002949002</v>
      </c>
      <c r="G83">
        <v>-34.214294593107333</v>
      </c>
      <c r="H83">
        <v>-29.537947780174274</v>
      </c>
      <c r="I83">
        <v>4.4743307782931199</v>
      </c>
      <c r="J83">
        <v>2.5605098178281902</v>
      </c>
      <c r="K83">
        <v>0.82156080618439697</v>
      </c>
      <c r="L83">
        <v>3.1038396847241832E-5</v>
      </c>
      <c r="M83">
        <v>1.8243958562927084E-6</v>
      </c>
      <c r="N83" s="1">
        <v>-1.7923616110367899E-8</v>
      </c>
      <c r="O83" s="1">
        <v>7.4121548728750692E-12</v>
      </c>
      <c r="P83" s="1">
        <v>6.9847685361285205E-11</v>
      </c>
      <c r="Q83">
        <v>65.739969919605201</v>
      </c>
      <c r="S83">
        <v>20.985216420797698</v>
      </c>
      <c r="AA83">
        <v>1.97349516080806</v>
      </c>
      <c r="AB83">
        <v>9.1783940975552003</v>
      </c>
      <c r="AC83">
        <v>2.1229244012337398</v>
      </c>
      <c r="AJ83">
        <v>0.78678629533399802</v>
      </c>
      <c r="AK83">
        <v>9.3483925659378103E-2</v>
      </c>
      <c r="AL83">
        <v>0.119729779006623</v>
      </c>
    </row>
    <row r="84" spans="1:38" x14ac:dyDescent="0.2">
      <c r="A84">
        <v>173</v>
      </c>
      <c r="B84">
        <v>771</v>
      </c>
      <c r="C84">
        <v>150</v>
      </c>
      <c r="D84">
        <v>0.44462050471675502</v>
      </c>
      <c r="E84">
        <v>2.5305929672619598</v>
      </c>
      <c r="F84">
        <v>2.5615541611378201</v>
      </c>
      <c r="G84">
        <v>-41.123830233045908</v>
      </c>
      <c r="H84">
        <v>-35.509893638148469</v>
      </c>
      <c r="I84">
        <v>5.3765614087031901</v>
      </c>
      <c r="J84">
        <v>3.0787990927693598</v>
      </c>
      <c r="K84">
        <v>0.98791312151600097</v>
      </c>
      <c r="L84">
        <v>3.1067912334605025E-5</v>
      </c>
      <c r="M84">
        <v>1.8252164825699581E-6</v>
      </c>
      <c r="N84" s="1">
        <v>-2.2199756530249301E-8</v>
      </c>
      <c r="O84" s="1">
        <v>8.9140067295363005E-12</v>
      </c>
      <c r="P84" s="1">
        <v>8.5863339973384705E-11</v>
      </c>
      <c r="Q84">
        <v>65.777210050540106</v>
      </c>
      <c r="S84">
        <v>20.950833165019201</v>
      </c>
      <c r="AA84">
        <v>1.9364391472859399</v>
      </c>
      <c r="AB84">
        <v>9.17124155745603</v>
      </c>
      <c r="AC84">
        <v>2.1642760796986198</v>
      </c>
      <c r="AJ84">
        <v>0.78620169729243505</v>
      </c>
      <c r="AK84">
        <v>9.1731921114247494E-2</v>
      </c>
      <c r="AL84">
        <v>0.12206638159331699</v>
      </c>
    </row>
    <row r="85" spans="1:38" x14ac:dyDescent="0.2">
      <c r="A85">
        <v>174</v>
      </c>
      <c r="B85">
        <v>770</v>
      </c>
      <c r="C85">
        <v>150</v>
      </c>
      <c r="D85">
        <v>0.44402099410439499</v>
      </c>
      <c r="E85">
        <v>2.9569883907523802</v>
      </c>
      <c r="F85">
        <v>2.5610952360488799</v>
      </c>
      <c r="G85">
        <v>-48.040276710115222</v>
      </c>
      <c r="H85">
        <v>-41.490103792660605</v>
      </c>
      <c r="I85">
        <v>6.2792243852318501</v>
      </c>
      <c r="J85">
        <v>3.5980228954882199</v>
      </c>
      <c r="K85">
        <v>1.1545796302812401</v>
      </c>
      <c r="L85">
        <v>3.1097024583529911E-5</v>
      </c>
      <c r="M85">
        <v>1.8260056116748615E-6</v>
      </c>
      <c r="N85" s="1">
        <v>-2.6719505863743201E-8</v>
      </c>
      <c r="O85" s="1">
        <v>1.0418757748087099E-11</v>
      </c>
      <c r="P85" s="1">
        <v>1.02589812979979E-10</v>
      </c>
      <c r="Q85">
        <v>65.813222084209301</v>
      </c>
      <c r="S85">
        <v>20.917117306314299</v>
      </c>
      <c r="AA85">
        <v>1.9002203028909399</v>
      </c>
      <c r="AB85">
        <v>9.1631019366441304</v>
      </c>
      <c r="AC85">
        <v>2.2063383699412298</v>
      </c>
      <c r="AJ85">
        <v>0.78553627041621699</v>
      </c>
      <c r="AK85">
        <v>9.0019888106031204E-2</v>
      </c>
      <c r="AL85">
        <v>0.124443841477751</v>
      </c>
    </row>
    <row r="86" spans="1:38" x14ac:dyDescent="0.2">
      <c r="A86">
        <v>175</v>
      </c>
      <c r="B86">
        <v>769</v>
      </c>
      <c r="C86">
        <v>150</v>
      </c>
      <c r="D86">
        <v>0.44342033296550898</v>
      </c>
      <c r="E86">
        <v>4.0566637133306296</v>
      </c>
      <c r="F86">
        <v>2.55968511444854</v>
      </c>
      <c r="G86">
        <v>-65.867313029474701</v>
      </c>
      <c r="H86">
        <v>-56.894592102563152</v>
      </c>
      <c r="I86">
        <v>8.6098171346845902</v>
      </c>
      <c r="J86">
        <v>4.9355961004386097</v>
      </c>
      <c r="K86">
        <v>1.5848292004481901</v>
      </c>
      <c r="L86">
        <v>3.1110405044005144E-5</v>
      </c>
      <c r="M86">
        <v>1.8272534712793823E-6</v>
      </c>
      <c r="N86" s="1">
        <v>-3.7536665920425801E-8</v>
      </c>
      <c r="O86" s="1">
        <v>1.43202924970465E-11</v>
      </c>
      <c r="P86" s="1">
        <v>1.4326183947894299E-10</v>
      </c>
      <c r="Q86">
        <v>65.889809523181199</v>
      </c>
      <c r="S86">
        <v>20.832678298388501</v>
      </c>
      <c r="AA86">
        <v>1.81268662489912</v>
      </c>
      <c r="AB86">
        <v>9.1124051008410891</v>
      </c>
      <c r="AC86">
        <v>2.3524204526900201</v>
      </c>
      <c r="AJ86">
        <v>0.781388176949953</v>
      </c>
      <c r="AK86">
        <v>8.5894891972052606E-2</v>
      </c>
      <c r="AL86">
        <v>0.13271693107799301</v>
      </c>
    </row>
    <row r="87" spans="1:38" x14ac:dyDescent="0.2">
      <c r="A87">
        <v>176</v>
      </c>
      <c r="B87">
        <v>768</v>
      </c>
      <c r="C87">
        <v>150</v>
      </c>
      <c r="D87">
        <v>0.442818517984921</v>
      </c>
      <c r="E87">
        <v>5.58891659605721</v>
      </c>
      <c r="F87">
        <v>2.5575613895427902</v>
      </c>
      <c r="G87">
        <v>-90.667949749725722</v>
      </c>
      <c r="H87">
        <v>-78.325270667285693</v>
      </c>
      <c r="I87">
        <v>11.854851925697499</v>
      </c>
      <c r="J87">
        <v>6.7975401180785502</v>
      </c>
      <c r="K87">
        <v>2.18525217768333</v>
      </c>
      <c r="L87">
        <v>3.1100018155070909E-5</v>
      </c>
      <c r="M87">
        <v>1.8285163388953197E-6</v>
      </c>
      <c r="N87" s="1">
        <v>-5.2631525260363299E-8</v>
      </c>
      <c r="O87" s="1">
        <v>1.9789607910209499E-11</v>
      </c>
      <c r="P87" s="1">
        <v>1.9994809992924199E-10</v>
      </c>
      <c r="Q87">
        <v>65.985796744263396</v>
      </c>
      <c r="S87">
        <v>20.714856778284499</v>
      </c>
      <c r="AA87">
        <v>1.69308535860734</v>
      </c>
      <c r="AB87">
        <v>9.0174230435986793</v>
      </c>
      <c r="AC87">
        <v>2.5888380752458899</v>
      </c>
      <c r="AJ87">
        <v>0.77361019687448496</v>
      </c>
      <c r="AK87">
        <v>8.0265586833461994E-2</v>
      </c>
      <c r="AL87">
        <v>0.14612421629205199</v>
      </c>
    </row>
    <row r="88" spans="1:38" x14ac:dyDescent="0.2">
      <c r="A88">
        <v>177</v>
      </c>
      <c r="B88">
        <v>767</v>
      </c>
      <c r="C88">
        <v>150</v>
      </c>
      <c r="D88">
        <v>0.44221554583473799</v>
      </c>
      <c r="E88">
        <v>7.4015655570104801</v>
      </c>
      <c r="F88">
        <v>2.5548145660343198</v>
      </c>
      <c r="G88">
        <v>-119.93679742252885</v>
      </c>
      <c r="H88">
        <v>-103.61820972415096</v>
      </c>
      <c r="I88">
        <v>15.688686918596201</v>
      </c>
      <c r="J88">
        <v>8.9965852444480596</v>
      </c>
      <c r="K88">
        <v>2.89710480573134</v>
      </c>
      <c r="L88">
        <v>3.1055188937355141E-5</v>
      </c>
      <c r="M88">
        <v>1.8294263651723221E-6</v>
      </c>
      <c r="N88" s="1">
        <v>-7.0403583655387795E-8</v>
      </c>
      <c r="O88" s="1">
        <v>2.6314338979605201E-11</v>
      </c>
      <c r="P88" s="1">
        <v>2.6667058991941101E-10</v>
      </c>
      <c r="Q88">
        <v>66.086447108221293</v>
      </c>
      <c r="S88">
        <v>20.572904840087599</v>
      </c>
      <c r="AA88">
        <v>1.5524881696723101</v>
      </c>
      <c r="AB88">
        <v>8.8695715220274192</v>
      </c>
      <c r="AC88">
        <v>2.9185883599913298</v>
      </c>
      <c r="AJ88">
        <v>0.76148735578195004</v>
      </c>
      <c r="AK88">
        <v>7.36544763261434E-2</v>
      </c>
      <c r="AL88">
        <v>0.16485816789190599</v>
      </c>
    </row>
    <row r="89" spans="1:38" x14ac:dyDescent="0.2">
      <c r="A89">
        <v>178</v>
      </c>
      <c r="B89">
        <v>766</v>
      </c>
      <c r="C89">
        <v>150</v>
      </c>
      <c r="D89">
        <v>0.44161141317423203</v>
      </c>
      <c r="E89">
        <v>9.0506355769356492</v>
      </c>
      <c r="F89">
        <v>2.5548390398429999</v>
      </c>
      <c r="G89">
        <v>-146.61187702318344</v>
      </c>
      <c r="H89">
        <v>-126.69024121902713</v>
      </c>
      <c r="I89">
        <v>19.171087719921399</v>
      </c>
      <c r="J89">
        <v>10.9997955949604</v>
      </c>
      <c r="K89">
        <v>3.54254629579005</v>
      </c>
      <c r="L89">
        <v>3.102919980117756E-5</v>
      </c>
      <c r="M89">
        <v>1.8283122199602797E-6</v>
      </c>
      <c r="N89" s="1">
        <v>-8.80409050853085E-8</v>
      </c>
      <c r="O89" s="1">
        <v>3.2156902487349598E-11</v>
      </c>
      <c r="P89" s="1">
        <v>3.3171439996790699E-10</v>
      </c>
      <c r="Q89">
        <v>66.045067742563006</v>
      </c>
      <c r="S89">
        <v>20.585781908900501</v>
      </c>
      <c r="AA89">
        <v>1.5727671925778</v>
      </c>
      <c r="AB89">
        <v>8.8111187343571107</v>
      </c>
      <c r="AC89">
        <v>2.9852644216015198</v>
      </c>
      <c r="AJ89">
        <v>0.75668844754912601</v>
      </c>
      <c r="AK89">
        <v>7.4638221373372907E-2</v>
      </c>
      <c r="AL89">
        <v>0.16867333107749999</v>
      </c>
    </row>
    <row r="90" spans="1:38" x14ac:dyDescent="0.2">
      <c r="A90">
        <v>179</v>
      </c>
      <c r="B90">
        <v>765</v>
      </c>
      <c r="C90">
        <v>150</v>
      </c>
      <c r="D90">
        <v>0.44100611664981298</v>
      </c>
      <c r="E90">
        <v>10.311135077344</v>
      </c>
      <c r="F90">
        <v>2.5565099269398299</v>
      </c>
      <c r="G90">
        <v>-167.07524716534525</v>
      </c>
      <c r="H90">
        <v>-144.414136597637</v>
      </c>
      <c r="I90">
        <v>21.828358683916701</v>
      </c>
      <c r="J90">
        <v>12.536313647375501</v>
      </c>
      <c r="K90">
        <v>4.03328575754312</v>
      </c>
      <c r="L90">
        <v>3.1043263924286682E-5</v>
      </c>
      <c r="M90">
        <v>1.8267110096767671E-6</v>
      </c>
      <c r="N90" s="1">
        <v>-1.03806998237813E-7</v>
      </c>
      <c r="O90" s="1">
        <v>3.6509757814262798E-11</v>
      </c>
      <c r="P90" s="1">
        <v>3.8817529840972599E-10</v>
      </c>
      <c r="Q90">
        <v>65.943496519543601</v>
      </c>
      <c r="S90">
        <v>20.681936287009801</v>
      </c>
      <c r="AA90">
        <v>1.6757957953840199</v>
      </c>
      <c r="AB90">
        <v>8.8368539130252906</v>
      </c>
      <c r="AC90">
        <v>2.8619174850372202</v>
      </c>
      <c r="AJ90">
        <v>0.75879979566593903</v>
      </c>
      <c r="AK90">
        <v>7.9517261790413102E-2</v>
      </c>
      <c r="AL90">
        <v>0.16168294254364701</v>
      </c>
    </row>
    <row r="91" spans="1:38" x14ac:dyDescent="0.2">
      <c r="A91">
        <v>180</v>
      </c>
      <c r="B91">
        <v>764</v>
      </c>
      <c r="C91">
        <v>150</v>
      </c>
      <c r="D91">
        <v>0.44039965289495597</v>
      </c>
      <c r="E91">
        <v>12.8297527082384</v>
      </c>
      <c r="F91">
        <v>2.5587192353997201</v>
      </c>
      <c r="G91">
        <v>-207.96077863221834</v>
      </c>
      <c r="H91">
        <v>-179.80958457900726</v>
      </c>
      <c r="I91">
        <v>27.142837635068201</v>
      </c>
      <c r="J91">
        <v>15.6039760860605</v>
      </c>
      <c r="K91">
        <v>5.0141307145932901</v>
      </c>
      <c r="L91">
        <v>3.1041352872632329E-5</v>
      </c>
      <c r="M91">
        <v>1.8241655534411412E-6</v>
      </c>
      <c r="N91" s="1">
        <v>-1.3356996022706E-7</v>
      </c>
      <c r="O91" s="1">
        <v>4.5227315680656601E-11</v>
      </c>
      <c r="P91" s="1">
        <v>4.9591579643343996E-10</v>
      </c>
      <c r="Q91">
        <v>65.795738646216506</v>
      </c>
      <c r="S91">
        <v>20.815567415496901</v>
      </c>
      <c r="AA91">
        <v>1.82052012442058</v>
      </c>
      <c r="AB91">
        <v>8.8579147913375493</v>
      </c>
      <c r="AC91">
        <v>2.7102590225283198</v>
      </c>
      <c r="AJ91">
        <v>0.76052626272510804</v>
      </c>
      <c r="AK91">
        <v>8.6375185280124597E-2</v>
      </c>
      <c r="AL91">
        <v>0.15309855199476699</v>
      </c>
    </row>
    <row r="92" spans="1:38" x14ac:dyDescent="0.2">
      <c r="A92">
        <v>181</v>
      </c>
      <c r="B92">
        <v>763</v>
      </c>
      <c r="C92">
        <v>150</v>
      </c>
      <c r="D92">
        <v>0.43979201853014099</v>
      </c>
      <c r="E92">
        <v>14.939934095889599</v>
      </c>
      <c r="F92">
        <v>2.5603186965912199</v>
      </c>
      <c r="G92">
        <v>-242.2161956970987</v>
      </c>
      <c r="H92">
        <v>-209.48724729156976</v>
      </c>
      <c r="I92">
        <v>31.5870756218008</v>
      </c>
      <c r="J92">
        <v>18.175880975771499</v>
      </c>
      <c r="K92">
        <v>5.8351853289906801</v>
      </c>
      <c r="L92">
        <v>3.1044167122217543E-5</v>
      </c>
      <c r="M92">
        <v>1.8222603692377488E-6</v>
      </c>
      <c r="N92" s="1">
        <v>-1.60620628324942E-7</v>
      </c>
      <c r="O92" s="1">
        <v>5.2485423742028797E-11</v>
      </c>
      <c r="P92" s="1">
        <v>5.9232301635474304E-10</v>
      </c>
      <c r="Q92">
        <v>65.685828974987103</v>
      </c>
      <c r="S92">
        <v>20.913044271125699</v>
      </c>
      <c r="AA92">
        <v>1.92658544761742</v>
      </c>
      <c r="AB92">
        <v>8.8685352320104407</v>
      </c>
      <c r="AC92">
        <v>2.6060060742592901</v>
      </c>
      <c r="AJ92">
        <v>0.76139619214209098</v>
      </c>
      <c r="AK92">
        <v>9.1402457101410706E-2</v>
      </c>
      <c r="AL92">
        <v>0.14720135075649801</v>
      </c>
    </row>
    <row r="93" spans="1:38" x14ac:dyDescent="0.2">
      <c r="A93">
        <v>182</v>
      </c>
      <c r="B93">
        <v>762</v>
      </c>
      <c r="C93">
        <v>150</v>
      </c>
      <c r="D93">
        <v>0.439183210162781</v>
      </c>
      <c r="E93">
        <v>16.3446978189071</v>
      </c>
      <c r="F93">
        <v>2.5613469234481601</v>
      </c>
      <c r="G93">
        <v>-265.01345597316174</v>
      </c>
      <c r="H93">
        <v>-229.26347521134636</v>
      </c>
      <c r="I93">
        <v>34.5360389912721</v>
      </c>
      <c r="J93">
        <v>19.8904962888111</v>
      </c>
      <c r="K93">
        <v>6.3812901209428698</v>
      </c>
      <c r="L93">
        <v>3.1057398266003948E-5</v>
      </c>
      <c r="M93">
        <v>1.8211240707157675E-6</v>
      </c>
      <c r="N93" s="1">
        <v>-1.8138568372951699E-7</v>
      </c>
      <c r="O93" s="1">
        <v>5.7277811268034298E-11</v>
      </c>
      <c r="P93" s="1">
        <v>6.6449220669432702E-10</v>
      </c>
      <c r="Q93">
        <v>65.616983623896999</v>
      </c>
      <c r="S93">
        <v>20.974191703129801</v>
      </c>
      <c r="AA93">
        <v>1.9930968266210201</v>
      </c>
      <c r="AB93">
        <v>8.8754230011538002</v>
      </c>
      <c r="AC93">
        <v>2.5403048451982602</v>
      </c>
      <c r="AJ93">
        <v>0.76196036125477995</v>
      </c>
      <c r="AK93">
        <v>9.4554566180159602E-2</v>
      </c>
      <c r="AL93">
        <v>0.14348507256505899</v>
      </c>
    </row>
    <row r="94" spans="1:38" x14ac:dyDescent="0.2">
      <c r="A94">
        <v>183</v>
      </c>
      <c r="B94">
        <v>761</v>
      </c>
      <c r="C94">
        <v>150</v>
      </c>
      <c r="D94">
        <v>0.43857322438717999</v>
      </c>
      <c r="E94">
        <v>17.030782025958001</v>
      </c>
      <c r="F94">
        <v>2.5618820014853498</v>
      </c>
      <c r="G94">
        <v>-276.13302976407408</v>
      </c>
      <c r="H94">
        <v>-238.93986907670444</v>
      </c>
      <c r="I94">
        <v>35.964957392418498</v>
      </c>
      <c r="J94">
        <v>20.731290916148598</v>
      </c>
      <c r="K94">
        <v>6.6477620811902103</v>
      </c>
      <c r="L94">
        <v>3.1082774478369814E-5</v>
      </c>
      <c r="M94">
        <v>1.8207378491566024E-6</v>
      </c>
      <c r="N94" s="1">
        <v>-1.9510009833623E-7</v>
      </c>
      <c r="O94" s="1">
        <v>5.9583254842733696E-11</v>
      </c>
      <c r="P94" s="1">
        <v>7.1007930003895305E-10</v>
      </c>
      <c r="Q94">
        <v>65.586431247618194</v>
      </c>
      <c r="S94">
        <v>21.002710264322602</v>
      </c>
      <c r="AA94">
        <v>2.0237539109387801</v>
      </c>
      <c r="AB94">
        <v>8.8821037846023003</v>
      </c>
      <c r="AC94">
        <v>2.505000792518</v>
      </c>
      <c r="AJ94">
        <v>0.76250809218816196</v>
      </c>
      <c r="AK94">
        <v>9.6005719107431706E-2</v>
      </c>
      <c r="AL94">
        <v>0.14148618870440599</v>
      </c>
    </row>
    <row r="95" spans="1:38" x14ac:dyDescent="0.2">
      <c r="A95">
        <v>185</v>
      </c>
      <c r="B95">
        <v>784</v>
      </c>
      <c r="C95">
        <v>135</v>
      </c>
      <c r="D95">
        <v>0.467918932980182</v>
      </c>
      <c r="E95">
        <v>0.209245663848692</v>
      </c>
      <c r="F95">
        <v>2.56288137210462</v>
      </c>
      <c r="G95">
        <v>-3.4099334036944695</v>
      </c>
      <c r="H95">
        <v>-2.9366866420904167</v>
      </c>
      <c r="I95">
        <v>0.44766283082254499</v>
      </c>
      <c r="J95">
        <v>0.25417774261896497</v>
      </c>
      <c r="K95">
        <v>8.16446934010297E-2</v>
      </c>
      <c r="L95">
        <v>3.0755477107059494E-5</v>
      </c>
      <c r="M95">
        <v>1.820411072239245E-6</v>
      </c>
      <c r="N95" s="1">
        <v>-1.21563503112829E-9</v>
      </c>
      <c r="O95" s="1">
        <v>7.3864017596936901E-13</v>
      </c>
      <c r="P95" s="1">
        <v>5.2887023535646896E-12</v>
      </c>
      <c r="Q95">
        <v>65.563147231719199</v>
      </c>
      <c r="S95">
        <v>21.146901967875401</v>
      </c>
      <c r="AA95">
        <v>2.1481465495719401</v>
      </c>
      <c r="AB95">
        <v>9.2082339006744203</v>
      </c>
      <c r="AC95">
        <v>1.9335703501589201</v>
      </c>
      <c r="AJ95">
        <v>0.78922439287153101</v>
      </c>
      <c r="AK95">
        <v>0.10174166811273801</v>
      </c>
      <c r="AL95">
        <v>0.10903393901573</v>
      </c>
    </row>
    <row r="96" spans="1:38" x14ac:dyDescent="0.2">
      <c r="A96">
        <v>186</v>
      </c>
      <c r="B96">
        <v>783</v>
      </c>
      <c r="C96">
        <v>135</v>
      </c>
      <c r="D96">
        <v>0.46734886143066801</v>
      </c>
      <c r="E96">
        <v>0.61842558177000495</v>
      </c>
      <c r="F96">
        <v>2.5624247193389098</v>
      </c>
      <c r="G96">
        <v>-10.075551571363427</v>
      </c>
      <c r="H96">
        <v>-8.6788797399007827</v>
      </c>
      <c r="I96">
        <v>1.32241805753221</v>
      </c>
      <c r="J96">
        <v>0.75127917757554696</v>
      </c>
      <c r="K96">
        <v>0.24134390255552601</v>
      </c>
      <c r="L96">
        <v>3.0782603059689186E-5</v>
      </c>
      <c r="M96">
        <v>1.8213349768754724E-6</v>
      </c>
      <c r="N96" s="1">
        <v>-3.70729226718529E-9</v>
      </c>
      <c r="O96" s="1">
        <v>2.1841011389576302E-12</v>
      </c>
      <c r="P96" s="1">
        <v>1.5965204212205701E-11</v>
      </c>
      <c r="Q96">
        <v>65.604336344939796</v>
      </c>
      <c r="S96">
        <v>21.111057315126999</v>
      </c>
      <c r="AA96">
        <v>2.1089634275557998</v>
      </c>
      <c r="AB96">
        <v>9.2060502137115598</v>
      </c>
      <c r="AC96">
        <v>1.9695926986658201</v>
      </c>
      <c r="AJ96">
        <v>0.78904644368815302</v>
      </c>
      <c r="AK96">
        <v>9.9887022187124197E-2</v>
      </c>
      <c r="AL96">
        <v>0.11106653412472101</v>
      </c>
    </row>
    <row r="97" spans="1:38" x14ac:dyDescent="0.2">
      <c r="A97">
        <v>187</v>
      </c>
      <c r="B97">
        <v>782</v>
      </c>
      <c r="C97">
        <v>135</v>
      </c>
      <c r="D97">
        <v>0.466777709330429</v>
      </c>
      <c r="E97">
        <v>1.0286313786699399</v>
      </c>
      <c r="F97">
        <v>2.5619731473296898</v>
      </c>
      <c r="G97">
        <v>-16.754539819134607</v>
      </c>
      <c r="H97">
        <v>-14.434794715059182</v>
      </c>
      <c r="I97">
        <v>2.19849794254411</v>
      </c>
      <c r="J97">
        <v>1.24970341765349</v>
      </c>
      <c r="K97">
        <v>0.40149967213437399</v>
      </c>
      <c r="L97">
        <v>3.0809245384864774E-5</v>
      </c>
      <c r="M97">
        <v>1.8222274692709306E-6</v>
      </c>
      <c r="N97" s="1">
        <v>-6.3611742896283702E-9</v>
      </c>
      <c r="O97" s="1">
        <v>3.6344856230664699E-12</v>
      </c>
      <c r="P97" s="1">
        <v>2.7123835647774702E-11</v>
      </c>
      <c r="Q97">
        <v>65.644290229867906</v>
      </c>
      <c r="S97">
        <v>21.0759203409355</v>
      </c>
      <c r="AA97">
        <v>2.0706523712306102</v>
      </c>
      <c r="AB97">
        <v>9.2029691580711805</v>
      </c>
      <c r="AC97">
        <v>2.0061678998946202</v>
      </c>
      <c r="AJ97">
        <v>0.78879507365889701</v>
      </c>
      <c r="AK97">
        <v>9.80740719948478E-2</v>
      </c>
      <c r="AL97">
        <v>0.113130854346254</v>
      </c>
    </row>
    <row r="98" spans="1:38" x14ac:dyDescent="0.2">
      <c r="A98">
        <v>188</v>
      </c>
      <c r="B98">
        <v>781</v>
      </c>
      <c r="C98">
        <v>135</v>
      </c>
      <c r="D98">
        <v>0.46620547360432502</v>
      </c>
      <c r="E98">
        <v>1.43971605537541</v>
      </c>
      <c r="F98">
        <v>2.56152654889206</v>
      </c>
      <c r="G98">
        <v>-23.444465102855492</v>
      </c>
      <c r="H98">
        <v>-20.202347599403861</v>
      </c>
      <c r="I98">
        <v>3.07557511118116</v>
      </c>
      <c r="J98">
        <v>1.7492738051605301</v>
      </c>
      <c r="K98">
        <v>0.56205392678757504</v>
      </c>
      <c r="L98">
        <v>3.0835419906304361E-5</v>
      </c>
      <c r="M98">
        <v>1.8230889833970583E-6</v>
      </c>
      <c r="N98" s="1">
        <v>-9.1823574899438203E-9</v>
      </c>
      <c r="O98" s="1">
        <v>5.0891703628257E-12</v>
      </c>
      <c r="P98" s="1">
        <v>3.87778155309386E-11</v>
      </c>
      <c r="Q98">
        <v>65.6830250217849</v>
      </c>
      <c r="S98">
        <v>21.041479508721899</v>
      </c>
      <c r="AA98">
        <v>2.0332000978532099</v>
      </c>
      <c r="AB98">
        <v>9.1989964457198692</v>
      </c>
      <c r="AC98">
        <v>2.0432989259200198</v>
      </c>
      <c r="AJ98">
        <v>0.78847074335840195</v>
      </c>
      <c r="AK98">
        <v>9.6302163599385301E-2</v>
      </c>
      <c r="AL98">
        <v>0.115227093042212</v>
      </c>
    </row>
    <row r="99" spans="1:38" x14ac:dyDescent="0.2">
      <c r="A99">
        <v>189</v>
      </c>
      <c r="B99">
        <v>780</v>
      </c>
      <c r="C99">
        <v>135</v>
      </c>
      <c r="D99">
        <v>0.46563215116555001</v>
      </c>
      <c r="E99">
        <v>1.85153609434953</v>
      </c>
      <c r="F99">
        <v>2.5610848054252902</v>
      </c>
      <c r="G99">
        <v>-30.142953072424042</v>
      </c>
      <c r="H99">
        <v>-25.979503267985336</v>
      </c>
      <c r="I99">
        <v>3.9533302990444898</v>
      </c>
      <c r="J99">
        <v>2.2498180763642002</v>
      </c>
      <c r="K99">
        <v>0.72294993528809204</v>
      </c>
      <c r="L99">
        <v>3.0861143339810014E-5</v>
      </c>
      <c r="M99">
        <v>1.8239199840225202E-6</v>
      </c>
      <c r="N99" s="1">
        <v>-1.2176063836127201E-8</v>
      </c>
      <c r="O99" s="1">
        <v>6.5475431691964996E-12</v>
      </c>
      <c r="P99" s="1">
        <v>5.0940783264552497E-11</v>
      </c>
      <c r="Q99">
        <v>65.720558215182507</v>
      </c>
      <c r="S99">
        <v>21.0077222928815</v>
      </c>
      <c r="AA99">
        <v>1.99659219157088</v>
      </c>
      <c r="AB99">
        <v>9.1941382246938108</v>
      </c>
      <c r="AC99">
        <v>2.0809890756712299</v>
      </c>
      <c r="AJ99">
        <v>0.78807394719021495</v>
      </c>
      <c r="AK99">
        <v>9.4570590429263302E-2</v>
      </c>
      <c r="AL99">
        <v>0.117355462380521</v>
      </c>
    </row>
    <row r="100" spans="1:38" x14ac:dyDescent="0.2">
      <c r="A100">
        <v>190</v>
      </c>
      <c r="B100">
        <v>779</v>
      </c>
      <c r="C100">
        <v>135</v>
      </c>
      <c r="D100">
        <v>0.46505773891555402</v>
      </c>
      <c r="E100">
        <v>2.2639520977263898</v>
      </c>
      <c r="F100">
        <v>2.5606477881584202</v>
      </c>
      <c r="G100">
        <v>-36.847698370529422</v>
      </c>
      <c r="H100">
        <v>-31.764284350327895</v>
      </c>
      <c r="I100">
        <v>4.8314537092634202</v>
      </c>
      <c r="J100">
        <v>2.7511691479475799</v>
      </c>
      <c r="K100">
        <v>0.88413256528130002</v>
      </c>
      <c r="L100">
        <v>3.088643321501312E-5</v>
      </c>
      <c r="M100">
        <v>1.8247209628796514E-6</v>
      </c>
      <c r="N100" s="1">
        <v>-1.5347672986369001E-8</v>
      </c>
      <c r="O100" s="1">
        <v>8.0090054196690199E-12</v>
      </c>
      <c r="P100" s="1">
        <v>6.3626837991876997E-11</v>
      </c>
      <c r="Q100">
        <v>65.7569085005575</v>
      </c>
      <c r="S100">
        <v>20.9746352939943</v>
      </c>
      <c r="AA100">
        <v>1.9608132365532001</v>
      </c>
      <c r="AB100">
        <v>9.1884010174414996</v>
      </c>
      <c r="AC100">
        <v>2.11924195145341</v>
      </c>
      <c r="AJ100">
        <v>0.78760520839100001</v>
      </c>
      <c r="AK100">
        <v>9.2878599582573704E-2</v>
      </c>
      <c r="AL100">
        <v>0.11951619202642499</v>
      </c>
    </row>
    <row r="101" spans="1:38" x14ac:dyDescent="0.2">
      <c r="A101">
        <v>191</v>
      </c>
      <c r="B101">
        <v>778</v>
      </c>
      <c r="C101">
        <v>135</v>
      </c>
      <c r="D101">
        <v>0.464482233743996</v>
      </c>
      <c r="E101">
        <v>2.6768293429729701</v>
      </c>
      <c r="F101">
        <v>2.5602153595221</v>
      </c>
      <c r="G101">
        <v>-43.556473580772895</v>
      </c>
      <c r="H101">
        <v>-37.554778990599765</v>
      </c>
      <c r="I101">
        <v>5.7096461876736102</v>
      </c>
      <c r="J101">
        <v>3.2531658032484798</v>
      </c>
      <c r="K101">
        <v>1.0455485055259599</v>
      </c>
      <c r="L101">
        <v>3.091130780301857E-5</v>
      </c>
      <c r="M101">
        <v>1.8254924349124652E-6</v>
      </c>
      <c r="N101" s="1">
        <v>-1.87027348735614E-8</v>
      </c>
      <c r="O101" s="1">
        <v>9.4729742293031593E-12</v>
      </c>
      <c r="P101" s="1">
        <v>7.6850578431815598E-11</v>
      </c>
      <c r="Q101">
        <v>65.792095600396706</v>
      </c>
      <c r="S101">
        <v>20.9422043583793</v>
      </c>
      <c r="AA101">
        <v>1.92584695389556</v>
      </c>
      <c r="AB101">
        <v>9.1817916687523198</v>
      </c>
      <c r="AC101">
        <v>2.1580614185759899</v>
      </c>
      <c r="AJ101">
        <v>0.78706507482119104</v>
      </c>
      <c r="AK101">
        <v>9.1225398299780505E-2</v>
      </c>
      <c r="AL101">
        <v>0.121709526879027</v>
      </c>
    </row>
    <row r="102" spans="1:38" x14ac:dyDescent="0.2">
      <c r="A102">
        <v>192</v>
      </c>
      <c r="B102">
        <v>777</v>
      </c>
      <c r="C102">
        <v>135</v>
      </c>
      <c r="D102">
        <v>0.46390563252868899</v>
      </c>
      <c r="E102">
        <v>3.09003825673526</v>
      </c>
      <c r="F102">
        <v>2.55978737461131</v>
      </c>
      <c r="G102">
        <v>-50.267136838526135</v>
      </c>
      <c r="H102">
        <v>-43.349147466795408</v>
      </c>
      <c r="I102">
        <v>6.5876202178076699</v>
      </c>
      <c r="J102">
        <v>3.7556532790722499</v>
      </c>
      <c r="K102">
        <v>1.2071464557498399</v>
      </c>
      <c r="L102">
        <v>3.0935786051078998E-5</v>
      </c>
      <c r="M102">
        <v>1.8262349346695038E-6</v>
      </c>
      <c r="N102" s="1">
        <v>-2.2246982732110599E-8</v>
      </c>
      <c r="O102" s="1">
        <v>1.0938884301507099E-11</v>
      </c>
      <c r="P102" s="1">
        <v>9.0627143254412206E-11</v>
      </c>
      <c r="Q102">
        <v>65.826140107429694</v>
      </c>
      <c r="S102">
        <v>20.9104146994136</v>
      </c>
      <c r="AA102">
        <v>1.89167633945082</v>
      </c>
      <c r="AB102">
        <v>9.1743173033655605</v>
      </c>
      <c r="AC102">
        <v>2.1974515503402099</v>
      </c>
      <c r="AJ102">
        <v>0.786454115549302</v>
      </c>
      <c r="AK102">
        <v>8.9610160471579201E-2</v>
      </c>
      <c r="AL102">
        <v>0.12393572397911801</v>
      </c>
    </row>
    <row r="103" spans="1:38" x14ac:dyDescent="0.2">
      <c r="A103">
        <v>193</v>
      </c>
      <c r="B103">
        <v>776</v>
      </c>
      <c r="C103">
        <v>135</v>
      </c>
      <c r="D103">
        <v>0.46332793213554102</v>
      </c>
      <c r="E103">
        <v>3.5034547848301099</v>
      </c>
      <c r="F103">
        <v>2.5593636828367798</v>
      </c>
      <c r="G103">
        <v>-56.977637752816698</v>
      </c>
      <c r="H103">
        <v>-49.145627364408497</v>
      </c>
      <c r="I103">
        <v>7.46510068951837</v>
      </c>
      <c r="J103">
        <v>4.2584837265768503</v>
      </c>
      <c r="K103">
        <v>1.3688772753651399</v>
      </c>
      <c r="L103">
        <v>3.0959887528736159E-5</v>
      </c>
      <c r="M103">
        <v>1.8269490128683182E-6</v>
      </c>
      <c r="N103" s="1">
        <v>-2.5986346397261599E-8</v>
      </c>
      <c r="O103" s="1">
        <v>1.24061893755831E-11</v>
      </c>
      <c r="P103" s="1">
        <v>1.04972251312289E-10</v>
      </c>
      <c r="Q103">
        <v>65.859063323501601</v>
      </c>
      <c r="S103">
        <v>20.879251024845701</v>
      </c>
      <c r="AA103">
        <v>1.8582838064606599</v>
      </c>
      <c r="AB103">
        <v>9.1659853006755796</v>
      </c>
      <c r="AC103">
        <v>2.2374165445163801</v>
      </c>
      <c r="AJ103">
        <v>0.78577291883627598</v>
      </c>
      <c r="AK103">
        <v>8.8032033363396101E-2</v>
      </c>
      <c r="AL103">
        <v>0.126195047800327</v>
      </c>
    </row>
    <row r="104" spans="1:38" x14ac:dyDescent="0.2">
      <c r="A104">
        <v>194</v>
      </c>
      <c r="B104">
        <v>775</v>
      </c>
      <c r="C104">
        <v>135</v>
      </c>
      <c r="D104">
        <v>0.46274912941850099</v>
      </c>
      <c r="E104">
        <v>3.9169606758236299</v>
      </c>
      <c r="F104">
        <v>2.5589441296131001</v>
      </c>
      <c r="G104">
        <v>-63.686021926552598</v>
      </c>
      <c r="H104">
        <v>-54.942537550353883</v>
      </c>
      <c r="I104">
        <v>8.3418254793671807</v>
      </c>
      <c r="J104">
        <v>4.7615165675214097</v>
      </c>
      <c r="K104">
        <v>1.5306940978097301</v>
      </c>
      <c r="L104">
        <v>3.0983632383744394E-5</v>
      </c>
      <c r="M104">
        <v>1.8276352332235573E-6</v>
      </c>
      <c r="N104" s="1">
        <v>-2.9926965939632898E-8</v>
      </c>
      <c r="O104" s="1">
        <v>1.38743633319453E-11</v>
      </c>
      <c r="P104" s="1">
        <v>1.1990224204584099E-10</v>
      </c>
      <c r="Q104">
        <v>65.890887106159298</v>
      </c>
      <c r="S104">
        <v>20.848697661642699</v>
      </c>
      <c r="AA104">
        <v>1.82565132435261</v>
      </c>
      <c r="AB104">
        <v>9.1568032801604193</v>
      </c>
      <c r="AC104">
        <v>2.2779606276848599</v>
      </c>
      <c r="AJ104">
        <v>0.78502209099876397</v>
      </c>
      <c r="AK104">
        <v>8.6490144152058704E-2</v>
      </c>
      <c r="AL104">
        <v>0.12848776484917601</v>
      </c>
    </row>
    <row r="105" spans="1:38" x14ac:dyDescent="0.2">
      <c r="A105">
        <v>195</v>
      </c>
      <c r="B105">
        <v>774</v>
      </c>
      <c r="C105">
        <v>135</v>
      </c>
      <c r="D105">
        <v>0.46216922121950399</v>
      </c>
      <c r="E105">
        <v>5.2520405297746198</v>
      </c>
      <c r="F105">
        <v>2.5572437580974499</v>
      </c>
      <c r="G105">
        <v>-85.332963378989135</v>
      </c>
      <c r="H105">
        <v>-73.627009107040209</v>
      </c>
      <c r="I105">
        <v>11.1788705266188</v>
      </c>
      <c r="J105">
        <v>6.3829289489496501</v>
      </c>
      <c r="K105">
        <v>2.0537895588342501</v>
      </c>
      <c r="L105">
        <v>3.0982640998903949E-5</v>
      </c>
      <c r="M105">
        <v>1.8288210315444691E-6</v>
      </c>
      <c r="N105" s="1">
        <v>-4.0968010276278897E-8</v>
      </c>
      <c r="O105" s="1">
        <v>1.8648353427358799E-11</v>
      </c>
      <c r="P105" s="1">
        <v>1.6316143031906899E-10</v>
      </c>
      <c r="Q105">
        <v>65.973256126976494</v>
      </c>
      <c r="S105">
        <v>20.751588628875002</v>
      </c>
      <c r="AA105">
        <v>1.72631569305122</v>
      </c>
      <c r="AB105">
        <v>9.0857742721650006</v>
      </c>
      <c r="AC105">
        <v>2.4630652789321701</v>
      </c>
      <c r="AJ105">
        <v>0.779209033628528</v>
      </c>
      <c r="AK105">
        <v>8.1813136877559103E-2</v>
      </c>
      <c r="AL105">
        <v>0.13897782949391199</v>
      </c>
    </row>
    <row r="106" spans="1:38" x14ac:dyDescent="0.2">
      <c r="A106">
        <v>196</v>
      </c>
      <c r="B106">
        <v>773</v>
      </c>
      <c r="C106">
        <v>135</v>
      </c>
      <c r="D106">
        <v>0.46158820436839998</v>
      </c>
      <c r="E106">
        <v>6.8395904750845604</v>
      </c>
      <c r="F106">
        <v>2.5550808188478702</v>
      </c>
      <c r="G106">
        <v>-111.02610963421763</v>
      </c>
      <c r="H106">
        <v>-95.805871137326221</v>
      </c>
      <c r="I106">
        <v>14.5488108750097</v>
      </c>
      <c r="J106">
        <v>8.30874242103204</v>
      </c>
      <c r="K106">
        <v>2.6768587610346701</v>
      </c>
      <c r="L106">
        <v>3.0959291266082379E-5</v>
      </c>
      <c r="M106">
        <v>1.8298096970595711E-6</v>
      </c>
      <c r="N106" s="1">
        <v>-5.4176160236354697E-8</v>
      </c>
      <c r="O106" s="1">
        <v>2.4361522778523901E-11</v>
      </c>
      <c r="P106" s="1">
        <v>2.1477747888116701E-10</v>
      </c>
      <c r="Q106">
        <v>66.061160660662196</v>
      </c>
      <c r="S106">
        <v>20.6357553279922</v>
      </c>
      <c r="AA106">
        <v>1.61024071258117</v>
      </c>
      <c r="AB106">
        <v>8.9779927546102094</v>
      </c>
      <c r="AC106">
        <v>2.71485054415403</v>
      </c>
      <c r="AJ106">
        <v>0.77037967348745096</v>
      </c>
      <c r="AK106">
        <v>7.6353185022036002E-2</v>
      </c>
      <c r="AL106">
        <v>0.15326714149051199</v>
      </c>
    </row>
    <row r="107" spans="1:38" x14ac:dyDescent="0.2">
      <c r="A107">
        <v>197</v>
      </c>
      <c r="B107">
        <v>772</v>
      </c>
      <c r="C107">
        <v>135</v>
      </c>
      <c r="D107">
        <v>0.46100607568291702</v>
      </c>
      <c r="E107">
        <v>8.7648871280972607</v>
      </c>
      <c r="F107">
        <v>2.55222423888288</v>
      </c>
      <c r="G107">
        <v>-142.10492600713599</v>
      </c>
      <c r="H107">
        <v>-122.63380497679728</v>
      </c>
      <c r="I107">
        <v>18.629977544217201</v>
      </c>
      <c r="J107">
        <v>10.639642324870699</v>
      </c>
      <c r="K107">
        <v>3.4342151424491001</v>
      </c>
      <c r="L107">
        <v>3.0897403166578002E-5</v>
      </c>
      <c r="M107">
        <v>1.8303818282048738E-6</v>
      </c>
      <c r="N107" s="1">
        <v>-6.9864034173377705E-8</v>
      </c>
      <c r="O107" s="1">
        <v>3.1351218772937002E-11</v>
      </c>
      <c r="P107" s="1">
        <v>2.7631678927081201E-10</v>
      </c>
      <c r="Q107">
        <v>66.153318222492601</v>
      </c>
      <c r="S107">
        <v>20.493296686250702</v>
      </c>
      <c r="AA107">
        <v>1.47120716730606</v>
      </c>
      <c r="AB107">
        <v>8.8098870896455708</v>
      </c>
      <c r="AC107">
        <v>3.0722908343050501</v>
      </c>
      <c r="AJ107">
        <v>0.75658895812528404</v>
      </c>
      <c r="AK107">
        <v>6.9819105218330499E-2</v>
      </c>
      <c r="AL107">
        <v>0.173591936656384</v>
      </c>
    </row>
    <row r="108" spans="1:38" x14ac:dyDescent="0.2">
      <c r="A108">
        <v>198</v>
      </c>
      <c r="B108">
        <v>771</v>
      </c>
      <c r="C108">
        <v>135</v>
      </c>
      <c r="D108">
        <v>0.46042283196858502</v>
      </c>
      <c r="E108">
        <v>9.9780755167145703</v>
      </c>
      <c r="F108">
        <v>2.5520187627431601</v>
      </c>
      <c r="G108">
        <v>-161.70650650195159</v>
      </c>
      <c r="H108">
        <v>-139.57721260972895</v>
      </c>
      <c r="I108">
        <v>21.193596602233999</v>
      </c>
      <c r="J108">
        <v>12.109460279972</v>
      </c>
      <c r="K108">
        <v>3.9098754532623801</v>
      </c>
      <c r="L108">
        <v>3.085826793366322E-5</v>
      </c>
      <c r="M108">
        <v>1.8292024149681772E-6</v>
      </c>
      <c r="N108" s="1">
        <v>-8.1107587648420805E-8</v>
      </c>
      <c r="O108" s="1">
        <v>3.5684934046256798E-11</v>
      </c>
      <c r="P108" s="1">
        <v>3.1909567578824799E-10</v>
      </c>
      <c r="Q108">
        <v>66.116050961158905</v>
      </c>
      <c r="S108">
        <v>20.4960214371897</v>
      </c>
      <c r="AA108">
        <v>1.4821509206860599</v>
      </c>
      <c r="AB108">
        <v>8.73398228478273</v>
      </c>
      <c r="AC108">
        <v>3.1717943961824999</v>
      </c>
      <c r="AJ108">
        <v>0.75035325996311697</v>
      </c>
      <c r="AK108">
        <v>7.0364998939043799E-2</v>
      </c>
      <c r="AL108">
        <v>0.17928174109783801</v>
      </c>
    </row>
    <row r="109" spans="1:38" x14ac:dyDescent="0.2">
      <c r="A109">
        <v>199</v>
      </c>
      <c r="B109">
        <v>770</v>
      </c>
      <c r="C109">
        <v>135</v>
      </c>
      <c r="D109">
        <v>0.45983847001869499</v>
      </c>
      <c r="E109">
        <v>10.6506843086645</v>
      </c>
      <c r="F109">
        <v>2.5539695271101199</v>
      </c>
      <c r="G109">
        <v>-172.66898089703068</v>
      </c>
      <c r="H109">
        <v>-149.08355098666578</v>
      </c>
      <c r="I109">
        <v>22.6098163354885</v>
      </c>
      <c r="J109">
        <v>12.9307989999939</v>
      </c>
      <c r="K109">
        <v>4.1702472154066896</v>
      </c>
      <c r="L109">
        <v>3.0873539699220035E-5</v>
      </c>
      <c r="M109">
        <v>1.8275049905808954E-6</v>
      </c>
      <c r="N109" s="1">
        <v>-8.9802047346299598E-8</v>
      </c>
      <c r="O109" s="1">
        <v>3.7948258306823298E-11</v>
      </c>
      <c r="P109" s="1">
        <v>3.5011925171744801E-10</v>
      </c>
      <c r="Q109">
        <v>66.004263902603896</v>
      </c>
      <c r="S109">
        <v>20.605899861832899</v>
      </c>
      <c r="AA109">
        <v>1.5988857279686199</v>
      </c>
      <c r="AB109">
        <v>8.7729313939475499</v>
      </c>
      <c r="AC109">
        <v>3.0180191136468699</v>
      </c>
      <c r="AJ109">
        <v>0.75355159721063103</v>
      </c>
      <c r="AK109">
        <v>7.58920838433291E-2</v>
      </c>
      <c r="AL109">
        <v>0.17055631894603901</v>
      </c>
    </row>
    <row r="110" spans="1:38" x14ac:dyDescent="0.2">
      <c r="A110">
        <v>200</v>
      </c>
      <c r="B110">
        <v>769</v>
      </c>
      <c r="C110">
        <v>135</v>
      </c>
      <c r="D110">
        <v>0.45925298661421299</v>
      </c>
      <c r="E110">
        <v>12.2356307001765</v>
      </c>
      <c r="F110">
        <v>2.55629069656506</v>
      </c>
      <c r="G110">
        <v>-198.44651838953934</v>
      </c>
      <c r="H110">
        <v>-171.39357379202278</v>
      </c>
      <c r="I110">
        <v>25.9587819387962</v>
      </c>
      <c r="J110">
        <v>14.8605235166653</v>
      </c>
      <c r="K110">
        <v>4.7864785944015704</v>
      </c>
      <c r="L110">
        <v>3.0874666358856646E-5</v>
      </c>
      <c r="M110">
        <v>1.8250626137695696E-6</v>
      </c>
      <c r="N110" s="1">
        <v>-1.0688000539653E-7</v>
      </c>
      <c r="O110" s="1">
        <v>4.34025869808922E-11</v>
      </c>
      <c r="P110" s="1">
        <v>4.1318166512314598E-10</v>
      </c>
      <c r="Q110">
        <v>65.857494116531598</v>
      </c>
      <c r="S110">
        <v>20.742876543270601</v>
      </c>
      <c r="AA110">
        <v>1.74613961579222</v>
      </c>
      <c r="AB110">
        <v>8.8049649737393096</v>
      </c>
      <c r="AC110">
        <v>2.8485247506661402</v>
      </c>
      <c r="AJ110">
        <v>0.75618028769847401</v>
      </c>
      <c r="AK110">
        <v>8.2868117867722801E-2</v>
      </c>
      <c r="AL110">
        <v>0.160951594433802</v>
      </c>
    </row>
    <row r="111" spans="1:38" x14ac:dyDescent="0.2">
      <c r="A111">
        <v>201</v>
      </c>
      <c r="B111">
        <v>768</v>
      </c>
      <c r="C111">
        <v>135</v>
      </c>
      <c r="D111">
        <v>0.45866637852374798</v>
      </c>
      <c r="E111">
        <v>14.219131859299701</v>
      </c>
      <c r="F111">
        <v>2.55844052685763</v>
      </c>
      <c r="G111">
        <v>-230.69575222798244</v>
      </c>
      <c r="H111">
        <v>-199.30757476183416</v>
      </c>
      <c r="I111">
        <v>30.147603578877401</v>
      </c>
      <c r="J111">
        <v>17.2748005755906</v>
      </c>
      <c r="K111">
        <v>5.5577339828822101</v>
      </c>
      <c r="L111">
        <v>3.0867913004042629E-5</v>
      </c>
      <c r="M111">
        <v>1.8225209821711583E-6</v>
      </c>
      <c r="N111" s="1">
        <v>-1.2842008554339E-7</v>
      </c>
      <c r="O111" s="1">
        <v>5.0226069085860097E-11</v>
      </c>
      <c r="P111" s="1">
        <v>4.9257125734611603E-10</v>
      </c>
      <c r="Q111">
        <v>65.711983539050394</v>
      </c>
      <c r="S111">
        <v>20.8737322825272</v>
      </c>
      <c r="AA111">
        <v>1.8880498445327301</v>
      </c>
      <c r="AB111">
        <v>8.8237577866559107</v>
      </c>
      <c r="AC111">
        <v>2.7024765472336001</v>
      </c>
      <c r="AJ111">
        <v>0.757721133852995</v>
      </c>
      <c r="AK111">
        <v>8.9594235524090404E-2</v>
      </c>
      <c r="AL111">
        <v>0.15268463062291401</v>
      </c>
    </row>
    <row r="112" spans="1:38" x14ac:dyDescent="0.2">
      <c r="A112">
        <v>202</v>
      </c>
      <c r="B112">
        <v>767</v>
      </c>
      <c r="C112">
        <v>135</v>
      </c>
      <c r="D112">
        <v>0.45807864250348701</v>
      </c>
      <c r="E112">
        <v>15.5024572351712</v>
      </c>
      <c r="F112">
        <v>2.5597082522264598</v>
      </c>
      <c r="G112">
        <v>-251.55200585487444</v>
      </c>
      <c r="H112">
        <v>-217.3847538714808</v>
      </c>
      <c r="I112">
        <v>32.848389158672902</v>
      </c>
      <c r="J112">
        <v>18.838657983128002</v>
      </c>
      <c r="K112">
        <v>6.0563375617854103</v>
      </c>
      <c r="L112">
        <v>3.0873504804714144E-5</v>
      </c>
      <c r="M112">
        <v>1.8210747183996594E-6</v>
      </c>
      <c r="N112" s="1">
        <v>-1.4458299197048499E-7</v>
      </c>
      <c r="O112" s="1">
        <v>5.4608356335932303E-11</v>
      </c>
      <c r="P112" s="1">
        <v>5.5041096090179696E-10</v>
      </c>
      <c r="Q112">
        <v>65.626819336145601</v>
      </c>
      <c r="S112">
        <v>20.9497874236657</v>
      </c>
      <c r="AA112">
        <v>1.97066801719297</v>
      </c>
      <c r="AB112">
        <v>8.8333623671421293</v>
      </c>
      <c r="AC112">
        <v>2.6193628558534701</v>
      </c>
      <c r="AJ112">
        <v>0.75850834622837304</v>
      </c>
      <c r="AK112">
        <v>9.3510111716414795E-2</v>
      </c>
      <c r="AL112">
        <v>0.147981542055211</v>
      </c>
    </row>
    <row r="113" spans="1:38" x14ac:dyDescent="0.2">
      <c r="A113">
        <v>203</v>
      </c>
      <c r="B113">
        <v>766</v>
      </c>
      <c r="C113">
        <v>135</v>
      </c>
      <c r="D113">
        <v>0.45748977529712298</v>
      </c>
      <c r="E113">
        <v>16.253600201502799</v>
      </c>
      <c r="F113">
        <v>2.5604356940889801</v>
      </c>
      <c r="G113">
        <v>-263.74690289060982</v>
      </c>
      <c r="H113">
        <v>-227.97944412279918</v>
      </c>
      <c r="I113">
        <v>34.419918941260299</v>
      </c>
      <c r="J113">
        <v>19.756219684484002</v>
      </c>
      <c r="K113">
        <v>6.3479821965558001</v>
      </c>
      <c r="L113">
        <v>3.0890345523842018E-5</v>
      </c>
      <c r="M113">
        <v>1.8203979140757195E-6</v>
      </c>
      <c r="N113" s="1">
        <v>-1.5650174883170501E-7</v>
      </c>
      <c r="O113" s="1">
        <v>5.7148355616170003E-11</v>
      </c>
      <c r="P113" s="1">
        <v>5.9140400562108805E-10</v>
      </c>
      <c r="Q113">
        <v>65.581860281989407</v>
      </c>
      <c r="S113">
        <v>20.9908498917275</v>
      </c>
      <c r="AA113">
        <v>2.0150355544476501</v>
      </c>
      <c r="AB113">
        <v>8.8408241240721903</v>
      </c>
      <c r="AC113">
        <v>2.57143014776315</v>
      </c>
      <c r="AJ113">
        <v>0.75912019734900604</v>
      </c>
      <c r="AK113">
        <v>9.56117570750082E-2</v>
      </c>
      <c r="AL113">
        <v>0.14526804557598499</v>
      </c>
    </row>
    <row r="114" spans="1:38" x14ac:dyDescent="0.2">
      <c r="A114">
        <v>204</v>
      </c>
      <c r="B114">
        <v>765</v>
      </c>
      <c r="C114">
        <v>135</v>
      </c>
      <c r="D114">
        <v>0.45689977363579698</v>
      </c>
      <c r="E114">
        <v>16.701052652464099</v>
      </c>
      <c r="F114">
        <v>2.5608857022829801</v>
      </c>
      <c r="G114">
        <v>-270.99882900173742</v>
      </c>
      <c r="H114">
        <v>-234.30282738184147</v>
      </c>
      <c r="I114">
        <v>35.347494697197803</v>
      </c>
      <c r="J114">
        <v>20.305063670624101</v>
      </c>
      <c r="K114">
        <v>6.5215923684432502</v>
      </c>
      <c r="L114">
        <v>3.0914191037084727E-5</v>
      </c>
      <c r="M114">
        <v>1.8201412867580346E-6</v>
      </c>
      <c r="N114" s="1">
        <v>-1.6602087552045201E-7</v>
      </c>
      <c r="O114" s="1">
        <v>5.8639798570268606E-11</v>
      </c>
      <c r="P114" s="1">
        <v>6.2284120789529105E-10</v>
      </c>
      <c r="Q114">
        <v>65.558337276638895</v>
      </c>
      <c r="S114">
        <v>21.0135897562105</v>
      </c>
      <c r="AA114">
        <v>2.0392849472021699</v>
      </c>
      <c r="AB114">
        <v>8.8480198790281008</v>
      </c>
      <c r="AC114">
        <v>2.5407681409201799</v>
      </c>
      <c r="AJ114">
        <v>0.75971049505870902</v>
      </c>
      <c r="AK114">
        <v>9.6758859393858296E-2</v>
      </c>
      <c r="AL114">
        <v>0.143530645547432</v>
      </c>
    </row>
    <row r="115" spans="1:38" x14ac:dyDescent="0.2">
      <c r="A115">
        <v>206</v>
      </c>
      <c r="B115">
        <v>793</v>
      </c>
      <c r="C115">
        <v>120</v>
      </c>
      <c r="D115">
        <v>0.488477700136005</v>
      </c>
      <c r="E115">
        <v>3.8253773256175801E-2</v>
      </c>
      <c r="F115">
        <v>2.5616341453078499</v>
      </c>
      <c r="G115">
        <v>-0.6243971389018631</v>
      </c>
      <c r="H115">
        <v>-0.53671535541549287</v>
      </c>
      <c r="I115">
        <v>8.2241507748787801E-2</v>
      </c>
      <c r="J115">
        <v>4.6436982018580902E-2</v>
      </c>
      <c r="K115">
        <v>1.49333476547559E-2</v>
      </c>
      <c r="L115">
        <v>3.0618701784858521E-5</v>
      </c>
      <c r="M115">
        <v>1.8202174386716113E-6</v>
      </c>
      <c r="N115" s="1">
        <v>-1.63978934306686E-10</v>
      </c>
      <c r="O115" s="1">
        <v>1.35528693673742E-13</v>
      </c>
      <c r="P115" s="1">
        <v>7.9495625927863804E-13</v>
      </c>
      <c r="Q115">
        <v>65.558187653562797</v>
      </c>
      <c r="S115">
        <v>21.1549153713053</v>
      </c>
      <c r="AA115">
        <v>2.1559149392132801</v>
      </c>
      <c r="AB115">
        <v>9.2181899255799191</v>
      </c>
      <c r="AC115">
        <v>1.9127921103385399</v>
      </c>
      <c r="AJ115">
        <v>0.79003855253609101</v>
      </c>
      <c r="AK115">
        <v>0.102104538121918</v>
      </c>
      <c r="AL115">
        <v>0.10785690934198899</v>
      </c>
    </row>
    <row r="116" spans="1:38" x14ac:dyDescent="0.2">
      <c r="A116">
        <v>207</v>
      </c>
      <c r="B116">
        <v>792</v>
      </c>
      <c r="C116">
        <v>120</v>
      </c>
      <c r="D116">
        <v>0.48793174670234402</v>
      </c>
      <c r="E116">
        <v>0.43592744631265301</v>
      </c>
      <c r="F116">
        <v>2.5612016293433202</v>
      </c>
      <c r="G116">
        <v>-7.113704366334896</v>
      </c>
      <c r="H116">
        <v>-6.1159321251996577</v>
      </c>
      <c r="I116">
        <v>0.93674340809767398</v>
      </c>
      <c r="J116">
        <v>0.52920042494453401</v>
      </c>
      <c r="K116">
        <v>0.17020426713707101</v>
      </c>
      <c r="L116">
        <v>3.0641888396927523E-5</v>
      </c>
      <c r="M116">
        <v>1.8211074296883322E-6</v>
      </c>
      <c r="N116" s="1">
        <v>-1.93158875911356E-9</v>
      </c>
      <c r="O116" s="1">
        <v>1.54526698081764E-12</v>
      </c>
      <c r="P116" s="1">
        <v>9.2438541682308996E-12</v>
      </c>
      <c r="Q116">
        <v>65.597972123371505</v>
      </c>
      <c r="S116">
        <v>21.120524797000002</v>
      </c>
      <c r="AA116">
        <v>2.1182592011388</v>
      </c>
      <c r="AB116">
        <v>9.2166881217694208</v>
      </c>
      <c r="AC116">
        <v>1.9465557567201801</v>
      </c>
      <c r="AJ116">
        <v>0.789916364514339</v>
      </c>
      <c r="AK116">
        <v>0.100321983711083</v>
      </c>
      <c r="AL116">
        <v>0.109761651774576</v>
      </c>
    </row>
    <row r="117" spans="1:38" x14ac:dyDescent="0.2">
      <c r="A117">
        <v>208</v>
      </c>
      <c r="B117">
        <v>791</v>
      </c>
      <c r="C117">
        <v>120</v>
      </c>
      <c r="D117">
        <v>0.48738476718508</v>
      </c>
      <c r="E117">
        <v>0.83440343295218999</v>
      </c>
      <c r="F117">
        <v>2.5607743830212302</v>
      </c>
      <c r="G117">
        <v>-13.612947766183604</v>
      </c>
      <c r="H117">
        <v>-11.705848224371593</v>
      </c>
      <c r="I117">
        <v>1.7921341369280701</v>
      </c>
      <c r="J117">
        <v>1.0129745218128401</v>
      </c>
      <c r="K117">
        <v>0.32584027647439601</v>
      </c>
      <c r="L117">
        <v>3.0664586771974233E-5</v>
      </c>
      <c r="M117">
        <v>1.8219679756675317E-6</v>
      </c>
      <c r="N117" s="1">
        <v>-3.8203297423657802E-9</v>
      </c>
      <c r="O117" s="1">
        <v>2.9592932032915199E-12</v>
      </c>
      <c r="P117" s="1">
        <v>1.8054807636969802E-11</v>
      </c>
      <c r="Q117">
        <v>65.636590769298806</v>
      </c>
      <c r="S117">
        <v>21.086817830427101</v>
      </c>
      <c r="AA117">
        <v>2.0814394755079402</v>
      </c>
      <c r="AB117">
        <v>9.2143805084937807</v>
      </c>
      <c r="AC117">
        <v>1.9807714162723</v>
      </c>
      <c r="AJ117">
        <v>0.78972825508172195</v>
      </c>
      <c r="AK117">
        <v>9.8579386562541296E-2</v>
      </c>
      <c r="AL117">
        <v>0.111692358355735</v>
      </c>
    </row>
    <row r="118" spans="1:38" x14ac:dyDescent="0.2">
      <c r="A118">
        <v>209</v>
      </c>
      <c r="B118">
        <v>790</v>
      </c>
      <c r="C118">
        <v>120</v>
      </c>
      <c r="D118">
        <v>0.486836758688802</v>
      </c>
      <c r="E118">
        <v>1.23354333576486</v>
      </c>
      <c r="F118">
        <v>2.5603523213500399</v>
      </c>
      <c r="G118">
        <v>-20.11984017154774</v>
      </c>
      <c r="H118">
        <v>-17.304507343962193</v>
      </c>
      <c r="I118">
        <v>2.64810499702351</v>
      </c>
      <c r="J118">
        <v>1.4975921839214901</v>
      </c>
      <c r="K118">
        <v>0.48178655940383802</v>
      </c>
      <c r="L118">
        <v>3.0686811784521728E-5</v>
      </c>
      <c r="M118">
        <v>1.8227995050176566E-6</v>
      </c>
      <c r="N118" s="1">
        <v>-5.8337798554180004E-9</v>
      </c>
      <c r="O118" s="1">
        <v>4.3770270270604397E-12</v>
      </c>
      <c r="P118" s="1">
        <v>2.7236924772562099E-11</v>
      </c>
      <c r="Q118">
        <v>65.674059186690499</v>
      </c>
      <c r="S118">
        <v>21.0537840681618</v>
      </c>
      <c r="AA118">
        <v>2.0454435404281899</v>
      </c>
      <c r="AB118">
        <v>9.2112745652145804</v>
      </c>
      <c r="AC118">
        <v>2.0154386395047399</v>
      </c>
      <c r="AJ118">
        <v>0.78947483152787501</v>
      </c>
      <c r="AK118">
        <v>9.6876144914523996E-2</v>
      </c>
      <c r="AL118">
        <v>0.1136490235576</v>
      </c>
    </row>
    <row r="119" spans="1:38" x14ac:dyDescent="0.2">
      <c r="A119">
        <v>210</v>
      </c>
      <c r="B119">
        <v>789</v>
      </c>
      <c r="C119">
        <v>120</v>
      </c>
      <c r="D119">
        <v>0.48628771830721002</v>
      </c>
      <c r="E119">
        <v>1.6332117381217299</v>
      </c>
      <c r="F119">
        <v>2.5599353497253601</v>
      </c>
      <c r="G119">
        <v>-26.632145163857828</v>
      </c>
      <c r="H119">
        <v>-22.90999519128674</v>
      </c>
      <c r="I119">
        <v>3.50435434973505</v>
      </c>
      <c r="J119">
        <v>1.98289009871775</v>
      </c>
      <c r="K119">
        <v>0.63798944699792604</v>
      </c>
      <c r="L119">
        <v>3.0708579111358637E-5</v>
      </c>
      <c r="M119">
        <v>1.8236024737456348E-6</v>
      </c>
      <c r="N119" s="1">
        <v>-7.9756108583107702E-9</v>
      </c>
      <c r="O119" s="1">
        <v>5.7978977350075898E-12</v>
      </c>
      <c r="P119" s="1">
        <v>3.6799590323838399E-11</v>
      </c>
      <c r="Q119">
        <v>65.710394175055299</v>
      </c>
      <c r="S119">
        <v>21.021412253488901</v>
      </c>
      <c r="AA119">
        <v>2.0102581890583302</v>
      </c>
      <c r="AB119">
        <v>9.2073782177929608</v>
      </c>
      <c r="AC119">
        <v>2.05055716460445</v>
      </c>
      <c r="AJ119">
        <v>0.78915673619349302</v>
      </c>
      <c r="AK119">
        <v>9.5211611297309998E-2</v>
      </c>
      <c r="AL119">
        <v>0.11563165250919601</v>
      </c>
    </row>
    <row r="120" spans="1:38" x14ac:dyDescent="0.2">
      <c r="A120">
        <v>211</v>
      </c>
      <c r="B120">
        <v>788</v>
      </c>
      <c r="C120">
        <v>120</v>
      </c>
      <c r="D120">
        <v>0.48573764312303003</v>
      </c>
      <c r="E120">
        <v>2.0332767421789901</v>
      </c>
      <c r="F120">
        <v>2.5595233649446598</v>
      </c>
      <c r="G120">
        <v>-33.147685777982275</v>
      </c>
      <c r="H120">
        <v>-28.520447008036417</v>
      </c>
      <c r="I120">
        <v>4.3605887668527998</v>
      </c>
      <c r="J120">
        <v>2.46870939231819</v>
      </c>
      <c r="K120">
        <v>0.79439663260231896</v>
      </c>
      <c r="L120">
        <v>3.0729905164206098E-5</v>
      </c>
      <c r="M120">
        <v>1.8243773621667104E-6</v>
      </c>
      <c r="N120" s="1">
        <v>-1.0249596472093401E-8</v>
      </c>
      <c r="O120" s="1">
        <v>7.22134634387672E-12</v>
      </c>
      <c r="P120" s="1">
        <v>4.6752493137824502E-11</v>
      </c>
      <c r="Q120">
        <v>65.745613599224697</v>
      </c>
      <c r="S120">
        <v>20.9896903730872</v>
      </c>
      <c r="AA120">
        <v>1.9758693417712601</v>
      </c>
      <c r="AB120">
        <v>9.2026997825655599</v>
      </c>
      <c r="AC120">
        <v>2.08612690335121</v>
      </c>
      <c r="AJ120">
        <v>0.78877464195016</v>
      </c>
      <c r="AK120">
        <v>9.3585097845805598E-2</v>
      </c>
      <c r="AL120">
        <v>0.117640260204033</v>
      </c>
    </row>
    <row r="121" spans="1:38" x14ac:dyDescent="0.2">
      <c r="A121">
        <v>212</v>
      </c>
      <c r="B121">
        <v>787</v>
      </c>
      <c r="C121">
        <v>120</v>
      </c>
      <c r="D121">
        <v>0.48518653020799002</v>
      </c>
      <c r="E121">
        <v>2.4336104425139502</v>
      </c>
      <c r="F121">
        <v>2.5591162563002898</v>
      </c>
      <c r="G121">
        <v>-39.664352148483886</v>
      </c>
      <c r="H121">
        <v>-34.134054188337217</v>
      </c>
      <c r="I121">
        <v>5.2165240391894203</v>
      </c>
      <c r="J121">
        <v>2.9548962135463599</v>
      </c>
      <c r="K121">
        <v>0.95095736136357301</v>
      </c>
      <c r="L121">
        <v>3.0750807026435617E-5</v>
      </c>
      <c r="M121">
        <v>1.8251246716817856E-6</v>
      </c>
      <c r="N121" s="1">
        <v>-1.26596209295368E-8</v>
      </c>
      <c r="O121" s="1">
        <v>8.6468274712396405E-12</v>
      </c>
      <c r="P121" s="1">
        <v>5.71056541675259E-11</v>
      </c>
      <c r="Q121">
        <v>65.779736250533304</v>
      </c>
      <c r="S121">
        <v>20.9586057561316</v>
      </c>
      <c r="AA121">
        <v>1.9422621603055801</v>
      </c>
      <c r="AB121">
        <v>9.1972479167985295</v>
      </c>
      <c r="AC121">
        <v>2.1221479162308299</v>
      </c>
      <c r="AJ121">
        <v>0.78832924820405104</v>
      </c>
      <c r="AK121">
        <v>9.1995881698256607E-2</v>
      </c>
      <c r="AL121">
        <v>0.119674870097692</v>
      </c>
    </row>
    <row r="122" spans="1:38" x14ac:dyDescent="0.2">
      <c r="A122">
        <v>213</v>
      </c>
      <c r="B122">
        <v>786</v>
      </c>
      <c r="C122">
        <v>120</v>
      </c>
      <c r="D122">
        <v>0.48463437662276798</v>
      </c>
      <c r="E122">
        <v>2.8340893336669302</v>
      </c>
      <c r="F122">
        <v>2.5587139067361599</v>
      </c>
      <c r="G122">
        <v>-46.18010807210424</v>
      </c>
      <c r="H122">
        <v>-39.749069974204545</v>
      </c>
      <c r="I122">
        <v>6.07188603870999</v>
      </c>
      <c r="J122">
        <v>3.4413022374853002</v>
      </c>
      <c r="K122">
        <v>1.1076225936029001</v>
      </c>
      <c r="L122">
        <v>3.0771302395037898E-5</v>
      </c>
      <c r="M122">
        <v>1.8258449216691901E-6</v>
      </c>
      <c r="N122" s="1">
        <v>-1.52096878793529E-8</v>
      </c>
      <c r="O122" s="1">
        <v>1.00738109439069E-11</v>
      </c>
      <c r="P122" s="1">
        <v>6.78694549388634E-11</v>
      </c>
      <c r="Q122">
        <v>65.812781710008593</v>
      </c>
      <c r="S122">
        <v>20.9281451744422</v>
      </c>
      <c r="AA122">
        <v>1.90942116231218</v>
      </c>
      <c r="AB122">
        <v>9.1910315763678394</v>
      </c>
      <c r="AC122">
        <v>2.1586203768690502</v>
      </c>
      <c r="AJ122">
        <v>0.78782127749231401</v>
      </c>
      <c r="AK122">
        <v>9.0443210406343205E-2</v>
      </c>
      <c r="AL122">
        <v>0.12173551210134199</v>
      </c>
    </row>
    <row r="123" spans="1:38" x14ac:dyDescent="0.2">
      <c r="A123">
        <v>214</v>
      </c>
      <c r="B123">
        <v>785</v>
      </c>
      <c r="C123">
        <v>120</v>
      </c>
      <c r="D123">
        <v>0.48408117941691098</v>
      </c>
      <c r="E123">
        <v>3.2345946408392399</v>
      </c>
      <c r="F123">
        <v>2.55831619408068</v>
      </c>
      <c r="G123">
        <v>-52.692996314979119</v>
      </c>
      <c r="H123">
        <v>-45.363814079610663</v>
      </c>
      <c r="I123">
        <v>6.9264114117737998</v>
      </c>
      <c r="J123">
        <v>3.92778507561906</v>
      </c>
      <c r="K123">
        <v>1.2643451377602499</v>
      </c>
      <c r="L123">
        <v>3.0791409528972248E-5</v>
      </c>
      <c r="M123">
        <v>1.8265386465093446E-6</v>
      </c>
      <c r="N123" s="1">
        <v>-1.7903929570075798E-8</v>
      </c>
      <c r="O123" s="1">
        <v>1.15017831070824E-11</v>
      </c>
      <c r="P123" s="1">
        <v>7.9054666167056899E-11</v>
      </c>
      <c r="Q123">
        <v>65.844770213873502</v>
      </c>
      <c r="S123">
        <v>20.898294944005801</v>
      </c>
      <c r="AA123">
        <v>1.8773303364942899</v>
      </c>
      <c r="AB123">
        <v>9.1840599821921298</v>
      </c>
      <c r="AC123">
        <v>2.19554452343408</v>
      </c>
      <c r="AJ123">
        <v>0.78725147279659002</v>
      </c>
      <c r="AK123">
        <v>8.8926307366478802E-2</v>
      </c>
      <c r="AL123">
        <v>0.12382221983692999</v>
      </c>
    </row>
    <row r="124" spans="1:38" x14ac:dyDescent="0.2">
      <c r="A124">
        <v>215</v>
      </c>
      <c r="B124">
        <v>784</v>
      </c>
      <c r="C124">
        <v>120</v>
      </c>
      <c r="D124">
        <v>0.48352693562881199</v>
      </c>
      <c r="E124">
        <v>3.6350125806410101</v>
      </c>
      <c r="F124">
        <v>2.5579229923336899</v>
      </c>
      <c r="G124">
        <v>-59.201142780607739</v>
      </c>
      <c r="H124">
        <v>-50.97667634164624</v>
      </c>
      <c r="I124">
        <v>7.7798481189627697</v>
      </c>
      <c r="J124">
        <v>4.4142086010757504</v>
      </c>
      <c r="K124">
        <v>1.42107975554207</v>
      </c>
      <c r="L124">
        <v>3.0811147205278681E-5</v>
      </c>
      <c r="M124">
        <v>1.8272063927990959E-6</v>
      </c>
      <c r="N124" s="1">
        <v>-2.0746616327343599E-8</v>
      </c>
      <c r="O124" s="1">
        <v>1.2930247856986801E-11</v>
      </c>
      <c r="P124" s="1">
        <v>9.06724766139166E-11</v>
      </c>
      <c r="Q124">
        <v>65.8757225238883</v>
      </c>
      <c r="S124">
        <v>20.869041026032999</v>
      </c>
      <c r="AA124">
        <v>1.8459732562337801</v>
      </c>
      <c r="AB124">
        <v>9.1763425962288991</v>
      </c>
      <c r="AC124">
        <v>2.2329205976158901</v>
      </c>
      <c r="AJ124">
        <v>0.78662059563979103</v>
      </c>
      <c r="AK124">
        <v>8.7444377173276494E-2</v>
      </c>
      <c r="AL124">
        <v>0.125935027186931</v>
      </c>
    </row>
    <row r="125" spans="1:38" x14ac:dyDescent="0.2">
      <c r="A125">
        <v>216</v>
      </c>
      <c r="B125">
        <v>783</v>
      </c>
      <c r="C125">
        <v>120</v>
      </c>
      <c r="D125">
        <v>0.48297164228566197</v>
      </c>
      <c r="E125">
        <v>4.0352345463842303</v>
      </c>
      <c r="F125">
        <v>2.5575341730082801</v>
      </c>
      <c r="G125">
        <v>-65.70275945274669</v>
      </c>
      <c r="H125">
        <v>-56.586119323565505</v>
      </c>
      <c r="I125">
        <v>8.6319558104257599</v>
      </c>
      <c r="J125">
        <v>4.9004431824577601</v>
      </c>
      <c r="K125">
        <v>1.57778323706142</v>
      </c>
      <c r="L125">
        <v>3.0830534683929491E-5</v>
      </c>
      <c r="M125">
        <v>1.8278487167781952E-6</v>
      </c>
      <c r="N125" s="1">
        <v>-2.3742166276703699E-8</v>
      </c>
      <c r="O125" s="1">
        <v>1.43587273757062E-11</v>
      </c>
      <c r="P125" s="1">
        <v>1.02734521995133E-10</v>
      </c>
      <c r="Q125">
        <v>65.905659803270296</v>
      </c>
      <c r="S125">
        <v>20.8403691272974</v>
      </c>
      <c r="AA125">
        <v>1.81533319132515</v>
      </c>
      <c r="AB125">
        <v>9.1678891080224201</v>
      </c>
      <c r="AC125">
        <v>2.2707487700845799</v>
      </c>
      <c r="AJ125">
        <v>0.78592942504701302</v>
      </c>
      <c r="AK125">
        <v>8.5996610877899296E-2</v>
      </c>
      <c r="AL125">
        <v>0.128073964075087</v>
      </c>
    </row>
    <row r="126" spans="1:38" x14ac:dyDescent="0.2">
      <c r="A126">
        <v>217</v>
      </c>
      <c r="B126">
        <v>782</v>
      </c>
      <c r="C126">
        <v>120</v>
      </c>
      <c r="D126">
        <v>0.48241529640335601</v>
      </c>
      <c r="E126">
        <v>4.4351572182589898</v>
      </c>
      <c r="F126">
        <v>2.5571496065267101</v>
      </c>
      <c r="G126">
        <v>-72.196146122804265</v>
      </c>
      <c r="H126">
        <v>-62.190679876547868</v>
      </c>
      <c r="I126">
        <v>9.4825060382470703</v>
      </c>
      <c r="J126">
        <v>5.3863658268612102</v>
      </c>
      <c r="K126">
        <v>1.7344144460452999</v>
      </c>
      <c r="L126">
        <v>3.0849591682437219E-5</v>
      </c>
      <c r="M126">
        <v>1.8284661819924621E-6</v>
      </c>
      <c r="N126" s="1">
        <v>-2.6895155294143298E-8</v>
      </c>
      <c r="O126" s="1">
        <v>1.57867625680052E-11</v>
      </c>
      <c r="P126" s="1">
        <v>1.15252913882796E-10</v>
      </c>
      <c r="Q126">
        <v>65.934603499056394</v>
      </c>
      <c r="S126">
        <v>20.812264799385801</v>
      </c>
      <c r="AA126">
        <v>1.7853932173067899</v>
      </c>
      <c r="AB126">
        <v>9.1587094327505607</v>
      </c>
      <c r="AC126">
        <v>2.3090290515003402</v>
      </c>
      <c r="AJ126">
        <v>0.78517875744828902</v>
      </c>
      <c r="AK126">
        <v>8.4582191127771003E-2</v>
      </c>
      <c r="AL126">
        <v>0.13023905142393899</v>
      </c>
    </row>
    <row r="127" spans="1:38" x14ac:dyDescent="0.2">
      <c r="A127">
        <v>218</v>
      </c>
      <c r="B127">
        <v>781</v>
      </c>
      <c r="C127">
        <v>120</v>
      </c>
      <c r="D127">
        <v>0.48185789498648202</v>
      </c>
      <c r="E127">
        <v>4.9816194497413298</v>
      </c>
      <c r="F127">
        <v>2.5565749112532501</v>
      </c>
      <c r="G127">
        <v>-81.065530656511541</v>
      </c>
      <c r="H127">
        <v>-69.843864383391093</v>
      </c>
      <c r="I127">
        <v>10.6452272192007</v>
      </c>
      <c r="J127">
        <v>6.0500276435103997</v>
      </c>
      <c r="K127">
        <v>1.94855211471167</v>
      </c>
      <c r="L127">
        <v>3.0864874572090266E-5</v>
      </c>
      <c r="M127">
        <v>1.829140708036782E-6</v>
      </c>
      <c r="N127" s="1">
        <v>-3.1085414222241603E-8</v>
      </c>
      <c r="O127" s="1">
        <v>1.7742776942668899E-11</v>
      </c>
      <c r="P127" s="1">
        <v>1.3200515553986901E-10</v>
      </c>
      <c r="Q127">
        <v>65.970412280599007</v>
      </c>
      <c r="S127">
        <v>20.7745493192492</v>
      </c>
      <c r="AA127">
        <v>1.7459220703829601</v>
      </c>
      <c r="AB127">
        <v>9.13963134790305</v>
      </c>
      <c r="AC127">
        <v>2.3694849818656798</v>
      </c>
      <c r="AJ127">
        <v>0.78361804360179199</v>
      </c>
      <c r="AK127">
        <v>8.2720165419807007E-2</v>
      </c>
      <c r="AL127">
        <v>0.1336617909784</v>
      </c>
    </row>
    <row r="128" spans="1:38" x14ac:dyDescent="0.2">
      <c r="A128">
        <v>219</v>
      </c>
      <c r="B128">
        <v>780</v>
      </c>
      <c r="C128">
        <v>120</v>
      </c>
      <c r="D128">
        <v>0.48129943502824801</v>
      </c>
      <c r="E128">
        <v>6.4287396469876903</v>
      </c>
      <c r="F128">
        <v>2.5547653193519002</v>
      </c>
      <c r="G128">
        <v>-104.53426394231823</v>
      </c>
      <c r="H128">
        <v>-90.075001723046057</v>
      </c>
      <c r="I128">
        <v>13.729537311182799</v>
      </c>
      <c r="J128">
        <v>7.8048643418813404</v>
      </c>
      <c r="K128">
        <v>2.5163718946280902</v>
      </c>
      <c r="L128">
        <v>3.0851628435729616E-5</v>
      </c>
      <c r="M128">
        <v>1.8301379744923055E-6</v>
      </c>
      <c r="N128" s="1">
        <v>-4.0866838255850199E-8</v>
      </c>
      <c r="O128" s="1">
        <v>2.2956966929067099E-11</v>
      </c>
      <c r="P128" s="1">
        <v>1.7247596086116499E-10</v>
      </c>
      <c r="Q128">
        <v>66.049447303647497</v>
      </c>
      <c r="S128">
        <v>20.674975657864799</v>
      </c>
      <c r="AA128">
        <v>1.64533103803762</v>
      </c>
      <c r="AB128">
        <v>9.0547113602994305</v>
      </c>
      <c r="AC128">
        <v>2.5755346401506398</v>
      </c>
      <c r="AJ128">
        <v>0.77666615493176905</v>
      </c>
      <c r="AK128">
        <v>7.7987293771238905E-2</v>
      </c>
      <c r="AL128">
        <v>0.14534655129699101</v>
      </c>
    </row>
    <row r="129" spans="1:38" x14ac:dyDescent="0.2">
      <c r="A129">
        <v>220</v>
      </c>
      <c r="B129">
        <v>779</v>
      </c>
      <c r="C129">
        <v>120</v>
      </c>
      <c r="D129">
        <v>0.48073991351043299</v>
      </c>
      <c r="E129">
        <v>8.0680829503078506</v>
      </c>
      <c r="F129">
        <v>2.5525852868363401</v>
      </c>
      <c r="G129">
        <v>-131.0671889270422</v>
      </c>
      <c r="H129">
        <v>-112.95003575983311</v>
      </c>
      <c r="I129">
        <v>17.2191732806244</v>
      </c>
      <c r="J129">
        <v>9.7901092628239805</v>
      </c>
      <c r="K129">
        <v>3.1607496101755599</v>
      </c>
      <c r="L129">
        <v>3.0816590407124101E-5</v>
      </c>
      <c r="M129">
        <v>1.8308567673668511E-6</v>
      </c>
      <c r="N129" s="1">
        <v>-5.19674756947827E-8</v>
      </c>
      <c r="O129" s="1">
        <v>2.8902537041054602E-11</v>
      </c>
      <c r="P129" s="1">
        <v>2.1832588196041E-10</v>
      </c>
      <c r="Q129">
        <v>66.128769792350198</v>
      </c>
      <c r="S129">
        <v>20.5620564432243</v>
      </c>
      <c r="AA129">
        <v>1.5336627114280601</v>
      </c>
      <c r="AB129">
        <v>8.9354448715921695</v>
      </c>
      <c r="AC129">
        <v>2.84006618140518</v>
      </c>
      <c r="AJ129">
        <v>0.76689208199348402</v>
      </c>
      <c r="AK129">
        <v>7.2737559074119107E-2</v>
      </c>
      <c r="AL129">
        <v>0.16037035893239601</v>
      </c>
    </row>
    <row r="130" spans="1:38" x14ac:dyDescent="0.2">
      <c r="A130">
        <v>221</v>
      </c>
      <c r="B130">
        <v>778</v>
      </c>
      <c r="C130">
        <v>120</v>
      </c>
      <c r="D130">
        <v>0.48017932740332298</v>
      </c>
      <c r="E130">
        <v>10.095895252694</v>
      </c>
      <c r="F130">
        <v>2.5496786255536898</v>
      </c>
      <c r="G130">
        <v>-163.79899099691661</v>
      </c>
      <c r="H130">
        <v>-141.16839376092716</v>
      </c>
      <c r="I130">
        <v>21.529369962412002</v>
      </c>
      <c r="J130">
        <v>12.2403648543086</v>
      </c>
      <c r="K130">
        <v>3.9596736433799</v>
      </c>
      <c r="L130">
        <v>3.0740593747983492E-5</v>
      </c>
      <c r="M130">
        <v>1.831100976657153E-6</v>
      </c>
      <c r="N130" s="1">
        <v>-6.5204780365953904E-8</v>
      </c>
      <c r="O130" s="1">
        <v>3.6322030927081101E-11</v>
      </c>
      <c r="P130" s="1">
        <v>2.7350104689525301E-10</v>
      </c>
      <c r="Q130">
        <v>66.211100426158595</v>
      </c>
      <c r="S130">
        <v>20.421660127636599</v>
      </c>
      <c r="AA130">
        <v>1.3986235856575799</v>
      </c>
      <c r="AB130">
        <v>8.7508470805624601</v>
      </c>
      <c r="AC130">
        <v>3.2177687799847101</v>
      </c>
      <c r="AJ130">
        <v>0.75174044542837404</v>
      </c>
      <c r="AK130">
        <v>6.6394095725119298E-2</v>
      </c>
      <c r="AL130">
        <v>0.18186545884650601</v>
      </c>
    </row>
    <row r="131" spans="1:38" x14ac:dyDescent="0.2">
      <c r="A131">
        <v>222</v>
      </c>
      <c r="B131">
        <v>777</v>
      </c>
      <c r="C131">
        <v>120</v>
      </c>
      <c r="D131">
        <v>0.47961767366567098</v>
      </c>
      <c r="E131">
        <v>11.181618560075901</v>
      </c>
      <c r="F131">
        <v>2.5485823548815798</v>
      </c>
      <c r="G131">
        <v>-181.27613506470436</v>
      </c>
      <c r="H131">
        <v>-156.25586139186794</v>
      </c>
      <c r="I131">
        <v>23.8254284367342</v>
      </c>
      <c r="J131">
        <v>13.549285100529</v>
      </c>
      <c r="K131">
        <v>4.3873875759433503</v>
      </c>
      <c r="L131">
        <v>3.0671992638773755E-5</v>
      </c>
      <c r="M131">
        <v>1.8299790747153231E-6</v>
      </c>
      <c r="N131" s="1">
        <v>-7.3000313898368096E-8</v>
      </c>
      <c r="O131" s="1">
        <v>4.02821831825129E-11</v>
      </c>
      <c r="P131" s="1">
        <v>3.0508792440924998E-10</v>
      </c>
      <c r="Q131">
        <v>66.199412404028905</v>
      </c>
      <c r="S131">
        <v>20.3820490462736</v>
      </c>
      <c r="AA131">
        <v>1.36867127812658</v>
      </c>
      <c r="AB131">
        <v>8.6209553503484102</v>
      </c>
      <c r="AC131">
        <v>3.42891192122236</v>
      </c>
      <c r="AJ131">
        <v>0.74106126428013896</v>
      </c>
      <c r="AK131">
        <v>6.5014265601259905E-2</v>
      </c>
      <c r="AL131">
        <v>0.19392447011860001</v>
      </c>
    </row>
    <row r="132" spans="1:38" x14ac:dyDescent="0.2">
      <c r="A132">
        <v>223</v>
      </c>
      <c r="B132">
        <v>776</v>
      </c>
      <c r="C132">
        <v>120</v>
      </c>
      <c r="D132">
        <v>0.47905494924462999</v>
      </c>
      <c r="E132">
        <v>11.027547574643901</v>
      </c>
      <c r="F132">
        <v>2.5509116473034501</v>
      </c>
      <c r="G132">
        <v>-178.86786389188757</v>
      </c>
      <c r="H132">
        <v>-154.22778140726743</v>
      </c>
      <c r="I132">
        <v>23.4857575033313</v>
      </c>
      <c r="J132">
        <v>13.3688138217037</v>
      </c>
      <c r="K132">
        <v>4.3229829564269897</v>
      </c>
      <c r="L132">
        <v>3.0694238675289413E-5</v>
      </c>
      <c r="M132">
        <v>1.8282704136492682E-6</v>
      </c>
      <c r="N132" s="1">
        <v>-7.5011327066435604E-8</v>
      </c>
      <c r="O132" s="1">
        <v>3.95616250240193E-11</v>
      </c>
      <c r="P132" s="1">
        <v>3.0985347763595298E-10</v>
      </c>
      <c r="Q132">
        <v>66.077737612376794</v>
      </c>
      <c r="S132">
        <v>20.5090318987499</v>
      </c>
      <c r="AA132">
        <v>1.5018245808509501</v>
      </c>
      <c r="AB132">
        <v>8.6827116577570198</v>
      </c>
      <c r="AC132">
        <v>3.2286942502652098</v>
      </c>
      <c r="AJ132">
        <v>0.74613843803410196</v>
      </c>
      <c r="AK132">
        <v>7.1317158863894295E-2</v>
      </c>
      <c r="AL132">
        <v>0.18254440310200301</v>
      </c>
    </row>
    <row r="133" spans="1:38" x14ac:dyDescent="0.2">
      <c r="A133">
        <v>224</v>
      </c>
      <c r="B133">
        <v>775</v>
      </c>
      <c r="C133">
        <v>120</v>
      </c>
      <c r="D133">
        <v>0.478491151075708</v>
      </c>
      <c r="E133">
        <v>11.368480431607299</v>
      </c>
      <c r="F133">
        <v>2.5526183753602401</v>
      </c>
      <c r="G133">
        <v>-184.45428217757473</v>
      </c>
      <c r="H133">
        <v>-159.09012396449413</v>
      </c>
      <c r="I133">
        <v>24.198977448915301</v>
      </c>
      <c r="J133">
        <v>13.786844031405201</v>
      </c>
      <c r="K133">
        <v>4.4536545459925598</v>
      </c>
      <c r="L133">
        <v>3.0709531302431677E-5</v>
      </c>
      <c r="M133">
        <v>1.8268811096890609E-6</v>
      </c>
      <c r="N133" s="1">
        <v>-8.0250038596877806E-8</v>
      </c>
      <c r="O133" s="1">
        <v>4.0653686512282503E-11</v>
      </c>
      <c r="P133" s="1">
        <v>3.2807244496371502E-10</v>
      </c>
      <c r="Q133">
        <v>65.983334673563704</v>
      </c>
      <c r="S133">
        <v>20.603613009775</v>
      </c>
      <c r="AA133">
        <v>1.6018826010810401</v>
      </c>
      <c r="AB133">
        <v>8.7202964492309398</v>
      </c>
      <c r="AC133">
        <v>3.09087326634923</v>
      </c>
      <c r="AJ133">
        <v>0.74922655087521495</v>
      </c>
      <c r="AK133">
        <v>7.6054231944734305E-2</v>
      </c>
      <c r="AL133">
        <v>0.17471921718004901</v>
      </c>
    </row>
    <row r="134" spans="1:38" x14ac:dyDescent="0.2">
      <c r="A134">
        <v>225</v>
      </c>
      <c r="B134">
        <v>774</v>
      </c>
      <c r="C134">
        <v>120</v>
      </c>
      <c r="D134">
        <v>0.47792627608270499</v>
      </c>
      <c r="E134">
        <v>13.2563252710217</v>
      </c>
      <c r="F134">
        <v>2.5560049939577101</v>
      </c>
      <c r="G134">
        <v>-215.22779917686233</v>
      </c>
      <c r="H134">
        <v>-185.69846521354563</v>
      </c>
      <c r="I134">
        <v>28.199717292953899</v>
      </c>
      <c r="J134">
        <v>16.082854871535201</v>
      </c>
      <c r="K134">
        <v>5.1863456066631901</v>
      </c>
      <c r="L134">
        <v>3.069324722546437E-5</v>
      </c>
      <c r="M134">
        <v>1.8231176017917386E-6</v>
      </c>
      <c r="N134" s="1">
        <v>-9.7158640470741202E-8</v>
      </c>
      <c r="O134" s="1">
        <v>4.7115873776682403E-11</v>
      </c>
      <c r="P134" s="1">
        <v>3.9325180435853698E-10</v>
      </c>
      <c r="Q134">
        <v>65.764290203982895</v>
      </c>
      <c r="S134">
        <v>20.806764576969002</v>
      </c>
      <c r="AA134">
        <v>1.8205957565686799</v>
      </c>
      <c r="AB134">
        <v>8.7647558383700694</v>
      </c>
      <c r="AC134">
        <v>2.8435936241092201</v>
      </c>
      <c r="AJ134">
        <v>0.75287637703239996</v>
      </c>
      <c r="AK134">
        <v>8.6418786700345099E-2</v>
      </c>
      <c r="AL134">
        <v>0.16070483626725399</v>
      </c>
    </row>
    <row r="135" spans="1:38" x14ac:dyDescent="0.2">
      <c r="A135">
        <v>226</v>
      </c>
      <c r="B135">
        <v>773</v>
      </c>
      <c r="C135">
        <v>120</v>
      </c>
      <c r="D135">
        <v>0.47736032117765198</v>
      </c>
      <c r="E135">
        <v>14.340899848041801</v>
      </c>
      <c r="F135">
        <v>2.5575198633835101</v>
      </c>
      <c r="G135">
        <v>-232.88466719542987</v>
      </c>
      <c r="H135">
        <v>-200.98913583638796</v>
      </c>
      <c r="I135">
        <v>30.488487653818201</v>
      </c>
      <c r="J135">
        <v>17.402866032847001</v>
      </c>
      <c r="K135">
        <v>5.60734641922559</v>
      </c>
      <c r="L135">
        <v>3.069387676721549E-5</v>
      </c>
      <c r="M135">
        <v>1.8214323123240908E-6</v>
      </c>
      <c r="N135" s="1">
        <v>-1.0867026489996E-7</v>
      </c>
      <c r="O135" s="1">
        <v>5.0816612482766201E-11</v>
      </c>
      <c r="P135" s="1">
        <v>4.3593240402464898E-10</v>
      </c>
      <c r="Q135">
        <v>65.665003482294694</v>
      </c>
      <c r="S135">
        <v>20.897056231824699</v>
      </c>
      <c r="AA135">
        <v>1.91825449550676</v>
      </c>
      <c r="AB135">
        <v>8.7802120145495497</v>
      </c>
      <c r="AC135">
        <v>2.7394737758241199</v>
      </c>
      <c r="AJ135">
        <v>0.75414449208072598</v>
      </c>
      <c r="AK135">
        <v>9.1047196071845499E-2</v>
      </c>
      <c r="AL135">
        <v>0.15480831184742799</v>
      </c>
    </row>
    <row r="136" spans="1:38" x14ac:dyDescent="0.2">
      <c r="A136">
        <v>227</v>
      </c>
      <c r="B136">
        <v>772</v>
      </c>
      <c r="C136">
        <v>120</v>
      </c>
      <c r="D136">
        <v>0.47679328326077502</v>
      </c>
      <c r="E136">
        <v>15.272681228227301</v>
      </c>
      <c r="F136">
        <v>2.5586941279205502</v>
      </c>
      <c r="G136">
        <v>-248.04642001270403</v>
      </c>
      <c r="H136">
        <v>-214.13131673133216</v>
      </c>
      <c r="I136">
        <v>32.449986395609997</v>
      </c>
      <c r="J136">
        <v>18.5375870070547</v>
      </c>
      <c r="K136">
        <v>5.9689358964681496</v>
      </c>
      <c r="L136">
        <v>3.0698230009259905E-5</v>
      </c>
      <c r="M136">
        <v>1.8201296083199997E-6</v>
      </c>
      <c r="N136" s="1">
        <v>-1.1955850548103501E-7</v>
      </c>
      <c r="O136" s="1">
        <v>5.3984187198487E-11</v>
      </c>
      <c r="P136" s="1">
        <v>4.7550696356130996E-10</v>
      </c>
      <c r="Q136">
        <v>65.587609644102599</v>
      </c>
      <c r="S136">
        <v>20.966776602821501</v>
      </c>
      <c r="AA136">
        <v>1.9938333095591301</v>
      </c>
      <c r="AB136">
        <v>8.7905250126648795</v>
      </c>
      <c r="AC136">
        <v>2.6612554308517602</v>
      </c>
      <c r="AJ136">
        <v>0.75499035044871998</v>
      </c>
      <c r="AK136">
        <v>9.4629430064096007E-2</v>
      </c>
      <c r="AL136">
        <v>0.150380219487183</v>
      </c>
    </row>
    <row r="137" spans="1:38" x14ac:dyDescent="0.2">
      <c r="A137">
        <v>228</v>
      </c>
      <c r="B137">
        <v>771</v>
      </c>
      <c r="C137">
        <v>120</v>
      </c>
      <c r="D137">
        <v>0.47622515922041903</v>
      </c>
      <c r="E137">
        <v>15.7786061659488</v>
      </c>
      <c r="F137">
        <v>2.5593084367472398</v>
      </c>
      <c r="G137">
        <v>-256.26396787127106</v>
      </c>
      <c r="H137">
        <v>-221.2787901743323</v>
      </c>
      <c r="I137">
        <v>33.505892541242901</v>
      </c>
      <c r="J137">
        <v>19.155542023705198</v>
      </c>
      <c r="K137">
        <v>6.1651835079333699</v>
      </c>
      <c r="L137">
        <v>3.0714185424353502E-5</v>
      </c>
      <c r="M137">
        <v>1.8196272768212816E-6</v>
      </c>
      <c r="N137" s="1">
        <v>-1.2756813293663601E-7</v>
      </c>
      <c r="O137" s="1">
        <v>5.56866066575686E-11</v>
      </c>
      <c r="P137" s="1">
        <v>5.0310512834104198E-10</v>
      </c>
      <c r="Q137">
        <v>65.551953570024395</v>
      </c>
      <c r="S137">
        <v>21.000172851665202</v>
      </c>
      <c r="AA137">
        <v>2.0297054142418198</v>
      </c>
      <c r="AB137">
        <v>8.7986199715362705</v>
      </c>
      <c r="AC137">
        <v>2.61954819253216</v>
      </c>
      <c r="AJ137">
        <v>0.75565460612007596</v>
      </c>
      <c r="AK137">
        <v>9.6328006867415203E-2</v>
      </c>
      <c r="AL137">
        <v>0.14801738701250799</v>
      </c>
    </row>
    <row r="138" spans="1:38" x14ac:dyDescent="0.2">
      <c r="A138">
        <v>230</v>
      </c>
      <c r="B138">
        <v>803</v>
      </c>
      <c r="C138">
        <v>105</v>
      </c>
      <c r="D138">
        <v>0.50921386423825798</v>
      </c>
      <c r="E138">
        <v>6.5751358644567997E-3</v>
      </c>
      <c r="F138">
        <v>2.5600155699279701</v>
      </c>
      <c r="G138">
        <v>-0.1075027181540175</v>
      </c>
      <c r="H138">
        <v>-9.2208550404656475E-2</v>
      </c>
      <c r="I138">
        <v>1.4211929330819099E-2</v>
      </c>
      <c r="J138">
        <v>7.9787269869312401E-3</v>
      </c>
      <c r="K138">
        <v>2.5683968260559399E-3</v>
      </c>
      <c r="L138">
        <v>3.0512096723228217E-5</v>
      </c>
      <c r="M138">
        <v>1.8204709163060833E-6</v>
      </c>
      <c r="N138" s="1">
        <v>-1.96220134323511E-11</v>
      </c>
      <c r="O138" s="1">
        <v>2.3380065126691299E-14</v>
      </c>
      <c r="P138" s="1">
        <v>1.1119230384427E-13</v>
      </c>
      <c r="Q138">
        <v>65.576176054820806</v>
      </c>
      <c r="S138">
        <v>21.1430141584684</v>
      </c>
      <c r="AA138">
        <v>2.1418989692478401</v>
      </c>
      <c r="AB138">
        <v>9.22707553656846</v>
      </c>
      <c r="AC138">
        <v>1.9118352808944401</v>
      </c>
      <c r="AJ138">
        <v>0.79076546537365699</v>
      </c>
      <c r="AK138">
        <v>0.101436297931907</v>
      </c>
      <c r="AL138">
        <v>0.107798236694435</v>
      </c>
    </row>
    <row r="139" spans="1:38" x14ac:dyDescent="0.2">
      <c r="A139">
        <v>231</v>
      </c>
      <c r="B139">
        <v>802</v>
      </c>
      <c r="C139">
        <v>105</v>
      </c>
      <c r="D139">
        <v>0.50869227549644302</v>
      </c>
      <c r="E139">
        <v>0.39414212435173801</v>
      </c>
      <c r="F139">
        <v>2.55960861647872</v>
      </c>
      <c r="G139">
        <v>-6.4426580169005101</v>
      </c>
      <c r="H139">
        <v>-5.5271498537077113</v>
      </c>
      <c r="I139">
        <v>0.85151668436292405</v>
      </c>
      <c r="J139">
        <v>0.47828101812768897</v>
      </c>
      <c r="K139">
        <v>0.153985309243865</v>
      </c>
      <c r="L139">
        <v>3.0531420047652256E-5</v>
      </c>
      <c r="M139">
        <v>1.8213129177880686E-6</v>
      </c>
      <c r="N139" s="1">
        <v>-1.22000553227774E-9</v>
      </c>
      <c r="O139" s="1">
        <v>1.40229639640163E-12</v>
      </c>
      <c r="P139" s="1">
        <v>6.7945799370885902E-12</v>
      </c>
      <c r="Q139">
        <v>65.613995565531596</v>
      </c>
      <c r="S139">
        <v>21.110368128528702</v>
      </c>
      <c r="AA139">
        <v>2.1061409944804201</v>
      </c>
      <c r="AB139">
        <v>9.2257684766261399</v>
      </c>
      <c r="AC139">
        <v>1.9437268348329899</v>
      </c>
      <c r="AJ139">
        <v>0.79065918245584399</v>
      </c>
      <c r="AK139">
        <v>9.9743590858764303E-2</v>
      </c>
      <c r="AL139">
        <v>0.109597226685391</v>
      </c>
    </row>
    <row r="140" spans="1:38" x14ac:dyDescent="0.2">
      <c r="A140">
        <v>232</v>
      </c>
      <c r="B140">
        <v>801</v>
      </c>
      <c r="C140">
        <v>105</v>
      </c>
      <c r="D140">
        <v>0.50816971558907198</v>
      </c>
      <c r="E140">
        <v>0.78223947365539404</v>
      </c>
      <c r="F140">
        <v>2.5592070141636301</v>
      </c>
      <c r="G140">
        <v>-12.783479933374975</v>
      </c>
      <c r="H140">
        <v>-10.969069857517463</v>
      </c>
      <c r="I140">
        <v>1.68915894042499</v>
      </c>
      <c r="J140">
        <v>0.94923002863259398</v>
      </c>
      <c r="K140">
        <v>0.30565697472935099</v>
      </c>
      <c r="L140">
        <v>3.055026032734281E-5</v>
      </c>
      <c r="M140">
        <v>1.8221275098647722E-6</v>
      </c>
      <c r="N140" s="1">
        <v>-2.5099645844191198E-9</v>
      </c>
      <c r="O140" s="1">
        <v>2.7846075986653102E-12</v>
      </c>
      <c r="P140" s="1">
        <v>1.37465876105535E-11</v>
      </c>
      <c r="Q140">
        <v>65.650722267308396</v>
      </c>
      <c r="S140">
        <v>21.0783759963095</v>
      </c>
      <c r="AA140">
        <v>2.07117748405292</v>
      </c>
      <c r="AB140">
        <v>9.2237404284551108</v>
      </c>
      <c r="AC140">
        <v>1.97598382387391</v>
      </c>
      <c r="AJ140">
        <v>0.790493922061419</v>
      </c>
      <c r="AK140">
        <v>9.8088833300652906E-2</v>
      </c>
      <c r="AL140">
        <v>0.111417244637927</v>
      </c>
    </row>
    <row r="141" spans="1:38" x14ac:dyDescent="0.2">
      <c r="A141">
        <v>233</v>
      </c>
      <c r="B141">
        <v>800</v>
      </c>
      <c r="C141">
        <v>105</v>
      </c>
      <c r="D141">
        <v>0.50764618180124099</v>
      </c>
      <c r="E141">
        <v>1.1707386863342399</v>
      </c>
      <c r="F141">
        <v>2.5588106884742601</v>
      </c>
      <c r="G141">
        <v>-19.127847798359085</v>
      </c>
      <c r="H141">
        <v>-16.416157048457027</v>
      </c>
      <c r="I141">
        <v>2.52685155840474</v>
      </c>
      <c r="J141">
        <v>1.4206700453919701</v>
      </c>
      <c r="K141">
        <v>0.45753235735947201</v>
      </c>
      <c r="L141">
        <v>3.0568631673953185E-5</v>
      </c>
      <c r="M141">
        <v>1.8229151249088538E-6</v>
      </c>
      <c r="N141" s="1">
        <v>-3.8919778236890901E-9</v>
      </c>
      <c r="O141" s="1">
        <v>4.16977806096097E-12</v>
      </c>
      <c r="P141" s="1">
        <v>2.0973320382116801E-11</v>
      </c>
      <c r="Q141">
        <v>65.686371834171894</v>
      </c>
      <c r="S141">
        <v>21.047027801386101</v>
      </c>
      <c r="AA141">
        <v>2.03699656319449</v>
      </c>
      <c r="AB141">
        <v>9.2210002082219606</v>
      </c>
      <c r="AC141">
        <v>2.00860359302539</v>
      </c>
      <c r="AJ141">
        <v>0.79027040172329399</v>
      </c>
      <c r="AK141">
        <v>9.6471442235952803E-2</v>
      </c>
      <c r="AL141">
        <v>0.113258156040752</v>
      </c>
    </row>
    <row r="142" spans="1:38" x14ac:dyDescent="0.2">
      <c r="A142">
        <v>234</v>
      </c>
      <c r="B142">
        <v>799</v>
      </c>
      <c r="C142">
        <v>105</v>
      </c>
      <c r="D142">
        <v>0.50712167140791897</v>
      </c>
      <c r="E142">
        <v>1.5595141480108701</v>
      </c>
      <c r="F142">
        <v>2.55841955702327</v>
      </c>
      <c r="G142">
        <v>-25.473690173119408</v>
      </c>
      <c r="H142">
        <v>-21.866640639400085</v>
      </c>
      <c r="I142">
        <v>3.3643142598697202</v>
      </c>
      <c r="J142">
        <v>1.89244900522506</v>
      </c>
      <c r="K142">
        <v>0.60956153330275897</v>
      </c>
      <c r="L142">
        <v>3.0586548857582804E-5</v>
      </c>
      <c r="M142">
        <v>1.8236762181130231E-6</v>
      </c>
      <c r="N142" s="1">
        <v>-5.3685824658158803E-9</v>
      </c>
      <c r="O142" s="1">
        <v>5.55728183267016E-12</v>
      </c>
      <c r="P142" s="1">
        <v>2.8481063584130299E-11</v>
      </c>
      <c r="Q142">
        <v>65.720960938094095</v>
      </c>
      <c r="S142">
        <v>21.0163128844234</v>
      </c>
      <c r="AA142">
        <v>2.00358554766775</v>
      </c>
      <c r="AB142">
        <v>9.2175570236893893</v>
      </c>
      <c r="AC142">
        <v>2.0415836061252599</v>
      </c>
      <c r="AJ142">
        <v>0.789989369855567</v>
      </c>
      <c r="AK142">
        <v>9.4890797167313204E-2</v>
      </c>
      <c r="AL142">
        <v>0.115119832977119</v>
      </c>
    </row>
    <row r="143" spans="1:38" x14ac:dyDescent="0.2">
      <c r="A143">
        <v>235</v>
      </c>
      <c r="B143">
        <v>798</v>
      </c>
      <c r="C143">
        <v>105</v>
      </c>
      <c r="D143">
        <v>0.50659618167390597</v>
      </c>
      <c r="E143">
        <v>1.94844356162421</v>
      </c>
      <c r="F143">
        <v>2.5580335303919601</v>
      </c>
      <c r="G143">
        <v>-31.818991880524109</v>
      </c>
      <c r="H143">
        <v>-27.318796635311209</v>
      </c>
      <c r="I143">
        <v>4.2012745602510302</v>
      </c>
      <c r="J143">
        <v>2.3644190288440301</v>
      </c>
      <c r="K143">
        <v>0.761695864606455</v>
      </c>
      <c r="L143">
        <v>3.0604027247485749E-5</v>
      </c>
      <c r="M143">
        <v>1.8244112646470659E-6</v>
      </c>
      <c r="N143" s="1">
        <v>-6.9423796021663104E-9</v>
      </c>
      <c r="O143" s="1">
        <v>6.9466043500495496E-12</v>
      </c>
      <c r="P143" s="1">
        <v>3.6276301422072701E-11</v>
      </c>
      <c r="Q143">
        <v>65.754507129618602</v>
      </c>
      <c r="S143">
        <v>20.986219969339398</v>
      </c>
      <c r="AA143">
        <v>1.97093103941023</v>
      </c>
      <c r="AB143">
        <v>9.2134204235883495</v>
      </c>
      <c r="AC143">
        <v>2.0749214380432899</v>
      </c>
      <c r="AJ143">
        <v>0.78965160166788895</v>
      </c>
      <c r="AK143">
        <v>9.3346244649024898E-2</v>
      </c>
      <c r="AL143">
        <v>0.117002153683085</v>
      </c>
    </row>
    <row r="144" spans="1:38" x14ac:dyDescent="0.2">
      <c r="A144">
        <v>236</v>
      </c>
      <c r="B144">
        <v>797</v>
      </c>
      <c r="C144">
        <v>105</v>
      </c>
      <c r="D144">
        <v>0.50606970985375799</v>
      </c>
      <c r="E144">
        <v>2.33740832045833</v>
      </c>
      <c r="F144">
        <v>2.55765251304812</v>
      </c>
      <c r="G144">
        <v>-38.161800028680183</v>
      </c>
      <c r="H144">
        <v>-32.770953043052756</v>
      </c>
      <c r="I144">
        <v>5.0374685657407001</v>
      </c>
      <c r="J144">
        <v>2.8364368800873501</v>
      </c>
      <c r="K144">
        <v>0.91388814881373104</v>
      </c>
      <c r="L144">
        <v>3.0621082757361602E-5</v>
      </c>
      <c r="M144">
        <v>1.8251207569018237E-6</v>
      </c>
      <c r="N144" s="1">
        <v>-8.6160397443573207E-9</v>
      </c>
      <c r="O144" s="1">
        <v>8.3372439268187908E-12</v>
      </c>
      <c r="P144" s="1">
        <v>4.4365735745938201E-11</v>
      </c>
      <c r="Q144">
        <v>65.787028719437899</v>
      </c>
      <c r="S144">
        <v>20.9567372473422</v>
      </c>
      <c r="AA144">
        <v>1.9390190234978899</v>
      </c>
      <c r="AB144">
        <v>9.2086002540317597</v>
      </c>
      <c r="AC144">
        <v>2.1086147556900801</v>
      </c>
      <c r="AJ144">
        <v>0.789257895657138</v>
      </c>
      <c r="AK144">
        <v>9.1837102869792894E-2</v>
      </c>
      <c r="AL144">
        <v>0.118905001473068</v>
      </c>
    </row>
    <row r="145" spans="1:38" x14ac:dyDescent="0.2">
      <c r="A145">
        <v>237</v>
      </c>
      <c r="B145">
        <v>796</v>
      </c>
      <c r="C145">
        <v>105</v>
      </c>
      <c r="D145">
        <v>0.50554225319178703</v>
      </c>
      <c r="E145">
        <v>2.7262938335821501</v>
      </c>
      <c r="F145">
        <v>2.55727640427174</v>
      </c>
      <c r="G145">
        <v>-44.500229251720761</v>
      </c>
      <c r="H145">
        <v>-38.221494416904015</v>
      </c>
      <c r="I145">
        <v>5.8726416637672401</v>
      </c>
      <c r="J145">
        <v>3.3083643670109999</v>
      </c>
      <c r="K145">
        <v>1.0660927497035799</v>
      </c>
      <c r="L145">
        <v>3.0637731793785378E-5</v>
      </c>
      <c r="M145">
        <v>1.825805201836342E-6</v>
      </c>
      <c r="N145" s="1">
        <v>-1.03923086297692E-8</v>
      </c>
      <c r="O145" s="1">
        <v>9.7287130561625006E-12</v>
      </c>
      <c r="P145" s="1">
        <v>5.2756305189813698E-11</v>
      </c>
      <c r="Q145">
        <v>65.818544663096702</v>
      </c>
      <c r="S145">
        <v>20.9278524596027</v>
      </c>
      <c r="AA145">
        <v>1.9078349632539899</v>
      </c>
      <c r="AB145">
        <v>9.2031066183202999</v>
      </c>
      <c r="AC145">
        <v>2.1426612957261302</v>
      </c>
      <c r="AJ145">
        <v>0.78880907037745596</v>
      </c>
      <c r="AK145">
        <v>9.0362666143062598E-2</v>
      </c>
      <c r="AL145">
        <v>0.120828263479481</v>
      </c>
    </row>
    <row r="146" spans="1:38" x14ac:dyDescent="0.2">
      <c r="A146">
        <v>238</v>
      </c>
      <c r="B146">
        <v>795</v>
      </c>
      <c r="C146">
        <v>105</v>
      </c>
      <c r="D146">
        <v>0.50501380892196901</v>
      </c>
      <c r="E146">
        <v>3.1149897851591901</v>
      </c>
      <c r="F146">
        <v>2.5569050991512099</v>
      </c>
      <c r="G146">
        <v>-50.832465868333621</v>
      </c>
      <c r="H146">
        <v>-43.668865481804552</v>
      </c>
      <c r="I146">
        <v>6.7065490675739099</v>
      </c>
      <c r="J146">
        <v>3.7800686624823299</v>
      </c>
      <c r="K146">
        <v>1.2182657018413501</v>
      </c>
      <c r="L146">
        <v>3.0653991210690254E-5</v>
      </c>
      <c r="M146">
        <v>1.8264651184526331E-6</v>
      </c>
      <c r="N146" s="1">
        <v>-1.2274013214768E-8</v>
      </c>
      <c r="O146" s="1">
        <v>1.11205394558987E-11</v>
      </c>
      <c r="P146" s="1">
        <v>6.14552043109276E-11</v>
      </c>
      <c r="Q146">
        <v>65.849074448056498</v>
      </c>
      <c r="S146">
        <v>20.899552981208</v>
      </c>
      <c r="AA146">
        <v>1.87736389586344</v>
      </c>
      <c r="AB146">
        <v>9.1969498453665608</v>
      </c>
      <c r="AC146">
        <v>2.1770588295053801</v>
      </c>
      <c r="AJ146">
        <v>0.78830596191568503</v>
      </c>
      <c r="AK146">
        <v>8.8922209415092102E-2</v>
      </c>
      <c r="AL146">
        <v>0.122771828669222</v>
      </c>
    </row>
    <row r="147" spans="1:38" x14ac:dyDescent="0.2">
      <c r="A147">
        <v>239</v>
      </c>
      <c r="B147">
        <v>794</v>
      </c>
      <c r="C147">
        <v>105</v>
      </c>
      <c r="D147">
        <v>0.50448437426791004</v>
      </c>
      <c r="E147">
        <v>3.50339034572018</v>
      </c>
      <c r="F147">
        <v>2.5565384895615799</v>
      </c>
      <c r="G147">
        <v>-57.156771254830851</v>
      </c>
      <c r="H147">
        <v>-49.111574087930222</v>
      </c>
      <c r="I147">
        <v>7.53895625441654</v>
      </c>
      <c r="J147">
        <v>4.2514225662653704</v>
      </c>
      <c r="K147">
        <v>1.37036479600233</v>
      </c>
      <c r="L147">
        <v>3.0669878268094787E-5</v>
      </c>
      <c r="M147">
        <v>1.827101035425826E-6</v>
      </c>
      <c r="N147" s="1">
        <v>-1.4264067899794E-8</v>
      </c>
      <c r="O147" s="1">
        <v>1.25122669212688E-11</v>
      </c>
      <c r="P147" s="1">
        <v>7.0469903000391494E-11</v>
      </c>
      <c r="Q147">
        <v>65.878637986353198</v>
      </c>
      <c r="S147">
        <v>20.871825901818099</v>
      </c>
      <c r="AA147">
        <v>1.84759052396208</v>
      </c>
      <c r="AB147">
        <v>9.1901404619401692</v>
      </c>
      <c r="AC147">
        <v>2.21180512592636</v>
      </c>
      <c r="AJ147">
        <v>0.78774942167965001</v>
      </c>
      <c r="AK147">
        <v>8.7514992579220199E-2</v>
      </c>
      <c r="AL147">
        <v>0.124735585741128</v>
      </c>
    </row>
    <row r="148" spans="1:38" x14ac:dyDescent="0.2">
      <c r="A148">
        <v>240</v>
      </c>
      <c r="B148">
        <v>793</v>
      </c>
      <c r="C148">
        <v>105</v>
      </c>
      <c r="D148">
        <v>0.503953946442809</v>
      </c>
      <c r="E148">
        <v>3.8913943180219399</v>
      </c>
      <c r="F148">
        <v>2.5561764651923702</v>
      </c>
      <c r="G148">
        <v>-63.471484152733254</v>
      </c>
      <c r="H148">
        <v>-54.548193255141406</v>
      </c>
      <c r="I148">
        <v>8.3696392605091692</v>
      </c>
      <c r="J148">
        <v>4.7223046876917198</v>
      </c>
      <c r="K148">
        <v>1.5223496386150599</v>
      </c>
      <c r="L148">
        <v>3.0685410597852121E-5</v>
      </c>
      <c r="M148">
        <v>1.8277134889047662E-6</v>
      </c>
      <c r="N148" s="1">
        <v>-1.6365480915302299E-8</v>
      </c>
      <c r="O148" s="1">
        <v>1.3903455921562101E-11</v>
      </c>
      <c r="P148" s="1">
        <v>7.9808165812681895E-11</v>
      </c>
      <c r="Q148">
        <v>65.907255511639093</v>
      </c>
      <c r="S148">
        <v>20.844658106025999</v>
      </c>
      <c r="AA148">
        <v>1.81849930595876</v>
      </c>
      <c r="AB148">
        <v>9.1826891739059793</v>
      </c>
      <c r="AC148">
        <v>2.2468979024700801</v>
      </c>
      <c r="AJ148">
        <v>0.78714031492209702</v>
      </c>
      <c r="AK148">
        <v>8.6140264725356297E-2</v>
      </c>
      <c r="AL148">
        <v>0.12671942035254599</v>
      </c>
    </row>
    <row r="149" spans="1:38" x14ac:dyDescent="0.2">
      <c r="A149">
        <v>241</v>
      </c>
      <c r="B149">
        <v>792</v>
      </c>
      <c r="C149">
        <v>105</v>
      </c>
      <c r="D149">
        <v>0.50342252264939402</v>
      </c>
      <c r="E149">
        <v>4.2789052289004799</v>
      </c>
      <c r="F149">
        <v>2.5558189145850401</v>
      </c>
      <c r="G149">
        <v>-69.775022099228579</v>
      </c>
      <c r="H149">
        <v>-59.977362467861759</v>
      </c>
      <c r="I149">
        <v>9.1983848578761709</v>
      </c>
      <c r="J149">
        <v>5.1925995628567803</v>
      </c>
      <c r="K149">
        <v>1.67418168966606</v>
      </c>
      <c r="L149">
        <v>3.0700606175820504E-5</v>
      </c>
      <c r="M149">
        <v>1.8283030204995189E-6</v>
      </c>
      <c r="N149" s="1">
        <v>-1.8581360894250999E-8</v>
      </c>
      <c r="O149" s="1">
        <v>1.52936839810479E-11</v>
      </c>
      <c r="P149" s="1">
        <v>8.9478071377889697E-11</v>
      </c>
      <c r="Q149">
        <v>65.934947482201594</v>
      </c>
      <c r="S149">
        <v>20.818036351318</v>
      </c>
      <c r="AA149">
        <v>1.7900745429824201</v>
      </c>
      <c r="AB149">
        <v>9.1746068544889798</v>
      </c>
      <c r="AC149">
        <v>2.2823347690089699</v>
      </c>
      <c r="AJ149">
        <v>0.78647951983953901</v>
      </c>
      <c r="AK149">
        <v>8.4797268226520894E-2</v>
      </c>
      <c r="AL149">
        <v>0.12872321193393901</v>
      </c>
    </row>
    <row r="150" spans="1:38" x14ac:dyDescent="0.2">
      <c r="A150">
        <v>242</v>
      </c>
      <c r="B150">
        <v>791</v>
      </c>
      <c r="C150">
        <v>105</v>
      </c>
      <c r="D150">
        <v>0.502890100079881</v>
      </c>
      <c r="E150">
        <v>4.6658313715256998</v>
      </c>
      <c r="F150">
        <v>2.5554657261672502</v>
      </c>
      <c r="G150">
        <v>-76.065882054609361</v>
      </c>
      <c r="H150">
        <v>-65.397788282973977</v>
      </c>
      <c r="I150">
        <v>10.024990623159599</v>
      </c>
      <c r="J150">
        <v>5.6621977118161597</v>
      </c>
      <c r="K150">
        <v>1.8258242807754701</v>
      </c>
      <c r="L150">
        <v>3.0715483301103598E-5</v>
      </c>
      <c r="M150">
        <v>1.8288701754821202E-6</v>
      </c>
      <c r="N150" s="1">
        <v>-2.0914923640029101E-8</v>
      </c>
      <c r="O150" s="1">
        <v>1.6682545859920201E-11</v>
      </c>
      <c r="P150" s="1">
        <v>9.9488031954440596E-11</v>
      </c>
      <c r="Q150">
        <v>65.961734491201398</v>
      </c>
      <c r="S150">
        <v>20.791947342700102</v>
      </c>
      <c r="AA150">
        <v>1.76230046139435</v>
      </c>
      <c r="AB150">
        <v>9.1659045398887002</v>
      </c>
      <c r="AC150">
        <v>2.3181131648153999</v>
      </c>
      <c r="AJ150">
        <v>0.785767927272504</v>
      </c>
      <c r="AK150">
        <v>8.3485242612744606E-2</v>
      </c>
      <c r="AL150">
        <v>0.13074683011475</v>
      </c>
    </row>
    <row r="151" spans="1:38" x14ac:dyDescent="0.2">
      <c r="A151">
        <v>243</v>
      </c>
      <c r="B151">
        <v>790</v>
      </c>
      <c r="C151">
        <v>105</v>
      </c>
      <c r="D151">
        <v>0.50235667591591204</v>
      </c>
      <c r="E151">
        <v>5.05208578636213</v>
      </c>
      <c r="F151">
        <v>2.5551167893083302</v>
      </c>
      <c r="G151">
        <v>-82.342640038876667</v>
      </c>
      <c r="H151">
        <v>-70.808244088280205</v>
      </c>
      <c r="I151">
        <v>10.849264873815001</v>
      </c>
      <c r="J151">
        <v>6.1309956217446802</v>
      </c>
      <c r="K151">
        <v>1.97724260883187</v>
      </c>
      <c r="L151">
        <v>3.0730060582628167E-5</v>
      </c>
      <c r="M151">
        <v>1.8294155011823827E-6</v>
      </c>
      <c r="N151" s="1">
        <v>-2.3369499031725499E-8</v>
      </c>
      <c r="O151" s="1">
        <v>1.8069653492622999E-11</v>
      </c>
      <c r="P151" s="1">
        <v>1.09846812852721E-10</v>
      </c>
      <c r="Q151">
        <v>65.987637182879993</v>
      </c>
      <c r="S151">
        <v>20.766377805394999</v>
      </c>
      <c r="AA151">
        <v>1.7351612923158399</v>
      </c>
      <c r="AB151">
        <v>9.1565934331360204</v>
      </c>
      <c r="AC151">
        <v>2.3542302862729398</v>
      </c>
      <c r="AJ151">
        <v>0.78500644108048301</v>
      </c>
      <c r="AK151">
        <v>8.2203428301267603E-2</v>
      </c>
      <c r="AL151">
        <v>0.13279013061824901</v>
      </c>
    </row>
    <row r="152" spans="1:38" x14ac:dyDescent="0.2">
      <c r="A152">
        <v>244</v>
      </c>
      <c r="B152">
        <v>789</v>
      </c>
      <c r="C152">
        <v>105</v>
      </c>
      <c r="D152">
        <v>0.50182224732853298</v>
      </c>
      <c r="E152">
        <v>5.4375861991946897</v>
      </c>
      <c r="F152">
        <v>2.55477199536797</v>
      </c>
      <c r="G152">
        <v>-88.60395007891556</v>
      </c>
      <c r="H152">
        <v>-76.207569269439801</v>
      </c>
      <c r="I152">
        <v>11.671026511769201</v>
      </c>
      <c r="J152">
        <v>6.5988956784686703</v>
      </c>
      <c r="K152">
        <v>2.1284037123678701</v>
      </c>
      <c r="L152">
        <v>3.0744356933541103E-5</v>
      </c>
      <c r="M152">
        <v>1.8299395456129442E-6</v>
      </c>
      <c r="N152" s="1">
        <v>-2.5948538136079901E-8</v>
      </c>
      <c r="O152" s="1">
        <v>1.94546357496855E-11</v>
      </c>
      <c r="P152" s="1">
        <v>1.2056355207825101E-10</v>
      </c>
      <c r="Q152">
        <v>66.0126761766344</v>
      </c>
      <c r="S152">
        <v>20.7413145538724</v>
      </c>
      <c r="AA152">
        <v>1.7086413462948999</v>
      </c>
      <c r="AB152">
        <v>9.1466849158688603</v>
      </c>
      <c r="AC152">
        <v>2.3906830073292999</v>
      </c>
      <c r="AJ152">
        <v>0.78419597916548001</v>
      </c>
      <c r="AK152">
        <v>8.0951070094861396E-2</v>
      </c>
      <c r="AL152">
        <v>0.134852950739658</v>
      </c>
    </row>
    <row r="153" spans="1:38" x14ac:dyDescent="0.2">
      <c r="A153">
        <v>245</v>
      </c>
      <c r="B153">
        <v>788</v>
      </c>
      <c r="C153">
        <v>105</v>
      </c>
      <c r="D153">
        <v>0.50128681147811704</v>
      </c>
      <c r="E153">
        <v>6.55447232387995</v>
      </c>
      <c r="F153">
        <v>2.5534812841410099</v>
      </c>
      <c r="G153">
        <v>-106.74062525767091</v>
      </c>
      <c r="H153">
        <v>-91.820507567515449</v>
      </c>
      <c r="I153">
        <v>14.0603285964806</v>
      </c>
      <c r="J153">
        <v>7.9523968814427404</v>
      </c>
      <c r="K153">
        <v>2.5668769787301802</v>
      </c>
      <c r="L153">
        <v>3.0737984353145362E-5</v>
      </c>
      <c r="M153">
        <v>1.8307187227449291E-6</v>
      </c>
      <c r="N153" s="1">
        <v>-3.1998782043185099E-8</v>
      </c>
      <c r="O153" s="1">
        <v>2.3493498942870201E-11</v>
      </c>
      <c r="P153" s="1">
        <v>1.4739786205725501E-10</v>
      </c>
      <c r="Q153">
        <v>66.070957628289904</v>
      </c>
      <c r="S153">
        <v>20.668814073053799</v>
      </c>
      <c r="AA153">
        <v>1.63522852728868</v>
      </c>
      <c r="AB153">
        <v>9.0864925697849195</v>
      </c>
      <c r="AC153">
        <v>2.53850720158262</v>
      </c>
      <c r="AJ153">
        <v>0.77926937931305496</v>
      </c>
      <c r="AK153">
        <v>7.74962309306792E-2</v>
      </c>
      <c r="AL153">
        <v>0.14323438975626501</v>
      </c>
    </row>
    <row r="154" spans="1:38" x14ac:dyDescent="0.2">
      <c r="A154">
        <v>246</v>
      </c>
      <c r="B154">
        <v>787</v>
      </c>
      <c r="C154">
        <v>105</v>
      </c>
      <c r="D154">
        <v>0.50075036551431296</v>
      </c>
      <c r="E154">
        <v>8.0816252691284998</v>
      </c>
      <c r="F154">
        <v>2.55159275873303</v>
      </c>
      <c r="G154">
        <v>-131.50113407101364</v>
      </c>
      <c r="H154">
        <v>-113.13369525455398</v>
      </c>
      <c r="I154">
        <v>17.325320772022501</v>
      </c>
      <c r="J154">
        <v>9.8008491899450405</v>
      </c>
      <c r="K154">
        <v>3.16728648859364</v>
      </c>
      <c r="L154">
        <v>3.0709365563785542E-5</v>
      </c>
      <c r="M154">
        <v>1.8313955960474879E-6</v>
      </c>
      <c r="N154" s="1">
        <v>-4.0078702551448097E-8</v>
      </c>
      <c r="O154" s="1">
        <v>2.90468874851752E-11</v>
      </c>
      <c r="P154" s="1">
        <v>1.8348317391316101E-10</v>
      </c>
      <c r="Q154">
        <v>66.141326419787106</v>
      </c>
      <c r="S154">
        <v>20.569992957949999</v>
      </c>
      <c r="AA154">
        <v>1.53728049998788</v>
      </c>
      <c r="AB154">
        <v>8.9842332477466709</v>
      </c>
      <c r="AC154">
        <v>2.7671668745282099</v>
      </c>
      <c r="AJ154">
        <v>0.77089246588901905</v>
      </c>
      <c r="AK154">
        <v>7.2891467085029193E-2</v>
      </c>
      <c r="AL154">
        <v>0.15621606702595101</v>
      </c>
    </row>
    <row r="155" spans="1:38" x14ac:dyDescent="0.2">
      <c r="A155">
        <v>247</v>
      </c>
      <c r="B155">
        <v>786</v>
      </c>
      <c r="C155">
        <v>105</v>
      </c>
      <c r="D155">
        <v>0.50021290657603101</v>
      </c>
      <c r="E155">
        <v>9.8626896497726904</v>
      </c>
      <c r="F155">
        <v>2.5492592252317801</v>
      </c>
      <c r="G155">
        <v>-160.31412119906381</v>
      </c>
      <c r="H155">
        <v>-137.93638756724948</v>
      </c>
      <c r="I155">
        <v>21.128011737538898</v>
      </c>
      <c r="J155">
        <v>11.952940292130201</v>
      </c>
      <c r="K155">
        <v>3.8688453305002501</v>
      </c>
      <c r="L155">
        <v>3.0654635993764694E-5</v>
      </c>
      <c r="M155">
        <v>1.8317296684709959E-6</v>
      </c>
      <c r="N155" s="1">
        <v>-4.9325877485349599E-8</v>
      </c>
      <c r="O155" s="1">
        <v>3.55688854007246E-11</v>
      </c>
      <c r="P155" s="1">
        <v>2.24990554677657E-10</v>
      </c>
      <c r="Q155">
        <v>66.211662614870804</v>
      </c>
      <c r="S155">
        <v>20.4551252436897</v>
      </c>
      <c r="AA155">
        <v>1.4261014700064201</v>
      </c>
      <c r="AB155">
        <v>8.8398330404594407</v>
      </c>
      <c r="AC155">
        <v>3.0672776309735599</v>
      </c>
      <c r="AJ155">
        <v>0.75904843596290095</v>
      </c>
      <c r="AK155">
        <v>6.7668514877045602E-2</v>
      </c>
      <c r="AL155">
        <v>0.17328304916005299</v>
      </c>
    </row>
    <row r="156" spans="1:38" x14ac:dyDescent="0.2">
      <c r="A156">
        <v>248</v>
      </c>
      <c r="B156">
        <v>785</v>
      </c>
      <c r="C156">
        <v>105</v>
      </c>
      <c r="D156">
        <v>0.49967443179133703</v>
      </c>
      <c r="E156">
        <v>12.1956507605816</v>
      </c>
      <c r="F156">
        <v>2.5460264065110101</v>
      </c>
      <c r="G156">
        <v>-197.94213180645974</v>
      </c>
      <c r="H156">
        <v>-170.32351711820084</v>
      </c>
      <c r="I156">
        <v>26.100850246429001</v>
      </c>
      <c r="J156">
        <v>14.7643840865559</v>
      </c>
      <c r="K156">
        <v>4.7900723768588502</v>
      </c>
      <c r="L156">
        <v>3.0547907329754675E-5</v>
      </c>
      <c r="M156">
        <v>1.8314175565687336E-6</v>
      </c>
      <c r="N156" s="1">
        <v>-6.0597693189639105E-8</v>
      </c>
      <c r="O156" s="1">
        <v>4.4191576726198103E-11</v>
      </c>
      <c r="P156" s="1">
        <v>2.7678117650630501E-10</v>
      </c>
      <c r="Q156">
        <v>66.283524449785801</v>
      </c>
      <c r="S156">
        <v>20.306717501527899</v>
      </c>
      <c r="AA156">
        <v>1.2868955863860001</v>
      </c>
      <c r="AB156">
        <v>8.6109030960900697</v>
      </c>
      <c r="AC156">
        <v>3.5119593662101001</v>
      </c>
      <c r="AJ156">
        <v>0.74023549626618301</v>
      </c>
      <c r="AK156">
        <v>6.1132943427677201E-2</v>
      </c>
      <c r="AL156">
        <v>0.19863156030613799</v>
      </c>
    </row>
    <row r="157" spans="1:38" x14ac:dyDescent="0.2">
      <c r="A157">
        <v>249</v>
      </c>
      <c r="B157">
        <v>784</v>
      </c>
      <c r="C157">
        <v>105</v>
      </c>
      <c r="D157">
        <v>0.49913493827744299</v>
      </c>
      <c r="E157">
        <v>12.574667622076101</v>
      </c>
      <c r="F157">
        <v>2.5451059256038402</v>
      </c>
      <c r="G157">
        <v>-203.94259456840618</v>
      </c>
      <c r="H157">
        <v>-175.516518363286</v>
      </c>
      <c r="I157">
        <v>26.8893498605876</v>
      </c>
      <c r="J157">
        <v>15.2143361330572</v>
      </c>
      <c r="K157">
        <v>4.94072466516013</v>
      </c>
      <c r="L157">
        <v>3.0471039899916979E-5</v>
      </c>
      <c r="M157">
        <v>1.829968457742312E-6</v>
      </c>
      <c r="N157" s="1">
        <v>-6.3053319246952503E-8</v>
      </c>
      <c r="O157" s="1">
        <v>4.5615225282594498E-11</v>
      </c>
      <c r="P157" s="1">
        <v>2.8696273396361098E-10</v>
      </c>
      <c r="Q157">
        <v>66.256147036592793</v>
      </c>
      <c r="S157">
        <v>20.278879658666298</v>
      </c>
      <c r="AA157">
        <v>1.27031722608383</v>
      </c>
      <c r="AB157">
        <v>8.4769134744795291</v>
      </c>
      <c r="AC157">
        <v>3.7177426041774302</v>
      </c>
      <c r="AJ157">
        <v>0.72920356588415403</v>
      </c>
      <c r="AK157">
        <v>6.0385686944110201E-2</v>
      </c>
      <c r="AL157">
        <v>0.210410747171735</v>
      </c>
    </row>
    <row r="158" spans="1:38" x14ac:dyDescent="0.2">
      <c r="A158">
        <v>250</v>
      </c>
      <c r="B158">
        <v>783</v>
      </c>
      <c r="C158">
        <v>105</v>
      </c>
      <c r="D158">
        <v>0.498594423140655</v>
      </c>
      <c r="E158">
        <v>11.4617434330363</v>
      </c>
      <c r="F158">
        <v>2.5477477596390101</v>
      </c>
      <c r="G158">
        <v>-186.0127590380975</v>
      </c>
      <c r="H158">
        <v>-160.13718524866664</v>
      </c>
      <c r="I158">
        <v>24.499904170270099</v>
      </c>
      <c r="J158">
        <v>13.875604086869901</v>
      </c>
      <c r="K158">
        <v>4.4987748059722703</v>
      </c>
      <c r="L158">
        <v>3.0505614714254891E-5</v>
      </c>
      <c r="M158">
        <v>1.8284600033750046E-6</v>
      </c>
      <c r="N158" s="1">
        <v>-6.0298600487822005E-8</v>
      </c>
      <c r="O158" s="1">
        <v>4.1391808342566099E-11</v>
      </c>
      <c r="P158" s="1">
        <v>2.70042026931563E-10</v>
      </c>
      <c r="Q158">
        <v>66.133616459453606</v>
      </c>
      <c r="S158">
        <v>20.417405827351299</v>
      </c>
      <c r="AA158">
        <v>1.4131935687186199</v>
      </c>
      <c r="AB158">
        <v>8.5670250139900403</v>
      </c>
      <c r="AC158">
        <v>3.4687591304863901</v>
      </c>
      <c r="AJ158">
        <v>0.73662236356197597</v>
      </c>
      <c r="AK158">
        <v>6.7147107216319099E-2</v>
      </c>
      <c r="AL158">
        <v>0.196230529221704</v>
      </c>
    </row>
    <row r="159" spans="1:38" x14ac:dyDescent="0.2">
      <c r="A159">
        <v>251</v>
      </c>
      <c r="B159">
        <v>782</v>
      </c>
      <c r="C159">
        <v>105</v>
      </c>
      <c r="D159">
        <v>0.49805288347628701</v>
      </c>
      <c r="E159">
        <v>11.331443798314501</v>
      </c>
      <c r="F159">
        <v>2.5496974880150498</v>
      </c>
      <c r="G159">
        <v>-183.97240873075793</v>
      </c>
      <c r="H159">
        <v>-158.4274349978547</v>
      </c>
      <c r="I159">
        <v>24.2098030923596</v>
      </c>
      <c r="J159">
        <v>13.7231546108006</v>
      </c>
      <c r="K159">
        <v>4.4442306789642503</v>
      </c>
      <c r="L159">
        <v>3.0525548048822087E-5</v>
      </c>
      <c r="M159">
        <v>1.8271096530150376E-6</v>
      </c>
      <c r="N159" s="1">
        <v>-6.2133855273014795E-8</v>
      </c>
      <c r="O159" s="1">
        <v>4.0780293541858898E-11</v>
      </c>
      <c r="P159" s="1">
        <v>2.74497242096016E-10</v>
      </c>
      <c r="Q159">
        <v>66.0346500908622</v>
      </c>
      <c r="S159">
        <v>20.522370152858102</v>
      </c>
      <c r="AA159">
        <v>1.52288266116438</v>
      </c>
      <c r="AB159">
        <v>8.6216613935583695</v>
      </c>
      <c r="AC159">
        <v>3.2984357015568202</v>
      </c>
      <c r="AJ159">
        <v>0.741116895456713</v>
      </c>
      <c r="AK159">
        <v>7.2339080485305393E-2</v>
      </c>
      <c r="AL159">
        <v>0.18654402405798001</v>
      </c>
    </row>
    <row r="160" spans="1:38" x14ac:dyDescent="0.2">
      <c r="A160">
        <v>252</v>
      </c>
      <c r="B160">
        <v>781</v>
      </c>
      <c r="C160">
        <v>105</v>
      </c>
      <c r="D160">
        <v>0.49751031636863902</v>
      </c>
      <c r="E160">
        <v>12.401895690282499</v>
      </c>
      <c r="F160">
        <v>2.5534287689370401</v>
      </c>
      <c r="G160">
        <v>-201.51303301629309</v>
      </c>
      <c r="H160">
        <v>-173.59700330909371</v>
      </c>
      <c r="I160">
        <v>26.482027896598499</v>
      </c>
      <c r="J160">
        <v>15.026863326524101</v>
      </c>
      <c r="K160">
        <v>4.8569577664174597</v>
      </c>
      <c r="L160">
        <v>3.051722109373863E-5</v>
      </c>
      <c r="M160">
        <v>1.8234004331311346E-6</v>
      </c>
      <c r="N160" s="1">
        <v>-7.0973924237071194E-8</v>
      </c>
      <c r="O160" s="1">
        <v>4.4344860569336001E-11</v>
      </c>
      <c r="P160" s="1">
        <v>3.0939486612751698E-10</v>
      </c>
      <c r="Q160">
        <v>65.808937928802806</v>
      </c>
      <c r="S160">
        <v>20.740144734371501</v>
      </c>
      <c r="AA160">
        <v>1.7552157680798599</v>
      </c>
      <c r="AB160">
        <v>8.68959832067587</v>
      </c>
      <c r="AC160">
        <v>3.0061032480699499</v>
      </c>
      <c r="AJ160">
        <v>0.74670058871046197</v>
      </c>
      <c r="AK160">
        <v>8.3346639566567599E-2</v>
      </c>
      <c r="AL160">
        <v>0.16995277172296899</v>
      </c>
    </row>
    <row r="161" spans="1:38" x14ac:dyDescent="0.2">
      <c r="A161">
        <v>253</v>
      </c>
      <c r="B161">
        <v>780</v>
      </c>
      <c r="C161">
        <v>105</v>
      </c>
      <c r="D161">
        <v>0.49696671889094501</v>
      </c>
      <c r="E161">
        <v>13.356397909784</v>
      </c>
      <c r="F161">
        <v>2.5553430072872199</v>
      </c>
      <c r="G161">
        <v>-217.09014202253459</v>
      </c>
      <c r="H161">
        <v>-187.07183397126852</v>
      </c>
      <c r="I161">
        <v>28.50335474649</v>
      </c>
      <c r="J161">
        <v>16.1874672147678</v>
      </c>
      <c r="K161">
        <v>5.2268512961644804</v>
      </c>
      <c r="L161">
        <v>3.0512661095010151E-5</v>
      </c>
      <c r="M161">
        <v>1.8213354157993163E-6</v>
      </c>
      <c r="N161" s="1">
        <v>-7.92156312401784E-8</v>
      </c>
      <c r="O161" s="1">
        <v>4.7588496357291901E-11</v>
      </c>
      <c r="P161" s="1">
        <v>3.4149023774381702E-10</v>
      </c>
      <c r="Q161">
        <v>65.6867856221739</v>
      </c>
      <c r="S161">
        <v>20.853509800889601</v>
      </c>
      <c r="AA161">
        <v>1.87724567954563</v>
      </c>
      <c r="AB161">
        <v>8.7145897152399403</v>
      </c>
      <c r="AC161">
        <v>2.8678691821508102</v>
      </c>
      <c r="AJ161">
        <v>0.74875306406046305</v>
      </c>
      <c r="AK161">
        <v>8.91299311789574E-2</v>
      </c>
      <c r="AL161">
        <v>0.162117004760578</v>
      </c>
    </row>
    <row r="162" spans="1:38" x14ac:dyDescent="0.2">
      <c r="A162">
        <v>254</v>
      </c>
      <c r="B162">
        <v>779</v>
      </c>
      <c r="C162">
        <v>105</v>
      </c>
      <c r="D162">
        <v>0.49642208810530802</v>
      </c>
      <c r="E162">
        <v>14.1737963546594</v>
      </c>
      <c r="F162">
        <v>2.5567173340331202</v>
      </c>
      <c r="G162">
        <v>-230.41624874450594</v>
      </c>
      <c r="H162">
        <v>-198.60987706294944</v>
      </c>
      <c r="I162">
        <v>30.229883269074101</v>
      </c>
      <c r="J162">
        <v>17.181530800645199</v>
      </c>
      <c r="K162">
        <v>5.5437479012592901</v>
      </c>
      <c r="L162">
        <v>3.051202170501368E-5</v>
      </c>
      <c r="M162">
        <v>1.8198302662013205E-6</v>
      </c>
      <c r="N162" s="1">
        <v>-8.6973084212085596E-8</v>
      </c>
      <c r="O162" s="1">
        <v>5.0365476243343801E-11</v>
      </c>
      <c r="P162" s="1">
        <v>3.7101420025790999E-10</v>
      </c>
      <c r="Q162">
        <v>65.597770036699103</v>
      </c>
      <c r="S162">
        <v>20.934881583879399</v>
      </c>
      <c r="AA162">
        <v>1.9651488036421201</v>
      </c>
      <c r="AB162">
        <v>8.7295499639955096</v>
      </c>
      <c r="AC162">
        <v>2.7726496117838</v>
      </c>
      <c r="AJ162">
        <v>0.74998122003382195</v>
      </c>
      <c r="AK162">
        <v>9.3296374021472603E-2</v>
      </c>
      <c r="AL162">
        <v>0.15672240594470399</v>
      </c>
    </row>
    <row r="163" spans="1:38" x14ac:dyDescent="0.2">
      <c r="A163">
        <v>255</v>
      </c>
      <c r="B163">
        <v>778</v>
      </c>
      <c r="C163">
        <v>105</v>
      </c>
      <c r="D163">
        <v>0.49587642106264601</v>
      </c>
      <c r="E163">
        <v>14.7280941331955</v>
      </c>
      <c r="F163">
        <v>2.5575645757349901</v>
      </c>
      <c r="G163">
        <v>-239.44050436377955</v>
      </c>
      <c r="H163">
        <v>-206.44052118373489</v>
      </c>
      <c r="I163">
        <v>31.394171317171299</v>
      </c>
      <c r="J163">
        <v>17.8565101468091</v>
      </c>
      <c r="K163">
        <v>5.7586401817294997</v>
      </c>
      <c r="L163">
        <v>3.0519857977355927E-5</v>
      </c>
      <c r="M163">
        <v>1.8190089198075425E-6</v>
      </c>
      <c r="N163" s="1">
        <v>-9.3430188263211495E-8</v>
      </c>
      <c r="O163" s="1">
        <v>5.2240405898080802E-11</v>
      </c>
      <c r="P163" s="1">
        <v>3.9453403466056599E-10</v>
      </c>
      <c r="Q163">
        <v>65.545689090488807</v>
      </c>
      <c r="S163">
        <v>20.983053167575601</v>
      </c>
      <c r="AA163">
        <v>2.0170432302350698</v>
      </c>
      <c r="AB163">
        <v>8.7397784372272707</v>
      </c>
      <c r="AC163">
        <v>2.7144360744732201</v>
      </c>
      <c r="AJ163">
        <v>0.75082094719076597</v>
      </c>
      <c r="AK163">
        <v>9.5755108834495103E-2</v>
      </c>
      <c r="AL163">
        <v>0.15342394397473799</v>
      </c>
    </row>
    <row r="164" spans="1:38" x14ac:dyDescent="0.2">
      <c r="A164">
        <v>256</v>
      </c>
      <c r="B164">
        <v>777</v>
      </c>
      <c r="C164">
        <v>105</v>
      </c>
      <c r="D164">
        <v>0.49532971480264998</v>
      </c>
      <c r="E164">
        <v>15.0938527160672</v>
      </c>
      <c r="F164">
        <v>2.5580881626592298</v>
      </c>
      <c r="G164">
        <v>-245.38327832373645</v>
      </c>
      <c r="H164">
        <v>-211.61465461315692</v>
      </c>
      <c r="I164">
        <v>32.156000295747802</v>
      </c>
      <c r="J164">
        <v>18.3029496953252</v>
      </c>
      <c r="K164">
        <v>5.9004427354750097</v>
      </c>
      <c r="L164">
        <v>3.0534334405619741E-5</v>
      </c>
      <c r="M164">
        <v>1.8186442729205079E-6</v>
      </c>
      <c r="N164" s="1">
        <v>-9.8958652690796001E-8</v>
      </c>
      <c r="O164" s="1">
        <v>5.3469581331969999E-11</v>
      </c>
      <c r="P164" s="1">
        <v>4.1375850896317802E-10</v>
      </c>
      <c r="Q164">
        <v>65.517492889620499</v>
      </c>
      <c r="S164">
        <v>21.0103127659291</v>
      </c>
      <c r="AA164">
        <v>2.0461118759985499</v>
      </c>
      <c r="AB164">
        <v>8.7484092964857503</v>
      </c>
      <c r="AC164">
        <v>2.6776731719659299</v>
      </c>
      <c r="AJ164">
        <v>0.75152968475302895</v>
      </c>
      <c r="AK164">
        <v>9.7130855193872795E-2</v>
      </c>
      <c r="AL164">
        <v>0.15133946005309701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E0E10-9CFA-4EB6-8D0E-BD9B529D0FCB}">
  <sheetPr codeName="Sheet11"/>
  <dimension ref="A1:AL8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22</v>
      </c>
      <c r="B2">
        <v>736</v>
      </c>
      <c r="C2">
        <v>300</v>
      </c>
      <c r="D2">
        <v>0.25942674528068399</v>
      </c>
      <c r="E2">
        <v>4.6874777692984599</v>
      </c>
      <c r="F2">
        <v>2.5755844318564201</v>
      </c>
      <c r="G2">
        <v>-75.59332796727422</v>
      </c>
      <c r="H2">
        <v>-65.755328923650623</v>
      </c>
      <c r="I2">
        <v>9.7487975460770002</v>
      </c>
      <c r="J2">
        <v>5.7899738106504302</v>
      </c>
      <c r="K2">
        <v>1.81996664963525</v>
      </c>
      <c r="L2">
        <v>3.2711901512915208E-5</v>
      </c>
      <c r="M2">
        <v>1.8145129924232508E-6</v>
      </c>
      <c r="N2" s="1">
        <v>-1.3789079150225E-7</v>
      </c>
      <c r="O2" s="1">
        <v>1.5564974457628101E-11</v>
      </c>
      <c r="P2" s="1">
        <v>4.3693478582725798E-10</v>
      </c>
      <c r="Q2">
        <v>65.342490821655403</v>
      </c>
      <c r="S2">
        <v>21.271860264354999</v>
      </c>
      <c r="AA2">
        <v>2.30272558036024</v>
      </c>
      <c r="AB2">
        <v>9.0441073418794709</v>
      </c>
      <c r="AC2">
        <v>2.0388159917497499</v>
      </c>
      <c r="AJ2">
        <v>0.77578650458611598</v>
      </c>
      <c r="AK2">
        <v>0.109151444626401</v>
      </c>
      <c r="AL2">
        <v>0.115062050787481</v>
      </c>
    </row>
    <row r="3" spans="1:38" x14ac:dyDescent="0.2">
      <c r="A3">
        <v>23</v>
      </c>
      <c r="B3">
        <v>735</v>
      </c>
      <c r="C3">
        <v>300</v>
      </c>
      <c r="D3">
        <v>0.25862272479293502</v>
      </c>
      <c r="E3">
        <v>7.4497572947078998</v>
      </c>
      <c r="F3">
        <v>2.5761518460032899</v>
      </c>
      <c r="G3">
        <v>-120.13593190095402</v>
      </c>
      <c r="H3">
        <v>-104.52599812619414</v>
      </c>
      <c r="I3">
        <v>15.483741283300899</v>
      </c>
      <c r="J3">
        <v>9.2086331654603093</v>
      </c>
      <c r="K3">
        <v>2.89181606521589</v>
      </c>
      <c r="L3">
        <v>3.2776300088838557E-5</v>
      </c>
      <c r="M3">
        <v>1.8139956297575825E-6</v>
      </c>
      <c r="N3" s="1">
        <v>-2.2624356902853799E-7</v>
      </c>
      <c r="O3" s="1">
        <v>2.4656407809941699E-11</v>
      </c>
      <c r="P3" s="1">
        <v>7.1449537740915096E-10</v>
      </c>
      <c r="Q3">
        <v>65.301946435456799</v>
      </c>
      <c r="S3">
        <v>21.305664581497599</v>
      </c>
      <c r="AA3">
        <v>2.3400749663735501</v>
      </c>
      <c r="AB3">
        <v>9.0423787633892907</v>
      </c>
      <c r="AC3">
        <v>2.0099352532826802</v>
      </c>
      <c r="AJ3">
        <v>0.77564426650757801</v>
      </c>
      <c r="AK3">
        <v>0.110922705262053</v>
      </c>
      <c r="AL3">
        <v>0.11343302823036799</v>
      </c>
    </row>
    <row r="4" spans="1:38" x14ac:dyDescent="0.2">
      <c r="A4">
        <v>24</v>
      </c>
      <c r="B4">
        <v>734</v>
      </c>
      <c r="C4">
        <v>300</v>
      </c>
      <c r="D4">
        <v>0.25781710768008598</v>
      </c>
      <c r="E4">
        <v>15.0129902645409</v>
      </c>
      <c r="F4">
        <v>2.5768191465897399</v>
      </c>
      <c r="G4">
        <v>-242.09772478293002</v>
      </c>
      <c r="H4">
        <v>-210.69193493620469</v>
      </c>
      <c r="I4">
        <v>31.182832593680502</v>
      </c>
      <c r="J4">
        <v>18.571153568989399</v>
      </c>
      <c r="K4">
        <v>5.82617149690528</v>
      </c>
      <c r="L4">
        <v>3.2837877562511121E-5</v>
      </c>
      <c r="M4">
        <v>1.8132598113980958E-6</v>
      </c>
      <c r="N4" s="1">
        <v>-4.7055161612562999E-7</v>
      </c>
      <c r="O4" s="1">
        <v>4.9512995706532497E-11</v>
      </c>
      <c r="P4" s="1">
        <v>1.4811978692442299E-9</v>
      </c>
      <c r="Q4">
        <v>65.251198157554001</v>
      </c>
      <c r="S4">
        <v>21.3471913840221</v>
      </c>
      <c r="AA4">
        <v>2.38617642053197</v>
      </c>
      <c r="AB4">
        <v>9.0381568587676604</v>
      </c>
      <c r="AC4">
        <v>1.9772771791241099</v>
      </c>
      <c r="AJ4">
        <v>0.77529760333442899</v>
      </c>
      <c r="AK4">
        <v>0.113110235676</v>
      </c>
      <c r="AL4">
        <v>0.11159216098956901</v>
      </c>
    </row>
    <row r="5" spans="1:38" x14ac:dyDescent="0.2">
      <c r="A5">
        <v>25</v>
      </c>
      <c r="B5">
        <v>733</v>
      </c>
      <c r="C5">
        <v>300</v>
      </c>
      <c r="D5">
        <v>0.257009889181535</v>
      </c>
      <c r="E5">
        <v>16.080079303940298</v>
      </c>
      <c r="F5">
        <v>2.5774806300033699</v>
      </c>
      <c r="G5">
        <v>-259.30045869357275</v>
      </c>
      <c r="H5">
        <v>-225.71799730256737</v>
      </c>
      <c r="I5">
        <v>33.3771916622823</v>
      </c>
      <c r="J5">
        <v>19.906169165747201</v>
      </c>
      <c r="K5">
        <v>6.2386809494352402</v>
      </c>
      <c r="L5">
        <v>3.290142843419394E-5</v>
      </c>
      <c r="M5">
        <v>1.8125226478602468E-6</v>
      </c>
      <c r="N5" s="1">
        <v>-5.2011690726450597E-7</v>
      </c>
      <c r="O5" s="1">
        <v>5.2841289398676301E-11</v>
      </c>
      <c r="P5" s="1">
        <v>1.63199340027077E-9</v>
      </c>
      <c r="Q5">
        <v>65.200350424209304</v>
      </c>
      <c r="S5">
        <v>21.388589442023701</v>
      </c>
      <c r="AA5">
        <v>2.4321948657083898</v>
      </c>
      <c r="AB5">
        <v>9.0333758025212703</v>
      </c>
      <c r="AC5">
        <v>1.9454894655372601</v>
      </c>
      <c r="AJ5">
        <v>0.77490511403428997</v>
      </c>
      <c r="AK5">
        <v>0.115294238923139</v>
      </c>
      <c r="AL5">
        <v>0.10980064704256901</v>
      </c>
    </row>
    <row r="6" spans="1:38" x14ac:dyDescent="0.2">
      <c r="A6">
        <v>44</v>
      </c>
      <c r="B6">
        <v>739</v>
      </c>
      <c r="C6">
        <v>285</v>
      </c>
      <c r="D6">
        <v>0.27813120584893603</v>
      </c>
      <c r="E6">
        <v>2.01395816888015</v>
      </c>
      <c r="F6">
        <v>2.5741593806065199</v>
      </c>
      <c r="G6">
        <v>-32.49788910741411</v>
      </c>
      <c r="H6">
        <v>-28.250540552439801</v>
      </c>
      <c r="I6">
        <v>4.1963627475910803</v>
      </c>
      <c r="J6">
        <v>2.48141069945888</v>
      </c>
      <c r="K6">
        <v>0.78237508681596202</v>
      </c>
      <c r="L6">
        <v>3.2444413316430651E-5</v>
      </c>
      <c r="M6">
        <v>1.8148179480325316E-6</v>
      </c>
      <c r="N6" s="1">
        <v>-5.2980016548472502E-8</v>
      </c>
      <c r="O6" s="1">
        <v>6.7445870416244699E-12</v>
      </c>
      <c r="P6" s="1">
        <v>1.6992404412934401E-10</v>
      </c>
      <c r="Q6">
        <v>65.368014753926104</v>
      </c>
      <c r="S6">
        <v>21.244091881419699</v>
      </c>
      <c r="AA6">
        <v>2.2738607194522298</v>
      </c>
      <c r="AB6">
        <v>9.0281876304049895</v>
      </c>
      <c r="AC6">
        <v>2.0858450147969299</v>
      </c>
      <c r="AJ6">
        <v>0.77448264372008502</v>
      </c>
      <c r="AK6">
        <v>0.107791809621401</v>
      </c>
      <c r="AL6">
        <v>0.117725546658512</v>
      </c>
    </row>
    <row r="7" spans="1:38" x14ac:dyDescent="0.2">
      <c r="A7">
        <v>45</v>
      </c>
      <c r="B7">
        <v>738</v>
      </c>
      <c r="C7">
        <v>285</v>
      </c>
      <c r="D7">
        <v>0.277348069030313</v>
      </c>
      <c r="E7">
        <v>6.6043342469585502</v>
      </c>
      <c r="F7">
        <v>2.57347493944207</v>
      </c>
      <c r="G7">
        <v>-106.54491742246704</v>
      </c>
      <c r="H7">
        <v>-92.637047682984701</v>
      </c>
      <c r="I7">
        <v>13.7545069865819</v>
      </c>
      <c r="J7">
        <v>8.1436818431359406</v>
      </c>
      <c r="K7">
        <v>2.5663099126158002</v>
      </c>
      <c r="L7">
        <v>3.2554474794092077E-5</v>
      </c>
      <c r="M7">
        <v>1.8168000522095645E-6</v>
      </c>
      <c r="N7" s="1">
        <v>-1.79834366928926E-7</v>
      </c>
      <c r="O7" s="1">
        <v>2.21011583205561E-11</v>
      </c>
      <c r="P7" s="1">
        <v>5.7453576804327804E-10</v>
      </c>
      <c r="Q7">
        <v>65.445624479987998</v>
      </c>
      <c r="S7">
        <v>21.185653397817202</v>
      </c>
      <c r="AA7">
        <v>2.2075392035343602</v>
      </c>
      <c r="AB7">
        <v>9.0479326613817399</v>
      </c>
      <c r="AC7">
        <v>2.1132502572785601</v>
      </c>
      <c r="AJ7">
        <v>0.77610147619648695</v>
      </c>
      <c r="AK7">
        <v>0.104637743367266</v>
      </c>
      <c r="AL7">
        <v>0.11926078043624599</v>
      </c>
    </row>
    <row r="8" spans="1:38" x14ac:dyDescent="0.2">
      <c r="A8">
        <v>46</v>
      </c>
      <c r="B8">
        <v>737</v>
      </c>
      <c r="C8">
        <v>285</v>
      </c>
      <c r="D8">
        <v>0.27656338167599098</v>
      </c>
      <c r="E8">
        <v>13.284374594235</v>
      </c>
      <c r="F8">
        <v>2.5722703216643499</v>
      </c>
      <c r="G8">
        <v>-214.24204365942933</v>
      </c>
      <c r="H8">
        <v>-186.30628256501038</v>
      </c>
      <c r="I8">
        <v>27.6550622129574</v>
      </c>
      <c r="J8">
        <v>16.394853281284099</v>
      </c>
      <c r="K8">
        <v>5.1644551050293801</v>
      </c>
      <c r="L8">
        <v>3.2686554701319008E-5</v>
      </c>
      <c r="M8">
        <v>1.8197621638763511E-6</v>
      </c>
      <c r="N8" s="1">
        <v>-3.7473459941764497E-7</v>
      </c>
      <c r="O8" s="1">
        <v>4.4461543758955001E-11</v>
      </c>
      <c r="P8" s="1">
        <v>1.19252274154722E-9</v>
      </c>
      <c r="Q8">
        <v>65.569903542499006</v>
      </c>
      <c r="S8">
        <v>21.0900280120891</v>
      </c>
      <c r="AA8">
        <v>2.0996484609496999</v>
      </c>
      <c r="AB8">
        <v>9.0741875077758802</v>
      </c>
      <c r="AC8">
        <v>2.1662324766861798</v>
      </c>
      <c r="AJ8">
        <v>0.77825387222082398</v>
      </c>
      <c r="AK8">
        <v>9.9510960751324096E-2</v>
      </c>
      <c r="AL8">
        <v>0.122235167027851</v>
      </c>
    </row>
    <row r="9" spans="1:38" x14ac:dyDescent="0.2">
      <c r="A9">
        <v>47</v>
      </c>
      <c r="B9">
        <v>736</v>
      </c>
      <c r="C9">
        <v>285</v>
      </c>
      <c r="D9">
        <v>0.27577713917653601</v>
      </c>
      <c r="E9">
        <v>18.7141796797547</v>
      </c>
      <c r="F9">
        <v>2.5713472702800502</v>
      </c>
      <c r="G9">
        <v>-301.7261116536107</v>
      </c>
      <c r="H9">
        <v>-262.42909646388887</v>
      </c>
      <c r="I9">
        <v>38.940707714137403</v>
      </c>
      <c r="J9">
        <v>23.115689758133701</v>
      </c>
      <c r="K9">
        <v>7.2779666504231004</v>
      </c>
      <c r="L9">
        <v>3.2808014231876624E-5</v>
      </c>
      <c r="M9">
        <v>1.822133880482893E-6</v>
      </c>
      <c r="N9" s="1">
        <v>-5.4648779836494899E-7</v>
      </c>
      <c r="O9" s="1">
        <v>6.2605897276547605E-11</v>
      </c>
      <c r="P9" s="1">
        <v>1.7325898319175899E-9</v>
      </c>
      <c r="Q9">
        <v>65.666641306880607</v>
      </c>
      <c r="S9">
        <v>21.015617677319799</v>
      </c>
      <c r="AA9">
        <v>2.0156867380356398</v>
      </c>
      <c r="AB9">
        <v>9.0946860622272006</v>
      </c>
      <c r="AC9">
        <v>2.2073682155366701</v>
      </c>
      <c r="AJ9">
        <v>0.77993397452986502</v>
      </c>
      <c r="AK9">
        <v>9.5522120626409496E-2</v>
      </c>
      <c r="AL9">
        <v>0.124543904843724</v>
      </c>
    </row>
    <row r="10" spans="1:38" x14ac:dyDescent="0.2">
      <c r="A10">
        <v>48</v>
      </c>
      <c r="B10">
        <v>735</v>
      </c>
      <c r="C10">
        <v>285</v>
      </c>
      <c r="D10">
        <v>0.27498933690423</v>
      </c>
      <c r="E10">
        <v>19.977307687009901</v>
      </c>
      <c r="F10">
        <v>2.5713516141923001</v>
      </c>
      <c r="G10">
        <v>-322.05275583755025</v>
      </c>
      <c r="H10">
        <v>-280.16863473808866</v>
      </c>
      <c r="I10">
        <v>41.545525070140002</v>
      </c>
      <c r="J10">
        <v>24.6955607956865</v>
      </c>
      <c r="K10">
        <v>7.76918550413225</v>
      </c>
      <c r="L10">
        <v>3.2897125554111995E-5</v>
      </c>
      <c r="M10">
        <v>1.8227734469450209E-6</v>
      </c>
      <c r="N10" s="1">
        <v>-6.0302719567273099E-7</v>
      </c>
      <c r="O10" s="1">
        <v>6.6683716237584996E-11</v>
      </c>
      <c r="P10" s="1">
        <v>1.9051700281091899E-9</v>
      </c>
      <c r="Q10">
        <v>65.680031326448301</v>
      </c>
      <c r="S10">
        <v>21.0075644429775</v>
      </c>
      <c r="AA10">
        <v>2.0059183592319201</v>
      </c>
      <c r="AB10">
        <v>9.1034124020695995</v>
      </c>
      <c r="AC10">
        <v>2.20307346927251</v>
      </c>
      <c r="AJ10">
        <v>0.780648665939499</v>
      </c>
      <c r="AK10">
        <v>9.5055105442604093E-2</v>
      </c>
      <c r="AL10">
        <v>0.12429622861789601</v>
      </c>
    </row>
    <row r="11" spans="1:38" x14ac:dyDescent="0.2">
      <c r="A11">
        <v>65</v>
      </c>
      <c r="B11">
        <v>741</v>
      </c>
      <c r="C11">
        <v>270</v>
      </c>
      <c r="D11">
        <v>0.295962628802445</v>
      </c>
      <c r="E11">
        <v>4.59862761098519</v>
      </c>
      <c r="F11">
        <v>2.5719001305033502</v>
      </c>
      <c r="G11">
        <v>-74.229973926547217</v>
      </c>
      <c r="H11">
        <v>-64.498962753754185</v>
      </c>
      <c r="I11">
        <v>9.5952385473480497</v>
      </c>
      <c r="J11">
        <v>5.6573638882524202</v>
      </c>
      <c r="K11">
        <v>1.7880272863025899</v>
      </c>
      <c r="L11">
        <v>3.2309421635129695E-5</v>
      </c>
      <c r="M11">
        <v>1.8173934065879448E-6</v>
      </c>
      <c r="N11" s="1">
        <v>-1.12004063345003E-7</v>
      </c>
      <c r="O11" s="1">
        <v>1.5515480786214599E-11</v>
      </c>
      <c r="P11" s="1">
        <v>3.6240792039709E-10</v>
      </c>
      <c r="Q11">
        <v>65.483050130567605</v>
      </c>
      <c r="S11">
        <v>21.147810776455302</v>
      </c>
      <c r="AA11">
        <v>2.1675858895120199</v>
      </c>
      <c r="AB11">
        <v>9.0321243652385803</v>
      </c>
      <c r="AC11">
        <v>2.16942883822633</v>
      </c>
      <c r="AJ11">
        <v>0.774806975758906</v>
      </c>
      <c r="AK11">
        <v>0.10275210289466399</v>
      </c>
      <c r="AL11">
        <v>0.122440921346429</v>
      </c>
    </row>
    <row r="12" spans="1:38" x14ac:dyDescent="0.2">
      <c r="A12">
        <v>66</v>
      </c>
      <c r="B12">
        <v>740</v>
      </c>
      <c r="C12">
        <v>270</v>
      </c>
      <c r="D12">
        <v>0.295198637911468</v>
      </c>
      <c r="E12">
        <v>8.2475074946538296</v>
      </c>
      <c r="F12">
        <v>2.57159293722541</v>
      </c>
      <c r="G12">
        <v>-133.10633301382921</v>
      </c>
      <c r="H12">
        <v>-115.68036184053088</v>
      </c>
      <c r="I12">
        <v>17.199793883727299</v>
      </c>
      <c r="J12">
        <v>10.153307189812899</v>
      </c>
      <c r="K12">
        <v>3.20715902399093</v>
      </c>
      <c r="L12">
        <v>3.2397280143886003E-5</v>
      </c>
      <c r="M12">
        <v>1.8185839303275387E-6</v>
      </c>
      <c r="N12" s="1">
        <v>-2.0773166114669701E-7</v>
      </c>
      <c r="O12" s="1">
        <v>2.77917142729767E-11</v>
      </c>
      <c r="P12" s="1">
        <v>6.6946540335320103E-10</v>
      </c>
      <c r="Q12">
        <v>65.524527362613199</v>
      </c>
      <c r="S12">
        <v>21.117454165693498</v>
      </c>
      <c r="AA12">
        <v>2.1328632297388901</v>
      </c>
      <c r="AB12">
        <v>9.0449703511910897</v>
      </c>
      <c r="AC12">
        <v>2.1801848907631798</v>
      </c>
      <c r="AJ12">
        <v>0.77586003416315596</v>
      </c>
      <c r="AK12">
        <v>0.10109973821926301</v>
      </c>
      <c r="AL12">
        <v>0.12304022761758</v>
      </c>
    </row>
    <row r="13" spans="1:38" x14ac:dyDescent="0.2">
      <c r="A13">
        <v>67</v>
      </c>
      <c r="B13">
        <v>739</v>
      </c>
      <c r="C13">
        <v>270</v>
      </c>
      <c r="D13">
        <v>0.29443313738082399</v>
      </c>
      <c r="E13">
        <v>16.305815074803601</v>
      </c>
      <c r="F13">
        <v>2.57051337786611</v>
      </c>
      <c r="G13">
        <v>-263.07825423028083</v>
      </c>
      <c r="H13">
        <v>-228.67522458186346</v>
      </c>
      <c r="I13">
        <v>33.990050534424</v>
      </c>
      <c r="J13">
        <v>20.089206946306199</v>
      </c>
      <c r="K13">
        <v>6.3434079803699799</v>
      </c>
      <c r="L13">
        <v>3.2515566217606787E-5</v>
      </c>
      <c r="M13">
        <v>1.821211857374848E-6</v>
      </c>
      <c r="N13" s="1">
        <v>-4.2522091068730001E-7</v>
      </c>
      <c r="O13" s="1">
        <v>5.4949938979018E-11</v>
      </c>
      <c r="P13" s="1">
        <v>1.3648156566981199E-9</v>
      </c>
      <c r="Q13">
        <v>65.634824627276501</v>
      </c>
      <c r="S13">
        <v>21.032089721632701</v>
      </c>
      <c r="AA13">
        <v>2.0367003304778102</v>
      </c>
      <c r="AB13">
        <v>9.0669679033500898</v>
      </c>
      <c r="AC13">
        <v>2.2294174172627002</v>
      </c>
      <c r="AJ13">
        <v>0.77766360230861697</v>
      </c>
      <c r="AK13">
        <v>9.65311807879283E-2</v>
      </c>
      <c r="AL13">
        <v>0.125805216903453</v>
      </c>
    </row>
    <row r="14" spans="1:38" x14ac:dyDescent="0.2">
      <c r="A14">
        <v>68</v>
      </c>
      <c r="B14">
        <v>738</v>
      </c>
      <c r="C14">
        <v>270</v>
      </c>
      <c r="D14">
        <v>0.29366612273154402</v>
      </c>
      <c r="E14">
        <v>19.1885084598755</v>
      </c>
      <c r="F14">
        <v>2.5702374107111798</v>
      </c>
      <c r="G14">
        <v>-309.53526892612069</v>
      </c>
      <c r="H14">
        <v>-269.11165766773132</v>
      </c>
      <c r="I14">
        <v>39.977858140126898</v>
      </c>
      <c r="J14">
        <v>23.658025886626401</v>
      </c>
      <c r="K14">
        <v>7.4656560440329596</v>
      </c>
      <c r="L14">
        <v>3.2606099515610805E-5</v>
      </c>
      <c r="M14">
        <v>1.8223360357426013E-6</v>
      </c>
      <c r="N14" s="1">
        <v>-5.1743070823477098E-7</v>
      </c>
      <c r="O14" s="1">
        <v>6.45707924930726E-11</v>
      </c>
      <c r="P14" s="1">
        <v>1.6544633707101201E-9</v>
      </c>
      <c r="Q14">
        <v>65.672832006680906</v>
      </c>
      <c r="S14">
        <v>21.004276481827599</v>
      </c>
      <c r="AA14">
        <v>2.00488562046392</v>
      </c>
      <c r="AB14">
        <v>9.0787492863613402</v>
      </c>
      <c r="AC14">
        <v>2.2392566046661302</v>
      </c>
      <c r="AJ14">
        <v>0.77862906421040301</v>
      </c>
      <c r="AK14">
        <v>9.5017801820627495E-2</v>
      </c>
      <c r="AL14">
        <v>0.12635313396896899</v>
      </c>
    </row>
    <row r="15" spans="1:38" x14ac:dyDescent="0.2">
      <c r="A15">
        <v>69</v>
      </c>
      <c r="B15">
        <v>737</v>
      </c>
      <c r="C15">
        <v>270</v>
      </c>
      <c r="D15">
        <v>0.29289758946691402</v>
      </c>
      <c r="E15">
        <v>20.1245502330584</v>
      </c>
      <c r="F15">
        <v>2.5702338269433098</v>
      </c>
      <c r="G15">
        <v>-324.59545919280754</v>
      </c>
      <c r="H15">
        <v>-282.26565567732581</v>
      </c>
      <c r="I15">
        <v>41.904473113380902</v>
      </c>
      <c r="J15">
        <v>24.830325199604601</v>
      </c>
      <c r="K15">
        <v>7.82985190767325</v>
      </c>
      <c r="L15">
        <v>3.2689327936426121E-5</v>
      </c>
      <c r="M15">
        <v>1.8229694458097815E-6</v>
      </c>
      <c r="N15" s="1">
        <v>-5.6094504118679905E-7</v>
      </c>
      <c r="O15" s="1">
        <v>6.7584355755575905E-11</v>
      </c>
      <c r="P15" s="1">
        <v>1.78701207527718E-9</v>
      </c>
      <c r="Q15">
        <v>65.686803741283896</v>
      </c>
      <c r="S15">
        <v>20.995741756428401</v>
      </c>
      <c r="AA15">
        <v>1.9945842713572399</v>
      </c>
      <c r="AB15">
        <v>9.0875096555657997</v>
      </c>
      <c r="AC15">
        <v>2.2353605753644898</v>
      </c>
      <c r="AJ15">
        <v>0.77934666420042498</v>
      </c>
      <c r="AK15">
        <v>9.4525498392208002E-2</v>
      </c>
      <c r="AL15">
        <v>0.12612783740736599</v>
      </c>
    </row>
    <row r="16" spans="1:38" x14ac:dyDescent="0.2">
      <c r="A16">
        <v>83</v>
      </c>
      <c r="B16">
        <v>744</v>
      </c>
      <c r="C16">
        <v>255</v>
      </c>
      <c r="D16">
        <v>0.31446738435825899</v>
      </c>
      <c r="E16">
        <v>2.2634496757782601</v>
      </c>
      <c r="F16">
        <v>2.5700546891400302</v>
      </c>
      <c r="G16">
        <v>-36.555034394068066</v>
      </c>
      <c r="H16">
        <v>-31.742209779019888</v>
      </c>
      <c r="I16">
        <v>4.7316763653818796</v>
      </c>
      <c r="J16">
        <v>2.77884705159039</v>
      </c>
      <c r="K16">
        <v>0.88070097704249095</v>
      </c>
      <c r="L16">
        <v>3.2097220427550237E-5</v>
      </c>
      <c r="M16">
        <v>1.8185243430118362E-6</v>
      </c>
      <c r="N16" s="1">
        <v>-4.9344178962474299E-8</v>
      </c>
      <c r="O16" s="1">
        <v>7.69717887009075E-12</v>
      </c>
      <c r="P16" s="1">
        <v>1.61849607191918E-10</v>
      </c>
      <c r="Q16">
        <v>65.543441723896905</v>
      </c>
      <c r="S16">
        <v>21.091109537755301</v>
      </c>
      <c r="AA16">
        <v>2.10671523431277</v>
      </c>
      <c r="AB16">
        <v>9.0180541239888701</v>
      </c>
      <c r="AC16">
        <v>2.2406793800460698</v>
      </c>
      <c r="AJ16">
        <v>0.77365504740450397</v>
      </c>
      <c r="AK16">
        <v>9.9873702871943998E-2</v>
      </c>
      <c r="AL16">
        <v>0.126471249723551</v>
      </c>
    </row>
    <row r="17" spans="1:38" x14ac:dyDescent="0.2">
      <c r="A17">
        <v>84</v>
      </c>
      <c r="B17">
        <v>743</v>
      </c>
      <c r="C17">
        <v>255</v>
      </c>
      <c r="D17">
        <v>0.31372385966638899</v>
      </c>
      <c r="E17">
        <v>6.839940257436</v>
      </c>
      <c r="F17">
        <v>2.5699290192132</v>
      </c>
      <c r="G17">
        <v>-110.45024449877056</v>
      </c>
      <c r="H17">
        <v>-95.928475414674566</v>
      </c>
      <c r="I17">
        <v>14.290969919889699</v>
      </c>
      <c r="J17">
        <v>8.40244910301071</v>
      </c>
      <c r="K17">
        <v>2.6615288618088302</v>
      </c>
      <c r="L17">
        <v>3.2170703110473169E-5</v>
      </c>
      <c r="M17">
        <v>1.8193370579487901E-6</v>
      </c>
      <c r="N17" s="1">
        <v>-1.5412547098830099E-7</v>
      </c>
      <c r="O17" s="1">
        <v>2.3228440500005601E-11</v>
      </c>
      <c r="P17" s="1">
        <v>5.0338893175297195E-10</v>
      </c>
      <c r="Q17">
        <v>65.568035396121402</v>
      </c>
      <c r="S17">
        <v>21.074045824535201</v>
      </c>
      <c r="AA17">
        <v>2.08689889899125</v>
      </c>
      <c r="AB17">
        <v>9.0281250612406296</v>
      </c>
      <c r="AC17">
        <v>2.2428948191114202</v>
      </c>
      <c r="AJ17">
        <v>0.77448062321435596</v>
      </c>
      <c r="AK17">
        <v>9.8929357916730298E-2</v>
      </c>
      <c r="AL17">
        <v>0.126590018868913</v>
      </c>
    </row>
    <row r="18" spans="1:38" x14ac:dyDescent="0.2">
      <c r="A18">
        <v>85</v>
      </c>
      <c r="B18">
        <v>742</v>
      </c>
      <c r="C18">
        <v>255</v>
      </c>
      <c r="D18">
        <v>0.31297887011771702</v>
      </c>
      <c r="E18">
        <v>12.523863317219</v>
      </c>
      <c r="F18">
        <v>2.5695812201998298</v>
      </c>
      <c r="G18">
        <v>-202.19650356700055</v>
      </c>
      <c r="H18">
        <v>-175.6472242169535</v>
      </c>
      <c r="I18">
        <v>26.153060483718601</v>
      </c>
      <c r="J18">
        <v>15.3945535945558</v>
      </c>
      <c r="K18">
        <v>4.8738927646136299</v>
      </c>
      <c r="L18">
        <v>3.2253941417761263E-5</v>
      </c>
      <c r="M18">
        <v>1.8205603903113838E-6</v>
      </c>
      <c r="N18" s="1">
        <v>-2.9179110751605799E-7</v>
      </c>
      <c r="O18" s="1">
        <v>4.2487438144709E-11</v>
      </c>
      <c r="P18" s="1">
        <v>9.4901879309654409E-10</v>
      </c>
      <c r="Q18">
        <v>65.612200863031603</v>
      </c>
      <c r="S18">
        <v>21.041256461356699</v>
      </c>
      <c r="AA18">
        <v>2.0495419307098599</v>
      </c>
      <c r="AB18">
        <v>9.0405838577118303</v>
      </c>
      <c r="AC18">
        <v>2.2564168871898902</v>
      </c>
      <c r="AJ18">
        <v>0.77550204667814104</v>
      </c>
      <c r="AK18">
        <v>9.7152519429047096E-2</v>
      </c>
      <c r="AL18">
        <v>0.12734543389281</v>
      </c>
    </row>
    <row r="19" spans="1:38" x14ac:dyDescent="0.2">
      <c r="A19">
        <v>86</v>
      </c>
      <c r="B19">
        <v>741</v>
      </c>
      <c r="C19">
        <v>255</v>
      </c>
      <c r="D19">
        <v>0.31223241137898899</v>
      </c>
      <c r="E19">
        <v>17.829533572905898</v>
      </c>
      <c r="F19">
        <v>2.5692319965043602</v>
      </c>
      <c r="G19">
        <v>-287.80338147699757</v>
      </c>
      <c r="H19">
        <v>-250.06352318348485</v>
      </c>
      <c r="I19">
        <v>37.213290236663802</v>
      </c>
      <c r="J19">
        <v>21.930717856613899</v>
      </c>
      <c r="K19">
        <v>6.9396355008673298</v>
      </c>
      <c r="L19">
        <v>3.2339058641601073E-5</v>
      </c>
      <c r="M19">
        <v>1.8217857821141271E-6</v>
      </c>
      <c r="N19" s="1">
        <v>-4.2952858935623403E-7</v>
      </c>
      <c r="O19" s="1">
        <v>6.0421330409542202E-11</v>
      </c>
      <c r="P19" s="1">
        <v>1.39126470285765E-9</v>
      </c>
      <c r="Q19">
        <v>65.656287533567095</v>
      </c>
      <c r="S19">
        <v>21.008458722420201</v>
      </c>
      <c r="AA19">
        <v>2.0121964383992199</v>
      </c>
      <c r="AB19">
        <v>9.0528451025483196</v>
      </c>
      <c r="AC19">
        <v>2.2702122030650602</v>
      </c>
      <c r="AJ19">
        <v>0.776507161933783</v>
      </c>
      <c r="AK19">
        <v>9.5376535414628302E-2</v>
      </c>
      <c r="AL19">
        <v>0.12811630265158799</v>
      </c>
    </row>
    <row r="20" spans="1:38" x14ac:dyDescent="0.2">
      <c r="A20">
        <v>87</v>
      </c>
      <c r="B20">
        <v>740</v>
      </c>
      <c r="C20">
        <v>255</v>
      </c>
      <c r="D20">
        <v>0.31148447909983901</v>
      </c>
      <c r="E20">
        <v>19.402325823578401</v>
      </c>
      <c r="F20">
        <v>2.5692264063497601</v>
      </c>
      <c r="G20">
        <v>-313.15320014534632</v>
      </c>
      <c r="H20">
        <v>-272.1475749809477</v>
      </c>
      <c r="I20">
        <v>40.473399954990398</v>
      </c>
      <c r="J20">
        <v>23.880896573022898</v>
      </c>
      <c r="K20">
        <v>7.5518162882127502</v>
      </c>
      <c r="L20">
        <v>3.2414452884505192E-5</v>
      </c>
      <c r="M20">
        <v>1.8223964838647564E-6</v>
      </c>
      <c r="N20" s="1">
        <v>-4.8310614195172899E-7</v>
      </c>
      <c r="O20" s="1">
        <v>6.5634932425991205E-11</v>
      </c>
      <c r="P20" s="1">
        <v>1.5586276988127999E-9</v>
      </c>
      <c r="Q20">
        <v>65.670289698365593</v>
      </c>
      <c r="S20">
        <v>20.999880993623901</v>
      </c>
      <c r="AA20">
        <v>2.0018525105794298</v>
      </c>
      <c r="AB20">
        <v>9.0615605448153094</v>
      </c>
      <c r="AC20">
        <v>2.2664162526156799</v>
      </c>
      <c r="AJ20">
        <v>0.77722126657708901</v>
      </c>
      <c r="AK20">
        <v>9.4882156361886003E-2</v>
      </c>
      <c r="AL20">
        <v>0.127896577061024</v>
      </c>
    </row>
    <row r="21" spans="1:38" x14ac:dyDescent="0.2">
      <c r="A21">
        <v>99</v>
      </c>
      <c r="B21">
        <v>746</v>
      </c>
      <c r="C21">
        <v>240</v>
      </c>
      <c r="D21">
        <v>0.33214001864298798</v>
      </c>
      <c r="E21">
        <v>10.2483105116586</v>
      </c>
      <c r="F21">
        <v>2.5249286661191901</v>
      </c>
      <c r="G21">
        <v>-161.90918364253216</v>
      </c>
      <c r="H21">
        <v>-140.3616416688279</v>
      </c>
      <c r="I21">
        <v>21.142660034052099</v>
      </c>
      <c r="J21">
        <v>12.234642730313</v>
      </c>
      <c r="K21">
        <v>4.0588515030843304</v>
      </c>
      <c r="L21">
        <v>2.8986812300204155E-5</v>
      </c>
      <c r="M21">
        <v>1.7994280049845723E-6</v>
      </c>
      <c r="N21" s="1">
        <v>-1.0115671694368099E-7</v>
      </c>
      <c r="O21" s="1">
        <v>3.84306651738229E-11</v>
      </c>
      <c r="P21" s="1">
        <v>3.7476977275253401E-10</v>
      </c>
      <c r="Q21">
        <v>66.127945230206905</v>
      </c>
      <c r="S21">
        <v>19.0352720284274</v>
      </c>
      <c r="AA21">
        <v>0.274242336502313</v>
      </c>
      <c r="AB21">
        <v>4.9309435401619801</v>
      </c>
      <c r="AC21">
        <v>9.6315968647013701</v>
      </c>
      <c r="AJ21">
        <v>0.431805013752946</v>
      </c>
      <c r="AK21">
        <v>1.3270978376885701E-2</v>
      </c>
      <c r="AL21">
        <v>0.55492400787016705</v>
      </c>
    </row>
    <row r="22" spans="1:38" x14ac:dyDescent="0.2">
      <c r="A22">
        <v>100</v>
      </c>
      <c r="B22">
        <v>745</v>
      </c>
      <c r="C22">
        <v>240</v>
      </c>
      <c r="D22">
        <v>0.33141531208564601</v>
      </c>
      <c r="E22">
        <v>17.392371534009602</v>
      </c>
      <c r="F22">
        <v>2.5249298007665799</v>
      </c>
      <c r="G22">
        <v>-274.71921475680267</v>
      </c>
      <c r="H22">
        <v>-238.21069920554109</v>
      </c>
      <c r="I22">
        <v>35.857698326633098</v>
      </c>
      <c r="J22">
        <v>20.766215796083099</v>
      </c>
      <c r="K22">
        <v>6.8882594394225203</v>
      </c>
      <c r="L22">
        <v>2.9001059127950944E-5</v>
      </c>
      <c r="M22">
        <v>1.7994439344338371E-6</v>
      </c>
      <c r="N22" s="1">
        <v>-1.77136351086624E-7</v>
      </c>
      <c r="O22" s="1">
        <v>6.5185343229086601E-11</v>
      </c>
      <c r="P22" s="1">
        <v>6.5161707361165796E-10</v>
      </c>
      <c r="Q22">
        <v>66.125771429583693</v>
      </c>
      <c r="S22">
        <v>19.031256420354602</v>
      </c>
      <c r="AA22">
        <v>0.27143664538339402</v>
      </c>
      <c r="AB22">
        <v>4.9155719034003802</v>
      </c>
      <c r="AC22">
        <v>9.6559636012778292</v>
      </c>
      <c r="AJ22">
        <v>0.43049248407172003</v>
      </c>
      <c r="AK22">
        <v>1.31362313967821E-2</v>
      </c>
      <c r="AL22">
        <v>0.55637128453149698</v>
      </c>
    </row>
    <row r="23" spans="1:38" x14ac:dyDescent="0.2">
      <c r="A23">
        <v>101</v>
      </c>
      <c r="B23">
        <v>744</v>
      </c>
      <c r="C23">
        <v>240</v>
      </c>
      <c r="D23">
        <v>0.33068918055350899</v>
      </c>
      <c r="E23">
        <v>30.463548024756498</v>
      </c>
      <c r="F23">
        <v>2.5249533265974602</v>
      </c>
      <c r="G23">
        <v>-481.11345390892171</v>
      </c>
      <c r="H23">
        <v>-417.26705868812019</v>
      </c>
      <c r="I23">
        <v>62.769891580200998</v>
      </c>
      <c r="J23">
        <v>36.381675047177801</v>
      </c>
      <c r="K23">
        <v>12.064994510535399</v>
      </c>
      <c r="L23">
        <v>2.9027831700017276E-5</v>
      </c>
      <c r="M23">
        <v>1.7996351834264615E-6</v>
      </c>
      <c r="N23" s="1">
        <v>-3.2127163092963301E-7</v>
      </c>
      <c r="O23" s="1">
        <v>1.1409251828945E-10</v>
      </c>
      <c r="P23" s="1">
        <v>1.1728178731053399E-9</v>
      </c>
      <c r="Q23">
        <v>66.128623968447201</v>
      </c>
      <c r="S23">
        <v>19.028291428652299</v>
      </c>
      <c r="AA23">
        <v>0.26832489592279801</v>
      </c>
      <c r="AB23">
        <v>4.9141555220878299</v>
      </c>
      <c r="AC23">
        <v>9.6606041848897792</v>
      </c>
      <c r="AJ23">
        <v>0.43037156087464001</v>
      </c>
      <c r="AK23">
        <v>1.2985731781762501E-2</v>
      </c>
      <c r="AL23">
        <v>0.556642707343596</v>
      </c>
    </row>
    <row r="24" spans="1:38" x14ac:dyDescent="0.2">
      <c r="A24">
        <v>102</v>
      </c>
      <c r="B24">
        <v>743</v>
      </c>
      <c r="C24">
        <v>240</v>
      </c>
      <c r="D24">
        <v>0.32996161983958999</v>
      </c>
      <c r="E24">
        <v>37.0041846990663</v>
      </c>
      <c r="F24">
        <v>2.5249662600203902</v>
      </c>
      <c r="G24">
        <v>-584.30780690190772</v>
      </c>
      <c r="H24">
        <v>-506.87759508470128</v>
      </c>
      <c r="I24">
        <v>76.199588463520598</v>
      </c>
      <c r="J24">
        <v>44.201825748951201</v>
      </c>
      <c r="K24">
        <v>14.6553184828566</v>
      </c>
      <c r="L24">
        <v>2.9049486273409884E-5</v>
      </c>
      <c r="M24">
        <v>1.7997407384065808E-6</v>
      </c>
      <c r="N24" s="1">
        <v>-4.0335703455552901E-7</v>
      </c>
      <c r="O24" s="1">
        <v>1.3849618362390001E-10</v>
      </c>
      <c r="P24" s="1">
        <v>1.4620277524441099E-9</v>
      </c>
      <c r="Q24">
        <v>66.128897379414099</v>
      </c>
      <c r="S24">
        <v>19.024825653805099</v>
      </c>
      <c r="AA24">
        <v>0.26540179947585102</v>
      </c>
      <c r="AB24">
        <v>4.9056788244246503</v>
      </c>
      <c r="AC24">
        <v>9.6751963428801293</v>
      </c>
      <c r="AJ24">
        <v>0.42964768056743402</v>
      </c>
      <c r="AK24">
        <v>1.28448197315542E-2</v>
      </c>
      <c r="AL24">
        <v>0.55750749970101099</v>
      </c>
    </row>
    <row r="25" spans="1:38" x14ac:dyDescent="0.2">
      <c r="A25">
        <v>103</v>
      </c>
      <c r="B25">
        <v>742</v>
      </c>
      <c r="C25">
        <v>240</v>
      </c>
      <c r="D25">
        <v>0.32923262572033701</v>
      </c>
      <c r="E25">
        <v>38.721659972792899</v>
      </c>
      <c r="F25">
        <v>2.52497508319501</v>
      </c>
      <c r="G25">
        <v>-611.3122412310563</v>
      </c>
      <c r="H25">
        <v>-530.41950948969668</v>
      </c>
      <c r="I25">
        <v>79.685496469841397</v>
      </c>
      <c r="J25">
        <v>46.2621123082629</v>
      </c>
      <c r="K25">
        <v>15.3354622112927</v>
      </c>
      <c r="L25">
        <v>2.9069360790801863E-5</v>
      </c>
      <c r="M25">
        <v>1.7998103025037392E-6</v>
      </c>
      <c r="N25" s="1">
        <v>-4.3590729893427002E-7</v>
      </c>
      <c r="O25" s="1">
        <v>1.4482923502516499E-10</v>
      </c>
      <c r="P25" s="1">
        <v>1.56928972831667E-9</v>
      </c>
      <c r="Q25">
        <v>66.128037757849299</v>
      </c>
      <c r="S25">
        <v>19.021160847748199</v>
      </c>
      <c r="AA25">
        <v>0.26257887789465501</v>
      </c>
      <c r="AB25">
        <v>4.8941554383230397</v>
      </c>
      <c r="AC25">
        <v>9.6940670781846592</v>
      </c>
      <c r="AJ25">
        <v>0.42866351299101602</v>
      </c>
      <c r="AK25">
        <v>1.2708940275105499E-2</v>
      </c>
      <c r="AL25">
        <v>0.55862754673387804</v>
      </c>
    </row>
    <row r="26" spans="1:38" x14ac:dyDescent="0.2">
      <c r="A26">
        <v>112</v>
      </c>
      <c r="B26">
        <v>749</v>
      </c>
      <c r="C26">
        <v>225</v>
      </c>
      <c r="D26">
        <v>0.350448075135744</v>
      </c>
      <c r="E26">
        <v>6.2992037085241597</v>
      </c>
      <c r="F26">
        <v>2.5244399893660598</v>
      </c>
      <c r="G26">
        <v>-99.653094260621913</v>
      </c>
      <c r="H26">
        <v>-86.336987182852283</v>
      </c>
      <c r="I26">
        <v>13.0275469136326</v>
      </c>
      <c r="J26">
        <v>7.5204355892988701</v>
      </c>
      <c r="K26">
        <v>2.4952875628095299</v>
      </c>
      <c r="L26">
        <v>2.8993287778891356E-5</v>
      </c>
      <c r="M26">
        <v>1.8012802502597862E-6</v>
      </c>
      <c r="N26" s="1">
        <v>-5.6928591274379897E-8</v>
      </c>
      <c r="O26" s="1">
        <v>2.3641839034199699E-11</v>
      </c>
      <c r="P26" s="1">
        <v>2.1538365741391301E-10</v>
      </c>
      <c r="Q26">
        <v>66.160318031694601</v>
      </c>
      <c r="S26">
        <v>19.056674832502001</v>
      </c>
      <c r="AA26">
        <v>0.28434611834849999</v>
      </c>
      <c r="AB26">
        <v>5.0591948259532797</v>
      </c>
      <c r="AC26">
        <v>9.4394661915014595</v>
      </c>
      <c r="AJ26">
        <v>0.442748092181591</v>
      </c>
      <c r="AK26">
        <v>1.37509717138087E-2</v>
      </c>
      <c r="AL26">
        <v>0.54350093610459904</v>
      </c>
    </row>
    <row r="27" spans="1:38" x14ac:dyDescent="0.2">
      <c r="A27">
        <v>113</v>
      </c>
      <c r="B27">
        <v>748</v>
      </c>
      <c r="C27">
        <v>225</v>
      </c>
      <c r="D27">
        <v>0.34974342652891699</v>
      </c>
      <c r="E27">
        <v>14.932791358349499</v>
      </c>
      <c r="F27">
        <v>2.5244042428204101</v>
      </c>
      <c r="G27">
        <v>-236.16978132883571</v>
      </c>
      <c r="H27">
        <v>-204.65702554988266</v>
      </c>
      <c r="I27">
        <v>30.8600653958311</v>
      </c>
      <c r="J27">
        <v>17.8278749794652</v>
      </c>
      <c r="K27">
        <v>5.9153724688981297</v>
      </c>
      <c r="L27">
        <v>2.8991267785330982E-5</v>
      </c>
      <c r="M27">
        <v>1.801074020978038E-6</v>
      </c>
      <c r="N27" s="1">
        <v>-1.3862425785730001E-7</v>
      </c>
      <c r="O27" s="1">
        <v>5.60289653838772E-11</v>
      </c>
      <c r="P27" s="1">
        <v>5.2104677414343605E-10</v>
      </c>
      <c r="Q27">
        <v>66.152016895427394</v>
      </c>
      <c r="S27">
        <v>19.051129723924301</v>
      </c>
      <c r="AA27">
        <v>0.28170830365863198</v>
      </c>
      <c r="AB27">
        <v>5.0261589658211303</v>
      </c>
      <c r="AC27">
        <v>9.4889861111684208</v>
      </c>
      <c r="AJ27">
        <v>0.439930658463838</v>
      </c>
      <c r="AK27">
        <v>1.3625688220817601E-2</v>
      </c>
      <c r="AL27">
        <v>0.54644365331534395</v>
      </c>
    </row>
    <row r="28" spans="1:38" x14ac:dyDescent="0.2">
      <c r="A28">
        <v>114</v>
      </c>
      <c r="B28">
        <v>747</v>
      </c>
      <c r="C28">
        <v>225</v>
      </c>
      <c r="D28">
        <v>0.34903739646130499</v>
      </c>
      <c r="E28">
        <v>27.104881625283198</v>
      </c>
      <c r="F28">
        <v>2.5243786888686701</v>
      </c>
      <c r="G28">
        <v>-428.56572186231597</v>
      </c>
      <c r="H28">
        <v>-371.4631636219591</v>
      </c>
      <c r="I28">
        <v>55.974668666722401</v>
      </c>
      <c r="J28">
        <v>32.361018774541897</v>
      </c>
      <c r="K28">
        <v>10.7372486326251</v>
      </c>
      <c r="L28">
        <v>2.8993389138947494E-5</v>
      </c>
      <c r="M28">
        <v>1.8009244895903104E-6</v>
      </c>
      <c r="N28" s="1">
        <v>-2.5875944299295101E-7</v>
      </c>
      <c r="O28" s="1">
        <v>1.01663886131941E-10</v>
      </c>
      <c r="P28" s="1">
        <v>9.6612175216141706E-10</v>
      </c>
      <c r="Q28">
        <v>66.145258624877897</v>
      </c>
      <c r="S28">
        <v>19.0459892512593</v>
      </c>
      <c r="AA28">
        <v>0.27904431111698003</v>
      </c>
      <c r="AB28">
        <v>4.9976221048671299</v>
      </c>
      <c r="AC28">
        <v>9.5320857078786005</v>
      </c>
      <c r="AJ28">
        <v>0.43749616190434898</v>
      </c>
      <c r="AK28">
        <v>1.34987886233713E-2</v>
      </c>
      <c r="AL28">
        <v>0.54900504947227902</v>
      </c>
    </row>
    <row r="29" spans="1:38" x14ac:dyDescent="0.2">
      <c r="A29">
        <v>115</v>
      </c>
      <c r="B29">
        <v>746</v>
      </c>
      <c r="C29">
        <v>225</v>
      </c>
      <c r="D29">
        <v>0.34832998086640898</v>
      </c>
      <c r="E29">
        <v>35.582581271366898</v>
      </c>
      <c r="F29">
        <v>2.5243652595956201</v>
      </c>
      <c r="G29">
        <v>-562.47760303135203</v>
      </c>
      <c r="H29">
        <v>-487.63985623998553</v>
      </c>
      <c r="I29">
        <v>73.431532935648804</v>
      </c>
      <c r="J29">
        <v>42.486206830038903</v>
      </c>
      <c r="K29">
        <v>14.095654793263501</v>
      </c>
      <c r="L29">
        <v>2.9001053612812299E-5</v>
      </c>
      <c r="M29">
        <v>1.8008513188486436E-6</v>
      </c>
      <c r="N29" s="1">
        <v>-3.4987047701644502E-7</v>
      </c>
      <c r="O29" s="1">
        <v>1.3340347213424401E-10</v>
      </c>
      <c r="P29" s="1">
        <v>1.29733922588154E-9</v>
      </c>
      <c r="Q29">
        <v>66.140622659213406</v>
      </c>
      <c r="S29">
        <v>19.041361058966299</v>
      </c>
      <c r="AA29">
        <v>0.276307744296513</v>
      </c>
      <c r="AB29">
        <v>4.9751576961521904</v>
      </c>
      <c r="AC29">
        <v>9.5665508413715195</v>
      </c>
      <c r="AJ29">
        <v>0.435579220384535</v>
      </c>
      <c r="AK29">
        <v>1.33679296069192E-2</v>
      </c>
      <c r="AL29">
        <v>0.55105285000854498</v>
      </c>
    </row>
    <row r="30" spans="1:38" x14ac:dyDescent="0.2">
      <c r="A30">
        <v>116</v>
      </c>
      <c r="B30">
        <v>745</v>
      </c>
      <c r="C30">
        <v>225</v>
      </c>
      <c r="D30">
        <v>0.347621175661739</v>
      </c>
      <c r="E30">
        <v>38.416373233301897</v>
      </c>
      <c r="F30">
        <v>2.52436260651394</v>
      </c>
      <c r="G30">
        <v>-607.1453013711681</v>
      </c>
      <c r="H30">
        <v>-526.48001343373994</v>
      </c>
      <c r="I30">
        <v>79.227312220623801</v>
      </c>
      <c r="J30">
        <v>45.875629764806902</v>
      </c>
      <c r="K30">
        <v>15.218246829584199</v>
      </c>
      <c r="L30">
        <v>2.901409898584667E-5</v>
      </c>
      <c r="M30">
        <v>1.8008504863880046E-6</v>
      </c>
      <c r="N30" s="1">
        <v>-3.8961578044369E-7</v>
      </c>
      <c r="O30" s="1">
        <v>1.4395271799750699E-10</v>
      </c>
      <c r="P30" s="1">
        <v>1.43457411372963E-9</v>
      </c>
      <c r="Q30">
        <v>66.138000442080894</v>
      </c>
      <c r="S30">
        <v>19.037204617832501</v>
      </c>
      <c r="AA30">
        <v>0.27349049632245398</v>
      </c>
      <c r="AB30">
        <v>4.9584175750636597</v>
      </c>
      <c r="AC30">
        <v>9.5928868687003899</v>
      </c>
      <c r="AJ30">
        <v>0.43415046936034302</v>
      </c>
      <c r="AK30">
        <v>1.32327530067159E-2</v>
      </c>
      <c r="AL30">
        <v>0.55261677763294004</v>
      </c>
    </row>
    <row r="31" spans="1:38" x14ac:dyDescent="0.2">
      <c r="A31">
        <v>122</v>
      </c>
      <c r="B31">
        <v>752</v>
      </c>
      <c r="C31">
        <v>210</v>
      </c>
      <c r="D31">
        <v>0.36864897819831499</v>
      </c>
      <c r="E31">
        <v>3.7416104814099702</v>
      </c>
      <c r="F31">
        <v>2.5240115630097102</v>
      </c>
      <c r="G31">
        <v>-59.27500098443781</v>
      </c>
      <c r="H31">
        <v>-51.322408954649283</v>
      </c>
      <c r="I31">
        <v>7.7574911279213001</v>
      </c>
      <c r="J31">
        <v>4.4677325516775399</v>
      </c>
      <c r="K31">
        <v>1.4824062362647601</v>
      </c>
      <c r="L31">
        <v>2.9013077895369139E-5</v>
      </c>
      <c r="M31">
        <v>1.8032770654334334E-6</v>
      </c>
      <c r="N31" s="1">
        <v>-3.1044647779023899E-8</v>
      </c>
      <c r="O31" s="1">
        <v>1.4050794721836201E-11</v>
      </c>
      <c r="P31" s="1">
        <v>1.2001697137901701E-10</v>
      </c>
      <c r="Q31">
        <v>66.195605739437894</v>
      </c>
      <c r="S31">
        <v>19.079936495052301</v>
      </c>
      <c r="AA31">
        <v>0.29530332394477099</v>
      </c>
      <c r="AB31">
        <v>5.1988150632057604</v>
      </c>
      <c r="AC31">
        <v>9.2303393783591705</v>
      </c>
      <c r="AJ31">
        <v>0.454645069587988</v>
      </c>
      <c r="AK31">
        <v>1.42707646158402E-2</v>
      </c>
      <c r="AL31">
        <v>0.53108416579617101</v>
      </c>
    </row>
    <row r="32" spans="1:38" x14ac:dyDescent="0.2">
      <c r="A32">
        <v>123</v>
      </c>
      <c r="B32">
        <v>751</v>
      </c>
      <c r="C32">
        <v>210</v>
      </c>
      <c r="D32">
        <v>0.36796416540546001</v>
      </c>
      <c r="E32">
        <v>13.2972428809619</v>
      </c>
      <c r="F32">
        <v>2.5239221466280499</v>
      </c>
      <c r="G32">
        <v>-210.57788654363168</v>
      </c>
      <c r="H32">
        <v>-182.36663818539927</v>
      </c>
      <c r="I32">
        <v>27.546012164460599</v>
      </c>
      <c r="J32">
        <v>15.875480746768501</v>
      </c>
      <c r="K32">
        <v>5.2684837758276499</v>
      </c>
      <c r="L32">
        <v>2.899263776772537E-5</v>
      </c>
      <c r="M32">
        <v>1.8028040220249503E-6</v>
      </c>
      <c r="N32" s="1">
        <v>-1.12717037754072E-7</v>
      </c>
      <c r="O32" s="1">
        <v>4.9934422893945703E-11</v>
      </c>
      <c r="P32" s="1">
        <v>4.33301562316108E-10</v>
      </c>
      <c r="Q32">
        <v>66.180045424798905</v>
      </c>
      <c r="S32">
        <v>19.072369743199701</v>
      </c>
      <c r="AA32">
        <v>0.292691462886913</v>
      </c>
      <c r="AB32">
        <v>5.1443025126169699</v>
      </c>
      <c r="AC32">
        <v>9.3105908564974698</v>
      </c>
      <c r="AJ32">
        <v>0.45000206586831998</v>
      </c>
      <c r="AK32">
        <v>1.41484496505413E-2</v>
      </c>
      <c r="AL32">
        <v>0.53584948448113801</v>
      </c>
    </row>
    <row r="33" spans="1:38" x14ac:dyDescent="0.2">
      <c r="A33">
        <v>124</v>
      </c>
      <c r="B33">
        <v>750</v>
      </c>
      <c r="C33">
        <v>210</v>
      </c>
      <c r="D33">
        <v>0.36727801397644499</v>
      </c>
      <c r="E33">
        <v>19.2558368566932</v>
      </c>
      <c r="F33">
        <v>2.5238697757301498</v>
      </c>
      <c r="G33">
        <v>-304.84703280958979</v>
      </c>
      <c r="H33">
        <v>-264.06508719647542</v>
      </c>
      <c r="I33">
        <v>39.859205016971501</v>
      </c>
      <c r="J33">
        <v>22.988456321882399</v>
      </c>
      <c r="K33">
        <v>7.6294890655055996</v>
      </c>
      <c r="L33">
        <v>2.8985484948205312E-5</v>
      </c>
      <c r="M33">
        <v>1.8025325543519803E-6</v>
      </c>
      <c r="N33" s="1">
        <v>-1.6744815188928001E-7</v>
      </c>
      <c r="O33" s="1">
        <v>7.2296361869151005E-11</v>
      </c>
      <c r="P33" s="1">
        <v>6.3950527551580299E-10</v>
      </c>
      <c r="Q33">
        <v>66.170115664291302</v>
      </c>
      <c r="S33">
        <v>19.066231859355501</v>
      </c>
      <c r="AA33">
        <v>0.289944619734542</v>
      </c>
      <c r="AB33">
        <v>5.1060833132616104</v>
      </c>
      <c r="AC33">
        <v>9.3676245433569001</v>
      </c>
      <c r="AJ33">
        <v>0.44674529737916902</v>
      </c>
      <c r="AK33">
        <v>1.4018383526717301E-2</v>
      </c>
      <c r="AL33">
        <v>0.53923631909411296</v>
      </c>
    </row>
    <row r="34" spans="1:38" x14ac:dyDescent="0.2">
      <c r="A34">
        <v>125</v>
      </c>
      <c r="B34">
        <v>749</v>
      </c>
      <c r="C34">
        <v>210</v>
      </c>
      <c r="D34">
        <v>0.36659051998239101</v>
      </c>
      <c r="E34">
        <v>34.0424164216316</v>
      </c>
      <c r="F34">
        <v>2.5237898349450099</v>
      </c>
      <c r="G34">
        <v>-538.7382168690757</v>
      </c>
      <c r="H34">
        <v>-466.77134228311081</v>
      </c>
      <c r="I34">
        <v>70.407351744817205</v>
      </c>
      <c r="J34">
        <v>40.635531454742399</v>
      </c>
      <c r="K34">
        <v>13.488609847885099</v>
      </c>
      <c r="L34">
        <v>2.8965213286250821E-5</v>
      </c>
      <c r="M34">
        <v>1.802057292704559E-6</v>
      </c>
      <c r="N34" s="1">
        <v>-3.0239858123973001E-7</v>
      </c>
      <c r="O34" s="1">
        <v>1.27809454206721E-10</v>
      </c>
      <c r="P34" s="1">
        <v>1.1486129965596199E-9</v>
      </c>
      <c r="Q34">
        <v>66.154206182369606</v>
      </c>
      <c r="S34">
        <v>19.058839602970799</v>
      </c>
      <c r="AA34">
        <v>0.28755819263633597</v>
      </c>
      <c r="AB34">
        <v>5.0512501246599397</v>
      </c>
      <c r="AC34">
        <v>9.4481458973632204</v>
      </c>
      <c r="AJ34">
        <v>0.44207058439664099</v>
      </c>
      <c r="AK34">
        <v>1.39068662929726E-2</v>
      </c>
      <c r="AL34">
        <v>0.54402254931038596</v>
      </c>
    </row>
    <row r="35" spans="1:38" x14ac:dyDescent="0.2">
      <c r="A35">
        <v>126</v>
      </c>
      <c r="B35">
        <v>748</v>
      </c>
      <c r="C35">
        <v>210</v>
      </c>
      <c r="D35">
        <v>0.36590167947901903</v>
      </c>
      <c r="E35">
        <v>38.130522766569896</v>
      </c>
      <c r="F35">
        <v>2.52376581344924</v>
      </c>
      <c r="G35">
        <v>-603.28220301369049</v>
      </c>
      <c r="H35">
        <v>-522.80861008438217</v>
      </c>
      <c r="I35">
        <v>78.806828506398105</v>
      </c>
      <c r="J35">
        <v>45.517282423566002</v>
      </c>
      <c r="K35">
        <v>15.108582010014899</v>
      </c>
      <c r="L35">
        <v>2.8968263327828423E-5</v>
      </c>
      <c r="M35">
        <v>1.8019323714639967E-6</v>
      </c>
      <c r="N35" s="1">
        <v>-3.4851535586338999E-7</v>
      </c>
      <c r="O35" s="1">
        <v>1.43108025376415E-10</v>
      </c>
      <c r="P35" s="1">
        <v>1.31454179686643E-9</v>
      </c>
      <c r="Q35">
        <v>66.1482744584155</v>
      </c>
      <c r="S35">
        <v>19.053789057278198</v>
      </c>
      <c r="AA35">
        <v>0.28477552741936701</v>
      </c>
      <c r="AB35">
        <v>5.0247909337257601</v>
      </c>
      <c r="AC35">
        <v>9.4883700231610497</v>
      </c>
      <c r="AJ35">
        <v>0.43981393614772801</v>
      </c>
      <c r="AK35">
        <v>1.3774138479875599E-2</v>
      </c>
      <c r="AL35">
        <v>0.54641192537239602</v>
      </c>
    </row>
    <row r="36" spans="1:38" x14ac:dyDescent="0.2">
      <c r="A36">
        <v>127</v>
      </c>
      <c r="B36">
        <v>747</v>
      </c>
      <c r="C36">
        <v>210</v>
      </c>
      <c r="D36">
        <v>0.36521148850659502</v>
      </c>
      <c r="E36">
        <v>39.5630911693653</v>
      </c>
      <c r="F36">
        <v>2.5237592574540701</v>
      </c>
      <c r="G36">
        <v>-625.81358672564181</v>
      </c>
      <c r="H36">
        <v>-542.45347975729339</v>
      </c>
      <c r="I36">
        <v>81.713578364307693</v>
      </c>
      <c r="J36">
        <v>47.232340485546501</v>
      </c>
      <c r="K36">
        <v>15.6762540058103</v>
      </c>
      <c r="L36">
        <v>2.8979195573755902E-5</v>
      </c>
      <c r="M36">
        <v>1.8019193481975505E-6</v>
      </c>
      <c r="N36" s="1">
        <v>-3.7292750258577901E-7</v>
      </c>
      <c r="O36" s="1">
        <v>1.4841553182110399E-10</v>
      </c>
      <c r="P36" s="1">
        <v>1.3962916787813499E-9</v>
      </c>
      <c r="Q36">
        <v>66.145491375792901</v>
      </c>
      <c r="S36">
        <v>19.049489626828802</v>
      </c>
      <c r="AA36">
        <v>0.28187784755872602</v>
      </c>
      <c r="AB36">
        <v>5.00731746743699</v>
      </c>
      <c r="AC36">
        <v>9.5158236823824591</v>
      </c>
      <c r="AJ36">
        <v>0.43832333954171299</v>
      </c>
      <c r="AK36">
        <v>1.36351903858175E-2</v>
      </c>
      <c r="AL36">
        <v>0.54804147007246895</v>
      </c>
    </row>
    <row r="37" spans="1:38" x14ac:dyDescent="0.2">
      <c r="A37">
        <v>132</v>
      </c>
      <c r="B37">
        <v>755</v>
      </c>
      <c r="C37">
        <v>195</v>
      </c>
      <c r="D37">
        <v>0.38674366580751801</v>
      </c>
      <c r="E37">
        <v>3.9145646851907698</v>
      </c>
      <c r="F37">
        <v>2.5236167875731002</v>
      </c>
      <c r="G37">
        <v>-62.100865688973741</v>
      </c>
      <c r="H37">
        <v>-53.735788579415868</v>
      </c>
      <c r="I37">
        <v>8.1360473759255605</v>
      </c>
      <c r="J37">
        <v>4.6751054738461502</v>
      </c>
      <c r="K37">
        <v>1.5511723905416299</v>
      </c>
      <c r="L37">
        <v>2.9033110250669811E-5</v>
      </c>
      <c r="M37">
        <v>1.8052227028512853E-6</v>
      </c>
      <c r="N37" s="1">
        <v>-2.9781852396337698E-8</v>
      </c>
      <c r="O37" s="1">
        <v>1.4707096012205299E-11</v>
      </c>
      <c r="P37" s="1">
        <v>1.1783006100446701E-10</v>
      </c>
      <c r="Q37">
        <v>66.228132753164601</v>
      </c>
      <c r="S37">
        <v>19.1039421045535</v>
      </c>
      <c r="AA37">
        <v>0.30751846360070401</v>
      </c>
      <c r="AB37">
        <v>5.3342335955163804</v>
      </c>
      <c r="AC37">
        <v>9.0261730831647604</v>
      </c>
      <c r="AJ37">
        <v>0.46616794470483602</v>
      </c>
      <c r="AK37">
        <v>1.4850885950882801E-2</v>
      </c>
      <c r="AL37">
        <v>0.51898116934427996</v>
      </c>
    </row>
    <row r="38" spans="1:38" x14ac:dyDescent="0.2">
      <c r="A38">
        <v>133</v>
      </c>
      <c r="B38">
        <v>754</v>
      </c>
      <c r="C38">
        <v>195</v>
      </c>
      <c r="D38">
        <v>0.38607846955167302</v>
      </c>
      <c r="E38">
        <v>13.2471450295944</v>
      </c>
      <c r="F38">
        <v>2.5234701096026102</v>
      </c>
      <c r="G38">
        <v>-210.05843603545227</v>
      </c>
      <c r="H38">
        <v>-181.80415467487711</v>
      </c>
      <c r="I38">
        <v>27.507453984885501</v>
      </c>
      <c r="J38">
        <v>15.8166411770338</v>
      </c>
      <c r="K38">
        <v>5.2495747737152998</v>
      </c>
      <c r="L38">
        <v>2.8997520396128456E-5</v>
      </c>
      <c r="M38">
        <v>1.8045238651336253E-6</v>
      </c>
      <c r="N38" s="1">
        <v>-1.0249298648971101E-7</v>
      </c>
      <c r="O38" s="1">
        <v>4.9780736063730001E-11</v>
      </c>
      <c r="P38" s="1">
        <v>4.0355941041478399E-10</v>
      </c>
      <c r="Q38">
        <v>66.206661143241405</v>
      </c>
      <c r="S38">
        <v>19.094388765632001</v>
      </c>
      <c r="AA38">
        <v>0.30464696781193801</v>
      </c>
      <c r="AB38">
        <v>5.26133994406272</v>
      </c>
      <c r="AC38">
        <v>9.1329631792519006</v>
      </c>
      <c r="AJ38">
        <v>0.45996728967782502</v>
      </c>
      <c r="AK38">
        <v>1.47176420164459E-2</v>
      </c>
      <c r="AL38">
        <v>0.52531506830572805</v>
      </c>
    </row>
    <row r="39" spans="1:38" x14ac:dyDescent="0.2">
      <c r="A39">
        <v>134</v>
      </c>
      <c r="B39">
        <v>753</v>
      </c>
      <c r="C39">
        <v>195</v>
      </c>
      <c r="D39">
        <v>0.38541197680651201</v>
      </c>
      <c r="E39">
        <v>24.073262611507001</v>
      </c>
      <c r="F39">
        <v>2.5233346791076898</v>
      </c>
      <c r="G39">
        <v>-381.55551718240224</v>
      </c>
      <c r="H39">
        <v>-330.30817663931498</v>
      </c>
      <c r="I39">
        <v>49.941373622849703</v>
      </c>
      <c r="J39">
        <v>28.735093753360399</v>
      </c>
      <c r="K39">
        <v>9.5402575056036003</v>
      </c>
      <c r="L39">
        <v>2.8962382747155684E-5</v>
      </c>
      <c r="M39">
        <v>1.8038332983159648E-6</v>
      </c>
      <c r="N39" s="1">
        <v>-1.8942173840192999E-7</v>
      </c>
      <c r="O39" s="1">
        <v>9.0482383532502695E-11</v>
      </c>
      <c r="P39" s="1">
        <v>7.4228070045068497E-10</v>
      </c>
      <c r="Q39">
        <v>66.185181256354497</v>
      </c>
      <c r="S39">
        <v>19.085066938148699</v>
      </c>
      <c r="AA39">
        <v>0.30196840264658098</v>
      </c>
      <c r="AB39">
        <v>5.1890347851731597</v>
      </c>
      <c r="AC39">
        <v>9.2387486176769809</v>
      </c>
      <c r="AJ39">
        <v>0.45381217072943802</v>
      </c>
      <c r="AK39">
        <v>1.4593580192798701E-2</v>
      </c>
      <c r="AL39">
        <v>0.53159424907776198</v>
      </c>
    </row>
    <row r="40" spans="1:38" x14ac:dyDescent="0.2">
      <c r="A40">
        <v>135</v>
      </c>
      <c r="B40">
        <v>752</v>
      </c>
      <c r="C40">
        <v>195</v>
      </c>
      <c r="D40">
        <v>0.38474418377798603</v>
      </c>
      <c r="E40">
        <v>33.761284320395397</v>
      </c>
      <c r="F40">
        <v>2.5232306321973401</v>
      </c>
      <c r="G40">
        <v>-534.8931115685599</v>
      </c>
      <c r="H40">
        <v>-463.15476988322831</v>
      </c>
      <c r="I40">
        <v>69.978385295158404</v>
      </c>
      <c r="J40">
        <v>40.291317503594598</v>
      </c>
      <c r="K40">
        <v>13.3801816962703</v>
      </c>
      <c r="L40">
        <v>2.8935839442741569E-5</v>
      </c>
      <c r="M40">
        <v>1.803276979489649E-6</v>
      </c>
      <c r="N40" s="1">
        <v>-2.7090221563562402E-7</v>
      </c>
      <c r="O40" s="1">
        <v>1.2690702331305901E-10</v>
      </c>
      <c r="P40" s="1">
        <v>1.05586310086494E-9</v>
      </c>
      <c r="Q40">
        <v>66.1673127110096</v>
      </c>
      <c r="S40">
        <v>19.076823871064999</v>
      </c>
      <c r="AA40">
        <v>0.29933716867780602</v>
      </c>
      <c r="AB40">
        <v>5.1276054179135997</v>
      </c>
      <c r="AC40">
        <v>9.3289208313338392</v>
      </c>
      <c r="AJ40">
        <v>0.44857933627520302</v>
      </c>
      <c r="AK40">
        <v>1.4470918683641599E-2</v>
      </c>
      <c r="AL40">
        <v>0.536949745041154</v>
      </c>
    </row>
    <row r="41" spans="1:38" x14ac:dyDescent="0.2">
      <c r="A41">
        <v>136</v>
      </c>
      <c r="B41">
        <v>751</v>
      </c>
      <c r="C41">
        <v>195</v>
      </c>
      <c r="D41">
        <v>0.38407508665723</v>
      </c>
      <c r="E41">
        <v>38.1728268486807</v>
      </c>
      <c r="F41">
        <v>2.5231825778726802</v>
      </c>
      <c r="G41">
        <v>-604.60939498593234</v>
      </c>
      <c r="H41">
        <v>-523.63696593103612</v>
      </c>
      <c r="I41">
        <v>79.063056246542104</v>
      </c>
      <c r="J41">
        <v>45.554456230187299</v>
      </c>
      <c r="K41">
        <v>15.128840529988301</v>
      </c>
      <c r="L41">
        <v>2.8929653617648605E-5</v>
      </c>
      <c r="M41">
        <v>1.8030329154606955E-6</v>
      </c>
      <c r="N41" s="1">
        <v>-3.1440533023929699E-7</v>
      </c>
      <c r="O41" s="1">
        <v>1.4346225796192401E-10</v>
      </c>
      <c r="P41" s="1">
        <v>1.21697889000127E-9</v>
      </c>
      <c r="Q41">
        <v>66.158241680362096</v>
      </c>
      <c r="S41">
        <v>19.070815706579602</v>
      </c>
      <c r="AA41">
        <v>0.29649697245135997</v>
      </c>
      <c r="AB41">
        <v>5.0916399281715696</v>
      </c>
      <c r="AC41">
        <v>9.3828057124352906</v>
      </c>
      <c r="AJ41">
        <v>0.44551413237693599</v>
      </c>
      <c r="AK41">
        <v>1.4336226537412801E-2</v>
      </c>
      <c r="AL41">
        <v>0.540149641085651</v>
      </c>
    </row>
    <row r="42" spans="1:38" x14ac:dyDescent="0.2">
      <c r="A42">
        <v>137</v>
      </c>
      <c r="B42">
        <v>750</v>
      </c>
      <c r="C42">
        <v>195</v>
      </c>
      <c r="D42">
        <v>0.38340468162048602</v>
      </c>
      <c r="E42">
        <v>39.781672723530299</v>
      </c>
      <c r="F42">
        <v>2.5231647246994</v>
      </c>
      <c r="G42">
        <v>-629.94561789786508</v>
      </c>
      <c r="H42">
        <v>-545.69999339842866</v>
      </c>
      <c r="I42">
        <v>82.339465864669407</v>
      </c>
      <c r="J42">
        <v>47.477170930822602</v>
      </c>
      <c r="K42">
        <v>15.7665777165102</v>
      </c>
      <c r="L42">
        <v>2.8935439010239853E-5</v>
      </c>
      <c r="M42">
        <v>1.8029671559607822E-6</v>
      </c>
      <c r="N42" s="1">
        <v>-3.3758658663837803E-7</v>
      </c>
      <c r="O42" s="1">
        <v>1.4945472956930299E-10</v>
      </c>
      <c r="P42" s="1">
        <v>1.2967129982844201E-9</v>
      </c>
      <c r="Q42">
        <v>66.154201320041594</v>
      </c>
      <c r="S42">
        <v>19.066064427803799</v>
      </c>
      <c r="AA42">
        <v>0.29351988165762299</v>
      </c>
      <c r="AB42">
        <v>5.0701801068136696</v>
      </c>
      <c r="AC42">
        <v>9.4160342636832297</v>
      </c>
      <c r="AJ42">
        <v>0.44368467246406401</v>
      </c>
      <c r="AK42">
        <v>1.4193821943697499E-2</v>
      </c>
      <c r="AL42">
        <v>0.54212150559223704</v>
      </c>
    </row>
    <row r="43" spans="1:38" x14ac:dyDescent="0.2">
      <c r="A43">
        <v>145</v>
      </c>
      <c r="B43">
        <v>758</v>
      </c>
      <c r="C43">
        <v>180</v>
      </c>
      <c r="D43">
        <v>0.40473306502448703</v>
      </c>
      <c r="E43">
        <v>7.3162234192460804</v>
      </c>
      <c r="F43">
        <v>2.52320198314791</v>
      </c>
      <c r="G43">
        <v>-116.21404519702108</v>
      </c>
      <c r="H43">
        <v>-100.49789403743003</v>
      </c>
      <c r="I43">
        <v>15.2413821069592</v>
      </c>
      <c r="J43">
        <v>8.7383883510308404</v>
      </c>
      <c r="K43">
        <v>2.89957897469565</v>
      </c>
      <c r="L43">
        <v>2.903807995039559E-5</v>
      </c>
      <c r="M43">
        <v>1.8068706392827628E-6</v>
      </c>
      <c r="N43" s="1">
        <v>-5.0717244267093498E-8</v>
      </c>
      <c r="O43" s="1">
        <v>2.7502656238092999E-11</v>
      </c>
      <c r="P43" s="1">
        <v>2.0598465695302601E-10</v>
      </c>
      <c r="Q43">
        <v>66.251104713578798</v>
      </c>
      <c r="S43">
        <v>19.1268554674119</v>
      </c>
      <c r="AA43">
        <v>0.32106202965712899</v>
      </c>
      <c r="AB43">
        <v>5.4454957372658699</v>
      </c>
      <c r="AC43">
        <v>8.8554820520862005</v>
      </c>
      <c r="AJ43">
        <v>0.475623483432072</v>
      </c>
      <c r="AK43">
        <v>1.54962139574575E-2</v>
      </c>
      <c r="AL43">
        <v>0.50888030261046902</v>
      </c>
    </row>
    <row r="44" spans="1:38" x14ac:dyDescent="0.2">
      <c r="A44">
        <v>146</v>
      </c>
      <c r="B44">
        <v>757</v>
      </c>
      <c r="C44">
        <v>180</v>
      </c>
      <c r="D44">
        <v>0.40408726884434598</v>
      </c>
      <c r="E44">
        <v>15.222549004113</v>
      </c>
      <c r="F44">
        <v>2.5230181115871599</v>
      </c>
      <c r="G44">
        <v>-241.68401299742612</v>
      </c>
      <c r="H44">
        <v>-209.04698920096067</v>
      </c>
      <c r="I44">
        <v>31.681817013508098</v>
      </c>
      <c r="J44">
        <v>18.175776737822801</v>
      </c>
      <c r="K44">
        <v>6.0334679859023597</v>
      </c>
      <c r="L44">
        <v>2.8996138021439684E-5</v>
      </c>
      <c r="M44">
        <v>1.8060807127742871E-6</v>
      </c>
      <c r="N44" s="1">
        <v>-1.0710920175353E-7</v>
      </c>
      <c r="O44" s="1">
        <v>5.7242545766704498E-11</v>
      </c>
      <c r="P44" s="1">
        <v>4.3303041267885602E-10</v>
      </c>
      <c r="Q44">
        <v>66.227601965220401</v>
      </c>
      <c r="S44">
        <v>19.116110048107899</v>
      </c>
      <c r="AA44">
        <v>0.317680993733296</v>
      </c>
      <c r="AB44">
        <v>5.3649506090110304</v>
      </c>
      <c r="AC44">
        <v>8.9736563839272492</v>
      </c>
      <c r="AJ44">
        <v>0.46877940784470101</v>
      </c>
      <c r="AK44">
        <v>1.5339274555535101E-2</v>
      </c>
      <c r="AL44">
        <v>0.51588131759976297</v>
      </c>
    </row>
    <row r="45" spans="1:38" x14ac:dyDescent="0.2">
      <c r="A45">
        <v>147</v>
      </c>
      <c r="B45">
        <v>756</v>
      </c>
      <c r="C45">
        <v>180</v>
      </c>
      <c r="D45">
        <v>0.40344021765534699</v>
      </c>
      <c r="E45">
        <v>27.734289903120999</v>
      </c>
      <c r="F45">
        <v>2.5227921770576698</v>
      </c>
      <c r="G45">
        <v>-440.07074574127665</v>
      </c>
      <c r="H45">
        <v>-380.73041523695412</v>
      </c>
      <c r="I45">
        <v>57.659554490912399</v>
      </c>
      <c r="J45">
        <v>33.099566091342503</v>
      </c>
      <c r="K45">
        <v>10.993489735435601</v>
      </c>
      <c r="L45">
        <v>2.8935789101897635E-5</v>
      </c>
      <c r="M45">
        <v>1.8050016900730893E-6</v>
      </c>
      <c r="N45" s="1">
        <v>-1.96826100897478E-7</v>
      </c>
      <c r="O45" s="1">
        <v>1.04350571627718E-10</v>
      </c>
      <c r="P45" s="1">
        <v>7.9348603243917604E-10</v>
      </c>
      <c r="Q45">
        <v>66.195642176452694</v>
      </c>
      <c r="S45">
        <v>19.103463084909901</v>
      </c>
      <c r="AA45">
        <v>0.31470449939101802</v>
      </c>
      <c r="AB45">
        <v>5.2605742751164399</v>
      </c>
      <c r="AC45">
        <v>9.1256159641299206</v>
      </c>
      <c r="AJ45">
        <v>0.45990203279209302</v>
      </c>
      <c r="AK45">
        <v>1.5203581789210699E-2</v>
      </c>
      <c r="AL45">
        <v>0.52489438541869604</v>
      </c>
    </row>
    <row r="46" spans="1:38" x14ac:dyDescent="0.2">
      <c r="A46">
        <v>148</v>
      </c>
      <c r="B46">
        <v>755</v>
      </c>
      <c r="C46">
        <v>180</v>
      </c>
      <c r="D46">
        <v>0.40279190779555302</v>
      </c>
      <c r="E46">
        <v>35.336120259955997</v>
      </c>
      <c r="F46">
        <v>2.52266500030554</v>
      </c>
      <c r="G46">
        <v>-560.45249592862808</v>
      </c>
      <c r="H46">
        <v>-484.98859336420855</v>
      </c>
      <c r="I46">
        <v>73.397755740329202</v>
      </c>
      <c r="J46">
        <v>42.1618375224975</v>
      </c>
      <c r="K46">
        <v>14.007456501626701</v>
      </c>
      <c r="L46">
        <v>2.8904051003169512E-5</v>
      </c>
      <c r="M46">
        <v>1.8043785026569659E-6</v>
      </c>
      <c r="N46" s="1">
        <v>-2.5535079746262001E-7</v>
      </c>
      <c r="O46" s="1">
        <v>1.32976867994075E-10</v>
      </c>
      <c r="P46" s="1">
        <v>1.0239191672321299E-9</v>
      </c>
      <c r="Q46">
        <v>66.176229035701596</v>
      </c>
      <c r="S46">
        <v>19.094400502022101</v>
      </c>
      <c r="AA46">
        <v>0.31175756671481297</v>
      </c>
      <c r="AB46">
        <v>5.1935543925872798</v>
      </c>
      <c r="AC46">
        <v>9.2240585029741204</v>
      </c>
      <c r="AJ46">
        <v>0.45419694767941798</v>
      </c>
      <c r="AK46">
        <v>1.50663246142541E-2</v>
      </c>
      <c r="AL46">
        <v>0.53073672770632596</v>
      </c>
    </row>
    <row r="47" spans="1:38" x14ac:dyDescent="0.2">
      <c r="A47">
        <v>149</v>
      </c>
      <c r="B47">
        <v>754</v>
      </c>
      <c r="C47">
        <v>180</v>
      </c>
      <c r="D47">
        <v>0.402142335588766</v>
      </c>
      <c r="E47">
        <v>38.859726872233402</v>
      </c>
      <c r="F47">
        <v>2.5226045528969498</v>
      </c>
      <c r="G47">
        <v>-616.1503996649742</v>
      </c>
      <c r="H47">
        <v>-533.30514832549215</v>
      </c>
      <c r="I47">
        <v>80.655455716771698</v>
      </c>
      <c r="J47">
        <v>46.362842347135</v>
      </c>
      <c r="K47">
        <v>15.404605064875099</v>
      </c>
      <c r="L47">
        <v>2.8894306888413558E-5</v>
      </c>
      <c r="M47">
        <v>1.8040989424661044E-6</v>
      </c>
      <c r="N47" s="1">
        <v>-2.8804648967650701E-7</v>
      </c>
      <c r="O47" s="1">
        <v>1.4622013338054199E-10</v>
      </c>
      <c r="P47" s="1">
        <v>1.1467132997376399E-9</v>
      </c>
      <c r="Q47">
        <v>66.166428683336406</v>
      </c>
      <c r="S47">
        <v>19.087942369635101</v>
      </c>
      <c r="AA47">
        <v>0.3087163196146</v>
      </c>
      <c r="AB47">
        <v>5.1547839991483499</v>
      </c>
      <c r="AC47">
        <v>9.2821286282654594</v>
      </c>
      <c r="AJ47">
        <v>0.45089485269949198</v>
      </c>
      <c r="AK47">
        <v>1.49222799807579E-2</v>
      </c>
      <c r="AL47">
        <v>0.53418286731974995</v>
      </c>
    </row>
    <row r="48" spans="1:38" x14ac:dyDescent="0.2">
      <c r="A48">
        <v>150</v>
      </c>
      <c r="B48">
        <v>753</v>
      </c>
      <c r="C48">
        <v>180</v>
      </c>
      <c r="D48">
        <v>0.401491497344444</v>
      </c>
      <c r="E48">
        <v>40.295946408949902</v>
      </c>
      <c r="F48">
        <v>2.5225780566110698</v>
      </c>
      <c r="G48">
        <v>-638.76861557428606</v>
      </c>
      <c r="H48">
        <v>-553.00386359445793</v>
      </c>
      <c r="I48">
        <v>83.579157023659306</v>
      </c>
      <c r="J48">
        <v>48.077597577948701</v>
      </c>
      <c r="K48">
        <v>15.974112794386601</v>
      </c>
      <c r="L48">
        <v>2.889669486871172E-5</v>
      </c>
      <c r="M48">
        <v>1.8040038699636465E-6</v>
      </c>
      <c r="N48" s="1">
        <v>-3.0759847811467001E-7</v>
      </c>
      <c r="O48" s="1">
        <v>1.5158131389524099E-10</v>
      </c>
      <c r="P48" s="1">
        <v>1.2146559235668299E-9</v>
      </c>
      <c r="Q48">
        <v>66.161801766254698</v>
      </c>
      <c r="S48">
        <v>19.0828623936052</v>
      </c>
      <c r="AA48">
        <v>0.30560491522209299</v>
      </c>
      <c r="AB48">
        <v>5.1311553449127096</v>
      </c>
      <c r="AC48">
        <v>9.3185755800052608</v>
      </c>
      <c r="AJ48">
        <v>0.44888176388714801</v>
      </c>
      <c r="AK48">
        <v>1.4773654031188899E-2</v>
      </c>
      <c r="AL48">
        <v>0.53634458208166202</v>
      </c>
    </row>
    <row r="49" spans="1:38" x14ac:dyDescent="0.2">
      <c r="A49">
        <v>160</v>
      </c>
      <c r="B49">
        <v>762</v>
      </c>
      <c r="C49">
        <v>165</v>
      </c>
      <c r="D49">
        <v>0.42324349128146099</v>
      </c>
      <c r="E49">
        <v>4.3276722550151003</v>
      </c>
      <c r="F49">
        <v>2.5230174362492601</v>
      </c>
      <c r="G49">
        <v>-68.862753500738947</v>
      </c>
      <c r="H49">
        <v>-59.500286188625516</v>
      </c>
      <c r="I49">
        <v>9.0445513327666802</v>
      </c>
      <c r="J49">
        <v>5.1710691916116103</v>
      </c>
      <c r="K49">
        <v>1.7152763959684101</v>
      </c>
      <c r="L49">
        <v>2.9084086727308604E-5</v>
      </c>
      <c r="M49">
        <v>1.8092219107935776E-6</v>
      </c>
      <c r="N49" s="1">
        <v>-2.6872476040941099E-8</v>
      </c>
      <c r="O49" s="1">
        <v>1.6270095998219199E-11</v>
      </c>
      <c r="P49" s="1">
        <v>1.12839802119097E-10</v>
      </c>
      <c r="Q49">
        <v>66.293231414248098</v>
      </c>
      <c r="S49">
        <v>19.1616995150553</v>
      </c>
      <c r="AA49">
        <v>0.33997903604515001</v>
      </c>
      <c r="AB49">
        <v>5.6307210318963197</v>
      </c>
      <c r="AC49">
        <v>8.5743690027550397</v>
      </c>
      <c r="AJ49">
        <v>0.49134118275977401</v>
      </c>
      <c r="AK49">
        <v>1.63938925485013E-2</v>
      </c>
      <c r="AL49">
        <v>0.492264924691724</v>
      </c>
    </row>
    <row r="50" spans="1:38" x14ac:dyDescent="0.2">
      <c r="A50">
        <v>161</v>
      </c>
      <c r="B50">
        <v>761</v>
      </c>
      <c r="C50">
        <v>165</v>
      </c>
      <c r="D50">
        <v>0.42261809215297602</v>
      </c>
      <c r="E50">
        <v>13.1564191913874</v>
      </c>
      <c r="F50">
        <v>2.5227202132333302</v>
      </c>
      <c r="G50">
        <v>-209.21934494283076</v>
      </c>
      <c r="H50">
        <v>-180.81498998675559</v>
      </c>
      <c r="I50">
        <v>27.4663781425085</v>
      </c>
      <c r="J50">
        <v>15.7127075806556</v>
      </c>
      <c r="K50">
        <v>5.2151717508637399</v>
      </c>
      <c r="L50">
        <v>2.9020367686847572E-5</v>
      </c>
      <c r="M50">
        <v>1.8080868289543397E-6</v>
      </c>
      <c r="N50" s="1">
        <v>-8.2325489100367202E-8</v>
      </c>
      <c r="O50" s="1">
        <v>4.9494589757816201E-11</v>
      </c>
      <c r="P50" s="1">
        <v>3.4473344958271697E-10</v>
      </c>
      <c r="Q50">
        <v>66.2611629495659</v>
      </c>
      <c r="S50">
        <v>19.147235044293598</v>
      </c>
      <c r="AA50">
        <v>0.335528437392003</v>
      </c>
      <c r="AB50">
        <v>5.5213376871831397</v>
      </c>
      <c r="AC50">
        <v>8.73473588156528</v>
      </c>
      <c r="AJ50">
        <v>0.48206270747332503</v>
      </c>
      <c r="AK50">
        <v>1.6188229422206501E-2</v>
      </c>
      <c r="AL50">
        <v>0.50174906310446699</v>
      </c>
    </row>
    <row r="51" spans="1:38" x14ac:dyDescent="0.2">
      <c r="A51">
        <v>162</v>
      </c>
      <c r="B51">
        <v>760</v>
      </c>
      <c r="C51">
        <v>165</v>
      </c>
      <c r="D51">
        <v>0.42199148235977502</v>
      </c>
      <c r="E51">
        <v>19.0017981477741</v>
      </c>
      <c r="F51">
        <v>2.5225329079157501</v>
      </c>
      <c r="G51">
        <v>-302.03405344914347</v>
      </c>
      <c r="H51">
        <v>-261.08725941335791</v>
      </c>
      <c r="I51">
        <v>39.632961366486498</v>
      </c>
      <c r="J51">
        <v>22.687037826654201</v>
      </c>
      <c r="K51">
        <v>7.5328246811552697</v>
      </c>
      <c r="L51">
        <v>2.8981513158167552E-5</v>
      </c>
      <c r="M51">
        <v>1.8073583049595333E-6</v>
      </c>
      <c r="N51" s="1">
        <v>-1.2082819515741101E-7</v>
      </c>
      <c r="O51" s="1">
        <v>7.1507661578281301E-11</v>
      </c>
      <c r="P51" s="1">
        <v>5.0333686266854402E-10</v>
      </c>
      <c r="Q51">
        <v>66.239816111598799</v>
      </c>
      <c r="S51">
        <v>19.1364532507686</v>
      </c>
      <c r="AA51">
        <v>0.33161434014679603</v>
      </c>
      <c r="AB51">
        <v>5.4455015298907998</v>
      </c>
      <c r="AC51">
        <v>8.8466147675948505</v>
      </c>
      <c r="AJ51">
        <v>0.47562386581897997</v>
      </c>
      <c r="AK51">
        <v>1.6005522162913899E-2</v>
      </c>
      <c r="AL51">
        <v>0.50837061201810496</v>
      </c>
    </row>
    <row r="52" spans="1:38" x14ac:dyDescent="0.2">
      <c r="A52">
        <v>163</v>
      </c>
      <c r="B52">
        <v>759</v>
      </c>
      <c r="C52">
        <v>165</v>
      </c>
      <c r="D52">
        <v>0.42136365838299</v>
      </c>
      <c r="E52">
        <v>32.8266011834286</v>
      </c>
      <c r="F52">
        <v>2.5222013540497001</v>
      </c>
      <c r="G52">
        <v>-521.39363845233504</v>
      </c>
      <c r="H52">
        <v>-450.81230440392335</v>
      </c>
      <c r="I52">
        <v>68.382826186515302</v>
      </c>
      <c r="J52">
        <v>39.166849436996003</v>
      </c>
      <c r="K52">
        <v>13.0150596940729</v>
      </c>
      <c r="L52">
        <v>2.8894555803436951E-5</v>
      </c>
      <c r="M52">
        <v>1.8058595945129201E-6</v>
      </c>
      <c r="N52" s="1">
        <v>-2.0855616336415901E-7</v>
      </c>
      <c r="O52" s="1">
        <v>1.2364961508814299E-10</v>
      </c>
      <c r="P52" s="1">
        <v>8.68559399062064E-10</v>
      </c>
      <c r="Q52">
        <v>66.196622748536896</v>
      </c>
      <c r="S52">
        <v>19.119899665736298</v>
      </c>
      <c r="AA52">
        <v>0.328036043779385</v>
      </c>
      <c r="AB52">
        <v>5.3058500609677903</v>
      </c>
      <c r="AC52">
        <v>9.0495914809795295</v>
      </c>
      <c r="AJ52">
        <v>0.46375384077194298</v>
      </c>
      <c r="AK52">
        <v>1.58440025005444E-2</v>
      </c>
      <c r="AL52">
        <v>0.520402156727511</v>
      </c>
    </row>
    <row r="53" spans="1:38" x14ac:dyDescent="0.2">
      <c r="A53">
        <v>164</v>
      </c>
      <c r="B53">
        <v>758</v>
      </c>
      <c r="C53">
        <v>165</v>
      </c>
      <c r="D53">
        <v>0.42073461669010398</v>
      </c>
      <c r="E53">
        <v>37.973516907832298</v>
      </c>
      <c r="F53">
        <v>2.52207860259767</v>
      </c>
      <c r="G53">
        <v>-602.9007317326915</v>
      </c>
      <c r="H53">
        <v>-521.40244925876175</v>
      </c>
      <c r="I53">
        <v>79.036301676700404</v>
      </c>
      <c r="J53">
        <v>45.298046634808102</v>
      </c>
      <c r="K53">
        <v>15.056436729894401</v>
      </c>
      <c r="L53">
        <v>2.8866551026652527E-5</v>
      </c>
      <c r="M53">
        <v>1.8053107526976017E-6</v>
      </c>
      <c r="N53" s="1">
        <v>-2.4603298856588098E-7</v>
      </c>
      <c r="O53" s="1">
        <v>1.4305965314437899E-10</v>
      </c>
      <c r="P53" s="1">
        <v>1.01833019536846E-9</v>
      </c>
      <c r="Q53">
        <v>66.179622154923607</v>
      </c>
      <c r="S53">
        <v>19.111061586077401</v>
      </c>
      <c r="AA53">
        <v>0.32471139367277801</v>
      </c>
      <c r="AB53">
        <v>5.2447949747816196</v>
      </c>
      <c r="AC53">
        <v>9.1398098905444201</v>
      </c>
      <c r="AJ53">
        <v>0.458559056831704</v>
      </c>
      <c r="AK53">
        <v>1.5688270817326599E-2</v>
      </c>
      <c r="AL53">
        <v>0.52575267235096801</v>
      </c>
    </row>
    <row r="54" spans="1:38" x14ac:dyDescent="0.2">
      <c r="A54">
        <v>165</v>
      </c>
      <c r="B54">
        <v>757</v>
      </c>
      <c r="C54">
        <v>165</v>
      </c>
      <c r="D54">
        <v>0.42010435373489502</v>
      </c>
      <c r="E54">
        <v>40.125951656336802</v>
      </c>
      <c r="F54">
        <v>2.5220229747444098</v>
      </c>
      <c r="G54">
        <v>-636.89263141064862</v>
      </c>
      <c r="H54">
        <v>-550.9211943001967</v>
      </c>
      <c r="I54">
        <v>83.4552609915565</v>
      </c>
      <c r="J54">
        <v>47.862975377196399</v>
      </c>
      <c r="K54">
        <v>15.910224473828601</v>
      </c>
      <c r="L54">
        <v>2.8859294672960836E-5</v>
      </c>
      <c r="M54">
        <v>1.8050897153186262E-6</v>
      </c>
      <c r="N54" s="1">
        <v>-2.6704694221869302E-7</v>
      </c>
      <c r="O54" s="1">
        <v>1.51150573835935E-10</v>
      </c>
      <c r="P54" s="1">
        <v>1.09635053942036E-9</v>
      </c>
      <c r="Q54">
        <v>66.171746764221595</v>
      </c>
      <c r="S54">
        <v>19.104839918636099</v>
      </c>
      <c r="AA54">
        <v>0.32141606908576797</v>
      </c>
      <c r="AB54">
        <v>5.2109341787943997</v>
      </c>
      <c r="AC54">
        <v>9.1910630692620003</v>
      </c>
      <c r="AJ54">
        <v>0.45567668974874398</v>
      </c>
      <c r="AK54">
        <v>1.55317217272291E-2</v>
      </c>
      <c r="AL54">
        <v>0.52879158852402597</v>
      </c>
    </row>
    <row r="55" spans="1:38" x14ac:dyDescent="0.2">
      <c r="A55">
        <v>178</v>
      </c>
      <c r="B55">
        <v>766</v>
      </c>
      <c r="C55">
        <v>150</v>
      </c>
      <c r="D55">
        <v>0.44161141317423203</v>
      </c>
      <c r="E55">
        <v>6.8192372074862</v>
      </c>
      <c r="F55">
        <v>2.5227540191355802</v>
      </c>
      <c r="G55">
        <v>-108.67599939978116</v>
      </c>
      <c r="H55">
        <v>-93.822608703194774</v>
      </c>
      <c r="I55">
        <v>14.293788862614999</v>
      </c>
      <c r="J55">
        <v>8.1498345051200491</v>
      </c>
      <c r="K55">
        <v>2.7030923965479499</v>
      </c>
      <c r="L55">
        <v>2.9098006244093592E-5</v>
      </c>
      <c r="M55">
        <v>1.8109566780999013E-6</v>
      </c>
      <c r="N55" s="1">
        <v>-3.7424326103046497E-8</v>
      </c>
      <c r="O55" s="1">
        <v>2.5647042827930799E-11</v>
      </c>
      <c r="P55" s="1">
        <v>1.63559194614273E-10</v>
      </c>
      <c r="Q55">
        <v>66.316471532749205</v>
      </c>
      <c r="S55">
        <v>19.1935983041671</v>
      </c>
      <c r="AA55">
        <v>0.36087309974040099</v>
      </c>
      <c r="AB55">
        <v>5.7661372126728603</v>
      </c>
      <c r="AC55">
        <v>8.3629198506702895</v>
      </c>
      <c r="AJ55">
        <v>0.50281353568402698</v>
      </c>
      <c r="AK55">
        <v>1.7389507727236901E-2</v>
      </c>
      <c r="AL55">
        <v>0.479796956588735</v>
      </c>
    </row>
    <row r="56" spans="1:38" x14ac:dyDescent="0.2">
      <c r="A56">
        <v>179</v>
      </c>
      <c r="B56">
        <v>765</v>
      </c>
      <c r="C56">
        <v>150</v>
      </c>
      <c r="D56">
        <v>0.44100611664981298</v>
      </c>
      <c r="E56">
        <v>14.6290030957338</v>
      </c>
      <c r="F56">
        <v>2.5223952746218301</v>
      </c>
      <c r="G56">
        <v>-232.98599783452832</v>
      </c>
      <c r="H56">
        <v>-201.18754357228732</v>
      </c>
      <c r="I56">
        <v>30.629922710822999</v>
      </c>
      <c r="J56">
        <v>17.474062027899802</v>
      </c>
      <c r="K56">
        <v>5.7996473601573104</v>
      </c>
      <c r="L56">
        <v>2.9028375452269772E-5</v>
      </c>
      <c r="M56">
        <v>1.8097322753524219E-6</v>
      </c>
      <c r="N56" s="1">
        <v>-8.0727909546704294E-8</v>
      </c>
      <c r="O56" s="1">
        <v>5.5061861318216101E-11</v>
      </c>
      <c r="P56" s="1">
        <v>3.52018285012094E-10</v>
      </c>
      <c r="Q56">
        <v>66.2829688344153</v>
      </c>
      <c r="S56">
        <v>19.177172911617902</v>
      </c>
      <c r="AA56">
        <v>0.35513937934972101</v>
      </c>
      <c r="AB56">
        <v>5.6484169437640901</v>
      </c>
      <c r="AC56">
        <v>8.5363019308529093</v>
      </c>
      <c r="AJ56">
        <v>0.49284112490037901</v>
      </c>
      <c r="AK56">
        <v>1.7123392622887999E-2</v>
      </c>
      <c r="AL56">
        <v>0.49003548247673201</v>
      </c>
    </row>
    <row r="57" spans="1:38" x14ac:dyDescent="0.2">
      <c r="A57">
        <v>180</v>
      </c>
      <c r="B57">
        <v>764</v>
      </c>
      <c r="C57">
        <v>150</v>
      </c>
      <c r="D57">
        <v>0.44039965289495597</v>
      </c>
      <c r="E57">
        <v>25.850856931650601</v>
      </c>
      <c r="F57">
        <v>2.5219752540415801</v>
      </c>
      <c r="G57">
        <v>-411.38540458772576</v>
      </c>
      <c r="H57">
        <v>-355.3197645068899</v>
      </c>
      <c r="I57">
        <v>54.057407396071703</v>
      </c>
      <c r="J57">
        <v>30.8562144011592</v>
      </c>
      <c r="K57">
        <v>10.2502421029799</v>
      </c>
      <c r="L57">
        <v>2.8935334070365836E-5</v>
      </c>
      <c r="M57">
        <v>1.8081290991354305E-6</v>
      </c>
      <c r="N57" s="1">
        <v>-1.42178750928933E-7</v>
      </c>
      <c r="O57" s="1">
        <v>9.7403270285734403E-11</v>
      </c>
      <c r="P57" s="1">
        <v>6.20334891074856E-10</v>
      </c>
      <c r="Q57">
        <v>66.238428602747305</v>
      </c>
      <c r="S57">
        <v>19.158084570000899</v>
      </c>
      <c r="AA57">
        <v>0.34978415622249498</v>
      </c>
      <c r="AB57">
        <v>5.4991188564412097</v>
      </c>
      <c r="AC57">
        <v>8.7545838145879795</v>
      </c>
      <c r="AJ57">
        <v>0.480176575528453</v>
      </c>
      <c r="AK57">
        <v>1.6877914701736801E-2</v>
      </c>
      <c r="AL57">
        <v>0.50294550976981001</v>
      </c>
    </row>
    <row r="58" spans="1:38" x14ac:dyDescent="0.2">
      <c r="A58">
        <v>181</v>
      </c>
      <c r="B58">
        <v>763</v>
      </c>
      <c r="C58">
        <v>150</v>
      </c>
      <c r="D58">
        <v>0.43979201853014099</v>
      </c>
      <c r="E58">
        <v>33.767117221324703</v>
      </c>
      <c r="F58">
        <v>2.52170666088124</v>
      </c>
      <c r="G58">
        <v>-537.04153272228575</v>
      </c>
      <c r="H58">
        <v>-463.95606957277647</v>
      </c>
      <c r="I58">
        <v>70.535601167311</v>
      </c>
      <c r="J58">
        <v>40.285865214412098</v>
      </c>
      <c r="K58">
        <v>13.390580968495501</v>
      </c>
      <c r="L58">
        <v>2.887338693756442E-5</v>
      </c>
      <c r="M58">
        <v>1.8070427737216658E-6</v>
      </c>
      <c r="N58" s="1">
        <v>-1.8713194782604501E-7</v>
      </c>
      <c r="O58" s="1">
        <v>1.2731280716232499E-10</v>
      </c>
      <c r="P58" s="1">
        <v>8.1409047322430004E-10</v>
      </c>
      <c r="Q58">
        <v>66.207305620659298</v>
      </c>
      <c r="S58">
        <v>19.144015379107</v>
      </c>
      <c r="AA58">
        <v>0.34543905206985798</v>
      </c>
      <c r="AB58">
        <v>5.39287874655796</v>
      </c>
      <c r="AC58">
        <v>8.9103612016056992</v>
      </c>
      <c r="AJ58">
        <v>0.471152873740325</v>
      </c>
      <c r="AK58">
        <v>1.6677210567586202E-2</v>
      </c>
      <c r="AL58">
        <v>0.51216991569208803</v>
      </c>
    </row>
    <row r="59" spans="1:38" x14ac:dyDescent="0.2">
      <c r="A59">
        <v>182</v>
      </c>
      <c r="B59">
        <v>762</v>
      </c>
      <c r="C59">
        <v>150</v>
      </c>
      <c r="D59">
        <v>0.439183210162781</v>
      </c>
      <c r="E59">
        <v>38.503047370030103</v>
      </c>
      <c r="F59">
        <v>2.5215508759675802</v>
      </c>
      <c r="G59">
        <v>-612.09572096683007</v>
      </c>
      <c r="H59">
        <v>-528.91473258000929</v>
      </c>
      <c r="I59">
        <v>80.356458857963304</v>
      </c>
      <c r="J59">
        <v>45.923584830001097</v>
      </c>
      <c r="K59">
        <v>15.2695897342366</v>
      </c>
      <c r="L59">
        <v>2.8838856898205649E-5</v>
      </c>
      <c r="M59">
        <v>1.8064052040088083E-6</v>
      </c>
      <c r="N59" s="1">
        <v>-2.1716053669108201E-7</v>
      </c>
      <c r="O59" s="1">
        <v>1.4520894184060199E-10</v>
      </c>
      <c r="P59" s="1">
        <v>9.3901217434298793E-10</v>
      </c>
      <c r="Q59">
        <v>66.188271162706101</v>
      </c>
      <c r="S59">
        <v>19.1339879653409</v>
      </c>
      <c r="AA59">
        <v>0.34160776358596101</v>
      </c>
      <c r="AB59">
        <v>5.3241733087554204</v>
      </c>
      <c r="AC59">
        <v>9.0119597996114909</v>
      </c>
      <c r="AJ59">
        <v>0.46531209377815502</v>
      </c>
      <c r="AK59">
        <v>1.6497976433668099E-2</v>
      </c>
      <c r="AL59">
        <v>0.51818992978817602</v>
      </c>
    </row>
    <row r="60" spans="1:38" x14ac:dyDescent="0.2">
      <c r="A60">
        <v>183</v>
      </c>
      <c r="B60">
        <v>761</v>
      </c>
      <c r="C60">
        <v>150</v>
      </c>
      <c r="D60">
        <v>0.43857322438717999</v>
      </c>
      <c r="E60">
        <v>40.554784249754697</v>
      </c>
      <c r="F60">
        <v>2.5214780495543798</v>
      </c>
      <c r="G60">
        <v>-644.5174169967604</v>
      </c>
      <c r="H60">
        <v>-557.05369803451833</v>
      </c>
      <c r="I60">
        <v>84.575466771979094</v>
      </c>
      <c r="J60">
        <v>48.366134189659903</v>
      </c>
      <c r="K60">
        <v>16.083734798691498</v>
      </c>
      <c r="L60">
        <v>2.8827278653710302E-5</v>
      </c>
      <c r="M60">
        <v>1.8061373954647081E-6</v>
      </c>
      <c r="N60" s="1">
        <v>-2.347558972151E-7</v>
      </c>
      <c r="O60" s="1">
        <v>1.52942162349267E-10</v>
      </c>
      <c r="P60" s="1">
        <v>1.00638245863352E-9</v>
      </c>
      <c r="Q60">
        <v>66.179416171505196</v>
      </c>
      <c r="S60">
        <v>19.127127586063501</v>
      </c>
      <c r="AA60">
        <v>0.33801407157869701</v>
      </c>
      <c r="AB60">
        <v>5.2864550594640898</v>
      </c>
      <c r="AC60">
        <v>9.0689871113883598</v>
      </c>
      <c r="AJ60">
        <v>0.46210388153531901</v>
      </c>
      <c r="AK60">
        <v>1.6327535722713799E-2</v>
      </c>
      <c r="AL60">
        <v>0.52156858274196605</v>
      </c>
    </row>
    <row r="61" spans="1:38" x14ac:dyDescent="0.2">
      <c r="A61">
        <v>198</v>
      </c>
      <c r="B61">
        <v>771</v>
      </c>
      <c r="C61">
        <v>135</v>
      </c>
      <c r="D61">
        <v>0.46042283196858502</v>
      </c>
      <c r="E61">
        <v>6.2217397084136099</v>
      </c>
      <c r="F61">
        <v>2.52277097559202</v>
      </c>
      <c r="G61">
        <v>-99.348937186781853</v>
      </c>
      <c r="H61">
        <v>-85.680510650770017</v>
      </c>
      <c r="I61">
        <v>13.090481766041099</v>
      </c>
      <c r="J61">
        <v>7.4395987561891701</v>
      </c>
      <c r="K61">
        <v>2.46623247556332</v>
      </c>
      <c r="L61">
        <v>2.9148055624076718E-5</v>
      </c>
      <c r="M61">
        <v>1.8132460095286532E-6</v>
      </c>
      <c r="N61" s="1">
        <v>-2.9549578107653299E-8</v>
      </c>
      <c r="O61" s="1">
        <v>2.3396718741256099E-11</v>
      </c>
      <c r="P61" s="1">
        <v>1.35900861070408E-10</v>
      </c>
      <c r="Q61">
        <v>66.352347697196905</v>
      </c>
      <c r="S61">
        <v>19.239156966106702</v>
      </c>
      <c r="AA61">
        <v>0.39008824980866103</v>
      </c>
      <c r="AB61">
        <v>5.9655232768462199</v>
      </c>
      <c r="AC61">
        <v>8.0528838100413704</v>
      </c>
      <c r="AJ61">
        <v>0.51967684642463696</v>
      </c>
      <c r="AK61">
        <v>1.8778395524029701E-2</v>
      </c>
      <c r="AL61">
        <v>0.46154475805133199</v>
      </c>
    </row>
    <row r="62" spans="1:38" x14ac:dyDescent="0.2">
      <c r="A62">
        <v>199</v>
      </c>
      <c r="B62">
        <v>770</v>
      </c>
      <c r="C62">
        <v>135</v>
      </c>
      <c r="D62">
        <v>0.45983847001869499</v>
      </c>
      <c r="E62">
        <v>14.111457401215601</v>
      </c>
      <c r="F62">
        <v>2.5222724297260899</v>
      </c>
      <c r="G62">
        <v>-225.16140500997349</v>
      </c>
      <c r="H62">
        <v>-194.22688704907225</v>
      </c>
      <c r="I62">
        <v>29.654908652543899</v>
      </c>
      <c r="J62">
        <v>16.8624429841433</v>
      </c>
      <c r="K62">
        <v>5.5947395828086801</v>
      </c>
      <c r="L62">
        <v>2.9062247972128634E-5</v>
      </c>
      <c r="M62">
        <v>1.8117608517896868E-6</v>
      </c>
      <c r="N62" s="1">
        <v>-6.6980118582631506E-8</v>
      </c>
      <c r="O62" s="1">
        <v>5.3121190406353699E-11</v>
      </c>
      <c r="P62" s="1">
        <v>3.0796698070114803E-10</v>
      </c>
      <c r="Q62">
        <v>66.313626953716096</v>
      </c>
      <c r="S62">
        <v>19.2181754126591</v>
      </c>
      <c r="AA62">
        <v>0.38181320952519199</v>
      </c>
      <c r="AB62">
        <v>5.8242303059715699</v>
      </c>
      <c r="AC62">
        <v>8.2621541181279206</v>
      </c>
      <c r="AJ62">
        <v>0.507730195269953</v>
      </c>
      <c r="AK62">
        <v>1.83931533686164E-2</v>
      </c>
      <c r="AL62">
        <v>0.47387665136142898</v>
      </c>
    </row>
    <row r="63" spans="1:38" x14ac:dyDescent="0.2">
      <c r="A63">
        <v>200</v>
      </c>
      <c r="B63">
        <v>769</v>
      </c>
      <c r="C63">
        <v>135</v>
      </c>
      <c r="D63">
        <v>0.45925298661421299</v>
      </c>
      <c r="E63">
        <v>23.924234755749399</v>
      </c>
      <c r="F63">
        <v>2.5217514519487998</v>
      </c>
      <c r="G63">
        <v>-381.4117062253008</v>
      </c>
      <c r="H63">
        <v>-329.08463032291274</v>
      </c>
      <c r="I63">
        <v>50.210695103764202</v>
      </c>
      <c r="J63">
        <v>28.565958407840501</v>
      </c>
      <c r="K63">
        <v>9.4871501857412497</v>
      </c>
      <c r="L63">
        <v>2.8961630936962624E-5</v>
      </c>
      <c r="M63">
        <v>1.8100327930415941E-6</v>
      </c>
      <c r="N63" s="1">
        <v>-1.1278622775259199E-7</v>
      </c>
      <c r="O63" s="1">
        <v>9.0169972398873594E-11</v>
      </c>
      <c r="P63" s="1">
        <v>5.1958183929656903E-10</v>
      </c>
      <c r="Q63">
        <v>66.267368025863405</v>
      </c>
      <c r="S63">
        <v>19.195908506175599</v>
      </c>
      <c r="AA63">
        <v>0.37423667209582601</v>
      </c>
      <c r="AB63">
        <v>5.6627691753146996</v>
      </c>
      <c r="AC63">
        <v>8.4997176205503493</v>
      </c>
      <c r="AJ63">
        <v>0.49405737881935602</v>
      </c>
      <c r="AK63">
        <v>1.8042871802953601E-2</v>
      </c>
      <c r="AL63">
        <v>0.48789974937768898</v>
      </c>
    </row>
    <row r="64" spans="1:38" x14ac:dyDescent="0.2">
      <c r="A64">
        <v>201</v>
      </c>
      <c r="B64">
        <v>768</v>
      </c>
      <c r="C64">
        <v>135</v>
      </c>
      <c r="D64">
        <v>0.45866637852374798</v>
      </c>
      <c r="E64">
        <v>32.997784086889098</v>
      </c>
      <c r="F64">
        <v>2.5213294905743999</v>
      </c>
      <c r="G64">
        <v>-525.66279459692362</v>
      </c>
      <c r="H64">
        <v>-453.64879021252119</v>
      </c>
      <c r="I64">
        <v>69.167751413727402</v>
      </c>
      <c r="J64">
        <v>39.372669013696402</v>
      </c>
      <c r="K64">
        <v>13.0874541428425</v>
      </c>
      <c r="L64">
        <v>2.8872453445381965E-5</v>
      </c>
      <c r="M64">
        <v>1.8085029665138598E-6</v>
      </c>
      <c r="N64" s="1">
        <v>-1.5507432264590699E-7</v>
      </c>
      <c r="O64" s="1">
        <v>1.24497713914971E-10</v>
      </c>
      <c r="P64" s="1">
        <v>7.1485405975025997E-10</v>
      </c>
      <c r="Q64">
        <v>66.225275356598104</v>
      </c>
      <c r="S64">
        <v>19.176508435745198</v>
      </c>
      <c r="AA64">
        <v>0.36805316427933799</v>
      </c>
      <c r="AB64">
        <v>5.5181081119611699</v>
      </c>
      <c r="AC64">
        <v>8.7120549314161</v>
      </c>
      <c r="AJ64">
        <v>0.48178825829903599</v>
      </c>
      <c r="AK64">
        <v>1.7757726088179802E-2</v>
      </c>
      <c r="AL64">
        <v>0.50045401561278402</v>
      </c>
    </row>
    <row r="65" spans="1:38" x14ac:dyDescent="0.2">
      <c r="A65">
        <v>202</v>
      </c>
      <c r="B65">
        <v>767</v>
      </c>
      <c r="C65">
        <v>135</v>
      </c>
      <c r="D65">
        <v>0.45807864250348701</v>
      </c>
      <c r="E65">
        <v>37.962765807868998</v>
      </c>
      <c r="F65">
        <v>2.5211068967327499</v>
      </c>
      <c r="G65">
        <v>-604.4484322501894</v>
      </c>
      <c r="H65">
        <v>-521.75827327715706</v>
      </c>
      <c r="I65">
        <v>79.498302142029701</v>
      </c>
      <c r="J65">
        <v>45.280015125899602</v>
      </c>
      <c r="K65">
        <v>15.057975469849</v>
      </c>
      <c r="L65">
        <v>2.882554698685544E-5</v>
      </c>
      <c r="M65">
        <v>1.8076779560871425E-6</v>
      </c>
      <c r="N65" s="1">
        <v>-1.8076078718519299E-7</v>
      </c>
      <c r="O65" s="1">
        <v>1.4329814467349699E-10</v>
      </c>
      <c r="P65" s="1">
        <v>8.2902031667870397E-10</v>
      </c>
      <c r="Q65">
        <v>66.201733256860294</v>
      </c>
      <c r="S65">
        <v>19.164090012822701</v>
      </c>
      <c r="AA65">
        <v>0.36330106534645801</v>
      </c>
      <c r="AB65">
        <v>5.4330892947758498</v>
      </c>
      <c r="AC65">
        <v>8.8377863701946602</v>
      </c>
      <c r="AJ65">
        <v>0.47456920398871799</v>
      </c>
      <c r="AK65">
        <v>1.7535985235862198E-2</v>
      </c>
      <c r="AL65">
        <v>0.50789481077541798</v>
      </c>
    </row>
    <row r="66" spans="1:38" x14ac:dyDescent="0.2">
      <c r="A66">
        <v>203</v>
      </c>
      <c r="B66">
        <v>766</v>
      </c>
      <c r="C66">
        <v>135</v>
      </c>
      <c r="D66">
        <v>0.45748977529712298</v>
      </c>
      <c r="E66">
        <v>40.503206901854</v>
      </c>
      <c r="F66">
        <v>2.5209896132262002</v>
      </c>
      <c r="G66">
        <v>-644.66700873525531</v>
      </c>
      <c r="H66">
        <v>-556.59842401529818</v>
      </c>
      <c r="I66">
        <v>84.750598777806005</v>
      </c>
      <c r="J66">
        <v>48.3013959963857</v>
      </c>
      <c r="K66">
        <v>16.0663918206392</v>
      </c>
      <c r="L66">
        <v>2.880365155597163E-5</v>
      </c>
      <c r="M66">
        <v>1.807264817284534E-6</v>
      </c>
      <c r="N66" s="1">
        <v>-1.97321772585535E-7</v>
      </c>
      <c r="O66" s="1">
        <v>1.5290898089210299E-10</v>
      </c>
      <c r="P66" s="1">
        <v>8.9733689621211702E-10</v>
      </c>
      <c r="Q66">
        <v>66.189288185851794</v>
      </c>
      <c r="S66">
        <v>19.155561488311001</v>
      </c>
      <c r="AA66">
        <v>0.35916883248403098</v>
      </c>
      <c r="AB66">
        <v>5.3829974855203302</v>
      </c>
      <c r="AC66">
        <v>8.9129840078327494</v>
      </c>
      <c r="AJ66">
        <v>0.47031295217177099</v>
      </c>
      <c r="AK66">
        <v>1.73409224277607E-2</v>
      </c>
      <c r="AL66">
        <v>0.51234612540046698</v>
      </c>
    </row>
    <row r="67" spans="1:38" x14ac:dyDescent="0.2">
      <c r="A67">
        <v>204</v>
      </c>
      <c r="B67">
        <v>765</v>
      </c>
      <c r="C67">
        <v>135</v>
      </c>
      <c r="D67">
        <v>0.45689977363579698</v>
      </c>
      <c r="E67">
        <v>41.806869408622802</v>
      </c>
      <c r="F67">
        <v>2.5209226362237702</v>
      </c>
      <c r="G67">
        <v>-665.22914918828417</v>
      </c>
      <c r="H67">
        <v>-574.47823504820406</v>
      </c>
      <c r="I67">
        <v>87.415993970119899</v>
      </c>
      <c r="J67">
        <v>49.851956045241401</v>
      </c>
      <c r="K67">
        <v>16.583955734257401</v>
      </c>
      <c r="L67">
        <v>2.8794536055045848E-5</v>
      </c>
      <c r="M67">
        <v>1.8070584676245852E-6</v>
      </c>
      <c r="N67" s="1">
        <v>-2.0941301930670199E-7</v>
      </c>
      <c r="O67" s="1">
        <v>1.5782539453514701E-10</v>
      </c>
      <c r="P67" s="1">
        <v>9.4281126409152296E-10</v>
      </c>
      <c r="Q67">
        <v>66.182456633483497</v>
      </c>
      <c r="S67">
        <v>19.148950673021901</v>
      </c>
      <c r="AA67">
        <v>0.35530889153300099</v>
      </c>
      <c r="AB67">
        <v>5.3504426256158597</v>
      </c>
      <c r="AC67">
        <v>8.9628411763456306</v>
      </c>
      <c r="AJ67">
        <v>0.467545652856733</v>
      </c>
      <c r="AK67">
        <v>1.7157388218121801E-2</v>
      </c>
      <c r="AL67">
        <v>0.51529695892514404</v>
      </c>
    </row>
    <row r="68" spans="1:38" x14ac:dyDescent="0.2">
      <c r="A68">
        <v>222</v>
      </c>
      <c r="B68">
        <v>777</v>
      </c>
      <c r="C68">
        <v>120</v>
      </c>
      <c r="D68">
        <v>0.47961767366567098</v>
      </c>
      <c r="E68">
        <v>4.8223053300276897</v>
      </c>
      <c r="F68">
        <v>2.52313860472661</v>
      </c>
      <c r="G68">
        <v>-77.184765177093624</v>
      </c>
      <c r="H68">
        <v>-66.48189371072236</v>
      </c>
      <c r="I68">
        <v>10.191754955359899</v>
      </c>
      <c r="J68">
        <v>5.7708804412822303</v>
      </c>
      <c r="K68">
        <v>1.9112328276354</v>
      </c>
      <c r="L68">
        <v>2.9227940349081676E-5</v>
      </c>
      <c r="M68">
        <v>1.8159216268131859E-6</v>
      </c>
      <c r="N68" s="1">
        <v>-1.9321210227035401E-8</v>
      </c>
      <c r="O68" s="1">
        <v>1.8121415193151801E-11</v>
      </c>
      <c r="P68" s="1">
        <v>9.4915858868709196E-11</v>
      </c>
      <c r="Q68">
        <v>66.393251798467404</v>
      </c>
      <c r="S68">
        <v>19.301066412080498</v>
      </c>
      <c r="AA68">
        <v>0.43161976380251199</v>
      </c>
      <c r="AB68">
        <v>6.21897953473451</v>
      </c>
      <c r="AC68">
        <v>7.6550824909149604</v>
      </c>
      <c r="AJ68">
        <v>0.54106423522108105</v>
      </c>
      <c r="AK68">
        <v>2.07511329600867E-2</v>
      </c>
      <c r="AL68">
        <v>0.43818463181883099</v>
      </c>
    </row>
    <row r="69" spans="1:38" x14ac:dyDescent="0.2">
      <c r="A69">
        <v>223</v>
      </c>
      <c r="B69">
        <v>776</v>
      </c>
      <c r="C69">
        <v>120</v>
      </c>
      <c r="D69">
        <v>0.47905494924462999</v>
      </c>
      <c r="E69">
        <v>13.1193767915597</v>
      </c>
      <c r="F69">
        <v>2.5224096178621398</v>
      </c>
      <c r="G69">
        <v>-209.79386301117165</v>
      </c>
      <c r="H69">
        <v>-180.74206616727304</v>
      </c>
      <c r="I69">
        <v>27.690794303863701</v>
      </c>
      <c r="J69">
        <v>15.686890149685899</v>
      </c>
      <c r="K69">
        <v>5.2011285949182904</v>
      </c>
      <c r="L69">
        <v>2.9120265065325624E-5</v>
      </c>
      <c r="M69">
        <v>1.8140838386145109E-6</v>
      </c>
      <c r="N69" s="1">
        <v>-5.2061256460545698E-8</v>
      </c>
      <c r="O69" s="1">
        <v>4.9371218279270701E-11</v>
      </c>
      <c r="P69" s="1">
        <v>2.5660115641748699E-10</v>
      </c>
      <c r="Q69">
        <v>66.348460253357104</v>
      </c>
      <c r="S69">
        <v>19.2723898286694</v>
      </c>
      <c r="AA69">
        <v>0.418412783575485</v>
      </c>
      <c r="AB69">
        <v>6.0439845864605397</v>
      </c>
      <c r="AC69">
        <v>7.9167525479373602</v>
      </c>
      <c r="AJ69">
        <v>0.52630331099900896</v>
      </c>
      <c r="AK69">
        <v>2.0133926982351901E-2</v>
      </c>
      <c r="AL69">
        <v>0.45356276201863799</v>
      </c>
    </row>
    <row r="70" spans="1:38" x14ac:dyDescent="0.2">
      <c r="A70">
        <v>224</v>
      </c>
      <c r="B70">
        <v>775</v>
      </c>
      <c r="C70">
        <v>120</v>
      </c>
      <c r="D70">
        <v>0.478491151075708</v>
      </c>
      <c r="E70">
        <v>18.8569630719293</v>
      </c>
      <c r="F70">
        <v>2.5219331700314198</v>
      </c>
      <c r="G70">
        <v>-301.33586663985085</v>
      </c>
      <c r="H70">
        <v>-259.6647374833118</v>
      </c>
      <c r="I70">
        <v>39.7568374340877</v>
      </c>
      <c r="J70">
        <v>22.534219133856901</v>
      </c>
      <c r="K70">
        <v>7.4771858731269996</v>
      </c>
      <c r="L70">
        <v>2.9046295267149505E-5</v>
      </c>
      <c r="M70">
        <v>1.8128132935330659E-6</v>
      </c>
      <c r="N70" s="1">
        <v>-7.5064862592820499E-8</v>
      </c>
      <c r="O70" s="1">
        <v>7.1029089625536103E-11</v>
      </c>
      <c r="P70" s="1">
        <v>3.69357948215198E-10</v>
      </c>
      <c r="Q70">
        <v>66.316358416111598</v>
      </c>
      <c r="S70">
        <v>19.251957376566899</v>
      </c>
      <c r="AA70">
        <v>0.409046326240317</v>
      </c>
      <c r="AB70">
        <v>5.9188810338039399</v>
      </c>
      <c r="AC70">
        <v>8.1037568472771699</v>
      </c>
      <c r="AJ70">
        <v>0.515734775208885</v>
      </c>
      <c r="AK70">
        <v>1.9695639750146099E-2</v>
      </c>
      <c r="AL70">
        <v>0.46456958504096801</v>
      </c>
    </row>
    <row r="71" spans="1:38" x14ac:dyDescent="0.2">
      <c r="A71">
        <v>225</v>
      </c>
      <c r="B71">
        <v>774</v>
      </c>
      <c r="C71">
        <v>120</v>
      </c>
      <c r="D71">
        <v>0.47792627608270499</v>
      </c>
      <c r="E71">
        <v>31.372988639147401</v>
      </c>
      <c r="F71">
        <v>2.5211234026624698</v>
      </c>
      <c r="G71">
        <v>-500.75989993348782</v>
      </c>
      <c r="H71">
        <v>-431.60924089085216</v>
      </c>
      <c r="I71">
        <v>66.037013840076</v>
      </c>
      <c r="J71">
        <v>37.447673998966202</v>
      </c>
      <c r="K71">
        <v>12.444051174177099</v>
      </c>
      <c r="L71">
        <v>2.8896448157357313E-5</v>
      </c>
      <c r="M71">
        <v>1.810264476266511E-6</v>
      </c>
      <c r="N71" s="1">
        <v>-1.2133626675068399E-7</v>
      </c>
      <c r="O71" s="1">
        <v>1.1840080521552901E-10</v>
      </c>
      <c r="P71" s="1">
        <v>6.0363592893887096E-10</v>
      </c>
      <c r="Q71">
        <v>66.249731103388299</v>
      </c>
      <c r="S71">
        <v>19.219285056412499</v>
      </c>
      <c r="AA71">
        <v>0.39763790014544598</v>
      </c>
      <c r="AB71">
        <v>5.6847509048379097</v>
      </c>
      <c r="AC71">
        <v>8.4485950352156909</v>
      </c>
      <c r="AJ71">
        <v>0.49591990026121002</v>
      </c>
      <c r="AK71">
        <v>1.9168964741288701E-2</v>
      </c>
      <c r="AL71">
        <v>0.48491113499749999</v>
      </c>
    </row>
    <row r="72" spans="1:38" x14ac:dyDescent="0.2">
      <c r="A72">
        <v>226</v>
      </c>
      <c r="B72">
        <v>773</v>
      </c>
      <c r="C72">
        <v>120</v>
      </c>
      <c r="D72">
        <v>0.47736032117765198</v>
      </c>
      <c r="E72">
        <v>36.444764513225103</v>
      </c>
      <c r="F72">
        <v>2.52080827154639</v>
      </c>
      <c r="G72">
        <v>-581.36932586297928</v>
      </c>
      <c r="H72">
        <v>-501.19961377790679</v>
      </c>
      <c r="I72">
        <v>76.633094761814704</v>
      </c>
      <c r="J72">
        <v>43.480838260715103</v>
      </c>
      <c r="K72">
        <v>14.4575709801475</v>
      </c>
      <c r="L72">
        <v>2.8836685256191986E-5</v>
      </c>
      <c r="M72">
        <v>1.8092386953622521E-6</v>
      </c>
      <c r="N72" s="1">
        <v>-1.4207225784161499E-7</v>
      </c>
      <c r="O72" s="1">
        <v>1.37636247268847E-10</v>
      </c>
      <c r="P72" s="1">
        <v>7.0425197581049104E-10</v>
      </c>
      <c r="Q72">
        <v>66.221816192941006</v>
      </c>
      <c r="S72">
        <v>19.203649972697001</v>
      </c>
      <c r="AA72">
        <v>0.39125235872132003</v>
      </c>
      <c r="AB72">
        <v>5.5815546189839997</v>
      </c>
      <c r="AC72">
        <v>8.6017268566565708</v>
      </c>
      <c r="AJ72">
        <v>0.48717132954429998</v>
      </c>
      <c r="AK72">
        <v>1.8870973376793401E-2</v>
      </c>
      <c r="AL72">
        <v>0.49395769707890502</v>
      </c>
    </row>
    <row r="73" spans="1:38" x14ac:dyDescent="0.2">
      <c r="A73">
        <v>227</v>
      </c>
      <c r="B73">
        <v>772</v>
      </c>
      <c r="C73">
        <v>120</v>
      </c>
      <c r="D73">
        <v>0.47679328326077502</v>
      </c>
      <c r="E73">
        <v>40.201233638052202</v>
      </c>
      <c r="F73">
        <v>2.5205840254057201</v>
      </c>
      <c r="G73">
        <v>-640.98062683428566</v>
      </c>
      <c r="H73">
        <v>-552.71421995695925</v>
      </c>
      <c r="I73">
        <v>84.453338637828395</v>
      </c>
      <c r="J73">
        <v>47.945726586105998</v>
      </c>
      <c r="K73">
        <v>15.949174172672601</v>
      </c>
      <c r="L73">
        <v>2.8793274221362764E-5</v>
      </c>
      <c r="M73">
        <v>1.8084882960434685E-6</v>
      </c>
      <c r="N73" s="1">
        <v>-1.5903985295339601E-7</v>
      </c>
      <c r="O73" s="1">
        <v>1.5189292311970799E-10</v>
      </c>
      <c r="P73" s="1">
        <v>7.83423502255144E-10</v>
      </c>
      <c r="Q73">
        <v>66.200862168260997</v>
      </c>
      <c r="S73">
        <v>19.1911634987597</v>
      </c>
      <c r="AA73">
        <v>0.385840225070958</v>
      </c>
      <c r="AB73">
        <v>5.5021247837157397</v>
      </c>
      <c r="AC73">
        <v>8.7200093241924108</v>
      </c>
      <c r="AJ73">
        <v>0.480431371589921</v>
      </c>
      <c r="AK73">
        <v>1.8617407962469801E-2</v>
      </c>
      <c r="AL73">
        <v>0.50095122044760798</v>
      </c>
    </row>
    <row r="74" spans="1:38" x14ac:dyDescent="0.2">
      <c r="A74">
        <v>228</v>
      </c>
      <c r="B74">
        <v>771</v>
      </c>
      <c r="C74">
        <v>120</v>
      </c>
      <c r="D74">
        <v>0.47622515922041903</v>
      </c>
      <c r="E74">
        <v>41.882441516021203</v>
      </c>
      <c r="F74">
        <v>2.5204747630342998</v>
      </c>
      <c r="G74">
        <v>-667.56649844063656</v>
      </c>
      <c r="H74">
        <v>-575.76639160365517</v>
      </c>
      <c r="I74">
        <v>87.918504847944604</v>
      </c>
      <c r="J74">
        <v>49.942920530239597</v>
      </c>
      <c r="K74">
        <v>16.616885886054401</v>
      </c>
      <c r="L74">
        <v>2.8775160397235714E-5</v>
      </c>
      <c r="M74">
        <v>1.8081594026730141E-6</v>
      </c>
      <c r="N74" s="1">
        <v>-1.6996238886852199E-7</v>
      </c>
      <c r="O74" s="1">
        <v>1.5826441677270999E-10</v>
      </c>
      <c r="P74" s="1">
        <v>8.2854661267662597E-10</v>
      </c>
      <c r="Q74">
        <v>66.191146125271601</v>
      </c>
      <c r="S74">
        <v>19.182955077295301</v>
      </c>
      <c r="AA74">
        <v>0.38133529912001801</v>
      </c>
      <c r="AB74">
        <v>5.4589536588303798</v>
      </c>
      <c r="AC74">
        <v>8.7856098394826603</v>
      </c>
      <c r="AJ74">
        <v>0.47676586378200397</v>
      </c>
      <c r="AK74">
        <v>1.8404055905340399E-2</v>
      </c>
      <c r="AL74">
        <v>0.50483008031265397</v>
      </c>
    </row>
    <row r="75" spans="1:38" x14ac:dyDescent="0.2">
      <c r="A75">
        <v>249</v>
      </c>
      <c r="B75">
        <v>784</v>
      </c>
      <c r="C75">
        <v>105</v>
      </c>
      <c r="D75">
        <v>0.49913493827744299</v>
      </c>
      <c r="E75">
        <v>5.45311559573467</v>
      </c>
      <c r="F75">
        <v>2.5237934617451598</v>
      </c>
      <c r="G75">
        <v>-87.507836004399962</v>
      </c>
      <c r="H75">
        <v>-75.263040962203632</v>
      </c>
      <c r="I75">
        <v>11.582835966699401</v>
      </c>
      <c r="J75">
        <v>6.5317428381672</v>
      </c>
      <c r="K75">
        <v>2.1606821946372401</v>
      </c>
      <c r="L75">
        <v>2.9310627640525831E-5</v>
      </c>
      <c r="M75">
        <v>1.8184285414617305E-6</v>
      </c>
      <c r="N75" s="1">
        <v>-1.77008763775699E-8</v>
      </c>
      <c r="O75" s="1">
        <v>2.0470104789887802E-11</v>
      </c>
      <c r="P75" s="1">
        <v>9.5208076824596605E-11</v>
      </c>
      <c r="Q75">
        <v>66.421792154328003</v>
      </c>
      <c r="S75">
        <v>19.378436602052702</v>
      </c>
      <c r="AA75">
        <v>0.48879146086853598</v>
      </c>
      <c r="AB75">
        <v>6.4854161993201398</v>
      </c>
      <c r="AC75">
        <v>7.2255635834304996</v>
      </c>
      <c r="AJ75">
        <v>0.563487952940535</v>
      </c>
      <c r="AK75">
        <v>2.3468275834106399E-2</v>
      </c>
      <c r="AL75">
        <v>0.41304377122535801</v>
      </c>
    </row>
    <row r="76" spans="1:38" x14ac:dyDescent="0.2">
      <c r="A76">
        <v>250</v>
      </c>
      <c r="B76">
        <v>783</v>
      </c>
      <c r="C76">
        <v>105</v>
      </c>
      <c r="D76">
        <v>0.498594423140655</v>
      </c>
      <c r="E76">
        <v>13.6962237361886</v>
      </c>
      <c r="F76">
        <v>2.5227776650130602</v>
      </c>
      <c r="G76">
        <v>-219.55301273867175</v>
      </c>
      <c r="H76">
        <v>-188.87109624792041</v>
      </c>
      <c r="I76">
        <v>29.050718639162302</v>
      </c>
      <c r="J76">
        <v>16.389155244085799</v>
      </c>
      <c r="K76">
        <v>5.4290252867438999</v>
      </c>
      <c r="L76">
        <v>2.918480941292043E-5</v>
      </c>
      <c r="M76">
        <v>1.8163218647345847E-6</v>
      </c>
      <c r="N76" s="1">
        <v>-4.3627220307361603E-8</v>
      </c>
      <c r="O76" s="1">
        <v>5.1508555094148099E-11</v>
      </c>
      <c r="P76" s="1">
        <v>2.3652402453509101E-10</v>
      </c>
      <c r="Q76">
        <v>66.375129552926296</v>
      </c>
      <c r="S76">
        <v>19.339548689677699</v>
      </c>
      <c r="AA76">
        <v>0.46759661509719203</v>
      </c>
      <c r="AB76">
        <v>6.2794813759804597</v>
      </c>
      <c r="AC76">
        <v>7.5382437663182902</v>
      </c>
      <c r="AJ76">
        <v>0.54616117411708498</v>
      </c>
      <c r="AK76">
        <v>2.2473938896899501E-2</v>
      </c>
      <c r="AL76">
        <v>0.43136488698601499</v>
      </c>
    </row>
    <row r="77" spans="1:38" x14ac:dyDescent="0.2">
      <c r="A77">
        <v>251</v>
      </c>
      <c r="B77">
        <v>782</v>
      </c>
      <c r="C77">
        <v>105</v>
      </c>
      <c r="D77">
        <v>0.49805288347628701</v>
      </c>
      <c r="E77">
        <v>19.3384339181803</v>
      </c>
      <c r="F77">
        <v>2.5221185241555499</v>
      </c>
      <c r="G77">
        <v>-309.75112898172972</v>
      </c>
      <c r="H77">
        <v>-266.52186241059735</v>
      </c>
      <c r="I77">
        <v>40.969783036660502</v>
      </c>
      <c r="J77">
        <v>23.1246336773509</v>
      </c>
      <c r="K77">
        <v>7.6675357375027202</v>
      </c>
      <c r="L77">
        <v>2.9097056091444053E-5</v>
      </c>
      <c r="M77">
        <v>1.8148440296399407E-6</v>
      </c>
      <c r="N77" s="1">
        <v>-6.1393638389374399E-8</v>
      </c>
      <c r="O77" s="1">
        <v>7.2816458964572803E-11</v>
      </c>
      <c r="P77" s="1">
        <v>3.3319676850135701E-10</v>
      </c>
      <c r="Q77">
        <v>66.340646818929002</v>
      </c>
      <c r="S77">
        <v>19.312688015135301</v>
      </c>
      <c r="AA77">
        <v>0.45348235813751397</v>
      </c>
      <c r="AB77">
        <v>6.1322197017189897</v>
      </c>
      <c r="AC77">
        <v>7.7609631060791404</v>
      </c>
      <c r="AJ77">
        <v>0.53374891808292002</v>
      </c>
      <c r="AK77">
        <v>2.1811748843179699E-2</v>
      </c>
      <c r="AL77">
        <v>0.44443933307389899</v>
      </c>
    </row>
    <row r="78" spans="1:38" x14ac:dyDescent="0.2">
      <c r="A78">
        <v>252</v>
      </c>
      <c r="B78">
        <v>781</v>
      </c>
      <c r="C78">
        <v>105</v>
      </c>
      <c r="D78">
        <v>0.49751031636863902</v>
      </c>
      <c r="E78">
        <v>30.9431924119048</v>
      </c>
      <c r="F78">
        <v>2.5210543421734899</v>
      </c>
      <c r="G78">
        <v>-494.9775554967153</v>
      </c>
      <c r="H78">
        <v>-425.99251912122025</v>
      </c>
      <c r="I78">
        <v>65.441385358340796</v>
      </c>
      <c r="J78">
        <v>36.953425142110198</v>
      </c>
      <c r="K78">
        <v>12.273909330025599</v>
      </c>
      <c r="L78">
        <v>2.8929271523974017E-5</v>
      </c>
      <c r="M78">
        <v>1.81199585686142E-6</v>
      </c>
      <c r="N78" s="1">
        <v>-9.4311626928796797E-8</v>
      </c>
      <c r="O78" s="1">
        <v>1.1677869169390301E-10</v>
      </c>
      <c r="P78" s="1">
        <v>5.2114935809474802E-10</v>
      </c>
      <c r="Q78">
        <v>66.2701186711909</v>
      </c>
      <c r="S78">
        <v>19.271244222763698</v>
      </c>
      <c r="AA78">
        <v>0.435747584173661</v>
      </c>
      <c r="AB78">
        <v>5.8664012162903303</v>
      </c>
      <c r="AC78">
        <v>8.1564883055813002</v>
      </c>
      <c r="AJ78">
        <v>0.511297054480781</v>
      </c>
      <c r="AK78">
        <v>2.0986852350969799E-2</v>
      </c>
      <c r="AL78">
        <v>0.46771609316824803</v>
      </c>
    </row>
    <row r="79" spans="1:38" x14ac:dyDescent="0.2">
      <c r="A79">
        <v>253</v>
      </c>
      <c r="B79">
        <v>780</v>
      </c>
      <c r="C79">
        <v>105</v>
      </c>
      <c r="D79">
        <v>0.49696671889094501</v>
      </c>
      <c r="E79">
        <v>36.422870784756803</v>
      </c>
      <c r="F79">
        <v>2.5205854161774099</v>
      </c>
      <c r="G79">
        <v>-582.2107924384876</v>
      </c>
      <c r="H79">
        <v>-501.18001907723959</v>
      </c>
      <c r="I79">
        <v>76.941341082702195</v>
      </c>
      <c r="J79">
        <v>43.470127369164302</v>
      </c>
      <c r="K79">
        <v>14.450163264053799</v>
      </c>
      <c r="L79">
        <v>2.8850128835631904E-5</v>
      </c>
      <c r="M79">
        <v>1.8106570054936219E-6</v>
      </c>
      <c r="N79" s="1">
        <v>-1.1086367474340501E-7</v>
      </c>
      <c r="O79" s="1">
        <v>1.3759720781950199E-10</v>
      </c>
      <c r="P79" s="1">
        <v>6.1273484058666995E-10</v>
      </c>
      <c r="Q79">
        <v>66.2355241229847</v>
      </c>
      <c r="S79">
        <v>19.250140524922699</v>
      </c>
      <c r="AA79">
        <v>0.42640898225631302</v>
      </c>
      <c r="AB79">
        <v>5.7339830329402703</v>
      </c>
      <c r="AC79">
        <v>8.3539433368959095</v>
      </c>
      <c r="AJ79">
        <v>0.50009011090951605</v>
      </c>
      <c r="AK79">
        <v>2.05508125487271E-2</v>
      </c>
      <c r="AL79">
        <v>0.47935907654175602</v>
      </c>
    </row>
    <row r="80" spans="1:38" x14ac:dyDescent="0.2">
      <c r="A80">
        <v>254</v>
      </c>
      <c r="B80">
        <v>779</v>
      </c>
      <c r="C80">
        <v>105</v>
      </c>
      <c r="D80">
        <v>0.49642208810530802</v>
      </c>
      <c r="E80">
        <v>40.156215385379099</v>
      </c>
      <c r="F80">
        <v>2.5202788120467701</v>
      </c>
      <c r="G80">
        <v>-641.53209077796259</v>
      </c>
      <c r="H80">
        <v>-552.36834361950264</v>
      </c>
      <c r="I80">
        <v>84.744330331663605</v>
      </c>
      <c r="J80">
        <v>47.905011733986598</v>
      </c>
      <c r="K80">
        <v>15.9332432560377</v>
      </c>
      <c r="L80">
        <v>2.8796575812170284E-5</v>
      </c>
      <c r="M80">
        <v>1.8097539730915429E-6</v>
      </c>
      <c r="N80" s="1">
        <v>-1.2351629810148601E-7</v>
      </c>
      <c r="O80" s="1">
        <v>1.5179853087382401E-10</v>
      </c>
      <c r="P80" s="1">
        <v>6.7911971801636301E-10</v>
      </c>
      <c r="Q80">
        <v>66.211551213473896</v>
      </c>
      <c r="S80">
        <v>19.234678743524199</v>
      </c>
      <c r="AA80">
        <v>0.41924660499030098</v>
      </c>
      <c r="AB80">
        <v>5.6400256193666802</v>
      </c>
      <c r="AC80">
        <v>8.4944978186448008</v>
      </c>
      <c r="AJ80">
        <v>0.49212912678626403</v>
      </c>
      <c r="AK80">
        <v>2.0215213742576201E-2</v>
      </c>
      <c r="AL80">
        <v>0.48765565947115902</v>
      </c>
    </row>
    <row r="81" spans="1:38" x14ac:dyDescent="0.2">
      <c r="A81">
        <v>255</v>
      </c>
      <c r="B81">
        <v>778</v>
      </c>
      <c r="C81">
        <v>105</v>
      </c>
      <c r="D81">
        <v>0.49587642106264601</v>
      </c>
      <c r="E81">
        <v>42.244229900210001</v>
      </c>
      <c r="F81">
        <v>2.5201019747248501</v>
      </c>
      <c r="G81">
        <v>-674.62103930276407</v>
      </c>
      <c r="H81">
        <v>-580.98716063995471</v>
      </c>
      <c r="I81">
        <v>89.077561397335501</v>
      </c>
      <c r="J81">
        <v>50.383160204213802</v>
      </c>
      <c r="K81">
        <v>16.762904963328701</v>
      </c>
      <c r="L81">
        <v>2.8766783383101422E-5</v>
      </c>
      <c r="M81">
        <v>1.8092534262305664E-6</v>
      </c>
      <c r="N81" s="1">
        <v>-1.3279558366365901E-7</v>
      </c>
      <c r="O81" s="1">
        <v>1.5974220095868399E-10</v>
      </c>
      <c r="P81" s="1">
        <v>7.2268369780115E-10</v>
      </c>
      <c r="Q81">
        <v>66.197882788520701</v>
      </c>
      <c r="S81">
        <v>19.223935988129</v>
      </c>
      <c r="AA81">
        <v>0.41357306189572601</v>
      </c>
      <c r="AB81">
        <v>5.5814027373081503</v>
      </c>
      <c r="AC81">
        <v>8.5832054241463105</v>
      </c>
      <c r="AJ81">
        <v>0.487158209449638</v>
      </c>
      <c r="AK81">
        <v>1.9947556233716801E-2</v>
      </c>
      <c r="AL81">
        <v>0.49289423431664398</v>
      </c>
    </row>
    <row r="82" spans="1:38" x14ac:dyDescent="0.2">
      <c r="A82">
        <v>256</v>
      </c>
      <c r="B82">
        <v>777</v>
      </c>
      <c r="C82">
        <v>105</v>
      </c>
      <c r="D82">
        <v>0.49532971480264998</v>
      </c>
      <c r="E82">
        <v>43.346297288098903</v>
      </c>
      <c r="F82">
        <v>2.51999782553967</v>
      </c>
      <c r="G82">
        <v>-692.00860265255074</v>
      </c>
      <c r="H82">
        <v>-596.09280423948974</v>
      </c>
      <c r="I82">
        <v>91.335331536505194</v>
      </c>
      <c r="J82">
        <v>51.6901058995699</v>
      </c>
      <c r="K82">
        <v>17.200926464615499</v>
      </c>
      <c r="L82">
        <v>2.875134737419843E-5</v>
      </c>
      <c r="M82">
        <v>1.8089936763733324E-6</v>
      </c>
      <c r="N82" s="1">
        <v>-1.4019044842512001E-7</v>
      </c>
      <c r="O82" s="1">
        <v>1.63929225219486E-10</v>
      </c>
      <c r="P82" s="1">
        <v>7.52981075376549E-10</v>
      </c>
      <c r="Q82">
        <v>66.190489615028497</v>
      </c>
      <c r="S82">
        <v>19.215910030946301</v>
      </c>
      <c r="AA82">
        <v>0.40867666100404298</v>
      </c>
      <c r="AB82">
        <v>5.5438863563869001</v>
      </c>
      <c r="AC82">
        <v>8.6410373366341204</v>
      </c>
      <c r="AJ82">
        <v>0.483975481454884</v>
      </c>
      <c r="AK82">
        <v>1.9715131045414998E-2</v>
      </c>
      <c r="AL82">
        <v>0.49630938749969999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F18C-0799-4617-95A4-1B4E09316E6B}">
  <sheetPr codeName="Sheet12"/>
  <dimension ref="A1:AL24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22</v>
      </c>
      <c r="B5">
        <v>736</v>
      </c>
      <c r="C5">
        <v>300</v>
      </c>
      <c r="D5">
        <v>0.25942674528068399</v>
      </c>
      <c r="E5">
        <v>4.6874777692984599</v>
      </c>
      <c r="F5">
        <v>2.5755844318564201</v>
      </c>
      <c r="G5">
        <v>-75.59332796727422</v>
      </c>
      <c r="H5">
        <v>-65.755328923650623</v>
      </c>
      <c r="I5">
        <v>9.7487975460770002</v>
      </c>
      <c r="J5">
        <v>5.7899738106504302</v>
      </c>
      <c r="K5">
        <v>1.81996664963525</v>
      </c>
      <c r="L5">
        <v>3.2711901512915208E-5</v>
      </c>
      <c r="M5">
        <v>1.8145129924232508E-6</v>
      </c>
      <c r="N5" s="1">
        <v>-1.3789079150225E-7</v>
      </c>
      <c r="O5" s="1">
        <v>1.5564974457628101E-11</v>
      </c>
      <c r="P5" s="1">
        <v>4.3693478582725798E-10</v>
      </c>
      <c r="Q5">
        <v>65.342490821655403</v>
      </c>
      <c r="S5">
        <v>21.271860264354999</v>
      </c>
      <c r="AA5">
        <v>2.30272558036024</v>
      </c>
      <c r="AB5">
        <v>9.0441073418794709</v>
      </c>
      <c r="AC5">
        <v>2.0388159917497499</v>
      </c>
      <c r="AJ5">
        <v>0.77578650458611598</v>
      </c>
      <c r="AK5">
        <v>0.109151444626401</v>
      </c>
      <c r="AL5">
        <v>0.115062050787481</v>
      </c>
    </row>
    <row r="6" spans="1:38" x14ac:dyDescent="0.2">
      <c r="A6">
        <v>23</v>
      </c>
      <c r="B6">
        <v>735</v>
      </c>
      <c r="C6">
        <v>300</v>
      </c>
      <c r="D6">
        <v>0.25862272479293502</v>
      </c>
      <c r="E6">
        <v>19.7362748635983</v>
      </c>
      <c r="F6">
        <v>2.5272419128810699</v>
      </c>
      <c r="G6">
        <v>-310.24786829599503</v>
      </c>
      <c r="H6">
        <v>-269.57399303255818</v>
      </c>
      <c r="I6">
        <v>40.345062999986901</v>
      </c>
      <c r="J6">
        <v>23.573451412459299</v>
      </c>
      <c r="K6">
        <v>7.8094126102470502</v>
      </c>
      <c r="L6">
        <v>2.9026293110357095E-5</v>
      </c>
      <c r="M6">
        <v>1.7925769290573486E-6</v>
      </c>
      <c r="N6" s="1">
        <v>-2.7056960370420901E-7</v>
      </c>
      <c r="O6" s="1">
        <v>7.3645715651010995E-11</v>
      </c>
      <c r="P6" s="1">
        <v>9.3632357962686808E-10</v>
      </c>
      <c r="Q6">
        <v>66.006926484517294</v>
      </c>
      <c r="S6">
        <v>18.963411836458299</v>
      </c>
      <c r="AA6">
        <v>0.243195012212787</v>
      </c>
      <c r="AB6">
        <v>4.47286891844956</v>
      </c>
      <c r="AC6">
        <v>10.3135977483619</v>
      </c>
      <c r="AJ6">
        <v>0.39260313815356601</v>
      </c>
      <c r="AK6">
        <v>1.17959534384472E-2</v>
      </c>
      <c r="AL6">
        <v>0.59560090840798596</v>
      </c>
    </row>
    <row r="7" spans="1:38" x14ac:dyDescent="0.2">
      <c r="A7">
        <v>23</v>
      </c>
      <c r="B7">
        <v>735</v>
      </c>
      <c r="C7">
        <v>300</v>
      </c>
      <c r="D7">
        <v>0.25862272479293502</v>
      </c>
      <c r="E7">
        <v>7.4497572947078998</v>
      </c>
      <c r="F7">
        <v>2.5761518460032899</v>
      </c>
      <c r="G7">
        <v>-120.13593190095402</v>
      </c>
      <c r="H7">
        <v>-104.52599812619414</v>
      </c>
      <c r="I7">
        <v>15.483741283300899</v>
      </c>
      <c r="J7">
        <v>9.2086331654603093</v>
      </c>
      <c r="K7">
        <v>2.89181606521589</v>
      </c>
      <c r="L7">
        <v>3.2776300088838557E-5</v>
      </c>
      <c r="M7">
        <v>1.8139956297575825E-6</v>
      </c>
      <c r="N7" s="1">
        <v>-2.2624356902853799E-7</v>
      </c>
      <c r="O7" s="1">
        <v>2.4656407809941699E-11</v>
      </c>
      <c r="P7" s="1">
        <v>7.1449537740915096E-10</v>
      </c>
      <c r="Q7">
        <v>65.301946435456799</v>
      </c>
      <c r="S7">
        <v>21.305664581497599</v>
      </c>
      <c r="AA7">
        <v>2.3400749663735501</v>
      </c>
      <c r="AB7">
        <v>9.0423787633892907</v>
      </c>
      <c r="AC7">
        <v>2.0099352532826802</v>
      </c>
      <c r="AJ7">
        <v>0.77564426650757801</v>
      </c>
      <c r="AK7">
        <v>0.110922705262053</v>
      </c>
      <c r="AL7">
        <v>0.11343302823036799</v>
      </c>
    </row>
    <row r="8" spans="1:38" x14ac:dyDescent="0.2">
      <c r="A8">
        <v>24</v>
      </c>
      <c r="B8">
        <v>734</v>
      </c>
      <c r="C8">
        <v>300</v>
      </c>
      <c r="D8">
        <v>0.25781710768008598</v>
      </c>
      <c r="E8">
        <v>34.466969799898997</v>
      </c>
      <c r="F8">
        <v>2.5272429937545402</v>
      </c>
      <c r="G8">
        <v>-541.64342555791404</v>
      </c>
      <c r="H8">
        <v>-470.73907502357469</v>
      </c>
      <c r="I8">
        <v>70.400983502298004</v>
      </c>
      <c r="J8">
        <v>41.169866257268197</v>
      </c>
      <c r="K8">
        <v>13.638170086958599</v>
      </c>
      <c r="L8">
        <v>2.9025802881630809E-5</v>
      </c>
      <c r="M8">
        <v>1.792304923472325E-6</v>
      </c>
      <c r="N8" s="1">
        <v>-4.8419440276967097E-7</v>
      </c>
      <c r="O8" s="1">
        <v>1.28555198756056E-10</v>
      </c>
      <c r="P8" s="1">
        <v>1.6678845583290299E-9</v>
      </c>
      <c r="Q8">
        <v>65.9949872661943</v>
      </c>
      <c r="S8">
        <v>18.9583494630016</v>
      </c>
      <c r="AA8">
        <v>0.241804355652533</v>
      </c>
      <c r="AB8">
        <v>4.4329913404017898</v>
      </c>
      <c r="AC8">
        <v>10.3718675747497</v>
      </c>
      <c r="AJ8">
        <v>0.38918177804000398</v>
      </c>
      <c r="AK8">
        <v>1.1730878180531E-2</v>
      </c>
      <c r="AL8">
        <v>0.59908734377946404</v>
      </c>
    </row>
    <row r="9" spans="1:38" x14ac:dyDescent="0.2">
      <c r="A9">
        <v>24</v>
      </c>
      <c r="B9">
        <v>734</v>
      </c>
      <c r="C9">
        <v>300</v>
      </c>
      <c r="D9">
        <v>0.25781710768008598</v>
      </c>
      <c r="E9">
        <v>15.0129902645409</v>
      </c>
      <c r="F9">
        <v>2.5768191465897399</v>
      </c>
      <c r="G9">
        <v>-242.09772478293002</v>
      </c>
      <c r="H9">
        <v>-210.69193493620469</v>
      </c>
      <c r="I9">
        <v>31.182832593680502</v>
      </c>
      <c r="J9">
        <v>18.571153568989399</v>
      </c>
      <c r="K9">
        <v>5.82617149690528</v>
      </c>
      <c r="L9">
        <v>3.2837877562511121E-5</v>
      </c>
      <c r="M9">
        <v>1.8132598113980958E-6</v>
      </c>
      <c r="N9" s="1">
        <v>-4.7055161612562999E-7</v>
      </c>
      <c r="O9" s="1">
        <v>4.9512995706532497E-11</v>
      </c>
      <c r="P9" s="1">
        <v>1.4811978692442299E-9</v>
      </c>
      <c r="Q9">
        <v>65.251198157554001</v>
      </c>
      <c r="S9">
        <v>21.3471913840221</v>
      </c>
      <c r="AA9">
        <v>2.38617642053197</v>
      </c>
      <c r="AB9">
        <v>9.0381568587676604</v>
      </c>
      <c r="AC9">
        <v>1.9772771791241099</v>
      </c>
      <c r="AJ9">
        <v>0.77529760333442899</v>
      </c>
      <c r="AK9">
        <v>0.113110235676</v>
      </c>
      <c r="AL9">
        <v>0.11159216098956901</v>
      </c>
    </row>
    <row r="10" spans="1:38" x14ac:dyDescent="0.2">
      <c r="A10">
        <v>25</v>
      </c>
      <c r="B10">
        <v>733</v>
      </c>
      <c r="C10">
        <v>300</v>
      </c>
      <c r="D10">
        <v>0.257009889181535</v>
      </c>
      <c r="E10">
        <v>36.956296552502799</v>
      </c>
      <c r="F10">
        <v>2.5272474933772799</v>
      </c>
      <c r="G10">
        <v>-580.58640001975391</v>
      </c>
      <c r="H10">
        <v>-504.6975678005744</v>
      </c>
      <c r="I10">
        <v>75.424968661908807</v>
      </c>
      <c r="J10">
        <v>44.145646952790003</v>
      </c>
      <c r="K10">
        <v>14.623141045484299</v>
      </c>
      <c r="L10">
        <v>2.9026444735213865E-5</v>
      </c>
      <c r="M10">
        <v>1.7920433440352724E-6</v>
      </c>
      <c r="N10" s="1">
        <v>-5.3203016743855301E-7</v>
      </c>
      <c r="O10" s="1">
        <v>1.3777463638259499E-10</v>
      </c>
      <c r="P10" s="1">
        <v>1.8243459171685201E-9</v>
      </c>
      <c r="Q10">
        <v>65.983249973289702</v>
      </c>
      <c r="S10">
        <v>18.9533707527433</v>
      </c>
      <c r="AA10">
        <v>0.24043560555173699</v>
      </c>
      <c r="AB10">
        <v>4.3937830762739001</v>
      </c>
      <c r="AC10">
        <v>10.4291605921412</v>
      </c>
      <c r="AJ10">
        <v>0.38581649027594001</v>
      </c>
      <c r="AK10">
        <v>1.16667998220286E-2</v>
      </c>
      <c r="AL10">
        <v>0.60251670990202999</v>
      </c>
    </row>
    <row r="11" spans="1:38" x14ac:dyDescent="0.2">
      <c r="A11">
        <v>25</v>
      </c>
      <c r="B11">
        <v>733</v>
      </c>
      <c r="C11">
        <v>300</v>
      </c>
      <c r="D11">
        <v>0.257009889181535</v>
      </c>
      <c r="E11">
        <v>16.080079303940298</v>
      </c>
      <c r="F11">
        <v>2.5774806300033699</v>
      </c>
      <c r="G11">
        <v>-259.30045869357275</v>
      </c>
      <c r="H11">
        <v>-225.71799730256737</v>
      </c>
      <c r="I11">
        <v>33.3771916622823</v>
      </c>
      <c r="J11">
        <v>19.906169165747201</v>
      </c>
      <c r="K11">
        <v>6.2386809494352402</v>
      </c>
      <c r="L11">
        <v>3.290142843419394E-5</v>
      </c>
      <c r="M11">
        <v>1.8125226478602468E-6</v>
      </c>
      <c r="N11" s="1">
        <v>-5.2011690726450597E-7</v>
      </c>
      <c r="O11" s="1">
        <v>5.2841289398676301E-11</v>
      </c>
      <c r="P11" s="1">
        <v>1.63199340027077E-9</v>
      </c>
      <c r="Q11">
        <v>65.200350424209304</v>
      </c>
      <c r="S11">
        <v>21.388589442023701</v>
      </c>
      <c r="AA11">
        <v>2.4321948657083898</v>
      </c>
      <c r="AB11">
        <v>9.0333758025212703</v>
      </c>
      <c r="AC11">
        <v>1.9454894655372601</v>
      </c>
      <c r="AJ11">
        <v>0.77490511403428997</v>
      </c>
      <c r="AK11">
        <v>0.115294238923139</v>
      </c>
      <c r="AL11">
        <v>0.10980064704256901</v>
      </c>
    </row>
    <row r="12" spans="1:38" x14ac:dyDescent="0.2">
      <c r="A12">
        <v>43</v>
      </c>
      <c r="B12">
        <v>740</v>
      </c>
      <c r="C12">
        <v>285</v>
      </c>
      <c r="D12">
        <v>0.27891279672309399</v>
      </c>
      <c r="E12">
        <v>1.90656126606854</v>
      </c>
      <c r="F12">
        <v>2.5257572865292</v>
      </c>
      <c r="G12">
        <v>-29.986656766172523</v>
      </c>
      <c r="H12">
        <v>-26.02861424942714</v>
      </c>
      <c r="I12">
        <v>3.9066698087601801</v>
      </c>
      <c r="J12">
        <v>2.2717487095462499</v>
      </c>
      <c r="K12">
        <v>0.75484737834349203</v>
      </c>
      <c r="L12">
        <v>2.8760452746170682E-5</v>
      </c>
      <c r="M12">
        <v>1.7919631746856931E-6</v>
      </c>
      <c r="N12" s="1">
        <v>-2.0987346841555399E-8</v>
      </c>
      <c r="O12" s="1">
        <v>7.1645568400216101E-12</v>
      </c>
      <c r="P12" s="1">
        <v>7.5760523662126896E-11</v>
      </c>
      <c r="Q12">
        <v>65.996479949545105</v>
      </c>
      <c r="S12">
        <v>18.934565867384102</v>
      </c>
      <c r="AA12">
        <v>0.22183434848991701</v>
      </c>
      <c r="AB12">
        <v>4.3739659172251502</v>
      </c>
      <c r="AC12">
        <v>10.4731539173555</v>
      </c>
      <c r="AJ12">
        <v>0.384115202673732</v>
      </c>
      <c r="AK12">
        <v>1.0765288782842299E-2</v>
      </c>
      <c r="AL12">
        <v>0.605119508543425</v>
      </c>
    </row>
    <row r="13" spans="1:38" x14ac:dyDescent="0.2">
      <c r="A13">
        <v>44</v>
      </c>
      <c r="B13">
        <v>739</v>
      </c>
      <c r="C13">
        <v>285</v>
      </c>
      <c r="D13">
        <v>0.27813120584893603</v>
      </c>
      <c r="E13">
        <v>7.99928724729254</v>
      </c>
      <c r="F13">
        <v>2.5265874577598302</v>
      </c>
      <c r="G13">
        <v>-125.92645143515735</v>
      </c>
      <c r="H13">
        <v>-109.32491908649705</v>
      </c>
      <c r="I13">
        <v>16.402245071046998</v>
      </c>
      <c r="J13">
        <v>9.5489790214547892</v>
      </c>
      <c r="K13">
        <v>3.1660440736870301</v>
      </c>
      <c r="L13">
        <v>2.8969471107058214E-5</v>
      </c>
      <c r="M13">
        <v>1.794024738949599E-6</v>
      </c>
      <c r="N13" s="1">
        <v>-9.6785532414877095E-8</v>
      </c>
      <c r="O13" s="1">
        <v>2.9925974023043103E-11</v>
      </c>
      <c r="P13" s="1">
        <v>3.4309019748770102E-10</v>
      </c>
      <c r="Q13">
        <v>66.035043163130098</v>
      </c>
      <c r="S13">
        <v>18.983950952790899</v>
      </c>
      <c r="AA13">
        <v>0.25357935091621697</v>
      </c>
      <c r="AB13">
        <v>4.5893713929153499</v>
      </c>
      <c r="AC13">
        <v>10.1380551402473</v>
      </c>
      <c r="AJ13">
        <v>0.40259065835526497</v>
      </c>
      <c r="AK13">
        <v>1.2292357017070901E-2</v>
      </c>
      <c r="AL13">
        <v>0.58511698462766404</v>
      </c>
    </row>
    <row r="14" spans="1:38" x14ac:dyDescent="0.2">
      <c r="A14">
        <v>44</v>
      </c>
      <c r="B14">
        <v>739</v>
      </c>
      <c r="C14">
        <v>285</v>
      </c>
      <c r="D14">
        <v>0.27813120584893603</v>
      </c>
      <c r="E14">
        <v>2.01395816888015</v>
      </c>
      <c r="F14">
        <v>2.5741593806065199</v>
      </c>
      <c r="G14">
        <v>-32.49788910741411</v>
      </c>
      <c r="H14">
        <v>-28.250540552439801</v>
      </c>
      <c r="I14">
        <v>4.1963627475910803</v>
      </c>
      <c r="J14">
        <v>2.48141069945888</v>
      </c>
      <c r="K14">
        <v>0.78237508681596202</v>
      </c>
      <c r="L14">
        <v>3.2444413316430651E-5</v>
      </c>
      <c r="M14">
        <v>1.8148179480325316E-6</v>
      </c>
      <c r="N14" s="1">
        <v>-5.2980016548472502E-8</v>
      </c>
      <c r="O14" s="1">
        <v>6.7445870416244699E-12</v>
      </c>
      <c r="P14" s="1">
        <v>1.6992404412934401E-10</v>
      </c>
      <c r="Q14">
        <v>65.368014753926104</v>
      </c>
      <c r="S14">
        <v>21.244091881419699</v>
      </c>
      <c r="AA14">
        <v>2.2738607194522298</v>
      </c>
      <c r="AB14">
        <v>9.0281876304049895</v>
      </c>
      <c r="AC14">
        <v>2.0858450147969299</v>
      </c>
      <c r="AJ14">
        <v>0.77448264372008502</v>
      </c>
      <c r="AK14">
        <v>0.107791809621401</v>
      </c>
      <c r="AL14">
        <v>0.117725546658512</v>
      </c>
    </row>
    <row r="15" spans="1:38" x14ac:dyDescent="0.2">
      <c r="A15">
        <v>45</v>
      </c>
      <c r="B15">
        <v>738</v>
      </c>
      <c r="C15">
        <v>285</v>
      </c>
      <c r="D15">
        <v>0.277348069030313</v>
      </c>
      <c r="E15">
        <v>16.025444378930199</v>
      </c>
      <c r="F15">
        <v>2.5266478312666498</v>
      </c>
      <c r="G15">
        <v>-252.27361295185037</v>
      </c>
      <c r="H15">
        <v>-219.06143960299735</v>
      </c>
      <c r="I15">
        <v>32.8459411055263</v>
      </c>
      <c r="J15">
        <v>19.140132900524801</v>
      </c>
      <c r="K15">
        <v>6.3425714421373902</v>
      </c>
      <c r="L15">
        <v>2.9029933633913188E-5</v>
      </c>
      <c r="M15">
        <v>1.7946267966082285E-6</v>
      </c>
      <c r="N15" s="1">
        <v>-2.0248362170909501E-7</v>
      </c>
      <c r="O15" s="1">
        <v>5.9875570539088694E-11</v>
      </c>
      <c r="P15" s="1">
        <v>7.1185526229684703E-10</v>
      </c>
      <c r="Q15">
        <v>66.049569362655205</v>
      </c>
      <c r="S15">
        <v>18.9832903484178</v>
      </c>
      <c r="AA15">
        <v>0.24964485547104501</v>
      </c>
      <c r="AB15">
        <v>4.6200103894450004</v>
      </c>
      <c r="AC15">
        <v>10.0974850440107</v>
      </c>
      <c r="AJ15">
        <v>0.40521537341660802</v>
      </c>
      <c r="AK15">
        <v>1.20997493143374E-2</v>
      </c>
      <c r="AL15">
        <v>0.58268487726905405</v>
      </c>
    </row>
    <row r="16" spans="1:38" x14ac:dyDescent="0.2">
      <c r="A16">
        <v>45</v>
      </c>
      <c r="B16">
        <v>738</v>
      </c>
      <c r="C16">
        <v>285</v>
      </c>
      <c r="D16">
        <v>0.277348069030313</v>
      </c>
      <c r="E16">
        <v>6.6043342469585502</v>
      </c>
      <c r="F16">
        <v>2.57347493944207</v>
      </c>
      <c r="G16">
        <v>-106.54491742246704</v>
      </c>
      <c r="H16">
        <v>-92.637047682984701</v>
      </c>
      <c r="I16">
        <v>13.7545069865819</v>
      </c>
      <c r="J16">
        <v>8.1436818431359406</v>
      </c>
      <c r="K16">
        <v>2.5663099126158002</v>
      </c>
      <c r="L16">
        <v>3.2554474794092077E-5</v>
      </c>
      <c r="M16">
        <v>1.8168000522095645E-6</v>
      </c>
      <c r="N16" s="1">
        <v>-1.79834366928926E-7</v>
      </c>
      <c r="O16" s="1">
        <v>2.21011583205561E-11</v>
      </c>
      <c r="P16" s="1">
        <v>5.7453576804327804E-10</v>
      </c>
      <c r="Q16">
        <v>65.445624479987998</v>
      </c>
      <c r="S16">
        <v>21.185653397817202</v>
      </c>
      <c r="AA16">
        <v>2.2075392035343602</v>
      </c>
      <c r="AB16">
        <v>9.0479326613817399</v>
      </c>
      <c r="AC16">
        <v>2.1132502572785601</v>
      </c>
      <c r="AJ16">
        <v>0.77610147619648695</v>
      </c>
      <c r="AK16">
        <v>0.104637743367266</v>
      </c>
      <c r="AL16">
        <v>0.11926078043624599</v>
      </c>
    </row>
    <row r="17" spans="1:38" x14ac:dyDescent="0.2">
      <c r="A17">
        <v>46</v>
      </c>
      <c r="B17">
        <v>737</v>
      </c>
      <c r="C17">
        <v>285</v>
      </c>
      <c r="D17">
        <v>0.27656338167599098</v>
      </c>
      <c r="E17">
        <v>27.001859186613299</v>
      </c>
      <c r="F17">
        <v>2.5267401281617499</v>
      </c>
      <c r="G17">
        <v>-425.11213670748134</v>
      </c>
      <c r="H17">
        <v>-369.22190141958038</v>
      </c>
      <c r="I17">
        <v>55.328649495521397</v>
      </c>
      <c r="J17">
        <v>32.274253606695702</v>
      </c>
      <c r="K17">
        <v>10.6864409543603</v>
      </c>
      <c r="L17">
        <v>2.9117885156567884E-5</v>
      </c>
      <c r="M17">
        <v>1.7955926727056876E-6</v>
      </c>
      <c r="N17" s="1">
        <v>-3.5880420745577098E-7</v>
      </c>
      <c r="O17" s="1">
        <v>1.00715230012603E-10</v>
      </c>
      <c r="P17" s="1">
        <v>1.24987029755975E-9</v>
      </c>
      <c r="Q17">
        <v>66.074684167972293</v>
      </c>
      <c r="S17">
        <v>18.984445054750399</v>
      </c>
      <c r="AA17">
        <v>0.24473730353932299</v>
      </c>
      <c r="AB17">
        <v>4.67900459926497</v>
      </c>
      <c r="AC17">
        <v>10.0171288744728</v>
      </c>
      <c r="AJ17">
        <v>0.41026683937452002</v>
      </c>
      <c r="AK17">
        <v>1.18583401773654E-2</v>
      </c>
      <c r="AL17">
        <v>0.577874820448114</v>
      </c>
    </row>
    <row r="18" spans="1:38" x14ac:dyDescent="0.2">
      <c r="A18">
        <v>46</v>
      </c>
      <c r="B18">
        <v>737</v>
      </c>
      <c r="C18">
        <v>285</v>
      </c>
      <c r="D18">
        <v>0.27656338167599098</v>
      </c>
      <c r="E18">
        <v>13.284374594235</v>
      </c>
      <c r="F18">
        <v>2.5722703216643499</v>
      </c>
      <c r="G18">
        <v>-214.24204365942933</v>
      </c>
      <c r="H18">
        <v>-186.30628256501038</v>
      </c>
      <c r="I18">
        <v>27.6550622129574</v>
      </c>
      <c r="J18">
        <v>16.394853281284099</v>
      </c>
      <c r="K18">
        <v>5.1644551050293801</v>
      </c>
      <c r="L18">
        <v>3.2686554701319008E-5</v>
      </c>
      <c r="M18">
        <v>1.8197621638763511E-6</v>
      </c>
      <c r="N18" s="1">
        <v>-3.7473459941764497E-7</v>
      </c>
      <c r="O18" s="1">
        <v>4.4461543758955001E-11</v>
      </c>
      <c r="P18" s="1">
        <v>1.19252274154722E-9</v>
      </c>
      <c r="Q18">
        <v>65.569903542499006</v>
      </c>
      <c r="S18">
        <v>21.0900280120891</v>
      </c>
      <c r="AA18">
        <v>2.0996484609496999</v>
      </c>
      <c r="AB18">
        <v>9.0741875077758802</v>
      </c>
      <c r="AC18">
        <v>2.1662324766861798</v>
      </c>
      <c r="AJ18">
        <v>0.77825387222082398</v>
      </c>
      <c r="AK18">
        <v>9.9510960751324096E-2</v>
      </c>
      <c r="AL18">
        <v>0.122235167027851</v>
      </c>
    </row>
    <row r="19" spans="1:38" x14ac:dyDescent="0.2">
      <c r="A19">
        <v>47</v>
      </c>
      <c r="B19">
        <v>736</v>
      </c>
      <c r="C19">
        <v>285</v>
      </c>
      <c r="D19">
        <v>0.27577713917653601</v>
      </c>
      <c r="E19">
        <v>35.624797676970999</v>
      </c>
      <c r="F19">
        <v>2.5268196330424799</v>
      </c>
      <c r="G19">
        <v>-560.89760826201939</v>
      </c>
      <c r="H19">
        <v>-487.25754827964266</v>
      </c>
      <c r="I19">
        <v>72.972362862187595</v>
      </c>
      <c r="J19">
        <v>42.609404389738302</v>
      </c>
      <c r="K19">
        <v>14.098670602015201</v>
      </c>
      <c r="L19">
        <v>2.9194740211643098E-5</v>
      </c>
      <c r="M19">
        <v>1.7963849970893842E-6</v>
      </c>
      <c r="N19" s="1">
        <v>-4.9580053875889602E-7</v>
      </c>
      <c r="O19" s="1">
        <v>1.32670508974225E-10</v>
      </c>
      <c r="P19" s="1">
        <v>1.71297754596397E-9</v>
      </c>
      <c r="Q19">
        <v>66.094442311061599</v>
      </c>
      <c r="S19">
        <v>18.9846146681225</v>
      </c>
      <c r="AA19">
        <v>0.240266943729258</v>
      </c>
      <c r="AB19">
        <v>4.7234792252562103</v>
      </c>
      <c r="AC19">
        <v>9.9571968518303393</v>
      </c>
      <c r="AJ19">
        <v>0.41407305278217399</v>
      </c>
      <c r="AK19">
        <v>1.16391100091897E-2</v>
      </c>
      <c r="AL19">
        <v>0.57428783720863497</v>
      </c>
    </row>
    <row r="20" spans="1:38" x14ac:dyDescent="0.2">
      <c r="A20">
        <v>47</v>
      </c>
      <c r="B20">
        <v>736</v>
      </c>
      <c r="C20">
        <v>285</v>
      </c>
      <c r="D20">
        <v>0.27577713917653601</v>
      </c>
      <c r="E20">
        <v>18.7141796797547</v>
      </c>
      <c r="F20">
        <v>2.5713472702800502</v>
      </c>
      <c r="G20">
        <v>-301.7261116536107</v>
      </c>
      <c r="H20">
        <v>-262.42909646388887</v>
      </c>
      <c r="I20">
        <v>38.940707714137403</v>
      </c>
      <c r="J20">
        <v>23.115689758133701</v>
      </c>
      <c r="K20">
        <v>7.2779666504231004</v>
      </c>
      <c r="L20">
        <v>3.2808014231876624E-5</v>
      </c>
      <c r="M20">
        <v>1.822133880482893E-6</v>
      </c>
      <c r="N20" s="1">
        <v>-5.4648779836494899E-7</v>
      </c>
      <c r="O20" s="1">
        <v>6.2605897276547605E-11</v>
      </c>
      <c r="P20" s="1">
        <v>1.7325898319175899E-9</v>
      </c>
      <c r="Q20">
        <v>65.666641306880607</v>
      </c>
      <c r="S20">
        <v>21.015617677319799</v>
      </c>
      <c r="AA20">
        <v>2.0156867380356398</v>
      </c>
      <c r="AB20">
        <v>9.0946860622272006</v>
      </c>
      <c r="AC20">
        <v>2.2073682155366701</v>
      </c>
      <c r="AJ20">
        <v>0.77993397452986502</v>
      </c>
      <c r="AK20">
        <v>9.5522120626409496E-2</v>
      </c>
      <c r="AL20">
        <v>0.124543904843724</v>
      </c>
    </row>
    <row r="21" spans="1:38" x14ac:dyDescent="0.2">
      <c r="A21">
        <v>48</v>
      </c>
      <c r="B21">
        <v>735</v>
      </c>
      <c r="C21">
        <v>285</v>
      </c>
      <c r="D21">
        <v>0.27498933690423</v>
      </c>
      <c r="E21">
        <v>37.674209101931602</v>
      </c>
      <c r="F21">
        <v>2.5268416818614399</v>
      </c>
      <c r="G21">
        <v>-593.06700017297146</v>
      </c>
      <c r="H21">
        <v>-515.31578666104713</v>
      </c>
      <c r="I21">
        <v>77.122663801938501</v>
      </c>
      <c r="J21">
        <v>45.074468544940402</v>
      </c>
      <c r="K21">
        <v>14.909604100791199</v>
      </c>
      <c r="L21">
        <v>2.9226531265871828E-5</v>
      </c>
      <c r="M21">
        <v>1.7965392607778833E-6</v>
      </c>
      <c r="N21" s="1">
        <v>-5.4207590958766397E-7</v>
      </c>
      <c r="O21" s="1">
        <v>1.4017219463564801E-10</v>
      </c>
      <c r="P21" s="1">
        <v>1.8617842630217099E-9</v>
      </c>
      <c r="Q21">
        <v>66.095307292519905</v>
      </c>
      <c r="S21">
        <v>18.9815188767049</v>
      </c>
      <c r="AA21">
        <v>0.237511052513142</v>
      </c>
      <c r="AB21">
        <v>4.71729077037606</v>
      </c>
      <c r="AC21">
        <v>9.9683720078858897</v>
      </c>
      <c r="AJ21">
        <v>0.41354356787095198</v>
      </c>
      <c r="AK21">
        <v>1.1505970022914E-2</v>
      </c>
      <c r="AL21">
        <v>0.57495046210613199</v>
      </c>
    </row>
    <row r="22" spans="1:38" x14ac:dyDescent="0.2">
      <c r="A22">
        <v>48</v>
      </c>
      <c r="B22">
        <v>735</v>
      </c>
      <c r="C22">
        <v>285</v>
      </c>
      <c r="D22">
        <v>0.27498933690423</v>
      </c>
      <c r="E22">
        <v>19.977307687009901</v>
      </c>
      <c r="F22">
        <v>2.5713516141923001</v>
      </c>
      <c r="G22">
        <v>-322.05275583755025</v>
      </c>
      <c r="H22">
        <v>-280.16863473808866</v>
      </c>
      <c r="I22">
        <v>41.545525070140002</v>
      </c>
      <c r="J22">
        <v>24.6955607956865</v>
      </c>
      <c r="K22">
        <v>7.76918550413225</v>
      </c>
      <c r="L22">
        <v>3.2897125554111995E-5</v>
      </c>
      <c r="M22">
        <v>1.8227734469450209E-6</v>
      </c>
      <c r="N22" s="1">
        <v>-6.0302719567273099E-7</v>
      </c>
      <c r="O22" s="1">
        <v>6.6683716237584996E-11</v>
      </c>
      <c r="P22" s="1">
        <v>1.9051700281091899E-9</v>
      </c>
      <c r="Q22">
        <v>65.680031326448301</v>
      </c>
      <c r="S22">
        <v>21.0075644429775</v>
      </c>
      <c r="AA22">
        <v>2.0059183592319201</v>
      </c>
      <c r="AB22">
        <v>9.1034124020695995</v>
      </c>
      <c r="AC22">
        <v>2.20307346927251</v>
      </c>
      <c r="AJ22">
        <v>0.780648665939499</v>
      </c>
      <c r="AK22">
        <v>9.5055105442604093E-2</v>
      </c>
      <c r="AL22">
        <v>0.12429622861789601</v>
      </c>
    </row>
    <row r="23" spans="1:38" x14ac:dyDescent="0.2">
      <c r="A23">
        <v>64</v>
      </c>
      <c r="B23">
        <v>742</v>
      </c>
      <c r="C23">
        <v>270</v>
      </c>
      <c r="D23">
        <v>0.29672511451509398</v>
      </c>
      <c r="E23">
        <v>1.7334750368007099</v>
      </c>
      <c r="F23">
        <v>2.5256641938220401</v>
      </c>
      <c r="G23">
        <v>-27.312784012195841</v>
      </c>
      <c r="H23">
        <v>-23.697443199927811</v>
      </c>
      <c r="I23">
        <v>3.5613858171383801</v>
      </c>
      <c r="J23">
        <v>2.06768643230828</v>
      </c>
      <c r="K23">
        <v>0.68634422622014202</v>
      </c>
      <c r="L23">
        <v>2.8883707606002683E-5</v>
      </c>
      <c r="M23">
        <v>1.7949268862870233E-6</v>
      </c>
      <c r="N23" s="1">
        <v>-1.8721294124161299E-8</v>
      </c>
      <c r="O23" s="1">
        <v>6.5032236140666198E-12</v>
      </c>
      <c r="P23" s="1">
        <v>6.7926629637112206E-11</v>
      </c>
      <c r="Q23">
        <v>66.049707724448993</v>
      </c>
      <c r="S23">
        <v>18.982619645889301</v>
      </c>
      <c r="AA23">
        <v>0.24905923418451301</v>
      </c>
      <c r="AB23">
        <v>4.6185603874077099</v>
      </c>
      <c r="AC23">
        <v>10.1000530080694</v>
      </c>
      <c r="AJ23">
        <v>0.40509118304554698</v>
      </c>
      <c r="AK23">
        <v>1.20714545356502E-2</v>
      </c>
      <c r="AL23">
        <v>0.58283736241880202</v>
      </c>
    </row>
    <row r="24" spans="1:38" x14ac:dyDescent="0.2">
      <c r="A24">
        <v>65</v>
      </c>
      <c r="B24">
        <v>741</v>
      </c>
      <c r="C24">
        <v>270</v>
      </c>
      <c r="D24">
        <v>0.295962628802445</v>
      </c>
      <c r="E24">
        <v>11.274774199344099</v>
      </c>
      <c r="F24">
        <v>2.52602663651462</v>
      </c>
      <c r="G24">
        <v>-177.69900380701273</v>
      </c>
      <c r="H24">
        <v>-154.20875178044025</v>
      </c>
      <c r="I24">
        <v>23.162502614576201</v>
      </c>
      <c r="J24">
        <v>13.4608667884828</v>
      </c>
      <c r="K24">
        <v>4.4634423233560598</v>
      </c>
      <c r="L24">
        <v>2.8989215844202442E-5</v>
      </c>
      <c r="M24">
        <v>1.7959875819629138E-6</v>
      </c>
      <c r="N24" s="1">
        <v>-1.2927925028254299E-7</v>
      </c>
      <c r="O24" s="1">
        <v>4.2202140322045699E-11</v>
      </c>
      <c r="P24" s="1">
        <v>4.6344076959400199E-10</v>
      </c>
      <c r="Q24">
        <v>66.070570715474005</v>
      </c>
      <c r="S24">
        <v>19.000120117935602</v>
      </c>
      <c r="AA24">
        <v>0.25862920907290299</v>
      </c>
      <c r="AB24">
        <v>4.7109322069643298</v>
      </c>
      <c r="AC24">
        <v>9.9597477505529692</v>
      </c>
      <c r="AJ24">
        <v>0.41299927689087301</v>
      </c>
      <c r="AK24">
        <v>1.2529415130725001E-2</v>
      </c>
      <c r="AL24">
        <v>0.57447130797840096</v>
      </c>
    </row>
    <row r="25" spans="1:38" x14ac:dyDescent="0.2">
      <c r="A25">
        <v>65</v>
      </c>
      <c r="B25">
        <v>741</v>
      </c>
      <c r="C25">
        <v>270</v>
      </c>
      <c r="D25">
        <v>0.295962628802445</v>
      </c>
      <c r="E25">
        <v>4.59862761098519</v>
      </c>
      <c r="F25">
        <v>2.5719001305033502</v>
      </c>
      <c r="G25">
        <v>-74.229973926547217</v>
      </c>
      <c r="H25">
        <v>-64.498962753754185</v>
      </c>
      <c r="I25">
        <v>9.5952385473480497</v>
      </c>
      <c r="J25">
        <v>5.6573638882524202</v>
      </c>
      <c r="K25">
        <v>1.7880272863025899</v>
      </c>
      <c r="L25">
        <v>3.2309421635129695E-5</v>
      </c>
      <c r="M25">
        <v>1.8173934065879448E-6</v>
      </c>
      <c r="N25" s="1">
        <v>-1.12004063345003E-7</v>
      </c>
      <c r="O25" s="1">
        <v>1.5515480786214599E-11</v>
      </c>
      <c r="P25" s="1">
        <v>3.6240792039709E-10</v>
      </c>
      <c r="Q25">
        <v>65.483050130567605</v>
      </c>
      <c r="S25">
        <v>21.147810776455302</v>
      </c>
      <c r="AA25">
        <v>2.1675858895120199</v>
      </c>
      <c r="AB25">
        <v>9.0321243652385803</v>
      </c>
      <c r="AC25">
        <v>2.16942883822633</v>
      </c>
      <c r="AJ25">
        <v>0.774806975758906</v>
      </c>
      <c r="AK25">
        <v>0.10275210289466399</v>
      </c>
      <c r="AL25">
        <v>0.122440921346429</v>
      </c>
    </row>
    <row r="26" spans="1:38" x14ac:dyDescent="0.2">
      <c r="A26">
        <v>66</v>
      </c>
      <c r="B26">
        <v>740</v>
      </c>
      <c r="C26">
        <v>270</v>
      </c>
      <c r="D26">
        <v>0.295198637911468</v>
      </c>
      <c r="E26">
        <v>18.047473833696301</v>
      </c>
      <c r="F26">
        <v>2.5260680199302401</v>
      </c>
      <c r="G26">
        <v>-284.41565099983359</v>
      </c>
      <c r="H26">
        <v>-246.87152662089335</v>
      </c>
      <c r="I26">
        <v>37.056827102541703</v>
      </c>
      <c r="J26">
        <v>21.554581161831202</v>
      </c>
      <c r="K26">
        <v>7.1444924251068596</v>
      </c>
      <c r="L26">
        <v>2.9030193642656473E-5</v>
      </c>
      <c r="M26">
        <v>1.7963411162061082E-6</v>
      </c>
      <c r="N26" s="1">
        <v>-2.1497968772834501E-7</v>
      </c>
      <c r="O26" s="1">
        <v>6.7486746186486602E-11</v>
      </c>
      <c r="P26" s="1">
        <v>7.64782374465426E-10</v>
      </c>
      <c r="Q26">
        <v>66.077858627650897</v>
      </c>
      <c r="S26">
        <v>18.998135311638599</v>
      </c>
      <c r="AA26">
        <v>0.25529118888072599</v>
      </c>
      <c r="AB26">
        <v>4.7219695007379796</v>
      </c>
      <c r="AC26">
        <v>9.9467453710917297</v>
      </c>
      <c r="AJ26">
        <v>0.41394374120910998</v>
      </c>
      <c r="AK26">
        <v>1.23670113395508E-2</v>
      </c>
      <c r="AL26">
        <v>0.57368924745133798</v>
      </c>
    </row>
    <row r="27" spans="1:38" x14ac:dyDescent="0.2">
      <c r="A27">
        <v>66</v>
      </c>
      <c r="B27">
        <v>740</v>
      </c>
      <c r="C27">
        <v>270</v>
      </c>
      <c r="D27">
        <v>0.295198637911468</v>
      </c>
      <c r="E27">
        <v>8.2475074946538296</v>
      </c>
      <c r="F27">
        <v>2.57159293722541</v>
      </c>
      <c r="G27">
        <v>-133.10633301382921</v>
      </c>
      <c r="H27">
        <v>-115.68036184053088</v>
      </c>
      <c r="I27">
        <v>17.199793883727299</v>
      </c>
      <c r="J27">
        <v>10.153307189812899</v>
      </c>
      <c r="K27">
        <v>3.20715902399093</v>
      </c>
      <c r="L27">
        <v>3.2397280143886003E-5</v>
      </c>
      <c r="M27">
        <v>1.8185839303275387E-6</v>
      </c>
      <c r="N27" s="1">
        <v>-2.0773166114669701E-7</v>
      </c>
      <c r="O27" s="1">
        <v>2.77917142729767E-11</v>
      </c>
      <c r="P27" s="1">
        <v>6.6946540335320103E-10</v>
      </c>
      <c r="Q27">
        <v>65.524527362613199</v>
      </c>
      <c r="S27">
        <v>21.117454165693498</v>
      </c>
      <c r="AA27">
        <v>2.1328632297388901</v>
      </c>
      <c r="AB27">
        <v>9.0449703511910897</v>
      </c>
      <c r="AC27">
        <v>2.1801848907631798</v>
      </c>
      <c r="AJ27">
        <v>0.77586003416315596</v>
      </c>
      <c r="AK27">
        <v>0.10109973821926301</v>
      </c>
      <c r="AL27">
        <v>0.12304022761758</v>
      </c>
    </row>
    <row r="28" spans="1:38" x14ac:dyDescent="0.2">
      <c r="A28">
        <v>67</v>
      </c>
      <c r="B28">
        <v>739</v>
      </c>
      <c r="C28">
        <v>270</v>
      </c>
      <c r="D28">
        <v>0.29443313738082399</v>
      </c>
      <c r="E28">
        <v>32.032041490149403</v>
      </c>
      <c r="F28">
        <v>2.52616276075931</v>
      </c>
      <c r="G28">
        <v>-504.84714878174492</v>
      </c>
      <c r="H28">
        <v>-438.29638605655686</v>
      </c>
      <c r="I28">
        <v>65.751877414600699</v>
      </c>
      <c r="J28">
        <v>38.282844673073498</v>
      </c>
      <c r="K28">
        <v>12.680117840277701</v>
      </c>
      <c r="L28">
        <v>2.9110371757625888E-5</v>
      </c>
      <c r="M28">
        <v>1.797234289230698E-6</v>
      </c>
      <c r="N28" s="1">
        <v>-4.0067847697148998E-7</v>
      </c>
      <c r="O28" s="1">
        <v>1.1959506889592201E-10</v>
      </c>
      <c r="P28" s="1">
        <v>1.41215912862213E-9</v>
      </c>
      <c r="Q28">
        <v>66.100899586563798</v>
      </c>
      <c r="S28">
        <v>18.999013899590999</v>
      </c>
      <c r="AA28">
        <v>0.250639740165224</v>
      </c>
      <c r="AB28">
        <v>4.7756183748099899</v>
      </c>
      <c r="AC28">
        <v>9.8738283988699003</v>
      </c>
      <c r="AJ28">
        <v>0.418532879641625</v>
      </c>
      <c r="AK28">
        <v>1.2138378874483199E-2</v>
      </c>
      <c r="AL28">
        <v>0.56932874148389101</v>
      </c>
    </row>
    <row r="29" spans="1:38" x14ac:dyDescent="0.2">
      <c r="A29">
        <v>67</v>
      </c>
      <c r="B29">
        <v>739</v>
      </c>
      <c r="C29">
        <v>270</v>
      </c>
      <c r="D29">
        <v>0.29443313738082399</v>
      </c>
      <c r="E29">
        <v>16.305815074803601</v>
      </c>
      <c r="F29">
        <v>2.57051337786611</v>
      </c>
      <c r="G29">
        <v>-263.07825423028083</v>
      </c>
      <c r="H29">
        <v>-228.67522458186346</v>
      </c>
      <c r="I29">
        <v>33.990050534424</v>
      </c>
      <c r="J29">
        <v>20.089206946306199</v>
      </c>
      <c r="K29">
        <v>6.3434079803699799</v>
      </c>
      <c r="L29">
        <v>3.2515566217606787E-5</v>
      </c>
      <c r="M29">
        <v>1.821211857374848E-6</v>
      </c>
      <c r="N29" s="1">
        <v>-4.2522091068730001E-7</v>
      </c>
      <c r="O29" s="1">
        <v>5.4949938979018E-11</v>
      </c>
      <c r="P29" s="1">
        <v>1.3648156566981199E-9</v>
      </c>
      <c r="Q29">
        <v>65.634824627276501</v>
      </c>
      <c r="S29">
        <v>21.032089721632701</v>
      </c>
      <c r="AA29">
        <v>2.0367003304778102</v>
      </c>
      <c r="AB29">
        <v>9.0669679033500898</v>
      </c>
      <c r="AC29">
        <v>2.2294174172627002</v>
      </c>
      <c r="AJ29">
        <v>0.77766360230861697</v>
      </c>
      <c r="AK29">
        <v>9.65311807879283E-2</v>
      </c>
      <c r="AL29">
        <v>0.125805216903453</v>
      </c>
    </row>
    <row r="30" spans="1:38" x14ac:dyDescent="0.2">
      <c r="A30">
        <v>68</v>
      </c>
      <c r="B30">
        <v>738</v>
      </c>
      <c r="C30">
        <v>270</v>
      </c>
      <c r="D30">
        <v>0.29366612273154402</v>
      </c>
      <c r="E30">
        <v>36.882074061444001</v>
      </c>
      <c r="F30">
        <v>2.52620294653082</v>
      </c>
      <c r="G30">
        <v>-581.22953556090613</v>
      </c>
      <c r="H30">
        <v>-504.71854509020284</v>
      </c>
      <c r="I30">
        <v>75.667300074868606</v>
      </c>
      <c r="J30">
        <v>44.096202877217699</v>
      </c>
      <c r="K30">
        <v>14.5998064455167</v>
      </c>
      <c r="L30">
        <v>2.9152823661825063E-5</v>
      </c>
      <c r="M30">
        <v>1.7975776891556031E-6</v>
      </c>
      <c r="N30" s="1">
        <v>-4.7894062428214198E-7</v>
      </c>
      <c r="O30" s="1">
        <v>1.37560612976668E-10</v>
      </c>
      <c r="P30" s="1">
        <v>1.6760831189377501E-9</v>
      </c>
      <c r="Q30">
        <v>66.107639059110994</v>
      </c>
      <c r="S30">
        <v>18.996898867783301</v>
      </c>
      <c r="AA30">
        <v>0.24732225348331199</v>
      </c>
      <c r="AB30">
        <v>4.7850920971686497</v>
      </c>
      <c r="AC30">
        <v>9.8630477224536204</v>
      </c>
      <c r="AJ30">
        <v>0.41934302781291899</v>
      </c>
      <c r="AK30">
        <v>1.1977139584899E-2</v>
      </c>
      <c r="AL30">
        <v>0.56867983260218102</v>
      </c>
    </row>
    <row r="31" spans="1:38" x14ac:dyDescent="0.2">
      <c r="A31">
        <v>68</v>
      </c>
      <c r="B31">
        <v>738</v>
      </c>
      <c r="C31">
        <v>270</v>
      </c>
      <c r="D31">
        <v>0.29366612273154402</v>
      </c>
      <c r="E31">
        <v>19.1885084598755</v>
      </c>
      <c r="F31">
        <v>2.5702374107111798</v>
      </c>
      <c r="G31">
        <v>-309.53526892612069</v>
      </c>
      <c r="H31">
        <v>-269.11165766773132</v>
      </c>
      <c r="I31">
        <v>39.977858140126898</v>
      </c>
      <c r="J31">
        <v>23.658025886626401</v>
      </c>
      <c r="K31">
        <v>7.4656560440329596</v>
      </c>
      <c r="L31">
        <v>3.2606099515610805E-5</v>
      </c>
      <c r="M31">
        <v>1.8223360357426013E-6</v>
      </c>
      <c r="N31" s="1">
        <v>-5.1743070823477098E-7</v>
      </c>
      <c r="O31" s="1">
        <v>6.45707924930726E-11</v>
      </c>
      <c r="P31" s="1">
        <v>1.6544633707101201E-9</v>
      </c>
      <c r="Q31">
        <v>65.672832006680906</v>
      </c>
      <c r="S31">
        <v>21.004276481827599</v>
      </c>
      <c r="AA31">
        <v>2.00488562046392</v>
      </c>
      <c r="AB31">
        <v>9.0787492863613402</v>
      </c>
      <c r="AC31">
        <v>2.2392566046661302</v>
      </c>
      <c r="AJ31">
        <v>0.77862906421040301</v>
      </c>
      <c r="AK31">
        <v>9.5017801820627495E-2</v>
      </c>
      <c r="AL31">
        <v>0.12635313396896899</v>
      </c>
    </row>
    <row r="32" spans="1:38" x14ac:dyDescent="0.2">
      <c r="A32">
        <v>69</v>
      </c>
      <c r="B32">
        <v>737</v>
      </c>
      <c r="C32">
        <v>270</v>
      </c>
      <c r="D32">
        <v>0.29289758946691402</v>
      </c>
      <c r="E32">
        <v>38.321939117057099</v>
      </c>
      <c r="F32">
        <v>2.52622399685215</v>
      </c>
      <c r="G32">
        <v>-603.82217924223278</v>
      </c>
      <c r="H32">
        <v>-524.4514506936905</v>
      </c>
      <c r="I32">
        <v>78.573210462349493</v>
      </c>
      <c r="J32">
        <v>45.830795035030803</v>
      </c>
      <c r="K32">
        <v>15.169652083429201</v>
      </c>
      <c r="L32">
        <v>2.918280742193013E-5</v>
      </c>
      <c r="M32">
        <v>1.7977326651976327E-6</v>
      </c>
      <c r="N32" s="1">
        <v>-5.1461204821947004E-7</v>
      </c>
      <c r="O32" s="1">
        <v>1.42806090286277E-10</v>
      </c>
      <c r="P32" s="1">
        <v>1.7896876894468301E-9</v>
      </c>
      <c r="Q32">
        <v>66.108754009959796</v>
      </c>
      <c r="S32">
        <v>18.993779828165</v>
      </c>
      <c r="AA32">
        <v>0.244488855323614</v>
      </c>
      <c r="AB32">
        <v>4.7793997374917003</v>
      </c>
      <c r="AC32">
        <v>9.8735775690597993</v>
      </c>
      <c r="AJ32">
        <v>0.41885629762288401</v>
      </c>
      <c r="AK32">
        <v>1.18402685217262E-2</v>
      </c>
      <c r="AL32">
        <v>0.56930343385538895</v>
      </c>
    </row>
    <row r="33" spans="1:38" x14ac:dyDescent="0.2">
      <c r="A33">
        <v>69</v>
      </c>
      <c r="B33">
        <v>737</v>
      </c>
      <c r="C33">
        <v>270</v>
      </c>
      <c r="D33">
        <v>0.29289758946691402</v>
      </c>
      <c r="E33">
        <v>20.1245502330584</v>
      </c>
      <c r="F33">
        <v>2.5702338269433098</v>
      </c>
      <c r="G33">
        <v>-324.59545919280754</v>
      </c>
      <c r="H33">
        <v>-282.26565567732581</v>
      </c>
      <c r="I33">
        <v>41.904473113380902</v>
      </c>
      <c r="J33">
        <v>24.830325199604601</v>
      </c>
      <c r="K33">
        <v>7.82985190767325</v>
      </c>
      <c r="L33">
        <v>3.2689327936426121E-5</v>
      </c>
      <c r="M33">
        <v>1.8229694458097815E-6</v>
      </c>
      <c r="N33" s="1">
        <v>-5.6094504118679905E-7</v>
      </c>
      <c r="O33" s="1">
        <v>6.7584355755575905E-11</v>
      </c>
      <c r="P33" s="1">
        <v>1.78701207527718E-9</v>
      </c>
      <c r="Q33">
        <v>65.686803741283896</v>
      </c>
      <c r="S33">
        <v>20.995741756428401</v>
      </c>
      <c r="AA33">
        <v>1.9945842713572399</v>
      </c>
      <c r="AB33">
        <v>9.0875096555657997</v>
      </c>
      <c r="AC33">
        <v>2.2353605753644898</v>
      </c>
      <c r="AJ33">
        <v>0.77934666420042498</v>
      </c>
      <c r="AK33">
        <v>9.4525498392208002E-2</v>
      </c>
      <c r="AL33">
        <v>0.12612783740736599</v>
      </c>
    </row>
    <row r="34" spans="1:38" x14ac:dyDescent="0.2">
      <c r="A34">
        <v>83</v>
      </c>
      <c r="B34">
        <v>744</v>
      </c>
      <c r="C34">
        <v>255</v>
      </c>
      <c r="D34">
        <v>0.31446738435825899</v>
      </c>
      <c r="E34">
        <v>5.14501295657589</v>
      </c>
      <c r="F34">
        <v>2.5254471628421298</v>
      </c>
      <c r="G34">
        <v>-81.191194703858471</v>
      </c>
      <c r="H34">
        <v>-70.414514834073643</v>
      </c>
      <c r="I34">
        <v>10.5949760308556</v>
      </c>
      <c r="J34">
        <v>6.1413654313248003</v>
      </c>
      <c r="K34">
        <v>2.0372681053384998</v>
      </c>
      <c r="L34">
        <v>2.8969340340669743E-5</v>
      </c>
      <c r="M34">
        <v>1.7975615633424825E-6</v>
      </c>
      <c r="N34" s="1">
        <v>-5.3740232647993497E-8</v>
      </c>
      <c r="O34" s="1">
        <v>1.92850496665289E-11</v>
      </c>
      <c r="P34" s="1">
        <v>1.9654648212727599E-10</v>
      </c>
      <c r="Q34">
        <v>66.096809159483698</v>
      </c>
      <c r="S34">
        <v>19.018589446029399</v>
      </c>
      <c r="AA34">
        <v>0.267744211653896</v>
      </c>
      <c r="AB34">
        <v>4.8178229173647997</v>
      </c>
      <c r="AC34">
        <v>9.7990342654681601</v>
      </c>
      <c r="AJ34">
        <v>0.42214112039736401</v>
      </c>
      <c r="AK34">
        <v>1.29639607137279E-2</v>
      </c>
      <c r="AL34">
        <v>0.56489491888890597</v>
      </c>
    </row>
    <row r="35" spans="1:38" x14ac:dyDescent="0.2">
      <c r="A35">
        <v>83</v>
      </c>
      <c r="B35">
        <v>744</v>
      </c>
      <c r="C35">
        <v>255</v>
      </c>
      <c r="D35">
        <v>0.31446738435825899</v>
      </c>
      <c r="E35">
        <v>2.2634496757782601</v>
      </c>
      <c r="F35">
        <v>2.5700546891400302</v>
      </c>
      <c r="G35">
        <v>-36.555034394068066</v>
      </c>
      <c r="H35">
        <v>-31.742209779019888</v>
      </c>
      <c r="I35">
        <v>4.7316763653818796</v>
      </c>
      <c r="J35">
        <v>2.77884705159039</v>
      </c>
      <c r="K35">
        <v>0.88070097704249095</v>
      </c>
      <c r="L35">
        <v>3.2097220427550237E-5</v>
      </c>
      <c r="M35">
        <v>1.8185243430118362E-6</v>
      </c>
      <c r="N35" s="1">
        <v>-4.9344178962474299E-8</v>
      </c>
      <c r="O35" s="1">
        <v>7.69717887009075E-12</v>
      </c>
      <c r="P35" s="1">
        <v>1.61849607191918E-10</v>
      </c>
      <c r="Q35">
        <v>65.543441723896905</v>
      </c>
      <c r="S35">
        <v>21.091109537755301</v>
      </c>
      <c r="AA35">
        <v>2.10671523431277</v>
      </c>
      <c r="AB35">
        <v>9.0180541239888701</v>
      </c>
      <c r="AC35">
        <v>2.2406793800460698</v>
      </c>
      <c r="AJ35">
        <v>0.77365504740450397</v>
      </c>
      <c r="AK35">
        <v>9.9873702871943998E-2</v>
      </c>
      <c r="AL35">
        <v>0.126471249723551</v>
      </c>
    </row>
    <row r="36" spans="1:38" x14ac:dyDescent="0.2">
      <c r="A36">
        <v>84</v>
      </c>
      <c r="B36">
        <v>743</v>
      </c>
      <c r="C36">
        <v>255</v>
      </c>
      <c r="D36">
        <v>0.31372385966638899</v>
      </c>
      <c r="E36">
        <v>14.3787025880073</v>
      </c>
      <c r="F36">
        <v>2.5254757064860001</v>
      </c>
      <c r="G36">
        <v>-226.87368235365722</v>
      </c>
      <c r="H36">
        <v>-196.80294118973762</v>
      </c>
      <c r="I36">
        <v>29.592817166677701</v>
      </c>
      <c r="J36">
        <v>17.167752460413801</v>
      </c>
      <c r="K36">
        <v>5.6934630379058904</v>
      </c>
      <c r="L36">
        <v>2.899912806764678E-5</v>
      </c>
      <c r="M36">
        <v>1.7977879624976559E-6</v>
      </c>
      <c r="N36" s="1">
        <v>-1.5563891404830299E-7</v>
      </c>
      <c r="O36" s="1">
        <v>5.3853736779790303E-11</v>
      </c>
      <c r="P36" s="1">
        <v>5.6486658422385697E-10</v>
      </c>
      <c r="Q36">
        <v>66.100605453541903</v>
      </c>
      <c r="S36">
        <v>19.015876973374201</v>
      </c>
      <c r="AA36">
        <v>0.26462058062008798</v>
      </c>
      <c r="AB36">
        <v>4.8191716554133901</v>
      </c>
      <c r="AC36">
        <v>9.7997253370502992</v>
      </c>
      <c r="AJ36">
        <v>0.42225643802813401</v>
      </c>
      <c r="AK36">
        <v>1.28126302211591E-2</v>
      </c>
      <c r="AL36">
        <v>0.56493093175070597</v>
      </c>
    </row>
    <row r="37" spans="1:38" x14ac:dyDescent="0.2">
      <c r="A37">
        <v>84</v>
      </c>
      <c r="B37">
        <v>743</v>
      </c>
      <c r="C37">
        <v>255</v>
      </c>
      <c r="D37">
        <v>0.31372385966638899</v>
      </c>
      <c r="E37">
        <v>6.839940257436</v>
      </c>
      <c r="F37">
        <v>2.5699290192132</v>
      </c>
      <c r="G37">
        <v>-110.45024449877056</v>
      </c>
      <c r="H37">
        <v>-95.928475414674566</v>
      </c>
      <c r="I37">
        <v>14.290969919889699</v>
      </c>
      <c r="J37">
        <v>8.40244910301071</v>
      </c>
      <c r="K37">
        <v>2.6615288618088302</v>
      </c>
      <c r="L37">
        <v>3.2170703110473169E-5</v>
      </c>
      <c r="M37">
        <v>1.8193370579487901E-6</v>
      </c>
      <c r="N37" s="1">
        <v>-1.5412547098830099E-7</v>
      </c>
      <c r="O37" s="1">
        <v>2.3228440500005601E-11</v>
      </c>
      <c r="P37" s="1">
        <v>5.0338893175297195E-10</v>
      </c>
      <c r="Q37">
        <v>65.568035396121402</v>
      </c>
      <c r="S37">
        <v>21.074045824535201</v>
      </c>
      <c r="AA37">
        <v>2.08689889899125</v>
      </c>
      <c r="AB37">
        <v>9.0281250612406296</v>
      </c>
      <c r="AC37">
        <v>2.2428948191114202</v>
      </c>
      <c r="AJ37">
        <v>0.77448062321435596</v>
      </c>
      <c r="AK37">
        <v>9.8929357916730298E-2</v>
      </c>
      <c r="AL37">
        <v>0.126590018868913</v>
      </c>
    </row>
    <row r="38" spans="1:38" x14ac:dyDescent="0.2">
      <c r="A38">
        <v>85</v>
      </c>
      <c r="B38">
        <v>742</v>
      </c>
      <c r="C38">
        <v>255</v>
      </c>
      <c r="D38">
        <v>0.31297887011771702</v>
      </c>
      <c r="E38">
        <v>25.253569646809002</v>
      </c>
      <c r="F38">
        <v>2.52552174808618</v>
      </c>
      <c r="G38">
        <v>-398.42998981506207</v>
      </c>
      <c r="H38">
        <v>-345.69479222582498</v>
      </c>
      <c r="I38">
        <v>51.948182622506103</v>
      </c>
      <c r="J38">
        <v>30.1629346802236</v>
      </c>
      <c r="K38">
        <v>9.9993475272767007</v>
      </c>
      <c r="L38">
        <v>2.9040627344742028E-5</v>
      </c>
      <c r="M38">
        <v>1.7981720554407216E-6</v>
      </c>
      <c r="N38" s="1">
        <v>-2.8415673855220597E-7</v>
      </c>
      <c r="O38" s="1">
        <v>9.4493880545826403E-11</v>
      </c>
      <c r="P38" s="1">
        <v>1.0229947990255801E-9</v>
      </c>
      <c r="Q38">
        <v>66.108933312690098</v>
      </c>
      <c r="S38">
        <v>19.014046667341798</v>
      </c>
      <c r="AA38">
        <v>0.26116736731936702</v>
      </c>
      <c r="AB38">
        <v>4.8329314577832001</v>
      </c>
      <c r="AC38">
        <v>9.7829211948654198</v>
      </c>
      <c r="AJ38">
        <v>0.423432553653252</v>
      </c>
      <c r="AK38">
        <v>1.2644547998511901E-2</v>
      </c>
      <c r="AL38">
        <v>0.56392289834823495</v>
      </c>
    </row>
    <row r="39" spans="1:38" x14ac:dyDescent="0.2">
      <c r="A39">
        <v>85</v>
      </c>
      <c r="B39">
        <v>742</v>
      </c>
      <c r="C39">
        <v>255</v>
      </c>
      <c r="D39">
        <v>0.31297887011771702</v>
      </c>
      <c r="E39">
        <v>12.523863317219</v>
      </c>
      <c r="F39">
        <v>2.5695812201998298</v>
      </c>
      <c r="G39">
        <v>-202.19650356700055</v>
      </c>
      <c r="H39">
        <v>-175.6472242169535</v>
      </c>
      <c r="I39">
        <v>26.153060483718601</v>
      </c>
      <c r="J39">
        <v>15.3945535945558</v>
      </c>
      <c r="K39">
        <v>4.8738927646136299</v>
      </c>
      <c r="L39">
        <v>3.2253941417761263E-5</v>
      </c>
      <c r="M39">
        <v>1.8205603903113838E-6</v>
      </c>
      <c r="N39" s="1">
        <v>-2.9179110751605799E-7</v>
      </c>
      <c r="O39" s="1">
        <v>4.2487438144709E-11</v>
      </c>
      <c r="P39" s="1">
        <v>9.4901879309654409E-10</v>
      </c>
      <c r="Q39">
        <v>65.612200863031603</v>
      </c>
      <c r="S39">
        <v>21.041256461356699</v>
      </c>
      <c r="AA39">
        <v>2.0495419307098599</v>
      </c>
      <c r="AB39">
        <v>9.0405838577118303</v>
      </c>
      <c r="AC39">
        <v>2.2564168871898902</v>
      </c>
      <c r="AJ39">
        <v>0.77550204667814104</v>
      </c>
      <c r="AK39">
        <v>9.7152519429047096E-2</v>
      </c>
      <c r="AL39">
        <v>0.12734543389281</v>
      </c>
    </row>
    <row r="40" spans="1:38" x14ac:dyDescent="0.2">
      <c r="A40">
        <v>86</v>
      </c>
      <c r="B40">
        <v>741</v>
      </c>
      <c r="C40">
        <v>255</v>
      </c>
      <c r="D40">
        <v>0.31223241137898899</v>
      </c>
      <c r="E40">
        <v>35.090605049328502</v>
      </c>
      <c r="F40">
        <v>2.5255682325477098</v>
      </c>
      <c r="G40">
        <v>-553.58606405969476</v>
      </c>
      <c r="H40">
        <v>-480.41803974124656</v>
      </c>
      <c r="I40">
        <v>72.147142255532302</v>
      </c>
      <c r="J40">
        <v>41.928050927341701</v>
      </c>
      <c r="K40">
        <v>13.894142552597</v>
      </c>
      <c r="L40">
        <v>2.9083434041021931E-5</v>
      </c>
      <c r="M40">
        <v>1.7985613948578633E-6</v>
      </c>
      <c r="N40" s="1">
        <v>-4.1041753313520101E-7</v>
      </c>
      <c r="O40" s="1">
        <v>1.3117206458358301E-10</v>
      </c>
      <c r="P40" s="1">
        <v>1.4659905695894999E-9</v>
      </c>
      <c r="Q40">
        <v>66.117308841245006</v>
      </c>
      <c r="S40">
        <v>19.0122195553921</v>
      </c>
      <c r="AA40">
        <v>0.25770566616532697</v>
      </c>
      <c r="AB40">
        <v>4.8468058625730803</v>
      </c>
      <c r="AC40">
        <v>9.7659600746243598</v>
      </c>
      <c r="AJ40">
        <v>0.42461829868330297</v>
      </c>
      <c r="AK40">
        <v>1.24760710448858E-2</v>
      </c>
      <c r="AL40">
        <v>0.56290563027180995</v>
      </c>
    </row>
    <row r="41" spans="1:38" x14ac:dyDescent="0.2">
      <c r="A41">
        <v>86</v>
      </c>
      <c r="B41">
        <v>741</v>
      </c>
      <c r="C41">
        <v>255</v>
      </c>
      <c r="D41">
        <v>0.31223241137898899</v>
      </c>
      <c r="E41">
        <v>17.829533572905898</v>
      </c>
      <c r="F41">
        <v>2.5692319965043602</v>
      </c>
      <c r="G41">
        <v>-287.80338147699757</v>
      </c>
      <c r="H41">
        <v>-250.06352318348485</v>
      </c>
      <c r="I41">
        <v>37.213290236663802</v>
      </c>
      <c r="J41">
        <v>21.930717856613899</v>
      </c>
      <c r="K41">
        <v>6.9396355008673298</v>
      </c>
      <c r="L41">
        <v>3.2339058641601073E-5</v>
      </c>
      <c r="M41">
        <v>1.8217857821141271E-6</v>
      </c>
      <c r="N41" s="1">
        <v>-4.2952858935623403E-7</v>
      </c>
      <c r="O41" s="1">
        <v>6.0421330409542202E-11</v>
      </c>
      <c r="P41" s="1">
        <v>1.39126470285765E-9</v>
      </c>
      <c r="Q41">
        <v>65.656287533567095</v>
      </c>
      <c r="S41">
        <v>21.008458722420201</v>
      </c>
      <c r="AA41">
        <v>2.0121964383992199</v>
      </c>
      <c r="AB41">
        <v>9.0528451025483196</v>
      </c>
      <c r="AC41">
        <v>2.2702122030650602</v>
      </c>
      <c r="AJ41">
        <v>0.776507161933783</v>
      </c>
      <c r="AK41">
        <v>9.5376535414628302E-2</v>
      </c>
      <c r="AL41">
        <v>0.12811630265158799</v>
      </c>
    </row>
    <row r="42" spans="1:38" x14ac:dyDescent="0.2">
      <c r="A42">
        <v>87</v>
      </c>
      <c r="B42">
        <v>740</v>
      </c>
      <c r="C42">
        <v>255</v>
      </c>
      <c r="D42">
        <v>0.31148447909983901</v>
      </c>
      <c r="E42">
        <v>37.866714580375103</v>
      </c>
      <c r="F42">
        <v>2.5255877095618802</v>
      </c>
      <c r="G42">
        <v>-597.28473254710434</v>
      </c>
      <c r="H42">
        <v>-518.45395623440083</v>
      </c>
      <c r="I42">
        <v>77.807606289990105</v>
      </c>
      <c r="J42">
        <v>45.256503453312497</v>
      </c>
      <c r="K42">
        <v>14.993228877782199</v>
      </c>
      <c r="L42">
        <v>2.9110457000518138E-5</v>
      </c>
      <c r="M42">
        <v>1.7987111827041228E-6</v>
      </c>
      <c r="N42" s="1">
        <v>-4.5807352366746E-7</v>
      </c>
      <c r="O42" s="1">
        <v>1.4143826261146201E-10</v>
      </c>
      <c r="P42" s="1">
        <v>1.62520304987977E-9</v>
      </c>
      <c r="Q42">
        <v>66.118584050911295</v>
      </c>
      <c r="S42">
        <v>19.0090456655238</v>
      </c>
      <c r="AA42">
        <v>0.25478962178345499</v>
      </c>
      <c r="AB42">
        <v>4.8413268340167397</v>
      </c>
      <c r="AC42">
        <v>9.7762538277645792</v>
      </c>
      <c r="AJ42">
        <v>0.42415010545769999</v>
      </c>
      <c r="AK42">
        <v>1.23352427704028E-2</v>
      </c>
      <c r="AL42">
        <v>0.56351465177189597</v>
      </c>
    </row>
    <row r="43" spans="1:38" x14ac:dyDescent="0.2">
      <c r="A43">
        <v>87</v>
      </c>
      <c r="B43">
        <v>740</v>
      </c>
      <c r="C43">
        <v>255</v>
      </c>
      <c r="D43">
        <v>0.31148447909983901</v>
      </c>
      <c r="E43">
        <v>19.402325823578401</v>
      </c>
      <c r="F43">
        <v>2.5692264063497601</v>
      </c>
      <c r="G43">
        <v>-313.15320014534632</v>
      </c>
      <c r="H43">
        <v>-272.1475749809477</v>
      </c>
      <c r="I43">
        <v>40.473399954990398</v>
      </c>
      <c r="J43">
        <v>23.880896573022898</v>
      </c>
      <c r="K43">
        <v>7.5518162882127502</v>
      </c>
      <c r="L43">
        <v>3.2414452884505192E-5</v>
      </c>
      <c r="M43">
        <v>1.8223964838647564E-6</v>
      </c>
      <c r="N43" s="1">
        <v>-4.8310614195172899E-7</v>
      </c>
      <c r="O43" s="1">
        <v>6.5634932425991205E-11</v>
      </c>
      <c r="P43" s="1">
        <v>1.5586276988127999E-9</v>
      </c>
      <c r="Q43">
        <v>65.670289698365593</v>
      </c>
      <c r="S43">
        <v>20.999880993623901</v>
      </c>
      <c r="AA43">
        <v>2.0018525105794298</v>
      </c>
      <c r="AB43">
        <v>9.0615605448153094</v>
      </c>
      <c r="AC43">
        <v>2.2664162526156799</v>
      </c>
      <c r="AJ43">
        <v>0.77722126657708901</v>
      </c>
      <c r="AK43">
        <v>9.4882156361886003E-2</v>
      </c>
      <c r="AL43">
        <v>0.127896577061024</v>
      </c>
    </row>
    <row r="44" spans="1:38" x14ac:dyDescent="0.2">
      <c r="A44">
        <v>99</v>
      </c>
      <c r="B44">
        <v>746</v>
      </c>
      <c r="C44">
        <v>240</v>
      </c>
      <c r="D44">
        <v>0.33214001864298798</v>
      </c>
      <c r="E44">
        <v>5.4958401701884698</v>
      </c>
      <c r="F44">
        <v>2.5680292205478001</v>
      </c>
      <c r="G44">
        <v>-88.790449485205585</v>
      </c>
      <c r="H44">
        <v>-77.065998162799104</v>
      </c>
      <c r="I44">
        <v>11.5041469090972</v>
      </c>
      <c r="J44">
        <v>6.7384180997888201</v>
      </c>
      <c r="K44">
        <v>2.14010032526659</v>
      </c>
      <c r="L44">
        <v>3.1972691277109419E-5</v>
      </c>
      <c r="M44">
        <v>1.820527929898022E-6</v>
      </c>
      <c r="N44" s="1">
        <v>-1.1085613517434601E-7</v>
      </c>
      <c r="O44" s="1">
        <v>1.8803809211319599E-11</v>
      </c>
      <c r="P44" s="1">
        <v>3.6729653575727799E-10</v>
      </c>
      <c r="Q44">
        <v>65.630405461436197</v>
      </c>
      <c r="S44">
        <v>21.0147152418876</v>
      </c>
      <c r="AA44">
        <v>2.02339735872259</v>
      </c>
      <c r="AB44">
        <v>9.0115705717328307</v>
      </c>
      <c r="AC44">
        <v>2.3199113662206301</v>
      </c>
      <c r="AJ44">
        <v>0.77312510159889103</v>
      </c>
      <c r="AK44">
        <v>9.5927086662674396E-2</v>
      </c>
      <c r="AL44">
        <v>0.13094781173843401</v>
      </c>
    </row>
    <row r="45" spans="1:38" x14ac:dyDescent="0.2">
      <c r="A45">
        <v>99</v>
      </c>
      <c r="B45">
        <v>746</v>
      </c>
      <c r="C45">
        <v>240</v>
      </c>
      <c r="D45">
        <v>0.33214001864298798</v>
      </c>
      <c r="E45">
        <v>10.2483105116586</v>
      </c>
      <c r="F45">
        <v>2.5249286661191901</v>
      </c>
      <c r="G45">
        <v>-161.90918364253216</v>
      </c>
      <c r="H45">
        <v>-140.3616416688279</v>
      </c>
      <c r="I45">
        <v>21.142660034052099</v>
      </c>
      <c r="J45">
        <v>12.234642730313</v>
      </c>
      <c r="K45">
        <v>4.0588515030843304</v>
      </c>
      <c r="L45">
        <v>2.8986812300204155E-5</v>
      </c>
      <c r="M45">
        <v>1.7994280049845723E-6</v>
      </c>
      <c r="N45" s="1">
        <v>-1.0115671694368099E-7</v>
      </c>
      <c r="O45" s="1">
        <v>3.84306651738229E-11</v>
      </c>
      <c r="P45" s="1">
        <v>3.7476977275253401E-10</v>
      </c>
      <c r="Q45">
        <v>66.127945230206905</v>
      </c>
      <c r="S45">
        <v>19.0352720284274</v>
      </c>
      <c r="AA45">
        <v>0.274242336502313</v>
      </c>
      <c r="AB45">
        <v>4.9309435401619801</v>
      </c>
      <c r="AC45">
        <v>9.6315968647013701</v>
      </c>
      <c r="AJ45">
        <v>0.431805013752946</v>
      </c>
      <c r="AK45">
        <v>1.3270978376885701E-2</v>
      </c>
      <c r="AL45">
        <v>0.55492400787016705</v>
      </c>
    </row>
    <row r="46" spans="1:38" x14ac:dyDescent="0.2">
      <c r="A46">
        <v>100</v>
      </c>
      <c r="B46">
        <v>745</v>
      </c>
      <c r="C46">
        <v>240</v>
      </c>
      <c r="D46">
        <v>0.33141531208564601</v>
      </c>
      <c r="E46">
        <v>8.7849638935682997</v>
      </c>
      <c r="F46">
        <v>2.5681994588969101</v>
      </c>
      <c r="G46">
        <v>-141.91656403543416</v>
      </c>
      <c r="H46">
        <v>-123.20435432200168</v>
      </c>
      <c r="I46">
        <v>18.378637443826999</v>
      </c>
      <c r="J46">
        <v>10.7769535871579</v>
      </c>
      <c r="K46">
        <v>3.42067040904276</v>
      </c>
      <c r="L46">
        <v>3.203157569360917E-5</v>
      </c>
      <c r="M46">
        <v>1.8207918252254468E-6</v>
      </c>
      <c r="N46" s="1">
        <v>-1.8306108490400199E-7</v>
      </c>
      <c r="O46" s="1">
        <v>3.0004632101642498E-11</v>
      </c>
      <c r="P46" s="1">
        <v>6.0386584847986095E-10</v>
      </c>
      <c r="Q46">
        <v>65.629044656283</v>
      </c>
      <c r="S46">
        <v>21.018567258853199</v>
      </c>
      <c r="AA46">
        <v>2.0268928374397901</v>
      </c>
      <c r="AB46">
        <v>9.0186366536839309</v>
      </c>
      <c r="AC46">
        <v>2.3068585937399901</v>
      </c>
      <c r="AJ46">
        <v>0.77370410907812204</v>
      </c>
      <c r="AK46">
        <v>9.6089424306085205E-2</v>
      </c>
      <c r="AL46">
        <v>0.13020646661579199</v>
      </c>
    </row>
    <row r="47" spans="1:38" x14ac:dyDescent="0.2">
      <c r="A47">
        <v>100</v>
      </c>
      <c r="B47">
        <v>745</v>
      </c>
      <c r="C47">
        <v>240</v>
      </c>
      <c r="D47">
        <v>0.33141531208564601</v>
      </c>
      <c r="E47">
        <v>17.392371534009602</v>
      </c>
      <c r="F47">
        <v>2.5249298007665799</v>
      </c>
      <c r="G47">
        <v>-274.71921475680267</v>
      </c>
      <c r="H47">
        <v>-238.21069920554109</v>
      </c>
      <c r="I47">
        <v>35.857698326633098</v>
      </c>
      <c r="J47">
        <v>20.766215796083099</v>
      </c>
      <c r="K47">
        <v>6.8882594394225203</v>
      </c>
      <c r="L47">
        <v>2.9001059127950944E-5</v>
      </c>
      <c r="M47">
        <v>1.7994439344338371E-6</v>
      </c>
      <c r="N47" s="1">
        <v>-1.77136351086624E-7</v>
      </c>
      <c r="O47" s="1">
        <v>6.5185343229086601E-11</v>
      </c>
      <c r="P47" s="1">
        <v>6.5161707361165796E-10</v>
      </c>
      <c r="Q47">
        <v>66.125771429583693</v>
      </c>
      <c r="S47">
        <v>19.031256420354602</v>
      </c>
      <c r="AA47">
        <v>0.27143664538339402</v>
      </c>
      <c r="AB47">
        <v>4.9155719034003802</v>
      </c>
      <c r="AC47">
        <v>9.6559636012778292</v>
      </c>
      <c r="AJ47">
        <v>0.43049248407172003</v>
      </c>
      <c r="AK47">
        <v>1.31362313967821E-2</v>
      </c>
      <c r="AL47">
        <v>0.55637128453149698</v>
      </c>
    </row>
    <row r="48" spans="1:38" x14ac:dyDescent="0.2">
      <c r="A48">
        <v>101</v>
      </c>
      <c r="B48">
        <v>744</v>
      </c>
      <c r="C48">
        <v>240</v>
      </c>
      <c r="D48">
        <v>0.33068918055350899</v>
      </c>
      <c r="E48">
        <v>15.234790591028499</v>
      </c>
      <c r="F48">
        <v>2.5681250806995699</v>
      </c>
      <c r="G48">
        <v>-246.07715493322598</v>
      </c>
      <c r="H48">
        <v>-213.6761937103513</v>
      </c>
      <c r="I48">
        <v>31.854653908346499</v>
      </c>
      <c r="J48">
        <v>18.699859897580101</v>
      </c>
      <c r="K48">
        <v>5.9322619079279697</v>
      </c>
      <c r="L48">
        <v>3.2100298260656584E-5</v>
      </c>
      <c r="M48">
        <v>1.821494538173323E-6</v>
      </c>
      <c r="N48" s="1">
        <v>-3.28075479447496E-7</v>
      </c>
      <c r="O48" s="1">
        <v>5.1962230170649702E-11</v>
      </c>
      <c r="P48" s="1">
        <v>1.0775180757617899E-9</v>
      </c>
      <c r="Q48">
        <v>65.648824763976606</v>
      </c>
      <c r="S48">
        <v>21.005288246774899</v>
      </c>
      <c r="AA48">
        <v>2.0113220987900702</v>
      </c>
      <c r="AB48">
        <v>9.0279029065595502</v>
      </c>
      <c r="AC48">
        <v>2.3066619838987701</v>
      </c>
      <c r="AJ48">
        <v>0.77446367567148</v>
      </c>
      <c r="AK48">
        <v>9.5346902537157802E-2</v>
      </c>
      <c r="AL48">
        <v>0.130189421791361</v>
      </c>
    </row>
    <row r="49" spans="1:38" x14ac:dyDescent="0.2">
      <c r="A49">
        <v>101</v>
      </c>
      <c r="B49">
        <v>744</v>
      </c>
      <c r="C49">
        <v>240</v>
      </c>
      <c r="D49">
        <v>0.33068918055350899</v>
      </c>
      <c r="E49">
        <v>30.463548024756498</v>
      </c>
      <c r="F49">
        <v>2.5249533265974602</v>
      </c>
      <c r="G49">
        <v>-481.11345390892171</v>
      </c>
      <c r="H49">
        <v>-417.26705868812019</v>
      </c>
      <c r="I49">
        <v>62.769891580200998</v>
      </c>
      <c r="J49">
        <v>36.381675047177801</v>
      </c>
      <c r="K49">
        <v>12.064994510535399</v>
      </c>
      <c r="L49">
        <v>2.9027831700017276E-5</v>
      </c>
      <c r="M49">
        <v>1.7996351834264615E-6</v>
      </c>
      <c r="N49" s="1">
        <v>-3.2127163092963301E-7</v>
      </c>
      <c r="O49" s="1">
        <v>1.1409251828945E-10</v>
      </c>
      <c r="P49" s="1">
        <v>1.1728178731053399E-9</v>
      </c>
      <c r="Q49">
        <v>66.128623968447201</v>
      </c>
      <c r="S49">
        <v>19.028291428652299</v>
      </c>
      <c r="AA49">
        <v>0.26832489592279801</v>
      </c>
      <c r="AB49">
        <v>4.9141555220878299</v>
      </c>
      <c r="AC49">
        <v>9.6606041848897792</v>
      </c>
      <c r="AJ49">
        <v>0.43037156087464001</v>
      </c>
      <c r="AK49">
        <v>1.2985731781762501E-2</v>
      </c>
      <c r="AL49">
        <v>0.556642707343596</v>
      </c>
    </row>
    <row r="50" spans="1:38" x14ac:dyDescent="0.2">
      <c r="A50">
        <v>102</v>
      </c>
      <c r="B50">
        <v>743</v>
      </c>
      <c r="C50">
        <v>240</v>
      </c>
      <c r="D50">
        <v>0.32996161983958999</v>
      </c>
      <c r="E50">
        <v>18.529604348362799</v>
      </c>
      <c r="F50">
        <v>2.5681738832207301</v>
      </c>
      <c r="G50">
        <v>-299.26253246235507</v>
      </c>
      <c r="H50">
        <v>-259.91499572740247</v>
      </c>
      <c r="I50">
        <v>38.7221736308149</v>
      </c>
      <c r="J50">
        <v>22.757232060047201</v>
      </c>
      <c r="K50">
        <v>7.2150894724951096</v>
      </c>
      <c r="L50">
        <v>3.2166862070304495E-5</v>
      </c>
      <c r="M50">
        <v>1.8219851015882677E-6</v>
      </c>
      <c r="N50" s="1">
        <v>-4.12328044872802E-7</v>
      </c>
      <c r="O50" s="1">
        <v>6.3095617595037495E-11</v>
      </c>
      <c r="P50" s="1">
        <v>1.3485001182170599E-9</v>
      </c>
      <c r="Q50">
        <v>65.657989180531303</v>
      </c>
      <c r="S50">
        <v>21.0006103067083</v>
      </c>
      <c r="AA50">
        <v>2.0053243590194598</v>
      </c>
      <c r="AB50">
        <v>9.0360614894169604</v>
      </c>
      <c r="AC50">
        <v>2.3000146643238999</v>
      </c>
      <c r="AJ50">
        <v>0.77513225945831199</v>
      </c>
      <c r="AK50">
        <v>9.5058740072988396E-2</v>
      </c>
      <c r="AL50">
        <v>0.129809000468698</v>
      </c>
    </row>
    <row r="51" spans="1:38" x14ac:dyDescent="0.2">
      <c r="A51">
        <v>102</v>
      </c>
      <c r="B51">
        <v>743</v>
      </c>
      <c r="C51">
        <v>240</v>
      </c>
      <c r="D51">
        <v>0.32996161983958999</v>
      </c>
      <c r="E51">
        <v>37.0041846990663</v>
      </c>
      <c r="F51">
        <v>2.5249662600203902</v>
      </c>
      <c r="G51">
        <v>-584.30780690190772</v>
      </c>
      <c r="H51">
        <v>-506.87759508470128</v>
      </c>
      <c r="I51">
        <v>76.199588463520598</v>
      </c>
      <c r="J51">
        <v>44.201825748951201</v>
      </c>
      <c r="K51">
        <v>14.6553184828566</v>
      </c>
      <c r="L51">
        <v>2.9049486273409884E-5</v>
      </c>
      <c r="M51">
        <v>1.7997407384065808E-6</v>
      </c>
      <c r="N51" s="1">
        <v>-4.0335703455552901E-7</v>
      </c>
      <c r="O51" s="1">
        <v>1.3849618362390001E-10</v>
      </c>
      <c r="P51" s="1">
        <v>1.4620277524441099E-9</v>
      </c>
      <c r="Q51">
        <v>66.128897379414099</v>
      </c>
      <c r="S51">
        <v>19.024825653805099</v>
      </c>
      <c r="AA51">
        <v>0.26540179947585102</v>
      </c>
      <c r="AB51">
        <v>4.9056788244246503</v>
      </c>
      <c r="AC51">
        <v>9.6751963428801293</v>
      </c>
      <c r="AJ51">
        <v>0.42964768056743402</v>
      </c>
      <c r="AK51">
        <v>1.28448197315542E-2</v>
      </c>
      <c r="AL51">
        <v>0.55750749970101099</v>
      </c>
    </row>
    <row r="52" spans="1:38" x14ac:dyDescent="0.2">
      <c r="A52">
        <v>103</v>
      </c>
      <c r="B52">
        <v>742</v>
      </c>
      <c r="C52">
        <v>240</v>
      </c>
      <c r="D52">
        <v>0.32923262572033701</v>
      </c>
      <c r="E52">
        <v>19.472208986785901</v>
      </c>
      <c r="F52">
        <v>2.5682758722663301</v>
      </c>
      <c r="G52">
        <v>-314.45390243543619</v>
      </c>
      <c r="H52">
        <v>-273.16880326623613</v>
      </c>
      <c r="I52">
        <v>40.6689643591587</v>
      </c>
      <c r="J52">
        <v>23.929152402243901</v>
      </c>
      <c r="K52">
        <v>7.5818214067490297</v>
      </c>
      <c r="L52">
        <v>3.2233608921291883E-5</v>
      </c>
      <c r="M52">
        <v>1.8223873545091871E-6</v>
      </c>
      <c r="N52" s="1">
        <v>-4.4773950163806002E-7</v>
      </c>
      <c r="O52" s="1">
        <v>6.6185430932243295E-11</v>
      </c>
      <c r="P52" s="1">
        <v>1.4582575971200501E-9</v>
      </c>
      <c r="Q52">
        <v>65.662572989773807</v>
      </c>
      <c r="S52">
        <v>20.999639300471301</v>
      </c>
      <c r="AA52">
        <v>2.0034536997095298</v>
      </c>
      <c r="AB52">
        <v>9.0437306434501199</v>
      </c>
      <c r="AC52">
        <v>2.2906033665951702</v>
      </c>
      <c r="AJ52">
        <v>0.77576062334851503</v>
      </c>
      <c r="AK52">
        <v>9.4966452083970601E-2</v>
      </c>
      <c r="AL52">
        <v>0.12927292456751299</v>
      </c>
    </row>
    <row r="53" spans="1:38" x14ac:dyDescent="0.2">
      <c r="A53">
        <v>103</v>
      </c>
      <c r="B53">
        <v>742</v>
      </c>
      <c r="C53">
        <v>240</v>
      </c>
      <c r="D53">
        <v>0.32923262572033701</v>
      </c>
      <c r="E53">
        <v>38.721659972792899</v>
      </c>
      <c r="F53">
        <v>2.52497508319501</v>
      </c>
      <c r="G53">
        <v>-611.3122412310563</v>
      </c>
      <c r="H53">
        <v>-530.41950948969668</v>
      </c>
      <c r="I53">
        <v>79.685496469841397</v>
      </c>
      <c r="J53">
        <v>46.2621123082629</v>
      </c>
      <c r="K53">
        <v>15.3354622112927</v>
      </c>
      <c r="L53">
        <v>2.9069360790801863E-5</v>
      </c>
      <c r="M53">
        <v>1.7998103025037392E-6</v>
      </c>
      <c r="N53" s="1">
        <v>-4.3590729893427002E-7</v>
      </c>
      <c r="O53" s="1">
        <v>1.4482923502516499E-10</v>
      </c>
      <c r="P53" s="1">
        <v>1.56928972831667E-9</v>
      </c>
      <c r="Q53">
        <v>66.128037757849299</v>
      </c>
      <c r="S53">
        <v>19.021160847748199</v>
      </c>
      <c r="AA53">
        <v>0.26257887789465501</v>
      </c>
      <c r="AB53">
        <v>4.8941554383230397</v>
      </c>
      <c r="AC53">
        <v>9.6940670781846592</v>
      </c>
      <c r="AJ53">
        <v>0.42866351299101602</v>
      </c>
      <c r="AK53">
        <v>1.2708940275105499E-2</v>
      </c>
      <c r="AL53">
        <v>0.55862754673387804</v>
      </c>
    </row>
    <row r="54" spans="1:38" x14ac:dyDescent="0.2">
      <c r="A54">
        <v>111</v>
      </c>
      <c r="B54">
        <v>750</v>
      </c>
      <c r="C54">
        <v>225</v>
      </c>
      <c r="D54">
        <v>0.35115134633240402</v>
      </c>
      <c r="E54">
        <v>1.17608811160212</v>
      </c>
      <c r="F54">
        <v>2.5669466256576898</v>
      </c>
      <c r="G54">
        <v>-19.018990589969668</v>
      </c>
      <c r="H54">
        <v>-16.494003765753881</v>
      </c>
      <c r="I54">
        <v>2.46785595877025</v>
      </c>
      <c r="J54">
        <v>1.43935415964653</v>
      </c>
      <c r="K54">
        <v>0.45816617293348799</v>
      </c>
      <c r="L54">
        <v>3.1772727387220985E-5</v>
      </c>
      <c r="M54">
        <v>1.8212505939125053E-6</v>
      </c>
      <c r="N54" s="1">
        <v>-2.07114497537563E-8</v>
      </c>
      <c r="O54" s="1">
        <v>4.0500719771407703E-12</v>
      </c>
      <c r="P54" s="1">
        <v>6.9968600622815003E-11</v>
      </c>
      <c r="Q54">
        <v>65.657838644848596</v>
      </c>
      <c r="S54">
        <v>21.002516668258099</v>
      </c>
      <c r="AA54">
        <v>2.0069322522612101</v>
      </c>
      <c r="AB54">
        <v>9.0407238033661894</v>
      </c>
      <c r="AC54">
        <v>2.2919886312658102</v>
      </c>
      <c r="AJ54">
        <v>0.77551422116847302</v>
      </c>
      <c r="AK54">
        <v>9.5132753536384798E-2</v>
      </c>
      <c r="AL54">
        <v>0.12935302529514101</v>
      </c>
    </row>
    <row r="55" spans="1:38" x14ac:dyDescent="0.2">
      <c r="A55">
        <v>112</v>
      </c>
      <c r="B55">
        <v>749</v>
      </c>
      <c r="C55">
        <v>225</v>
      </c>
      <c r="D55">
        <v>0.350448075135744</v>
      </c>
      <c r="E55">
        <v>4.5569075617273498</v>
      </c>
      <c r="F55">
        <v>2.5658779368548501</v>
      </c>
      <c r="G55">
        <v>-73.653986618267496</v>
      </c>
      <c r="H55">
        <v>-63.88574938660291</v>
      </c>
      <c r="I55">
        <v>9.5565594400670903</v>
      </c>
      <c r="J55">
        <v>5.5776310230515804</v>
      </c>
      <c r="K55">
        <v>1.7759642796231401</v>
      </c>
      <c r="L55">
        <v>3.1799187687401677E-5</v>
      </c>
      <c r="M55">
        <v>1.8221221988000903E-6</v>
      </c>
      <c r="N55" s="1">
        <v>-8.2317846130157697E-8</v>
      </c>
      <c r="O55" s="1">
        <v>1.5704991669926799E-11</v>
      </c>
      <c r="P55" s="1">
        <v>2.7697858702670398E-10</v>
      </c>
      <c r="Q55">
        <v>65.711142904685701</v>
      </c>
      <c r="S55">
        <v>20.9392058867654</v>
      </c>
      <c r="AA55">
        <v>1.94226238896212</v>
      </c>
      <c r="AB55">
        <v>8.9935320437067503</v>
      </c>
      <c r="AC55">
        <v>2.4138567758799199</v>
      </c>
      <c r="AJ55">
        <v>0.77164800304192105</v>
      </c>
      <c r="AK55">
        <v>9.2088975387196403E-2</v>
      </c>
      <c r="AL55">
        <v>0.13626302157088199</v>
      </c>
    </row>
    <row r="56" spans="1:38" x14ac:dyDescent="0.2">
      <c r="A56">
        <v>112</v>
      </c>
      <c r="B56">
        <v>749</v>
      </c>
      <c r="C56">
        <v>225</v>
      </c>
      <c r="D56">
        <v>0.350448075135744</v>
      </c>
      <c r="E56">
        <v>6.2992037085241597</v>
      </c>
      <c r="F56">
        <v>2.5244399893660598</v>
      </c>
      <c r="G56">
        <v>-99.653094260621913</v>
      </c>
      <c r="H56">
        <v>-86.336987182852283</v>
      </c>
      <c r="I56">
        <v>13.0275469136326</v>
      </c>
      <c r="J56">
        <v>7.5204355892988701</v>
      </c>
      <c r="K56">
        <v>2.4952875628095299</v>
      </c>
      <c r="L56">
        <v>2.8993287778891356E-5</v>
      </c>
      <c r="M56">
        <v>1.8012802502597862E-6</v>
      </c>
      <c r="N56" s="1">
        <v>-5.6928591274379897E-8</v>
      </c>
      <c r="O56" s="1">
        <v>2.3641839034199699E-11</v>
      </c>
      <c r="P56" s="1">
        <v>2.1538365741391301E-10</v>
      </c>
      <c r="Q56">
        <v>66.160318031694601</v>
      </c>
      <c r="S56">
        <v>19.056674832502001</v>
      </c>
      <c r="AA56">
        <v>0.28434611834849999</v>
      </c>
      <c r="AB56">
        <v>5.0591948259532797</v>
      </c>
      <c r="AC56">
        <v>9.4394661915014595</v>
      </c>
      <c r="AJ56">
        <v>0.442748092181591</v>
      </c>
      <c r="AK56">
        <v>1.37509717138087E-2</v>
      </c>
      <c r="AL56">
        <v>0.54350093610459904</v>
      </c>
    </row>
    <row r="57" spans="1:38" x14ac:dyDescent="0.2">
      <c r="A57">
        <v>113</v>
      </c>
      <c r="B57">
        <v>748</v>
      </c>
      <c r="C57">
        <v>225</v>
      </c>
      <c r="D57">
        <v>0.34974342652891699</v>
      </c>
      <c r="E57">
        <v>8.1491412985972893</v>
      </c>
      <c r="F57">
        <v>2.5663455631066898</v>
      </c>
      <c r="G57">
        <v>-131.71147479057225</v>
      </c>
      <c r="H57">
        <v>-114.27027524430041</v>
      </c>
      <c r="I57">
        <v>17.079958425570901</v>
      </c>
      <c r="J57">
        <v>9.9791879345814092</v>
      </c>
      <c r="K57">
        <v>3.1753873740729999</v>
      </c>
      <c r="L57">
        <v>3.1843987689333945E-5</v>
      </c>
      <c r="M57">
        <v>1.8218770021183638E-6</v>
      </c>
      <c r="N57" s="1">
        <v>-1.52018189517881E-7</v>
      </c>
      <c r="O57" s="1">
        <v>2.8026183429460699E-11</v>
      </c>
      <c r="P57" s="1">
        <v>5.0911269825393096E-10</v>
      </c>
      <c r="Q57">
        <v>65.685226410157</v>
      </c>
      <c r="S57">
        <v>20.963387098697801</v>
      </c>
      <c r="AA57">
        <v>1.96825939609927</v>
      </c>
      <c r="AB57">
        <v>8.9991727160894506</v>
      </c>
      <c r="AC57">
        <v>2.3839543789562998</v>
      </c>
      <c r="AJ57">
        <v>0.77210991240420301</v>
      </c>
      <c r="AK57">
        <v>9.3318911544373495E-2</v>
      </c>
      <c r="AL57">
        <v>0.13457117605142199</v>
      </c>
    </row>
    <row r="58" spans="1:38" x14ac:dyDescent="0.2">
      <c r="A58">
        <v>113</v>
      </c>
      <c r="B58">
        <v>748</v>
      </c>
      <c r="C58">
        <v>225</v>
      </c>
      <c r="D58">
        <v>0.34974342652891699</v>
      </c>
      <c r="E58">
        <v>14.932791358349499</v>
      </c>
      <c r="F58">
        <v>2.5244042428204101</v>
      </c>
      <c r="G58">
        <v>-236.16978132883571</v>
      </c>
      <c r="H58">
        <v>-204.65702554988266</v>
      </c>
      <c r="I58">
        <v>30.8600653958311</v>
      </c>
      <c r="J58">
        <v>17.8278749794652</v>
      </c>
      <c r="K58">
        <v>5.9153724688981297</v>
      </c>
      <c r="L58">
        <v>2.8991267785330982E-5</v>
      </c>
      <c r="M58">
        <v>1.801074020978038E-6</v>
      </c>
      <c r="N58" s="1">
        <v>-1.3862425785730001E-7</v>
      </c>
      <c r="O58" s="1">
        <v>5.60289653838772E-11</v>
      </c>
      <c r="P58" s="1">
        <v>5.2104677414343605E-10</v>
      </c>
      <c r="Q58">
        <v>66.152016895427394</v>
      </c>
      <c r="S58">
        <v>19.051129723924301</v>
      </c>
      <c r="AA58">
        <v>0.28170830365863198</v>
      </c>
      <c r="AB58">
        <v>5.0261589658211303</v>
      </c>
      <c r="AC58">
        <v>9.4889861111684208</v>
      </c>
      <c r="AJ58">
        <v>0.439930658463838</v>
      </c>
      <c r="AK58">
        <v>1.3625688220817601E-2</v>
      </c>
      <c r="AL58">
        <v>0.54644365331534395</v>
      </c>
    </row>
    <row r="59" spans="1:38" x14ac:dyDescent="0.2">
      <c r="A59">
        <v>114</v>
      </c>
      <c r="B59">
        <v>747</v>
      </c>
      <c r="C59">
        <v>225</v>
      </c>
      <c r="D59">
        <v>0.34903739646130499</v>
      </c>
      <c r="E59">
        <v>13.5783169902538</v>
      </c>
      <c r="F59">
        <v>2.5667393412457198</v>
      </c>
      <c r="G59">
        <v>-219.45073244697377</v>
      </c>
      <c r="H59">
        <v>-190.43520741374783</v>
      </c>
      <c r="I59">
        <v>28.4424104624084</v>
      </c>
      <c r="J59">
        <v>16.635667644344601</v>
      </c>
      <c r="K59">
        <v>5.2901035847542603</v>
      </c>
      <c r="L59">
        <v>3.1892215107741561E-5</v>
      </c>
      <c r="M59">
        <v>1.8217522298372261E-6</v>
      </c>
      <c r="N59" s="1">
        <v>-2.6159228029068197E-7</v>
      </c>
      <c r="O59" s="1">
        <v>4.6603394104787202E-11</v>
      </c>
      <c r="P59" s="1">
        <v>8.7206313553059696E-10</v>
      </c>
      <c r="Q59">
        <v>65.665195230882802</v>
      </c>
      <c r="S59">
        <v>20.982615769101098</v>
      </c>
      <c r="AA59">
        <v>1.9887972479076801</v>
      </c>
      <c r="AB59">
        <v>9.0049447664655293</v>
      </c>
      <c r="AC59">
        <v>2.3584469856428099</v>
      </c>
      <c r="AJ59">
        <v>0.77258265339078502</v>
      </c>
      <c r="AK59">
        <v>9.4289905424040102E-2</v>
      </c>
      <c r="AL59">
        <v>0.133127441185174</v>
      </c>
    </row>
    <row r="60" spans="1:38" x14ac:dyDescent="0.2">
      <c r="A60">
        <v>114</v>
      </c>
      <c r="B60">
        <v>747</v>
      </c>
      <c r="C60">
        <v>225</v>
      </c>
      <c r="D60">
        <v>0.34903739646130499</v>
      </c>
      <c r="E60">
        <v>27.104881625283198</v>
      </c>
      <c r="F60">
        <v>2.5243786888686701</v>
      </c>
      <c r="G60">
        <v>-428.56572186231597</v>
      </c>
      <c r="H60">
        <v>-371.4631636219591</v>
      </c>
      <c r="I60">
        <v>55.974668666722401</v>
      </c>
      <c r="J60">
        <v>32.361018774541897</v>
      </c>
      <c r="K60">
        <v>10.7372486326251</v>
      </c>
      <c r="L60">
        <v>2.8993389138947494E-5</v>
      </c>
      <c r="M60">
        <v>1.8009244895903104E-6</v>
      </c>
      <c r="N60" s="1">
        <v>-2.5875944299295101E-7</v>
      </c>
      <c r="O60" s="1">
        <v>1.01663886131941E-10</v>
      </c>
      <c r="P60" s="1">
        <v>9.6612175216141706E-10</v>
      </c>
      <c r="Q60">
        <v>66.145258624877897</v>
      </c>
      <c r="S60">
        <v>19.0459892512593</v>
      </c>
      <c r="AA60">
        <v>0.27904431111698003</v>
      </c>
      <c r="AB60">
        <v>4.9976221048671299</v>
      </c>
      <c r="AC60">
        <v>9.5320857078786005</v>
      </c>
      <c r="AJ60">
        <v>0.43749616190434898</v>
      </c>
      <c r="AK60">
        <v>1.34987886233713E-2</v>
      </c>
      <c r="AL60">
        <v>0.54900504947227902</v>
      </c>
    </row>
    <row r="61" spans="1:38" x14ac:dyDescent="0.2">
      <c r="A61">
        <v>115</v>
      </c>
      <c r="B61">
        <v>746</v>
      </c>
      <c r="C61">
        <v>225</v>
      </c>
      <c r="D61">
        <v>0.34832998086640898</v>
      </c>
      <c r="E61">
        <v>17.483054655498002</v>
      </c>
      <c r="F61">
        <v>2.56703049430498</v>
      </c>
      <c r="G61">
        <v>-282.53954107585599</v>
      </c>
      <c r="H61">
        <v>-245.23817563654876</v>
      </c>
      <c r="I61">
        <v>36.6004665057227</v>
      </c>
      <c r="J61">
        <v>21.4304359927424</v>
      </c>
      <c r="K61">
        <v>6.8106143243271102</v>
      </c>
      <c r="L61">
        <v>3.194502411561076E-5</v>
      </c>
      <c r="M61">
        <v>1.821803206241032E-6</v>
      </c>
      <c r="N61" s="1">
        <v>-3.4789621449727998E-7</v>
      </c>
      <c r="O61" s="1">
        <v>5.9891508153393902E-11</v>
      </c>
      <c r="P61" s="1">
        <v>1.15454691518532E-9</v>
      </c>
      <c r="Q61">
        <v>65.653671491649504</v>
      </c>
      <c r="S61">
        <v>20.994816161514901</v>
      </c>
      <c r="AA61">
        <v>2.0015516035815799</v>
      </c>
      <c r="AB61">
        <v>9.0112496463344307</v>
      </c>
      <c r="AC61">
        <v>2.3387110969194702</v>
      </c>
      <c r="AJ61">
        <v>0.77309916314313099</v>
      </c>
      <c r="AK61">
        <v>9.48915986868131E-2</v>
      </c>
      <c r="AL61">
        <v>0.132009238170055</v>
      </c>
    </row>
    <row r="62" spans="1:38" x14ac:dyDescent="0.2">
      <c r="A62">
        <v>115</v>
      </c>
      <c r="B62">
        <v>746</v>
      </c>
      <c r="C62">
        <v>225</v>
      </c>
      <c r="D62">
        <v>0.34832998086640898</v>
      </c>
      <c r="E62">
        <v>35.582581271366898</v>
      </c>
      <c r="F62">
        <v>2.5243652595956201</v>
      </c>
      <c r="G62">
        <v>-562.47760303135203</v>
      </c>
      <c r="H62">
        <v>-487.63985623998553</v>
      </c>
      <c r="I62">
        <v>73.431532935648804</v>
      </c>
      <c r="J62">
        <v>42.486206830038903</v>
      </c>
      <c r="K62">
        <v>14.095654793263501</v>
      </c>
      <c r="L62">
        <v>2.9001053612812299E-5</v>
      </c>
      <c r="M62">
        <v>1.8008513188486436E-6</v>
      </c>
      <c r="N62" s="1">
        <v>-3.4987047701644502E-7</v>
      </c>
      <c r="O62" s="1">
        <v>1.3340347213424401E-10</v>
      </c>
      <c r="P62" s="1">
        <v>1.29733922588154E-9</v>
      </c>
      <c r="Q62">
        <v>66.140622659213406</v>
      </c>
      <c r="S62">
        <v>19.041361058966299</v>
      </c>
      <c r="AA62">
        <v>0.276307744296513</v>
      </c>
      <c r="AB62">
        <v>4.9751576961521904</v>
      </c>
      <c r="AC62">
        <v>9.5665508413715195</v>
      </c>
      <c r="AJ62">
        <v>0.435579220384535</v>
      </c>
      <c r="AK62">
        <v>1.33679296069192E-2</v>
      </c>
      <c r="AL62">
        <v>0.55105285000854498</v>
      </c>
    </row>
    <row r="63" spans="1:38" x14ac:dyDescent="0.2">
      <c r="A63">
        <v>116</v>
      </c>
      <c r="B63">
        <v>745</v>
      </c>
      <c r="C63">
        <v>225</v>
      </c>
      <c r="D63">
        <v>0.347621175661739</v>
      </c>
      <c r="E63">
        <v>18.8525909680186</v>
      </c>
      <c r="F63">
        <v>2.5672234310417399</v>
      </c>
      <c r="G63">
        <v>-304.6462511341482</v>
      </c>
      <c r="H63">
        <v>-264.48526276904045</v>
      </c>
      <c r="I63">
        <v>39.4450605167291</v>
      </c>
      <c r="J63">
        <v>23.1213571716305</v>
      </c>
      <c r="K63">
        <v>7.3435723358011504</v>
      </c>
      <c r="L63">
        <v>3.2002528881655975E-5</v>
      </c>
      <c r="M63">
        <v>1.8220274508991089E-6</v>
      </c>
      <c r="N63" s="1">
        <v>-3.8754442232291902E-7</v>
      </c>
      <c r="O63" s="1">
        <v>6.44686074584833E-11</v>
      </c>
      <c r="P63" s="1">
        <v>1.28042919700098E-9</v>
      </c>
      <c r="Q63">
        <v>65.650443656126896</v>
      </c>
      <c r="S63">
        <v>21.0002200156224</v>
      </c>
      <c r="AA63">
        <v>2.0067630098431599</v>
      </c>
      <c r="AB63">
        <v>9.0182234940337604</v>
      </c>
      <c r="AC63">
        <v>2.3243498243736398</v>
      </c>
      <c r="AJ63">
        <v>0.77367058588384297</v>
      </c>
      <c r="AK63">
        <v>9.5135360735420393E-2</v>
      </c>
      <c r="AL63">
        <v>0.131194053380736</v>
      </c>
    </row>
    <row r="64" spans="1:38" x14ac:dyDescent="0.2">
      <c r="A64">
        <v>116</v>
      </c>
      <c r="B64">
        <v>745</v>
      </c>
      <c r="C64">
        <v>225</v>
      </c>
      <c r="D64">
        <v>0.347621175661739</v>
      </c>
      <c r="E64">
        <v>38.416373233301897</v>
      </c>
      <c r="F64">
        <v>2.52436260651394</v>
      </c>
      <c r="G64">
        <v>-607.1453013711681</v>
      </c>
      <c r="H64">
        <v>-526.48001343373994</v>
      </c>
      <c r="I64">
        <v>79.227312220623801</v>
      </c>
      <c r="J64">
        <v>45.875629764806902</v>
      </c>
      <c r="K64">
        <v>15.218246829584199</v>
      </c>
      <c r="L64">
        <v>2.901409898584667E-5</v>
      </c>
      <c r="M64">
        <v>1.8008504863880046E-6</v>
      </c>
      <c r="N64" s="1">
        <v>-3.8961578044369E-7</v>
      </c>
      <c r="O64" s="1">
        <v>1.4395271799750699E-10</v>
      </c>
      <c r="P64" s="1">
        <v>1.43457411372963E-9</v>
      </c>
      <c r="Q64">
        <v>66.138000442080894</v>
      </c>
      <c r="S64">
        <v>19.037204617832501</v>
      </c>
      <c r="AA64">
        <v>0.27349049632245398</v>
      </c>
      <c r="AB64">
        <v>4.9584175750636597</v>
      </c>
      <c r="AC64">
        <v>9.5928868687003899</v>
      </c>
      <c r="AJ64">
        <v>0.43415046936034302</v>
      </c>
      <c r="AK64">
        <v>1.32327530067159E-2</v>
      </c>
      <c r="AL64">
        <v>0.55261677763294004</v>
      </c>
    </row>
    <row r="65" spans="1:38" x14ac:dyDescent="0.2">
      <c r="A65">
        <v>120</v>
      </c>
      <c r="B65">
        <v>754</v>
      </c>
      <c r="C65">
        <v>210</v>
      </c>
      <c r="D65">
        <v>0.37001460351457899</v>
      </c>
      <c r="E65">
        <v>0.51980683790465099</v>
      </c>
      <c r="F65">
        <v>2.5674692244037902</v>
      </c>
      <c r="G65">
        <v>-8.4180452739041502</v>
      </c>
      <c r="H65">
        <v>-7.2950287374457483</v>
      </c>
      <c r="I65">
        <v>1.0933325575216799</v>
      </c>
      <c r="J65">
        <v>0.63536088931804602</v>
      </c>
      <c r="K65">
        <v>0.20245883883003801</v>
      </c>
      <c r="L65">
        <v>3.1607084514936293E-5</v>
      </c>
      <c r="M65">
        <v>1.8206541363997141E-6</v>
      </c>
      <c r="N65" s="1">
        <v>-8.0493511229574095E-9</v>
      </c>
      <c r="O65" s="1">
        <v>1.79488432411501E-12</v>
      </c>
      <c r="P65" s="1">
        <v>2.77542621841109E-11</v>
      </c>
      <c r="Q65">
        <v>65.595276995182701</v>
      </c>
      <c r="S65">
        <v>21.084730165462702</v>
      </c>
      <c r="AA65">
        <v>2.0893571349309101</v>
      </c>
      <c r="AB65">
        <v>9.1168418929130102</v>
      </c>
      <c r="AC65">
        <v>2.1137938115105999</v>
      </c>
      <c r="AJ65">
        <v>0.78174677656022595</v>
      </c>
      <c r="AK65">
        <v>9.9002268690191395E-2</v>
      </c>
      <c r="AL65">
        <v>0.119250954749582</v>
      </c>
    </row>
    <row r="66" spans="1:38" x14ac:dyDescent="0.2">
      <c r="A66">
        <v>121</v>
      </c>
      <c r="B66">
        <v>753</v>
      </c>
      <c r="C66">
        <v>210</v>
      </c>
      <c r="D66">
        <v>0.36933245626858002</v>
      </c>
      <c r="E66">
        <v>1.96088948123328</v>
      </c>
      <c r="F66">
        <v>2.5652386214875298</v>
      </c>
      <c r="G66">
        <v>-31.72973411237475</v>
      </c>
      <c r="H66">
        <v>-27.499593617899748</v>
      </c>
      <c r="I66">
        <v>4.12234127025775</v>
      </c>
      <c r="J66">
        <v>2.3966221516087298</v>
      </c>
      <c r="K66">
        <v>0.764408217156889</v>
      </c>
      <c r="L66">
        <v>3.1634682520198516E-5</v>
      </c>
      <c r="M66">
        <v>1.8228029967473999E-6</v>
      </c>
      <c r="N66" s="1">
        <v>-3.1050009276855898E-8</v>
      </c>
      <c r="O66" s="1">
        <v>6.7916307838548104E-12</v>
      </c>
      <c r="P66" s="1">
        <v>1.0663170494945999E-10</v>
      </c>
      <c r="Q66">
        <v>65.723090591514506</v>
      </c>
      <c r="S66">
        <v>20.949460229774701</v>
      </c>
      <c r="AA66">
        <v>1.94793449755468</v>
      </c>
      <c r="AB66">
        <v>9.0470399165498101</v>
      </c>
      <c r="AC66">
        <v>2.3324747646061801</v>
      </c>
      <c r="AJ66">
        <v>0.77603266109126601</v>
      </c>
      <c r="AK66">
        <v>9.2333358495357398E-2</v>
      </c>
      <c r="AL66">
        <v>0.13163398041337601</v>
      </c>
    </row>
    <row r="67" spans="1:38" x14ac:dyDescent="0.2">
      <c r="A67">
        <v>122</v>
      </c>
      <c r="B67">
        <v>752</v>
      </c>
      <c r="C67">
        <v>210</v>
      </c>
      <c r="D67">
        <v>0.36864897819831499</v>
      </c>
      <c r="E67">
        <v>4.4781567074548603</v>
      </c>
      <c r="F67">
        <v>2.56358008362248</v>
      </c>
      <c r="G67">
        <v>-72.410496021710344</v>
      </c>
      <c r="H67">
        <v>-62.765055741825009</v>
      </c>
      <c r="I67">
        <v>9.4088087400725104</v>
      </c>
      <c r="J67">
        <v>5.4727236928488496</v>
      </c>
      <c r="K67">
        <v>1.74683706433191</v>
      </c>
      <c r="L67">
        <v>3.164279150079712E-5</v>
      </c>
      <c r="M67">
        <v>1.8238780612194232E-6</v>
      </c>
      <c r="N67" s="1">
        <v>-7.2452586768188699E-8</v>
      </c>
      <c r="O67" s="1">
        <v>1.5541047539542499E-11</v>
      </c>
      <c r="P67" s="1">
        <v>2.4787510651108402E-10</v>
      </c>
      <c r="Q67">
        <v>65.799504831783494</v>
      </c>
      <c r="S67">
        <v>20.855604345172001</v>
      </c>
      <c r="AA67">
        <v>1.8526722134329301</v>
      </c>
      <c r="AB67">
        <v>8.9712695502381603</v>
      </c>
      <c r="AC67">
        <v>2.5209490593732098</v>
      </c>
      <c r="AJ67">
        <v>0.76982447565718004</v>
      </c>
      <c r="AK67">
        <v>8.7851096712741605E-2</v>
      </c>
      <c r="AL67">
        <v>0.14232442763007799</v>
      </c>
    </row>
    <row r="68" spans="1:38" x14ac:dyDescent="0.2">
      <c r="A68">
        <v>122</v>
      </c>
      <c r="B68">
        <v>752</v>
      </c>
      <c r="C68">
        <v>210</v>
      </c>
      <c r="D68">
        <v>0.36864897819831499</v>
      </c>
      <c r="E68">
        <v>3.7416104814099702</v>
      </c>
      <c r="F68">
        <v>2.5240115630097102</v>
      </c>
      <c r="G68">
        <v>-59.27500098443781</v>
      </c>
      <c r="H68">
        <v>-51.322408954649283</v>
      </c>
      <c r="I68">
        <v>7.7574911279213001</v>
      </c>
      <c r="J68">
        <v>4.4677325516775399</v>
      </c>
      <c r="K68">
        <v>1.4824062362647601</v>
      </c>
      <c r="L68">
        <v>2.9013077895369139E-5</v>
      </c>
      <c r="M68">
        <v>1.8032770654334334E-6</v>
      </c>
      <c r="N68" s="1">
        <v>-3.1044647779023899E-8</v>
      </c>
      <c r="O68" s="1">
        <v>1.4050794721836201E-11</v>
      </c>
      <c r="P68" s="1">
        <v>1.2001697137901701E-10</v>
      </c>
      <c r="Q68">
        <v>66.195605739437894</v>
      </c>
      <c r="S68">
        <v>19.079936495052301</v>
      </c>
      <c r="AA68">
        <v>0.29530332394477099</v>
      </c>
      <c r="AB68">
        <v>5.1988150632057604</v>
      </c>
      <c r="AC68">
        <v>9.2303393783591705</v>
      </c>
      <c r="AJ68">
        <v>0.454645069587988</v>
      </c>
      <c r="AK68">
        <v>1.42707646158402E-2</v>
      </c>
      <c r="AL68">
        <v>0.53108416579617101</v>
      </c>
    </row>
    <row r="69" spans="1:38" x14ac:dyDescent="0.2">
      <c r="A69">
        <v>123</v>
      </c>
      <c r="B69">
        <v>751</v>
      </c>
      <c r="C69">
        <v>210</v>
      </c>
      <c r="D69">
        <v>0.36796416540546001</v>
      </c>
      <c r="E69">
        <v>8.0124334928417493</v>
      </c>
      <c r="F69">
        <v>2.5643911091907401</v>
      </c>
      <c r="G69">
        <v>-129.56367063053739</v>
      </c>
      <c r="H69">
        <v>-112.33313160600791</v>
      </c>
      <c r="I69">
        <v>16.824233778772101</v>
      </c>
      <c r="J69">
        <v>9.7960747004594708</v>
      </c>
      <c r="K69">
        <v>3.1244974544347999</v>
      </c>
      <c r="L69">
        <v>3.1675005382111278E-5</v>
      </c>
      <c r="M69">
        <v>1.8231070147888073E-6</v>
      </c>
      <c r="N69" s="1">
        <v>-1.3384637594155E-7</v>
      </c>
      <c r="O69" s="1">
        <v>2.7735624170687201E-11</v>
      </c>
      <c r="P69" s="1">
        <v>4.5562867944590999E-10</v>
      </c>
      <c r="Q69">
        <v>65.747161268391906</v>
      </c>
      <c r="S69">
        <v>20.902387785244699</v>
      </c>
      <c r="AA69">
        <v>1.9034826854521001</v>
      </c>
      <c r="AB69">
        <v>8.9772735961824406</v>
      </c>
      <c r="AC69">
        <v>2.4696946647286602</v>
      </c>
      <c r="AJ69">
        <v>0.77031586873560698</v>
      </c>
      <c r="AK69">
        <v>9.0257667172554498E-2</v>
      </c>
      <c r="AL69">
        <v>0.13942646409183801</v>
      </c>
    </row>
    <row r="70" spans="1:38" x14ac:dyDescent="0.2">
      <c r="A70">
        <v>123</v>
      </c>
      <c r="B70">
        <v>751</v>
      </c>
      <c r="C70">
        <v>210</v>
      </c>
      <c r="D70">
        <v>0.36796416540546001</v>
      </c>
      <c r="E70">
        <v>13.2972428809619</v>
      </c>
      <c r="F70">
        <v>2.5239221466280499</v>
      </c>
      <c r="G70">
        <v>-210.57788654363168</v>
      </c>
      <c r="H70">
        <v>-182.36663818539927</v>
      </c>
      <c r="I70">
        <v>27.546012164460599</v>
      </c>
      <c r="J70">
        <v>15.875480746768501</v>
      </c>
      <c r="K70">
        <v>5.2684837758276499</v>
      </c>
      <c r="L70">
        <v>2.899263776772537E-5</v>
      </c>
      <c r="M70">
        <v>1.8028040220249503E-6</v>
      </c>
      <c r="N70" s="1">
        <v>-1.12717037754072E-7</v>
      </c>
      <c r="O70" s="1">
        <v>4.9934422893945703E-11</v>
      </c>
      <c r="P70" s="1">
        <v>4.33301562316108E-10</v>
      </c>
      <c r="Q70">
        <v>66.180045424798905</v>
      </c>
      <c r="S70">
        <v>19.072369743199701</v>
      </c>
      <c r="AA70">
        <v>0.292691462886913</v>
      </c>
      <c r="AB70">
        <v>5.1443025126169699</v>
      </c>
      <c r="AC70">
        <v>9.3105908564974698</v>
      </c>
      <c r="AJ70">
        <v>0.45000206586831998</v>
      </c>
      <c r="AK70">
        <v>1.41484496505413E-2</v>
      </c>
      <c r="AL70">
        <v>0.53584948448113801</v>
      </c>
    </row>
    <row r="71" spans="1:38" x14ac:dyDescent="0.2">
      <c r="A71">
        <v>124</v>
      </c>
      <c r="B71">
        <v>750</v>
      </c>
      <c r="C71">
        <v>210</v>
      </c>
      <c r="D71">
        <v>0.36727801397644499</v>
      </c>
      <c r="E71">
        <v>10.291599524458499</v>
      </c>
      <c r="F71">
        <v>2.5649387226527698</v>
      </c>
      <c r="G71">
        <v>-166.41595089111524</v>
      </c>
      <c r="H71">
        <v>-144.31881709331992</v>
      </c>
      <c r="I71">
        <v>21.5971595541175</v>
      </c>
      <c r="J71">
        <v>12.588076744640899</v>
      </c>
      <c r="K71">
        <v>4.0124153585293003</v>
      </c>
      <c r="L71">
        <v>3.1714722692926304E-5</v>
      </c>
      <c r="M71">
        <v>1.8227400130453219E-6</v>
      </c>
      <c r="N71" s="1">
        <v>-1.7752119389796901E-7</v>
      </c>
      <c r="O71" s="1">
        <v>3.5549231980919902E-11</v>
      </c>
      <c r="P71" s="1">
        <v>6.0133137760775404E-10</v>
      </c>
      <c r="Q71">
        <v>65.715359752978301</v>
      </c>
      <c r="S71">
        <v>20.931728378106701</v>
      </c>
      <c r="AA71">
        <v>1.93510942385408</v>
      </c>
      <c r="AB71">
        <v>8.9833258029371397</v>
      </c>
      <c r="AC71">
        <v>2.4344766421237001</v>
      </c>
      <c r="AJ71">
        <v>0.77081149676309801</v>
      </c>
      <c r="AK71">
        <v>9.1754495383794696E-2</v>
      </c>
      <c r="AL71">
        <v>0.137434007853106</v>
      </c>
    </row>
    <row r="72" spans="1:38" x14ac:dyDescent="0.2">
      <c r="A72">
        <v>124</v>
      </c>
      <c r="B72">
        <v>750</v>
      </c>
      <c r="C72">
        <v>210</v>
      </c>
      <c r="D72">
        <v>0.36727801397644499</v>
      </c>
      <c r="E72">
        <v>19.2558368566932</v>
      </c>
      <c r="F72">
        <v>2.5238697757301498</v>
      </c>
      <c r="G72">
        <v>-304.84703280958979</v>
      </c>
      <c r="H72">
        <v>-264.06508719647542</v>
      </c>
      <c r="I72">
        <v>39.859205016971501</v>
      </c>
      <c r="J72">
        <v>22.988456321882399</v>
      </c>
      <c r="K72">
        <v>7.6294890655055996</v>
      </c>
      <c r="L72">
        <v>2.8985484948205312E-5</v>
      </c>
      <c r="M72">
        <v>1.8025325543519803E-6</v>
      </c>
      <c r="N72" s="1">
        <v>-1.6744815188928001E-7</v>
      </c>
      <c r="O72" s="1">
        <v>7.2296361869151005E-11</v>
      </c>
      <c r="P72" s="1">
        <v>6.3950527551580299E-10</v>
      </c>
      <c r="Q72">
        <v>66.170115664291302</v>
      </c>
      <c r="S72">
        <v>19.066231859355501</v>
      </c>
      <c r="AA72">
        <v>0.289944619734542</v>
      </c>
      <c r="AB72">
        <v>5.1060833132616104</v>
      </c>
      <c r="AC72">
        <v>9.3676245433569001</v>
      </c>
      <c r="AJ72">
        <v>0.44674529737916902</v>
      </c>
      <c r="AK72">
        <v>1.4018383526717301E-2</v>
      </c>
      <c r="AL72">
        <v>0.53923631909411296</v>
      </c>
    </row>
    <row r="73" spans="1:38" x14ac:dyDescent="0.2">
      <c r="A73">
        <v>125</v>
      </c>
      <c r="B73">
        <v>749</v>
      </c>
      <c r="C73">
        <v>210</v>
      </c>
      <c r="D73">
        <v>0.36659051998239101</v>
      </c>
      <c r="E73">
        <v>16.4930626432505</v>
      </c>
      <c r="F73">
        <v>2.5657738451477199</v>
      </c>
      <c r="G73">
        <v>-266.70392867402995</v>
      </c>
      <c r="H73">
        <v>-231.34820259758303</v>
      </c>
      <c r="I73">
        <v>34.589567163769303</v>
      </c>
      <c r="J73">
        <v>20.182155340532599</v>
      </c>
      <c r="K73">
        <v>6.4281045948151103</v>
      </c>
      <c r="L73">
        <v>3.1746744954476406E-5</v>
      </c>
      <c r="M73">
        <v>1.8218732187734323E-6</v>
      </c>
      <c r="N73" s="1">
        <v>-2.9367895973304201E-7</v>
      </c>
      <c r="O73" s="1">
        <v>5.6817086575892799E-11</v>
      </c>
      <c r="P73" s="1">
        <v>9.9007699354124601E-10</v>
      </c>
      <c r="Q73">
        <v>65.658919386445106</v>
      </c>
      <c r="S73">
        <v>20.981093233419301</v>
      </c>
      <c r="AA73">
        <v>1.9890055228839401</v>
      </c>
      <c r="AB73">
        <v>8.98696785840065</v>
      </c>
      <c r="AC73">
        <v>2.38401399885085</v>
      </c>
      <c r="AJ73">
        <v>0.77110916085121395</v>
      </c>
      <c r="AK73">
        <v>9.4308199498923204E-2</v>
      </c>
      <c r="AL73">
        <v>0.134582639649861</v>
      </c>
    </row>
    <row r="74" spans="1:38" x14ac:dyDescent="0.2">
      <c r="A74">
        <v>125</v>
      </c>
      <c r="B74">
        <v>749</v>
      </c>
      <c r="C74">
        <v>210</v>
      </c>
      <c r="D74">
        <v>0.36659051998239101</v>
      </c>
      <c r="E74">
        <v>34.0424164216316</v>
      </c>
      <c r="F74">
        <v>2.5237898349450099</v>
      </c>
      <c r="G74">
        <v>-538.7382168690757</v>
      </c>
      <c r="H74">
        <v>-466.77134228311081</v>
      </c>
      <c r="I74">
        <v>70.407351744817205</v>
      </c>
      <c r="J74">
        <v>40.635531454742399</v>
      </c>
      <c r="K74">
        <v>13.488609847885099</v>
      </c>
      <c r="L74">
        <v>2.8965213286250821E-5</v>
      </c>
      <c r="M74">
        <v>1.802057292704559E-6</v>
      </c>
      <c r="N74" s="1">
        <v>-3.0239858123973001E-7</v>
      </c>
      <c r="O74" s="1">
        <v>1.27809454206721E-10</v>
      </c>
      <c r="P74" s="1">
        <v>1.1486129965596199E-9</v>
      </c>
      <c r="Q74">
        <v>66.154206182369606</v>
      </c>
      <c r="S74">
        <v>19.058839602970799</v>
      </c>
      <c r="AA74">
        <v>0.28755819263633597</v>
      </c>
      <c r="AB74">
        <v>5.0512501246599397</v>
      </c>
      <c r="AC74">
        <v>9.4481458973632204</v>
      </c>
      <c r="AJ74">
        <v>0.44207058439664099</v>
      </c>
      <c r="AK74">
        <v>1.39068662929726E-2</v>
      </c>
      <c r="AL74">
        <v>0.54402254931038596</v>
      </c>
    </row>
    <row r="75" spans="1:38" x14ac:dyDescent="0.2">
      <c r="A75">
        <v>126</v>
      </c>
      <c r="B75">
        <v>748</v>
      </c>
      <c r="C75">
        <v>210</v>
      </c>
      <c r="D75">
        <v>0.36590167947901903</v>
      </c>
      <c r="E75">
        <v>18.270520922104499</v>
      </c>
      <c r="F75">
        <v>2.56613216264144</v>
      </c>
      <c r="G75">
        <v>-295.43059011777581</v>
      </c>
      <c r="H75">
        <v>-256.32564030734488</v>
      </c>
      <c r="I75">
        <v>38.2950103417039</v>
      </c>
      <c r="J75">
        <v>22.367543898349101</v>
      </c>
      <c r="K75">
        <v>7.1198674752970499</v>
      </c>
      <c r="L75">
        <v>3.1793716162135073E-5</v>
      </c>
      <c r="M75">
        <v>1.821800228004901E-6</v>
      </c>
      <c r="N75" s="1">
        <v>-3.35970876562142E-7</v>
      </c>
      <c r="O75" s="1">
        <v>6.2821160677578595E-11</v>
      </c>
      <c r="P75" s="1">
        <v>1.1272939428252901E-9</v>
      </c>
      <c r="Q75">
        <v>65.641815272389294</v>
      </c>
      <c r="S75">
        <v>20.997917297869598</v>
      </c>
      <c r="AA75">
        <v>2.0068765595067801</v>
      </c>
      <c r="AB75">
        <v>8.99295872954721</v>
      </c>
      <c r="AC75">
        <v>2.3604321406870001</v>
      </c>
      <c r="AJ75">
        <v>0.77159993990201703</v>
      </c>
      <c r="AK75">
        <v>9.5152682344233297E-2</v>
      </c>
      <c r="AL75">
        <v>0.13324737775374901</v>
      </c>
    </row>
    <row r="76" spans="1:38" x14ac:dyDescent="0.2">
      <c r="A76">
        <v>126</v>
      </c>
      <c r="B76">
        <v>748</v>
      </c>
      <c r="C76">
        <v>210</v>
      </c>
      <c r="D76">
        <v>0.36590167947901903</v>
      </c>
      <c r="E76">
        <v>38.130522766569896</v>
      </c>
      <c r="F76">
        <v>2.52376581344924</v>
      </c>
      <c r="G76">
        <v>-603.28220301369049</v>
      </c>
      <c r="H76">
        <v>-522.80861008438217</v>
      </c>
      <c r="I76">
        <v>78.806828506398105</v>
      </c>
      <c r="J76">
        <v>45.517282423566002</v>
      </c>
      <c r="K76">
        <v>15.108582010014899</v>
      </c>
      <c r="L76">
        <v>2.8968263327828423E-5</v>
      </c>
      <c r="M76">
        <v>1.8019323714639967E-6</v>
      </c>
      <c r="N76" s="1">
        <v>-3.4851535586338999E-7</v>
      </c>
      <c r="O76" s="1">
        <v>1.43108025376415E-10</v>
      </c>
      <c r="P76" s="1">
        <v>1.31454179686643E-9</v>
      </c>
      <c r="Q76">
        <v>66.1482744584155</v>
      </c>
      <c r="S76">
        <v>19.053789057278198</v>
      </c>
      <c r="AA76">
        <v>0.28477552741936701</v>
      </c>
      <c r="AB76">
        <v>5.0247909337257601</v>
      </c>
      <c r="AC76">
        <v>9.4883700231610497</v>
      </c>
      <c r="AJ76">
        <v>0.43981393614772801</v>
      </c>
      <c r="AK76">
        <v>1.3774138479875599E-2</v>
      </c>
      <c r="AL76">
        <v>0.54641192537239602</v>
      </c>
    </row>
    <row r="77" spans="1:38" x14ac:dyDescent="0.2">
      <c r="A77">
        <v>127</v>
      </c>
      <c r="B77">
        <v>747</v>
      </c>
      <c r="C77">
        <v>210</v>
      </c>
      <c r="D77">
        <v>0.36521148850659502</v>
      </c>
      <c r="E77">
        <v>18.965373374229799</v>
      </c>
      <c r="F77">
        <v>2.5663376005004901</v>
      </c>
      <c r="G77">
        <v>-306.64076615863081</v>
      </c>
      <c r="H77">
        <v>-266.11141183967271</v>
      </c>
      <c r="I77">
        <v>39.728818623690699</v>
      </c>
      <c r="J77">
        <v>23.229454422079002</v>
      </c>
      <c r="K77">
        <v>7.39005397050299</v>
      </c>
      <c r="L77">
        <v>3.1846802222116217E-5</v>
      </c>
      <c r="M77">
        <v>1.8219913433562234E-6</v>
      </c>
      <c r="N77" s="1">
        <v>-3.6022553383216099E-7</v>
      </c>
      <c r="O77" s="1">
        <v>6.5101483648820798E-11</v>
      </c>
      <c r="P77" s="1">
        <v>1.20304032648403E-9</v>
      </c>
      <c r="Q77">
        <v>65.637535239883604</v>
      </c>
      <c r="S77">
        <v>21.0042054739802</v>
      </c>
      <c r="AA77">
        <v>2.0130630562571601</v>
      </c>
      <c r="AB77">
        <v>8.9999061777870999</v>
      </c>
      <c r="AC77">
        <v>2.3452900520917899</v>
      </c>
      <c r="AJ77">
        <v>0.77216928666559204</v>
      </c>
      <c r="AK77">
        <v>9.5442698626200403E-2</v>
      </c>
      <c r="AL77">
        <v>0.13238801470820699</v>
      </c>
    </row>
    <row r="78" spans="1:38" x14ac:dyDescent="0.2">
      <c r="A78">
        <v>127</v>
      </c>
      <c r="B78">
        <v>747</v>
      </c>
      <c r="C78">
        <v>210</v>
      </c>
      <c r="D78">
        <v>0.36521148850659502</v>
      </c>
      <c r="E78">
        <v>39.5630911693653</v>
      </c>
      <c r="F78">
        <v>2.5237592574540701</v>
      </c>
      <c r="G78">
        <v>-625.81358672564181</v>
      </c>
      <c r="H78">
        <v>-542.45347975729339</v>
      </c>
      <c r="I78">
        <v>81.713578364307693</v>
      </c>
      <c r="J78">
        <v>47.232340485546501</v>
      </c>
      <c r="K78">
        <v>15.6762540058103</v>
      </c>
      <c r="L78">
        <v>2.8979195573755902E-5</v>
      </c>
      <c r="M78">
        <v>1.8019193481975505E-6</v>
      </c>
      <c r="N78" s="1">
        <v>-3.7292750258577901E-7</v>
      </c>
      <c r="O78" s="1">
        <v>1.4841553182110399E-10</v>
      </c>
      <c r="P78" s="1">
        <v>1.3962916787813499E-9</v>
      </c>
      <c r="Q78">
        <v>66.145491375792901</v>
      </c>
      <c r="S78">
        <v>19.049489626828802</v>
      </c>
      <c r="AA78">
        <v>0.28187784755872602</v>
      </c>
      <c r="AB78">
        <v>5.00731746743699</v>
      </c>
      <c r="AC78">
        <v>9.5158236823824591</v>
      </c>
      <c r="AJ78">
        <v>0.43832333954171299</v>
      </c>
      <c r="AK78">
        <v>1.36351903858175E-2</v>
      </c>
      <c r="AL78">
        <v>0.54804147007246895</v>
      </c>
    </row>
    <row r="79" spans="1:38" x14ac:dyDescent="0.2">
      <c r="A79">
        <v>129</v>
      </c>
      <c r="B79">
        <v>758</v>
      </c>
      <c r="C79">
        <v>195</v>
      </c>
      <c r="D79">
        <v>0.38873151335887302</v>
      </c>
      <c r="E79">
        <v>0.28243718750793401</v>
      </c>
      <c r="F79">
        <v>2.5671299109248902</v>
      </c>
      <c r="G79">
        <v>-4.5792592797083156</v>
      </c>
      <c r="H79">
        <v>-3.9652416414078506</v>
      </c>
      <c r="I79">
        <v>0.59546878562814598</v>
      </c>
      <c r="J79">
        <v>0.34480270446074601</v>
      </c>
      <c r="K79">
        <v>0.110020605621075</v>
      </c>
      <c r="L79">
        <v>3.1453771842179287E-5</v>
      </c>
      <c r="M79">
        <v>1.8207428347880906E-6</v>
      </c>
      <c r="N79" s="1">
        <v>-3.8357538408664203E-9</v>
      </c>
      <c r="O79" s="1">
        <v>9.7879424186726194E-13</v>
      </c>
      <c r="P79" s="1">
        <v>1.35299080912991E-11</v>
      </c>
      <c r="Q79">
        <v>65.576974210916006</v>
      </c>
      <c r="S79">
        <v>21.1177601022403</v>
      </c>
      <c r="AA79">
        <v>2.12087787546549</v>
      </c>
      <c r="AB79">
        <v>9.1626473929781493</v>
      </c>
      <c r="AC79">
        <v>2.0217404183998999</v>
      </c>
      <c r="AJ79">
        <v>0.785495359190439</v>
      </c>
      <c r="AK79">
        <v>0.10047293792090201</v>
      </c>
      <c r="AL79">
        <v>0.11403170288865699</v>
      </c>
    </row>
    <row r="80" spans="1:38" x14ac:dyDescent="0.2">
      <c r="A80">
        <v>130</v>
      </c>
      <c r="B80">
        <v>757</v>
      </c>
      <c r="C80">
        <v>195</v>
      </c>
      <c r="D80">
        <v>0.388070183953793</v>
      </c>
      <c r="E80">
        <v>1.6195457289097701</v>
      </c>
      <c r="F80">
        <v>2.5652277914400901</v>
      </c>
      <c r="G80">
        <v>-26.239950124273204</v>
      </c>
      <c r="H80">
        <v>-22.724178733892298</v>
      </c>
      <c r="I80">
        <v>3.4128732615453101</v>
      </c>
      <c r="J80">
        <v>1.9771400328689299</v>
      </c>
      <c r="K80">
        <v>0.63134577533973302</v>
      </c>
      <c r="L80">
        <v>3.1487410624197824E-5</v>
      </c>
      <c r="M80">
        <v>1.8228080068276373E-6</v>
      </c>
      <c r="N80" s="1">
        <v>-2.2534772748397201E-8</v>
      </c>
      <c r="O80" s="1">
        <v>5.6269962798435202E-12</v>
      </c>
      <c r="P80" s="1">
        <v>7.9116322306493E-11</v>
      </c>
      <c r="Q80">
        <v>65.693371968085003</v>
      </c>
      <c r="S80">
        <v>20.998914265847802</v>
      </c>
      <c r="AA80">
        <v>1.99566901818148</v>
      </c>
      <c r="AB80">
        <v>9.1104637427150106</v>
      </c>
      <c r="AC80">
        <v>2.20158100517058</v>
      </c>
      <c r="AJ80">
        <v>0.78122616857142702</v>
      </c>
      <c r="AK80">
        <v>9.4566127232962705E-2</v>
      </c>
      <c r="AL80">
        <v>0.124207704195609</v>
      </c>
    </row>
    <row r="81" spans="1:38" x14ac:dyDescent="0.2">
      <c r="A81">
        <v>131</v>
      </c>
      <c r="B81">
        <v>756</v>
      </c>
      <c r="C81">
        <v>195</v>
      </c>
      <c r="D81">
        <v>0.38740756935335302</v>
      </c>
      <c r="E81">
        <v>3.1158342008345201</v>
      </c>
      <c r="F81">
        <v>2.56294207085522</v>
      </c>
      <c r="G81">
        <v>-50.439210496248791</v>
      </c>
      <c r="H81">
        <v>-43.685438409948702</v>
      </c>
      <c r="I81">
        <v>6.5624759134237802</v>
      </c>
      <c r="J81">
        <v>3.80312218692566</v>
      </c>
      <c r="K81">
        <v>1.2157255664365401</v>
      </c>
      <c r="L81">
        <v>3.1500694903842815E-5</v>
      </c>
      <c r="M81">
        <v>1.8246968976041616E-6</v>
      </c>
      <c r="N81" s="1">
        <v>-4.4246215274721502E-8</v>
      </c>
      <c r="O81" s="1">
        <v>1.0860492872962801E-11</v>
      </c>
      <c r="P81" s="1">
        <v>1.5472111531339401E-10</v>
      </c>
      <c r="Q81">
        <v>65.814202471614493</v>
      </c>
      <c r="S81">
        <v>20.8647650632861</v>
      </c>
      <c r="AA81">
        <v>1.8568004063503101</v>
      </c>
      <c r="AB81">
        <v>9.0280384660559605</v>
      </c>
      <c r="AC81">
        <v>2.43619359269307</v>
      </c>
      <c r="AJ81">
        <v>0.77447735072011004</v>
      </c>
      <c r="AK81">
        <v>8.8022020533078199E-2</v>
      </c>
      <c r="AL81">
        <v>0.13750062874681099</v>
      </c>
    </row>
    <row r="82" spans="1:38" x14ac:dyDescent="0.2">
      <c r="A82">
        <v>132</v>
      </c>
      <c r="B82">
        <v>755</v>
      </c>
      <c r="C82">
        <v>195</v>
      </c>
      <c r="D82">
        <v>0.38674366580751801</v>
      </c>
      <c r="E82">
        <v>5.5188590773373596</v>
      </c>
      <c r="F82">
        <v>2.56139703474325</v>
      </c>
      <c r="G82">
        <v>-89.275349901103112</v>
      </c>
      <c r="H82">
        <v>-77.331940912736215</v>
      </c>
      <c r="I82">
        <v>11.6164071277215</v>
      </c>
      <c r="J82">
        <v>6.73498533532588</v>
      </c>
      <c r="K82">
        <v>2.1546285103318801</v>
      </c>
      <c r="L82">
        <v>3.1494347649171271E-5</v>
      </c>
      <c r="M82">
        <v>1.8253574257005966E-6</v>
      </c>
      <c r="N82" s="1">
        <v>-7.9953353530844705E-8</v>
      </c>
      <c r="O82" s="1">
        <v>1.9272063471602099E-11</v>
      </c>
      <c r="P82" s="1">
        <v>2.7851636888628702E-10</v>
      </c>
      <c r="Q82">
        <v>65.873892053607193</v>
      </c>
      <c r="S82">
        <v>20.7817284554712</v>
      </c>
      <c r="AA82">
        <v>1.77436660672707</v>
      </c>
      <c r="AB82">
        <v>8.94336223621697</v>
      </c>
      <c r="AC82">
        <v>2.62665064797749</v>
      </c>
      <c r="AJ82">
        <v>0.76753743960779897</v>
      </c>
      <c r="AK82">
        <v>8.4149762276357704E-2</v>
      </c>
      <c r="AL82">
        <v>0.148312798115842</v>
      </c>
    </row>
    <row r="83" spans="1:38" x14ac:dyDescent="0.2">
      <c r="A83">
        <v>132</v>
      </c>
      <c r="B83">
        <v>755</v>
      </c>
      <c r="C83">
        <v>195</v>
      </c>
      <c r="D83">
        <v>0.38674366580751801</v>
      </c>
      <c r="E83">
        <v>3.9145646851907698</v>
      </c>
      <c r="F83">
        <v>2.5236167875731002</v>
      </c>
      <c r="G83">
        <v>-62.100865688973741</v>
      </c>
      <c r="H83">
        <v>-53.735788579415868</v>
      </c>
      <c r="I83">
        <v>8.1360473759255605</v>
      </c>
      <c r="J83">
        <v>4.6751054738461502</v>
      </c>
      <c r="K83">
        <v>1.5511723905416299</v>
      </c>
      <c r="L83">
        <v>2.9033110250669811E-5</v>
      </c>
      <c r="M83">
        <v>1.8052227028512853E-6</v>
      </c>
      <c r="N83" s="1">
        <v>-2.9781852396337698E-8</v>
      </c>
      <c r="O83" s="1">
        <v>1.4707096012205299E-11</v>
      </c>
      <c r="P83" s="1">
        <v>1.1783006100446701E-10</v>
      </c>
      <c r="Q83">
        <v>66.228132753164601</v>
      </c>
      <c r="S83">
        <v>19.1039421045535</v>
      </c>
      <c r="AA83">
        <v>0.30751846360070401</v>
      </c>
      <c r="AB83">
        <v>5.3342335955163804</v>
      </c>
      <c r="AC83">
        <v>9.0261730831647604</v>
      </c>
      <c r="AJ83">
        <v>0.46616794470483602</v>
      </c>
      <c r="AK83">
        <v>1.4850885950882801E-2</v>
      </c>
      <c r="AL83">
        <v>0.51898116934427996</v>
      </c>
    </row>
    <row r="84" spans="1:38" x14ac:dyDescent="0.2">
      <c r="A84">
        <v>133</v>
      </c>
      <c r="B84">
        <v>754</v>
      </c>
      <c r="C84">
        <v>195</v>
      </c>
      <c r="D84">
        <v>0.38607846955167302</v>
      </c>
      <c r="E84">
        <v>8.5297763094993506</v>
      </c>
      <c r="F84">
        <v>2.5624836919787102</v>
      </c>
      <c r="G84">
        <v>-137.99511127132354</v>
      </c>
      <c r="H84">
        <v>-119.56505722219678</v>
      </c>
      <c r="I84">
        <v>17.942904200094201</v>
      </c>
      <c r="J84">
        <v>10.4134758984175</v>
      </c>
      <c r="K84">
        <v>3.3287143782416702</v>
      </c>
      <c r="L84">
        <v>3.1518218723065517E-5</v>
      </c>
      <c r="M84">
        <v>1.824223174264237E-6</v>
      </c>
      <c r="N84" s="1">
        <v>-1.2760680442660501E-7</v>
      </c>
      <c r="O84" s="1">
        <v>2.9700599638296403E-11</v>
      </c>
      <c r="P84" s="1">
        <v>4.4211888382351602E-10</v>
      </c>
      <c r="Q84">
        <v>65.802364218051594</v>
      </c>
      <c r="S84">
        <v>20.8457648081176</v>
      </c>
      <c r="AA84">
        <v>1.8438872959188499</v>
      </c>
      <c r="AB84">
        <v>8.9518459136070891</v>
      </c>
      <c r="AC84">
        <v>2.5561377643047298</v>
      </c>
      <c r="AJ84">
        <v>0.76823200076236098</v>
      </c>
      <c r="AK84">
        <v>8.7442981689023896E-2</v>
      </c>
      <c r="AL84">
        <v>0.14432501754861399</v>
      </c>
    </row>
    <row r="85" spans="1:38" x14ac:dyDescent="0.2">
      <c r="A85">
        <v>133</v>
      </c>
      <c r="B85">
        <v>754</v>
      </c>
      <c r="C85">
        <v>195</v>
      </c>
      <c r="D85">
        <v>0.38607846955167302</v>
      </c>
      <c r="E85">
        <v>13.2471450295944</v>
      </c>
      <c r="F85">
        <v>2.5234701096026102</v>
      </c>
      <c r="G85">
        <v>-210.05843603545227</v>
      </c>
      <c r="H85">
        <v>-181.80415467487711</v>
      </c>
      <c r="I85">
        <v>27.507453984885501</v>
      </c>
      <c r="J85">
        <v>15.8166411770338</v>
      </c>
      <c r="K85">
        <v>5.2495747737152998</v>
      </c>
      <c r="L85">
        <v>2.8997520396128456E-5</v>
      </c>
      <c r="M85">
        <v>1.8045238651336253E-6</v>
      </c>
      <c r="N85" s="1">
        <v>-1.0249298648971101E-7</v>
      </c>
      <c r="O85" s="1">
        <v>4.9780736063730001E-11</v>
      </c>
      <c r="P85" s="1">
        <v>4.0355941041478399E-10</v>
      </c>
      <c r="Q85">
        <v>66.206661143241405</v>
      </c>
      <c r="S85">
        <v>19.094388765632001</v>
      </c>
      <c r="AA85">
        <v>0.30464696781193801</v>
      </c>
      <c r="AB85">
        <v>5.26133994406272</v>
      </c>
      <c r="AC85">
        <v>9.1329631792519006</v>
      </c>
      <c r="AJ85">
        <v>0.45996728967782502</v>
      </c>
      <c r="AK85">
        <v>1.47176420164459E-2</v>
      </c>
      <c r="AL85">
        <v>0.52531506830572805</v>
      </c>
    </row>
    <row r="86" spans="1:38" x14ac:dyDescent="0.2">
      <c r="A86">
        <v>134</v>
      </c>
      <c r="B86">
        <v>753</v>
      </c>
      <c r="C86">
        <v>195</v>
      </c>
      <c r="D86">
        <v>0.38541197680651201</v>
      </c>
      <c r="E86">
        <v>12.391401364163</v>
      </c>
      <c r="F86">
        <v>2.5635806131601799</v>
      </c>
      <c r="G86">
        <v>-200.48795531929088</v>
      </c>
      <c r="H86">
        <v>-173.75702199763822</v>
      </c>
      <c r="I86">
        <v>26.049732808704899</v>
      </c>
      <c r="J86">
        <v>15.133809542779799</v>
      </c>
      <c r="K86">
        <v>4.8336304700353798</v>
      </c>
      <c r="L86">
        <v>3.1540497235904015E-5</v>
      </c>
      <c r="M86">
        <v>1.8230048653996008E-6</v>
      </c>
      <c r="N86" s="1">
        <v>-1.913731376048E-7</v>
      </c>
      <c r="O86" s="1">
        <v>4.3019630496294703E-11</v>
      </c>
      <c r="P86" s="1">
        <v>6.5958150165330303E-10</v>
      </c>
      <c r="Q86">
        <v>65.727656004847802</v>
      </c>
      <c r="S86">
        <v>20.911540038899201</v>
      </c>
      <c r="AA86">
        <v>1.91558467502259</v>
      </c>
      <c r="AB86">
        <v>8.9578009850340798</v>
      </c>
      <c r="AC86">
        <v>2.4874182961962301</v>
      </c>
      <c r="AJ86">
        <v>0.76871913025013106</v>
      </c>
      <c r="AK86">
        <v>9.0840271546032497E-2</v>
      </c>
      <c r="AL86">
        <v>0.140440598203835</v>
      </c>
    </row>
    <row r="87" spans="1:38" x14ac:dyDescent="0.2">
      <c r="A87">
        <v>134</v>
      </c>
      <c r="B87">
        <v>753</v>
      </c>
      <c r="C87">
        <v>195</v>
      </c>
      <c r="D87">
        <v>0.38541197680651201</v>
      </c>
      <c r="E87">
        <v>24.073262611507001</v>
      </c>
      <c r="F87">
        <v>2.5233346791076898</v>
      </c>
      <c r="G87">
        <v>-381.55551718240224</v>
      </c>
      <c r="H87">
        <v>-330.30817663931498</v>
      </c>
      <c r="I87">
        <v>49.941373622849703</v>
      </c>
      <c r="J87">
        <v>28.735093753360399</v>
      </c>
      <c r="K87">
        <v>9.5402575056036003</v>
      </c>
      <c r="L87">
        <v>2.8962382747155684E-5</v>
      </c>
      <c r="M87">
        <v>1.8038332983159648E-6</v>
      </c>
      <c r="N87" s="1">
        <v>-1.8942173840192999E-7</v>
      </c>
      <c r="O87" s="1">
        <v>9.0482383532502695E-11</v>
      </c>
      <c r="P87" s="1">
        <v>7.4228070045068497E-10</v>
      </c>
      <c r="Q87">
        <v>66.185181256354497</v>
      </c>
      <c r="S87">
        <v>19.085066938148699</v>
      </c>
      <c r="AA87">
        <v>0.30196840264658098</v>
      </c>
      <c r="AB87">
        <v>5.1890347851731597</v>
      </c>
      <c r="AC87">
        <v>9.2387486176769809</v>
      </c>
      <c r="AJ87">
        <v>0.45381217072943802</v>
      </c>
      <c r="AK87">
        <v>1.4593580192798701E-2</v>
      </c>
      <c r="AL87">
        <v>0.53159424907776198</v>
      </c>
    </row>
    <row r="88" spans="1:38" x14ac:dyDescent="0.2">
      <c r="A88">
        <v>135</v>
      </c>
      <c r="B88">
        <v>752</v>
      </c>
      <c r="C88">
        <v>195</v>
      </c>
      <c r="D88">
        <v>0.38474418377798603</v>
      </c>
      <c r="E88">
        <v>16.077969899298701</v>
      </c>
      <c r="F88">
        <v>2.5645147276533198</v>
      </c>
      <c r="G88">
        <v>-260.15049624414132</v>
      </c>
      <c r="H88">
        <v>-225.52220112698893</v>
      </c>
      <c r="I88">
        <v>33.778759320248099</v>
      </c>
      <c r="J88">
        <v>19.643992826941499</v>
      </c>
      <c r="K88">
        <v>6.2694004935627801</v>
      </c>
      <c r="L88">
        <v>3.1566159184624218E-5</v>
      </c>
      <c r="M88">
        <v>1.821991727383869E-6</v>
      </c>
      <c r="N88" s="1">
        <v>-2.5630500676095099E-7</v>
      </c>
      <c r="O88" s="1">
        <v>5.5667155061575602E-11</v>
      </c>
      <c r="P88" s="1">
        <v>8.7885911664047399E-10</v>
      </c>
      <c r="Q88">
        <v>65.664128253748004</v>
      </c>
      <c r="S88">
        <v>20.9672130633199</v>
      </c>
      <c r="AA88">
        <v>1.9763388224549601</v>
      </c>
      <c r="AB88">
        <v>8.9621868694359303</v>
      </c>
      <c r="AC88">
        <v>2.43013299104111</v>
      </c>
      <c r="AJ88">
        <v>0.76907774842728505</v>
      </c>
      <c r="AK88">
        <v>9.3719172058759403E-2</v>
      </c>
      <c r="AL88">
        <v>0.137203079513955</v>
      </c>
    </row>
    <row r="89" spans="1:38" x14ac:dyDescent="0.2">
      <c r="A89">
        <v>135</v>
      </c>
      <c r="B89">
        <v>752</v>
      </c>
      <c r="C89">
        <v>195</v>
      </c>
      <c r="D89">
        <v>0.38474418377798603</v>
      </c>
      <c r="E89">
        <v>33.761284320395397</v>
      </c>
      <c r="F89">
        <v>2.5232306321973401</v>
      </c>
      <c r="G89">
        <v>-534.8931115685599</v>
      </c>
      <c r="H89">
        <v>-463.15476988322831</v>
      </c>
      <c r="I89">
        <v>69.978385295158404</v>
      </c>
      <c r="J89">
        <v>40.291317503594598</v>
      </c>
      <c r="K89">
        <v>13.3801816962703</v>
      </c>
      <c r="L89">
        <v>2.8935839442741569E-5</v>
      </c>
      <c r="M89">
        <v>1.803276979489649E-6</v>
      </c>
      <c r="N89" s="1">
        <v>-2.7090221563562402E-7</v>
      </c>
      <c r="O89" s="1">
        <v>1.2690702331305901E-10</v>
      </c>
      <c r="P89" s="1">
        <v>1.05586310086494E-9</v>
      </c>
      <c r="Q89">
        <v>66.1673127110096</v>
      </c>
      <c r="S89">
        <v>19.076823871064999</v>
      </c>
      <c r="AA89">
        <v>0.29933716867780602</v>
      </c>
      <c r="AB89">
        <v>5.1276054179135997</v>
      </c>
      <c r="AC89">
        <v>9.3289208313338392</v>
      </c>
      <c r="AJ89">
        <v>0.44857933627520302</v>
      </c>
      <c r="AK89">
        <v>1.4470918683641599E-2</v>
      </c>
      <c r="AL89">
        <v>0.536949745041154</v>
      </c>
    </row>
    <row r="90" spans="1:38" x14ac:dyDescent="0.2">
      <c r="A90">
        <v>136</v>
      </c>
      <c r="B90">
        <v>751</v>
      </c>
      <c r="C90">
        <v>195</v>
      </c>
      <c r="D90">
        <v>0.38407508665723</v>
      </c>
      <c r="E90">
        <v>17.835572705890101</v>
      </c>
      <c r="F90">
        <v>2.5650305175869899</v>
      </c>
      <c r="G90">
        <v>-288.58267577553789</v>
      </c>
      <c r="H90">
        <v>-250.2290436418684</v>
      </c>
      <c r="I90">
        <v>37.449233153023798</v>
      </c>
      <c r="J90">
        <v>21.8003500168087</v>
      </c>
      <c r="K90">
        <v>6.9533569225010998</v>
      </c>
      <c r="L90">
        <v>3.1603890049417058E-5</v>
      </c>
      <c r="M90">
        <v>1.8216474219083804E-6</v>
      </c>
      <c r="N90" s="1">
        <v>-2.9354894028130202E-7</v>
      </c>
      <c r="O90" s="1">
        <v>6.1628048147109298E-11</v>
      </c>
      <c r="P90" s="1">
        <v>1.00146620618916E-9</v>
      </c>
      <c r="Q90">
        <v>65.634180812745498</v>
      </c>
      <c r="S90">
        <v>20.994749413952199</v>
      </c>
      <c r="AA90">
        <v>2.0060444196264702</v>
      </c>
      <c r="AB90">
        <v>8.9676407260319202</v>
      </c>
      <c r="AC90">
        <v>2.39738462764379</v>
      </c>
      <c r="AJ90">
        <v>0.76952442481432304</v>
      </c>
      <c r="AK90">
        <v>9.5125191479130095E-2</v>
      </c>
      <c r="AL90">
        <v>0.13535038370654501</v>
      </c>
    </row>
    <row r="91" spans="1:38" x14ac:dyDescent="0.2">
      <c r="A91">
        <v>136</v>
      </c>
      <c r="B91">
        <v>751</v>
      </c>
      <c r="C91">
        <v>195</v>
      </c>
      <c r="D91">
        <v>0.38407508665723</v>
      </c>
      <c r="E91">
        <v>38.1728268486807</v>
      </c>
      <c r="F91">
        <v>2.5231825778726802</v>
      </c>
      <c r="G91">
        <v>-604.60939498593234</v>
      </c>
      <c r="H91">
        <v>-523.63696593103612</v>
      </c>
      <c r="I91">
        <v>79.063056246542104</v>
      </c>
      <c r="J91">
        <v>45.554456230187299</v>
      </c>
      <c r="K91">
        <v>15.128840529988301</v>
      </c>
      <c r="L91">
        <v>2.8929653617648605E-5</v>
      </c>
      <c r="M91">
        <v>1.8030329154606955E-6</v>
      </c>
      <c r="N91" s="1">
        <v>-3.1440533023929699E-7</v>
      </c>
      <c r="O91" s="1">
        <v>1.4346225796192401E-10</v>
      </c>
      <c r="P91" s="1">
        <v>1.21697889000127E-9</v>
      </c>
      <c r="Q91">
        <v>66.158241680362096</v>
      </c>
      <c r="S91">
        <v>19.070815706579602</v>
      </c>
      <c r="AA91">
        <v>0.29649697245135997</v>
      </c>
      <c r="AB91">
        <v>5.0916399281715696</v>
      </c>
      <c r="AC91">
        <v>9.3828057124352906</v>
      </c>
      <c r="AJ91">
        <v>0.44551413237693599</v>
      </c>
      <c r="AK91">
        <v>1.4336226537412801E-2</v>
      </c>
      <c r="AL91">
        <v>0.540149641085651</v>
      </c>
    </row>
    <row r="92" spans="1:38" x14ac:dyDescent="0.2">
      <c r="A92">
        <v>137</v>
      </c>
      <c r="B92">
        <v>750</v>
      </c>
      <c r="C92">
        <v>195</v>
      </c>
      <c r="D92">
        <v>0.38340468162048602</v>
      </c>
      <c r="E92">
        <v>18.5457133600204</v>
      </c>
      <c r="F92">
        <v>2.56530324262889</v>
      </c>
      <c r="G92">
        <v>-300.05186063745498</v>
      </c>
      <c r="H92">
        <v>-260.23281817566362</v>
      </c>
      <c r="I92">
        <v>38.9180887081965</v>
      </c>
      <c r="J92">
        <v>22.678079615282702</v>
      </c>
      <c r="K92">
        <v>7.2294429180290498</v>
      </c>
      <c r="L92">
        <v>3.1649871174358287E-5</v>
      </c>
      <c r="M92">
        <v>1.8217106168613968E-6</v>
      </c>
      <c r="N92" s="1">
        <v>-3.1521367711477003E-7</v>
      </c>
      <c r="O92" s="1">
        <v>6.3977454996126901E-11</v>
      </c>
      <c r="P92" s="1">
        <v>1.06999325308923E-9</v>
      </c>
      <c r="Q92">
        <v>65.624306606209203</v>
      </c>
      <c r="S92">
        <v>21.005678713096099</v>
      </c>
      <c r="AA92">
        <v>2.0173652144334602</v>
      </c>
      <c r="AB92">
        <v>8.97428916481112</v>
      </c>
      <c r="AC92">
        <v>2.3783603014499999</v>
      </c>
      <c r="AJ92">
        <v>0.77006931651305699</v>
      </c>
      <c r="AK92">
        <v>9.5658833037147298E-2</v>
      </c>
      <c r="AL92">
        <v>0.13427185044979401</v>
      </c>
    </row>
    <row r="93" spans="1:38" x14ac:dyDescent="0.2">
      <c r="A93">
        <v>137</v>
      </c>
      <c r="B93">
        <v>750</v>
      </c>
      <c r="C93">
        <v>195</v>
      </c>
      <c r="D93">
        <v>0.38340468162048602</v>
      </c>
      <c r="E93">
        <v>39.781672723530299</v>
      </c>
      <c r="F93">
        <v>2.5231647246994</v>
      </c>
      <c r="G93">
        <v>-629.94561789786508</v>
      </c>
      <c r="H93">
        <v>-545.69999339842866</v>
      </c>
      <c r="I93">
        <v>82.339465864669407</v>
      </c>
      <c r="J93">
        <v>47.477170930822602</v>
      </c>
      <c r="K93">
        <v>15.7665777165102</v>
      </c>
      <c r="L93">
        <v>2.8935439010239853E-5</v>
      </c>
      <c r="M93">
        <v>1.8029671559607822E-6</v>
      </c>
      <c r="N93" s="1">
        <v>-3.3758658663837803E-7</v>
      </c>
      <c r="O93" s="1">
        <v>1.4945472956930299E-10</v>
      </c>
      <c r="P93" s="1">
        <v>1.2967129982844201E-9</v>
      </c>
      <c r="Q93">
        <v>66.154201320041594</v>
      </c>
      <c r="S93">
        <v>19.066064427803799</v>
      </c>
      <c r="AA93">
        <v>0.29351988165762299</v>
      </c>
      <c r="AB93">
        <v>5.0701801068136696</v>
      </c>
      <c r="AC93">
        <v>9.4160342636832297</v>
      </c>
      <c r="AJ93">
        <v>0.44368467246406401</v>
      </c>
      <c r="AK93">
        <v>1.4193821943697499E-2</v>
      </c>
      <c r="AL93">
        <v>0.54212150559223704</v>
      </c>
    </row>
    <row r="94" spans="1:38" x14ac:dyDescent="0.2">
      <c r="A94">
        <v>139</v>
      </c>
      <c r="B94">
        <v>764</v>
      </c>
      <c r="C94">
        <v>180</v>
      </c>
      <c r="D94">
        <v>0.40858169020874802</v>
      </c>
      <c r="E94">
        <v>8.5864906030038393E-2</v>
      </c>
      <c r="F94">
        <v>2.56644565542245</v>
      </c>
      <c r="G94">
        <v>-1.3939543995345369</v>
      </c>
      <c r="H94">
        <v>-1.2055555501004829</v>
      </c>
      <c r="I94">
        <v>0.181650532164155</v>
      </c>
      <c r="J94">
        <v>0.104648877820561</v>
      </c>
      <c r="K94">
        <v>3.3456740394491001E-2</v>
      </c>
      <c r="L94">
        <v>3.1233707729626779E-5</v>
      </c>
      <c r="M94">
        <v>1.8201024077187389E-6</v>
      </c>
      <c r="N94" s="1">
        <v>-9.588052906850919E-10</v>
      </c>
      <c r="O94" s="1">
        <v>2.99095325635534E-13</v>
      </c>
      <c r="P94" s="1">
        <v>3.5133578170584601E-12</v>
      </c>
      <c r="Q94">
        <v>65.548308078744896</v>
      </c>
      <c r="S94">
        <v>21.147574444087201</v>
      </c>
      <c r="AA94">
        <v>2.1521638628145698</v>
      </c>
      <c r="AB94">
        <v>9.1769286277317494</v>
      </c>
      <c r="AC94">
        <v>1.9750249866215099</v>
      </c>
      <c r="AJ94">
        <v>0.78666338056729501</v>
      </c>
      <c r="AK94">
        <v>0.101947764066823</v>
      </c>
      <c r="AL94">
        <v>0.11138885536588</v>
      </c>
    </row>
    <row r="95" spans="1:38" x14ac:dyDescent="0.2">
      <c r="A95">
        <v>140</v>
      </c>
      <c r="B95">
        <v>763</v>
      </c>
      <c r="C95">
        <v>180</v>
      </c>
      <c r="D95">
        <v>0.40794334797085602</v>
      </c>
      <c r="E95">
        <v>0.53145656257768803</v>
      </c>
      <c r="F95">
        <v>2.5659050243354402</v>
      </c>
      <c r="G95">
        <v>-8.6254691868729694</v>
      </c>
      <c r="H95">
        <v>-7.4610960340735053</v>
      </c>
      <c r="I95">
        <v>1.1237496045934099</v>
      </c>
      <c r="J95">
        <v>0.647856898933864</v>
      </c>
      <c r="K95">
        <v>0.207122460705782</v>
      </c>
      <c r="L95">
        <v>3.1275155507895767E-5</v>
      </c>
      <c r="M95">
        <v>1.8211617903500359E-6</v>
      </c>
      <c r="N95" s="1">
        <v>-6.1164693684783801E-9</v>
      </c>
      <c r="O95" s="1">
        <v>1.8517237610942799E-12</v>
      </c>
      <c r="P95" s="1">
        <v>2.227102012631E-11</v>
      </c>
      <c r="Q95">
        <v>65.594993562302093</v>
      </c>
      <c r="S95">
        <v>21.106411969653401</v>
      </c>
      <c r="AA95">
        <v>2.1073109805800501</v>
      </c>
      <c r="AB95">
        <v>9.1730519464485898</v>
      </c>
      <c r="AC95">
        <v>2.0182315410156999</v>
      </c>
      <c r="AJ95">
        <v>0.78634694734639399</v>
      </c>
      <c r="AK95">
        <v>9.98251043249095E-2</v>
      </c>
      <c r="AL95">
        <v>0.113827948328696</v>
      </c>
    </row>
    <row r="96" spans="1:38" x14ac:dyDescent="0.2">
      <c r="A96">
        <v>141</v>
      </c>
      <c r="B96">
        <v>762</v>
      </c>
      <c r="C96">
        <v>180</v>
      </c>
      <c r="D96">
        <v>0.40730377240013699</v>
      </c>
      <c r="E96">
        <v>0.97905086076597603</v>
      </c>
      <c r="F96">
        <v>2.56536829178388</v>
      </c>
      <c r="G96">
        <v>-15.885510086246148</v>
      </c>
      <c r="H96">
        <v>-13.743661076948547</v>
      </c>
      <c r="I96">
        <v>2.0691194602691398</v>
      </c>
      <c r="J96">
        <v>1.19374122189988</v>
      </c>
      <c r="K96">
        <v>0.38164144458383797</v>
      </c>
      <c r="L96">
        <v>3.1316127370882887E-5</v>
      </c>
      <c r="M96">
        <v>1.8221827837909816E-6</v>
      </c>
      <c r="N96" s="1">
        <v>-1.16116102194814E-8</v>
      </c>
      <c r="O96" s="1">
        <v>3.41202916557867E-12</v>
      </c>
      <c r="P96" s="1">
        <v>4.20194431843189E-11</v>
      </c>
      <c r="Q96">
        <v>65.640211489496906</v>
      </c>
      <c r="S96">
        <v>21.066019471495</v>
      </c>
      <c r="AA96">
        <v>2.06343577087104</v>
      </c>
      <c r="AB96">
        <v>9.1679234874084194</v>
      </c>
      <c r="AC96">
        <v>2.06240978072855</v>
      </c>
      <c r="AJ96">
        <v>0.78592805791749498</v>
      </c>
      <c r="AK96">
        <v>9.7749278099437897E-2</v>
      </c>
      <c r="AL96">
        <v>0.116322663983066</v>
      </c>
    </row>
    <row r="97" spans="1:38" x14ac:dyDescent="0.2">
      <c r="A97">
        <v>142</v>
      </c>
      <c r="B97">
        <v>761</v>
      </c>
      <c r="C97">
        <v>180</v>
      </c>
      <c r="D97">
        <v>0.40666295991877599</v>
      </c>
      <c r="E97">
        <v>1.77149914715047</v>
      </c>
      <c r="F97">
        <v>2.5643340022597298</v>
      </c>
      <c r="G97">
        <v>-28.730839043793125</v>
      </c>
      <c r="H97">
        <v>-24.861068352152579</v>
      </c>
      <c r="I97">
        <v>3.7419820061311602</v>
      </c>
      <c r="J97">
        <v>2.1602067439666301</v>
      </c>
      <c r="K97">
        <v>0.69082231315788201</v>
      </c>
      <c r="L97">
        <v>3.1351724104505596E-5</v>
      </c>
      <c r="M97">
        <v>1.8235271671824337E-6</v>
      </c>
      <c r="N97" s="1">
        <v>-2.1597894030319199E-8</v>
      </c>
      <c r="O97" s="1">
        <v>6.1804825716698199E-12</v>
      </c>
      <c r="P97" s="1">
        <v>7.7717074887362702E-11</v>
      </c>
      <c r="Q97">
        <v>65.709503722125703</v>
      </c>
      <c r="S97">
        <v>20.997855131580302</v>
      </c>
      <c r="AA97">
        <v>1.99103109729596</v>
      </c>
      <c r="AB97">
        <v>9.1436358334653605</v>
      </c>
      <c r="AC97">
        <v>2.1579742155326298</v>
      </c>
      <c r="AJ97">
        <v>0.78394168117115504</v>
      </c>
      <c r="AK97">
        <v>9.4330832775854107E-2</v>
      </c>
      <c r="AL97">
        <v>0.12172748605299</v>
      </c>
    </row>
    <row r="98" spans="1:38" x14ac:dyDescent="0.2">
      <c r="A98">
        <v>143</v>
      </c>
      <c r="B98">
        <v>760</v>
      </c>
      <c r="C98">
        <v>180</v>
      </c>
      <c r="D98">
        <v>0.40602090693510101</v>
      </c>
      <c r="E98">
        <v>3.2084972270225398</v>
      </c>
      <c r="F98">
        <v>2.56228178963877</v>
      </c>
      <c r="G98">
        <v>-51.995848480086309</v>
      </c>
      <c r="H98">
        <v>-44.997468633227108</v>
      </c>
      <c r="I98">
        <v>6.7738274663497098</v>
      </c>
      <c r="J98">
        <v>3.9119242483279102</v>
      </c>
      <c r="K98">
        <v>1.2522031105231599</v>
      </c>
      <c r="L98">
        <v>3.1367150933133938E-5</v>
      </c>
      <c r="M98">
        <v>1.8253119925103318E-6</v>
      </c>
      <c r="N98" s="1">
        <v>-3.9965922801418102E-8</v>
      </c>
      <c r="O98" s="1">
        <v>1.12260880292315E-11</v>
      </c>
      <c r="P98" s="1">
        <v>1.4315936993945199E-10</v>
      </c>
      <c r="Q98">
        <v>65.820772135699301</v>
      </c>
      <c r="S98">
        <v>20.876017535740999</v>
      </c>
      <c r="AA98">
        <v>1.86455087004057</v>
      </c>
      <c r="AB98">
        <v>9.0721784296792993</v>
      </c>
      <c r="AC98">
        <v>2.3664810288397899</v>
      </c>
      <c r="AJ98">
        <v>0.77809324693437998</v>
      </c>
      <c r="AK98">
        <v>8.8370047773401295E-2</v>
      </c>
      <c r="AL98">
        <v>0.13353670529221801</v>
      </c>
    </row>
    <row r="99" spans="1:38" x14ac:dyDescent="0.2">
      <c r="A99">
        <v>144</v>
      </c>
      <c r="B99">
        <v>759</v>
      </c>
      <c r="C99">
        <v>180</v>
      </c>
      <c r="D99">
        <v>0.40537760984353299</v>
      </c>
      <c r="E99">
        <v>4.8397918676164</v>
      </c>
      <c r="F99">
        <v>2.5597429734381398</v>
      </c>
      <c r="G99">
        <v>-78.353700342591381</v>
      </c>
      <c r="H99">
        <v>-67.81372158693388</v>
      </c>
      <c r="I99">
        <v>10.211673454107901</v>
      </c>
      <c r="J99">
        <v>5.8986517754943204</v>
      </c>
      <c r="K99">
        <v>1.8907335298261501</v>
      </c>
      <c r="L99">
        <v>3.1355553042157772E-5</v>
      </c>
      <c r="M99">
        <v>1.8268391743342244E-6</v>
      </c>
      <c r="N99" s="1">
        <v>-6.12668154140741E-8</v>
      </c>
      <c r="O99" s="1">
        <v>1.69960676829991E-11</v>
      </c>
      <c r="P99" s="1">
        <v>2.18673314531092E-10</v>
      </c>
      <c r="Q99">
        <v>65.9364602118427</v>
      </c>
      <c r="S99">
        <v>20.735179495757901</v>
      </c>
      <c r="AA99">
        <v>1.7213638139776</v>
      </c>
      <c r="AB99">
        <v>8.9607578724080295</v>
      </c>
      <c r="AC99">
        <v>2.64623860601372</v>
      </c>
      <c r="AJ99">
        <v>0.76896478722492201</v>
      </c>
      <c r="AK99">
        <v>8.1629130375551404E-2</v>
      </c>
      <c r="AL99">
        <v>0.14940608239952599</v>
      </c>
    </row>
    <row r="100" spans="1:38" x14ac:dyDescent="0.2">
      <c r="A100">
        <v>145</v>
      </c>
      <c r="B100">
        <v>758</v>
      </c>
      <c r="C100">
        <v>180</v>
      </c>
      <c r="D100">
        <v>0.40473306502448703</v>
      </c>
      <c r="E100">
        <v>7.4153209180291499</v>
      </c>
      <c r="F100">
        <v>2.5596291694544799</v>
      </c>
      <c r="G100">
        <v>-120.01213733238684</v>
      </c>
      <c r="H100">
        <v>-103.88938356920913</v>
      </c>
      <c r="I100">
        <v>15.635701656575399</v>
      </c>
      <c r="J100">
        <v>9.0377258805264393</v>
      </c>
      <c r="K100">
        <v>2.8970293847719799</v>
      </c>
      <c r="L100">
        <v>3.1347822657245856E-5</v>
      </c>
      <c r="M100">
        <v>1.8261667492030155E-6</v>
      </c>
      <c r="N100" s="1">
        <v>-9.6183724574818595E-8</v>
      </c>
      <c r="O100" s="1">
        <v>2.60251695505194E-11</v>
      </c>
      <c r="P100" s="1">
        <v>3.4167954872111199E-10</v>
      </c>
      <c r="Q100">
        <v>65.913128290555804</v>
      </c>
      <c r="S100">
        <v>20.736440206493299</v>
      </c>
      <c r="AA100">
        <v>1.72784809810748</v>
      </c>
      <c r="AB100">
        <v>8.9120690539245295</v>
      </c>
      <c r="AC100">
        <v>2.7105143509187202</v>
      </c>
      <c r="AJ100">
        <v>0.76497148633290502</v>
      </c>
      <c r="AK100">
        <v>8.19564341162409E-2</v>
      </c>
      <c r="AL100">
        <v>0.153072079550853</v>
      </c>
    </row>
    <row r="101" spans="1:38" x14ac:dyDescent="0.2">
      <c r="A101">
        <v>145</v>
      </c>
      <c r="B101">
        <v>758</v>
      </c>
      <c r="C101">
        <v>180</v>
      </c>
      <c r="D101">
        <v>0.40473306502448703</v>
      </c>
      <c r="E101">
        <v>7.3162234192460804</v>
      </c>
      <c r="F101">
        <v>2.52320198314791</v>
      </c>
      <c r="G101">
        <v>-116.21404519702108</v>
      </c>
      <c r="H101">
        <v>-100.49789403743003</v>
      </c>
      <c r="I101">
        <v>15.2413821069592</v>
      </c>
      <c r="J101">
        <v>8.7383883510308404</v>
      </c>
      <c r="K101">
        <v>2.89957897469565</v>
      </c>
      <c r="L101">
        <v>2.903807995039559E-5</v>
      </c>
      <c r="M101">
        <v>1.8068706392827628E-6</v>
      </c>
      <c r="N101" s="1">
        <v>-5.0717244267093498E-8</v>
      </c>
      <c r="O101" s="1">
        <v>2.7502656238092999E-11</v>
      </c>
      <c r="P101" s="1">
        <v>2.0598465695302601E-10</v>
      </c>
      <c r="Q101">
        <v>66.251104713578798</v>
      </c>
      <c r="S101">
        <v>19.1268554674119</v>
      </c>
      <c r="AA101">
        <v>0.32106202965712899</v>
      </c>
      <c r="AB101">
        <v>5.4454957372658699</v>
      </c>
      <c r="AC101">
        <v>8.8554820520862005</v>
      </c>
      <c r="AJ101">
        <v>0.475623483432072</v>
      </c>
      <c r="AK101">
        <v>1.54962139574575E-2</v>
      </c>
      <c r="AL101">
        <v>0.50888030261046902</v>
      </c>
    </row>
    <row r="102" spans="1:38" x14ac:dyDescent="0.2">
      <c r="A102">
        <v>146</v>
      </c>
      <c r="B102">
        <v>757</v>
      </c>
      <c r="C102">
        <v>180</v>
      </c>
      <c r="D102">
        <v>0.40408726884434598</v>
      </c>
      <c r="E102">
        <v>9.6206153902943399</v>
      </c>
      <c r="F102">
        <v>2.56081490581199</v>
      </c>
      <c r="G102">
        <v>-155.72342713861471</v>
      </c>
      <c r="H102">
        <v>-134.83882410154027</v>
      </c>
      <c r="I102">
        <v>20.273361196985299</v>
      </c>
      <c r="J102">
        <v>11.7298483458117</v>
      </c>
      <c r="K102">
        <v>3.75685699441201</v>
      </c>
      <c r="L102">
        <v>3.13681936874983E-5</v>
      </c>
      <c r="M102">
        <v>1.824947555711865E-6</v>
      </c>
      <c r="N102" s="1">
        <v>-1.28895766989886E-7</v>
      </c>
      <c r="O102" s="1">
        <v>3.3666626904598497E-11</v>
      </c>
      <c r="P102" s="1">
        <v>4.5519919911996699E-10</v>
      </c>
      <c r="Q102">
        <v>65.836499607731</v>
      </c>
      <c r="S102">
        <v>20.805921863076101</v>
      </c>
      <c r="AA102">
        <v>1.8030514317795201</v>
      </c>
      <c r="AB102">
        <v>8.9234613388785302</v>
      </c>
      <c r="AC102">
        <v>2.6310657585347799</v>
      </c>
      <c r="AJ102">
        <v>0.76590475683223702</v>
      </c>
      <c r="AK102">
        <v>8.5518549450542103E-2</v>
      </c>
      <c r="AL102">
        <v>0.14857669371721999</v>
      </c>
    </row>
    <row r="103" spans="1:38" x14ac:dyDescent="0.2">
      <c r="A103">
        <v>146</v>
      </c>
      <c r="B103">
        <v>757</v>
      </c>
      <c r="C103">
        <v>180</v>
      </c>
      <c r="D103">
        <v>0.40408726884434598</v>
      </c>
      <c r="E103">
        <v>15.222549004113</v>
      </c>
      <c r="F103">
        <v>2.5230181115871599</v>
      </c>
      <c r="G103">
        <v>-241.68401299742612</v>
      </c>
      <c r="H103">
        <v>-209.04698920096067</v>
      </c>
      <c r="I103">
        <v>31.681817013508098</v>
      </c>
      <c r="J103">
        <v>18.175776737822801</v>
      </c>
      <c r="K103">
        <v>6.0334679859023597</v>
      </c>
      <c r="L103">
        <v>2.8996138021439684E-5</v>
      </c>
      <c r="M103">
        <v>1.8060807127742871E-6</v>
      </c>
      <c r="N103" s="1">
        <v>-1.0710920175353E-7</v>
      </c>
      <c r="O103" s="1">
        <v>5.7242545766704498E-11</v>
      </c>
      <c r="P103" s="1">
        <v>4.3303041267885602E-10</v>
      </c>
      <c r="Q103">
        <v>66.227601965220401</v>
      </c>
      <c r="S103">
        <v>19.116110048107899</v>
      </c>
      <c r="AA103">
        <v>0.317680993733296</v>
      </c>
      <c r="AB103">
        <v>5.3649506090110304</v>
      </c>
      <c r="AC103">
        <v>8.9736563839272492</v>
      </c>
      <c r="AJ103">
        <v>0.46877940784470101</v>
      </c>
      <c r="AK103">
        <v>1.5339274555535101E-2</v>
      </c>
      <c r="AL103">
        <v>0.51588131759976297</v>
      </c>
    </row>
    <row r="104" spans="1:38" x14ac:dyDescent="0.2">
      <c r="A104">
        <v>147</v>
      </c>
      <c r="B104">
        <v>756</v>
      </c>
      <c r="C104">
        <v>180</v>
      </c>
      <c r="D104">
        <v>0.40344021765534699</v>
      </c>
      <c r="E104">
        <v>13.6628400948777</v>
      </c>
      <c r="F104">
        <v>2.5624123766168401</v>
      </c>
      <c r="G104">
        <v>-221.19741138567989</v>
      </c>
      <c r="H104">
        <v>-191.58600079870618</v>
      </c>
      <c r="I104">
        <v>28.772686767695401</v>
      </c>
      <c r="J104">
        <v>16.664337309891501</v>
      </c>
      <c r="K104">
        <v>5.3320223628161001</v>
      </c>
      <c r="L104">
        <v>3.1376402044397861E-5</v>
      </c>
      <c r="M104">
        <v>1.8229998588838192E-6</v>
      </c>
      <c r="N104" s="1">
        <v>-1.8897913026171601E-7</v>
      </c>
      <c r="O104" s="1">
        <v>4.7636026758022901E-11</v>
      </c>
      <c r="P104" s="1">
        <v>6.6364186806570199E-10</v>
      </c>
      <c r="Q104">
        <v>65.724279558238095</v>
      </c>
      <c r="S104">
        <v>20.904215497624101</v>
      </c>
      <c r="AA104">
        <v>1.9103297011307501</v>
      </c>
      <c r="AB104">
        <v>8.93107451759432</v>
      </c>
      <c r="AC104">
        <v>2.5301007254125798</v>
      </c>
      <c r="AJ104">
        <v>0.76652743942118695</v>
      </c>
      <c r="AK104">
        <v>9.0603111242491402E-2</v>
      </c>
      <c r="AL104">
        <v>0.14286944933632001</v>
      </c>
    </row>
    <row r="105" spans="1:38" x14ac:dyDescent="0.2">
      <c r="A105">
        <v>147</v>
      </c>
      <c r="B105">
        <v>756</v>
      </c>
      <c r="C105">
        <v>180</v>
      </c>
      <c r="D105">
        <v>0.40344021765534699</v>
      </c>
      <c r="E105">
        <v>27.734289903120999</v>
      </c>
      <c r="F105">
        <v>2.5227921770576698</v>
      </c>
      <c r="G105">
        <v>-440.07074574127665</v>
      </c>
      <c r="H105">
        <v>-380.73041523695412</v>
      </c>
      <c r="I105">
        <v>57.659554490912399</v>
      </c>
      <c r="J105">
        <v>33.099566091342503</v>
      </c>
      <c r="K105">
        <v>10.993489735435601</v>
      </c>
      <c r="L105">
        <v>2.8935789101897635E-5</v>
      </c>
      <c r="M105">
        <v>1.8050016900730893E-6</v>
      </c>
      <c r="N105" s="1">
        <v>-1.96826100897478E-7</v>
      </c>
      <c r="O105" s="1">
        <v>1.04350571627718E-10</v>
      </c>
      <c r="P105" s="1">
        <v>7.9348603243917604E-10</v>
      </c>
      <c r="Q105">
        <v>66.195642176452694</v>
      </c>
      <c r="S105">
        <v>19.103463084909901</v>
      </c>
      <c r="AA105">
        <v>0.31470449939101802</v>
      </c>
      <c r="AB105">
        <v>5.2605742751164399</v>
      </c>
      <c r="AC105">
        <v>9.1256159641299206</v>
      </c>
      <c r="AJ105">
        <v>0.45990203279209302</v>
      </c>
      <c r="AK105">
        <v>1.5203581789210699E-2</v>
      </c>
      <c r="AL105">
        <v>0.52489438541869604</v>
      </c>
    </row>
    <row r="106" spans="1:38" x14ac:dyDescent="0.2">
      <c r="A106">
        <v>148</v>
      </c>
      <c r="B106">
        <v>755</v>
      </c>
      <c r="C106">
        <v>180</v>
      </c>
      <c r="D106">
        <v>0.40279190779555302</v>
      </c>
      <c r="E106">
        <v>16.311362372830899</v>
      </c>
      <c r="F106">
        <v>2.5634292834912098</v>
      </c>
      <c r="G106">
        <v>-264.09668765329116</v>
      </c>
      <c r="H106">
        <v>-228.80148275350973</v>
      </c>
      <c r="I106">
        <v>34.3288478332747</v>
      </c>
      <c r="J106">
        <v>19.901744019664999</v>
      </c>
      <c r="K106">
        <v>6.3631021451920002</v>
      </c>
      <c r="L106">
        <v>3.1396528674301686E-5</v>
      </c>
      <c r="M106">
        <v>1.821864755879375E-6</v>
      </c>
      <c r="N106" s="1">
        <v>-2.3286404298842401E-7</v>
      </c>
      <c r="O106" s="1">
        <v>5.6715568445237202E-11</v>
      </c>
      <c r="P106" s="1">
        <v>8.1325047804403696E-10</v>
      </c>
      <c r="Q106">
        <v>65.654885467282398</v>
      </c>
      <c r="S106">
        <v>20.965149994070501</v>
      </c>
      <c r="AA106">
        <v>1.97679344706488</v>
      </c>
      <c r="AB106">
        <v>8.9361812111212604</v>
      </c>
      <c r="AC106">
        <v>2.4669898804608099</v>
      </c>
      <c r="AJ106">
        <v>0.76694517881122004</v>
      </c>
      <c r="AK106">
        <v>9.3752841161716699E-2</v>
      </c>
      <c r="AL106">
        <v>0.13930198002706201</v>
      </c>
    </row>
    <row r="107" spans="1:38" x14ac:dyDescent="0.2">
      <c r="A107">
        <v>148</v>
      </c>
      <c r="B107">
        <v>755</v>
      </c>
      <c r="C107">
        <v>180</v>
      </c>
      <c r="D107">
        <v>0.40279190779555302</v>
      </c>
      <c r="E107">
        <v>35.336120259955997</v>
      </c>
      <c r="F107">
        <v>2.52266500030554</v>
      </c>
      <c r="G107">
        <v>-560.45249592862808</v>
      </c>
      <c r="H107">
        <v>-484.98859336420855</v>
      </c>
      <c r="I107">
        <v>73.397755740329202</v>
      </c>
      <c r="J107">
        <v>42.1618375224975</v>
      </c>
      <c r="K107">
        <v>14.007456501626701</v>
      </c>
      <c r="L107">
        <v>2.8904051003169512E-5</v>
      </c>
      <c r="M107">
        <v>1.8043785026569659E-6</v>
      </c>
      <c r="N107" s="1">
        <v>-2.5535079746262001E-7</v>
      </c>
      <c r="O107" s="1">
        <v>1.32976867994075E-10</v>
      </c>
      <c r="P107" s="1">
        <v>1.0239191672321299E-9</v>
      </c>
      <c r="Q107">
        <v>66.176229035701596</v>
      </c>
      <c r="S107">
        <v>19.094400502022101</v>
      </c>
      <c r="AA107">
        <v>0.31175756671481297</v>
      </c>
      <c r="AB107">
        <v>5.1935543925872798</v>
      </c>
      <c r="AC107">
        <v>9.2240585029741204</v>
      </c>
      <c r="AJ107">
        <v>0.45419694767941798</v>
      </c>
      <c r="AK107">
        <v>1.50663246142541E-2</v>
      </c>
      <c r="AL107">
        <v>0.53073672770632596</v>
      </c>
    </row>
    <row r="108" spans="1:38" x14ac:dyDescent="0.2">
      <c r="A108">
        <v>149</v>
      </c>
      <c r="B108">
        <v>754</v>
      </c>
      <c r="C108">
        <v>180</v>
      </c>
      <c r="D108">
        <v>0.402142335588766</v>
      </c>
      <c r="E108">
        <v>17.618343442373199</v>
      </c>
      <c r="F108">
        <v>2.56398817065151</v>
      </c>
      <c r="G108">
        <v>-285.25389779579524</v>
      </c>
      <c r="H108">
        <v>-247.19012671516217</v>
      </c>
      <c r="I108">
        <v>37.057655727627903</v>
      </c>
      <c r="J108">
        <v>21.504268235370301</v>
      </c>
      <c r="K108">
        <v>6.8714605020569799</v>
      </c>
      <c r="L108">
        <v>3.1428998315727223E-5</v>
      </c>
      <c r="M108">
        <v>1.8214457484602489E-6</v>
      </c>
      <c r="N108" s="1">
        <v>-2.59652259248563E-7</v>
      </c>
      <c r="O108" s="1">
        <v>6.1140280620684099E-11</v>
      </c>
      <c r="P108" s="1">
        <v>9.0185790357969904E-10</v>
      </c>
      <c r="Q108">
        <v>65.621723995417696</v>
      </c>
      <c r="S108">
        <v>20.995508417186301</v>
      </c>
      <c r="AA108">
        <v>2.0095772330940598</v>
      </c>
      <c r="AB108">
        <v>8.9418712021801898</v>
      </c>
      <c r="AC108">
        <v>2.4313191521216</v>
      </c>
      <c r="AJ108">
        <v>0.76741128668148095</v>
      </c>
      <c r="AK108">
        <v>9.5304907558705104E-2</v>
      </c>
      <c r="AL108">
        <v>0.137283805759813</v>
      </c>
    </row>
    <row r="109" spans="1:38" x14ac:dyDescent="0.2">
      <c r="A109">
        <v>149</v>
      </c>
      <c r="B109">
        <v>754</v>
      </c>
      <c r="C109">
        <v>180</v>
      </c>
      <c r="D109">
        <v>0.402142335588766</v>
      </c>
      <c r="E109">
        <v>38.859726872233402</v>
      </c>
      <c r="F109">
        <v>2.5226045528969498</v>
      </c>
      <c r="G109">
        <v>-616.1503996649742</v>
      </c>
      <c r="H109">
        <v>-533.30514832549215</v>
      </c>
      <c r="I109">
        <v>80.655455716771698</v>
      </c>
      <c r="J109">
        <v>46.362842347135</v>
      </c>
      <c r="K109">
        <v>15.404605064875099</v>
      </c>
      <c r="L109">
        <v>2.8894306888413558E-5</v>
      </c>
      <c r="M109">
        <v>1.8040989424661044E-6</v>
      </c>
      <c r="N109" s="1">
        <v>-2.8804648967650701E-7</v>
      </c>
      <c r="O109" s="1">
        <v>1.4622013338054199E-10</v>
      </c>
      <c r="P109" s="1">
        <v>1.1467132997376399E-9</v>
      </c>
      <c r="Q109">
        <v>66.166428683336406</v>
      </c>
      <c r="S109">
        <v>19.087942369635101</v>
      </c>
      <c r="AA109">
        <v>0.3087163196146</v>
      </c>
      <c r="AB109">
        <v>5.1547839991483499</v>
      </c>
      <c r="AC109">
        <v>9.2821286282654594</v>
      </c>
      <c r="AJ109">
        <v>0.45089485269949198</v>
      </c>
      <c r="AK109">
        <v>1.49222799807579E-2</v>
      </c>
      <c r="AL109">
        <v>0.53418286731974995</v>
      </c>
    </row>
    <row r="110" spans="1:38" x14ac:dyDescent="0.2">
      <c r="A110">
        <v>150</v>
      </c>
      <c r="B110">
        <v>753</v>
      </c>
      <c r="C110">
        <v>180</v>
      </c>
      <c r="D110">
        <v>0.401491497344444</v>
      </c>
      <c r="E110">
        <v>18.217702850512801</v>
      </c>
      <c r="F110">
        <v>2.5642965378618898</v>
      </c>
      <c r="G110">
        <v>-294.93943138349971</v>
      </c>
      <c r="H110">
        <v>-255.64148729955954</v>
      </c>
      <c r="I110">
        <v>38.296490848258202</v>
      </c>
      <c r="J110">
        <v>22.244304531152</v>
      </c>
      <c r="K110">
        <v>7.1043666680230002</v>
      </c>
      <c r="L110">
        <v>3.1469466133804807E-5</v>
      </c>
      <c r="M110">
        <v>1.8214384911864351E-6</v>
      </c>
      <c r="N110" s="1">
        <v>-2.77217430688506E-7</v>
      </c>
      <c r="O110" s="1">
        <v>6.3122175835170395E-11</v>
      </c>
      <c r="P110" s="1">
        <v>9.5768056573826995E-10</v>
      </c>
      <c r="Q110">
        <v>65.608984766669096</v>
      </c>
      <c r="S110">
        <v>21.008866100377201</v>
      </c>
      <c r="AA110">
        <v>2.02356998337038</v>
      </c>
      <c r="AB110">
        <v>8.9485014170664794</v>
      </c>
      <c r="AC110">
        <v>2.41007773251664</v>
      </c>
      <c r="AJ110">
        <v>0.76795477992951</v>
      </c>
      <c r="AK110">
        <v>9.5965328811308301E-2</v>
      </c>
      <c r="AL110">
        <v>0.13607989125918099</v>
      </c>
    </row>
    <row r="111" spans="1:38" x14ac:dyDescent="0.2">
      <c r="A111">
        <v>150</v>
      </c>
      <c r="B111">
        <v>753</v>
      </c>
      <c r="C111">
        <v>180</v>
      </c>
      <c r="D111">
        <v>0.401491497344444</v>
      </c>
      <c r="E111">
        <v>40.295946408949902</v>
      </c>
      <c r="F111">
        <v>2.5225780566110698</v>
      </c>
      <c r="G111">
        <v>-638.76861557428606</v>
      </c>
      <c r="H111">
        <v>-553.00386359445793</v>
      </c>
      <c r="I111">
        <v>83.579157023659306</v>
      </c>
      <c r="J111">
        <v>48.077597577948701</v>
      </c>
      <c r="K111">
        <v>15.974112794386601</v>
      </c>
      <c r="L111">
        <v>2.889669486871172E-5</v>
      </c>
      <c r="M111">
        <v>1.8040038699636465E-6</v>
      </c>
      <c r="N111" s="1">
        <v>-3.0759847811467001E-7</v>
      </c>
      <c r="O111" s="1">
        <v>1.5158131389524099E-10</v>
      </c>
      <c r="P111" s="1">
        <v>1.2146559235668299E-9</v>
      </c>
      <c r="Q111">
        <v>66.161801766254698</v>
      </c>
      <c r="S111">
        <v>19.0828623936052</v>
      </c>
      <c r="AA111">
        <v>0.30560491522209299</v>
      </c>
      <c r="AB111">
        <v>5.1311553449127096</v>
      </c>
      <c r="AC111">
        <v>9.3185755800052608</v>
      </c>
      <c r="AJ111">
        <v>0.44888176388714801</v>
      </c>
      <c r="AK111">
        <v>1.4773654031188899E-2</v>
      </c>
      <c r="AL111">
        <v>0.53634458208166202</v>
      </c>
    </row>
    <row r="112" spans="1:38" x14ac:dyDescent="0.2">
      <c r="A112">
        <v>152</v>
      </c>
      <c r="B112">
        <v>770</v>
      </c>
      <c r="C112">
        <v>165</v>
      </c>
      <c r="D112">
        <v>0.428203518190098</v>
      </c>
      <c r="E112">
        <v>0.114884931699579</v>
      </c>
      <c r="F112">
        <v>2.5653886553267302</v>
      </c>
      <c r="G112">
        <v>-1.8673160746796369</v>
      </c>
      <c r="H112">
        <v>-1.6129192653408626</v>
      </c>
      <c r="I112">
        <v>0.24387366087214099</v>
      </c>
      <c r="J112">
        <v>0.139832030799729</v>
      </c>
      <c r="K112">
        <v>4.4782661473548799E-2</v>
      </c>
      <c r="L112">
        <v>3.1055870609509696E-5</v>
      </c>
      <c r="M112">
        <v>1.820092295019615E-6</v>
      </c>
      <c r="N112" s="1">
        <v>-1.05509674969037E-9</v>
      </c>
      <c r="O112" s="1">
        <v>4.0208891503224702E-13</v>
      </c>
      <c r="P112" s="1">
        <v>4.0385826257462702E-12</v>
      </c>
      <c r="Q112">
        <v>65.547326779450302</v>
      </c>
      <c r="S112">
        <v>21.152672546802499</v>
      </c>
      <c r="AA112">
        <v>2.1565988225303201</v>
      </c>
      <c r="AB112">
        <v>9.1881071939357692</v>
      </c>
      <c r="AC112">
        <v>1.9552946572809999</v>
      </c>
      <c r="AJ112">
        <v>0.78757786551861397</v>
      </c>
      <c r="AK112">
        <v>0.10215217143403101</v>
      </c>
      <c r="AL112">
        <v>0.11026996304735399</v>
      </c>
    </row>
    <row r="113" spans="1:38" x14ac:dyDescent="0.2">
      <c r="A113">
        <v>153</v>
      </c>
      <c r="B113">
        <v>769</v>
      </c>
      <c r="C113">
        <v>165</v>
      </c>
      <c r="D113">
        <v>0.42758767931679997</v>
      </c>
      <c r="E113">
        <v>0.54789106454242698</v>
      </c>
      <c r="F113">
        <v>2.5648766521996098</v>
      </c>
      <c r="G113">
        <v>-8.9029651430954235</v>
      </c>
      <c r="H113">
        <v>-7.6915049194842595</v>
      </c>
      <c r="I113">
        <v>1.16246243209822</v>
      </c>
      <c r="J113">
        <v>0.66697343060030001</v>
      </c>
      <c r="K113">
        <v>0.21361302660405199</v>
      </c>
      <c r="L113">
        <v>3.1092233814997759E-5</v>
      </c>
      <c r="M113">
        <v>1.8211094473772864E-6</v>
      </c>
      <c r="N113" s="1">
        <v>-5.1865289054247497E-9</v>
      </c>
      <c r="O113" s="1">
        <v>1.9182565683813002E-12</v>
      </c>
      <c r="P113" s="1">
        <v>1.97084430120111E-11</v>
      </c>
      <c r="Q113">
        <v>65.592303133735797</v>
      </c>
      <c r="S113">
        <v>21.1132523179425</v>
      </c>
      <c r="AA113">
        <v>2.1135821126835199</v>
      </c>
      <c r="AB113">
        <v>9.1849893329891099</v>
      </c>
      <c r="AC113">
        <v>1.9958731026490399</v>
      </c>
      <c r="AJ113">
        <v>0.78732351802012501</v>
      </c>
      <c r="AK113">
        <v>0.100116229059956</v>
      </c>
      <c r="AL113">
        <v>0.112560252919917</v>
      </c>
    </row>
    <row r="114" spans="1:38" x14ac:dyDescent="0.2">
      <c r="A114">
        <v>154</v>
      </c>
      <c r="B114">
        <v>768</v>
      </c>
      <c r="C114">
        <v>165</v>
      </c>
      <c r="D114">
        <v>0.42697065744609403</v>
      </c>
      <c r="E114">
        <v>0.98255833645205704</v>
      </c>
      <c r="F114">
        <v>2.5643691121079799</v>
      </c>
      <c r="G114">
        <v>-15.961862670554654</v>
      </c>
      <c r="H114">
        <v>-13.792475116214561</v>
      </c>
      <c r="I114">
        <v>2.0836455403545</v>
      </c>
      <c r="J114">
        <v>1.19631155195586</v>
      </c>
      <c r="K114">
        <v>0.38315792052430597</v>
      </c>
      <c r="L114">
        <v>3.1128116795215932E-5</v>
      </c>
      <c r="M114">
        <v>1.8220905993658145E-6</v>
      </c>
      <c r="N114" s="1">
        <v>-9.5856340826817296E-9</v>
      </c>
      <c r="O114" s="1">
        <v>3.4412040887529402E-12</v>
      </c>
      <c r="P114" s="1">
        <v>3.6167476042025098E-11</v>
      </c>
      <c r="Q114">
        <v>65.635888000903506</v>
      </c>
      <c r="S114">
        <v>21.0745878550388</v>
      </c>
      <c r="AA114">
        <v>2.07151360198531</v>
      </c>
      <c r="AB114">
        <v>9.1807519563201794</v>
      </c>
      <c r="AC114">
        <v>2.0372585857521002</v>
      </c>
      <c r="AJ114">
        <v>0.78697755321741802</v>
      </c>
      <c r="AK114">
        <v>9.81256781123023E-2</v>
      </c>
      <c r="AL114">
        <v>0.114896768670278</v>
      </c>
    </row>
    <row r="115" spans="1:38" x14ac:dyDescent="0.2">
      <c r="A115">
        <v>155</v>
      </c>
      <c r="B115">
        <v>767</v>
      </c>
      <c r="C115">
        <v>165</v>
      </c>
      <c r="D115">
        <v>0.42635244916598902</v>
      </c>
      <c r="E115">
        <v>1.4187227973680501</v>
      </c>
      <c r="F115">
        <v>2.5638658603022799</v>
      </c>
      <c r="G115">
        <v>-23.041280067781589</v>
      </c>
      <c r="H115">
        <v>-19.913489180961513</v>
      </c>
      <c r="I115">
        <v>3.0070575271067299</v>
      </c>
      <c r="J115">
        <v>1.7276513163221501</v>
      </c>
      <c r="K115">
        <v>0.55335297346670997</v>
      </c>
      <c r="L115">
        <v>3.1163534570010029E-5</v>
      </c>
      <c r="M115">
        <v>1.8230361421625871E-6</v>
      </c>
      <c r="N115" s="1">
        <v>-1.4261661815281701E-8</v>
      </c>
      <c r="O115" s="1">
        <v>4.9702175520051403E-12</v>
      </c>
      <c r="P115" s="1">
        <v>5.3440343304916199E-11</v>
      </c>
      <c r="Q115">
        <v>65.678097361994404</v>
      </c>
      <c r="S115">
        <v>21.0366650348852</v>
      </c>
      <c r="AA115">
        <v>2.0303779096883101</v>
      </c>
      <c r="AB115">
        <v>9.1753936510000695</v>
      </c>
      <c r="AC115">
        <v>2.0794660424319198</v>
      </c>
      <c r="AJ115">
        <v>0.78653984399241195</v>
      </c>
      <c r="AK115">
        <v>9.6179760638141806E-2</v>
      </c>
      <c r="AL115">
        <v>0.117280395369445</v>
      </c>
    </row>
    <row r="116" spans="1:38" x14ac:dyDescent="0.2">
      <c r="A116">
        <v>156</v>
      </c>
      <c r="B116">
        <v>766</v>
      </c>
      <c r="C116">
        <v>165</v>
      </c>
      <c r="D116">
        <v>0.42573305105134501</v>
      </c>
      <c r="E116">
        <v>1.85622508596838</v>
      </c>
      <c r="F116">
        <v>2.56336670281495</v>
      </c>
      <c r="G116">
        <v>-30.138564429090717</v>
      </c>
      <c r="H116">
        <v>-26.052269890520495</v>
      </c>
      <c r="I116">
        <v>3.9323432984364302</v>
      </c>
      <c r="J116">
        <v>2.2608033635812399</v>
      </c>
      <c r="K116">
        <v>0.72413560023619805</v>
      </c>
      <c r="L116">
        <v>3.1198503048720344E-5</v>
      </c>
      <c r="M116">
        <v>1.8239465055941255E-6</v>
      </c>
      <c r="N116" s="1">
        <v>-1.9224140018714801E-8</v>
      </c>
      <c r="O116" s="1">
        <v>6.5045973130761596E-12</v>
      </c>
      <c r="P116" s="1">
        <v>7.1552485782532396E-11</v>
      </c>
      <c r="Q116">
        <v>65.718949037832999</v>
      </c>
      <c r="S116">
        <v>20.9994682443762</v>
      </c>
      <c r="AA116">
        <v>1.9901579965749301</v>
      </c>
      <c r="AB116">
        <v>9.1689131979950407</v>
      </c>
      <c r="AC116">
        <v>2.1225115232207101</v>
      </c>
      <c r="AJ116">
        <v>0.78601027604537299</v>
      </c>
      <c r="AK116">
        <v>9.4277641383849406E-2</v>
      </c>
      <c r="AL116">
        <v>0.11971208257077701</v>
      </c>
    </row>
    <row r="117" spans="1:38" x14ac:dyDescent="0.2">
      <c r="A117">
        <v>157</v>
      </c>
      <c r="B117">
        <v>765</v>
      </c>
      <c r="C117">
        <v>165</v>
      </c>
      <c r="D117">
        <v>0.42511245966382499</v>
      </c>
      <c r="E117">
        <v>2.5164411627563399</v>
      </c>
      <c r="F117">
        <v>2.5625551213198099</v>
      </c>
      <c r="G117">
        <v>-40.84289514820194</v>
      </c>
      <c r="H117">
        <v>-35.311387416344452</v>
      </c>
      <c r="I117">
        <v>5.32823554578576</v>
      </c>
      <c r="J117">
        <v>3.06523365750482</v>
      </c>
      <c r="K117">
        <v>0.98200469594592499</v>
      </c>
      <c r="L117">
        <v>3.1229308874577975E-5</v>
      </c>
      <c r="M117">
        <v>1.8250274712411881E-6</v>
      </c>
      <c r="N117" s="1">
        <v>-2.68029106958271E-8</v>
      </c>
      <c r="O117" s="1">
        <v>8.8250349694276195E-12</v>
      </c>
      <c r="P117" s="1">
        <v>9.9137517501372304E-11</v>
      </c>
      <c r="Q117">
        <v>65.773778206060896</v>
      </c>
      <c r="S117">
        <v>20.945328178335998</v>
      </c>
      <c r="AA117">
        <v>1.9326982508985999</v>
      </c>
      <c r="AB117">
        <v>9.14916183775523</v>
      </c>
      <c r="AC117">
        <v>2.1990335269491399</v>
      </c>
      <c r="AJ117">
        <v>0.78439492861551097</v>
      </c>
      <c r="AK117">
        <v>9.15647494275246E-2</v>
      </c>
      <c r="AL117">
        <v>0.124040321956963</v>
      </c>
    </row>
    <row r="118" spans="1:38" x14ac:dyDescent="0.2">
      <c r="A118">
        <v>158</v>
      </c>
      <c r="B118">
        <v>764</v>
      </c>
      <c r="C118">
        <v>165</v>
      </c>
      <c r="D118">
        <v>0.424490671551851</v>
      </c>
      <c r="E118">
        <v>3.9570191677549702</v>
      </c>
      <c r="F118">
        <v>2.56056588635643</v>
      </c>
      <c r="G118">
        <v>-64.174159454581158</v>
      </c>
      <c r="H118">
        <v>-55.489116668820742</v>
      </c>
      <c r="I118">
        <v>8.3739505238011809</v>
      </c>
      <c r="J118">
        <v>4.8190187193850704</v>
      </c>
      <c r="K118">
        <v>1.54536900957687</v>
      </c>
      <c r="L118">
        <v>3.1237509430109004E-5</v>
      </c>
      <c r="M118">
        <v>1.8266184677502255E-6</v>
      </c>
      <c r="N118" s="1">
        <v>-4.3030069669022602E-8</v>
      </c>
      <c r="O118" s="1">
        <v>1.3916123490750799E-11</v>
      </c>
      <c r="P118" s="1">
        <v>1.5839086146684301E-10</v>
      </c>
      <c r="Q118">
        <v>65.877058805573398</v>
      </c>
      <c r="S118">
        <v>20.8291418317107</v>
      </c>
      <c r="AA118">
        <v>1.8127442093196899</v>
      </c>
      <c r="AB118">
        <v>9.0747195031505008</v>
      </c>
      <c r="AC118">
        <v>2.4063356502455999</v>
      </c>
      <c r="AJ118">
        <v>0.77830223280093502</v>
      </c>
      <c r="AK118">
        <v>8.5913692125268795E-2</v>
      </c>
      <c r="AL118">
        <v>0.135784075073795</v>
      </c>
    </row>
    <row r="119" spans="1:38" x14ac:dyDescent="0.2">
      <c r="A119">
        <v>159</v>
      </c>
      <c r="B119">
        <v>763</v>
      </c>
      <c r="C119">
        <v>165</v>
      </c>
      <c r="D119">
        <v>0.42386768325049901</v>
      </c>
      <c r="E119">
        <v>5.5909851113679903</v>
      </c>
      <c r="F119">
        <v>2.55812240869228</v>
      </c>
      <c r="G119">
        <v>-90.584464307595013</v>
      </c>
      <c r="H119">
        <v>-78.332520118234385</v>
      </c>
      <c r="I119">
        <v>11.8244889150804</v>
      </c>
      <c r="J119">
        <v>6.80614960966032</v>
      </c>
      <c r="K119">
        <v>2.1855815391672699</v>
      </c>
      <c r="L119">
        <v>3.1220091937530508E-5</v>
      </c>
      <c r="M119">
        <v>1.8279441382908562E-6</v>
      </c>
      <c r="N119" s="1">
        <v>-6.1747945061308897E-8</v>
      </c>
      <c r="O119" s="1">
        <v>1.9732267919592299E-11</v>
      </c>
      <c r="P119" s="1">
        <v>2.2643261893507E-10</v>
      </c>
      <c r="Q119">
        <v>65.983544294342096</v>
      </c>
      <c r="S119">
        <v>20.695571541590301</v>
      </c>
      <c r="AA119">
        <v>1.6777004192657099</v>
      </c>
      <c r="AB119">
        <v>8.9618448244746105</v>
      </c>
      <c r="AC119">
        <v>2.68133892032722</v>
      </c>
      <c r="AJ119">
        <v>0.76905463175597799</v>
      </c>
      <c r="AK119">
        <v>7.9558204956024295E-2</v>
      </c>
      <c r="AL119">
        <v>0.15138716328799701</v>
      </c>
    </row>
    <row r="120" spans="1:38" x14ac:dyDescent="0.2">
      <c r="A120">
        <v>160</v>
      </c>
      <c r="B120">
        <v>762</v>
      </c>
      <c r="C120">
        <v>165</v>
      </c>
      <c r="D120">
        <v>0.42324349128146099</v>
      </c>
      <c r="E120">
        <v>7.6461341754675898</v>
      </c>
      <c r="F120">
        <v>2.55683747499064</v>
      </c>
      <c r="G120">
        <v>-123.79401511899611</v>
      </c>
      <c r="H120">
        <v>-107.06621789361647</v>
      </c>
      <c r="I120">
        <v>16.1597809258365</v>
      </c>
      <c r="J120">
        <v>9.3049642617841304</v>
      </c>
      <c r="K120">
        <v>2.9904654676948299</v>
      </c>
      <c r="L120">
        <v>3.1187855573160351E-5</v>
      </c>
      <c r="M120">
        <v>1.8278056916157329E-6</v>
      </c>
      <c r="N120" s="1">
        <v>-8.5898532687181303E-8</v>
      </c>
      <c r="O120" s="1">
        <v>2.7026571396491301E-11</v>
      </c>
      <c r="P120" s="1">
        <v>3.1376502961583802E-10</v>
      </c>
      <c r="Q120">
        <v>66.009771572026594</v>
      </c>
      <c r="S120">
        <v>20.6350910473505</v>
      </c>
      <c r="AA120">
        <v>1.6216836155493499</v>
      </c>
      <c r="AB120">
        <v>8.8617334278937996</v>
      </c>
      <c r="AC120">
        <v>2.87172033717968</v>
      </c>
      <c r="AJ120">
        <v>0.76084293273193704</v>
      </c>
      <c r="AK120">
        <v>7.6940188927268394E-2</v>
      </c>
      <c r="AL120">
        <v>0.16221687834079401</v>
      </c>
    </row>
    <row r="121" spans="1:38" x14ac:dyDescent="0.2">
      <c r="A121">
        <v>160</v>
      </c>
      <c r="B121">
        <v>762</v>
      </c>
      <c r="C121">
        <v>165</v>
      </c>
      <c r="D121">
        <v>0.42324349128146099</v>
      </c>
      <c r="E121">
        <v>4.3276722550151003</v>
      </c>
      <c r="F121">
        <v>2.5230174362492601</v>
      </c>
      <c r="G121">
        <v>-68.862753500738947</v>
      </c>
      <c r="H121">
        <v>-59.500286188625516</v>
      </c>
      <c r="I121">
        <v>9.0445513327666802</v>
      </c>
      <c r="J121">
        <v>5.1710691916116103</v>
      </c>
      <c r="K121">
        <v>1.7152763959684101</v>
      </c>
      <c r="L121">
        <v>2.9084086727308604E-5</v>
      </c>
      <c r="M121">
        <v>1.8092219107935776E-6</v>
      </c>
      <c r="N121" s="1">
        <v>-2.6872476040941099E-8</v>
      </c>
      <c r="O121" s="1">
        <v>1.6270095998219199E-11</v>
      </c>
      <c r="P121" s="1">
        <v>1.12839802119097E-10</v>
      </c>
      <c r="Q121">
        <v>66.293231414248098</v>
      </c>
      <c r="S121">
        <v>19.1616995150553</v>
      </c>
      <c r="AA121">
        <v>0.33997903604515001</v>
      </c>
      <c r="AB121">
        <v>5.6307210318963197</v>
      </c>
      <c r="AC121">
        <v>8.5743690027550397</v>
      </c>
      <c r="AJ121">
        <v>0.49134118275977401</v>
      </c>
      <c r="AK121">
        <v>1.63938925485013E-2</v>
      </c>
      <c r="AL121">
        <v>0.492264924691724</v>
      </c>
    </row>
    <row r="122" spans="1:38" x14ac:dyDescent="0.2">
      <c r="A122">
        <v>161</v>
      </c>
      <c r="B122">
        <v>761</v>
      </c>
      <c r="C122">
        <v>165</v>
      </c>
      <c r="D122">
        <v>0.42261809215297602</v>
      </c>
      <c r="E122">
        <v>9.5415374648045805</v>
      </c>
      <c r="F122">
        <v>2.5584212233158001</v>
      </c>
      <c r="G122">
        <v>-154.51720849061681</v>
      </c>
      <c r="H122">
        <v>-133.67547745359363</v>
      </c>
      <c r="I122">
        <v>20.153489374871299</v>
      </c>
      <c r="J122">
        <v>11.6158943507297</v>
      </c>
      <c r="K122">
        <v>3.7294630680237999</v>
      </c>
      <c r="L122">
        <v>3.1202472874722178E-5</v>
      </c>
      <c r="M122">
        <v>1.8261929940222522E-6</v>
      </c>
      <c r="N122" s="1">
        <v>-1.10834535663471E-7</v>
      </c>
      <c r="O122" s="1">
        <v>3.36106002304406E-11</v>
      </c>
      <c r="P122" s="1">
        <v>4.02163143886465E-10</v>
      </c>
      <c r="Q122">
        <v>65.909686672222904</v>
      </c>
      <c r="S122">
        <v>20.7276754953728</v>
      </c>
      <c r="AA122">
        <v>1.72142017627759</v>
      </c>
      <c r="AB122">
        <v>8.8814217623089906</v>
      </c>
      <c r="AC122">
        <v>2.7597958938176901</v>
      </c>
      <c r="AJ122">
        <v>0.762457075241042</v>
      </c>
      <c r="AK122">
        <v>8.1663987832518395E-2</v>
      </c>
      <c r="AL122">
        <v>0.155878936926439</v>
      </c>
    </row>
    <row r="123" spans="1:38" x14ac:dyDescent="0.2">
      <c r="A123">
        <v>161</v>
      </c>
      <c r="B123">
        <v>761</v>
      </c>
      <c r="C123">
        <v>165</v>
      </c>
      <c r="D123">
        <v>0.42261809215297602</v>
      </c>
      <c r="E123">
        <v>13.1564191913874</v>
      </c>
      <c r="F123">
        <v>2.5227202132333302</v>
      </c>
      <c r="G123">
        <v>-209.21934494283076</v>
      </c>
      <c r="H123">
        <v>-180.81498998675559</v>
      </c>
      <c r="I123">
        <v>27.4663781425085</v>
      </c>
      <c r="J123">
        <v>15.7127075806556</v>
      </c>
      <c r="K123">
        <v>5.2151717508637399</v>
      </c>
      <c r="L123">
        <v>2.9020367686847572E-5</v>
      </c>
      <c r="M123">
        <v>1.8080868289543397E-6</v>
      </c>
      <c r="N123" s="1">
        <v>-8.2325489100367202E-8</v>
      </c>
      <c r="O123" s="1">
        <v>4.9494589757816201E-11</v>
      </c>
      <c r="P123" s="1">
        <v>3.4473344958271697E-10</v>
      </c>
      <c r="Q123">
        <v>66.2611629495659</v>
      </c>
      <c r="S123">
        <v>19.147235044293598</v>
      </c>
      <c r="AA123">
        <v>0.335528437392003</v>
      </c>
      <c r="AB123">
        <v>5.5213376871831397</v>
      </c>
      <c r="AC123">
        <v>8.73473588156528</v>
      </c>
      <c r="AJ123">
        <v>0.48206270747332503</v>
      </c>
      <c r="AK123">
        <v>1.6188229422206501E-2</v>
      </c>
      <c r="AL123">
        <v>0.50174906310446699</v>
      </c>
    </row>
    <row r="124" spans="1:38" x14ac:dyDescent="0.2">
      <c r="A124">
        <v>162</v>
      </c>
      <c r="B124">
        <v>760</v>
      </c>
      <c r="C124">
        <v>165</v>
      </c>
      <c r="D124">
        <v>0.42199148235977502</v>
      </c>
      <c r="E124">
        <v>10.975228537967901</v>
      </c>
      <c r="F124">
        <v>2.5595200665371598</v>
      </c>
      <c r="G124">
        <v>-177.75497057168448</v>
      </c>
      <c r="H124">
        <v>-153.81904055187744</v>
      </c>
      <c r="I124">
        <v>23.1679136812728</v>
      </c>
      <c r="J124">
        <v>13.3657954487862</v>
      </c>
      <c r="K124">
        <v>4.28800253666952</v>
      </c>
      <c r="L124">
        <v>3.1222377318413419E-5</v>
      </c>
      <c r="M124">
        <v>1.8251268121235327E-6</v>
      </c>
      <c r="N124" s="1">
        <v>-1.3170259644963599E-7</v>
      </c>
      <c r="O124" s="1">
        <v>3.8558551402115499E-11</v>
      </c>
      <c r="P124" s="1">
        <v>4.7483712316979496E-10</v>
      </c>
      <c r="Q124">
        <v>65.840938110139106</v>
      </c>
      <c r="S124">
        <v>20.790972283923399</v>
      </c>
      <c r="AA124">
        <v>1.78968221204835</v>
      </c>
      <c r="AB124">
        <v>8.8941600381854506</v>
      </c>
      <c r="AC124">
        <v>2.6842473557035502</v>
      </c>
      <c r="AJ124">
        <v>0.76350118602554995</v>
      </c>
      <c r="AK124">
        <v>8.4896832736203007E-2</v>
      </c>
      <c r="AL124">
        <v>0.151601981238246</v>
      </c>
    </row>
    <row r="125" spans="1:38" x14ac:dyDescent="0.2">
      <c r="A125">
        <v>162</v>
      </c>
      <c r="B125">
        <v>760</v>
      </c>
      <c r="C125">
        <v>165</v>
      </c>
      <c r="D125">
        <v>0.42199148235977502</v>
      </c>
      <c r="E125">
        <v>19.0017981477741</v>
      </c>
      <c r="F125">
        <v>2.5225329079157501</v>
      </c>
      <c r="G125">
        <v>-302.03405344914347</v>
      </c>
      <c r="H125">
        <v>-261.08725941335791</v>
      </c>
      <c r="I125">
        <v>39.632961366486498</v>
      </c>
      <c r="J125">
        <v>22.687037826654201</v>
      </c>
      <c r="K125">
        <v>7.5328246811552697</v>
      </c>
      <c r="L125">
        <v>2.8981513158167552E-5</v>
      </c>
      <c r="M125">
        <v>1.8073583049595333E-6</v>
      </c>
      <c r="N125" s="1">
        <v>-1.2082819515741101E-7</v>
      </c>
      <c r="O125" s="1">
        <v>7.1507661578281301E-11</v>
      </c>
      <c r="P125" s="1">
        <v>5.0333686266854402E-10</v>
      </c>
      <c r="Q125">
        <v>66.239816111598799</v>
      </c>
      <c r="S125">
        <v>19.1364532507686</v>
      </c>
      <c r="AA125">
        <v>0.33161434014679603</v>
      </c>
      <c r="AB125">
        <v>5.4455015298907998</v>
      </c>
      <c r="AC125">
        <v>8.8466147675948505</v>
      </c>
      <c r="AJ125">
        <v>0.47562386581897997</v>
      </c>
      <c r="AK125">
        <v>1.6005522162913899E-2</v>
      </c>
      <c r="AL125">
        <v>0.50837061201810496</v>
      </c>
    </row>
    <row r="126" spans="1:38" x14ac:dyDescent="0.2">
      <c r="A126">
        <v>163</v>
      </c>
      <c r="B126">
        <v>759</v>
      </c>
      <c r="C126">
        <v>165</v>
      </c>
      <c r="D126">
        <v>0.42136365838299</v>
      </c>
      <c r="E126">
        <v>15.079369967590299</v>
      </c>
      <c r="F126">
        <v>2.5616666367418399</v>
      </c>
      <c r="G126">
        <v>-244.30353405220828</v>
      </c>
      <c r="H126">
        <v>-211.47111111066178</v>
      </c>
      <c r="I126">
        <v>31.809739806759101</v>
      </c>
      <c r="J126">
        <v>18.370128702412998</v>
      </c>
      <c r="K126">
        <v>5.8865465753067996</v>
      </c>
      <c r="L126">
        <v>3.1215765006096087E-5</v>
      </c>
      <c r="M126">
        <v>1.8223738780737724E-6</v>
      </c>
      <c r="N126" s="1">
        <v>-1.8682323800347701E-7</v>
      </c>
      <c r="O126" s="1">
        <v>5.27381772591307E-11</v>
      </c>
      <c r="P126" s="1">
        <v>6.6951678152762E-10</v>
      </c>
      <c r="Q126">
        <v>65.687382019204804</v>
      </c>
      <c r="S126">
        <v>20.9250523838897</v>
      </c>
      <c r="AA126">
        <v>1.9361298819642301</v>
      </c>
      <c r="AB126">
        <v>8.9034769365507493</v>
      </c>
      <c r="AC126">
        <v>2.5479587783904298</v>
      </c>
      <c r="AJ126">
        <v>0.76426318962800599</v>
      </c>
      <c r="AK126">
        <v>9.1839303757067101E-2</v>
      </c>
      <c r="AL126">
        <v>0.14389750661492601</v>
      </c>
    </row>
    <row r="127" spans="1:38" x14ac:dyDescent="0.2">
      <c r="A127">
        <v>163</v>
      </c>
      <c r="B127">
        <v>759</v>
      </c>
      <c r="C127">
        <v>165</v>
      </c>
      <c r="D127">
        <v>0.42136365838299</v>
      </c>
      <c r="E127">
        <v>32.8266011834286</v>
      </c>
      <c r="F127">
        <v>2.5222013540497001</v>
      </c>
      <c r="G127">
        <v>-521.39363845233504</v>
      </c>
      <c r="H127">
        <v>-450.81230440392335</v>
      </c>
      <c r="I127">
        <v>68.382826186515302</v>
      </c>
      <c r="J127">
        <v>39.166849436996003</v>
      </c>
      <c r="K127">
        <v>13.0150596940729</v>
      </c>
      <c r="L127">
        <v>2.8894555803436951E-5</v>
      </c>
      <c r="M127">
        <v>1.8058595945129201E-6</v>
      </c>
      <c r="N127" s="1">
        <v>-2.0855616336415901E-7</v>
      </c>
      <c r="O127" s="1">
        <v>1.2364961508814299E-10</v>
      </c>
      <c r="P127" s="1">
        <v>8.68559399062064E-10</v>
      </c>
      <c r="Q127">
        <v>66.196622748536896</v>
      </c>
      <c r="S127">
        <v>19.119899665736298</v>
      </c>
      <c r="AA127">
        <v>0.328036043779385</v>
      </c>
      <c r="AB127">
        <v>5.3058500609677903</v>
      </c>
      <c r="AC127">
        <v>9.0495914809795295</v>
      </c>
      <c r="AJ127">
        <v>0.46375384077194298</v>
      </c>
      <c r="AK127">
        <v>1.58440025005444E-2</v>
      </c>
      <c r="AL127">
        <v>0.520402156727511</v>
      </c>
    </row>
    <row r="128" spans="1:38" x14ac:dyDescent="0.2">
      <c r="A128">
        <v>164</v>
      </c>
      <c r="B128">
        <v>758</v>
      </c>
      <c r="C128">
        <v>165</v>
      </c>
      <c r="D128">
        <v>0.42073461669010398</v>
      </c>
      <c r="E128">
        <v>16.762559587839601</v>
      </c>
      <c r="F128">
        <v>2.5625816677873101</v>
      </c>
      <c r="G128">
        <v>-271.58902997032777</v>
      </c>
      <c r="H128">
        <v>-235.14939224619732</v>
      </c>
      <c r="I128">
        <v>35.338833073879101</v>
      </c>
      <c r="J128">
        <v>20.427129818500699</v>
      </c>
      <c r="K128">
        <v>6.5412781955602597</v>
      </c>
      <c r="L128">
        <v>3.1234981943855193E-5</v>
      </c>
      <c r="M128">
        <v>1.8213967189473371E-6</v>
      </c>
      <c r="N128" s="1">
        <v>-2.14351918347847E-7</v>
      </c>
      <c r="O128" s="1">
        <v>5.8482881570458095E-11</v>
      </c>
      <c r="P128" s="1">
        <v>7.6359115364643103E-10</v>
      </c>
      <c r="Q128">
        <v>65.626445024860104</v>
      </c>
      <c r="S128">
        <v>20.979053297455401</v>
      </c>
      <c r="AA128">
        <v>1.99490000314936</v>
      </c>
      <c r="AB128">
        <v>8.9092525274749406</v>
      </c>
      <c r="AC128">
        <v>2.49034914706009</v>
      </c>
      <c r="AJ128">
        <v>0.76473604708419296</v>
      </c>
      <c r="AK128">
        <v>9.4624198580534294E-2</v>
      </c>
      <c r="AL128">
        <v>0.14063975433527201</v>
      </c>
    </row>
    <row r="129" spans="1:38" x14ac:dyDescent="0.2">
      <c r="A129">
        <v>164</v>
      </c>
      <c r="B129">
        <v>758</v>
      </c>
      <c r="C129">
        <v>165</v>
      </c>
      <c r="D129">
        <v>0.42073461669010398</v>
      </c>
      <c r="E129">
        <v>37.973516907832298</v>
      </c>
      <c r="F129">
        <v>2.52207860259767</v>
      </c>
      <c r="G129">
        <v>-602.9007317326915</v>
      </c>
      <c r="H129">
        <v>-521.40244925876175</v>
      </c>
      <c r="I129">
        <v>79.036301676700404</v>
      </c>
      <c r="J129">
        <v>45.298046634808102</v>
      </c>
      <c r="K129">
        <v>15.056436729894401</v>
      </c>
      <c r="L129">
        <v>2.8866551026652527E-5</v>
      </c>
      <c r="M129">
        <v>1.8053107526976017E-6</v>
      </c>
      <c r="N129" s="1">
        <v>-2.4603298856588098E-7</v>
      </c>
      <c r="O129" s="1">
        <v>1.4305965314437899E-10</v>
      </c>
      <c r="P129" s="1">
        <v>1.01833019536846E-9</v>
      </c>
      <c r="Q129">
        <v>66.179622154923607</v>
      </c>
      <c r="S129">
        <v>19.111061586077401</v>
      </c>
      <c r="AA129">
        <v>0.32471139367277801</v>
      </c>
      <c r="AB129">
        <v>5.2447949747816196</v>
      </c>
      <c r="AC129">
        <v>9.1398098905444201</v>
      </c>
      <c r="AJ129">
        <v>0.458559056831704</v>
      </c>
      <c r="AK129">
        <v>1.5688270817326599E-2</v>
      </c>
      <c r="AL129">
        <v>0.52575267235096801</v>
      </c>
    </row>
    <row r="130" spans="1:38" x14ac:dyDescent="0.2">
      <c r="A130">
        <v>165</v>
      </c>
      <c r="B130">
        <v>757</v>
      </c>
      <c r="C130">
        <v>165</v>
      </c>
      <c r="D130">
        <v>0.42010435373489502</v>
      </c>
      <c r="E130">
        <v>17.5364008724539</v>
      </c>
      <c r="F130">
        <v>2.56305712112266</v>
      </c>
      <c r="G130">
        <v>-284.11846635005418</v>
      </c>
      <c r="H130">
        <v>-246.05558931671118</v>
      </c>
      <c r="I130">
        <v>36.9488686437345</v>
      </c>
      <c r="J130">
        <v>21.3771391667267</v>
      </c>
      <c r="K130">
        <v>6.84198597367687</v>
      </c>
      <c r="L130">
        <v>3.1265982306614827E-5</v>
      </c>
      <c r="M130">
        <v>1.8211081159165618E-6</v>
      </c>
      <c r="N130" s="1">
        <v>-2.3149243941597899E-7</v>
      </c>
      <c r="O130" s="1">
        <v>6.1079521615987998E-11</v>
      </c>
      <c r="P130" s="1">
        <v>8.1978220035515404E-10</v>
      </c>
      <c r="Q130">
        <v>65.600304973339703</v>
      </c>
      <c r="S130">
        <v>21.0036858615386</v>
      </c>
      <c r="AA130">
        <v>2.0213215444001298</v>
      </c>
      <c r="AB130">
        <v>8.9155782934311691</v>
      </c>
      <c r="AC130">
        <v>2.4591093272903102</v>
      </c>
      <c r="AJ130">
        <v>0.76525453912126395</v>
      </c>
      <c r="AK130">
        <v>9.5874385068692697E-2</v>
      </c>
      <c r="AL130">
        <v>0.13887107581004199</v>
      </c>
    </row>
    <row r="131" spans="1:38" x14ac:dyDescent="0.2">
      <c r="A131">
        <v>165</v>
      </c>
      <c r="B131">
        <v>757</v>
      </c>
      <c r="C131">
        <v>165</v>
      </c>
      <c r="D131">
        <v>0.42010435373489502</v>
      </c>
      <c r="E131">
        <v>40.125951656336802</v>
      </c>
      <c r="F131">
        <v>2.5220229747444098</v>
      </c>
      <c r="G131">
        <v>-636.89263141064862</v>
      </c>
      <c r="H131">
        <v>-550.9211943001967</v>
      </c>
      <c r="I131">
        <v>83.4552609915565</v>
      </c>
      <c r="J131">
        <v>47.862975377196399</v>
      </c>
      <c r="K131">
        <v>15.910224473828601</v>
      </c>
      <c r="L131">
        <v>2.8859294672960836E-5</v>
      </c>
      <c r="M131">
        <v>1.8050897153186262E-6</v>
      </c>
      <c r="N131" s="1">
        <v>-2.6704694221869302E-7</v>
      </c>
      <c r="O131" s="1">
        <v>1.51150573835935E-10</v>
      </c>
      <c r="P131" s="1">
        <v>1.09635053942036E-9</v>
      </c>
      <c r="Q131">
        <v>66.171746764221595</v>
      </c>
      <c r="S131">
        <v>19.104839918636099</v>
      </c>
      <c r="AA131">
        <v>0.32141606908576797</v>
      </c>
      <c r="AB131">
        <v>5.2109341787943997</v>
      </c>
      <c r="AC131">
        <v>9.1910630692620003</v>
      </c>
      <c r="AJ131">
        <v>0.45567668974874398</v>
      </c>
      <c r="AK131">
        <v>1.55317217272291E-2</v>
      </c>
      <c r="AL131">
        <v>0.52879158852402597</v>
      </c>
    </row>
    <row r="132" spans="1:38" x14ac:dyDescent="0.2">
      <c r="A132">
        <v>168</v>
      </c>
      <c r="B132">
        <v>776</v>
      </c>
      <c r="C132">
        <v>150</v>
      </c>
      <c r="D132">
        <v>0.447600915026452</v>
      </c>
      <c r="E132">
        <v>0.41130603280115902</v>
      </c>
      <c r="F132">
        <v>2.5639139130494901</v>
      </c>
      <c r="G132">
        <v>-6.6927013469609831</v>
      </c>
      <c r="H132">
        <v>-5.7735524417107387</v>
      </c>
      <c r="I132">
        <v>0.87608912476790302</v>
      </c>
      <c r="J132">
        <v>0.50010382747132298</v>
      </c>
      <c r="K132">
        <v>0.16042115560422801</v>
      </c>
      <c r="L132">
        <v>3.0915936706315091E-5</v>
      </c>
      <c r="M132">
        <v>1.8207882931228772E-6</v>
      </c>
      <c r="N132" s="1">
        <v>-3.1038903661464901E-9</v>
      </c>
      <c r="O132" s="1">
        <v>1.4462821619313901E-12</v>
      </c>
      <c r="P132" s="1">
        <v>1.24910344185921E-11</v>
      </c>
      <c r="Q132">
        <v>65.578328557795103</v>
      </c>
      <c r="S132">
        <v>21.129735309955699</v>
      </c>
      <c r="AA132">
        <v>2.1304415261178899</v>
      </c>
      <c r="AB132">
        <v>9.1970600462900904</v>
      </c>
      <c r="AC132">
        <v>1.9644345598410999</v>
      </c>
      <c r="AJ132">
        <v>0.78831070022626704</v>
      </c>
      <c r="AK132">
        <v>0.100908745867015</v>
      </c>
      <c r="AL132">
        <v>0.110780553906716</v>
      </c>
    </row>
    <row r="133" spans="1:38" x14ac:dyDescent="0.2">
      <c r="A133">
        <v>169</v>
      </c>
      <c r="B133">
        <v>775</v>
      </c>
      <c r="C133">
        <v>150</v>
      </c>
      <c r="D133">
        <v>0.44700710776129698</v>
      </c>
      <c r="E133">
        <v>0.83298174710936801</v>
      </c>
      <c r="F133">
        <v>2.5634327394870402</v>
      </c>
      <c r="G133">
        <v>-13.550657264065208</v>
      </c>
      <c r="H133">
        <v>-11.69188661679194</v>
      </c>
      <c r="I133">
        <v>1.7733822900093199</v>
      </c>
      <c r="J133">
        <v>1.01293576009582</v>
      </c>
      <c r="K133">
        <v>0.324947767998021</v>
      </c>
      <c r="L133">
        <v>3.0947246086537223E-5</v>
      </c>
      <c r="M133">
        <v>1.8217398832245961E-6</v>
      </c>
      <c r="N133" s="1">
        <v>-6.4806320846384202E-9</v>
      </c>
      <c r="O133" s="1">
        <v>2.93022261722992E-12</v>
      </c>
      <c r="P133" s="1">
        <v>2.5862827641686499E-11</v>
      </c>
      <c r="Q133">
        <v>65.620677884159406</v>
      </c>
      <c r="S133">
        <v>21.092528928882999</v>
      </c>
      <c r="AA133">
        <v>2.08986424441524</v>
      </c>
      <c r="AB133">
        <v>9.1938918842711193</v>
      </c>
      <c r="AC133">
        <v>2.0030370582711199</v>
      </c>
      <c r="AJ133">
        <v>0.78805221983302098</v>
      </c>
      <c r="AK133">
        <v>9.8988437787242797E-2</v>
      </c>
      <c r="AL133">
        <v>0.112959342379735</v>
      </c>
    </row>
    <row r="134" spans="1:38" x14ac:dyDescent="0.2">
      <c r="A134">
        <v>170</v>
      </c>
      <c r="B134">
        <v>774</v>
      </c>
      <c r="C134">
        <v>150</v>
      </c>
      <c r="D134">
        <v>0.44641216635630598</v>
      </c>
      <c r="E134">
        <v>1.25590013422248</v>
      </c>
      <c r="F134">
        <v>2.5629563269192102</v>
      </c>
      <c r="G134">
        <v>-20.425266829677639</v>
      </c>
      <c r="H134">
        <v>-17.626848560761804</v>
      </c>
      <c r="I134">
        <v>2.6724139511204998</v>
      </c>
      <c r="J134">
        <v>1.5274026226033599</v>
      </c>
      <c r="K134">
        <v>0.49002010726110501</v>
      </c>
      <c r="L134">
        <v>3.097808146103187E-5</v>
      </c>
      <c r="M134">
        <v>1.8226580423179838E-6</v>
      </c>
      <c r="N134" s="1">
        <v>-1.00714328072512E-8</v>
      </c>
      <c r="O134" s="1">
        <v>4.4196216207758599E-12</v>
      </c>
      <c r="P134" s="1">
        <v>3.9867009903558502E-11</v>
      </c>
      <c r="Q134">
        <v>65.661722969813795</v>
      </c>
      <c r="S134">
        <v>21.056049374434298</v>
      </c>
      <c r="AA134">
        <v>2.0501909288591902</v>
      </c>
      <c r="AB134">
        <v>9.1897227622495201</v>
      </c>
      <c r="AC134">
        <v>2.0423139646430699</v>
      </c>
      <c r="AJ134">
        <v>0.78771182945169904</v>
      </c>
      <c r="AK134">
        <v>9.7111364371609901E-2</v>
      </c>
      <c r="AL134">
        <v>0.11517680617669</v>
      </c>
    </row>
    <row r="135" spans="1:38" x14ac:dyDescent="0.2">
      <c r="A135">
        <v>171</v>
      </c>
      <c r="B135">
        <v>773</v>
      </c>
      <c r="C135">
        <v>150</v>
      </c>
      <c r="D135">
        <v>0.44581608755914398</v>
      </c>
      <c r="E135">
        <v>1.67990710001871</v>
      </c>
      <c r="F135">
        <v>2.5624845326668</v>
      </c>
      <c r="G135">
        <v>-27.313973803939618</v>
      </c>
      <c r="H135">
        <v>-23.57624606193016</v>
      </c>
      <c r="I135">
        <v>3.5728411241308198</v>
      </c>
      <c r="J135">
        <v>2.0433202167928601</v>
      </c>
      <c r="K135">
        <v>0.65557745953315705</v>
      </c>
      <c r="L135">
        <v>3.1008459268767648E-5</v>
      </c>
      <c r="M135">
        <v>1.8235432094514234E-6</v>
      </c>
      <c r="N135" s="1">
        <v>-1.38833398910899E-8</v>
      </c>
      <c r="O135" s="1">
        <v>5.91381558142135E-12</v>
      </c>
      <c r="P135" s="1">
        <v>5.4522213512467897E-11</v>
      </c>
      <c r="Q135">
        <v>65.701480818789705</v>
      </c>
      <c r="S135">
        <v>21.020283348680799</v>
      </c>
      <c r="AA135">
        <v>2.0114066408637599</v>
      </c>
      <c r="AB135">
        <v>9.1845557105480697</v>
      </c>
      <c r="AC135">
        <v>2.0822734811176198</v>
      </c>
      <c r="AJ135">
        <v>0.78728976690728802</v>
      </c>
      <c r="AK135">
        <v>9.5276791536730202E-2</v>
      </c>
      <c r="AL135">
        <v>0.117433441555981</v>
      </c>
    </row>
    <row r="136" spans="1:38" x14ac:dyDescent="0.2">
      <c r="A136">
        <v>172</v>
      </c>
      <c r="B136">
        <v>772</v>
      </c>
      <c r="C136">
        <v>150</v>
      </c>
      <c r="D136">
        <v>0.44521886810505501</v>
      </c>
      <c r="E136">
        <v>2.10485291653257</v>
      </c>
      <c r="F136">
        <v>2.5620172002949002</v>
      </c>
      <c r="G136">
        <v>-34.214294593107333</v>
      </c>
      <c r="H136">
        <v>-29.537947780174274</v>
      </c>
      <c r="I136">
        <v>4.4743307782931199</v>
      </c>
      <c r="J136">
        <v>2.5605098178281902</v>
      </c>
      <c r="K136">
        <v>0.82156080618439697</v>
      </c>
      <c r="L136">
        <v>3.1038396847241832E-5</v>
      </c>
      <c r="M136">
        <v>1.8243958562927084E-6</v>
      </c>
      <c r="N136" s="1">
        <v>-1.7923616110367899E-8</v>
      </c>
      <c r="O136" s="1">
        <v>7.4121548728750692E-12</v>
      </c>
      <c r="P136" s="1">
        <v>6.9847685361285205E-11</v>
      </c>
      <c r="Q136">
        <v>65.739969919605201</v>
      </c>
      <c r="S136">
        <v>20.985216420797698</v>
      </c>
      <c r="AA136">
        <v>1.97349516080806</v>
      </c>
      <c r="AB136">
        <v>9.1783940975552003</v>
      </c>
      <c r="AC136">
        <v>2.1229244012337398</v>
      </c>
      <c r="AJ136">
        <v>0.78678629533399802</v>
      </c>
      <c r="AK136">
        <v>9.3483925659378103E-2</v>
      </c>
      <c r="AL136">
        <v>0.119729779006623</v>
      </c>
    </row>
    <row r="137" spans="1:38" x14ac:dyDescent="0.2">
      <c r="A137">
        <v>173</v>
      </c>
      <c r="B137">
        <v>771</v>
      </c>
      <c r="C137">
        <v>150</v>
      </c>
      <c r="D137">
        <v>0.44462050471675502</v>
      </c>
      <c r="E137">
        <v>2.5305929672619598</v>
      </c>
      <c r="F137">
        <v>2.5615541611378201</v>
      </c>
      <c r="G137">
        <v>-41.123830233045908</v>
      </c>
      <c r="H137">
        <v>-35.509893638148469</v>
      </c>
      <c r="I137">
        <v>5.3765614087031901</v>
      </c>
      <c r="J137">
        <v>3.0787990927693598</v>
      </c>
      <c r="K137">
        <v>0.98791312151600097</v>
      </c>
      <c r="L137">
        <v>3.1067912334605025E-5</v>
      </c>
      <c r="M137">
        <v>1.8252164825699581E-6</v>
      </c>
      <c r="N137" s="1">
        <v>-2.2199756530249301E-8</v>
      </c>
      <c r="O137" s="1">
        <v>8.9140067295363005E-12</v>
      </c>
      <c r="P137" s="1">
        <v>8.5863339973384705E-11</v>
      </c>
      <c r="Q137">
        <v>65.777210050540106</v>
      </c>
      <c r="S137">
        <v>20.950833165019201</v>
      </c>
      <c r="AA137">
        <v>1.9364391472859399</v>
      </c>
      <c r="AB137">
        <v>9.17124155745603</v>
      </c>
      <c r="AC137">
        <v>2.1642760796986198</v>
      </c>
      <c r="AJ137">
        <v>0.78620169729243505</v>
      </c>
      <c r="AK137">
        <v>9.1731921114247494E-2</v>
      </c>
      <c r="AL137">
        <v>0.12206638159331699</v>
      </c>
    </row>
    <row r="138" spans="1:38" x14ac:dyDescent="0.2">
      <c r="A138">
        <v>174</v>
      </c>
      <c r="B138">
        <v>770</v>
      </c>
      <c r="C138">
        <v>150</v>
      </c>
      <c r="D138">
        <v>0.44402099410439499</v>
      </c>
      <c r="E138">
        <v>2.9569883907523802</v>
      </c>
      <c r="F138">
        <v>2.5610952360488799</v>
      </c>
      <c r="G138">
        <v>-48.040276710115222</v>
      </c>
      <c r="H138">
        <v>-41.490103792660605</v>
      </c>
      <c r="I138">
        <v>6.2792243852318501</v>
      </c>
      <c r="J138">
        <v>3.5980228954882199</v>
      </c>
      <c r="K138">
        <v>1.1545796302812401</v>
      </c>
      <c r="L138">
        <v>3.1097024583529911E-5</v>
      </c>
      <c r="M138">
        <v>1.8260056116748615E-6</v>
      </c>
      <c r="N138" s="1">
        <v>-2.6719505863743201E-8</v>
      </c>
      <c r="O138" s="1">
        <v>1.0418757748087099E-11</v>
      </c>
      <c r="P138" s="1">
        <v>1.02589812979979E-10</v>
      </c>
      <c r="Q138">
        <v>65.813222084209301</v>
      </c>
      <c r="S138">
        <v>20.917117306314299</v>
      </c>
      <c r="AA138">
        <v>1.9002203028909399</v>
      </c>
      <c r="AB138">
        <v>9.1631019366441304</v>
      </c>
      <c r="AC138">
        <v>2.2063383699412298</v>
      </c>
      <c r="AJ138">
        <v>0.78553627041621699</v>
      </c>
      <c r="AK138">
        <v>9.0019888106031204E-2</v>
      </c>
      <c r="AL138">
        <v>0.124443841477751</v>
      </c>
    </row>
    <row r="139" spans="1:38" x14ac:dyDescent="0.2">
      <c r="A139">
        <v>175</v>
      </c>
      <c r="B139">
        <v>769</v>
      </c>
      <c r="C139">
        <v>150</v>
      </c>
      <c r="D139">
        <v>0.44342033296550898</v>
      </c>
      <c r="E139">
        <v>4.0566637133306296</v>
      </c>
      <c r="F139">
        <v>2.55968511444854</v>
      </c>
      <c r="G139">
        <v>-65.867313029474701</v>
      </c>
      <c r="H139">
        <v>-56.894592102563152</v>
      </c>
      <c r="I139">
        <v>8.6098171346845902</v>
      </c>
      <c r="J139">
        <v>4.9355961004386097</v>
      </c>
      <c r="K139">
        <v>1.5848292004481901</v>
      </c>
      <c r="L139">
        <v>3.1110405044005144E-5</v>
      </c>
      <c r="M139">
        <v>1.8272534712793823E-6</v>
      </c>
      <c r="N139" s="1">
        <v>-3.7536665920425801E-8</v>
      </c>
      <c r="O139" s="1">
        <v>1.43202924970465E-11</v>
      </c>
      <c r="P139" s="1">
        <v>1.4326183947894299E-10</v>
      </c>
      <c r="Q139">
        <v>65.889809523181199</v>
      </c>
      <c r="S139">
        <v>20.832678298388501</v>
      </c>
      <c r="AA139">
        <v>1.81268662489912</v>
      </c>
      <c r="AB139">
        <v>9.1124051008410891</v>
      </c>
      <c r="AC139">
        <v>2.3524204526900201</v>
      </c>
      <c r="AJ139">
        <v>0.781388176949953</v>
      </c>
      <c r="AK139">
        <v>8.5894891972052606E-2</v>
      </c>
      <c r="AL139">
        <v>0.13271693107799301</v>
      </c>
    </row>
    <row r="140" spans="1:38" x14ac:dyDescent="0.2">
      <c r="A140">
        <v>176</v>
      </c>
      <c r="B140">
        <v>768</v>
      </c>
      <c r="C140">
        <v>150</v>
      </c>
      <c r="D140">
        <v>0.442818517984921</v>
      </c>
      <c r="E140">
        <v>5.58891659605721</v>
      </c>
      <c r="F140">
        <v>2.5575613895427902</v>
      </c>
      <c r="G140">
        <v>-90.667949749725722</v>
      </c>
      <c r="H140">
        <v>-78.325270667285693</v>
      </c>
      <c r="I140">
        <v>11.854851925697499</v>
      </c>
      <c r="J140">
        <v>6.7975401180785502</v>
      </c>
      <c r="K140">
        <v>2.18525217768333</v>
      </c>
      <c r="L140">
        <v>3.1100018155070909E-5</v>
      </c>
      <c r="M140">
        <v>1.8285163388953197E-6</v>
      </c>
      <c r="N140" s="1">
        <v>-5.2631525260363299E-8</v>
      </c>
      <c r="O140" s="1">
        <v>1.9789607910209499E-11</v>
      </c>
      <c r="P140" s="1">
        <v>1.9994809992924199E-10</v>
      </c>
      <c r="Q140">
        <v>65.985796744263396</v>
      </c>
      <c r="S140">
        <v>20.714856778284499</v>
      </c>
      <c r="AA140">
        <v>1.69308535860734</v>
      </c>
      <c r="AB140">
        <v>9.0174230435986793</v>
      </c>
      <c r="AC140">
        <v>2.5888380752458899</v>
      </c>
      <c r="AJ140">
        <v>0.77361019687448496</v>
      </c>
      <c r="AK140">
        <v>8.0265586833461994E-2</v>
      </c>
      <c r="AL140">
        <v>0.14612421629205199</v>
      </c>
    </row>
    <row r="141" spans="1:38" x14ac:dyDescent="0.2">
      <c r="A141">
        <v>177</v>
      </c>
      <c r="B141">
        <v>767</v>
      </c>
      <c r="C141">
        <v>150</v>
      </c>
      <c r="D141">
        <v>0.44221554583473799</v>
      </c>
      <c r="E141">
        <v>7.4015655570104801</v>
      </c>
      <c r="F141">
        <v>2.5548145660343198</v>
      </c>
      <c r="G141">
        <v>-119.93679742252885</v>
      </c>
      <c r="H141">
        <v>-103.61820972415096</v>
      </c>
      <c r="I141">
        <v>15.688686918596201</v>
      </c>
      <c r="J141">
        <v>8.9965852444480596</v>
      </c>
      <c r="K141">
        <v>2.89710480573134</v>
      </c>
      <c r="L141">
        <v>3.1055188937355141E-5</v>
      </c>
      <c r="M141">
        <v>1.8294263651723221E-6</v>
      </c>
      <c r="N141" s="1">
        <v>-7.0403583655387795E-8</v>
      </c>
      <c r="O141" s="1">
        <v>2.6314338979605201E-11</v>
      </c>
      <c r="P141" s="1">
        <v>2.6667058991941101E-10</v>
      </c>
      <c r="Q141">
        <v>66.086447108221293</v>
      </c>
      <c r="S141">
        <v>20.572904840087599</v>
      </c>
      <c r="AA141">
        <v>1.5524881696723101</v>
      </c>
      <c r="AB141">
        <v>8.8695715220274192</v>
      </c>
      <c r="AC141">
        <v>2.9185883599913298</v>
      </c>
      <c r="AJ141">
        <v>0.76148735578195004</v>
      </c>
      <c r="AK141">
        <v>7.36544763261434E-2</v>
      </c>
      <c r="AL141">
        <v>0.16485816789190599</v>
      </c>
    </row>
    <row r="142" spans="1:38" x14ac:dyDescent="0.2">
      <c r="A142">
        <v>178</v>
      </c>
      <c r="B142">
        <v>766</v>
      </c>
      <c r="C142">
        <v>150</v>
      </c>
      <c r="D142">
        <v>0.44161141317423203</v>
      </c>
      <c r="E142">
        <v>9.0506355769356492</v>
      </c>
      <c r="F142">
        <v>2.5548390398429999</v>
      </c>
      <c r="G142">
        <v>-146.61187702318344</v>
      </c>
      <c r="H142">
        <v>-126.69024121902713</v>
      </c>
      <c r="I142">
        <v>19.171087719921399</v>
      </c>
      <c r="J142">
        <v>10.9997955949604</v>
      </c>
      <c r="K142">
        <v>3.54254629579005</v>
      </c>
      <c r="L142">
        <v>3.102919980117756E-5</v>
      </c>
      <c r="M142">
        <v>1.8283122199602797E-6</v>
      </c>
      <c r="N142" s="1">
        <v>-8.80409050853085E-8</v>
      </c>
      <c r="O142" s="1">
        <v>3.2156902487349598E-11</v>
      </c>
      <c r="P142" s="1">
        <v>3.3171439996790699E-10</v>
      </c>
      <c r="Q142">
        <v>66.045067742563006</v>
      </c>
      <c r="S142">
        <v>20.585781908900501</v>
      </c>
      <c r="AA142">
        <v>1.5727671925778</v>
      </c>
      <c r="AB142">
        <v>8.8111187343571107</v>
      </c>
      <c r="AC142">
        <v>2.9852644216015198</v>
      </c>
      <c r="AJ142">
        <v>0.75668844754912601</v>
      </c>
      <c r="AK142">
        <v>7.4638221373372907E-2</v>
      </c>
      <c r="AL142">
        <v>0.16867333107749999</v>
      </c>
    </row>
    <row r="143" spans="1:38" x14ac:dyDescent="0.2">
      <c r="A143">
        <v>178</v>
      </c>
      <c r="B143">
        <v>766</v>
      </c>
      <c r="C143">
        <v>150</v>
      </c>
      <c r="D143">
        <v>0.44161141317423203</v>
      </c>
      <c r="E143">
        <v>6.8192372074862</v>
      </c>
      <c r="F143">
        <v>2.5227540191355802</v>
      </c>
      <c r="G143">
        <v>-108.67599939978116</v>
      </c>
      <c r="H143">
        <v>-93.822608703194774</v>
      </c>
      <c r="I143">
        <v>14.293788862614999</v>
      </c>
      <c r="J143">
        <v>8.1498345051200491</v>
      </c>
      <c r="K143">
        <v>2.7030923965479499</v>
      </c>
      <c r="L143">
        <v>2.9098006244093592E-5</v>
      </c>
      <c r="M143">
        <v>1.8109566780999013E-6</v>
      </c>
      <c r="N143" s="1">
        <v>-3.7424326103046497E-8</v>
      </c>
      <c r="O143" s="1">
        <v>2.5647042827930799E-11</v>
      </c>
      <c r="P143" s="1">
        <v>1.63559194614273E-10</v>
      </c>
      <c r="Q143">
        <v>66.316471532749205</v>
      </c>
      <c r="S143">
        <v>19.1935983041671</v>
      </c>
      <c r="AA143">
        <v>0.36087309974040099</v>
      </c>
      <c r="AB143">
        <v>5.7661372126728603</v>
      </c>
      <c r="AC143">
        <v>8.3629198506702895</v>
      </c>
      <c r="AJ143">
        <v>0.50281353568402698</v>
      </c>
      <c r="AK143">
        <v>1.7389507727236901E-2</v>
      </c>
      <c r="AL143">
        <v>0.479796956588735</v>
      </c>
    </row>
    <row r="144" spans="1:38" x14ac:dyDescent="0.2">
      <c r="A144">
        <v>179</v>
      </c>
      <c r="B144">
        <v>765</v>
      </c>
      <c r="C144">
        <v>150</v>
      </c>
      <c r="D144">
        <v>0.44100611664981298</v>
      </c>
      <c r="E144">
        <v>10.311135077344</v>
      </c>
      <c r="F144">
        <v>2.5565099269398299</v>
      </c>
      <c r="G144">
        <v>-167.07524716534525</v>
      </c>
      <c r="H144">
        <v>-144.414136597637</v>
      </c>
      <c r="I144">
        <v>21.828358683916701</v>
      </c>
      <c r="J144">
        <v>12.536313647375501</v>
      </c>
      <c r="K144">
        <v>4.03328575754312</v>
      </c>
      <c r="L144">
        <v>3.1043263924286682E-5</v>
      </c>
      <c r="M144">
        <v>1.8267110096767671E-6</v>
      </c>
      <c r="N144" s="1">
        <v>-1.03806998237813E-7</v>
      </c>
      <c r="O144" s="1">
        <v>3.6509757814262798E-11</v>
      </c>
      <c r="P144" s="1">
        <v>3.8817529840972599E-10</v>
      </c>
      <c r="Q144">
        <v>65.943496519543601</v>
      </c>
      <c r="S144">
        <v>20.681936287009801</v>
      </c>
      <c r="AA144">
        <v>1.6757957953840199</v>
      </c>
      <c r="AB144">
        <v>8.8368539130252906</v>
      </c>
      <c r="AC144">
        <v>2.8619174850372202</v>
      </c>
      <c r="AJ144">
        <v>0.75879979566593903</v>
      </c>
      <c r="AK144">
        <v>7.9517261790413102E-2</v>
      </c>
      <c r="AL144">
        <v>0.16168294254364701</v>
      </c>
    </row>
    <row r="145" spans="1:38" x14ac:dyDescent="0.2">
      <c r="A145">
        <v>179</v>
      </c>
      <c r="B145">
        <v>765</v>
      </c>
      <c r="C145">
        <v>150</v>
      </c>
      <c r="D145">
        <v>0.44100611664981298</v>
      </c>
      <c r="E145">
        <v>14.6290030957338</v>
      </c>
      <c r="F145">
        <v>2.5223952746218301</v>
      </c>
      <c r="G145">
        <v>-232.98599783452832</v>
      </c>
      <c r="H145">
        <v>-201.18754357228732</v>
      </c>
      <c r="I145">
        <v>30.629922710822999</v>
      </c>
      <c r="J145">
        <v>17.474062027899802</v>
      </c>
      <c r="K145">
        <v>5.7996473601573104</v>
      </c>
      <c r="L145">
        <v>2.9028375452269772E-5</v>
      </c>
      <c r="M145">
        <v>1.8097322753524219E-6</v>
      </c>
      <c r="N145" s="1">
        <v>-8.0727909546704294E-8</v>
      </c>
      <c r="O145" s="1">
        <v>5.5061861318216101E-11</v>
      </c>
      <c r="P145" s="1">
        <v>3.52018285012094E-10</v>
      </c>
      <c r="Q145">
        <v>66.2829688344153</v>
      </c>
      <c r="S145">
        <v>19.177172911617902</v>
      </c>
      <c r="AA145">
        <v>0.35513937934972101</v>
      </c>
      <c r="AB145">
        <v>5.6484169437640901</v>
      </c>
      <c r="AC145">
        <v>8.5363019308529093</v>
      </c>
      <c r="AJ145">
        <v>0.49284112490037901</v>
      </c>
      <c r="AK145">
        <v>1.7123392622887999E-2</v>
      </c>
      <c r="AL145">
        <v>0.49003548247673201</v>
      </c>
    </row>
    <row r="146" spans="1:38" x14ac:dyDescent="0.2">
      <c r="A146">
        <v>180</v>
      </c>
      <c r="B146">
        <v>764</v>
      </c>
      <c r="C146">
        <v>150</v>
      </c>
      <c r="D146">
        <v>0.44039965289495597</v>
      </c>
      <c r="E146">
        <v>12.8297527082384</v>
      </c>
      <c r="F146">
        <v>2.5587192353997201</v>
      </c>
      <c r="G146">
        <v>-207.96077863221834</v>
      </c>
      <c r="H146">
        <v>-179.80958457900726</v>
      </c>
      <c r="I146">
        <v>27.142837635068201</v>
      </c>
      <c r="J146">
        <v>15.6039760860605</v>
      </c>
      <c r="K146">
        <v>5.0141307145932901</v>
      </c>
      <c r="L146">
        <v>3.1041352872632329E-5</v>
      </c>
      <c r="M146">
        <v>1.8241655534411412E-6</v>
      </c>
      <c r="N146" s="1">
        <v>-1.3356996022706E-7</v>
      </c>
      <c r="O146" s="1">
        <v>4.5227315680656601E-11</v>
      </c>
      <c r="P146" s="1">
        <v>4.9591579643343996E-10</v>
      </c>
      <c r="Q146">
        <v>65.795738646216506</v>
      </c>
      <c r="S146">
        <v>20.815567415496901</v>
      </c>
      <c r="AA146">
        <v>1.82052012442058</v>
      </c>
      <c r="AB146">
        <v>8.8579147913375493</v>
      </c>
      <c r="AC146">
        <v>2.7102590225283198</v>
      </c>
      <c r="AJ146">
        <v>0.76052626272510804</v>
      </c>
      <c r="AK146">
        <v>8.6375185280124597E-2</v>
      </c>
      <c r="AL146">
        <v>0.15309855199476699</v>
      </c>
    </row>
    <row r="147" spans="1:38" x14ac:dyDescent="0.2">
      <c r="A147">
        <v>180</v>
      </c>
      <c r="B147">
        <v>764</v>
      </c>
      <c r="C147">
        <v>150</v>
      </c>
      <c r="D147">
        <v>0.44039965289495597</v>
      </c>
      <c r="E147">
        <v>25.850856931650601</v>
      </c>
      <c r="F147">
        <v>2.5219752540415801</v>
      </c>
      <c r="G147">
        <v>-411.38540458772576</v>
      </c>
      <c r="H147">
        <v>-355.3197645068899</v>
      </c>
      <c r="I147">
        <v>54.057407396071703</v>
      </c>
      <c r="J147">
        <v>30.8562144011592</v>
      </c>
      <c r="K147">
        <v>10.2502421029799</v>
      </c>
      <c r="L147">
        <v>2.8935334070365836E-5</v>
      </c>
      <c r="M147">
        <v>1.8081290991354305E-6</v>
      </c>
      <c r="N147" s="1">
        <v>-1.42178750928933E-7</v>
      </c>
      <c r="O147" s="1">
        <v>9.7403270285734403E-11</v>
      </c>
      <c r="P147" s="1">
        <v>6.20334891074856E-10</v>
      </c>
      <c r="Q147">
        <v>66.238428602747305</v>
      </c>
      <c r="S147">
        <v>19.158084570000899</v>
      </c>
      <c r="AA147">
        <v>0.34978415622249498</v>
      </c>
      <c r="AB147">
        <v>5.4991188564412097</v>
      </c>
      <c r="AC147">
        <v>8.7545838145879795</v>
      </c>
      <c r="AJ147">
        <v>0.480176575528453</v>
      </c>
      <c r="AK147">
        <v>1.6877914701736801E-2</v>
      </c>
      <c r="AL147">
        <v>0.50294550976981001</v>
      </c>
    </row>
    <row r="148" spans="1:38" x14ac:dyDescent="0.2">
      <c r="A148">
        <v>181</v>
      </c>
      <c r="B148">
        <v>763</v>
      </c>
      <c r="C148">
        <v>150</v>
      </c>
      <c r="D148">
        <v>0.43979201853014099</v>
      </c>
      <c r="E148">
        <v>14.939934095889599</v>
      </c>
      <c r="F148">
        <v>2.5603186965912199</v>
      </c>
      <c r="G148">
        <v>-242.2161956970987</v>
      </c>
      <c r="H148">
        <v>-209.48724729156976</v>
      </c>
      <c r="I148">
        <v>31.5870756218008</v>
      </c>
      <c r="J148">
        <v>18.175880975771499</v>
      </c>
      <c r="K148">
        <v>5.8351853289906801</v>
      </c>
      <c r="L148">
        <v>3.1044167122217543E-5</v>
      </c>
      <c r="M148">
        <v>1.8222603692377488E-6</v>
      </c>
      <c r="N148" s="1">
        <v>-1.60620628324942E-7</v>
      </c>
      <c r="O148" s="1">
        <v>5.2485423742028797E-11</v>
      </c>
      <c r="P148" s="1">
        <v>5.9232301635474304E-10</v>
      </c>
      <c r="Q148">
        <v>65.685828974987103</v>
      </c>
      <c r="S148">
        <v>20.913044271125699</v>
      </c>
      <c r="AA148">
        <v>1.92658544761742</v>
      </c>
      <c r="AB148">
        <v>8.8685352320104407</v>
      </c>
      <c r="AC148">
        <v>2.6060060742592901</v>
      </c>
      <c r="AJ148">
        <v>0.76139619214209098</v>
      </c>
      <c r="AK148">
        <v>9.1402457101410706E-2</v>
      </c>
      <c r="AL148">
        <v>0.14720135075649801</v>
      </c>
    </row>
    <row r="149" spans="1:38" x14ac:dyDescent="0.2">
      <c r="A149">
        <v>181</v>
      </c>
      <c r="B149">
        <v>763</v>
      </c>
      <c r="C149">
        <v>150</v>
      </c>
      <c r="D149">
        <v>0.43979201853014099</v>
      </c>
      <c r="E149">
        <v>33.767117221324703</v>
      </c>
      <c r="F149">
        <v>2.52170666088124</v>
      </c>
      <c r="G149">
        <v>-537.04153272228575</v>
      </c>
      <c r="H149">
        <v>-463.95606957277647</v>
      </c>
      <c r="I149">
        <v>70.535601167311</v>
      </c>
      <c r="J149">
        <v>40.285865214412098</v>
      </c>
      <c r="K149">
        <v>13.390580968495501</v>
      </c>
      <c r="L149">
        <v>2.887338693756442E-5</v>
      </c>
      <c r="M149">
        <v>1.8070427737216658E-6</v>
      </c>
      <c r="N149" s="1">
        <v>-1.8713194782604501E-7</v>
      </c>
      <c r="O149" s="1">
        <v>1.2731280716232499E-10</v>
      </c>
      <c r="P149" s="1">
        <v>8.1409047322430004E-10</v>
      </c>
      <c r="Q149">
        <v>66.207305620659298</v>
      </c>
      <c r="S149">
        <v>19.144015379107</v>
      </c>
      <c r="AA149">
        <v>0.34543905206985798</v>
      </c>
      <c r="AB149">
        <v>5.39287874655796</v>
      </c>
      <c r="AC149">
        <v>8.9103612016056992</v>
      </c>
      <c r="AJ149">
        <v>0.471152873740325</v>
      </c>
      <c r="AK149">
        <v>1.6677210567586202E-2</v>
      </c>
      <c r="AL149">
        <v>0.51216991569208803</v>
      </c>
    </row>
    <row r="150" spans="1:38" x14ac:dyDescent="0.2">
      <c r="A150">
        <v>182</v>
      </c>
      <c r="B150">
        <v>762</v>
      </c>
      <c r="C150">
        <v>150</v>
      </c>
      <c r="D150">
        <v>0.439183210162781</v>
      </c>
      <c r="E150">
        <v>16.3446978189071</v>
      </c>
      <c r="F150">
        <v>2.5613469234481601</v>
      </c>
      <c r="G150">
        <v>-265.01345597316174</v>
      </c>
      <c r="H150">
        <v>-229.26347521134636</v>
      </c>
      <c r="I150">
        <v>34.5360389912721</v>
      </c>
      <c r="J150">
        <v>19.8904962888111</v>
      </c>
      <c r="K150">
        <v>6.3812901209428698</v>
      </c>
      <c r="L150">
        <v>3.1057398266003948E-5</v>
      </c>
      <c r="M150">
        <v>1.8211240707157675E-6</v>
      </c>
      <c r="N150" s="1">
        <v>-1.8138568372951699E-7</v>
      </c>
      <c r="O150" s="1">
        <v>5.7277811268034298E-11</v>
      </c>
      <c r="P150" s="1">
        <v>6.6449220669432702E-10</v>
      </c>
      <c r="Q150">
        <v>65.616983623896999</v>
      </c>
      <c r="S150">
        <v>20.974191703129801</v>
      </c>
      <c r="AA150">
        <v>1.9930968266210201</v>
      </c>
      <c r="AB150">
        <v>8.8754230011538002</v>
      </c>
      <c r="AC150">
        <v>2.5403048451982602</v>
      </c>
      <c r="AJ150">
        <v>0.76196036125477995</v>
      </c>
      <c r="AK150">
        <v>9.4554566180159602E-2</v>
      </c>
      <c r="AL150">
        <v>0.14348507256505899</v>
      </c>
    </row>
    <row r="151" spans="1:38" x14ac:dyDescent="0.2">
      <c r="A151">
        <v>182</v>
      </c>
      <c r="B151">
        <v>762</v>
      </c>
      <c r="C151">
        <v>150</v>
      </c>
      <c r="D151">
        <v>0.439183210162781</v>
      </c>
      <c r="E151">
        <v>38.503047370030103</v>
      </c>
      <c r="F151">
        <v>2.5215508759675802</v>
      </c>
      <c r="G151">
        <v>-612.09572096683007</v>
      </c>
      <c r="H151">
        <v>-528.91473258000929</v>
      </c>
      <c r="I151">
        <v>80.356458857963304</v>
      </c>
      <c r="J151">
        <v>45.923584830001097</v>
      </c>
      <c r="K151">
        <v>15.2695897342366</v>
      </c>
      <c r="L151">
        <v>2.8838856898205649E-5</v>
      </c>
      <c r="M151">
        <v>1.8064052040088083E-6</v>
      </c>
      <c r="N151" s="1">
        <v>-2.1716053669108201E-7</v>
      </c>
      <c r="O151" s="1">
        <v>1.4520894184060199E-10</v>
      </c>
      <c r="P151" s="1">
        <v>9.3901217434298793E-10</v>
      </c>
      <c r="Q151">
        <v>66.188271162706101</v>
      </c>
      <c r="S151">
        <v>19.1339879653409</v>
      </c>
      <c r="AA151">
        <v>0.34160776358596101</v>
      </c>
      <c r="AB151">
        <v>5.3241733087554204</v>
      </c>
      <c r="AC151">
        <v>9.0119597996114909</v>
      </c>
      <c r="AJ151">
        <v>0.46531209377815502</v>
      </c>
      <c r="AK151">
        <v>1.6497976433668099E-2</v>
      </c>
      <c r="AL151">
        <v>0.51818992978817602</v>
      </c>
    </row>
    <row r="152" spans="1:38" x14ac:dyDescent="0.2">
      <c r="A152">
        <v>183</v>
      </c>
      <c r="B152">
        <v>761</v>
      </c>
      <c r="C152">
        <v>150</v>
      </c>
      <c r="D152">
        <v>0.43857322438717999</v>
      </c>
      <c r="E152">
        <v>17.030782025958001</v>
      </c>
      <c r="F152">
        <v>2.5618820014853498</v>
      </c>
      <c r="G152">
        <v>-276.13302976407408</v>
      </c>
      <c r="H152">
        <v>-238.93986907670444</v>
      </c>
      <c r="I152">
        <v>35.964957392418498</v>
      </c>
      <c r="J152">
        <v>20.731290916148598</v>
      </c>
      <c r="K152">
        <v>6.6477620811902103</v>
      </c>
      <c r="L152">
        <v>3.1082774478369814E-5</v>
      </c>
      <c r="M152">
        <v>1.8207378491566024E-6</v>
      </c>
      <c r="N152" s="1">
        <v>-1.9510009833623E-7</v>
      </c>
      <c r="O152" s="1">
        <v>5.9583254842733696E-11</v>
      </c>
      <c r="P152" s="1">
        <v>7.1007930003895305E-10</v>
      </c>
      <c r="Q152">
        <v>65.586431247618194</v>
      </c>
      <c r="S152">
        <v>21.002710264322602</v>
      </c>
      <c r="AA152">
        <v>2.0237539109387801</v>
      </c>
      <c r="AB152">
        <v>8.8821037846023003</v>
      </c>
      <c r="AC152">
        <v>2.505000792518</v>
      </c>
      <c r="AJ152">
        <v>0.76250809218816196</v>
      </c>
      <c r="AK152">
        <v>9.6005719107431706E-2</v>
      </c>
      <c r="AL152">
        <v>0.14148618870440599</v>
      </c>
    </row>
    <row r="153" spans="1:38" x14ac:dyDescent="0.2">
      <c r="A153">
        <v>183</v>
      </c>
      <c r="B153">
        <v>761</v>
      </c>
      <c r="C153">
        <v>150</v>
      </c>
      <c r="D153">
        <v>0.43857322438717999</v>
      </c>
      <c r="E153">
        <v>40.554784249754697</v>
      </c>
      <c r="F153">
        <v>2.5214780495543798</v>
      </c>
      <c r="G153">
        <v>-644.5174169967604</v>
      </c>
      <c r="H153">
        <v>-557.05369803451833</v>
      </c>
      <c r="I153">
        <v>84.575466771979094</v>
      </c>
      <c r="J153">
        <v>48.366134189659903</v>
      </c>
      <c r="K153">
        <v>16.083734798691498</v>
      </c>
      <c r="L153">
        <v>2.8827278653710302E-5</v>
      </c>
      <c r="M153">
        <v>1.8061373954647081E-6</v>
      </c>
      <c r="N153" s="1">
        <v>-2.347558972151E-7</v>
      </c>
      <c r="O153" s="1">
        <v>1.52942162349267E-10</v>
      </c>
      <c r="P153" s="1">
        <v>1.00638245863352E-9</v>
      </c>
      <c r="Q153">
        <v>66.179416171505196</v>
      </c>
      <c r="S153">
        <v>19.127127586063501</v>
      </c>
      <c r="AA153">
        <v>0.33801407157869701</v>
      </c>
      <c r="AB153">
        <v>5.2864550594640898</v>
      </c>
      <c r="AC153">
        <v>9.0689871113883598</v>
      </c>
      <c r="AJ153">
        <v>0.46210388153531901</v>
      </c>
      <c r="AK153">
        <v>1.6327535722713799E-2</v>
      </c>
      <c r="AL153">
        <v>0.52156858274196605</v>
      </c>
    </row>
    <row r="154" spans="1:38" x14ac:dyDescent="0.2">
      <c r="A154">
        <v>185</v>
      </c>
      <c r="B154">
        <v>784</v>
      </c>
      <c r="C154">
        <v>135</v>
      </c>
      <c r="D154">
        <v>0.467918932980182</v>
      </c>
      <c r="E154">
        <v>0.209245663848692</v>
      </c>
      <c r="F154">
        <v>2.56288137210462</v>
      </c>
      <c r="G154">
        <v>-3.4099334036944695</v>
      </c>
      <c r="H154">
        <v>-2.9366866420904167</v>
      </c>
      <c r="I154">
        <v>0.44766283082254499</v>
      </c>
      <c r="J154">
        <v>0.25417774261896497</v>
      </c>
      <c r="K154">
        <v>8.16446934010297E-2</v>
      </c>
      <c r="L154">
        <v>3.0755477107059494E-5</v>
      </c>
      <c r="M154">
        <v>1.820411072239245E-6</v>
      </c>
      <c r="N154" s="1">
        <v>-1.21563503112829E-9</v>
      </c>
      <c r="O154" s="1">
        <v>7.3864017596936901E-13</v>
      </c>
      <c r="P154" s="1">
        <v>5.2887023535646896E-12</v>
      </c>
      <c r="Q154">
        <v>65.563147231719199</v>
      </c>
      <c r="S154">
        <v>21.146901967875401</v>
      </c>
      <c r="AA154">
        <v>2.1481465495719401</v>
      </c>
      <c r="AB154">
        <v>9.2082339006744203</v>
      </c>
      <c r="AC154">
        <v>1.9335703501589201</v>
      </c>
      <c r="AJ154">
        <v>0.78922439287153101</v>
      </c>
      <c r="AK154">
        <v>0.10174166811273801</v>
      </c>
      <c r="AL154">
        <v>0.10903393901573</v>
      </c>
    </row>
    <row r="155" spans="1:38" x14ac:dyDescent="0.2">
      <c r="A155">
        <v>186</v>
      </c>
      <c r="B155">
        <v>783</v>
      </c>
      <c r="C155">
        <v>135</v>
      </c>
      <c r="D155">
        <v>0.46734886143066801</v>
      </c>
      <c r="E155">
        <v>0.61842558177000495</v>
      </c>
      <c r="F155">
        <v>2.5624247193389098</v>
      </c>
      <c r="G155">
        <v>-10.075551571363427</v>
      </c>
      <c r="H155">
        <v>-8.6788797399007827</v>
      </c>
      <c r="I155">
        <v>1.32241805753221</v>
      </c>
      <c r="J155">
        <v>0.75127917757554696</v>
      </c>
      <c r="K155">
        <v>0.24134390255552601</v>
      </c>
      <c r="L155">
        <v>3.0782603059689186E-5</v>
      </c>
      <c r="M155">
        <v>1.8213349768754724E-6</v>
      </c>
      <c r="N155" s="1">
        <v>-3.70729226718529E-9</v>
      </c>
      <c r="O155" s="1">
        <v>2.1841011389576302E-12</v>
      </c>
      <c r="P155" s="1">
        <v>1.5965204212205701E-11</v>
      </c>
      <c r="Q155">
        <v>65.604336344939796</v>
      </c>
      <c r="S155">
        <v>21.111057315126999</v>
      </c>
      <c r="AA155">
        <v>2.1089634275557998</v>
      </c>
      <c r="AB155">
        <v>9.2060502137115598</v>
      </c>
      <c r="AC155">
        <v>1.9695926986658201</v>
      </c>
      <c r="AJ155">
        <v>0.78904644368815302</v>
      </c>
      <c r="AK155">
        <v>9.9887022187124197E-2</v>
      </c>
      <c r="AL155">
        <v>0.11106653412472101</v>
      </c>
    </row>
    <row r="156" spans="1:38" x14ac:dyDescent="0.2">
      <c r="A156">
        <v>187</v>
      </c>
      <c r="B156">
        <v>782</v>
      </c>
      <c r="C156">
        <v>135</v>
      </c>
      <c r="D156">
        <v>0.466777709330429</v>
      </c>
      <c r="E156">
        <v>1.0286313786699399</v>
      </c>
      <c r="F156">
        <v>2.5619731473296898</v>
      </c>
      <c r="G156">
        <v>-16.754539819134607</v>
      </c>
      <c r="H156">
        <v>-14.434794715059182</v>
      </c>
      <c r="I156">
        <v>2.19849794254411</v>
      </c>
      <c r="J156">
        <v>1.24970341765349</v>
      </c>
      <c r="K156">
        <v>0.40149967213437399</v>
      </c>
      <c r="L156">
        <v>3.0809245384864774E-5</v>
      </c>
      <c r="M156">
        <v>1.8222274692709306E-6</v>
      </c>
      <c r="N156" s="1">
        <v>-6.3611742896283702E-9</v>
      </c>
      <c r="O156" s="1">
        <v>3.6344856230664699E-12</v>
      </c>
      <c r="P156" s="1">
        <v>2.7123835647774702E-11</v>
      </c>
      <c r="Q156">
        <v>65.644290229867906</v>
      </c>
      <c r="S156">
        <v>21.0759203409355</v>
      </c>
      <c r="AA156">
        <v>2.0706523712306102</v>
      </c>
      <c r="AB156">
        <v>9.2029691580711805</v>
      </c>
      <c r="AC156">
        <v>2.0061678998946202</v>
      </c>
      <c r="AJ156">
        <v>0.78879507365889701</v>
      </c>
      <c r="AK156">
        <v>9.80740719948478E-2</v>
      </c>
      <c r="AL156">
        <v>0.113130854346254</v>
      </c>
    </row>
    <row r="157" spans="1:38" x14ac:dyDescent="0.2">
      <c r="A157">
        <v>188</v>
      </c>
      <c r="B157">
        <v>781</v>
      </c>
      <c r="C157">
        <v>135</v>
      </c>
      <c r="D157">
        <v>0.46620547360432502</v>
      </c>
      <c r="E157">
        <v>1.43971605537541</v>
      </c>
      <c r="F157">
        <v>2.56152654889206</v>
      </c>
      <c r="G157">
        <v>-23.444465102855492</v>
      </c>
      <c r="H157">
        <v>-20.202347599403861</v>
      </c>
      <c r="I157">
        <v>3.07557511118116</v>
      </c>
      <c r="J157">
        <v>1.7492738051605301</v>
      </c>
      <c r="K157">
        <v>0.56205392678757504</v>
      </c>
      <c r="L157">
        <v>3.0835419906304361E-5</v>
      </c>
      <c r="M157">
        <v>1.8230889833970583E-6</v>
      </c>
      <c r="N157" s="1">
        <v>-9.1823574899438203E-9</v>
      </c>
      <c r="O157" s="1">
        <v>5.0891703628257E-12</v>
      </c>
      <c r="P157" s="1">
        <v>3.87778155309386E-11</v>
      </c>
      <c r="Q157">
        <v>65.6830250217849</v>
      </c>
      <c r="S157">
        <v>21.041479508721899</v>
      </c>
      <c r="AA157">
        <v>2.0332000978532099</v>
      </c>
      <c r="AB157">
        <v>9.1989964457198692</v>
      </c>
      <c r="AC157">
        <v>2.0432989259200198</v>
      </c>
      <c r="AJ157">
        <v>0.78847074335840195</v>
      </c>
      <c r="AK157">
        <v>9.6302163599385301E-2</v>
      </c>
      <c r="AL157">
        <v>0.115227093042212</v>
      </c>
    </row>
    <row r="158" spans="1:38" x14ac:dyDescent="0.2">
      <c r="A158">
        <v>189</v>
      </c>
      <c r="B158">
        <v>780</v>
      </c>
      <c r="C158">
        <v>135</v>
      </c>
      <c r="D158">
        <v>0.46563215116555001</v>
      </c>
      <c r="E158">
        <v>1.85153609434953</v>
      </c>
      <c r="F158">
        <v>2.5610848054252902</v>
      </c>
      <c r="G158">
        <v>-30.142953072424042</v>
      </c>
      <c r="H158">
        <v>-25.979503267985336</v>
      </c>
      <c r="I158">
        <v>3.9533302990444898</v>
      </c>
      <c r="J158">
        <v>2.2498180763642002</v>
      </c>
      <c r="K158">
        <v>0.72294993528809204</v>
      </c>
      <c r="L158">
        <v>3.0861143339810014E-5</v>
      </c>
      <c r="M158">
        <v>1.8239199840225202E-6</v>
      </c>
      <c r="N158" s="1">
        <v>-1.2176063836127201E-8</v>
      </c>
      <c r="O158" s="1">
        <v>6.5475431691964996E-12</v>
      </c>
      <c r="P158" s="1">
        <v>5.0940783264552497E-11</v>
      </c>
      <c r="Q158">
        <v>65.720558215182507</v>
      </c>
      <c r="S158">
        <v>21.0077222928815</v>
      </c>
      <c r="AA158">
        <v>1.99659219157088</v>
      </c>
      <c r="AB158">
        <v>9.1941382246938108</v>
      </c>
      <c r="AC158">
        <v>2.0809890756712299</v>
      </c>
      <c r="AJ158">
        <v>0.78807394719021495</v>
      </c>
      <c r="AK158">
        <v>9.4570590429263302E-2</v>
      </c>
      <c r="AL158">
        <v>0.117355462380521</v>
      </c>
    </row>
    <row r="159" spans="1:38" x14ac:dyDescent="0.2">
      <c r="A159">
        <v>190</v>
      </c>
      <c r="B159">
        <v>779</v>
      </c>
      <c r="C159">
        <v>135</v>
      </c>
      <c r="D159">
        <v>0.46505773891555402</v>
      </c>
      <c r="E159">
        <v>2.2639520977263898</v>
      </c>
      <c r="F159">
        <v>2.5606477881584202</v>
      </c>
      <c r="G159">
        <v>-36.847698370529422</v>
      </c>
      <c r="H159">
        <v>-31.764284350327895</v>
      </c>
      <c r="I159">
        <v>4.8314537092634202</v>
      </c>
      <c r="J159">
        <v>2.7511691479475799</v>
      </c>
      <c r="K159">
        <v>0.88413256528130002</v>
      </c>
      <c r="L159">
        <v>3.088643321501312E-5</v>
      </c>
      <c r="M159">
        <v>1.8247209628796514E-6</v>
      </c>
      <c r="N159" s="1">
        <v>-1.5347672986369001E-8</v>
      </c>
      <c r="O159" s="1">
        <v>8.0090054196690199E-12</v>
      </c>
      <c r="P159" s="1">
        <v>6.3626837991876997E-11</v>
      </c>
      <c r="Q159">
        <v>65.7569085005575</v>
      </c>
      <c r="S159">
        <v>20.9746352939943</v>
      </c>
      <c r="AA159">
        <v>1.9608132365532001</v>
      </c>
      <c r="AB159">
        <v>9.1884010174414996</v>
      </c>
      <c r="AC159">
        <v>2.11924195145341</v>
      </c>
      <c r="AJ159">
        <v>0.78760520839100001</v>
      </c>
      <c r="AK159">
        <v>9.2878599582573704E-2</v>
      </c>
      <c r="AL159">
        <v>0.11951619202642499</v>
      </c>
    </row>
    <row r="160" spans="1:38" x14ac:dyDescent="0.2">
      <c r="A160">
        <v>191</v>
      </c>
      <c r="B160">
        <v>778</v>
      </c>
      <c r="C160">
        <v>135</v>
      </c>
      <c r="D160">
        <v>0.464482233743996</v>
      </c>
      <c r="E160">
        <v>2.6768293429729701</v>
      </c>
      <c r="F160">
        <v>2.5602153595221</v>
      </c>
      <c r="G160">
        <v>-43.556473580772895</v>
      </c>
      <c r="H160">
        <v>-37.554778990599765</v>
      </c>
      <c r="I160">
        <v>5.7096461876736102</v>
      </c>
      <c r="J160">
        <v>3.2531658032484798</v>
      </c>
      <c r="K160">
        <v>1.0455485055259599</v>
      </c>
      <c r="L160">
        <v>3.091130780301857E-5</v>
      </c>
      <c r="M160">
        <v>1.8254924349124652E-6</v>
      </c>
      <c r="N160" s="1">
        <v>-1.87027348735614E-8</v>
      </c>
      <c r="O160" s="1">
        <v>9.4729742293031593E-12</v>
      </c>
      <c r="P160" s="1">
        <v>7.6850578431815598E-11</v>
      </c>
      <c r="Q160">
        <v>65.792095600396706</v>
      </c>
      <c r="S160">
        <v>20.9422043583793</v>
      </c>
      <c r="AA160">
        <v>1.92584695389556</v>
      </c>
      <c r="AB160">
        <v>9.1817916687523198</v>
      </c>
      <c r="AC160">
        <v>2.1580614185759899</v>
      </c>
      <c r="AJ160">
        <v>0.78706507482119104</v>
      </c>
      <c r="AK160">
        <v>9.1225398299780505E-2</v>
      </c>
      <c r="AL160">
        <v>0.121709526879027</v>
      </c>
    </row>
    <row r="161" spans="1:38" x14ac:dyDescent="0.2">
      <c r="A161">
        <v>192</v>
      </c>
      <c r="B161">
        <v>777</v>
      </c>
      <c r="C161">
        <v>135</v>
      </c>
      <c r="D161">
        <v>0.46390563252868899</v>
      </c>
      <c r="E161">
        <v>3.09003825673526</v>
      </c>
      <c r="F161">
        <v>2.55978737461131</v>
      </c>
      <c r="G161">
        <v>-50.267136838526135</v>
      </c>
      <c r="H161">
        <v>-43.349147466795408</v>
      </c>
      <c r="I161">
        <v>6.5876202178076699</v>
      </c>
      <c r="J161">
        <v>3.7556532790722499</v>
      </c>
      <c r="K161">
        <v>1.2071464557498399</v>
      </c>
      <c r="L161">
        <v>3.0935786051078998E-5</v>
      </c>
      <c r="M161">
        <v>1.8262349346695038E-6</v>
      </c>
      <c r="N161" s="1">
        <v>-2.2246982732110599E-8</v>
      </c>
      <c r="O161" s="1">
        <v>1.0938884301507099E-11</v>
      </c>
      <c r="P161" s="1">
        <v>9.0627143254412206E-11</v>
      </c>
      <c r="Q161">
        <v>65.826140107429694</v>
      </c>
      <c r="S161">
        <v>20.9104146994136</v>
      </c>
      <c r="AA161">
        <v>1.89167633945082</v>
      </c>
      <c r="AB161">
        <v>9.1743173033655605</v>
      </c>
      <c r="AC161">
        <v>2.1974515503402099</v>
      </c>
      <c r="AJ161">
        <v>0.786454115549302</v>
      </c>
      <c r="AK161">
        <v>8.9610160471579201E-2</v>
      </c>
      <c r="AL161">
        <v>0.12393572397911801</v>
      </c>
    </row>
    <row r="162" spans="1:38" x14ac:dyDescent="0.2">
      <c r="A162">
        <v>193</v>
      </c>
      <c r="B162">
        <v>776</v>
      </c>
      <c r="C162">
        <v>135</v>
      </c>
      <c r="D162">
        <v>0.46332793213554102</v>
      </c>
      <c r="E162">
        <v>3.5034547848301099</v>
      </c>
      <c r="F162">
        <v>2.5593636828367798</v>
      </c>
      <c r="G162">
        <v>-56.977637752816698</v>
      </c>
      <c r="H162">
        <v>-49.145627364408497</v>
      </c>
      <c r="I162">
        <v>7.46510068951837</v>
      </c>
      <c r="J162">
        <v>4.2584837265768503</v>
      </c>
      <c r="K162">
        <v>1.3688772753651399</v>
      </c>
      <c r="L162">
        <v>3.0959887528736159E-5</v>
      </c>
      <c r="M162">
        <v>1.8269490128683182E-6</v>
      </c>
      <c r="N162" s="1">
        <v>-2.5986346397261599E-8</v>
      </c>
      <c r="O162" s="1">
        <v>1.24061893755831E-11</v>
      </c>
      <c r="P162" s="1">
        <v>1.04972251312289E-10</v>
      </c>
      <c r="Q162">
        <v>65.859063323501601</v>
      </c>
      <c r="S162">
        <v>20.879251024845701</v>
      </c>
      <c r="AA162">
        <v>1.8582838064606599</v>
      </c>
      <c r="AB162">
        <v>9.1659853006755796</v>
      </c>
      <c r="AC162">
        <v>2.2374165445163801</v>
      </c>
      <c r="AJ162">
        <v>0.78577291883627598</v>
      </c>
      <c r="AK162">
        <v>8.8032033363396101E-2</v>
      </c>
      <c r="AL162">
        <v>0.126195047800327</v>
      </c>
    </row>
    <row r="163" spans="1:38" x14ac:dyDescent="0.2">
      <c r="A163">
        <v>194</v>
      </c>
      <c r="B163">
        <v>775</v>
      </c>
      <c r="C163">
        <v>135</v>
      </c>
      <c r="D163">
        <v>0.46274912941850099</v>
      </c>
      <c r="E163">
        <v>3.9169606758236299</v>
      </c>
      <c r="F163">
        <v>2.5589441296131001</v>
      </c>
      <c r="G163">
        <v>-63.686021926552598</v>
      </c>
      <c r="H163">
        <v>-54.942537550353883</v>
      </c>
      <c r="I163">
        <v>8.3418254793671807</v>
      </c>
      <c r="J163">
        <v>4.7615165675214097</v>
      </c>
      <c r="K163">
        <v>1.5306940978097301</v>
      </c>
      <c r="L163">
        <v>3.0983632383744394E-5</v>
      </c>
      <c r="M163">
        <v>1.8276352332235573E-6</v>
      </c>
      <c r="N163" s="1">
        <v>-2.9926965939632898E-8</v>
      </c>
      <c r="O163" s="1">
        <v>1.38743633319453E-11</v>
      </c>
      <c r="P163" s="1">
        <v>1.1990224204584099E-10</v>
      </c>
      <c r="Q163">
        <v>65.890887106159298</v>
      </c>
      <c r="S163">
        <v>20.848697661642699</v>
      </c>
      <c r="AA163">
        <v>1.82565132435261</v>
      </c>
      <c r="AB163">
        <v>9.1568032801604193</v>
      </c>
      <c r="AC163">
        <v>2.2779606276848599</v>
      </c>
      <c r="AJ163">
        <v>0.78502209099876397</v>
      </c>
      <c r="AK163">
        <v>8.6490144152058704E-2</v>
      </c>
      <c r="AL163">
        <v>0.12848776484917601</v>
      </c>
    </row>
    <row r="164" spans="1:38" x14ac:dyDescent="0.2">
      <c r="A164">
        <v>195</v>
      </c>
      <c r="B164">
        <v>774</v>
      </c>
      <c r="C164">
        <v>135</v>
      </c>
      <c r="D164">
        <v>0.46216922121950399</v>
      </c>
      <c r="E164">
        <v>5.2520405297746198</v>
      </c>
      <c r="F164">
        <v>2.5572437580974499</v>
      </c>
      <c r="G164">
        <v>-85.332963378989135</v>
      </c>
      <c r="H164">
        <v>-73.627009107040209</v>
      </c>
      <c r="I164">
        <v>11.1788705266188</v>
      </c>
      <c r="J164">
        <v>6.3829289489496501</v>
      </c>
      <c r="K164">
        <v>2.0537895588342501</v>
      </c>
      <c r="L164">
        <v>3.0982640998903949E-5</v>
      </c>
      <c r="M164">
        <v>1.8288210315444691E-6</v>
      </c>
      <c r="N164" s="1">
        <v>-4.0968010276278897E-8</v>
      </c>
      <c r="O164" s="1">
        <v>1.8648353427358799E-11</v>
      </c>
      <c r="P164" s="1">
        <v>1.6316143031906899E-10</v>
      </c>
      <c r="Q164">
        <v>65.973256126976494</v>
      </c>
      <c r="S164">
        <v>20.751588628875002</v>
      </c>
      <c r="AA164">
        <v>1.72631569305122</v>
      </c>
      <c r="AB164">
        <v>9.0857742721650006</v>
      </c>
      <c r="AC164">
        <v>2.4630652789321701</v>
      </c>
      <c r="AJ164">
        <v>0.779209033628528</v>
      </c>
      <c r="AK164">
        <v>8.1813136877559103E-2</v>
      </c>
      <c r="AL164">
        <v>0.13897782949391199</v>
      </c>
    </row>
    <row r="165" spans="1:38" x14ac:dyDescent="0.2">
      <c r="A165">
        <v>196</v>
      </c>
      <c r="B165">
        <v>773</v>
      </c>
      <c r="C165">
        <v>135</v>
      </c>
      <c r="D165">
        <v>0.46158820436839998</v>
      </c>
      <c r="E165">
        <v>6.8395904750845604</v>
      </c>
      <c r="F165">
        <v>2.5550808188478702</v>
      </c>
      <c r="G165">
        <v>-111.02610963421763</v>
      </c>
      <c r="H165">
        <v>-95.805871137326221</v>
      </c>
      <c r="I165">
        <v>14.5488108750097</v>
      </c>
      <c r="J165">
        <v>8.30874242103204</v>
      </c>
      <c r="K165">
        <v>2.6768587610346701</v>
      </c>
      <c r="L165">
        <v>3.0959291266082379E-5</v>
      </c>
      <c r="M165">
        <v>1.8298096970595711E-6</v>
      </c>
      <c r="N165" s="1">
        <v>-5.4176160236354697E-8</v>
      </c>
      <c r="O165" s="1">
        <v>2.4361522778523901E-11</v>
      </c>
      <c r="P165" s="1">
        <v>2.1477747888116701E-10</v>
      </c>
      <c r="Q165">
        <v>66.061160660662196</v>
      </c>
      <c r="S165">
        <v>20.6357553279922</v>
      </c>
      <c r="AA165">
        <v>1.61024071258117</v>
      </c>
      <c r="AB165">
        <v>8.9779927546102094</v>
      </c>
      <c r="AC165">
        <v>2.71485054415403</v>
      </c>
      <c r="AJ165">
        <v>0.77037967348745096</v>
      </c>
      <c r="AK165">
        <v>7.6353185022036002E-2</v>
      </c>
      <c r="AL165">
        <v>0.15326714149051199</v>
      </c>
    </row>
    <row r="166" spans="1:38" x14ac:dyDescent="0.2">
      <c r="A166">
        <v>197</v>
      </c>
      <c r="B166">
        <v>772</v>
      </c>
      <c r="C166">
        <v>135</v>
      </c>
      <c r="D166">
        <v>0.46100607568291702</v>
      </c>
      <c r="E166">
        <v>8.7648871280972607</v>
      </c>
      <c r="F166">
        <v>2.55222423888288</v>
      </c>
      <c r="G166">
        <v>-142.10492600713599</v>
      </c>
      <c r="H166">
        <v>-122.63380497679728</v>
      </c>
      <c r="I166">
        <v>18.629977544217201</v>
      </c>
      <c r="J166">
        <v>10.639642324870699</v>
      </c>
      <c r="K166">
        <v>3.4342151424491001</v>
      </c>
      <c r="L166">
        <v>3.0897403166578002E-5</v>
      </c>
      <c r="M166">
        <v>1.8303818282048738E-6</v>
      </c>
      <c r="N166" s="1">
        <v>-6.9864034173377705E-8</v>
      </c>
      <c r="O166" s="1">
        <v>3.1351218772937002E-11</v>
      </c>
      <c r="P166" s="1">
        <v>2.7631678927081201E-10</v>
      </c>
      <c r="Q166">
        <v>66.153318222492601</v>
      </c>
      <c r="S166">
        <v>20.493296686250702</v>
      </c>
      <c r="AA166">
        <v>1.47120716730606</v>
      </c>
      <c r="AB166">
        <v>8.8098870896455708</v>
      </c>
      <c r="AC166">
        <v>3.0722908343050501</v>
      </c>
      <c r="AJ166">
        <v>0.75658895812528404</v>
      </c>
      <c r="AK166">
        <v>6.9819105218330499E-2</v>
      </c>
      <c r="AL166">
        <v>0.173591936656384</v>
      </c>
    </row>
    <row r="167" spans="1:38" x14ac:dyDescent="0.2">
      <c r="A167">
        <v>198</v>
      </c>
      <c r="B167">
        <v>771</v>
      </c>
      <c r="C167">
        <v>135</v>
      </c>
      <c r="D167">
        <v>0.46042283196858502</v>
      </c>
      <c r="E167">
        <v>9.9780755167145703</v>
      </c>
      <c r="F167">
        <v>2.5520187627431601</v>
      </c>
      <c r="G167">
        <v>-161.70650650195159</v>
      </c>
      <c r="H167">
        <v>-139.57721260972895</v>
      </c>
      <c r="I167">
        <v>21.193596602233999</v>
      </c>
      <c r="J167">
        <v>12.109460279972</v>
      </c>
      <c r="K167">
        <v>3.9098754532623801</v>
      </c>
      <c r="L167">
        <v>3.085826793366322E-5</v>
      </c>
      <c r="M167">
        <v>1.8292024149681772E-6</v>
      </c>
      <c r="N167" s="1">
        <v>-8.1107587648420805E-8</v>
      </c>
      <c r="O167" s="1">
        <v>3.5684934046256798E-11</v>
      </c>
      <c r="P167" s="1">
        <v>3.1909567578824799E-10</v>
      </c>
      <c r="Q167">
        <v>66.116050961158905</v>
      </c>
      <c r="S167">
        <v>20.4960214371897</v>
      </c>
      <c r="AA167">
        <v>1.4821509206860599</v>
      </c>
      <c r="AB167">
        <v>8.73398228478273</v>
      </c>
      <c r="AC167">
        <v>3.1717943961824999</v>
      </c>
      <c r="AJ167">
        <v>0.75035325996311697</v>
      </c>
      <c r="AK167">
        <v>7.0364998939043799E-2</v>
      </c>
      <c r="AL167">
        <v>0.17928174109783801</v>
      </c>
    </row>
    <row r="168" spans="1:38" x14ac:dyDescent="0.2">
      <c r="A168">
        <v>198</v>
      </c>
      <c r="B168">
        <v>771</v>
      </c>
      <c r="C168">
        <v>135</v>
      </c>
      <c r="D168">
        <v>0.46042283196858502</v>
      </c>
      <c r="E168">
        <v>6.2217397084136099</v>
      </c>
      <c r="F168">
        <v>2.52277097559202</v>
      </c>
      <c r="G168">
        <v>-99.348937186781853</v>
      </c>
      <c r="H168">
        <v>-85.680510650770017</v>
      </c>
      <c r="I168">
        <v>13.090481766041099</v>
      </c>
      <c r="J168">
        <v>7.4395987561891701</v>
      </c>
      <c r="K168">
        <v>2.46623247556332</v>
      </c>
      <c r="L168">
        <v>2.9148055624076718E-5</v>
      </c>
      <c r="M168">
        <v>1.8132460095286532E-6</v>
      </c>
      <c r="N168" s="1">
        <v>-2.9549578107653299E-8</v>
      </c>
      <c r="O168" s="1">
        <v>2.3396718741256099E-11</v>
      </c>
      <c r="P168" s="1">
        <v>1.35900861070408E-10</v>
      </c>
      <c r="Q168">
        <v>66.352347697196905</v>
      </c>
      <c r="S168">
        <v>19.239156966106702</v>
      </c>
      <c r="AA168">
        <v>0.39008824980866103</v>
      </c>
      <c r="AB168">
        <v>5.9655232768462199</v>
      </c>
      <c r="AC168">
        <v>8.0528838100413704</v>
      </c>
      <c r="AJ168">
        <v>0.51967684642463696</v>
      </c>
      <c r="AK168">
        <v>1.8778395524029701E-2</v>
      </c>
      <c r="AL168">
        <v>0.46154475805133199</v>
      </c>
    </row>
    <row r="169" spans="1:38" x14ac:dyDescent="0.2">
      <c r="A169">
        <v>199</v>
      </c>
      <c r="B169">
        <v>770</v>
      </c>
      <c r="C169">
        <v>135</v>
      </c>
      <c r="D169">
        <v>0.45983847001869499</v>
      </c>
      <c r="E169">
        <v>10.6506843086645</v>
      </c>
      <c r="F169">
        <v>2.5539695271101199</v>
      </c>
      <c r="G169">
        <v>-172.66898089703068</v>
      </c>
      <c r="H169">
        <v>-149.08355098666578</v>
      </c>
      <c r="I169">
        <v>22.6098163354885</v>
      </c>
      <c r="J169">
        <v>12.9307989999939</v>
      </c>
      <c r="K169">
        <v>4.1702472154066896</v>
      </c>
      <c r="L169">
        <v>3.0873539699220035E-5</v>
      </c>
      <c r="M169">
        <v>1.8275049905808954E-6</v>
      </c>
      <c r="N169" s="1">
        <v>-8.9802047346299598E-8</v>
      </c>
      <c r="O169" s="1">
        <v>3.7948258306823298E-11</v>
      </c>
      <c r="P169" s="1">
        <v>3.5011925171744801E-10</v>
      </c>
      <c r="Q169">
        <v>66.004263902603896</v>
      </c>
      <c r="S169">
        <v>20.605899861832899</v>
      </c>
      <c r="AA169">
        <v>1.5988857279686199</v>
      </c>
      <c r="AB169">
        <v>8.7729313939475499</v>
      </c>
      <c r="AC169">
        <v>3.0180191136468699</v>
      </c>
      <c r="AJ169">
        <v>0.75355159721063103</v>
      </c>
      <c r="AK169">
        <v>7.58920838433291E-2</v>
      </c>
      <c r="AL169">
        <v>0.17055631894603901</v>
      </c>
    </row>
    <row r="170" spans="1:38" x14ac:dyDescent="0.2">
      <c r="A170">
        <v>199</v>
      </c>
      <c r="B170">
        <v>770</v>
      </c>
      <c r="C170">
        <v>135</v>
      </c>
      <c r="D170">
        <v>0.45983847001869499</v>
      </c>
      <c r="E170">
        <v>14.111457401215601</v>
      </c>
      <c r="F170">
        <v>2.5222724297260899</v>
      </c>
      <c r="G170">
        <v>-225.16140500997349</v>
      </c>
      <c r="H170">
        <v>-194.22688704907225</v>
      </c>
      <c r="I170">
        <v>29.654908652543899</v>
      </c>
      <c r="J170">
        <v>16.8624429841433</v>
      </c>
      <c r="K170">
        <v>5.5947395828086801</v>
      </c>
      <c r="L170">
        <v>2.9062247972128634E-5</v>
      </c>
      <c r="M170">
        <v>1.8117608517896868E-6</v>
      </c>
      <c r="N170" s="1">
        <v>-6.6980118582631506E-8</v>
      </c>
      <c r="O170" s="1">
        <v>5.3121190406353699E-11</v>
      </c>
      <c r="P170" s="1">
        <v>3.0796698070114803E-10</v>
      </c>
      <c r="Q170">
        <v>66.313626953716096</v>
      </c>
      <c r="S170">
        <v>19.2181754126591</v>
      </c>
      <c r="AA170">
        <v>0.38181320952519199</v>
      </c>
      <c r="AB170">
        <v>5.8242303059715699</v>
      </c>
      <c r="AC170">
        <v>8.2621541181279206</v>
      </c>
      <c r="AJ170">
        <v>0.507730195269953</v>
      </c>
      <c r="AK170">
        <v>1.83931533686164E-2</v>
      </c>
      <c r="AL170">
        <v>0.47387665136142898</v>
      </c>
    </row>
    <row r="171" spans="1:38" x14ac:dyDescent="0.2">
      <c r="A171">
        <v>200</v>
      </c>
      <c r="B171">
        <v>769</v>
      </c>
      <c r="C171">
        <v>135</v>
      </c>
      <c r="D171">
        <v>0.45925298661421299</v>
      </c>
      <c r="E171">
        <v>12.2356307001765</v>
      </c>
      <c r="F171">
        <v>2.55629069656506</v>
      </c>
      <c r="G171">
        <v>-198.44651838953934</v>
      </c>
      <c r="H171">
        <v>-171.39357379202278</v>
      </c>
      <c r="I171">
        <v>25.9587819387962</v>
      </c>
      <c r="J171">
        <v>14.8605235166653</v>
      </c>
      <c r="K171">
        <v>4.7864785944015704</v>
      </c>
      <c r="L171">
        <v>3.0874666358856646E-5</v>
      </c>
      <c r="M171">
        <v>1.8250626137695696E-6</v>
      </c>
      <c r="N171" s="1">
        <v>-1.0688000539653E-7</v>
      </c>
      <c r="O171" s="1">
        <v>4.34025869808922E-11</v>
      </c>
      <c r="P171" s="1">
        <v>4.1318166512314598E-10</v>
      </c>
      <c r="Q171">
        <v>65.857494116531598</v>
      </c>
      <c r="S171">
        <v>20.742876543270601</v>
      </c>
      <c r="AA171">
        <v>1.74613961579222</v>
      </c>
      <c r="AB171">
        <v>8.8049649737393096</v>
      </c>
      <c r="AC171">
        <v>2.8485247506661402</v>
      </c>
      <c r="AJ171">
        <v>0.75618028769847401</v>
      </c>
      <c r="AK171">
        <v>8.2868117867722801E-2</v>
      </c>
      <c r="AL171">
        <v>0.160951594433802</v>
      </c>
    </row>
    <row r="172" spans="1:38" x14ac:dyDescent="0.2">
      <c r="A172">
        <v>200</v>
      </c>
      <c r="B172">
        <v>769</v>
      </c>
      <c r="C172">
        <v>135</v>
      </c>
      <c r="D172">
        <v>0.45925298661421299</v>
      </c>
      <c r="E172">
        <v>23.924234755749399</v>
      </c>
      <c r="F172">
        <v>2.5217514519487998</v>
      </c>
      <c r="G172">
        <v>-381.4117062253008</v>
      </c>
      <c r="H172">
        <v>-329.08463032291274</v>
      </c>
      <c r="I172">
        <v>50.210695103764202</v>
      </c>
      <c r="J172">
        <v>28.565958407840501</v>
      </c>
      <c r="K172">
        <v>9.4871501857412497</v>
      </c>
      <c r="L172">
        <v>2.8961630936962624E-5</v>
      </c>
      <c r="M172">
        <v>1.8100327930415941E-6</v>
      </c>
      <c r="N172" s="1">
        <v>-1.1278622775259199E-7</v>
      </c>
      <c r="O172" s="1">
        <v>9.0169972398873594E-11</v>
      </c>
      <c r="P172" s="1">
        <v>5.1958183929656903E-10</v>
      </c>
      <c r="Q172">
        <v>66.267368025863405</v>
      </c>
      <c r="S172">
        <v>19.195908506175599</v>
      </c>
      <c r="AA172">
        <v>0.37423667209582601</v>
      </c>
      <c r="AB172">
        <v>5.6627691753146996</v>
      </c>
      <c r="AC172">
        <v>8.4997176205503493</v>
      </c>
      <c r="AJ172">
        <v>0.49405737881935602</v>
      </c>
      <c r="AK172">
        <v>1.8042871802953601E-2</v>
      </c>
      <c r="AL172">
        <v>0.48789974937768898</v>
      </c>
    </row>
    <row r="173" spans="1:38" x14ac:dyDescent="0.2">
      <c r="A173">
        <v>201</v>
      </c>
      <c r="B173">
        <v>768</v>
      </c>
      <c r="C173">
        <v>135</v>
      </c>
      <c r="D173">
        <v>0.45866637852374798</v>
      </c>
      <c r="E173">
        <v>14.219131859299701</v>
      </c>
      <c r="F173">
        <v>2.55844052685763</v>
      </c>
      <c r="G173">
        <v>-230.69575222798244</v>
      </c>
      <c r="H173">
        <v>-199.30757476183416</v>
      </c>
      <c r="I173">
        <v>30.147603578877401</v>
      </c>
      <c r="J173">
        <v>17.2748005755906</v>
      </c>
      <c r="K173">
        <v>5.5577339828822101</v>
      </c>
      <c r="L173">
        <v>3.0867913004042629E-5</v>
      </c>
      <c r="M173">
        <v>1.8225209821711583E-6</v>
      </c>
      <c r="N173" s="1">
        <v>-1.2842008554339E-7</v>
      </c>
      <c r="O173" s="1">
        <v>5.0226069085860097E-11</v>
      </c>
      <c r="P173" s="1">
        <v>4.9257125734611603E-10</v>
      </c>
      <c r="Q173">
        <v>65.711983539050394</v>
      </c>
      <c r="S173">
        <v>20.8737322825272</v>
      </c>
      <c r="AA173">
        <v>1.8880498445327301</v>
      </c>
      <c r="AB173">
        <v>8.8237577866559107</v>
      </c>
      <c r="AC173">
        <v>2.7024765472336001</v>
      </c>
      <c r="AJ173">
        <v>0.757721133852995</v>
      </c>
      <c r="AK173">
        <v>8.9594235524090404E-2</v>
      </c>
      <c r="AL173">
        <v>0.15268463062291401</v>
      </c>
    </row>
    <row r="174" spans="1:38" x14ac:dyDescent="0.2">
      <c r="A174">
        <v>201</v>
      </c>
      <c r="B174">
        <v>768</v>
      </c>
      <c r="C174">
        <v>135</v>
      </c>
      <c r="D174">
        <v>0.45866637852374798</v>
      </c>
      <c r="E174">
        <v>32.997784086889098</v>
      </c>
      <c r="F174">
        <v>2.5213294905743999</v>
      </c>
      <c r="G174">
        <v>-525.66279459692362</v>
      </c>
      <c r="H174">
        <v>-453.64879021252119</v>
      </c>
      <c r="I174">
        <v>69.167751413727402</v>
      </c>
      <c r="J174">
        <v>39.372669013696402</v>
      </c>
      <c r="K174">
        <v>13.0874541428425</v>
      </c>
      <c r="L174">
        <v>2.8872453445381965E-5</v>
      </c>
      <c r="M174">
        <v>1.8085029665138598E-6</v>
      </c>
      <c r="N174" s="1">
        <v>-1.5507432264590699E-7</v>
      </c>
      <c r="O174" s="1">
        <v>1.24497713914971E-10</v>
      </c>
      <c r="P174" s="1">
        <v>7.1485405975025997E-10</v>
      </c>
      <c r="Q174">
        <v>66.225275356598104</v>
      </c>
      <c r="S174">
        <v>19.176508435745198</v>
      </c>
      <c r="AA174">
        <v>0.36805316427933799</v>
      </c>
      <c r="AB174">
        <v>5.5181081119611699</v>
      </c>
      <c r="AC174">
        <v>8.7120549314161</v>
      </c>
      <c r="AJ174">
        <v>0.48178825829903599</v>
      </c>
      <c r="AK174">
        <v>1.7757726088179802E-2</v>
      </c>
      <c r="AL174">
        <v>0.50045401561278402</v>
      </c>
    </row>
    <row r="175" spans="1:38" x14ac:dyDescent="0.2">
      <c r="A175">
        <v>202</v>
      </c>
      <c r="B175">
        <v>767</v>
      </c>
      <c r="C175">
        <v>135</v>
      </c>
      <c r="D175">
        <v>0.45807864250348701</v>
      </c>
      <c r="E175">
        <v>15.5024572351712</v>
      </c>
      <c r="F175">
        <v>2.5597082522264598</v>
      </c>
      <c r="G175">
        <v>-251.55200585487444</v>
      </c>
      <c r="H175">
        <v>-217.3847538714808</v>
      </c>
      <c r="I175">
        <v>32.848389158672902</v>
      </c>
      <c r="J175">
        <v>18.838657983128002</v>
      </c>
      <c r="K175">
        <v>6.0563375617854103</v>
      </c>
      <c r="L175">
        <v>3.0873504804714144E-5</v>
      </c>
      <c r="M175">
        <v>1.8210747183996594E-6</v>
      </c>
      <c r="N175" s="1">
        <v>-1.4458299197048499E-7</v>
      </c>
      <c r="O175" s="1">
        <v>5.4608356335932303E-11</v>
      </c>
      <c r="P175" s="1">
        <v>5.5041096090179696E-10</v>
      </c>
      <c r="Q175">
        <v>65.626819336145601</v>
      </c>
      <c r="S175">
        <v>20.9497874236657</v>
      </c>
      <c r="AA175">
        <v>1.97066801719297</v>
      </c>
      <c r="AB175">
        <v>8.8333623671421293</v>
      </c>
      <c r="AC175">
        <v>2.6193628558534701</v>
      </c>
      <c r="AJ175">
        <v>0.75850834622837304</v>
      </c>
      <c r="AK175">
        <v>9.3510111716414795E-2</v>
      </c>
      <c r="AL175">
        <v>0.147981542055211</v>
      </c>
    </row>
    <row r="176" spans="1:38" x14ac:dyDescent="0.2">
      <c r="A176">
        <v>202</v>
      </c>
      <c r="B176">
        <v>767</v>
      </c>
      <c r="C176">
        <v>135</v>
      </c>
      <c r="D176">
        <v>0.45807864250348701</v>
      </c>
      <c r="E176">
        <v>37.962765807868998</v>
      </c>
      <c r="F176">
        <v>2.5211068967327499</v>
      </c>
      <c r="G176">
        <v>-604.4484322501894</v>
      </c>
      <c r="H176">
        <v>-521.75827327715706</v>
      </c>
      <c r="I176">
        <v>79.498302142029701</v>
      </c>
      <c r="J176">
        <v>45.280015125899602</v>
      </c>
      <c r="K176">
        <v>15.057975469849</v>
      </c>
      <c r="L176">
        <v>2.882554698685544E-5</v>
      </c>
      <c r="M176">
        <v>1.8076779560871425E-6</v>
      </c>
      <c r="N176" s="1">
        <v>-1.8076078718519299E-7</v>
      </c>
      <c r="O176" s="1">
        <v>1.4329814467349699E-10</v>
      </c>
      <c r="P176" s="1">
        <v>8.2902031667870397E-10</v>
      </c>
      <c r="Q176">
        <v>66.201733256860294</v>
      </c>
      <c r="S176">
        <v>19.164090012822701</v>
      </c>
      <c r="AA176">
        <v>0.36330106534645801</v>
      </c>
      <c r="AB176">
        <v>5.4330892947758498</v>
      </c>
      <c r="AC176">
        <v>8.8377863701946602</v>
      </c>
      <c r="AJ176">
        <v>0.47456920398871799</v>
      </c>
      <c r="AK176">
        <v>1.7535985235862198E-2</v>
      </c>
      <c r="AL176">
        <v>0.50789481077541798</v>
      </c>
    </row>
    <row r="177" spans="1:38" x14ac:dyDescent="0.2">
      <c r="A177">
        <v>203</v>
      </c>
      <c r="B177">
        <v>766</v>
      </c>
      <c r="C177">
        <v>135</v>
      </c>
      <c r="D177">
        <v>0.45748977529712298</v>
      </c>
      <c r="E177">
        <v>16.253600201502799</v>
      </c>
      <c r="F177">
        <v>2.5604356940889801</v>
      </c>
      <c r="G177">
        <v>-263.74690289060982</v>
      </c>
      <c r="H177">
        <v>-227.97944412279918</v>
      </c>
      <c r="I177">
        <v>34.419918941260299</v>
      </c>
      <c r="J177">
        <v>19.756219684484002</v>
      </c>
      <c r="K177">
        <v>6.3479821965558001</v>
      </c>
      <c r="L177">
        <v>3.0890345523842018E-5</v>
      </c>
      <c r="M177">
        <v>1.8203979140757195E-6</v>
      </c>
      <c r="N177" s="1">
        <v>-1.5650174883170501E-7</v>
      </c>
      <c r="O177" s="1">
        <v>5.7148355616170003E-11</v>
      </c>
      <c r="P177" s="1">
        <v>5.9140400562108805E-10</v>
      </c>
      <c r="Q177">
        <v>65.581860281989407</v>
      </c>
      <c r="S177">
        <v>20.9908498917275</v>
      </c>
      <c r="AA177">
        <v>2.0150355544476501</v>
      </c>
      <c r="AB177">
        <v>8.8408241240721903</v>
      </c>
      <c r="AC177">
        <v>2.57143014776315</v>
      </c>
      <c r="AJ177">
        <v>0.75912019734900604</v>
      </c>
      <c r="AK177">
        <v>9.56117570750082E-2</v>
      </c>
      <c r="AL177">
        <v>0.14526804557598499</v>
      </c>
    </row>
    <row r="178" spans="1:38" x14ac:dyDescent="0.2">
      <c r="A178">
        <v>203</v>
      </c>
      <c r="B178">
        <v>766</v>
      </c>
      <c r="C178">
        <v>135</v>
      </c>
      <c r="D178">
        <v>0.45748977529712298</v>
      </c>
      <c r="E178">
        <v>40.503206901854</v>
      </c>
      <c r="F178">
        <v>2.5209896132262002</v>
      </c>
      <c r="G178">
        <v>-644.66700873525531</v>
      </c>
      <c r="H178">
        <v>-556.59842401529818</v>
      </c>
      <c r="I178">
        <v>84.750598777806005</v>
      </c>
      <c r="J178">
        <v>48.3013959963857</v>
      </c>
      <c r="K178">
        <v>16.0663918206392</v>
      </c>
      <c r="L178">
        <v>2.880365155597163E-5</v>
      </c>
      <c r="M178">
        <v>1.807264817284534E-6</v>
      </c>
      <c r="N178" s="1">
        <v>-1.97321772585535E-7</v>
      </c>
      <c r="O178" s="1">
        <v>1.5290898089210299E-10</v>
      </c>
      <c r="P178" s="1">
        <v>8.9733689621211702E-10</v>
      </c>
      <c r="Q178">
        <v>66.189288185851794</v>
      </c>
      <c r="S178">
        <v>19.155561488311001</v>
      </c>
      <c r="AA178">
        <v>0.35916883248403098</v>
      </c>
      <c r="AB178">
        <v>5.3829974855203302</v>
      </c>
      <c r="AC178">
        <v>8.9129840078327494</v>
      </c>
      <c r="AJ178">
        <v>0.47031295217177099</v>
      </c>
      <c r="AK178">
        <v>1.73409224277607E-2</v>
      </c>
      <c r="AL178">
        <v>0.51234612540046698</v>
      </c>
    </row>
    <row r="179" spans="1:38" x14ac:dyDescent="0.2">
      <c r="A179">
        <v>204</v>
      </c>
      <c r="B179">
        <v>765</v>
      </c>
      <c r="C179">
        <v>135</v>
      </c>
      <c r="D179">
        <v>0.45689977363579698</v>
      </c>
      <c r="E179">
        <v>16.701052652464099</v>
      </c>
      <c r="F179">
        <v>2.5608857022829801</v>
      </c>
      <c r="G179">
        <v>-270.99882900173742</v>
      </c>
      <c r="H179">
        <v>-234.30282738184147</v>
      </c>
      <c r="I179">
        <v>35.347494697197803</v>
      </c>
      <c r="J179">
        <v>20.305063670624101</v>
      </c>
      <c r="K179">
        <v>6.5215923684432502</v>
      </c>
      <c r="L179">
        <v>3.0914191037084727E-5</v>
      </c>
      <c r="M179">
        <v>1.8201412867580346E-6</v>
      </c>
      <c r="N179" s="1">
        <v>-1.6602087552045201E-7</v>
      </c>
      <c r="O179" s="1">
        <v>5.8639798570268606E-11</v>
      </c>
      <c r="P179" s="1">
        <v>6.2284120789529105E-10</v>
      </c>
      <c r="Q179">
        <v>65.558337276638895</v>
      </c>
      <c r="S179">
        <v>21.0135897562105</v>
      </c>
      <c r="AA179">
        <v>2.0392849472021699</v>
      </c>
      <c r="AB179">
        <v>8.8480198790281008</v>
      </c>
      <c r="AC179">
        <v>2.5407681409201799</v>
      </c>
      <c r="AJ179">
        <v>0.75971049505870902</v>
      </c>
      <c r="AK179">
        <v>9.6758859393858296E-2</v>
      </c>
      <c r="AL179">
        <v>0.143530645547432</v>
      </c>
    </row>
    <row r="180" spans="1:38" x14ac:dyDescent="0.2">
      <c r="A180">
        <v>204</v>
      </c>
      <c r="B180">
        <v>765</v>
      </c>
      <c r="C180">
        <v>135</v>
      </c>
      <c r="D180">
        <v>0.45689977363579698</v>
      </c>
      <c r="E180">
        <v>41.806869408622802</v>
      </c>
      <c r="F180">
        <v>2.5209226362237702</v>
      </c>
      <c r="G180">
        <v>-665.22914918828417</v>
      </c>
      <c r="H180">
        <v>-574.47823504820406</v>
      </c>
      <c r="I180">
        <v>87.415993970119899</v>
      </c>
      <c r="J180">
        <v>49.851956045241401</v>
      </c>
      <c r="K180">
        <v>16.583955734257401</v>
      </c>
      <c r="L180">
        <v>2.8794536055045848E-5</v>
      </c>
      <c r="M180">
        <v>1.8070584676245852E-6</v>
      </c>
      <c r="N180" s="1">
        <v>-2.0941301930670199E-7</v>
      </c>
      <c r="O180" s="1">
        <v>1.5782539453514701E-10</v>
      </c>
      <c r="P180" s="1">
        <v>9.4281126409152296E-10</v>
      </c>
      <c r="Q180">
        <v>66.182456633483497</v>
      </c>
      <c r="S180">
        <v>19.148950673021901</v>
      </c>
      <c r="AA180">
        <v>0.35530889153300099</v>
      </c>
      <c r="AB180">
        <v>5.3504426256158597</v>
      </c>
      <c r="AC180">
        <v>8.9628411763456306</v>
      </c>
      <c r="AJ180">
        <v>0.467545652856733</v>
      </c>
      <c r="AK180">
        <v>1.7157388218121801E-2</v>
      </c>
      <c r="AL180">
        <v>0.51529695892514404</v>
      </c>
    </row>
    <row r="181" spans="1:38" x14ac:dyDescent="0.2">
      <c r="A181">
        <v>206</v>
      </c>
      <c r="B181">
        <v>793</v>
      </c>
      <c r="C181">
        <v>120</v>
      </c>
      <c r="D181">
        <v>0.488477700136005</v>
      </c>
      <c r="E181">
        <v>3.8253773256175801E-2</v>
      </c>
      <c r="F181">
        <v>2.5616341453078499</v>
      </c>
      <c r="G181">
        <v>-0.6243971389018631</v>
      </c>
      <c r="H181">
        <v>-0.53671535541549287</v>
      </c>
      <c r="I181">
        <v>8.2241507748787801E-2</v>
      </c>
      <c r="J181">
        <v>4.6436982018580902E-2</v>
      </c>
      <c r="K181">
        <v>1.49333476547559E-2</v>
      </c>
      <c r="L181">
        <v>3.0618701784858521E-5</v>
      </c>
      <c r="M181">
        <v>1.8202174386716113E-6</v>
      </c>
      <c r="N181" s="1">
        <v>-1.63978934306686E-10</v>
      </c>
      <c r="O181" s="1">
        <v>1.35528693673742E-13</v>
      </c>
      <c r="P181" s="1">
        <v>7.9495625927863804E-13</v>
      </c>
      <c r="Q181">
        <v>65.558187653562797</v>
      </c>
      <c r="S181">
        <v>21.1549153713053</v>
      </c>
      <c r="AA181">
        <v>2.1559149392132801</v>
      </c>
      <c r="AB181">
        <v>9.2181899255799191</v>
      </c>
      <c r="AC181">
        <v>1.9127921103385399</v>
      </c>
      <c r="AJ181">
        <v>0.79003855253609101</v>
      </c>
      <c r="AK181">
        <v>0.102104538121918</v>
      </c>
      <c r="AL181">
        <v>0.10785690934198899</v>
      </c>
    </row>
    <row r="182" spans="1:38" x14ac:dyDescent="0.2">
      <c r="A182">
        <v>207</v>
      </c>
      <c r="B182">
        <v>792</v>
      </c>
      <c r="C182">
        <v>120</v>
      </c>
      <c r="D182">
        <v>0.48793174670234402</v>
      </c>
      <c r="E182">
        <v>0.43592744631265301</v>
      </c>
      <c r="F182">
        <v>2.5612016293433202</v>
      </c>
      <c r="G182">
        <v>-7.113704366334896</v>
      </c>
      <c r="H182">
        <v>-6.1159321251996577</v>
      </c>
      <c r="I182">
        <v>0.93674340809767398</v>
      </c>
      <c r="J182">
        <v>0.52920042494453401</v>
      </c>
      <c r="K182">
        <v>0.17020426713707101</v>
      </c>
      <c r="L182">
        <v>3.0641888396927523E-5</v>
      </c>
      <c r="M182">
        <v>1.8211074296883322E-6</v>
      </c>
      <c r="N182" s="1">
        <v>-1.93158875911356E-9</v>
      </c>
      <c r="O182" s="1">
        <v>1.54526698081764E-12</v>
      </c>
      <c r="P182" s="1">
        <v>9.2438541682308996E-12</v>
      </c>
      <c r="Q182">
        <v>65.597972123371505</v>
      </c>
      <c r="S182">
        <v>21.120524797000002</v>
      </c>
      <c r="AA182">
        <v>2.1182592011388</v>
      </c>
      <c r="AB182">
        <v>9.2166881217694208</v>
      </c>
      <c r="AC182">
        <v>1.9465557567201801</v>
      </c>
      <c r="AJ182">
        <v>0.789916364514339</v>
      </c>
      <c r="AK182">
        <v>0.100321983711083</v>
      </c>
      <c r="AL182">
        <v>0.109761651774576</v>
      </c>
    </row>
    <row r="183" spans="1:38" x14ac:dyDescent="0.2">
      <c r="A183">
        <v>208</v>
      </c>
      <c r="B183">
        <v>791</v>
      </c>
      <c r="C183">
        <v>120</v>
      </c>
      <c r="D183">
        <v>0.48738476718508</v>
      </c>
      <c r="E183">
        <v>0.83440343295218999</v>
      </c>
      <c r="F183">
        <v>2.5607743830212302</v>
      </c>
      <c r="G183">
        <v>-13.612947766183604</v>
      </c>
      <c r="H183">
        <v>-11.705848224371593</v>
      </c>
      <c r="I183">
        <v>1.7921341369280701</v>
      </c>
      <c r="J183">
        <v>1.0129745218128401</v>
      </c>
      <c r="K183">
        <v>0.32584027647439601</v>
      </c>
      <c r="L183">
        <v>3.0664586771974233E-5</v>
      </c>
      <c r="M183">
        <v>1.8219679756675317E-6</v>
      </c>
      <c r="N183" s="1">
        <v>-3.8203297423657802E-9</v>
      </c>
      <c r="O183" s="1">
        <v>2.9592932032915199E-12</v>
      </c>
      <c r="P183" s="1">
        <v>1.8054807636969802E-11</v>
      </c>
      <c r="Q183">
        <v>65.636590769298806</v>
      </c>
      <c r="S183">
        <v>21.086817830427101</v>
      </c>
      <c r="AA183">
        <v>2.0814394755079402</v>
      </c>
      <c r="AB183">
        <v>9.2143805084937807</v>
      </c>
      <c r="AC183">
        <v>1.9807714162723</v>
      </c>
      <c r="AJ183">
        <v>0.78972825508172195</v>
      </c>
      <c r="AK183">
        <v>9.8579386562541296E-2</v>
      </c>
      <c r="AL183">
        <v>0.111692358355735</v>
      </c>
    </row>
    <row r="184" spans="1:38" x14ac:dyDescent="0.2">
      <c r="A184">
        <v>209</v>
      </c>
      <c r="B184">
        <v>790</v>
      </c>
      <c r="C184">
        <v>120</v>
      </c>
      <c r="D184">
        <v>0.486836758688802</v>
      </c>
      <c r="E184">
        <v>1.23354333576486</v>
      </c>
      <c r="F184">
        <v>2.5603523213500399</v>
      </c>
      <c r="G184">
        <v>-20.11984017154774</v>
      </c>
      <c r="H184">
        <v>-17.304507343962193</v>
      </c>
      <c r="I184">
        <v>2.64810499702351</v>
      </c>
      <c r="J184">
        <v>1.4975921839214901</v>
      </c>
      <c r="K184">
        <v>0.48178655940383802</v>
      </c>
      <c r="L184">
        <v>3.0686811784521728E-5</v>
      </c>
      <c r="M184">
        <v>1.8227995050176566E-6</v>
      </c>
      <c r="N184" s="1">
        <v>-5.8337798554180004E-9</v>
      </c>
      <c r="O184" s="1">
        <v>4.3770270270604397E-12</v>
      </c>
      <c r="P184" s="1">
        <v>2.7236924772562099E-11</v>
      </c>
      <c r="Q184">
        <v>65.674059186690499</v>
      </c>
      <c r="S184">
        <v>21.0537840681618</v>
      </c>
      <c r="AA184">
        <v>2.0454435404281899</v>
      </c>
      <c r="AB184">
        <v>9.2112745652145804</v>
      </c>
      <c r="AC184">
        <v>2.0154386395047399</v>
      </c>
      <c r="AJ184">
        <v>0.78947483152787501</v>
      </c>
      <c r="AK184">
        <v>9.6876144914523996E-2</v>
      </c>
      <c r="AL184">
        <v>0.1136490235576</v>
      </c>
    </row>
    <row r="185" spans="1:38" x14ac:dyDescent="0.2">
      <c r="A185">
        <v>210</v>
      </c>
      <c r="B185">
        <v>789</v>
      </c>
      <c r="C185">
        <v>120</v>
      </c>
      <c r="D185">
        <v>0.48628771830721002</v>
      </c>
      <c r="E185">
        <v>1.6332117381217299</v>
      </c>
      <c r="F185">
        <v>2.5599353497253601</v>
      </c>
      <c r="G185">
        <v>-26.632145163857828</v>
      </c>
      <c r="H185">
        <v>-22.90999519128674</v>
      </c>
      <c r="I185">
        <v>3.50435434973505</v>
      </c>
      <c r="J185">
        <v>1.98289009871775</v>
      </c>
      <c r="K185">
        <v>0.63798944699792604</v>
      </c>
      <c r="L185">
        <v>3.0708579111358637E-5</v>
      </c>
      <c r="M185">
        <v>1.8236024737456348E-6</v>
      </c>
      <c r="N185" s="1">
        <v>-7.9756108583107702E-9</v>
      </c>
      <c r="O185" s="1">
        <v>5.7978977350075898E-12</v>
      </c>
      <c r="P185" s="1">
        <v>3.6799590323838399E-11</v>
      </c>
      <c r="Q185">
        <v>65.710394175055299</v>
      </c>
      <c r="S185">
        <v>21.021412253488901</v>
      </c>
      <c r="AA185">
        <v>2.0102581890583302</v>
      </c>
      <c r="AB185">
        <v>9.2073782177929608</v>
      </c>
      <c r="AC185">
        <v>2.05055716460445</v>
      </c>
      <c r="AJ185">
        <v>0.78915673619349302</v>
      </c>
      <c r="AK185">
        <v>9.5211611297309998E-2</v>
      </c>
      <c r="AL185">
        <v>0.11563165250919601</v>
      </c>
    </row>
    <row r="186" spans="1:38" x14ac:dyDescent="0.2">
      <c r="A186">
        <v>211</v>
      </c>
      <c r="B186">
        <v>788</v>
      </c>
      <c r="C186">
        <v>120</v>
      </c>
      <c r="D186">
        <v>0.48573764312303003</v>
      </c>
      <c r="E186">
        <v>2.0332767421789901</v>
      </c>
      <c r="F186">
        <v>2.5595233649446598</v>
      </c>
      <c r="G186">
        <v>-33.147685777982275</v>
      </c>
      <c r="H186">
        <v>-28.520447008036417</v>
      </c>
      <c r="I186">
        <v>4.3605887668527998</v>
      </c>
      <c r="J186">
        <v>2.46870939231819</v>
      </c>
      <c r="K186">
        <v>0.79439663260231896</v>
      </c>
      <c r="L186">
        <v>3.0729905164206098E-5</v>
      </c>
      <c r="M186">
        <v>1.8243773621667104E-6</v>
      </c>
      <c r="N186" s="1">
        <v>-1.0249596472093401E-8</v>
      </c>
      <c r="O186" s="1">
        <v>7.22134634387672E-12</v>
      </c>
      <c r="P186" s="1">
        <v>4.6752493137824502E-11</v>
      </c>
      <c r="Q186">
        <v>65.745613599224697</v>
      </c>
      <c r="S186">
        <v>20.9896903730872</v>
      </c>
      <c r="AA186">
        <v>1.9758693417712601</v>
      </c>
      <c r="AB186">
        <v>9.2026997825655599</v>
      </c>
      <c r="AC186">
        <v>2.08612690335121</v>
      </c>
      <c r="AJ186">
        <v>0.78877464195016</v>
      </c>
      <c r="AK186">
        <v>9.3585097845805598E-2</v>
      </c>
      <c r="AL186">
        <v>0.117640260204033</v>
      </c>
    </row>
    <row r="187" spans="1:38" x14ac:dyDescent="0.2">
      <c r="A187">
        <v>212</v>
      </c>
      <c r="B187">
        <v>787</v>
      </c>
      <c r="C187">
        <v>120</v>
      </c>
      <c r="D187">
        <v>0.48518653020799002</v>
      </c>
      <c r="E187">
        <v>2.4336104425139502</v>
      </c>
      <c r="F187">
        <v>2.5591162563002898</v>
      </c>
      <c r="G187">
        <v>-39.664352148483886</v>
      </c>
      <c r="H187">
        <v>-34.134054188337217</v>
      </c>
      <c r="I187">
        <v>5.2165240391894203</v>
      </c>
      <c r="J187">
        <v>2.9548962135463599</v>
      </c>
      <c r="K187">
        <v>0.95095736136357301</v>
      </c>
      <c r="L187">
        <v>3.0750807026435617E-5</v>
      </c>
      <c r="M187">
        <v>1.8251246716817856E-6</v>
      </c>
      <c r="N187" s="1">
        <v>-1.26596209295368E-8</v>
      </c>
      <c r="O187" s="1">
        <v>8.6468274712396405E-12</v>
      </c>
      <c r="P187" s="1">
        <v>5.71056541675259E-11</v>
      </c>
      <c r="Q187">
        <v>65.779736250533304</v>
      </c>
      <c r="S187">
        <v>20.9586057561316</v>
      </c>
      <c r="AA187">
        <v>1.9422621603055801</v>
      </c>
      <c r="AB187">
        <v>9.1972479167985295</v>
      </c>
      <c r="AC187">
        <v>2.1221479162308299</v>
      </c>
      <c r="AJ187">
        <v>0.78832924820405104</v>
      </c>
      <c r="AK187">
        <v>9.1995881698256607E-2</v>
      </c>
      <c r="AL187">
        <v>0.119674870097692</v>
      </c>
    </row>
    <row r="188" spans="1:38" x14ac:dyDescent="0.2">
      <c r="A188">
        <v>213</v>
      </c>
      <c r="B188">
        <v>786</v>
      </c>
      <c r="C188">
        <v>120</v>
      </c>
      <c r="D188">
        <v>0.48463437662276798</v>
      </c>
      <c r="E188">
        <v>2.8340893336669302</v>
      </c>
      <c r="F188">
        <v>2.5587139067361599</v>
      </c>
      <c r="G188">
        <v>-46.18010807210424</v>
      </c>
      <c r="H188">
        <v>-39.749069974204545</v>
      </c>
      <c r="I188">
        <v>6.07188603870999</v>
      </c>
      <c r="J188">
        <v>3.4413022374853002</v>
      </c>
      <c r="K188">
        <v>1.1076225936029001</v>
      </c>
      <c r="L188">
        <v>3.0771302395037898E-5</v>
      </c>
      <c r="M188">
        <v>1.8258449216691901E-6</v>
      </c>
      <c r="N188" s="1">
        <v>-1.52096878793529E-8</v>
      </c>
      <c r="O188" s="1">
        <v>1.00738109439069E-11</v>
      </c>
      <c r="P188" s="1">
        <v>6.78694549388634E-11</v>
      </c>
      <c r="Q188">
        <v>65.812781710008593</v>
      </c>
      <c r="S188">
        <v>20.9281451744422</v>
      </c>
      <c r="AA188">
        <v>1.90942116231218</v>
      </c>
      <c r="AB188">
        <v>9.1910315763678394</v>
      </c>
      <c r="AC188">
        <v>2.1586203768690502</v>
      </c>
      <c r="AJ188">
        <v>0.78782127749231401</v>
      </c>
      <c r="AK188">
        <v>9.0443210406343205E-2</v>
      </c>
      <c r="AL188">
        <v>0.12173551210134199</v>
      </c>
    </row>
    <row r="189" spans="1:38" x14ac:dyDescent="0.2">
      <c r="A189">
        <v>214</v>
      </c>
      <c r="B189">
        <v>785</v>
      </c>
      <c r="C189">
        <v>120</v>
      </c>
      <c r="D189">
        <v>0.48408117941691098</v>
      </c>
      <c r="E189">
        <v>3.2345946408392399</v>
      </c>
      <c r="F189">
        <v>2.55831619408068</v>
      </c>
      <c r="G189">
        <v>-52.692996314979119</v>
      </c>
      <c r="H189">
        <v>-45.363814079610663</v>
      </c>
      <c r="I189">
        <v>6.9264114117737998</v>
      </c>
      <c r="J189">
        <v>3.92778507561906</v>
      </c>
      <c r="K189">
        <v>1.2643451377602499</v>
      </c>
      <c r="L189">
        <v>3.0791409528972248E-5</v>
      </c>
      <c r="M189">
        <v>1.8265386465093446E-6</v>
      </c>
      <c r="N189" s="1">
        <v>-1.7903929570075798E-8</v>
      </c>
      <c r="O189" s="1">
        <v>1.15017831070824E-11</v>
      </c>
      <c r="P189" s="1">
        <v>7.9054666167056899E-11</v>
      </c>
      <c r="Q189">
        <v>65.844770213873502</v>
      </c>
      <c r="S189">
        <v>20.898294944005801</v>
      </c>
      <c r="AA189">
        <v>1.8773303364942899</v>
      </c>
      <c r="AB189">
        <v>9.1840599821921298</v>
      </c>
      <c r="AC189">
        <v>2.19554452343408</v>
      </c>
      <c r="AJ189">
        <v>0.78725147279659002</v>
      </c>
      <c r="AK189">
        <v>8.8926307366478802E-2</v>
      </c>
      <c r="AL189">
        <v>0.12382221983692999</v>
      </c>
    </row>
    <row r="190" spans="1:38" x14ac:dyDescent="0.2">
      <c r="A190">
        <v>215</v>
      </c>
      <c r="B190">
        <v>784</v>
      </c>
      <c r="C190">
        <v>120</v>
      </c>
      <c r="D190">
        <v>0.48352693562881199</v>
      </c>
      <c r="E190">
        <v>3.6350125806410101</v>
      </c>
      <c r="F190">
        <v>2.5579229923336899</v>
      </c>
      <c r="G190">
        <v>-59.201142780607739</v>
      </c>
      <c r="H190">
        <v>-50.97667634164624</v>
      </c>
      <c r="I190">
        <v>7.7798481189627697</v>
      </c>
      <c r="J190">
        <v>4.4142086010757504</v>
      </c>
      <c r="K190">
        <v>1.42107975554207</v>
      </c>
      <c r="L190">
        <v>3.0811147205278681E-5</v>
      </c>
      <c r="M190">
        <v>1.8272063927990959E-6</v>
      </c>
      <c r="N190" s="1">
        <v>-2.0746616327343599E-8</v>
      </c>
      <c r="O190" s="1">
        <v>1.2930247856986801E-11</v>
      </c>
      <c r="P190" s="1">
        <v>9.06724766139166E-11</v>
      </c>
      <c r="Q190">
        <v>65.8757225238883</v>
      </c>
      <c r="S190">
        <v>20.869041026032999</v>
      </c>
      <c r="AA190">
        <v>1.8459732562337801</v>
      </c>
      <c r="AB190">
        <v>9.1763425962288991</v>
      </c>
      <c r="AC190">
        <v>2.2329205976158901</v>
      </c>
      <c r="AJ190">
        <v>0.78662059563979103</v>
      </c>
      <c r="AK190">
        <v>8.7444377173276494E-2</v>
      </c>
      <c r="AL190">
        <v>0.125935027186931</v>
      </c>
    </row>
    <row r="191" spans="1:38" x14ac:dyDescent="0.2">
      <c r="A191">
        <v>216</v>
      </c>
      <c r="B191">
        <v>783</v>
      </c>
      <c r="C191">
        <v>120</v>
      </c>
      <c r="D191">
        <v>0.48297164228566197</v>
      </c>
      <c r="E191">
        <v>4.0352345463842303</v>
      </c>
      <c r="F191">
        <v>2.5575341730082801</v>
      </c>
      <c r="G191">
        <v>-65.70275945274669</v>
      </c>
      <c r="H191">
        <v>-56.586119323565505</v>
      </c>
      <c r="I191">
        <v>8.6319558104257599</v>
      </c>
      <c r="J191">
        <v>4.9004431824577601</v>
      </c>
      <c r="K191">
        <v>1.57778323706142</v>
      </c>
      <c r="L191">
        <v>3.0830534683929491E-5</v>
      </c>
      <c r="M191">
        <v>1.8278487167781952E-6</v>
      </c>
      <c r="N191" s="1">
        <v>-2.3742166276703699E-8</v>
      </c>
      <c r="O191" s="1">
        <v>1.43587273757062E-11</v>
      </c>
      <c r="P191" s="1">
        <v>1.02734521995133E-10</v>
      </c>
      <c r="Q191">
        <v>65.905659803270296</v>
      </c>
      <c r="S191">
        <v>20.8403691272974</v>
      </c>
      <c r="AA191">
        <v>1.81533319132515</v>
      </c>
      <c r="AB191">
        <v>9.1678891080224201</v>
      </c>
      <c r="AC191">
        <v>2.2707487700845799</v>
      </c>
      <c r="AJ191">
        <v>0.78592942504701302</v>
      </c>
      <c r="AK191">
        <v>8.5996610877899296E-2</v>
      </c>
      <c r="AL191">
        <v>0.128073964075087</v>
      </c>
    </row>
    <row r="192" spans="1:38" x14ac:dyDescent="0.2">
      <c r="A192">
        <v>217</v>
      </c>
      <c r="B192">
        <v>782</v>
      </c>
      <c r="C192">
        <v>120</v>
      </c>
      <c r="D192">
        <v>0.48241529640335601</v>
      </c>
      <c r="E192">
        <v>4.4351572182589898</v>
      </c>
      <c r="F192">
        <v>2.5571496065267101</v>
      </c>
      <c r="G192">
        <v>-72.196146122804265</v>
      </c>
      <c r="H192">
        <v>-62.190679876547868</v>
      </c>
      <c r="I192">
        <v>9.4825060382470703</v>
      </c>
      <c r="J192">
        <v>5.3863658268612102</v>
      </c>
      <c r="K192">
        <v>1.7344144460452999</v>
      </c>
      <c r="L192">
        <v>3.0849591682437219E-5</v>
      </c>
      <c r="M192">
        <v>1.8284661819924621E-6</v>
      </c>
      <c r="N192" s="1">
        <v>-2.6895155294143298E-8</v>
      </c>
      <c r="O192" s="1">
        <v>1.57867625680052E-11</v>
      </c>
      <c r="P192" s="1">
        <v>1.15252913882796E-10</v>
      </c>
      <c r="Q192">
        <v>65.934603499056394</v>
      </c>
      <c r="S192">
        <v>20.812264799385801</v>
      </c>
      <c r="AA192">
        <v>1.7853932173067899</v>
      </c>
      <c r="AB192">
        <v>9.1587094327505607</v>
      </c>
      <c r="AC192">
        <v>2.3090290515003402</v>
      </c>
      <c r="AJ192">
        <v>0.78517875744828902</v>
      </c>
      <c r="AK192">
        <v>8.4582191127771003E-2</v>
      </c>
      <c r="AL192">
        <v>0.13023905142393899</v>
      </c>
    </row>
    <row r="193" spans="1:38" x14ac:dyDescent="0.2">
      <c r="A193">
        <v>218</v>
      </c>
      <c r="B193">
        <v>781</v>
      </c>
      <c r="C193">
        <v>120</v>
      </c>
      <c r="D193">
        <v>0.48185789498648202</v>
      </c>
      <c r="E193">
        <v>4.9816194497413298</v>
      </c>
      <c r="F193">
        <v>2.5565749112532501</v>
      </c>
      <c r="G193">
        <v>-81.065530656511541</v>
      </c>
      <c r="H193">
        <v>-69.843864383391093</v>
      </c>
      <c r="I193">
        <v>10.6452272192007</v>
      </c>
      <c r="J193">
        <v>6.0500276435103997</v>
      </c>
      <c r="K193">
        <v>1.94855211471167</v>
      </c>
      <c r="L193">
        <v>3.0864874572090266E-5</v>
      </c>
      <c r="M193">
        <v>1.829140708036782E-6</v>
      </c>
      <c r="N193" s="1">
        <v>-3.1085414222241603E-8</v>
      </c>
      <c r="O193" s="1">
        <v>1.7742776942668899E-11</v>
      </c>
      <c r="P193" s="1">
        <v>1.3200515553986901E-10</v>
      </c>
      <c r="Q193">
        <v>65.970412280599007</v>
      </c>
      <c r="S193">
        <v>20.7745493192492</v>
      </c>
      <c r="AA193">
        <v>1.7459220703829601</v>
      </c>
      <c r="AB193">
        <v>9.13963134790305</v>
      </c>
      <c r="AC193">
        <v>2.3694849818656798</v>
      </c>
      <c r="AJ193">
        <v>0.78361804360179199</v>
      </c>
      <c r="AK193">
        <v>8.2720165419807007E-2</v>
      </c>
      <c r="AL193">
        <v>0.1336617909784</v>
      </c>
    </row>
    <row r="194" spans="1:38" x14ac:dyDescent="0.2">
      <c r="A194">
        <v>219</v>
      </c>
      <c r="B194">
        <v>780</v>
      </c>
      <c r="C194">
        <v>120</v>
      </c>
      <c r="D194">
        <v>0.48129943502824801</v>
      </c>
      <c r="E194">
        <v>6.4287396469876903</v>
      </c>
      <c r="F194">
        <v>2.5547653193519002</v>
      </c>
      <c r="G194">
        <v>-104.53426394231823</v>
      </c>
      <c r="H194">
        <v>-90.075001723046057</v>
      </c>
      <c r="I194">
        <v>13.729537311182799</v>
      </c>
      <c r="J194">
        <v>7.8048643418813404</v>
      </c>
      <c r="K194">
        <v>2.5163718946280902</v>
      </c>
      <c r="L194">
        <v>3.0851628435729616E-5</v>
      </c>
      <c r="M194">
        <v>1.8301379744923055E-6</v>
      </c>
      <c r="N194" s="1">
        <v>-4.0866838255850199E-8</v>
      </c>
      <c r="O194" s="1">
        <v>2.2956966929067099E-11</v>
      </c>
      <c r="P194" s="1">
        <v>1.7247596086116499E-10</v>
      </c>
      <c r="Q194">
        <v>66.049447303647497</v>
      </c>
      <c r="S194">
        <v>20.674975657864799</v>
      </c>
      <c r="AA194">
        <v>1.64533103803762</v>
      </c>
      <c r="AB194">
        <v>9.0547113602994305</v>
      </c>
      <c r="AC194">
        <v>2.5755346401506398</v>
      </c>
      <c r="AJ194">
        <v>0.77666615493176905</v>
      </c>
      <c r="AK194">
        <v>7.7987293771238905E-2</v>
      </c>
      <c r="AL194">
        <v>0.14534655129699101</v>
      </c>
    </row>
    <row r="195" spans="1:38" x14ac:dyDescent="0.2">
      <c r="A195">
        <v>220</v>
      </c>
      <c r="B195">
        <v>779</v>
      </c>
      <c r="C195">
        <v>120</v>
      </c>
      <c r="D195">
        <v>0.48073991351043299</v>
      </c>
      <c r="E195">
        <v>8.0680829503078506</v>
      </c>
      <c r="F195">
        <v>2.5525852868363401</v>
      </c>
      <c r="G195">
        <v>-131.0671889270422</v>
      </c>
      <c r="H195">
        <v>-112.95003575983311</v>
      </c>
      <c r="I195">
        <v>17.2191732806244</v>
      </c>
      <c r="J195">
        <v>9.7901092628239805</v>
      </c>
      <c r="K195">
        <v>3.1607496101755599</v>
      </c>
      <c r="L195">
        <v>3.0816590407124101E-5</v>
      </c>
      <c r="M195">
        <v>1.8308567673668511E-6</v>
      </c>
      <c r="N195" s="1">
        <v>-5.19674756947827E-8</v>
      </c>
      <c r="O195" s="1">
        <v>2.8902537041054602E-11</v>
      </c>
      <c r="P195" s="1">
        <v>2.1832588196041E-10</v>
      </c>
      <c r="Q195">
        <v>66.128769792350198</v>
      </c>
      <c r="S195">
        <v>20.5620564432243</v>
      </c>
      <c r="AA195">
        <v>1.5336627114280601</v>
      </c>
      <c r="AB195">
        <v>8.9354448715921695</v>
      </c>
      <c r="AC195">
        <v>2.84006618140518</v>
      </c>
      <c r="AJ195">
        <v>0.76689208199348402</v>
      </c>
      <c r="AK195">
        <v>7.2737559074119107E-2</v>
      </c>
      <c r="AL195">
        <v>0.16037035893239601</v>
      </c>
    </row>
    <row r="196" spans="1:38" x14ac:dyDescent="0.2">
      <c r="A196">
        <v>221</v>
      </c>
      <c r="B196">
        <v>778</v>
      </c>
      <c r="C196">
        <v>120</v>
      </c>
      <c r="D196">
        <v>0.48017932740332298</v>
      </c>
      <c r="E196">
        <v>10.095895252694</v>
      </c>
      <c r="F196">
        <v>2.5496786255536898</v>
      </c>
      <c r="G196">
        <v>-163.79899099691661</v>
      </c>
      <c r="H196">
        <v>-141.16839376092716</v>
      </c>
      <c r="I196">
        <v>21.529369962412002</v>
      </c>
      <c r="J196">
        <v>12.2403648543086</v>
      </c>
      <c r="K196">
        <v>3.9596736433799</v>
      </c>
      <c r="L196">
        <v>3.0740593747983492E-5</v>
      </c>
      <c r="M196">
        <v>1.831100976657153E-6</v>
      </c>
      <c r="N196" s="1">
        <v>-6.5204780365953904E-8</v>
      </c>
      <c r="O196" s="1">
        <v>3.6322030927081101E-11</v>
      </c>
      <c r="P196" s="1">
        <v>2.7350104689525301E-10</v>
      </c>
      <c r="Q196">
        <v>66.211100426158595</v>
      </c>
      <c r="S196">
        <v>20.421660127636599</v>
      </c>
      <c r="AA196">
        <v>1.3986235856575799</v>
      </c>
      <c r="AB196">
        <v>8.7508470805624601</v>
      </c>
      <c r="AC196">
        <v>3.2177687799847101</v>
      </c>
      <c r="AJ196">
        <v>0.75174044542837404</v>
      </c>
      <c r="AK196">
        <v>6.6394095725119298E-2</v>
      </c>
      <c r="AL196">
        <v>0.18186545884650601</v>
      </c>
    </row>
    <row r="197" spans="1:38" x14ac:dyDescent="0.2">
      <c r="A197">
        <v>222</v>
      </c>
      <c r="B197">
        <v>777</v>
      </c>
      <c r="C197">
        <v>120</v>
      </c>
      <c r="D197">
        <v>0.47961767366567098</v>
      </c>
      <c r="E197">
        <v>11.181618560075901</v>
      </c>
      <c r="F197">
        <v>2.5485823548815798</v>
      </c>
      <c r="G197">
        <v>-181.27613506470436</v>
      </c>
      <c r="H197">
        <v>-156.25586139186794</v>
      </c>
      <c r="I197">
        <v>23.8254284367342</v>
      </c>
      <c r="J197">
        <v>13.549285100529</v>
      </c>
      <c r="K197">
        <v>4.3873875759433503</v>
      </c>
      <c r="L197">
        <v>3.0671992638773755E-5</v>
      </c>
      <c r="M197">
        <v>1.8299790747153231E-6</v>
      </c>
      <c r="N197" s="1">
        <v>-7.3000313898368096E-8</v>
      </c>
      <c r="O197" s="1">
        <v>4.02821831825129E-11</v>
      </c>
      <c r="P197" s="1">
        <v>3.0508792440924998E-10</v>
      </c>
      <c r="Q197">
        <v>66.199412404028905</v>
      </c>
      <c r="S197">
        <v>20.3820490462736</v>
      </c>
      <c r="AA197">
        <v>1.36867127812658</v>
      </c>
      <c r="AB197">
        <v>8.6209553503484102</v>
      </c>
      <c r="AC197">
        <v>3.42891192122236</v>
      </c>
      <c r="AJ197">
        <v>0.74106126428013896</v>
      </c>
      <c r="AK197">
        <v>6.5014265601259905E-2</v>
      </c>
      <c r="AL197">
        <v>0.19392447011860001</v>
      </c>
    </row>
    <row r="198" spans="1:38" x14ac:dyDescent="0.2">
      <c r="A198">
        <v>222</v>
      </c>
      <c r="B198">
        <v>777</v>
      </c>
      <c r="C198">
        <v>120</v>
      </c>
      <c r="D198">
        <v>0.47961767366567098</v>
      </c>
      <c r="E198">
        <v>4.8223053300276897</v>
      </c>
      <c r="F198">
        <v>2.52313860472661</v>
      </c>
      <c r="G198">
        <v>-77.184765177093624</v>
      </c>
      <c r="H198">
        <v>-66.48189371072236</v>
      </c>
      <c r="I198">
        <v>10.191754955359899</v>
      </c>
      <c r="J198">
        <v>5.7708804412822303</v>
      </c>
      <c r="K198">
        <v>1.9112328276354</v>
      </c>
      <c r="L198">
        <v>2.9227940349081676E-5</v>
      </c>
      <c r="M198">
        <v>1.8159216268131859E-6</v>
      </c>
      <c r="N198" s="1">
        <v>-1.9321210227035401E-8</v>
      </c>
      <c r="O198" s="1">
        <v>1.8121415193151801E-11</v>
      </c>
      <c r="P198" s="1">
        <v>9.4915858868709196E-11</v>
      </c>
      <c r="Q198">
        <v>66.393251798467404</v>
      </c>
      <c r="S198">
        <v>19.301066412080498</v>
      </c>
      <c r="AA198">
        <v>0.43161976380251199</v>
      </c>
      <c r="AB198">
        <v>6.21897953473451</v>
      </c>
      <c r="AC198">
        <v>7.6550824909149604</v>
      </c>
      <c r="AJ198">
        <v>0.54106423522108105</v>
      </c>
      <c r="AK198">
        <v>2.07511329600867E-2</v>
      </c>
      <c r="AL198">
        <v>0.43818463181883099</v>
      </c>
    </row>
    <row r="199" spans="1:38" x14ac:dyDescent="0.2">
      <c r="A199">
        <v>223</v>
      </c>
      <c r="B199">
        <v>776</v>
      </c>
      <c r="C199">
        <v>120</v>
      </c>
      <c r="D199">
        <v>0.47905494924462999</v>
      </c>
      <c r="E199">
        <v>11.027547574643901</v>
      </c>
      <c r="F199">
        <v>2.5509116473034501</v>
      </c>
      <c r="G199">
        <v>-178.86786389188757</v>
      </c>
      <c r="H199">
        <v>-154.22778140726743</v>
      </c>
      <c r="I199">
        <v>23.4857575033313</v>
      </c>
      <c r="J199">
        <v>13.3688138217037</v>
      </c>
      <c r="K199">
        <v>4.3229829564269897</v>
      </c>
      <c r="L199">
        <v>3.0694238675289413E-5</v>
      </c>
      <c r="M199">
        <v>1.8282704136492682E-6</v>
      </c>
      <c r="N199" s="1">
        <v>-7.5011327066435604E-8</v>
      </c>
      <c r="O199" s="1">
        <v>3.95616250240193E-11</v>
      </c>
      <c r="P199" s="1">
        <v>3.0985347763595298E-10</v>
      </c>
      <c r="Q199">
        <v>66.077737612376794</v>
      </c>
      <c r="S199">
        <v>20.5090318987499</v>
      </c>
      <c r="AA199">
        <v>1.5018245808509501</v>
      </c>
      <c r="AB199">
        <v>8.6827116577570198</v>
      </c>
      <c r="AC199">
        <v>3.2286942502652098</v>
      </c>
      <c r="AJ199">
        <v>0.74613843803410196</v>
      </c>
      <c r="AK199">
        <v>7.1317158863894295E-2</v>
      </c>
      <c r="AL199">
        <v>0.18254440310200301</v>
      </c>
    </row>
    <row r="200" spans="1:38" x14ac:dyDescent="0.2">
      <c r="A200">
        <v>223</v>
      </c>
      <c r="B200">
        <v>776</v>
      </c>
      <c r="C200">
        <v>120</v>
      </c>
      <c r="D200">
        <v>0.47905494924462999</v>
      </c>
      <c r="E200">
        <v>13.1193767915597</v>
      </c>
      <c r="F200">
        <v>2.5224096178621398</v>
      </c>
      <c r="G200">
        <v>-209.79386301117165</v>
      </c>
      <c r="H200">
        <v>-180.74206616727304</v>
      </c>
      <c r="I200">
        <v>27.690794303863701</v>
      </c>
      <c r="J200">
        <v>15.686890149685899</v>
      </c>
      <c r="K200">
        <v>5.2011285949182904</v>
      </c>
      <c r="L200">
        <v>2.9120265065325624E-5</v>
      </c>
      <c r="M200">
        <v>1.8140838386145109E-6</v>
      </c>
      <c r="N200" s="1">
        <v>-5.2061256460545698E-8</v>
      </c>
      <c r="O200" s="1">
        <v>4.9371218279270701E-11</v>
      </c>
      <c r="P200" s="1">
        <v>2.5660115641748699E-10</v>
      </c>
      <c r="Q200">
        <v>66.348460253357104</v>
      </c>
      <c r="S200">
        <v>19.2723898286694</v>
      </c>
      <c r="AA200">
        <v>0.418412783575485</v>
      </c>
      <c r="AB200">
        <v>6.0439845864605397</v>
      </c>
      <c r="AC200">
        <v>7.9167525479373602</v>
      </c>
      <c r="AJ200">
        <v>0.52630331099900896</v>
      </c>
      <c r="AK200">
        <v>2.0133926982351901E-2</v>
      </c>
      <c r="AL200">
        <v>0.45356276201863799</v>
      </c>
    </row>
    <row r="201" spans="1:38" x14ac:dyDescent="0.2">
      <c r="A201">
        <v>224</v>
      </c>
      <c r="B201">
        <v>775</v>
      </c>
      <c r="C201">
        <v>120</v>
      </c>
      <c r="D201">
        <v>0.478491151075708</v>
      </c>
      <c r="E201">
        <v>11.368480431607299</v>
      </c>
      <c r="F201">
        <v>2.5526183753602401</v>
      </c>
      <c r="G201">
        <v>-184.45428217757473</v>
      </c>
      <c r="H201">
        <v>-159.09012396449413</v>
      </c>
      <c r="I201">
        <v>24.198977448915301</v>
      </c>
      <c r="J201">
        <v>13.786844031405201</v>
      </c>
      <c r="K201">
        <v>4.4536545459925598</v>
      </c>
      <c r="L201">
        <v>3.0709531302431677E-5</v>
      </c>
      <c r="M201">
        <v>1.8268811096890609E-6</v>
      </c>
      <c r="N201" s="1">
        <v>-8.0250038596877806E-8</v>
      </c>
      <c r="O201" s="1">
        <v>4.0653686512282503E-11</v>
      </c>
      <c r="P201" s="1">
        <v>3.2807244496371502E-10</v>
      </c>
      <c r="Q201">
        <v>65.983334673563704</v>
      </c>
      <c r="S201">
        <v>20.603613009775</v>
      </c>
      <c r="AA201">
        <v>1.6018826010810401</v>
      </c>
      <c r="AB201">
        <v>8.7202964492309398</v>
      </c>
      <c r="AC201">
        <v>3.09087326634923</v>
      </c>
      <c r="AJ201">
        <v>0.74922655087521495</v>
      </c>
      <c r="AK201">
        <v>7.6054231944734305E-2</v>
      </c>
      <c r="AL201">
        <v>0.17471921718004901</v>
      </c>
    </row>
    <row r="202" spans="1:38" x14ac:dyDescent="0.2">
      <c r="A202">
        <v>224</v>
      </c>
      <c r="B202">
        <v>775</v>
      </c>
      <c r="C202">
        <v>120</v>
      </c>
      <c r="D202">
        <v>0.478491151075708</v>
      </c>
      <c r="E202">
        <v>18.8569630719293</v>
      </c>
      <c r="F202">
        <v>2.5219331700314198</v>
      </c>
      <c r="G202">
        <v>-301.33586663985085</v>
      </c>
      <c r="H202">
        <v>-259.6647374833118</v>
      </c>
      <c r="I202">
        <v>39.7568374340877</v>
      </c>
      <c r="J202">
        <v>22.534219133856901</v>
      </c>
      <c r="K202">
        <v>7.4771858731269996</v>
      </c>
      <c r="L202">
        <v>2.9046295267149505E-5</v>
      </c>
      <c r="M202">
        <v>1.8128132935330659E-6</v>
      </c>
      <c r="N202" s="1">
        <v>-7.5064862592820499E-8</v>
      </c>
      <c r="O202" s="1">
        <v>7.1029089625536103E-11</v>
      </c>
      <c r="P202" s="1">
        <v>3.69357948215198E-10</v>
      </c>
      <c r="Q202">
        <v>66.316358416111598</v>
      </c>
      <c r="S202">
        <v>19.251957376566899</v>
      </c>
      <c r="AA202">
        <v>0.409046326240317</v>
      </c>
      <c r="AB202">
        <v>5.9188810338039399</v>
      </c>
      <c r="AC202">
        <v>8.1037568472771699</v>
      </c>
      <c r="AJ202">
        <v>0.515734775208885</v>
      </c>
      <c r="AK202">
        <v>1.9695639750146099E-2</v>
      </c>
      <c r="AL202">
        <v>0.46456958504096801</v>
      </c>
    </row>
    <row r="203" spans="1:38" x14ac:dyDescent="0.2">
      <c r="A203">
        <v>225</v>
      </c>
      <c r="B203">
        <v>774</v>
      </c>
      <c r="C203">
        <v>120</v>
      </c>
      <c r="D203">
        <v>0.47792627608270499</v>
      </c>
      <c r="E203">
        <v>13.2563252710217</v>
      </c>
      <c r="F203">
        <v>2.5560049939577101</v>
      </c>
      <c r="G203">
        <v>-215.22779917686233</v>
      </c>
      <c r="H203">
        <v>-185.69846521354563</v>
      </c>
      <c r="I203">
        <v>28.199717292953899</v>
      </c>
      <c r="J203">
        <v>16.082854871535201</v>
      </c>
      <c r="K203">
        <v>5.1863456066631901</v>
      </c>
      <c r="L203">
        <v>3.069324722546437E-5</v>
      </c>
      <c r="M203">
        <v>1.8231176017917386E-6</v>
      </c>
      <c r="N203" s="1">
        <v>-9.7158640470741202E-8</v>
      </c>
      <c r="O203" s="1">
        <v>4.7115873776682403E-11</v>
      </c>
      <c r="P203" s="1">
        <v>3.9325180435853698E-10</v>
      </c>
      <c r="Q203">
        <v>65.764290203982895</v>
      </c>
      <c r="S203">
        <v>20.806764576969002</v>
      </c>
      <c r="AA203">
        <v>1.8205957565686799</v>
      </c>
      <c r="AB203">
        <v>8.7647558383700694</v>
      </c>
      <c r="AC203">
        <v>2.8435936241092201</v>
      </c>
      <c r="AJ203">
        <v>0.75287637703239996</v>
      </c>
      <c r="AK203">
        <v>8.6418786700345099E-2</v>
      </c>
      <c r="AL203">
        <v>0.16070483626725399</v>
      </c>
    </row>
    <row r="204" spans="1:38" x14ac:dyDescent="0.2">
      <c r="A204">
        <v>225</v>
      </c>
      <c r="B204">
        <v>774</v>
      </c>
      <c r="C204">
        <v>120</v>
      </c>
      <c r="D204">
        <v>0.47792627608270499</v>
      </c>
      <c r="E204">
        <v>31.372988639147401</v>
      </c>
      <c r="F204">
        <v>2.5211234026624698</v>
      </c>
      <c r="G204">
        <v>-500.75989993348782</v>
      </c>
      <c r="H204">
        <v>-431.60924089085216</v>
      </c>
      <c r="I204">
        <v>66.037013840076</v>
      </c>
      <c r="J204">
        <v>37.447673998966202</v>
      </c>
      <c r="K204">
        <v>12.444051174177099</v>
      </c>
      <c r="L204">
        <v>2.8896448157357313E-5</v>
      </c>
      <c r="M204">
        <v>1.810264476266511E-6</v>
      </c>
      <c r="N204" s="1">
        <v>-1.2133626675068399E-7</v>
      </c>
      <c r="O204" s="1">
        <v>1.1840080521552901E-10</v>
      </c>
      <c r="P204" s="1">
        <v>6.0363592893887096E-10</v>
      </c>
      <c r="Q204">
        <v>66.249731103388299</v>
      </c>
      <c r="S204">
        <v>19.219285056412499</v>
      </c>
      <c r="AA204">
        <v>0.39763790014544598</v>
      </c>
      <c r="AB204">
        <v>5.6847509048379097</v>
      </c>
      <c r="AC204">
        <v>8.4485950352156909</v>
      </c>
      <c r="AJ204">
        <v>0.49591990026121002</v>
      </c>
      <c r="AK204">
        <v>1.9168964741288701E-2</v>
      </c>
      <c r="AL204">
        <v>0.48491113499749999</v>
      </c>
    </row>
    <row r="205" spans="1:38" x14ac:dyDescent="0.2">
      <c r="A205">
        <v>226</v>
      </c>
      <c r="B205">
        <v>773</v>
      </c>
      <c r="C205">
        <v>120</v>
      </c>
      <c r="D205">
        <v>0.47736032117765198</v>
      </c>
      <c r="E205">
        <v>14.340899848041801</v>
      </c>
      <c r="F205">
        <v>2.5575198633835101</v>
      </c>
      <c r="G205">
        <v>-232.88466719542987</v>
      </c>
      <c r="H205">
        <v>-200.98913583638796</v>
      </c>
      <c r="I205">
        <v>30.488487653818201</v>
      </c>
      <c r="J205">
        <v>17.402866032847001</v>
      </c>
      <c r="K205">
        <v>5.60734641922559</v>
      </c>
      <c r="L205">
        <v>3.069387676721549E-5</v>
      </c>
      <c r="M205">
        <v>1.8214323123240908E-6</v>
      </c>
      <c r="N205" s="1">
        <v>-1.0867026489996E-7</v>
      </c>
      <c r="O205" s="1">
        <v>5.0816612482766201E-11</v>
      </c>
      <c r="P205" s="1">
        <v>4.3593240402464898E-10</v>
      </c>
      <c r="Q205">
        <v>65.665003482294694</v>
      </c>
      <c r="S205">
        <v>20.897056231824699</v>
      </c>
      <c r="AA205">
        <v>1.91825449550676</v>
      </c>
      <c r="AB205">
        <v>8.7802120145495497</v>
      </c>
      <c r="AC205">
        <v>2.7394737758241199</v>
      </c>
      <c r="AJ205">
        <v>0.75414449208072598</v>
      </c>
      <c r="AK205">
        <v>9.1047196071845499E-2</v>
      </c>
      <c r="AL205">
        <v>0.15480831184742799</v>
      </c>
    </row>
    <row r="206" spans="1:38" x14ac:dyDescent="0.2">
      <c r="A206">
        <v>226</v>
      </c>
      <c r="B206">
        <v>773</v>
      </c>
      <c r="C206">
        <v>120</v>
      </c>
      <c r="D206">
        <v>0.47736032117765198</v>
      </c>
      <c r="E206">
        <v>36.444764513225103</v>
      </c>
      <c r="F206">
        <v>2.52080827154639</v>
      </c>
      <c r="G206">
        <v>-581.36932586297928</v>
      </c>
      <c r="H206">
        <v>-501.19961377790679</v>
      </c>
      <c r="I206">
        <v>76.633094761814704</v>
      </c>
      <c r="J206">
        <v>43.480838260715103</v>
      </c>
      <c r="K206">
        <v>14.4575709801475</v>
      </c>
      <c r="L206">
        <v>2.8836685256191986E-5</v>
      </c>
      <c r="M206">
        <v>1.8092386953622521E-6</v>
      </c>
      <c r="N206" s="1">
        <v>-1.4207225784161499E-7</v>
      </c>
      <c r="O206" s="1">
        <v>1.37636247268847E-10</v>
      </c>
      <c r="P206" s="1">
        <v>7.0425197581049104E-10</v>
      </c>
      <c r="Q206">
        <v>66.221816192941006</v>
      </c>
      <c r="S206">
        <v>19.203649972697001</v>
      </c>
      <c r="AA206">
        <v>0.39125235872132003</v>
      </c>
      <c r="AB206">
        <v>5.5815546189839997</v>
      </c>
      <c r="AC206">
        <v>8.6017268566565708</v>
      </c>
      <c r="AJ206">
        <v>0.48717132954429998</v>
      </c>
      <c r="AK206">
        <v>1.8870973376793401E-2</v>
      </c>
      <c r="AL206">
        <v>0.49395769707890502</v>
      </c>
    </row>
    <row r="207" spans="1:38" x14ac:dyDescent="0.2">
      <c r="A207">
        <v>227</v>
      </c>
      <c r="B207">
        <v>772</v>
      </c>
      <c r="C207">
        <v>120</v>
      </c>
      <c r="D207">
        <v>0.47679328326077502</v>
      </c>
      <c r="E207">
        <v>15.272681228227301</v>
      </c>
      <c r="F207">
        <v>2.5586941279205502</v>
      </c>
      <c r="G207">
        <v>-248.04642001270403</v>
      </c>
      <c r="H207">
        <v>-214.13131673133216</v>
      </c>
      <c r="I207">
        <v>32.449986395609997</v>
      </c>
      <c r="J207">
        <v>18.5375870070547</v>
      </c>
      <c r="K207">
        <v>5.9689358964681496</v>
      </c>
      <c r="L207">
        <v>3.0698230009259905E-5</v>
      </c>
      <c r="M207">
        <v>1.8201296083199997E-6</v>
      </c>
      <c r="N207" s="1">
        <v>-1.1955850548103501E-7</v>
      </c>
      <c r="O207" s="1">
        <v>5.3984187198487E-11</v>
      </c>
      <c r="P207" s="1">
        <v>4.7550696356130996E-10</v>
      </c>
      <c r="Q207">
        <v>65.587609644102599</v>
      </c>
      <c r="S207">
        <v>20.966776602821501</v>
      </c>
      <c r="AA207">
        <v>1.9938333095591301</v>
      </c>
      <c r="AB207">
        <v>8.7905250126648795</v>
      </c>
      <c r="AC207">
        <v>2.6612554308517602</v>
      </c>
      <c r="AJ207">
        <v>0.75499035044871998</v>
      </c>
      <c r="AK207">
        <v>9.4629430064096007E-2</v>
      </c>
      <c r="AL207">
        <v>0.150380219487183</v>
      </c>
    </row>
    <row r="208" spans="1:38" x14ac:dyDescent="0.2">
      <c r="A208">
        <v>227</v>
      </c>
      <c r="B208">
        <v>772</v>
      </c>
      <c r="C208">
        <v>120</v>
      </c>
      <c r="D208">
        <v>0.47679328326077502</v>
      </c>
      <c r="E208">
        <v>40.201233638052202</v>
      </c>
      <c r="F208">
        <v>2.5205840254057201</v>
      </c>
      <c r="G208">
        <v>-640.98062683428566</v>
      </c>
      <c r="H208">
        <v>-552.71421995695925</v>
      </c>
      <c r="I208">
        <v>84.453338637828395</v>
      </c>
      <c r="J208">
        <v>47.945726586105998</v>
      </c>
      <c r="K208">
        <v>15.949174172672601</v>
      </c>
      <c r="L208">
        <v>2.8793274221362764E-5</v>
      </c>
      <c r="M208">
        <v>1.8084882960434685E-6</v>
      </c>
      <c r="N208" s="1">
        <v>-1.5903985295339601E-7</v>
      </c>
      <c r="O208" s="1">
        <v>1.5189292311970799E-10</v>
      </c>
      <c r="P208" s="1">
        <v>7.83423502255144E-10</v>
      </c>
      <c r="Q208">
        <v>66.200862168260997</v>
      </c>
      <c r="S208">
        <v>19.1911634987597</v>
      </c>
      <c r="AA208">
        <v>0.385840225070958</v>
      </c>
      <c r="AB208">
        <v>5.5021247837157397</v>
      </c>
      <c r="AC208">
        <v>8.7200093241924108</v>
      </c>
      <c r="AJ208">
        <v>0.480431371589921</v>
      </c>
      <c r="AK208">
        <v>1.8617407962469801E-2</v>
      </c>
      <c r="AL208">
        <v>0.50095122044760798</v>
      </c>
    </row>
    <row r="209" spans="1:38" x14ac:dyDescent="0.2">
      <c r="A209">
        <v>228</v>
      </c>
      <c r="B209">
        <v>771</v>
      </c>
      <c r="C209">
        <v>120</v>
      </c>
      <c r="D209">
        <v>0.47622515922041903</v>
      </c>
      <c r="E209">
        <v>15.7786061659488</v>
      </c>
      <c r="F209">
        <v>2.5593084367472398</v>
      </c>
      <c r="G209">
        <v>-256.26396787127106</v>
      </c>
      <c r="H209">
        <v>-221.2787901743323</v>
      </c>
      <c r="I209">
        <v>33.505892541242901</v>
      </c>
      <c r="J209">
        <v>19.155542023705198</v>
      </c>
      <c r="K209">
        <v>6.1651835079333699</v>
      </c>
      <c r="L209">
        <v>3.0714185424353502E-5</v>
      </c>
      <c r="M209">
        <v>1.8196272768212816E-6</v>
      </c>
      <c r="N209" s="1">
        <v>-1.2756813293663601E-7</v>
      </c>
      <c r="O209" s="1">
        <v>5.56866066575686E-11</v>
      </c>
      <c r="P209" s="1">
        <v>5.0310512834104198E-10</v>
      </c>
      <c r="Q209">
        <v>65.551953570024395</v>
      </c>
      <c r="S209">
        <v>21.000172851665202</v>
      </c>
      <c r="AA209">
        <v>2.0297054142418198</v>
      </c>
      <c r="AB209">
        <v>8.7986199715362705</v>
      </c>
      <c r="AC209">
        <v>2.61954819253216</v>
      </c>
      <c r="AJ209">
        <v>0.75565460612007596</v>
      </c>
      <c r="AK209">
        <v>9.6328006867415203E-2</v>
      </c>
      <c r="AL209">
        <v>0.14801738701250799</v>
      </c>
    </row>
    <row r="210" spans="1:38" x14ac:dyDescent="0.2">
      <c r="A210">
        <v>228</v>
      </c>
      <c r="B210">
        <v>771</v>
      </c>
      <c r="C210">
        <v>120</v>
      </c>
      <c r="D210">
        <v>0.47622515922041903</v>
      </c>
      <c r="E210">
        <v>41.882441516021203</v>
      </c>
      <c r="F210">
        <v>2.5204747630342998</v>
      </c>
      <c r="G210">
        <v>-667.56649844063656</v>
      </c>
      <c r="H210">
        <v>-575.76639160365517</v>
      </c>
      <c r="I210">
        <v>87.918504847944604</v>
      </c>
      <c r="J210">
        <v>49.942920530239597</v>
      </c>
      <c r="K210">
        <v>16.616885886054401</v>
      </c>
      <c r="L210">
        <v>2.8775160397235714E-5</v>
      </c>
      <c r="M210">
        <v>1.8081594026730141E-6</v>
      </c>
      <c r="N210" s="1">
        <v>-1.6996238886852199E-7</v>
      </c>
      <c r="O210" s="1">
        <v>1.5826441677270999E-10</v>
      </c>
      <c r="P210" s="1">
        <v>8.2854661267662597E-10</v>
      </c>
      <c r="Q210">
        <v>66.191146125271601</v>
      </c>
      <c r="S210">
        <v>19.182955077295301</v>
      </c>
      <c r="AA210">
        <v>0.38133529912001801</v>
      </c>
      <c r="AB210">
        <v>5.4589536588303798</v>
      </c>
      <c r="AC210">
        <v>8.7856098394826603</v>
      </c>
      <c r="AJ210">
        <v>0.47676586378200397</v>
      </c>
      <c r="AK210">
        <v>1.8404055905340399E-2</v>
      </c>
      <c r="AL210">
        <v>0.50483008031265397</v>
      </c>
    </row>
    <row r="211" spans="1:38" x14ac:dyDescent="0.2">
      <c r="A211">
        <v>230</v>
      </c>
      <c r="B211">
        <v>803</v>
      </c>
      <c r="C211">
        <v>105</v>
      </c>
      <c r="D211">
        <v>0.50921386423825798</v>
      </c>
      <c r="E211">
        <v>6.5751358644567997E-3</v>
      </c>
      <c r="F211">
        <v>2.5600155699279701</v>
      </c>
      <c r="G211">
        <v>-0.1075027181540175</v>
      </c>
      <c r="H211">
        <v>-9.2208550404656475E-2</v>
      </c>
      <c r="I211">
        <v>1.4211929330819099E-2</v>
      </c>
      <c r="J211">
        <v>7.9787269869312401E-3</v>
      </c>
      <c r="K211">
        <v>2.5683968260559399E-3</v>
      </c>
      <c r="L211">
        <v>3.0512096723228217E-5</v>
      </c>
      <c r="M211">
        <v>1.8204709163060833E-6</v>
      </c>
      <c r="N211" s="1">
        <v>-1.96220134323511E-11</v>
      </c>
      <c r="O211" s="1">
        <v>2.3380065126691299E-14</v>
      </c>
      <c r="P211" s="1">
        <v>1.1119230384427E-13</v>
      </c>
      <c r="Q211">
        <v>65.576176054820806</v>
      </c>
      <c r="S211">
        <v>21.1430141584684</v>
      </c>
      <c r="AA211">
        <v>2.1418989692478401</v>
      </c>
      <c r="AB211">
        <v>9.22707553656846</v>
      </c>
      <c r="AC211">
        <v>1.9118352808944401</v>
      </c>
      <c r="AJ211">
        <v>0.79076546537365699</v>
      </c>
      <c r="AK211">
        <v>0.101436297931907</v>
      </c>
      <c r="AL211">
        <v>0.107798236694435</v>
      </c>
    </row>
    <row r="212" spans="1:38" x14ac:dyDescent="0.2">
      <c r="A212">
        <v>231</v>
      </c>
      <c r="B212">
        <v>802</v>
      </c>
      <c r="C212">
        <v>105</v>
      </c>
      <c r="D212">
        <v>0.50869227549644302</v>
      </c>
      <c r="E212">
        <v>0.39414212435173801</v>
      </c>
      <c r="F212">
        <v>2.55960861647872</v>
      </c>
      <c r="G212">
        <v>-6.4426580169005101</v>
      </c>
      <c r="H212">
        <v>-5.5271498537077113</v>
      </c>
      <c r="I212">
        <v>0.85151668436292405</v>
      </c>
      <c r="J212">
        <v>0.47828101812768897</v>
      </c>
      <c r="K212">
        <v>0.153985309243865</v>
      </c>
      <c r="L212">
        <v>3.0531420047652256E-5</v>
      </c>
      <c r="M212">
        <v>1.8213129177880686E-6</v>
      </c>
      <c r="N212" s="1">
        <v>-1.22000553227774E-9</v>
      </c>
      <c r="O212" s="1">
        <v>1.40229639640163E-12</v>
      </c>
      <c r="P212" s="1">
        <v>6.7945799370885902E-12</v>
      </c>
      <c r="Q212">
        <v>65.613995565531596</v>
      </c>
      <c r="S212">
        <v>21.110368128528702</v>
      </c>
      <c r="AA212">
        <v>2.1061409944804201</v>
      </c>
      <c r="AB212">
        <v>9.2257684766261399</v>
      </c>
      <c r="AC212">
        <v>1.9437268348329899</v>
      </c>
      <c r="AJ212">
        <v>0.79065918245584399</v>
      </c>
      <c r="AK212">
        <v>9.9743590858764303E-2</v>
      </c>
      <c r="AL212">
        <v>0.109597226685391</v>
      </c>
    </row>
    <row r="213" spans="1:38" x14ac:dyDescent="0.2">
      <c r="A213">
        <v>232</v>
      </c>
      <c r="B213">
        <v>801</v>
      </c>
      <c r="C213">
        <v>105</v>
      </c>
      <c r="D213">
        <v>0.50816971558907198</v>
      </c>
      <c r="E213">
        <v>0.78223947365539404</v>
      </c>
      <c r="F213">
        <v>2.5592070141636301</v>
      </c>
      <c r="G213">
        <v>-12.783479933374975</v>
      </c>
      <c r="H213">
        <v>-10.969069857517463</v>
      </c>
      <c r="I213">
        <v>1.68915894042499</v>
      </c>
      <c r="J213">
        <v>0.94923002863259398</v>
      </c>
      <c r="K213">
        <v>0.30565697472935099</v>
      </c>
      <c r="L213">
        <v>3.055026032734281E-5</v>
      </c>
      <c r="M213">
        <v>1.8221275098647722E-6</v>
      </c>
      <c r="N213" s="1">
        <v>-2.5099645844191198E-9</v>
      </c>
      <c r="O213" s="1">
        <v>2.7846075986653102E-12</v>
      </c>
      <c r="P213" s="1">
        <v>1.37465876105535E-11</v>
      </c>
      <c r="Q213">
        <v>65.650722267308396</v>
      </c>
      <c r="S213">
        <v>21.0783759963095</v>
      </c>
      <c r="AA213">
        <v>2.07117748405292</v>
      </c>
      <c r="AB213">
        <v>9.2237404284551108</v>
      </c>
      <c r="AC213">
        <v>1.97598382387391</v>
      </c>
      <c r="AJ213">
        <v>0.790493922061419</v>
      </c>
      <c r="AK213">
        <v>9.8088833300652906E-2</v>
      </c>
      <c r="AL213">
        <v>0.111417244637927</v>
      </c>
    </row>
    <row r="214" spans="1:38" x14ac:dyDescent="0.2">
      <c r="A214">
        <v>233</v>
      </c>
      <c r="B214">
        <v>800</v>
      </c>
      <c r="C214">
        <v>105</v>
      </c>
      <c r="D214">
        <v>0.50764618180124099</v>
      </c>
      <c r="E214">
        <v>1.1707386863342399</v>
      </c>
      <c r="F214">
        <v>2.5588106884742601</v>
      </c>
      <c r="G214">
        <v>-19.127847798359085</v>
      </c>
      <c r="H214">
        <v>-16.416157048457027</v>
      </c>
      <c r="I214">
        <v>2.52685155840474</v>
      </c>
      <c r="J214">
        <v>1.4206700453919701</v>
      </c>
      <c r="K214">
        <v>0.45753235735947201</v>
      </c>
      <c r="L214">
        <v>3.0568631673953185E-5</v>
      </c>
      <c r="M214">
        <v>1.8229151249088538E-6</v>
      </c>
      <c r="N214" s="1">
        <v>-3.8919778236890901E-9</v>
      </c>
      <c r="O214" s="1">
        <v>4.16977806096097E-12</v>
      </c>
      <c r="P214" s="1">
        <v>2.0973320382116801E-11</v>
      </c>
      <c r="Q214">
        <v>65.686371834171894</v>
      </c>
      <c r="S214">
        <v>21.047027801386101</v>
      </c>
      <c r="AA214">
        <v>2.03699656319449</v>
      </c>
      <c r="AB214">
        <v>9.2210002082219606</v>
      </c>
      <c r="AC214">
        <v>2.00860359302539</v>
      </c>
      <c r="AJ214">
        <v>0.79027040172329399</v>
      </c>
      <c r="AK214">
        <v>9.6471442235952803E-2</v>
      </c>
      <c r="AL214">
        <v>0.113258156040752</v>
      </c>
    </row>
    <row r="215" spans="1:38" x14ac:dyDescent="0.2">
      <c r="A215">
        <v>234</v>
      </c>
      <c r="B215">
        <v>799</v>
      </c>
      <c r="C215">
        <v>105</v>
      </c>
      <c r="D215">
        <v>0.50712167140791897</v>
      </c>
      <c r="E215">
        <v>1.5595141480108701</v>
      </c>
      <c r="F215">
        <v>2.55841955702327</v>
      </c>
      <c r="G215">
        <v>-25.473690173119408</v>
      </c>
      <c r="H215">
        <v>-21.866640639400085</v>
      </c>
      <c r="I215">
        <v>3.3643142598697202</v>
      </c>
      <c r="J215">
        <v>1.89244900522506</v>
      </c>
      <c r="K215">
        <v>0.60956153330275897</v>
      </c>
      <c r="L215">
        <v>3.0586548857582804E-5</v>
      </c>
      <c r="M215">
        <v>1.8236762181130231E-6</v>
      </c>
      <c r="N215" s="1">
        <v>-5.3685824658158803E-9</v>
      </c>
      <c r="O215" s="1">
        <v>5.55728183267016E-12</v>
      </c>
      <c r="P215" s="1">
        <v>2.8481063584130299E-11</v>
      </c>
      <c r="Q215">
        <v>65.720960938094095</v>
      </c>
      <c r="S215">
        <v>21.0163128844234</v>
      </c>
      <c r="AA215">
        <v>2.00358554766775</v>
      </c>
      <c r="AB215">
        <v>9.2175570236893893</v>
      </c>
      <c r="AC215">
        <v>2.0415836061252599</v>
      </c>
      <c r="AJ215">
        <v>0.789989369855567</v>
      </c>
      <c r="AK215">
        <v>9.4890797167313204E-2</v>
      </c>
      <c r="AL215">
        <v>0.115119832977119</v>
      </c>
    </row>
    <row r="216" spans="1:38" x14ac:dyDescent="0.2">
      <c r="A216">
        <v>235</v>
      </c>
      <c r="B216">
        <v>798</v>
      </c>
      <c r="C216">
        <v>105</v>
      </c>
      <c r="D216">
        <v>0.50659618167390597</v>
      </c>
      <c r="E216">
        <v>1.94844356162421</v>
      </c>
      <c r="F216">
        <v>2.5580335303919601</v>
      </c>
      <c r="G216">
        <v>-31.818991880524109</v>
      </c>
      <c r="H216">
        <v>-27.318796635311209</v>
      </c>
      <c r="I216">
        <v>4.2012745602510302</v>
      </c>
      <c r="J216">
        <v>2.3644190288440301</v>
      </c>
      <c r="K216">
        <v>0.761695864606455</v>
      </c>
      <c r="L216">
        <v>3.0604027247485749E-5</v>
      </c>
      <c r="M216">
        <v>1.8244112646470659E-6</v>
      </c>
      <c r="N216" s="1">
        <v>-6.9423796021663104E-9</v>
      </c>
      <c r="O216" s="1">
        <v>6.9466043500495496E-12</v>
      </c>
      <c r="P216" s="1">
        <v>3.6276301422072701E-11</v>
      </c>
      <c r="Q216">
        <v>65.754507129618602</v>
      </c>
      <c r="S216">
        <v>20.986219969339398</v>
      </c>
      <c r="AA216">
        <v>1.97093103941023</v>
      </c>
      <c r="AB216">
        <v>9.2134204235883495</v>
      </c>
      <c r="AC216">
        <v>2.0749214380432899</v>
      </c>
      <c r="AJ216">
        <v>0.78965160166788895</v>
      </c>
      <c r="AK216">
        <v>9.3346244649024898E-2</v>
      </c>
      <c r="AL216">
        <v>0.117002153683085</v>
      </c>
    </row>
    <row r="217" spans="1:38" x14ac:dyDescent="0.2">
      <c r="A217">
        <v>236</v>
      </c>
      <c r="B217">
        <v>797</v>
      </c>
      <c r="C217">
        <v>105</v>
      </c>
      <c r="D217">
        <v>0.50606970985375799</v>
      </c>
      <c r="E217">
        <v>2.33740832045833</v>
      </c>
      <c r="F217">
        <v>2.55765251304812</v>
      </c>
      <c r="G217">
        <v>-38.161800028680183</v>
      </c>
      <c r="H217">
        <v>-32.770953043052756</v>
      </c>
      <c r="I217">
        <v>5.0374685657407001</v>
      </c>
      <c r="J217">
        <v>2.8364368800873501</v>
      </c>
      <c r="K217">
        <v>0.91388814881373104</v>
      </c>
      <c r="L217">
        <v>3.0621082757361602E-5</v>
      </c>
      <c r="M217">
        <v>1.8251207569018237E-6</v>
      </c>
      <c r="N217" s="1">
        <v>-8.6160397443573207E-9</v>
      </c>
      <c r="O217" s="1">
        <v>8.3372439268187908E-12</v>
      </c>
      <c r="P217" s="1">
        <v>4.4365735745938201E-11</v>
      </c>
      <c r="Q217">
        <v>65.787028719437899</v>
      </c>
      <c r="S217">
        <v>20.9567372473422</v>
      </c>
      <c r="AA217">
        <v>1.9390190234978899</v>
      </c>
      <c r="AB217">
        <v>9.2086002540317597</v>
      </c>
      <c r="AC217">
        <v>2.1086147556900801</v>
      </c>
      <c r="AJ217">
        <v>0.789257895657138</v>
      </c>
      <c r="AK217">
        <v>9.1837102869792894E-2</v>
      </c>
      <c r="AL217">
        <v>0.118905001473068</v>
      </c>
    </row>
    <row r="218" spans="1:38" x14ac:dyDescent="0.2">
      <c r="A218">
        <v>237</v>
      </c>
      <c r="B218">
        <v>796</v>
      </c>
      <c r="C218">
        <v>105</v>
      </c>
      <c r="D218">
        <v>0.50554225319178703</v>
      </c>
      <c r="E218">
        <v>2.7262938335821501</v>
      </c>
      <c r="F218">
        <v>2.55727640427174</v>
      </c>
      <c r="G218">
        <v>-44.500229251720761</v>
      </c>
      <c r="H218">
        <v>-38.221494416904015</v>
      </c>
      <c r="I218">
        <v>5.8726416637672401</v>
      </c>
      <c r="J218">
        <v>3.3083643670109999</v>
      </c>
      <c r="K218">
        <v>1.0660927497035799</v>
      </c>
      <c r="L218">
        <v>3.0637731793785378E-5</v>
      </c>
      <c r="M218">
        <v>1.825805201836342E-6</v>
      </c>
      <c r="N218" s="1">
        <v>-1.03923086297692E-8</v>
      </c>
      <c r="O218" s="1">
        <v>9.7287130561625006E-12</v>
      </c>
      <c r="P218" s="1">
        <v>5.2756305189813698E-11</v>
      </c>
      <c r="Q218">
        <v>65.818544663096702</v>
      </c>
      <c r="S218">
        <v>20.9278524596027</v>
      </c>
      <c r="AA218">
        <v>1.9078349632539899</v>
      </c>
      <c r="AB218">
        <v>9.2031066183202999</v>
      </c>
      <c r="AC218">
        <v>2.1426612957261302</v>
      </c>
      <c r="AJ218">
        <v>0.78880907037745596</v>
      </c>
      <c r="AK218">
        <v>9.0362666143062598E-2</v>
      </c>
      <c r="AL218">
        <v>0.120828263479481</v>
      </c>
    </row>
    <row r="219" spans="1:38" x14ac:dyDescent="0.2">
      <c r="A219">
        <v>238</v>
      </c>
      <c r="B219">
        <v>795</v>
      </c>
      <c r="C219">
        <v>105</v>
      </c>
      <c r="D219">
        <v>0.50501380892196901</v>
      </c>
      <c r="E219">
        <v>3.1149897851591901</v>
      </c>
      <c r="F219">
        <v>2.5569050991512099</v>
      </c>
      <c r="G219">
        <v>-50.832465868333621</v>
      </c>
      <c r="H219">
        <v>-43.668865481804552</v>
      </c>
      <c r="I219">
        <v>6.7065490675739099</v>
      </c>
      <c r="J219">
        <v>3.7800686624823299</v>
      </c>
      <c r="K219">
        <v>1.2182657018413501</v>
      </c>
      <c r="L219">
        <v>3.0653991210690254E-5</v>
      </c>
      <c r="M219">
        <v>1.8264651184526331E-6</v>
      </c>
      <c r="N219" s="1">
        <v>-1.2274013214768E-8</v>
      </c>
      <c r="O219" s="1">
        <v>1.11205394558987E-11</v>
      </c>
      <c r="P219" s="1">
        <v>6.14552043109276E-11</v>
      </c>
      <c r="Q219">
        <v>65.849074448056498</v>
      </c>
      <c r="S219">
        <v>20.899552981208</v>
      </c>
      <c r="AA219">
        <v>1.87736389586344</v>
      </c>
      <c r="AB219">
        <v>9.1969498453665608</v>
      </c>
      <c r="AC219">
        <v>2.1770588295053801</v>
      </c>
      <c r="AJ219">
        <v>0.78830596191568503</v>
      </c>
      <c r="AK219">
        <v>8.8922209415092102E-2</v>
      </c>
      <c r="AL219">
        <v>0.122771828669222</v>
      </c>
    </row>
    <row r="220" spans="1:38" x14ac:dyDescent="0.2">
      <c r="A220">
        <v>239</v>
      </c>
      <c r="B220">
        <v>794</v>
      </c>
      <c r="C220">
        <v>105</v>
      </c>
      <c r="D220">
        <v>0.50448437426791004</v>
      </c>
      <c r="E220">
        <v>3.50339034572018</v>
      </c>
      <c r="F220">
        <v>2.5565384895615799</v>
      </c>
      <c r="G220">
        <v>-57.156771254830851</v>
      </c>
      <c r="H220">
        <v>-49.111574087930222</v>
      </c>
      <c r="I220">
        <v>7.53895625441654</v>
      </c>
      <c r="J220">
        <v>4.2514225662653704</v>
      </c>
      <c r="K220">
        <v>1.37036479600233</v>
      </c>
      <c r="L220">
        <v>3.0669878268094787E-5</v>
      </c>
      <c r="M220">
        <v>1.827101035425826E-6</v>
      </c>
      <c r="N220" s="1">
        <v>-1.4264067899794E-8</v>
      </c>
      <c r="O220" s="1">
        <v>1.25122669212688E-11</v>
      </c>
      <c r="P220" s="1">
        <v>7.0469903000391494E-11</v>
      </c>
      <c r="Q220">
        <v>65.878637986353198</v>
      </c>
      <c r="S220">
        <v>20.871825901818099</v>
      </c>
      <c r="AA220">
        <v>1.84759052396208</v>
      </c>
      <c r="AB220">
        <v>9.1901404619401692</v>
      </c>
      <c r="AC220">
        <v>2.21180512592636</v>
      </c>
      <c r="AJ220">
        <v>0.78774942167965001</v>
      </c>
      <c r="AK220">
        <v>8.7514992579220199E-2</v>
      </c>
      <c r="AL220">
        <v>0.124735585741128</v>
      </c>
    </row>
    <row r="221" spans="1:38" x14ac:dyDescent="0.2">
      <c r="A221">
        <v>240</v>
      </c>
      <c r="B221">
        <v>793</v>
      </c>
      <c r="C221">
        <v>105</v>
      </c>
      <c r="D221">
        <v>0.503953946442809</v>
      </c>
      <c r="E221">
        <v>3.8913943180219399</v>
      </c>
      <c r="F221">
        <v>2.5561764651923702</v>
      </c>
      <c r="G221">
        <v>-63.471484152733254</v>
      </c>
      <c r="H221">
        <v>-54.548193255141406</v>
      </c>
      <c r="I221">
        <v>8.3696392605091692</v>
      </c>
      <c r="J221">
        <v>4.7223046876917198</v>
      </c>
      <c r="K221">
        <v>1.5223496386150599</v>
      </c>
      <c r="L221">
        <v>3.0685410597852121E-5</v>
      </c>
      <c r="M221">
        <v>1.8277134889047662E-6</v>
      </c>
      <c r="N221" s="1">
        <v>-1.6365480915302299E-8</v>
      </c>
      <c r="O221" s="1">
        <v>1.3903455921562101E-11</v>
      </c>
      <c r="P221" s="1">
        <v>7.9808165812681895E-11</v>
      </c>
      <c r="Q221">
        <v>65.907255511639093</v>
      </c>
      <c r="S221">
        <v>20.844658106025999</v>
      </c>
      <c r="AA221">
        <v>1.81849930595876</v>
      </c>
      <c r="AB221">
        <v>9.1826891739059793</v>
      </c>
      <c r="AC221">
        <v>2.2468979024700801</v>
      </c>
      <c r="AJ221">
        <v>0.78714031492209702</v>
      </c>
      <c r="AK221">
        <v>8.6140264725356297E-2</v>
      </c>
      <c r="AL221">
        <v>0.12671942035254599</v>
      </c>
    </row>
    <row r="222" spans="1:38" x14ac:dyDescent="0.2">
      <c r="A222">
        <v>241</v>
      </c>
      <c r="B222">
        <v>792</v>
      </c>
      <c r="C222">
        <v>105</v>
      </c>
      <c r="D222">
        <v>0.50342252264939402</v>
      </c>
      <c r="E222">
        <v>4.2789052289004799</v>
      </c>
      <c r="F222">
        <v>2.5558189145850401</v>
      </c>
      <c r="G222">
        <v>-69.775022099228579</v>
      </c>
      <c r="H222">
        <v>-59.977362467861759</v>
      </c>
      <c r="I222">
        <v>9.1983848578761709</v>
      </c>
      <c r="J222">
        <v>5.1925995628567803</v>
      </c>
      <c r="K222">
        <v>1.67418168966606</v>
      </c>
      <c r="L222">
        <v>3.0700606175820504E-5</v>
      </c>
      <c r="M222">
        <v>1.8283030204995189E-6</v>
      </c>
      <c r="N222" s="1">
        <v>-1.8581360894250999E-8</v>
      </c>
      <c r="O222" s="1">
        <v>1.52936839810479E-11</v>
      </c>
      <c r="P222" s="1">
        <v>8.9478071377889697E-11</v>
      </c>
      <c r="Q222">
        <v>65.934947482201594</v>
      </c>
      <c r="S222">
        <v>20.818036351318</v>
      </c>
      <c r="AA222">
        <v>1.7900745429824201</v>
      </c>
      <c r="AB222">
        <v>9.1746068544889798</v>
      </c>
      <c r="AC222">
        <v>2.2823347690089699</v>
      </c>
      <c r="AJ222">
        <v>0.78647951983953901</v>
      </c>
      <c r="AK222">
        <v>8.4797268226520894E-2</v>
      </c>
      <c r="AL222">
        <v>0.12872321193393901</v>
      </c>
    </row>
    <row r="223" spans="1:38" x14ac:dyDescent="0.2">
      <c r="A223">
        <v>242</v>
      </c>
      <c r="B223">
        <v>791</v>
      </c>
      <c r="C223">
        <v>105</v>
      </c>
      <c r="D223">
        <v>0.502890100079881</v>
      </c>
      <c r="E223">
        <v>4.6658313715256998</v>
      </c>
      <c r="F223">
        <v>2.5554657261672502</v>
      </c>
      <c r="G223">
        <v>-76.065882054609361</v>
      </c>
      <c r="H223">
        <v>-65.397788282973977</v>
      </c>
      <c r="I223">
        <v>10.024990623159599</v>
      </c>
      <c r="J223">
        <v>5.6621977118161597</v>
      </c>
      <c r="K223">
        <v>1.8258242807754701</v>
      </c>
      <c r="L223">
        <v>3.0715483301103598E-5</v>
      </c>
      <c r="M223">
        <v>1.8288701754821202E-6</v>
      </c>
      <c r="N223" s="1">
        <v>-2.0914923640029101E-8</v>
      </c>
      <c r="O223" s="1">
        <v>1.6682545859920201E-11</v>
      </c>
      <c r="P223" s="1">
        <v>9.9488031954440596E-11</v>
      </c>
      <c r="Q223">
        <v>65.961734491201398</v>
      </c>
      <c r="S223">
        <v>20.791947342700102</v>
      </c>
      <c r="AA223">
        <v>1.76230046139435</v>
      </c>
      <c r="AB223">
        <v>9.1659045398887002</v>
      </c>
      <c r="AC223">
        <v>2.3181131648153999</v>
      </c>
      <c r="AJ223">
        <v>0.785767927272504</v>
      </c>
      <c r="AK223">
        <v>8.3485242612744606E-2</v>
      </c>
      <c r="AL223">
        <v>0.13074683011475</v>
      </c>
    </row>
    <row r="224" spans="1:38" x14ac:dyDescent="0.2">
      <c r="A224">
        <v>243</v>
      </c>
      <c r="B224">
        <v>790</v>
      </c>
      <c r="C224">
        <v>105</v>
      </c>
      <c r="D224">
        <v>0.50235667591591204</v>
      </c>
      <c r="E224">
        <v>5.05208578636213</v>
      </c>
      <c r="F224">
        <v>2.5551167893083302</v>
      </c>
      <c r="G224">
        <v>-82.342640038876667</v>
      </c>
      <c r="H224">
        <v>-70.808244088280205</v>
      </c>
      <c r="I224">
        <v>10.849264873815001</v>
      </c>
      <c r="J224">
        <v>6.1309956217446802</v>
      </c>
      <c r="K224">
        <v>1.97724260883187</v>
      </c>
      <c r="L224">
        <v>3.0730060582628167E-5</v>
      </c>
      <c r="M224">
        <v>1.8294155011823827E-6</v>
      </c>
      <c r="N224" s="1">
        <v>-2.3369499031725499E-8</v>
      </c>
      <c r="O224" s="1">
        <v>1.8069653492622999E-11</v>
      </c>
      <c r="P224" s="1">
        <v>1.09846812852721E-10</v>
      </c>
      <c r="Q224">
        <v>65.987637182879993</v>
      </c>
      <c r="S224">
        <v>20.766377805394999</v>
      </c>
      <c r="AA224">
        <v>1.7351612923158399</v>
      </c>
      <c r="AB224">
        <v>9.1565934331360204</v>
      </c>
      <c r="AC224">
        <v>2.3542302862729398</v>
      </c>
      <c r="AJ224">
        <v>0.78500644108048301</v>
      </c>
      <c r="AK224">
        <v>8.2203428301267603E-2</v>
      </c>
      <c r="AL224">
        <v>0.13279013061824901</v>
      </c>
    </row>
    <row r="225" spans="1:38" x14ac:dyDescent="0.2">
      <c r="A225">
        <v>244</v>
      </c>
      <c r="B225">
        <v>789</v>
      </c>
      <c r="C225">
        <v>105</v>
      </c>
      <c r="D225">
        <v>0.50182224732853298</v>
      </c>
      <c r="E225">
        <v>5.4375861991946897</v>
      </c>
      <c r="F225">
        <v>2.55477199536797</v>
      </c>
      <c r="G225">
        <v>-88.60395007891556</v>
      </c>
      <c r="H225">
        <v>-76.207569269439801</v>
      </c>
      <c r="I225">
        <v>11.671026511769201</v>
      </c>
      <c r="J225">
        <v>6.5988956784686703</v>
      </c>
      <c r="K225">
        <v>2.1284037123678701</v>
      </c>
      <c r="L225">
        <v>3.0744356933541103E-5</v>
      </c>
      <c r="M225">
        <v>1.8299395456129442E-6</v>
      </c>
      <c r="N225" s="1">
        <v>-2.5948538136079901E-8</v>
      </c>
      <c r="O225" s="1">
        <v>1.94546357496855E-11</v>
      </c>
      <c r="P225" s="1">
        <v>1.2056355207825101E-10</v>
      </c>
      <c r="Q225">
        <v>66.0126761766344</v>
      </c>
      <c r="S225">
        <v>20.7413145538724</v>
      </c>
      <c r="AA225">
        <v>1.7086413462948999</v>
      </c>
      <c r="AB225">
        <v>9.1466849158688603</v>
      </c>
      <c r="AC225">
        <v>2.3906830073292999</v>
      </c>
      <c r="AJ225">
        <v>0.78419597916548001</v>
      </c>
      <c r="AK225">
        <v>8.0951070094861396E-2</v>
      </c>
      <c r="AL225">
        <v>0.134852950739658</v>
      </c>
    </row>
    <row r="226" spans="1:38" x14ac:dyDescent="0.2">
      <c r="A226">
        <v>245</v>
      </c>
      <c r="B226">
        <v>788</v>
      </c>
      <c r="C226">
        <v>105</v>
      </c>
      <c r="D226">
        <v>0.50128681147811704</v>
      </c>
      <c r="E226">
        <v>6.55447232387995</v>
      </c>
      <c r="F226">
        <v>2.5534812841410099</v>
      </c>
      <c r="G226">
        <v>-106.74062525767091</v>
      </c>
      <c r="H226">
        <v>-91.820507567515449</v>
      </c>
      <c r="I226">
        <v>14.0603285964806</v>
      </c>
      <c r="J226">
        <v>7.9523968814427404</v>
      </c>
      <c r="K226">
        <v>2.5668769787301802</v>
      </c>
      <c r="L226">
        <v>3.0737984353145362E-5</v>
      </c>
      <c r="M226">
        <v>1.8307187227449291E-6</v>
      </c>
      <c r="N226" s="1">
        <v>-3.1998782043185099E-8</v>
      </c>
      <c r="O226" s="1">
        <v>2.3493498942870201E-11</v>
      </c>
      <c r="P226" s="1">
        <v>1.4739786205725501E-10</v>
      </c>
      <c r="Q226">
        <v>66.070957628289904</v>
      </c>
      <c r="S226">
        <v>20.668814073053799</v>
      </c>
      <c r="AA226">
        <v>1.63522852728868</v>
      </c>
      <c r="AB226">
        <v>9.0864925697849195</v>
      </c>
      <c r="AC226">
        <v>2.53850720158262</v>
      </c>
      <c r="AJ226">
        <v>0.77926937931305496</v>
      </c>
      <c r="AK226">
        <v>7.74962309306792E-2</v>
      </c>
      <c r="AL226">
        <v>0.14323438975626501</v>
      </c>
    </row>
    <row r="227" spans="1:38" x14ac:dyDescent="0.2">
      <c r="A227">
        <v>246</v>
      </c>
      <c r="B227">
        <v>787</v>
      </c>
      <c r="C227">
        <v>105</v>
      </c>
      <c r="D227">
        <v>0.50075036551431296</v>
      </c>
      <c r="E227">
        <v>8.0816252691284998</v>
      </c>
      <c r="F227">
        <v>2.55159275873303</v>
      </c>
      <c r="G227">
        <v>-131.50113407101364</v>
      </c>
      <c r="H227">
        <v>-113.13369525455398</v>
      </c>
      <c r="I227">
        <v>17.325320772022501</v>
      </c>
      <c r="J227">
        <v>9.8008491899450405</v>
      </c>
      <c r="K227">
        <v>3.16728648859364</v>
      </c>
      <c r="L227">
        <v>3.0709365563785542E-5</v>
      </c>
      <c r="M227">
        <v>1.8313955960474879E-6</v>
      </c>
      <c r="N227" s="1">
        <v>-4.0078702551448097E-8</v>
      </c>
      <c r="O227" s="1">
        <v>2.90468874851752E-11</v>
      </c>
      <c r="P227" s="1">
        <v>1.8348317391316101E-10</v>
      </c>
      <c r="Q227">
        <v>66.141326419787106</v>
      </c>
      <c r="S227">
        <v>20.569992957949999</v>
      </c>
      <c r="AA227">
        <v>1.53728049998788</v>
      </c>
      <c r="AB227">
        <v>8.9842332477466709</v>
      </c>
      <c r="AC227">
        <v>2.7671668745282099</v>
      </c>
      <c r="AJ227">
        <v>0.77089246588901905</v>
      </c>
      <c r="AK227">
        <v>7.2891467085029193E-2</v>
      </c>
      <c r="AL227">
        <v>0.15621606702595101</v>
      </c>
    </row>
    <row r="228" spans="1:38" x14ac:dyDescent="0.2">
      <c r="A228">
        <v>247</v>
      </c>
      <c r="B228">
        <v>786</v>
      </c>
      <c r="C228">
        <v>105</v>
      </c>
      <c r="D228">
        <v>0.50021290657603101</v>
      </c>
      <c r="E228">
        <v>9.8626896497726904</v>
      </c>
      <c r="F228">
        <v>2.5492592252317801</v>
      </c>
      <c r="G228">
        <v>-160.31412119906381</v>
      </c>
      <c r="H228">
        <v>-137.93638756724948</v>
      </c>
      <c r="I228">
        <v>21.128011737538898</v>
      </c>
      <c r="J228">
        <v>11.952940292130201</v>
      </c>
      <c r="K228">
        <v>3.8688453305002501</v>
      </c>
      <c r="L228">
        <v>3.0654635993764694E-5</v>
      </c>
      <c r="M228">
        <v>1.8317296684709959E-6</v>
      </c>
      <c r="N228" s="1">
        <v>-4.9325877485349599E-8</v>
      </c>
      <c r="O228" s="1">
        <v>3.55688854007246E-11</v>
      </c>
      <c r="P228" s="1">
        <v>2.24990554677657E-10</v>
      </c>
      <c r="Q228">
        <v>66.211662614870804</v>
      </c>
      <c r="S228">
        <v>20.4551252436897</v>
      </c>
      <c r="AA228">
        <v>1.4261014700064201</v>
      </c>
      <c r="AB228">
        <v>8.8398330404594407</v>
      </c>
      <c r="AC228">
        <v>3.0672776309735599</v>
      </c>
      <c r="AJ228">
        <v>0.75904843596290095</v>
      </c>
      <c r="AK228">
        <v>6.7668514877045602E-2</v>
      </c>
      <c r="AL228">
        <v>0.17328304916005299</v>
      </c>
    </row>
    <row r="229" spans="1:38" x14ac:dyDescent="0.2">
      <c r="A229">
        <v>248</v>
      </c>
      <c r="B229">
        <v>785</v>
      </c>
      <c r="C229">
        <v>105</v>
      </c>
      <c r="D229">
        <v>0.49967443179133703</v>
      </c>
      <c r="E229">
        <v>12.1956507605816</v>
      </c>
      <c r="F229">
        <v>2.5460264065110101</v>
      </c>
      <c r="G229">
        <v>-197.94213180645974</v>
      </c>
      <c r="H229">
        <v>-170.32351711820084</v>
      </c>
      <c r="I229">
        <v>26.100850246429001</v>
      </c>
      <c r="J229">
        <v>14.7643840865559</v>
      </c>
      <c r="K229">
        <v>4.7900723768588502</v>
      </c>
      <c r="L229">
        <v>3.0547907329754675E-5</v>
      </c>
      <c r="M229">
        <v>1.8314175565687336E-6</v>
      </c>
      <c r="N229" s="1">
        <v>-6.0597693189639105E-8</v>
      </c>
      <c r="O229" s="1">
        <v>4.4191576726198103E-11</v>
      </c>
      <c r="P229" s="1">
        <v>2.7678117650630501E-10</v>
      </c>
      <c r="Q229">
        <v>66.283524449785801</v>
      </c>
      <c r="S229">
        <v>20.306717501527899</v>
      </c>
      <c r="AA229">
        <v>1.2868955863860001</v>
      </c>
      <c r="AB229">
        <v>8.6109030960900697</v>
      </c>
      <c r="AC229">
        <v>3.5119593662101001</v>
      </c>
      <c r="AJ229">
        <v>0.74023549626618301</v>
      </c>
      <c r="AK229">
        <v>6.1132943427677201E-2</v>
      </c>
      <c r="AL229">
        <v>0.19863156030613799</v>
      </c>
    </row>
    <row r="230" spans="1:38" x14ac:dyDescent="0.2">
      <c r="A230">
        <v>249</v>
      </c>
      <c r="B230">
        <v>784</v>
      </c>
      <c r="C230">
        <v>105</v>
      </c>
      <c r="D230">
        <v>0.49913493827744299</v>
      </c>
      <c r="E230">
        <v>12.574667622076101</v>
      </c>
      <c r="F230">
        <v>2.5451059256038402</v>
      </c>
      <c r="G230">
        <v>-203.94259456840618</v>
      </c>
      <c r="H230">
        <v>-175.516518363286</v>
      </c>
      <c r="I230">
        <v>26.8893498605876</v>
      </c>
      <c r="J230">
        <v>15.2143361330572</v>
      </c>
      <c r="K230">
        <v>4.94072466516013</v>
      </c>
      <c r="L230">
        <v>3.0471039899916979E-5</v>
      </c>
      <c r="M230">
        <v>1.829968457742312E-6</v>
      </c>
      <c r="N230" s="1">
        <v>-6.3053319246952503E-8</v>
      </c>
      <c r="O230" s="1">
        <v>4.5615225282594498E-11</v>
      </c>
      <c r="P230" s="1">
        <v>2.8696273396361098E-10</v>
      </c>
      <c r="Q230">
        <v>66.256147036592793</v>
      </c>
      <c r="S230">
        <v>20.278879658666298</v>
      </c>
      <c r="AA230">
        <v>1.27031722608383</v>
      </c>
      <c r="AB230">
        <v>8.4769134744795291</v>
      </c>
      <c r="AC230">
        <v>3.7177426041774302</v>
      </c>
      <c r="AJ230">
        <v>0.72920356588415403</v>
      </c>
      <c r="AK230">
        <v>6.0385686944110201E-2</v>
      </c>
      <c r="AL230">
        <v>0.210410747171735</v>
      </c>
    </row>
    <row r="231" spans="1:38" x14ac:dyDescent="0.2">
      <c r="A231">
        <v>249</v>
      </c>
      <c r="B231">
        <v>784</v>
      </c>
      <c r="C231">
        <v>105</v>
      </c>
      <c r="D231">
        <v>0.49913493827744299</v>
      </c>
      <c r="E231">
        <v>5.45311559573467</v>
      </c>
      <c r="F231">
        <v>2.5237934617451598</v>
      </c>
      <c r="G231">
        <v>-87.507836004399962</v>
      </c>
      <c r="H231">
        <v>-75.263040962203632</v>
      </c>
      <c r="I231">
        <v>11.582835966699401</v>
      </c>
      <c r="J231">
        <v>6.5317428381672</v>
      </c>
      <c r="K231">
        <v>2.1606821946372401</v>
      </c>
      <c r="L231">
        <v>2.9310627640525831E-5</v>
      </c>
      <c r="M231">
        <v>1.8184285414617305E-6</v>
      </c>
      <c r="N231" s="1">
        <v>-1.77008763775699E-8</v>
      </c>
      <c r="O231" s="1">
        <v>2.0470104789887802E-11</v>
      </c>
      <c r="P231" s="1">
        <v>9.5208076824596605E-11</v>
      </c>
      <c r="Q231">
        <v>66.421792154328003</v>
      </c>
      <c r="S231">
        <v>19.378436602052702</v>
      </c>
      <c r="AA231">
        <v>0.48879146086853598</v>
      </c>
      <c r="AB231">
        <v>6.4854161993201398</v>
      </c>
      <c r="AC231">
        <v>7.2255635834304996</v>
      </c>
      <c r="AJ231">
        <v>0.563487952940535</v>
      </c>
      <c r="AK231">
        <v>2.3468275834106399E-2</v>
      </c>
      <c r="AL231">
        <v>0.41304377122535801</v>
      </c>
    </row>
    <row r="232" spans="1:38" x14ac:dyDescent="0.2">
      <c r="A232">
        <v>250</v>
      </c>
      <c r="B232">
        <v>783</v>
      </c>
      <c r="C232">
        <v>105</v>
      </c>
      <c r="D232">
        <v>0.498594423140655</v>
      </c>
      <c r="E232">
        <v>11.4617434330363</v>
      </c>
      <c r="F232">
        <v>2.5477477596390101</v>
      </c>
      <c r="G232">
        <v>-186.0127590380975</v>
      </c>
      <c r="H232">
        <v>-160.13718524866664</v>
      </c>
      <c r="I232">
        <v>24.499904170270099</v>
      </c>
      <c r="J232">
        <v>13.875604086869901</v>
      </c>
      <c r="K232">
        <v>4.4987748059722703</v>
      </c>
      <c r="L232">
        <v>3.0505614714254891E-5</v>
      </c>
      <c r="M232">
        <v>1.8284600033750046E-6</v>
      </c>
      <c r="N232" s="1">
        <v>-6.0298600487822005E-8</v>
      </c>
      <c r="O232" s="1">
        <v>4.1391808342566099E-11</v>
      </c>
      <c r="P232" s="1">
        <v>2.70042026931563E-10</v>
      </c>
      <c r="Q232">
        <v>66.133616459453606</v>
      </c>
      <c r="S232">
        <v>20.417405827351299</v>
      </c>
      <c r="AA232">
        <v>1.4131935687186199</v>
      </c>
      <c r="AB232">
        <v>8.5670250139900403</v>
      </c>
      <c r="AC232">
        <v>3.4687591304863901</v>
      </c>
      <c r="AJ232">
        <v>0.73662236356197597</v>
      </c>
      <c r="AK232">
        <v>6.7147107216319099E-2</v>
      </c>
      <c r="AL232">
        <v>0.196230529221704</v>
      </c>
    </row>
    <row r="233" spans="1:38" x14ac:dyDescent="0.2">
      <c r="A233">
        <v>250</v>
      </c>
      <c r="B233">
        <v>783</v>
      </c>
      <c r="C233">
        <v>105</v>
      </c>
      <c r="D233">
        <v>0.498594423140655</v>
      </c>
      <c r="E233">
        <v>13.6962237361886</v>
      </c>
      <c r="F233">
        <v>2.5227776650130602</v>
      </c>
      <c r="G233">
        <v>-219.55301273867175</v>
      </c>
      <c r="H233">
        <v>-188.87109624792041</v>
      </c>
      <c r="I233">
        <v>29.050718639162302</v>
      </c>
      <c r="J233">
        <v>16.389155244085799</v>
      </c>
      <c r="K233">
        <v>5.4290252867438999</v>
      </c>
      <c r="L233">
        <v>2.918480941292043E-5</v>
      </c>
      <c r="M233">
        <v>1.8163218647345847E-6</v>
      </c>
      <c r="N233" s="1">
        <v>-4.3627220307361603E-8</v>
      </c>
      <c r="O233" s="1">
        <v>5.1508555094148099E-11</v>
      </c>
      <c r="P233" s="1">
        <v>2.3652402453509101E-10</v>
      </c>
      <c r="Q233">
        <v>66.375129552926296</v>
      </c>
      <c r="S233">
        <v>19.339548689677699</v>
      </c>
      <c r="AA233">
        <v>0.46759661509719203</v>
      </c>
      <c r="AB233">
        <v>6.2794813759804597</v>
      </c>
      <c r="AC233">
        <v>7.5382437663182902</v>
      </c>
      <c r="AJ233">
        <v>0.54616117411708498</v>
      </c>
      <c r="AK233">
        <v>2.2473938896899501E-2</v>
      </c>
      <c r="AL233">
        <v>0.43136488698601499</v>
      </c>
    </row>
    <row r="234" spans="1:38" x14ac:dyDescent="0.2">
      <c r="A234">
        <v>251</v>
      </c>
      <c r="B234">
        <v>782</v>
      </c>
      <c r="C234">
        <v>105</v>
      </c>
      <c r="D234">
        <v>0.49805288347628701</v>
      </c>
      <c r="E234">
        <v>11.331443798314501</v>
      </c>
      <c r="F234">
        <v>2.5496974880150498</v>
      </c>
      <c r="G234">
        <v>-183.97240873075793</v>
      </c>
      <c r="H234">
        <v>-158.4274349978547</v>
      </c>
      <c r="I234">
        <v>24.2098030923596</v>
      </c>
      <c r="J234">
        <v>13.7231546108006</v>
      </c>
      <c r="K234">
        <v>4.4442306789642503</v>
      </c>
      <c r="L234">
        <v>3.0525548048822087E-5</v>
      </c>
      <c r="M234">
        <v>1.8271096530150376E-6</v>
      </c>
      <c r="N234" s="1">
        <v>-6.2133855273014795E-8</v>
      </c>
      <c r="O234" s="1">
        <v>4.0780293541858898E-11</v>
      </c>
      <c r="P234" s="1">
        <v>2.74497242096016E-10</v>
      </c>
      <c r="Q234">
        <v>66.0346500908622</v>
      </c>
      <c r="S234">
        <v>20.522370152858102</v>
      </c>
      <c r="AA234">
        <v>1.52288266116438</v>
      </c>
      <c r="AB234">
        <v>8.6216613935583695</v>
      </c>
      <c r="AC234">
        <v>3.2984357015568202</v>
      </c>
      <c r="AJ234">
        <v>0.741116895456713</v>
      </c>
      <c r="AK234">
        <v>7.2339080485305393E-2</v>
      </c>
      <c r="AL234">
        <v>0.18654402405798001</v>
      </c>
    </row>
    <row r="235" spans="1:38" x14ac:dyDescent="0.2">
      <c r="A235">
        <v>251</v>
      </c>
      <c r="B235">
        <v>782</v>
      </c>
      <c r="C235">
        <v>105</v>
      </c>
      <c r="D235">
        <v>0.49805288347628701</v>
      </c>
      <c r="E235">
        <v>19.3384339181803</v>
      </c>
      <c r="F235">
        <v>2.5221185241555499</v>
      </c>
      <c r="G235">
        <v>-309.75112898172972</v>
      </c>
      <c r="H235">
        <v>-266.52186241059735</v>
      </c>
      <c r="I235">
        <v>40.969783036660502</v>
      </c>
      <c r="J235">
        <v>23.1246336773509</v>
      </c>
      <c r="K235">
        <v>7.6675357375027202</v>
      </c>
      <c r="L235">
        <v>2.9097056091444053E-5</v>
      </c>
      <c r="M235">
        <v>1.8148440296399407E-6</v>
      </c>
      <c r="N235" s="1">
        <v>-6.1393638389374399E-8</v>
      </c>
      <c r="O235" s="1">
        <v>7.2816458964572803E-11</v>
      </c>
      <c r="P235" s="1">
        <v>3.3319676850135701E-10</v>
      </c>
      <c r="Q235">
        <v>66.340646818929002</v>
      </c>
      <c r="S235">
        <v>19.312688015135301</v>
      </c>
      <c r="AA235">
        <v>0.45348235813751397</v>
      </c>
      <c r="AB235">
        <v>6.1322197017189897</v>
      </c>
      <c r="AC235">
        <v>7.7609631060791404</v>
      </c>
      <c r="AJ235">
        <v>0.53374891808292002</v>
      </c>
      <c r="AK235">
        <v>2.1811748843179699E-2</v>
      </c>
      <c r="AL235">
        <v>0.44443933307389899</v>
      </c>
    </row>
    <row r="236" spans="1:38" x14ac:dyDescent="0.2">
      <c r="A236">
        <v>252</v>
      </c>
      <c r="B236">
        <v>781</v>
      </c>
      <c r="C236">
        <v>105</v>
      </c>
      <c r="D236">
        <v>0.49751031636863902</v>
      </c>
      <c r="E236">
        <v>12.401895690282499</v>
      </c>
      <c r="F236">
        <v>2.5534287689370401</v>
      </c>
      <c r="G236">
        <v>-201.51303301629309</v>
      </c>
      <c r="H236">
        <v>-173.59700330909371</v>
      </c>
      <c r="I236">
        <v>26.482027896598499</v>
      </c>
      <c r="J236">
        <v>15.026863326524101</v>
      </c>
      <c r="K236">
        <v>4.8569577664174597</v>
      </c>
      <c r="L236">
        <v>3.051722109373863E-5</v>
      </c>
      <c r="M236">
        <v>1.8234004331311346E-6</v>
      </c>
      <c r="N236" s="1">
        <v>-7.0973924237071194E-8</v>
      </c>
      <c r="O236" s="1">
        <v>4.4344860569336001E-11</v>
      </c>
      <c r="P236" s="1">
        <v>3.0939486612751698E-10</v>
      </c>
      <c r="Q236">
        <v>65.808937928802806</v>
      </c>
      <c r="S236">
        <v>20.740144734371501</v>
      </c>
      <c r="AA236">
        <v>1.7552157680798599</v>
      </c>
      <c r="AB236">
        <v>8.68959832067587</v>
      </c>
      <c r="AC236">
        <v>3.0061032480699499</v>
      </c>
      <c r="AJ236">
        <v>0.74670058871046197</v>
      </c>
      <c r="AK236">
        <v>8.3346639566567599E-2</v>
      </c>
      <c r="AL236">
        <v>0.16995277172296899</v>
      </c>
    </row>
    <row r="237" spans="1:38" x14ac:dyDescent="0.2">
      <c r="A237">
        <v>252</v>
      </c>
      <c r="B237">
        <v>781</v>
      </c>
      <c r="C237">
        <v>105</v>
      </c>
      <c r="D237">
        <v>0.49751031636863902</v>
      </c>
      <c r="E237">
        <v>30.9431924119048</v>
      </c>
      <c r="F237">
        <v>2.5210543421734899</v>
      </c>
      <c r="G237">
        <v>-494.9775554967153</v>
      </c>
      <c r="H237">
        <v>-425.99251912122025</v>
      </c>
      <c r="I237">
        <v>65.441385358340796</v>
      </c>
      <c r="J237">
        <v>36.953425142110198</v>
      </c>
      <c r="K237">
        <v>12.273909330025599</v>
      </c>
      <c r="L237">
        <v>2.8929271523974017E-5</v>
      </c>
      <c r="M237">
        <v>1.81199585686142E-6</v>
      </c>
      <c r="N237" s="1">
        <v>-9.4311626928796797E-8</v>
      </c>
      <c r="O237" s="1">
        <v>1.1677869169390301E-10</v>
      </c>
      <c r="P237" s="1">
        <v>5.2114935809474802E-10</v>
      </c>
      <c r="Q237">
        <v>66.2701186711909</v>
      </c>
      <c r="S237">
        <v>19.271244222763698</v>
      </c>
      <c r="AA237">
        <v>0.435747584173661</v>
      </c>
      <c r="AB237">
        <v>5.8664012162903303</v>
      </c>
      <c r="AC237">
        <v>8.1564883055813002</v>
      </c>
      <c r="AJ237">
        <v>0.511297054480781</v>
      </c>
      <c r="AK237">
        <v>2.0986852350969799E-2</v>
      </c>
      <c r="AL237">
        <v>0.46771609316824803</v>
      </c>
    </row>
    <row r="238" spans="1:38" x14ac:dyDescent="0.2">
      <c r="A238">
        <v>253</v>
      </c>
      <c r="B238">
        <v>780</v>
      </c>
      <c r="C238">
        <v>105</v>
      </c>
      <c r="D238">
        <v>0.49696671889094501</v>
      </c>
      <c r="E238">
        <v>13.356397909784</v>
      </c>
      <c r="F238">
        <v>2.5553430072872199</v>
      </c>
      <c r="G238">
        <v>-217.09014202253459</v>
      </c>
      <c r="H238">
        <v>-187.07183397126852</v>
      </c>
      <c r="I238">
        <v>28.50335474649</v>
      </c>
      <c r="J238">
        <v>16.1874672147678</v>
      </c>
      <c r="K238">
        <v>5.2268512961644804</v>
      </c>
      <c r="L238">
        <v>3.0512661095010151E-5</v>
      </c>
      <c r="M238">
        <v>1.8213354157993163E-6</v>
      </c>
      <c r="N238" s="1">
        <v>-7.92156312401784E-8</v>
      </c>
      <c r="O238" s="1">
        <v>4.7588496357291901E-11</v>
      </c>
      <c r="P238" s="1">
        <v>3.4149023774381702E-10</v>
      </c>
      <c r="Q238">
        <v>65.6867856221739</v>
      </c>
      <c r="S238">
        <v>20.853509800889601</v>
      </c>
      <c r="AA238">
        <v>1.87724567954563</v>
      </c>
      <c r="AB238">
        <v>8.7145897152399403</v>
      </c>
      <c r="AC238">
        <v>2.8678691821508102</v>
      </c>
      <c r="AJ238">
        <v>0.74875306406046305</v>
      </c>
      <c r="AK238">
        <v>8.91299311789574E-2</v>
      </c>
      <c r="AL238">
        <v>0.162117004760578</v>
      </c>
    </row>
    <row r="239" spans="1:38" x14ac:dyDescent="0.2">
      <c r="A239">
        <v>253</v>
      </c>
      <c r="B239">
        <v>780</v>
      </c>
      <c r="C239">
        <v>105</v>
      </c>
      <c r="D239">
        <v>0.49696671889094501</v>
      </c>
      <c r="E239">
        <v>36.422870784756803</v>
      </c>
      <c r="F239">
        <v>2.5205854161774099</v>
      </c>
      <c r="G239">
        <v>-582.2107924384876</v>
      </c>
      <c r="H239">
        <v>-501.18001907723959</v>
      </c>
      <c r="I239">
        <v>76.941341082702195</v>
      </c>
      <c r="J239">
        <v>43.470127369164302</v>
      </c>
      <c r="K239">
        <v>14.450163264053799</v>
      </c>
      <c r="L239">
        <v>2.8850128835631904E-5</v>
      </c>
      <c r="M239">
        <v>1.8106570054936219E-6</v>
      </c>
      <c r="N239" s="1">
        <v>-1.1086367474340501E-7</v>
      </c>
      <c r="O239" s="1">
        <v>1.3759720781950199E-10</v>
      </c>
      <c r="P239" s="1">
        <v>6.1273484058666995E-10</v>
      </c>
      <c r="Q239">
        <v>66.2355241229847</v>
      </c>
      <c r="S239">
        <v>19.250140524922699</v>
      </c>
      <c r="AA239">
        <v>0.42640898225631302</v>
      </c>
      <c r="AB239">
        <v>5.7339830329402703</v>
      </c>
      <c r="AC239">
        <v>8.3539433368959095</v>
      </c>
      <c r="AJ239">
        <v>0.50009011090951605</v>
      </c>
      <c r="AK239">
        <v>2.05508125487271E-2</v>
      </c>
      <c r="AL239">
        <v>0.47935907654175602</v>
      </c>
    </row>
    <row r="240" spans="1:38" x14ac:dyDescent="0.2">
      <c r="A240">
        <v>254</v>
      </c>
      <c r="B240">
        <v>779</v>
      </c>
      <c r="C240">
        <v>105</v>
      </c>
      <c r="D240">
        <v>0.49642208810530802</v>
      </c>
      <c r="E240">
        <v>14.1737963546594</v>
      </c>
      <c r="F240">
        <v>2.5567173340331202</v>
      </c>
      <c r="G240">
        <v>-230.41624874450594</v>
      </c>
      <c r="H240">
        <v>-198.60987706294944</v>
      </c>
      <c r="I240">
        <v>30.229883269074101</v>
      </c>
      <c r="J240">
        <v>17.181530800645199</v>
      </c>
      <c r="K240">
        <v>5.5437479012592901</v>
      </c>
      <c r="L240">
        <v>3.051202170501368E-5</v>
      </c>
      <c r="M240">
        <v>1.8198302662013205E-6</v>
      </c>
      <c r="N240" s="1">
        <v>-8.6973084212085596E-8</v>
      </c>
      <c r="O240" s="1">
        <v>5.0365476243343801E-11</v>
      </c>
      <c r="P240" s="1">
        <v>3.7101420025790999E-10</v>
      </c>
      <c r="Q240">
        <v>65.597770036699103</v>
      </c>
      <c r="S240">
        <v>20.934881583879399</v>
      </c>
      <c r="AA240">
        <v>1.9651488036421201</v>
      </c>
      <c r="AB240">
        <v>8.7295499639955096</v>
      </c>
      <c r="AC240">
        <v>2.7726496117838</v>
      </c>
      <c r="AJ240">
        <v>0.74998122003382195</v>
      </c>
      <c r="AK240">
        <v>9.3296374021472603E-2</v>
      </c>
      <c r="AL240">
        <v>0.15672240594470399</v>
      </c>
    </row>
    <row r="241" spans="1:38" x14ac:dyDescent="0.2">
      <c r="A241">
        <v>254</v>
      </c>
      <c r="B241">
        <v>779</v>
      </c>
      <c r="C241">
        <v>105</v>
      </c>
      <c r="D241">
        <v>0.49642208810530802</v>
      </c>
      <c r="E241">
        <v>40.156215385379099</v>
      </c>
      <c r="F241">
        <v>2.5202788120467701</v>
      </c>
      <c r="G241">
        <v>-641.53209077796259</v>
      </c>
      <c r="H241">
        <v>-552.36834361950264</v>
      </c>
      <c r="I241">
        <v>84.744330331663605</v>
      </c>
      <c r="J241">
        <v>47.905011733986598</v>
      </c>
      <c r="K241">
        <v>15.9332432560377</v>
      </c>
      <c r="L241">
        <v>2.8796575812170284E-5</v>
      </c>
      <c r="M241">
        <v>1.8097539730915429E-6</v>
      </c>
      <c r="N241" s="1">
        <v>-1.2351629810148601E-7</v>
      </c>
      <c r="O241" s="1">
        <v>1.5179853087382401E-10</v>
      </c>
      <c r="P241" s="1">
        <v>6.7911971801636301E-10</v>
      </c>
      <c r="Q241">
        <v>66.211551213473896</v>
      </c>
      <c r="S241">
        <v>19.234678743524199</v>
      </c>
      <c r="AA241">
        <v>0.41924660499030098</v>
      </c>
      <c r="AB241">
        <v>5.6400256193666802</v>
      </c>
      <c r="AC241">
        <v>8.4944978186448008</v>
      </c>
      <c r="AJ241">
        <v>0.49212912678626403</v>
      </c>
      <c r="AK241">
        <v>2.0215213742576201E-2</v>
      </c>
      <c r="AL241">
        <v>0.48765565947115902</v>
      </c>
    </row>
    <row r="242" spans="1:38" x14ac:dyDescent="0.2">
      <c r="A242">
        <v>255</v>
      </c>
      <c r="B242">
        <v>778</v>
      </c>
      <c r="C242">
        <v>105</v>
      </c>
      <c r="D242">
        <v>0.49587642106264601</v>
      </c>
      <c r="E242">
        <v>14.7280941331955</v>
      </c>
      <c r="F242">
        <v>2.5575645757349901</v>
      </c>
      <c r="G242">
        <v>-239.44050436377955</v>
      </c>
      <c r="H242">
        <v>-206.44052118373489</v>
      </c>
      <c r="I242">
        <v>31.394171317171299</v>
      </c>
      <c r="J242">
        <v>17.8565101468091</v>
      </c>
      <c r="K242">
        <v>5.7586401817294997</v>
      </c>
      <c r="L242">
        <v>3.0519857977355927E-5</v>
      </c>
      <c r="M242">
        <v>1.8190089198075425E-6</v>
      </c>
      <c r="N242" s="1">
        <v>-9.3430188263211495E-8</v>
      </c>
      <c r="O242" s="1">
        <v>5.2240405898080802E-11</v>
      </c>
      <c r="P242" s="1">
        <v>3.9453403466056599E-10</v>
      </c>
      <c r="Q242">
        <v>65.545689090488807</v>
      </c>
      <c r="S242">
        <v>20.983053167575601</v>
      </c>
      <c r="AA242">
        <v>2.0170432302350698</v>
      </c>
      <c r="AB242">
        <v>8.7397784372272707</v>
      </c>
      <c r="AC242">
        <v>2.7144360744732201</v>
      </c>
      <c r="AJ242">
        <v>0.75082094719076597</v>
      </c>
      <c r="AK242">
        <v>9.5755108834495103E-2</v>
      </c>
      <c r="AL242">
        <v>0.15342394397473799</v>
      </c>
    </row>
    <row r="243" spans="1:38" x14ac:dyDescent="0.2">
      <c r="A243">
        <v>255</v>
      </c>
      <c r="B243">
        <v>778</v>
      </c>
      <c r="C243">
        <v>105</v>
      </c>
      <c r="D243">
        <v>0.49587642106264601</v>
      </c>
      <c r="E243">
        <v>42.244229900210001</v>
      </c>
      <c r="F243">
        <v>2.5201019747248501</v>
      </c>
      <c r="G243">
        <v>-674.62103930276407</v>
      </c>
      <c r="H243">
        <v>-580.98716063995471</v>
      </c>
      <c r="I243">
        <v>89.077561397335501</v>
      </c>
      <c r="J243">
        <v>50.383160204213802</v>
      </c>
      <c r="K243">
        <v>16.762904963328701</v>
      </c>
      <c r="L243">
        <v>2.8766783383101422E-5</v>
      </c>
      <c r="M243">
        <v>1.8092534262305664E-6</v>
      </c>
      <c r="N243" s="1">
        <v>-1.3279558366365901E-7</v>
      </c>
      <c r="O243" s="1">
        <v>1.5974220095868399E-10</v>
      </c>
      <c r="P243" s="1">
        <v>7.2268369780115E-10</v>
      </c>
      <c r="Q243">
        <v>66.197882788520701</v>
      </c>
      <c r="S243">
        <v>19.223935988129</v>
      </c>
      <c r="AA243">
        <v>0.41357306189572601</v>
      </c>
      <c r="AB243">
        <v>5.5814027373081503</v>
      </c>
      <c r="AC243">
        <v>8.5832054241463105</v>
      </c>
      <c r="AJ243">
        <v>0.487158209449638</v>
      </c>
      <c r="AK243">
        <v>1.9947556233716801E-2</v>
      </c>
      <c r="AL243">
        <v>0.49289423431664398</v>
      </c>
    </row>
    <row r="244" spans="1:38" x14ac:dyDescent="0.2">
      <c r="A244">
        <v>256</v>
      </c>
      <c r="B244">
        <v>777</v>
      </c>
      <c r="C244">
        <v>105</v>
      </c>
      <c r="D244">
        <v>0.49532971480264998</v>
      </c>
      <c r="E244">
        <v>15.0938527160672</v>
      </c>
      <c r="F244">
        <v>2.5580881626592298</v>
      </c>
      <c r="G244">
        <v>-245.38327832373645</v>
      </c>
      <c r="H244">
        <v>-211.61465461315692</v>
      </c>
      <c r="I244">
        <v>32.156000295747802</v>
      </c>
      <c r="J244">
        <v>18.3029496953252</v>
      </c>
      <c r="K244">
        <v>5.9004427354750097</v>
      </c>
      <c r="L244">
        <v>3.0534334405619741E-5</v>
      </c>
      <c r="M244">
        <v>1.8186442729205079E-6</v>
      </c>
      <c r="N244" s="1">
        <v>-9.8958652690796001E-8</v>
      </c>
      <c r="O244" s="1">
        <v>5.3469581331969999E-11</v>
      </c>
      <c r="P244" s="1">
        <v>4.1375850896317802E-10</v>
      </c>
      <c r="Q244">
        <v>65.517492889620499</v>
      </c>
      <c r="S244">
        <v>21.0103127659291</v>
      </c>
      <c r="AA244">
        <v>2.0461118759985499</v>
      </c>
      <c r="AB244">
        <v>8.7484092964857503</v>
      </c>
      <c r="AC244">
        <v>2.6776731719659299</v>
      </c>
      <c r="AJ244">
        <v>0.75152968475302895</v>
      </c>
      <c r="AK244">
        <v>9.7130855193872795E-2</v>
      </c>
      <c r="AL244">
        <v>0.15133946005309701</v>
      </c>
    </row>
    <row r="245" spans="1:38" x14ac:dyDescent="0.2">
      <c r="A245">
        <v>256</v>
      </c>
      <c r="B245">
        <v>777</v>
      </c>
      <c r="C245">
        <v>105</v>
      </c>
      <c r="D245">
        <v>0.49532971480264998</v>
      </c>
      <c r="E245">
        <v>43.346297288098903</v>
      </c>
      <c r="F245">
        <v>2.51999782553967</v>
      </c>
      <c r="G245">
        <v>-692.00860265255074</v>
      </c>
      <c r="H245">
        <v>-596.09280423948974</v>
      </c>
      <c r="I245">
        <v>91.335331536505194</v>
      </c>
      <c r="J245">
        <v>51.6901058995699</v>
      </c>
      <c r="K245">
        <v>17.200926464615499</v>
      </c>
      <c r="L245">
        <v>2.875134737419843E-5</v>
      </c>
      <c r="M245">
        <v>1.8089936763733324E-6</v>
      </c>
      <c r="N245" s="1">
        <v>-1.4019044842512001E-7</v>
      </c>
      <c r="O245" s="1">
        <v>1.63929225219486E-10</v>
      </c>
      <c r="P245" s="1">
        <v>7.52981075376549E-10</v>
      </c>
      <c r="Q245">
        <v>66.190489615028497</v>
      </c>
      <c r="S245">
        <v>19.215910030946301</v>
      </c>
      <c r="AA245">
        <v>0.40867666100404298</v>
      </c>
      <c r="AB245">
        <v>5.5438863563869001</v>
      </c>
      <c r="AC245">
        <v>8.6410373366341204</v>
      </c>
      <c r="AJ245">
        <v>0.483975481454884</v>
      </c>
      <c r="AK245">
        <v>1.9715131045414998E-2</v>
      </c>
      <c r="AL245">
        <v>0.49630938749969999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9D8F9-6A27-42FD-8ABA-F597456D8111}">
  <sheetPr codeName="Sheet13"/>
  <dimension ref="A1:AJ18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0.17136324309975901</v>
      </c>
      <c r="F2">
        <v>2.5446339321928</v>
      </c>
      <c r="G2">
        <v>-2.792309032146953</v>
      </c>
      <c r="H2">
        <v>-2.4452654638773166</v>
      </c>
      <c r="I2">
        <v>0.33721378639618699</v>
      </c>
      <c r="J2">
        <v>0.198564582930495</v>
      </c>
      <c r="K2">
        <v>6.7342984360854299E-2</v>
      </c>
      <c r="L2">
        <v>0</v>
      </c>
      <c r="M2">
        <v>1.2383389820830548E-6</v>
      </c>
      <c r="N2">
        <v>0</v>
      </c>
      <c r="O2" s="1">
        <v>9.5807044107021199E-14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300</v>
      </c>
      <c r="D3">
        <v>0.27440597189125798</v>
      </c>
      <c r="E3">
        <v>0.38815226296131999</v>
      </c>
      <c r="F3">
        <v>2.5446339321928</v>
      </c>
      <c r="G3">
        <v>-6.3240529139943265</v>
      </c>
      <c r="H3">
        <v>-5.5391831677257413</v>
      </c>
      <c r="I3">
        <v>0.76338058286104604</v>
      </c>
      <c r="J3">
        <v>0.44970848318801199</v>
      </c>
      <c r="K3">
        <v>0.152537564657418</v>
      </c>
      <c r="L3">
        <v>0</v>
      </c>
      <c r="M3">
        <v>1.2383389820830548E-6</v>
      </c>
      <c r="N3">
        <v>0</v>
      </c>
      <c r="O3" s="1">
        <v>2.17011071365674E-13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0.60387494773169104</v>
      </c>
      <c r="F4">
        <v>2.5446339321928</v>
      </c>
      <c r="G4">
        <v>-9.8375731200235954</v>
      </c>
      <c r="H4">
        <v>-8.6183846276562992</v>
      </c>
      <c r="I4">
        <v>1.1869624615365699</v>
      </c>
      <c r="J4">
        <v>0.69955310071170695</v>
      </c>
      <c r="K4">
        <v>0.23731309250101401</v>
      </c>
      <c r="L4">
        <v>0</v>
      </c>
      <c r="M4">
        <v>1.2383389820830548E-6</v>
      </c>
      <c r="N4">
        <v>0</v>
      </c>
      <c r="O4" s="1">
        <v>3.3761892402313202E-13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300</v>
      </c>
      <c r="D5">
        <v>0.27285533304097898</v>
      </c>
      <c r="E5">
        <v>0.81854041426747204</v>
      </c>
      <c r="F5">
        <v>2.5446339321928</v>
      </c>
      <c r="G5">
        <v>-13.333025172457052</v>
      </c>
      <c r="H5">
        <v>-11.682996166522949</v>
      </c>
      <c r="I5">
        <v>1.6079803205516701</v>
      </c>
      <c r="J5">
        <v>0.94810925933009105</v>
      </c>
      <c r="K5">
        <v>0.321673150668908</v>
      </c>
      <c r="L5">
        <v>0</v>
      </c>
      <c r="M5">
        <v>1.2383389820830548E-6</v>
      </c>
      <c r="N5">
        <v>0</v>
      </c>
      <c r="O5" s="1">
        <v>4.5763569919979696E-13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300</v>
      </c>
      <c r="D6">
        <v>0.27207774472028401</v>
      </c>
      <c r="E6">
        <v>1.0321576825457299</v>
      </c>
      <c r="F6">
        <v>2.5446339321928</v>
      </c>
      <c r="G6">
        <v>-16.810562937646523</v>
      </c>
      <c r="H6">
        <v>-14.733142767214421</v>
      </c>
      <c r="I6">
        <v>2.02645483142184</v>
      </c>
      <c r="J6">
        <v>1.19538766642836</v>
      </c>
      <c r="K6">
        <v>0.405621283866274</v>
      </c>
      <c r="L6">
        <v>0</v>
      </c>
      <c r="M6">
        <v>1.238338982083055E-6</v>
      </c>
      <c r="N6">
        <v>0</v>
      </c>
      <c r="O6" s="1">
        <v>5.7706643985193403E-13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300</v>
      </c>
      <c r="D7">
        <v>0.27129863789483999</v>
      </c>
      <c r="E7">
        <v>1.24473567421856</v>
      </c>
      <c r="F7">
        <v>2.5446339321928</v>
      </c>
      <c r="G7">
        <v>-20.270338603579791</v>
      </c>
      <c r="H7">
        <v>-17.768948051447957</v>
      </c>
      <c r="I7">
        <v>2.4424064366858702</v>
      </c>
      <c r="J7">
        <v>1.44139891132346</v>
      </c>
      <c r="K7">
        <v>0.489160998158161</v>
      </c>
      <c r="L7">
        <v>0</v>
      </c>
      <c r="M7">
        <v>1.238338982083055E-6</v>
      </c>
      <c r="N7">
        <v>0</v>
      </c>
      <c r="O7" s="1">
        <v>6.9591613396354895E-13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300</v>
      </c>
      <c r="D8">
        <v>0.270518008112205</v>
      </c>
      <c r="E8">
        <v>1.4562832203531799</v>
      </c>
      <c r="F8">
        <v>2.5446339321928</v>
      </c>
      <c r="G8">
        <v>-23.712502806969962</v>
      </c>
      <c r="H8">
        <v>-20.790534389690194</v>
      </c>
      <c r="I8">
        <v>2.8558553655668901</v>
      </c>
      <c r="J8">
        <v>1.6861534742761599</v>
      </c>
      <c r="K8">
        <v>0.57229576401123206</v>
      </c>
      <c r="L8">
        <v>0</v>
      </c>
      <c r="M8">
        <v>1.2383389820830548E-6</v>
      </c>
      <c r="N8">
        <v>0</v>
      </c>
      <c r="O8" s="1">
        <v>8.1418971887378197E-13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300</v>
      </c>
      <c r="D9">
        <v>0.26973585090251001</v>
      </c>
      <c r="E9">
        <v>1.6668090567409799</v>
      </c>
      <c r="F9">
        <v>2.5446339321928</v>
      </c>
      <c r="G9">
        <v>-27.137204557862251</v>
      </c>
      <c r="H9">
        <v>-23.798022833645661</v>
      </c>
      <c r="I9">
        <v>3.26682162521801</v>
      </c>
      <c r="J9">
        <v>1.9296617211051901</v>
      </c>
      <c r="K9">
        <v>0.65502901445027795</v>
      </c>
      <c r="L9">
        <v>0</v>
      </c>
      <c r="M9">
        <v>1.238338982083055E-6</v>
      </c>
      <c r="N9">
        <v>0</v>
      </c>
      <c r="O9" s="1">
        <v>9.3189207865423794E-13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300</v>
      </c>
      <c r="D10">
        <v>0.26895216177838999</v>
      </c>
      <c r="E10">
        <v>1.8763218296950099</v>
      </c>
      <c r="F10">
        <v>2.5446339321928</v>
      </c>
      <c r="G10">
        <v>-30.544591335036827</v>
      </c>
      <c r="H10">
        <v>-26.791533198475801</v>
      </c>
      <c r="I10">
        <v>3.67532501254568</v>
      </c>
      <c r="J10">
        <v>2.1719339099467101</v>
      </c>
      <c r="K10">
        <v>0.73736414733655398</v>
      </c>
      <c r="L10">
        <v>0</v>
      </c>
      <c r="M10">
        <v>1.238338982083055E-6</v>
      </c>
      <c r="N10">
        <v>0</v>
      </c>
      <c r="O10" s="1">
        <v>1.0490280473503001E-12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300</v>
      </c>
      <c r="D11">
        <v>0.26816693623486898</v>
      </c>
      <c r="E11">
        <v>2.0848300940882898</v>
      </c>
      <c r="F11">
        <v>2.5446339321928</v>
      </c>
      <c r="G11">
        <v>-33.93480905504552</v>
      </c>
      <c r="H11">
        <v>-29.771184034257814</v>
      </c>
      <c r="I11">
        <v>4.0813851108049803</v>
      </c>
      <c r="J11">
        <v>2.4129801890284801</v>
      </c>
      <c r="K11">
        <v>0.81930452459687297</v>
      </c>
      <c r="L11">
        <v>0</v>
      </c>
      <c r="M11">
        <v>1.2383389820830548E-6</v>
      </c>
      <c r="N11">
        <v>0</v>
      </c>
      <c r="O11" s="1">
        <v>1.16560240788442E-12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300</v>
      </c>
      <c r="D12">
        <v>0.26738016974930101</v>
      </c>
      <c r="E12">
        <v>2.2923423166756298</v>
      </c>
      <c r="F12">
        <v>2.5446339321928</v>
      </c>
      <c r="G12">
        <v>-37.308002127257957</v>
      </c>
      <c r="H12">
        <v>-32.737092672882724</v>
      </c>
      <c r="I12">
        <v>4.4850212965463596</v>
      </c>
      <c r="J12">
        <v>2.65281060056033</v>
      </c>
      <c r="K12">
        <v>0.90085347352899403</v>
      </c>
      <c r="L12">
        <v>0</v>
      </c>
      <c r="M12">
        <v>1.2383389820830548E-6</v>
      </c>
      <c r="N12">
        <v>0</v>
      </c>
      <c r="O12" s="1">
        <v>1.28161989391318E-12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300</v>
      </c>
      <c r="D13">
        <v>0.26659185778126798</v>
      </c>
      <c r="E13">
        <v>2.49886687691968</v>
      </c>
      <c r="F13">
        <v>2.5446339321928</v>
      </c>
      <c r="G13">
        <v>-40.664313468256438</v>
      </c>
      <c r="H13">
        <v>-35.689375239334183</v>
      </c>
      <c r="I13">
        <v>4.8862527416611004</v>
      </c>
      <c r="J13">
        <v>2.89143508173425</v>
      </c>
      <c r="K13">
        <v>0.98201428712628802</v>
      </c>
      <c r="L13">
        <v>0</v>
      </c>
      <c r="M13">
        <v>1.2383389820830548E-6</v>
      </c>
      <c r="N13">
        <v>0</v>
      </c>
      <c r="O13" s="1">
        <v>1.3970851902892901E-12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300</v>
      </c>
      <c r="D14">
        <v>0.26580199577250502</v>
      </c>
      <c r="E14">
        <v>2.7044120673754399</v>
      </c>
      <c r="F14">
        <v>2.5446339321928</v>
      </c>
      <c r="G14">
        <v>-44.003884509032609</v>
      </c>
      <c r="H14">
        <v>-38.628146656664065</v>
      </c>
      <c r="I14">
        <v>5.28509841455885</v>
      </c>
      <c r="J14">
        <v>3.1288634652130098</v>
      </c>
      <c r="K14">
        <v>1.0627902242288101</v>
      </c>
      <c r="L14">
        <v>0</v>
      </c>
      <c r="M14">
        <v>1.2383389820830548E-6</v>
      </c>
      <c r="N14">
        <v>0</v>
      </c>
      <c r="O14" s="1">
        <v>1.51200293327643E-12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300</v>
      </c>
      <c r="D15">
        <v>0.265010579146782</v>
      </c>
      <c r="E15">
        <v>2.9089860968457502</v>
      </c>
      <c r="F15">
        <v>2.5446339321928</v>
      </c>
      <c r="G15">
        <v>-47.326855247261207</v>
      </c>
      <c r="H15">
        <v>-41.55352069055418</v>
      </c>
      <c r="I15">
        <v>5.6815770867559197</v>
      </c>
      <c r="J15">
        <v>3.3651054828242799</v>
      </c>
      <c r="K15">
        <v>1.14318451076339</v>
      </c>
      <c r="L15">
        <v>0</v>
      </c>
      <c r="M15">
        <v>1.238338982083055E-6</v>
      </c>
      <c r="N15">
        <v>0</v>
      </c>
      <c r="O15" s="1">
        <v>1.6263777123135199E-12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300</v>
      </c>
      <c r="D16">
        <v>0.264217603309855</v>
      </c>
      <c r="E16">
        <v>3.1125970888359098</v>
      </c>
      <c r="F16">
        <v>2.5446339321928</v>
      </c>
      <c r="G16">
        <v>-50.633364223065236</v>
      </c>
      <c r="H16">
        <v>-44.465609926744754</v>
      </c>
      <c r="I16">
        <v>6.07570733026692</v>
      </c>
      <c r="J16">
        <v>3.6001707638149298</v>
      </c>
      <c r="K16">
        <v>1.22320033913627</v>
      </c>
      <c r="L16">
        <v>0</v>
      </c>
      <c r="M16">
        <v>1.2383389820830548E-6</v>
      </c>
      <c r="N16">
        <v>0</v>
      </c>
      <c r="O16" s="1">
        <v>1.7402140691506701E-12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300</v>
      </c>
      <c r="D17">
        <v>0.26342306364936202</v>
      </c>
      <c r="E17">
        <v>3.3152530853611299</v>
      </c>
      <c r="F17">
        <v>2.5446339321928</v>
      </c>
      <c r="G17">
        <v>-53.923548581863209</v>
      </c>
      <c r="H17">
        <v>-47.364525824927462</v>
      </c>
      <c r="I17">
        <v>6.4675075254506096</v>
      </c>
      <c r="J17">
        <v>3.83406883929751</v>
      </c>
      <c r="K17">
        <v>1.30284086972944</v>
      </c>
      <c r="L17">
        <v>0</v>
      </c>
      <c r="M17">
        <v>1.2383389820830548E-6</v>
      </c>
      <c r="N17">
        <v>0</v>
      </c>
      <c r="O17" s="1">
        <v>1.8535164999779201E-12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300</v>
      </c>
      <c r="D18">
        <v>0.26262695553471999</v>
      </c>
      <c r="E18">
        <v>3.5169620470182501</v>
      </c>
      <c r="F18">
        <v>2.5446339321928</v>
      </c>
      <c r="G18">
        <v>-57.197544076414893</v>
      </c>
      <c r="H18">
        <v>-50.250378719288541</v>
      </c>
      <c r="I18">
        <v>6.8569958615470004</v>
      </c>
      <c r="J18">
        <v>4.0668091423737698</v>
      </c>
      <c r="K18">
        <v>1.3821092309287699</v>
      </c>
      <c r="L18">
        <v>0</v>
      </c>
      <c r="M18">
        <v>1.2383389820830548E-6</v>
      </c>
      <c r="N18">
        <v>0</v>
      </c>
      <c r="O18" s="1">
        <v>1.9662894554653198E-12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300</v>
      </c>
      <c r="D19">
        <v>0.261829274317047</v>
      </c>
      <c r="E19">
        <v>3.7177318541335702</v>
      </c>
      <c r="F19">
        <v>2.5446339321928</v>
      </c>
      <c r="G19">
        <v>-60.455485086364128</v>
      </c>
      <c r="H19">
        <v>-53.123277834429558</v>
      </c>
      <c r="I19">
        <v>7.2441903393119196</v>
      </c>
      <c r="J19">
        <v>4.2984010095025598</v>
      </c>
      <c r="K19">
        <v>1.4610085195750899</v>
      </c>
      <c r="L19">
        <v>0</v>
      </c>
      <c r="M19">
        <v>1.238338982083055E-6</v>
      </c>
      <c r="N19">
        <v>0</v>
      </c>
      <c r="O19" s="1">
        <v>2.0785373414046502E-12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300</v>
      </c>
      <c r="D20">
        <v>0.26103001532908299</v>
      </c>
      <c r="E20">
        <v>5.0980477710618803</v>
      </c>
      <c r="F20">
        <v>2.5446339321928</v>
      </c>
      <c r="G20">
        <v>-82.891408709384109</v>
      </c>
      <c r="H20">
        <v>-72.852731393455088</v>
      </c>
      <c r="I20">
        <v>9.9279803351916094</v>
      </c>
      <c r="J20">
        <v>5.8935285403010198</v>
      </c>
      <c r="K20">
        <v>2.0034503613919399</v>
      </c>
      <c r="L20">
        <v>0</v>
      </c>
      <c r="M20">
        <v>1.2383389820830548E-6</v>
      </c>
      <c r="N20">
        <v>0</v>
      </c>
      <c r="O20" s="1">
        <v>2.8502546918856302E-12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300</v>
      </c>
      <c r="D21">
        <v>0.260229173885068</v>
      </c>
      <c r="E21">
        <v>6.8455670594120797</v>
      </c>
      <c r="F21">
        <v>2.5446339321928</v>
      </c>
      <c r="G21">
        <v>-111.29176887870294</v>
      </c>
      <c r="H21">
        <v>-97.83325352913252</v>
      </c>
      <c r="I21">
        <v>13.3232840167998</v>
      </c>
      <c r="J21">
        <v>7.9126764575027</v>
      </c>
      <c r="K21">
        <v>2.6901971921411101</v>
      </c>
      <c r="L21">
        <v>0</v>
      </c>
      <c r="M21">
        <v>1.2383389820830548E-6</v>
      </c>
      <c r="N21">
        <v>0</v>
      </c>
      <c r="O21" s="1">
        <v>3.8272708507089699E-12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300</v>
      </c>
      <c r="D22">
        <v>0.25942674528068399</v>
      </c>
      <c r="E22">
        <v>13.032934436417801</v>
      </c>
      <c r="F22">
        <v>2.5446339321928</v>
      </c>
      <c r="G22">
        <v>-211.85750195627651</v>
      </c>
      <c r="H22">
        <v>-186.27492601151852</v>
      </c>
      <c r="I22">
        <v>25.350617791961501</v>
      </c>
      <c r="J22">
        <v>15.062551438593401</v>
      </c>
      <c r="K22">
        <v>5.1217325492421004</v>
      </c>
      <c r="L22">
        <v>0</v>
      </c>
      <c r="M22">
        <v>1.2383389820830548E-6</v>
      </c>
      <c r="N22">
        <v>0</v>
      </c>
      <c r="O22" s="1">
        <v>7.2865504982704693E-12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300</v>
      </c>
      <c r="D23">
        <v>0.25862272479293502</v>
      </c>
      <c r="E23">
        <v>17.8082387448604</v>
      </c>
      <c r="F23">
        <v>2.5446339321928</v>
      </c>
      <c r="G23">
        <v>-289.44806530084333</v>
      </c>
      <c r="H23">
        <v>-254.5471697455915</v>
      </c>
      <c r="I23">
        <v>34.618752720579103</v>
      </c>
      <c r="J23">
        <v>20.578775050853402</v>
      </c>
      <c r="K23">
        <v>6.99834994714326</v>
      </c>
      <c r="L23">
        <v>0</v>
      </c>
      <c r="M23">
        <v>1.238338982083055E-6</v>
      </c>
      <c r="N23">
        <v>0</v>
      </c>
      <c r="O23" s="1">
        <v>9.9563633602800695E-12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300</v>
      </c>
      <c r="D24">
        <v>0.25781710768008598</v>
      </c>
      <c r="E24">
        <v>30.036723653361999</v>
      </c>
      <c r="F24">
        <v>2.5446339321928</v>
      </c>
      <c r="G24">
        <v>-488.14664643299841</v>
      </c>
      <c r="H24">
        <v>-429.37323458678787</v>
      </c>
      <c r="I24">
        <v>58.356165264568901</v>
      </c>
      <c r="J24">
        <v>34.7050913060094</v>
      </c>
      <c r="K24">
        <v>11.8039468362658</v>
      </c>
      <c r="L24">
        <v>0</v>
      </c>
      <c r="M24">
        <v>1.238338982083055E-6</v>
      </c>
      <c r="N24">
        <v>0</v>
      </c>
      <c r="O24" s="1">
        <v>1.6793156197521199E-11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733</v>
      </c>
      <c r="C25">
        <v>300</v>
      </c>
      <c r="D25">
        <v>0.257009889181535</v>
      </c>
      <c r="E25">
        <v>32.246289983159002</v>
      </c>
      <c r="F25">
        <v>2.5446339321928</v>
      </c>
      <c r="G25">
        <v>-523.99313862375925</v>
      </c>
      <c r="H25">
        <v>-460.99611358959066</v>
      </c>
      <c r="I25">
        <v>62.611961471121099</v>
      </c>
      <c r="J25">
        <v>37.253092685186203</v>
      </c>
      <c r="K25">
        <v>12.672270685069099</v>
      </c>
      <c r="L25">
        <v>0</v>
      </c>
      <c r="M25">
        <v>1.2383389820830548E-6</v>
      </c>
      <c r="N25">
        <v>0</v>
      </c>
      <c r="O25" s="1">
        <v>1.80284970733531E-11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756</v>
      </c>
      <c r="C26">
        <v>285</v>
      </c>
      <c r="D26">
        <v>0.29121167954136901</v>
      </c>
      <c r="E26">
        <v>0.131553811681143</v>
      </c>
      <c r="F26">
        <v>2.54416131135403</v>
      </c>
      <c r="G26">
        <v>-2.1444026773799281</v>
      </c>
      <c r="H26">
        <v>-1.8779808742005972</v>
      </c>
      <c r="I26">
        <v>0.25887558002169803</v>
      </c>
      <c r="J26">
        <v>0.15243600247560801</v>
      </c>
      <c r="K26">
        <v>5.1708125225412203E-2</v>
      </c>
      <c r="L26">
        <v>0</v>
      </c>
      <c r="M26">
        <v>1.2383223437857111E-6</v>
      </c>
      <c r="N26">
        <v>0</v>
      </c>
      <c r="O26" s="1">
        <v>7.3550089331845702E-14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755</v>
      </c>
      <c r="C27">
        <v>285</v>
      </c>
      <c r="D27">
        <v>0.29045421387929599</v>
      </c>
      <c r="E27">
        <v>0.34485134629766101</v>
      </c>
      <c r="F27">
        <v>2.54416131135403</v>
      </c>
      <c r="G27">
        <v>-5.6205965665612769</v>
      </c>
      <c r="H27">
        <v>-4.9232841598164079</v>
      </c>
      <c r="I27">
        <v>0.67822049967890696</v>
      </c>
      <c r="J27">
        <v>0.39954056865648002</v>
      </c>
      <c r="K27">
        <v>0.13554617970121</v>
      </c>
      <c r="L27">
        <v>0</v>
      </c>
      <c r="M27">
        <v>1.2383223437857108E-6</v>
      </c>
      <c r="N27">
        <v>0</v>
      </c>
      <c r="O27" s="1">
        <v>1.9280207089610099E-13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754</v>
      </c>
      <c r="C28">
        <v>285</v>
      </c>
      <c r="D28">
        <v>0.28969527332911499</v>
      </c>
      <c r="E28">
        <v>0.55710657773870698</v>
      </c>
      <c r="F28">
        <v>2.54416131135403</v>
      </c>
      <c r="G28">
        <v>-9.0789658176935824</v>
      </c>
      <c r="H28">
        <v>-7.9541999515941963</v>
      </c>
      <c r="I28">
        <v>1.0950356482494099</v>
      </c>
      <c r="J28">
        <v>0.64537473420268499</v>
      </c>
      <c r="K28">
        <v>0.21897454978678399</v>
      </c>
      <c r="L28">
        <v>0</v>
      </c>
      <c r="M28">
        <v>1.2383223437857113E-6</v>
      </c>
      <c r="N28">
        <v>0</v>
      </c>
      <c r="O28" s="1">
        <v>3.1147131380241E-13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753</v>
      </c>
      <c r="C29">
        <v>285</v>
      </c>
      <c r="D29">
        <v>0.28893485357891502</v>
      </c>
      <c r="E29">
        <v>0.76832821792633099</v>
      </c>
      <c r="F29">
        <v>2.54416131135403</v>
      </c>
      <c r="G29">
        <v>-12.519659254948253</v>
      </c>
      <c r="H29">
        <v>-10.97084892920441</v>
      </c>
      <c r="I29">
        <v>1.50934105710066</v>
      </c>
      <c r="J29">
        <v>0.88994884665829899</v>
      </c>
      <c r="K29">
        <v>0.30199665976266898</v>
      </c>
      <c r="L29">
        <v>0</v>
      </c>
      <c r="M29">
        <v>1.2383223437857108E-6</v>
      </c>
      <c r="N29">
        <v>0</v>
      </c>
      <c r="O29" s="1">
        <v>4.2956268877733698E-13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752</v>
      </c>
      <c r="C30">
        <v>285</v>
      </c>
      <c r="D30">
        <v>0.28817295029995899</v>
      </c>
      <c r="E30">
        <v>0.97852488906670898</v>
      </c>
      <c r="F30">
        <v>2.54416131135403</v>
      </c>
      <c r="G30">
        <v>-15.942824166100827</v>
      </c>
      <c r="H30">
        <v>-13.973350532185448</v>
      </c>
      <c r="I30">
        <v>1.92115654676425</v>
      </c>
      <c r="J30">
        <v>1.1332731456287899</v>
      </c>
      <c r="K30">
        <v>0.38461589864595602</v>
      </c>
      <c r="L30">
        <v>0</v>
      </c>
      <c r="M30">
        <v>1.2383223437857111E-6</v>
      </c>
      <c r="N30">
        <v>0</v>
      </c>
      <c r="O30" s="1">
        <v>5.4708101638841895E-13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751</v>
      </c>
      <c r="C31">
        <v>285</v>
      </c>
      <c r="D31">
        <v>0.28740955914661298</v>
      </c>
      <c r="E31">
        <v>1.18770511959428</v>
      </c>
      <c r="F31">
        <v>2.54416131135403</v>
      </c>
      <c r="G31">
        <v>-19.348606237428648</v>
      </c>
      <c r="H31">
        <v>-16.961822901491178</v>
      </c>
      <c r="I31">
        <v>2.3305017194136202</v>
      </c>
      <c r="J31">
        <v>1.3753577581290499</v>
      </c>
      <c r="K31">
        <v>0.46683561859612099</v>
      </c>
      <c r="L31">
        <v>0</v>
      </c>
      <c r="M31">
        <v>1.2383223437857111E-6</v>
      </c>
      <c r="N31">
        <v>0</v>
      </c>
      <c r="O31" s="1">
        <v>6.64031064776598E-13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750</v>
      </c>
      <c r="C32">
        <v>285</v>
      </c>
      <c r="D32">
        <v>0.28664467575624197</v>
      </c>
      <c r="E32">
        <v>1.39587734806383</v>
      </c>
      <c r="F32">
        <v>2.54416131135403</v>
      </c>
      <c r="G32">
        <v>-22.73714961811686</v>
      </c>
      <c r="H32">
        <v>-19.936382934525216</v>
      </c>
      <c r="I32">
        <v>2.7373959669565902</v>
      </c>
      <c r="J32">
        <v>1.61621270313779</v>
      </c>
      <c r="K32">
        <v>0.54865913644482101</v>
      </c>
      <c r="L32">
        <v>0</v>
      </c>
      <c r="M32">
        <v>1.2383223437857111E-6</v>
      </c>
      <c r="N32">
        <v>0</v>
      </c>
      <c r="O32" s="1">
        <v>7.8041755183221598E-13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749</v>
      </c>
      <c r="C33">
        <v>285</v>
      </c>
      <c r="D33">
        <v>0.28587829574915702</v>
      </c>
      <c r="E33">
        <v>1.6030499251160699</v>
      </c>
      <c r="F33">
        <v>2.54416131135403</v>
      </c>
      <c r="G33">
        <v>-26.108596953241278</v>
      </c>
      <c r="H33">
        <v>-22.897146312685884</v>
      </c>
      <c r="I33">
        <v>3.1418584753269001</v>
      </c>
      <c r="J33">
        <v>1.8558478939184999</v>
      </c>
      <c r="K33">
        <v>0.63008973446849204</v>
      </c>
      <c r="L33">
        <v>0</v>
      </c>
      <c r="M33">
        <v>1.2383223437857111E-6</v>
      </c>
      <c r="N33">
        <v>0</v>
      </c>
      <c r="O33" s="1">
        <v>8.9624514629397001E-13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748</v>
      </c>
      <c r="C34">
        <v>285</v>
      </c>
      <c r="D34">
        <v>0.28511041472849202</v>
      </c>
      <c r="E34">
        <v>1.8092311133713099</v>
      </c>
      <c r="F34">
        <v>2.54416131135403</v>
      </c>
      <c r="G34">
        <v>-29.463089382984883</v>
      </c>
      <c r="H34">
        <v>-25.844227499327484</v>
      </c>
      <c r="I34">
        <v>3.5439082247048899</v>
      </c>
      <c r="J34">
        <v>2.0942731379405899</v>
      </c>
      <c r="K34">
        <v>0.71113066034654004</v>
      </c>
      <c r="L34">
        <v>0</v>
      </c>
      <c r="M34">
        <v>1.2383223437857111E-6</v>
      </c>
      <c r="N34">
        <v>0</v>
      </c>
      <c r="O34" s="1">
        <v>1.0115184676894301E-12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747</v>
      </c>
      <c r="C35">
        <v>285</v>
      </c>
      <c r="D35">
        <v>0.28434102828015601</v>
      </c>
      <c r="E35">
        <v>2.0144290876964801</v>
      </c>
      <c r="F35">
        <v>2.54416131135403</v>
      </c>
      <c r="G35">
        <v>-32.800766547934792</v>
      </c>
      <c r="H35">
        <v>-28.7777397430558</v>
      </c>
      <c r="I35">
        <v>3.943563990471</v>
      </c>
      <c r="J35">
        <v>2.3314981372330799</v>
      </c>
      <c r="K35">
        <v>0.79178512726631201</v>
      </c>
      <c r="L35">
        <v>0</v>
      </c>
      <c r="M35">
        <v>1.2383223437857108E-6</v>
      </c>
      <c r="N35">
        <v>0</v>
      </c>
      <c r="O35" s="1">
        <v>1.12624208648438E-12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746</v>
      </c>
      <c r="C36">
        <v>285</v>
      </c>
      <c r="D36">
        <v>0.28357013197272302</v>
      </c>
      <c r="E36">
        <v>2.2186519389090198</v>
      </c>
      <c r="F36">
        <v>2.54416131135403</v>
      </c>
      <c r="G36">
        <v>-36.121766650329434</v>
      </c>
      <c r="H36">
        <v>-31.69779513012729</v>
      </c>
      <c r="I36">
        <v>4.3408443508827297</v>
      </c>
      <c r="J36">
        <v>2.5675324927155798</v>
      </c>
      <c r="K36">
        <v>0.87205631537892803</v>
      </c>
      <c r="L36">
        <v>0</v>
      </c>
      <c r="M36">
        <v>1.2383223437857111E-6</v>
      </c>
      <c r="N36">
        <v>0</v>
      </c>
      <c r="O36" s="1">
        <v>1.2404205261535601E-12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745</v>
      </c>
      <c r="C37">
        <v>285</v>
      </c>
      <c r="D37">
        <v>0.28279772135736497</v>
      </c>
      <c r="E37">
        <v>2.4219076738410901</v>
      </c>
      <c r="F37">
        <v>2.54416131135403</v>
      </c>
      <c r="G37">
        <v>-39.426226456010333</v>
      </c>
      <c r="H37">
        <v>-34.604504584869822</v>
      </c>
      <c r="I37">
        <v>4.73576768761039</v>
      </c>
      <c r="J37">
        <v>2.8023857043148199</v>
      </c>
      <c r="K37">
        <v>0.95194737182451705</v>
      </c>
      <c r="L37">
        <v>0</v>
      </c>
      <c r="M37">
        <v>1.2383223437857113E-6</v>
      </c>
      <c r="N37">
        <v>0</v>
      </c>
      <c r="O37" s="1">
        <v>1.35405826321661E-12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744</v>
      </c>
      <c r="C38">
        <v>285</v>
      </c>
      <c r="D38">
        <v>0.28202379196775501</v>
      </c>
      <c r="E38">
        <v>2.62420421519978</v>
      </c>
      <c r="F38">
        <v>2.54416131135403</v>
      </c>
      <c r="G38">
        <v>-42.714281293051933</v>
      </c>
      <c r="H38">
        <v>-37.497977867189384</v>
      </c>
      <c r="I38">
        <v>5.1283521858747898</v>
      </c>
      <c r="J38">
        <v>3.0360671708453499</v>
      </c>
      <c r="K38">
        <v>1.0314614106772699</v>
      </c>
      <c r="L38">
        <v>0</v>
      </c>
      <c r="M38">
        <v>1.2383223437857108E-6</v>
      </c>
      <c r="N38">
        <v>0</v>
      </c>
      <c r="O38" s="1">
        <v>1.4671597271598801E-12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743</v>
      </c>
      <c r="C39">
        <v>285</v>
      </c>
      <c r="D39">
        <v>0.281248339319983</v>
      </c>
      <c r="E39">
        <v>2.82554940506598</v>
      </c>
      <c r="F39">
        <v>2.54416131135403</v>
      </c>
      <c r="G39">
        <v>-45.986065109611211</v>
      </c>
      <c r="H39">
        <v>-40.378323622074163</v>
      </c>
      <c r="I39">
        <v>5.5186158416937001</v>
      </c>
      <c r="J39">
        <v>3.2685861940998402</v>
      </c>
      <c r="K39">
        <v>1.11060151432071</v>
      </c>
      <c r="L39">
        <v>0</v>
      </c>
      <c r="M39">
        <v>1.2383223437857111E-6</v>
      </c>
      <c r="N39">
        <v>0</v>
      </c>
      <c r="O39" s="1">
        <v>1.5797293023926401E-12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742</v>
      </c>
      <c r="C40">
        <v>285</v>
      </c>
      <c r="D40">
        <v>0.28047135891247499</v>
      </c>
      <c r="E40">
        <v>3.02595100399878</v>
      </c>
      <c r="F40">
        <v>2.54416131135403</v>
      </c>
      <c r="G40">
        <v>-49.241710460222606</v>
      </c>
      <c r="H40">
        <v>-43.245649366318318</v>
      </c>
      <c r="I40">
        <v>5.9065764605272904</v>
      </c>
      <c r="J40">
        <v>3.4999519778536801</v>
      </c>
      <c r="K40">
        <v>1.18937073309566</v>
      </c>
      <c r="L40">
        <v>0</v>
      </c>
      <c r="M40">
        <v>1.2383223437857111E-6</v>
      </c>
      <c r="N40">
        <v>0</v>
      </c>
      <c r="O40" s="1">
        <v>1.6917713277463199E-12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741</v>
      </c>
      <c r="C41">
        <v>285</v>
      </c>
      <c r="D41">
        <v>0.27969284622590601</v>
      </c>
      <c r="E41">
        <v>3.2254166932031598</v>
      </c>
      <c r="F41">
        <v>2.54416131135403</v>
      </c>
      <c r="G41">
        <v>-52.481348541946232</v>
      </c>
      <c r="H41">
        <v>-46.100061519023349</v>
      </c>
      <c r="I41">
        <v>6.2922516619068896</v>
      </c>
      <c r="J41">
        <v>3.7301736304132498</v>
      </c>
      <c r="K41">
        <v>1.2677720861522499</v>
      </c>
      <c r="L41">
        <v>0</v>
      </c>
      <c r="M41">
        <v>1.2383223437857108E-6</v>
      </c>
      <c r="N41">
        <v>0</v>
      </c>
      <c r="O41" s="1">
        <v>1.80329009768648E-12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740</v>
      </c>
      <c r="C42">
        <v>285</v>
      </c>
      <c r="D42">
        <v>0.27891279672309399</v>
      </c>
      <c r="E42">
        <v>4.37051517456237</v>
      </c>
      <c r="F42">
        <v>2.54416131135403</v>
      </c>
      <c r="G42">
        <v>-71.104932992360048</v>
      </c>
      <c r="H42">
        <v>-62.47171739105525</v>
      </c>
      <c r="I42">
        <v>8.5211623168383603</v>
      </c>
      <c r="J42">
        <v>5.0538080397719201</v>
      </c>
      <c r="K42">
        <v>1.71786087425263</v>
      </c>
      <c r="L42">
        <v>0</v>
      </c>
      <c r="M42">
        <v>1.2383223437857111E-6</v>
      </c>
      <c r="N42">
        <v>0</v>
      </c>
      <c r="O42" s="1">
        <v>2.4435003243720201E-12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739</v>
      </c>
      <c r="C43">
        <v>285</v>
      </c>
      <c r="D43">
        <v>0.27813120584893603</v>
      </c>
      <c r="E43">
        <v>8.4422094753372292</v>
      </c>
      <c r="F43">
        <v>2.54416131135403</v>
      </c>
      <c r="G43">
        <v>-137.33182444239978</v>
      </c>
      <c r="H43">
        <v>-120.68187980785204</v>
      </c>
      <c r="I43">
        <v>16.450076208613002</v>
      </c>
      <c r="J43">
        <v>9.7607904913515497</v>
      </c>
      <c r="K43">
        <v>3.31826816077325</v>
      </c>
      <c r="L43">
        <v>0</v>
      </c>
      <c r="M43">
        <v>1.2383223437857108E-6</v>
      </c>
      <c r="N43">
        <v>0</v>
      </c>
      <c r="O43" s="1">
        <v>4.7199336388229301E-12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738</v>
      </c>
      <c r="C44">
        <v>285</v>
      </c>
      <c r="D44">
        <v>0.277348069030313</v>
      </c>
      <c r="E44">
        <v>14.5305577683969</v>
      </c>
      <c r="F44">
        <v>2.54416131135403</v>
      </c>
      <c r="G44">
        <v>-236.34441382075261</v>
      </c>
      <c r="H44">
        <v>-207.7319748621787</v>
      </c>
      <c r="I44">
        <v>28.296928209042999</v>
      </c>
      <c r="J44">
        <v>16.797852974355798</v>
      </c>
      <c r="K44">
        <v>5.7113350885221701</v>
      </c>
      <c r="L44">
        <v>0</v>
      </c>
      <c r="M44">
        <v>1.2383223437857108E-6</v>
      </c>
      <c r="N44">
        <v>0</v>
      </c>
      <c r="O44" s="1">
        <v>8.1238529560624096E-12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737</v>
      </c>
      <c r="C45">
        <v>285</v>
      </c>
      <c r="D45">
        <v>0.27656338167599098</v>
      </c>
      <c r="E45">
        <v>23.036335195782101</v>
      </c>
      <c r="F45">
        <v>2.54416131135403</v>
      </c>
      <c r="G45">
        <v>-374.6488991732964</v>
      </c>
      <c r="H45">
        <v>-329.35902499055641</v>
      </c>
      <c r="I45">
        <v>44.834800953066299</v>
      </c>
      <c r="J45">
        <v>26.6273145217659</v>
      </c>
      <c r="K45">
        <v>9.0545890675154705</v>
      </c>
      <c r="L45">
        <v>0</v>
      </c>
      <c r="M45">
        <v>1.2383223437857111E-6</v>
      </c>
      <c r="N45">
        <v>0</v>
      </c>
      <c r="O45" s="1">
        <v>1.28793266411373E-11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736</v>
      </c>
      <c r="C46">
        <v>285</v>
      </c>
      <c r="D46">
        <v>0.27577713917653601</v>
      </c>
      <c r="E46">
        <v>29.730205454007901</v>
      </c>
      <c r="F46">
        <v>2.54416131135403</v>
      </c>
      <c r="G46">
        <v>-483.45607471834194</v>
      </c>
      <c r="H46">
        <v>-425.09813218506639</v>
      </c>
      <c r="I46">
        <v>57.828808931551798</v>
      </c>
      <c r="J46">
        <v>34.3600860662375</v>
      </c>
      <c r="K46">
        <v>11.685660544136301</v>
      </c>
      <c r="L46">
        <v>0</v>
      </c>
      <c r="M46">
        <v>1.2383223437857111E-6</v>
      </c>
      <c r="N46">
        <v>0</v>
      </c>
      <c r="O46" s="1">
        <v>1.6621785709230302E-11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735</v>
      </c>
      <c r="C47">
        <v>285</v>
      </c>
      <c r="D47">
        <v>0.27498933690423</v>
      </c>
      <c r="E47">
        <v>31.391583219075802</v>
      </c>
      <c r="F47">
        <v>2.54416131135403</v>
      </c>
      <c r="G47">
        <v>-510.41143400327763</v>
      </c>
      <c r="H47">
        <v>-448.8896640551319</v>
      </c>
      <c r="I47">
        <v>61.024420917666802</v>
      </c>
      <c r="J47">
        <v>36.275363263643598</v>
      </c>
      <c r="K47">
        <v>12.3386764349343</v>
      </c>
      <c r="L47">
        <v>0</v>
      </c>
      <c r="M47">
        <v>1.2383223437857108E-6</v>
      </c>
      <c r="N47">
        <v>0</v>
      </c>
      <c r="O47" s="1">
        <v>1.75506412206985E-11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756</v>
      </c>
      <c r="C48">
        <v>270</v>
      </c>
      <c r="D48">
        <v>0.30724432784336703</v>
      </c>
      <c r="E48">
        <v>0.100643657737985</v>
      </c>
      <c r="F48">
        <v>2.5436887846510201</v>
      </c>
      <c r="G48">
        <v>-1.64114285271417</v>
      </c>
      <c r="H48">
        <v>-1.4373200639217949</v>
      </c>
      <c r="I48">
        <v>0.19804964173577699</v>
      </c>
      <c r="J48">
        <v>0.116619326069295</v>
      </c>
      <c r="K48">
        <v>3.9566026451538998E-2</v>
      </c>
      <c r="L48">
        <v>0</v>
      </c>
      <c r="M48">
        <v>1.2383056720441411E-6</v>
      </c>
      <c r="N48">
        <v>0</v>
      </c>
      <c r="O48" s="1">
        <v>5.62686091928235E-14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755</v>
      </c>
      <c r="C49">
        <v>270</v>
      </c>
      <c r="D49">
        <v>0.30650245586733499</v>
      </c>
      <c r="E49">
        <v>0.310377800950636</v>
      </c>
      <c r="F49">
        <v>2.5436887846510299</v>
      </c>
      <c r="G49">
        <v>-5.0605559107887199</v>
      </c>
      <c r="H49">
        <v>-4.4329513104162022</v>
      </c>
      <c r="I49">
        <v>0.61042124239898499</v>
      </c>
      <c r="J49">
        <v>0.35959993899262899</v>
      </c>
      <c r="K49">
        <v>0.122018779507736</v>
      </c>
      <c r="L49">
        <v>0</v>
      </c>
      <c r="M49">
        <v>1.2383056720441415E-6</v>
      </c>
      <c r="N49">
        <v>0</v>
      </c>
      <c r="O49" s="1">
        <v>1.73528343229398E-13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754</v>
      </c>
      <c r="C50">
        <v>270</v>
      </c>
      <c r="D50">
        <v>0.30575913936620902</v>
      </c>
      <c r="E50">
        <v>0.51909600862594396</v>
      </c>
      <c r="F50">
        <v>2.5436887846510201</v>
      </c>
      <c r="G50">
        <v>-8.4625820218042218</v>
      </c>
      <c r="H50">
        <v>-7.4145572899821959</v>
      </c>
      <c r="I50">
        <v>1.02032296336662</v>
      </c>
      <c r="J50">
        <v>0.60134175753668795</v>
      </c>
      <c r="K50">
        <v>0.20407213797467699</v>
      </c>
      <c r="L50">
        <v>0</v>
      </c>
      <c r="M50">
        <v>1.2383056720441411E-6</v>
      </c>
      <c r="N50">
        <v>0</v>
      </c>
      <c r="O50" s="1">
        <v>2.9022008042443699E-13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753</v>
      </c>
      <c r="C51">
        <v>270</v>
      </c>
      <c r="D51">
        <v>0.30501437411684701</v>
      </c>
      <c r="E51">
        <v>0.72680659213668097</v>
      </c>
      <c r="F51">
        <v>2.5436887846510299</v>
      </c>
      <c r="G51">
        <v>-11.847363364594296</v>
      </c>
      <c r="H51">
        <v>-10.382253105129742</v>
      </c>
      <c r="I51">
        <v>1.4277739701452501</v>
      </c>
      <c r="J51">
        <v>0.841854657064939</v>
      </c>
      <c r="K51">
        <v>0.28572936930112303</v>
      </c>
      <c r="L51">
        <v>0</v>
      </c>
      <c r="M51">
        <v>1.2383056720441413E-6</v>
      </c>
      <c r="N51">
        <v>0</v>
      </c>
      <c r="O51" s="1">
        <v>4.0634846756241502E-13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752</v>
      </c>
      <c r="C52">
        <v>270</v>
      </c>
      <c r="D52">
        <v>0.30426815587962902</v>
      </c>
      <c r="E52">
        <v>0.93351777707207895</v>
      </c>
      <c r="F52">
        <v>2.5436887846510299</v>
      </c>
      <c r="G52">
        <v>-15.21504064847081</v>
      </c>
      <c r="H52">
        <v>-13.336152672010339</v>
      </c>
      <c r="I52">
        <v>1.8327932268062801</v>
      </c>
      <c r="J52">
        <v>1.0811484097577699</v>
      </c>
      <c r="K52">
        <v>0.36699370721176799</v>
      </c>
      <c r="L52">
        <v>0</v>
      </c>
      <c r="M52">
        <v>1.2383056720441413E-6</v>
      </c>
      <c r="N52">
        <v>0</v>
      </c>
      <c r="O52" s="1">
        <v>5.2191810346730402E-13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751</v>
      </c>
      <c r="C53">
        <v>270</v>
      </c>
      <c r="D53">
        <v>0.30352048039838297</v>
      </c>
      <c r="E53">
        <v>1.1392376993333599</v>
      </c>
      <c r="F53">
        <v>2.5436887846510299</v>
      </c>
      <c r="G53">
        <v>-18.565753050521721</v>
      </c>
      <c r="H53">
        <v>-16.276368664126679</v>
      </c>
      <c r="I53">
        <v>2.23539948874192</v>
      </c>
      <c r="J53">
        <v>1.31923268013399</v>
      </c>
      <c r="K53">
        <v>0.447868350172269</v>
      </c>
      <c r="L53">
        <v>0</v>
      </c>
      <c r="M53">
        <v>1.2383056720441413E-6</v>
      </c>
      <c r="N53">
        <v>0</v>
      </c>
      <c r="O53" s="1">
        <v>6.3693353681963498E-13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750</v>
      </c>
      <c r="C54">
        <v>270</v>
      </c>
      <c r="D54">
        <v>0.302771343400284</v>
      </c>
      <c r="E54">
        <v>1.34397440954298</v>
      </c>
      <c r="F54">
        <v>2.5436887846510299</v>
      </c>
      <c r="G54">
        <v>-21.899638288422938</v>
      </c>
      <c r="H54">
        <v>-19.203012574803576</v>
      </c>
      <c r="I54">
        <v>2.6356113117522901</v>
      </c>
      <c r="J54">
        <v>1.5561170302020999</v>
      </c>
      <c r="K54">
        <v>0.52835646312265405</v>
      </c>
      <c r="L54">
        <v>0</v>
      </c>
      <c r="M54">
        <v>1.2383056720441411E-6</v>
      </c>
      <c r="N54">
        <v>0</v>
      </c>
      <c r="O54" s="1">
        <v>7.5139926862164402E-13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749</v>
      </c>
      <c r="C55">
        <v>270</v>
      </c>
      <c r="D55">
        <v>0.30202074059580297</v>
      </c>
      <c r="E55">
        <v>1.5477358751589401</v>
      </c>
      <c r="F55">
        <v>2.5436887846510299</v>
      </c>
      <c r="G55">
        <v>-25.216832655806382</v>
      </c>
      <c r="H55">
        <v>-22.116194746896682</v>
      </c>
      <c r="I55">
        <v>3.03344705660587</v>
      </c>
      <c r="J55">
        <v>1.7918109219510701</v>
      </c>
      <c r="K55">
        <v>0.60846117830852497</v>
      </c>
      <c r="L55">
        <v>0</v>
      </c>
      <c r="M55">
        <v>1.2383056720441411E-6</v>
      </c>
      <c r="N55">
        <v>0</v>
      </c>
      <c r="O55" s="1">
        <v>8.6531975337936698E-13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748</v>
      </c>
      <c r="C56">
        <v>270</v>
      </c>
      <c r="D56">
        <v>0.301268667678598</v>
      </c>
      <c r="E56">
        <v>1.7505299777612899</v>
      </c>
      <c r="F56">
        <v>2.5436887846510299</v>
      </c>
      <c r="G56">
        <v>-28.517470978952616</v>
      </c>
      <c r="H56">
        <v>-25.016024333523507</v>
      </c>
      <c r="I56">
        <v>3.4289248841297599</v>
      </c>
      <c r="J56">
        <v>2.0263237142510899</v>
      </c>
      <c r="K56">
        <v>0.68818559421428904</v>
      </c>
      <c r="L56">
        <v>0</v>
      </c>
      <c r="M56">
        <v>1.2383056720441413E-6</v>
      </c>
      <c r="N56">
        <v>0</v>
      </c>
      <c r="O56" s="1">
        <v>9.7869939758554008E-13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747</v>
      </c>
      <c r="C57">
        <v>270</v>
      </c>
      <c r="D57">
        <v>0.30051512032544198</v>
      </c>
      <c r="E57">
        <v>1.9523645166990999</v>
      </c>
      <c r="F57">
        <v>2.5436887846510299</v>
      </c>
      <c r="G57">
        <v>-31.801686677119882</v>
      </c>
      <c r="H57">
        <v>-27.90260934967883</v>
      </c>
      <c r="I57">
        <v>3.82206276277121</v>
      </c>
      <c r="J57">
        <v>2.2596646671187099</v>
      </c>
      <c r="K57">
        <v>0.76753277699691103</v>
      </c>
      <c r="L57">
        <v>0</v>
      </c>
      <c r="M57">
        <v>1.2383056720441411E-6</v>
      </c>
      <c r="N57">
        <v>0</v>
      </c>
      <c r="O57" s="1">
        <v>1.0915425617586001E-12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746</v>
      </c>
      <c r="C58">
        <v>270</v>
      </c>
      <c r="D58">
        <v>0.29976009419614502</v>
      </c>
      <c r="E58">
        <v>2.1532472112580701</v>
      </c>
      <c r="F58">
        <v>2.5436887846510299</v>
      </c>
      <c r="G58">
        <v>-35.069611798732893</v>
      </c>
      <c r="H58">
        <v>-30.776056702729605</v>
      </c>
      <c r="I58">
        <v>4.2128784732407203</v>
      </c>
      <c r="J58">
        <v>2.4918429442668</v>
      </c>
      <c r="K58">
        <v>0.846505761338049</v>
      </c>
      <c r="L58">
        <v>0</v>
      </c>
      <c r="M58">
        <v>1.2383056720441413E-6</v>
      </c>
      <c r="N58">
        <v>0</v>
      </c>
      <c r="O58" s="1">
        <v>1.20385356165456E-12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745</v>
      </c>
      <c r="C59">
        <v>270</v>
      </c>
      <c r="D59">
        <v>0.29900358493345802</v>
      </c>
      <c r="E59">
        <v>2.3531856980288799</v>
      </c>
      <c r="F59">
        <v>2.5436887846510299</v>
      </c>
      <c r="G59">
        <v>-38.321376979390998</v>
      </c>
      <c r="H59">
        <v>-33.636472154325652</v>
      </c>
      <c r="I59">
        <v>4.6013896037571502</v>
      </c>
      <c r="J59">
        <v>2.7228676100998701</v>
      </c>
      <c r="K59">
        <v>0.92510754940947504</v>
      </c>
      <c r="L59">
        <v>0</v>
      </c>
      <c r="M59">
        <v>1.2383056720441413E-6</v>
      </c>
      <c r="N59">
        <v>0</v>
      </c>
      <c r="O59" s="1">
        <v>1.31563666679567E-12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744</v>
      </c>
      <c r="C60">
        <v>270</v>
      </c>
      <c r="D60">
        <v>0.298245588163005</v>
      </c>
      <c r="E60">
        <v>2.5521875367999001</v>
      </c>
      <c r="F60">
        <v>2.5436887846510299</v>
      </c>
      <c r="G60">
        <v>-41.55711153870751</v>
      </c>
      <c r="H60">
        <v>-36.483960404149357</v>
      </c>
      <c r="I60">
        <v>4.9876135619703499</v>
      </c>
      <c r="J60">
        <v>2.9527476365740601</v>
      </c>
      <c r="K60">
        <v>1.0033411131896901</v>
      </c>
      <c r="L60">
        <v>0</v>
      </c>
      <c r="M60">
        <v>1.2383056720441415E-6</v>
      </c>
      <c r="N60">
        <v>0</v>
      </c>
      <c r="O60" s="1">
        <v>1.4268961037649801E-12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743</v>
      </c>
      <c r="C61">
        <v>270</v>
      </c>
      <c r="D61">
        <v>0.297486099493184</v>
      </c>
      <c r="E61">
        <v>2.75026020714024</v>
      </c>
      <c r="F61">
        <v>2.5436887846510299</v>
      </c>
      <c r="G61">
        <v>-44.776943425506985</v>
      </c>
      <c r="H61">
        <v>-39.31862504061133</v>
      </c>
      <c r="I61">
        <v>5.3715675686617601</v>
      </c>
      <c r="J61">
        <v>3.1814918992828098</v>
      </c>
      <c r="K61">
        <v>1.0812093931206099</v>
      </c>
      <c r="L61">
        <v>0</v>
      </c>
      <c r="M61">
        <v>1.2383056720441413E-6</v>
      </c>
      <c r="N61">
        <v>0</v>
      </c>
      <c r="O61" s="1">
        <v>1.5376360542959399E-12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742</v>
      </c>
      <c r="C62">
        <v>270</v>
      </c>
      <c r="D62">
        <v>0.29672511451509398</v>
      </c>
      <c r="E62">
        <v>3.8110200521907101</v>
      </c>
      <c r="F62">
        <v>2.5436887846510299</v>
      </c>
      <c r="G62">
        <v>-62.03971669423597</v>
      </c>
      <c r="H62">
        <v>-54.48800517186428</v>
      </c>
      <c r="I62">
        <v>7.43901051309824</v>
      </c>
      <c r="J62">
        <v>4.4079983951089297</v>
      </c>
      <c r="K62">
        <v>1.4982257559128001</v>
      </c>
      <c r="L62">
        <v>0</v>
      </c>
      <c r="M62">
        <v>1.2383056720441413E-6</v>
      </c>
      <c r="N62">
        <v>0</v>
      </c>
      <c r="O62" s="1">
        <v>2.1306936051649098E-12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741</v>
      </c>
      <c r="C63">
        <v>270</v>
      </c>
      <c r="D63">
        <v>0.295962628802445</v>
      </c>
      <c r="E63">
        <v>10.797578335012799</v>
      </c>
      <c r="F63">
        <v>2.5436887846510299</v>
      </c>
      <c r="G63">
        <v>-175.75305085409204</v>
      </c>
      <c r="H63">
        <v>-154.39071132958756</v>
      </c>
      <c r="I63">
        <v>21.064279963027602</v>
      </c>
      <c r="J63">
        <v>12.4873297960107</v>
      </c>
      <c r="K63">
        <v>4.2448503921418697</v>
      </c>
      <c r="L63">
        <v>0</v>
      </c>
      <c r="M63">
        <v>1.2383056720441413E-6</v>
      </c>
      <c r="N63">
        <v>0</v>
      </c>
      <c r="O63" s="1">
        <v>6.0367908839666603E-12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740</v>
      </c>
      <c r="C64">
        <v>270</v>
      </c>
      <c r="D64">
        <v>0.295198637911468</v>
      </c>
      <c r="E64">
        <v>15.901538587375001</v>
      </c>
      <c r="F64">
        <v>2.5436887846510299</v>
      </c>
      <c r="G64">
        <v>-258.79961013200534</v>
      </c>
      <c r="H64">
        <v>-227.38880258778428</v>
      </c>
      <c r="I64">
        <v>31.003116561438102</v>
      </c>
      <c r="J64">
        <v>18.387608862533298</v>
      </c>
      <c r="K64">
        <v>6.2513695399087901</v>
      </c>
      <c r="L64">
        <v>0</v>
      </c>
      <c r="M64">
        <v>1.2383056720441413E-6</v>
      </c>
      <c r="N64">
        <v>0</v>
      </c>
      <c r="O64" s="1">
        <v>8.8903511701354003E-12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739</v>
      </c>
      <c r="C65">
        <v>270</v>
      </c>
      <c r="D65">
        <v>0.29443313738082399</v>
      </c>
      <c r="E65">
        <v>26.7058739583128</v>
      </c>
      <c r="F65">
        <v>2.5436887846510299</v>
      </c>
      <c r="G65">
        <v>-434.58952149575032</v>
      </c>
      <c r="H65">
        <v>-381.91950375666113</v>
      </c>
      <c r="I65">
        <v>52.0377589676323</v>
      </c>
      <c r="J65">
        <v>30.877040111009499</v>
      </c>
      <c r="K65">
        <v>10.4988763245959</v>
      </c>
      <c r="L65">
        <v>0</v>
      </c>
      <c r="M65">
        <v>1.2383056720441413E-6</v>
      </c>
      <c r="N65">
        <v>0</v>
      </c>
      <c r="O65" s="1">
        <v>1.4930919828303699E-11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738</v>
      </c>
      <c r="C66">
        <v>270</v>
      </c>
      <c r="D66">
        <v>0.29366612273154402</v>
      </c>
      <c r="E66">
        <v>30.464822951787099</v>
      </c>
      <c r="F66">
        <v>2.5436887846510299</v>
      </c>
      <c r="G66">
        <v>-495.70023409228236</v>
      </c>
      <c r="H66">
        <v>-435.71128521740803</v>
      </c>
      <c r="I66">
        <v>59.327447831552497</v>
      </c>
      <c r="J66">
        <v>35.218442746011597</v>
      </c>
      <c r="K66">
        <v>11.9766313928087</v>
      </c>
      <c r="L66">
        <v>0</v>
      </c>
      <c r="M66">
        <v>1.2383056720441413E-6</v>
      </c>
      <c r="N66">
        <v>0</v>
      </c>
      <c r="O66" s="1">
        <v>1.7032501156361199E-11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737</v>
      </c>
      <c r="C67">
        <v>270</v>
      </c>
      <c r="D67">
        <v>0.29289758946691402</v>
      </c>
      <c r="E67">
        <v>31.6202867378246</v>
      </c>
      <c r="F67">
        <v>2.5436887846510299</v>
      </c>
      <c r="G67">
        <v>-514.4394951095403</v>
      </c>
      <c r="H67">
        <v>-452.27340854207063</v>
      </c>
      <c r="I67">
        <v>61.5414409419093</v>
      </c>
      <c r="J67">
        <v>36.549360524613398</v>
      </c>
      <c r="K67">
        <v>12.430878702074599</v>
      </c>
      <c r="L67">
        <v>0</v>
      </c>
      <c r="M67">
        <v>1.2383056720441411E-6</v>
      </c>
      <c r="N67">
        <v>0</v>
      </c>
      <c r="O67" s="1">
        <v>1.7678506495140399E-11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756</v>
      </c>
      <c r="C68">
        <v>255</v>
      </c>
      <c r="D68">
        <v>0.32327697614536499</v>
      </c>
      <c r="E68">
        <v>8.2008994966712601E-2</v>
      </c>
      <c r="F68">
        <v>2.54321635207668</v>
      </c>
      <c r="G68">
        <v>-1.3377609185259896</v>
      </c>
      <c r="H68">
        <v>-1.1716769104934959</v>
      </c>
      <c r="I68">
        <v>0.161379787234605</v>
      </c>
      <c r="J68">
        <v>9.5026690599188696E-2</v>
      </c>
      <c r="K68">
        <v>3.2246173197080702E-2</v>
      </c>
      <c r="L68">
        <v>0</v>
      </c>
      <c r="M68">
        <v>1.2382889668785757E-6</v>
      </c>
      <c r="N68">
        <v>0</v>
      </c>
      <c r="O68" s="1">
        <v>4.5850202504479499E-14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755</v>
      </c>
      <c r="C69">
        <v>255</v>
      </c>
      <c r="D69">
        <v>0.322550697855369</v>
      </c>
      <c r="E69">
        <v>0.28806452996557602</v>
      </c>
      <c r="F69">
        <v>2.54321635207668</v>
      </c>
      <c r="G69">
        <v>-4.6984479674252109</v>
      </c>
      <c r="H69">
        <v>-4.1159622881762088</v>
      </c>
      <c r="I69">
        <v>0.56653764455478395</v>
      </c>
      <c r="J69">
        <v>0.33374805506156902</v>
      </c>
      <c r="K69">
        <v>0.113267803476631</v>
      </c>
      <c r="L69">
        <v>0</v>
      </c>
      <c r="M69">
        <v>1.2382889668785759E-6</v>
      </c>
      <c r="N69">
        <v>0</v>
      </c>
      <c r="O69" s="1">
        <v>1.6105327273722101E-13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754</v>
      </c>
      <c r="C70">
        <v>255</v>
      </c>
      <c r="D70">
        <v>0.321823005403299</v>
      </c>
      <c r="E70">
        <v>0.49313293816086201</v>
      </c>
      <c r="F70">
        <v>2.54321635207668</v>
      </c>
      <c r="G70">
        <v>-8.0422263474663236</v>
      </c>
      <c r="H70">
        <v>-7.046619548953915</v>
      </c>
      <c r="I70">
        <v>0.96929055981347201</v>
      </c>
      <c r="J70">
        <v>0.57126508931909104</v>
      </c>
      <c r="K70">
        <v>0.19390129265179901</v>
      </c>
      <c r="L70">
        <v>0</v>
      </c>
      <c r="M70">
        <v>1.2382889668785757E-6</v>
      </c>
      <c r="N70">
        <v>0</v>
      </c>
      <c r="O70" s="1">
        <v>2.7570445273084902E-13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753</v>
      </c>
      <c r="C71">
        <v>255</v>
      </c>
      <c r="D71">
        <v>0.321093894654779</v>
      </c>
      <c r="E71">
        <v>0.69722212739478795</v>
      </c>
      <c r="F71">
        <v>2.54321635207668</v>
      </c>
      <c r="G71">
        <v>-11.369231524047725</v>
      </c>
      <c r="H71">
        <v>-9.963758179386998</v>
      </c>
      <c r="I71">
        <v>1.36965681884785</v>
      </c>
      <c r="J71">
        <v>0.80758719211732799</v>
      </c>
      <c r="K71">
        <v>0.274149750108937</v>
      </c>
      <c r="L71">
        <v>0</v>
      </c>
      <c r="M71">
        <v>1.2382889668785759E-6</v>
      </c>
      <c r="N71">
        <v>0</v>
      </c>
      <c r="O71" s="1">
        <v>3.8980816366095802E-13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752</v>
      </c>
      <c r="C72">
        <v>255</v>
      </c>
      <c r="D72">
        <v>0.3203633614593</v>
      </c>
      <c r="E72">
        <v>0.90033992306537503</v>
      </c>
      <c r="F72">
        <v>2.54321635207668</v>
      </c>
      <c r="G72">
        <v>-14.679597550337451</v>
      </c>
      <c r="H72">
        <v>-12.86748652500637</v>
      </c>
      <c r="I72">
        <v>1.7676545142965201</v>
      </c>
      <c r="J72">
        <v>1.0427236630850001</v>
      </c>
      <c r="K72">
        <v>0.35401625281710403</v>
      </c>
      <c r="L72">
        <v>0</v>
      </c>
      <c r="M72">
        <v>1.2382889668785759E-6</v>
      </c>
      <c r="N72">
        <v>0</v>
      </c>
      <c r="O72" s="1">
        <v>5.0336878060962398E-13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751</v>
      </c>
      <c r="C73">
        <v>255</v>
      </c>
      <c r="D73">
        <v>0.31963140165015202</v>
      </c>
      <c r="E73">
        <v>1.1024940681039299</v>
      </c>
      <c r="F73">
        <v>2.54321635207668</v>
      </c>
      <c r="G73">
        <v>-17.973457067796648</v>
      </c>
      <c r="H73">
        <v>-15.75791178950462</v>
      </c>
      <c r="I73">
        <v>2.1633015459571601</v>
      </c>
      <c r="J73">
        <v>1.27668370274936</v>
      </c>
      <c r="K73">
        <v>0.43350384531920799</v>
      </c>
      <c r="L73">
        <v>0</v>
      </c>
      <c r="M73">
        <v>1.2382889668785759E-6</v>
      </c>
      <c r="N73">
        <v>0</v>
      </c>
      <c r="O73" s="1">
        <v>6.1639063255281696E-13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750</v>
      </c>
      <c r="C74">
        <v>255</v>
      </c>
      <c r="D74">
        <v>0.31889801104432502</v>
      </c>
      <c r="E74">
        <v>1.3036922226496901</v>
      </c>
      <c r="F74">
        <v>2.54321635207668</v>
      </c>
      <c r="G74">
        <v>-21.250941301765526</v>
      </c>
      <c r="H74">
        <v>-18.635140029598279</v>
      </c>
      <c r="I74">
        <v>2.5566156205514701</v>
      </c>
      <c r="J74">
        <v>1.5094764122012401</v>
      </c>
      <c r="K74">
        <v>0.51261553960407402</v>
      </c>
      <c r="L74">
        <v>0</v>
      </c>
      <c r="M74">
        <v>1.2382889668785759E-6</v>
      </c>
      <c r="N74">
        <v>0</v>
      </c>
      <c r="O74" s="1">
        <v>7.2887800217849301E-13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749</v>
      </c>
      <c r="C75">
        <v>255</v>
      </c>
      <c r="D75">
        <v>0.31816318544244998</v>
      </c>
      <c r="E75">
        <v>1.5039419676991499</v>
      </c>
      <c r="F75">
        <v>2.54321635207668</v>
      </c>
      <c r="G75">
        <v>-24.512180121833904</v>
      </c>
      <c r="H75">
        <v>-21.499276206707322</v>
      </c>
      <c r="I75">
        <v>2.94761425928345</v>
      </c>
      <c r="J75">
        <v>1.7411107973621101</v>
      </c>
      <c r="K75">
        <v>0.59135431654137405</v>
      </c>
      <c r="L75">
        <v>0</v>
      </c>
      <c r="M75">
        <v>1.2382889668785759E-6</v>
      </c>
      <c r="N75">
        <v>0</v>
      </c>
      <c r="O75" s="1">
        <v>8.4083512792689296E-13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748</v>
      </c>
      <c r="C76">
        <v>255</v>
      </c>
      <c r="D76">
        <v>0.31742692062870498</v>
      </c>
      <c r="E76">
        <v>1.7032508047324599</v>
      </c>
      <c r="F76">
        <v>2.54321635207668</v>
      </c>
      <c r="G76">
        <v>-27.757302036607136</v>
      </c>
      <c r="H76">
        <v>-24.350424181146522</v>
      </c>
      <c r="I76">
        <v>3.3363147974936198</v>
      </c>
      <c r="J76">
        <v>1.97159576859145</v>
      </c>
      <c r="K76">
        <v>0.66972312573472303</v>
      </c>
      <c r="L76">
        <v>0</v>
      </c>
      <c r="M76">
        <v>1.2382889668785757E-6</v>
      </c>
      <c r="N76">
        <v>0</v>
      </c>
      <c r="O76" s="1">
        <v>9.5226620378166293E-13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747</v>
      </c>
      <c r="C77">
        <v>255</v>
      </c>
      <c r="D77">
        <v>0.316689212370732</v>
      </c>
      <c r="E77">
        <v>1.9016261550948801</v>
      </c>
      <c r="F77">
        <v>2.54321635207668</v>
      </c>
      <c r="G77">
        <v>-30.986434184484398</v>
      </c>
      <c r="H77">
        <v>-27.188686702812625</v>
      </c>
      <c r="I77">
        <v>3.72273438383744</v>
      </c>
      <c r="J77">
        <v>2.2009401400112401</v>
      </c>
      <c r="K77">
        <v>0.74772488527847403</v>
      </c>
      <c r="L77">
        <v>0</v>
      </c>
      <c r="M77">
        <v>1.2382889668785759E-6</v>
      </c>
      <c r="N77">
        <v>0</v>
      </c>
      <c r="O77" s="1">
        <v>1.0631753789240401E-12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746</v>
      </c>
      <c r="C78">
        <v>255</v>
      </c>
      <c r="D78">
        <v>0.31595005641956603</v>
      </c>
      <c r="E78">
        <v>2.0990753657130998</v>
      </c>
      <c r="F78">
        <v>2.54321635207668</v>
      </c>
      <c r="G78">
        <v>-34.19970242765401</v>
      </c>
      <c r="H78">
        <v>-30.014165492446875</v>
      </c>
      <c r="I78">
        <v>4.1068899918629604</v>
      </c>
      <c r="J78">
        <v>2.4291526361621898</v>
      </c>
      <c r="K78">
        <v>0.82536248400537404</v>
      </c>
      <c r="L78">
        <v>0</v>
      </c>
      <c r="M78">
        <v>1.2382889668785759E-6</v>
      </c>
      <c r="N78">
        <v>0</v>
      </c>
      <c r="O78" s="1">
        <v>1.1735667609287801E-12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745</v>
      </c>
      <c r="C79">
        <v>255</v>
      </c>
      <c r="D79">
        <v>0.31520944850955201</v>
      </c>
      <c r="E79">
        <v>2.29560570417497</v>
      </c>
      <c r="F79">
        <v>2.54321635207668</v>
      </c>
      <c r="G79">
        <v>-37.397231272743689</v>
      </c>
      <c r="H79">
        <v>-32.826961170836562</v>
      </c>
      <c r="I79">
        <v>4.4887984107519703</v>
      </c>
      <c r="J79">
        <v>2.6562418863476398</v>
      </c>
      <c r="K79">
        <v>0.90263877955191196</v>
      </c>
      <c r="L79">
        <v>0</v>
      </c>
      <c r="M79">
        <v>1.2382889668785759E-6</v>
      </c>
      <c r="N79">
        <v>0</v>
      </c>
      <c r="O79" s="1">
        <v>1.2834444130132601E-12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744</v>
      </c>
      <c r="C80">
        <v>255</v>
      </c>
      <c r="D80">
        <v>0.31446738435825899</v>
      </c>
      <c r="E80">
        <v>6.1196870087634903</v>
      </c>
      <c r="F80">
        <v>2.54321635207668</v>
      </c>
      <c r="G80">
        <v>-99.682575239775474</v>
      </c>
      <c r="H80">
        <v>-87.518070616194066</v>
      </c>
      <c r="I80">
        <v>11.9594008981776</v>
      </c>
      <c r="J80">
        <v>7.08015813538396</v>
      </c>
      <c r="K80">
        <v>2.40627857074228</v>
      </c>
      <c r="L80">
        <v>0</v>
      </c>
      <c r="M80">
        <v>1.2382889668785759E-6</v>
      </c>
      <c r="N80">
        <v>0</v>
      </c>
      <c r="O80" s="1">
        <v>3.4214404008941801E-12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743</v>
      </c>
      <c r="C81">
        <v>255</v>
      </c>
      <c r="D81">
        <v>0.31372385966638899</v>
      </c>
      <c r="E81">
        <v>12.9975286015194</v>
      </c>
      <c r="F81">
        <v>2.54321635207668</v>
      </c>
      <c r="G81">
        <v>-211.68921278017331</v>
      </c>
      <c r="H81">
        <v>-185.89359928160565</v>
      </c>
      <c r="I81">
        <v>25.385635485477199</v>
      </c>
      <c r="J81">
        <v>15.035498040903001</v>
      </c>
      <c r="K81">
        <v>5.1106657091545298</v>
      </c>
      <c r="L81">
        <v>0</v>
      </c>
      <c r="M81">
        <v>1.2382889668785759E-6</v>
      </c>
      <c r="N81">
        <v>0</v>
      </c>
      <c r="O81" s="1">
        <v>7.2667555391859204E-12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742</v>
      </c>
      <c r="C82">
        <v>255</v>
      </c>
      <c r="D82">
        <v>0.31297887011771702</v>
      </c>
      <c r="E82">
        <v>21.272666315374</v>
      </c>
      <c r="F82">
        <v>2.54321635207668</v>
      </c>
      <c r="G82">
        <v>-346.42386728683539</v>
      </c>
      <c r="H82">
        <v>-304.27110054055868</v>
      </c>
      <c r="I82">
        <v>41.523682949590302</v>
      </c>
      <c r="J82">
        <v>24.604929308612299</v>
      </c>
      <c r="K82">
        <v>8.3644737098373998</v>
      </c>
      <c r="L82">
        <v>0</v>
      </c>
      <c r="M82">
        <v>1.2382889668785759E-6</v>
      </c>
      <c r="N82">
        <v>0</v>
      </c>
      <c r="O82" s="1">
        <v>1.18932814475536E-11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741</v>
      </c>
      <c r="C83">
        <v>255</v>
      </c>
      <c r="D83">
        <v>0.31223241137898899</v>
      </c>
      <c r="E83">
        <v>28.8164707713402</v>
      </c>
      <c r="F83">
        <v>2.54321635207668</v>
      </c>
      <c r="G83">
        <v>-469.21795704933641</v>
      </c>
      <c r="H83">
        <v>-412.20635561281875</v>
      </c>
      <c r="I83">
        <v>56.216143012885297</v>
      </c>
      <c r="J83">
        <v>33.326062836885299</v>
      </c>
      <c r="K83">
        <v>11.330719365582</v>
      </c>
      <c r="L83">
        <v>0</v>
      </c>
      <c r="M83">
        <v>1.2382889668785757E-6</v>
      </c>
      <c r="N83">
        <v>0</v>
      </c>
      <c r="O83" s="1">
        <v>1.6110928086201399E-11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740</v>
      </c>
      <c r="C84">
        <v>255</v>
      </c>
      <c r="D84">
        <v>0.31148447909983901</v>
      </c>
      <c r="E84">
        <v>30.977286931614501</v>
      </c>
      <c r="F84">
        <v>2.54321635207668</v>
      </c>
      <c r="G84">
        <v>-504.34206498888449</v>
      </c>
      <c r="H84">
        <v>-443.15165924892784</v>
      </c>
      <c r="I84">
        <v>60.396195765638403</v>
      </c>
      <c r="J84">
        <v>35.820322202860403</v>
      </c>
      <c r="K84">
        <v>12.180358507965501</v>
      </c>
      <c r="L84">
        <v>0</v>
      </c>
      <c r="M84">
        <v>1.2382889668785757E-6</v>
      </c>
      <c r="N84">
        <v>0</v>
      </c>
      <c r="O84" s="1">
        <v>1.73190133525035E-11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756</v>
      </c>
      <c r="C85">
        <v>240</v>
      </c>
      <c r="D85">
        <v>0.33930962444735902</v>
      </c>
      <c r="E85">
        <v>7.9701171706372795E-2</v>
      </c>
      <c r="F85">
        <v>2.5427440136239099</v>
      </c>
      <c r="G85">
        <v>-1.30058498046586</v>
      </c>
      <c r="H85">
        <v>-1.1391747589742627</v>
      </c>
      <c r="I85">
        <v>0.156838382637708</v>
      </c>
      <c r="J85">
        <v>9.2352535075066799E-2</v>
      </c>
      <c r="K85">
        <v>3.1344551901149799E-2</v>
      </c>
      <c r="L85">
        <v>0</v>
      </c>
      <c r="M85">
        <v>1.2382722283092385E-6</v>
      </c>
      <c r="N85">
        <v>0</v>
      </c>
      <c r="O85" s="1">
        <v>4.4559927408752799E-14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755</v>
      </c>
      <c r="C86">
        <v>240</v>
      </c>
      <c r="D86">
        <v>0.338598939843407</v>
      </c>
      <c r="E86">
        <v>0.28191598097416798</v>
      </c>
      <c r="F86">
        <v>2.5427440136239099</v>
      </c>
      <c r="G86">
        <v>-4.599825575527424</v>
      </c>
      <c r="H86">
        <v>-4.0297726721432063</v>
      </c>
      <c r="I86">
        <v>0.554445269060173</v>
      </c>
      <c r="J86">
        <v>0.32662442110504297</v>
      </c>
      <c r="K86">
        <v>0.110870767746841</v>
      </c>
      <c r="L86">
        <v>0</v>
      </c>
      <c r="M86">
        <v>1.2382722283092385E-6</v>
      </c>
      <c r="N86">
        <v>0</v>
      </c>
      <c r="O86" s="1">
        <v>1.5761569596312201E-13</v>
      </c>
      <c r="P86">
        <v>0</v>
      </c>
      <c r="Q86">
        <v>100</v>
      </c>
      <c r="AJ86">
        <v>1</v>
      </c>
    </row>
    <row r="87" spans="1:36" x14ac:dyDescent="0.2">
      <c r="A87">
        <v>91</v>
      </c>
      <c r="B87">
        <v>754</v>
      </c>
      <c r="C87">
        <v>240</v>
      </c>
      <c r="D87">
        <v>0.33788687144039198</v>
      </c>
      <c r="E87">
        <v>0.48317504948103401</v>
      </c>
      <c r="F87">
        <v>2.5427440136239099</v>
      </c>
      <c r="G87">
        <v>-7.882678821646758</v>
      </c>
      <c r="H87">
        <v>-6.9071764227825296</v>
      </c>
      <c r="I87">
        <v>0.94971756692228804</v>
      </c>
      <c r="J87">
        <v>0.55972946935558299</v>
      </c>
      <c r="K87">
        <v>0.19002111376222</v>
      </c>
      <c r="L87">
        <v>0</v>
      </c>
      <c r="M87">
        <v>1.2382722283092389E-6</v>
      </c>
      <c r="N87">
        <v>0</v>
      </c>
      <c r="O87" s="1">
        <v>2.7013712182193498E-13</v>
      </c>
      <c r="P87">
        <v>0</v>
      </c>
      <c r="Q87">
        <v>100</v>
      </c>
      <c r="AJ87">
        <v>1</v>
      </c>
    </row>
    <row r="88" spans="1:36" x14ac:dyDescent="0.2">
      <c r="A88">
        <v>92</v>
      </c>
      <c r="B88">
        <v>753</v>
      </c>
      <c r="C88">
        <v>240</v>
      </c>
      <c r="D88">
        <v>0.33717341519271199</v>
      </c>
      <c r="E88">
        <v>0.68348587432514696</v>
      </c>
      <c r="F88">
        <v>2.5427440136239099</v>
      </c>
      <c r="G88">
        <v>-11.14927333264025</v>
      </c>
      <c r="H88">
        <v>-9.7714897826465865</v>
      </c>
      <c r="I88">
        <v>1.3426726599363199</v>
      </c>
      <c r="J88">
        <v>0.79167659259551604</v>
      </c>
      <c r="K88">
        <v>0.268798538375495</v>
      </c>
      <c r="L88">
        <v>0</v>
      </c>
      <c r="M88">
        <v>1.2382722283092387E-6</v>
      </c>
      <c r="N88">
        <v>0</v>
      </c>
      <c r="O88" s="1">
        <v>3.8212839651893398E-13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752</v>
      </c>
      <c r="C89">
        <v>240</v>
      </c>
      <c r="D89">
        <v>0.33645856703896998</v>
      </c>
      <c r="E89">
        <v>0.882855877311161</v>
      </c>
      <c r="F89">
        <v>2.5427440136239099</v>
      </c>
      <c r="G89">
        <v>-14.399736429662481</v>
      </c>
      <c r="H89">
        <v>-12.622815482286327</v>
      </c>
      <c r="I89">
        <v>1.7333277543541401</v>
      </c>
      <c r="J89">
        <v>1.0224746129570099</v>
      </c>
      <c r="K89">
        <v>0.34720596040374402</v>
      </c>
      <c r="L89">
        <v>0</v>
      </c>
      <c r="M89">
        <v>1.2382722283092387E-6</v>
      </c>
      <c r="N89">
        <v>0</v>
      </c>
      <c r="O89" s="1">
        <v>4.9359366949219499E-13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751</v>
      </c>
      <c r="C90">
        <v>240</v>
      </c>
      <c r="D90">
        <v>0.33574232290192102</v>
      </c>
      <c r="E90">
        <v>1.0812924000967601</v>
      </c>
      <c r="F90">
        <v>2.5427440136239099</v>
      </c>
      <c r="G90">
        <v>-17.634194062870154</v>
      </c>
      <c r="H90">
        <v>-15.461255141205507</v>
      </c>
      <c r="I90">
        <v>2.1216998698087601</v>
      </c>
      <c r="J90">
        <v>1.2521322563525501</v>
      </c>
      <c r="K90">
        <v>0.42524626714417302</v>
      </c>
      <c r="L90">
        <v>0</v>
      </c>
      <c r="M90">
        <v>1.2382722283092389E-6</v>
      </c>
      <c r="N90">
        <v>0</v>
      </c>
      <c r="O90" s="1">
        <v>6.0453704537062895E-13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750</v>
      </c>
      <c r="C91">
        <v>240</v>
      </c>
      <c r="D91">
        <v>0.335024678688366</v>
      </c>
      <c r="E91">
        <v>1.2788027081098201</v>
      </c>
      <c r="F91">
        <v>2.5427440136239099</v>
      </c>
      <c r="G91">
        <v>-20.852770876159585</v>
      </c>
      <c r="H91">
        <v>-18.28690932340303</v>
      </c>
      <c r="I91">
        <v>2.50780584738949</v>
      </c>
      <c r="J91">
        <v>1.4806581570514801</v>
      </c>
      <c r="K91">
        <v>0.50292231591463998</v>
      </c>
      <c r="L91">
        <v>0</v>
      </c>
      <c r="M91">
        <v>1.2382722283092387E-6</v>
      </c>
      <c r="N91">
        <v>0</v>
      </c>
      <c r="O91" s="1">
        <v>7.1496258616401202E-13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749</v>
      </c>
      <c r="C92">
        <v>240</v>
      </c>
      <c r="D92">
        <v>0.33430563028909699</v>
      </c>
      <c r="E92">
        <v>1.47539399093219</v>
      </c>
      <c r="F92">
        <v>2.5427440136239099</v>
      </c>
      <c r="G92">
        <v>-24.055590214246877</v>
      </c>
      <c r="H92">
        <v>-21.099877542411235</v>
      </c>
      <c r="I92">
        <v>2.8916623507661599</v>
      </c>
      <c r="J92">
        <v>1.7080608581627601</v>
      </c>
      <c r="K92">
        <v>0.580236934204581</v>
      </c>
      <c r="L92">
        <v>0</v>
      </c>
      <c r="M92">
        <v>1.2382722283092387E-6</v>
      </c>
      <c r="N92">
        <v>0</v>
      </c>
      <c r="O92" s="1">
        <v>8.2487431147755202E-13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748</v>
      </c>
      <c r="C93">
        <v>240</v>
      </c>
      <c r="D93">
        <v>0.33358517357881101</v>
      </c>
      <c r="E93">
        <v>1.6710733636186199</v>
      </c>
      <c r="F93">
        <v>2.5427440136239099</v>
      </c>
      <c r="G93">
        <v>-27.242774144988275</v>
      </c>
      <c r="H93">
        <v>-23.900258279712268</v>
      </c>
      <c r="I93">
        <v>3.2732858691436202</v>
      </c>
      <c r="J93">
        <v>1.9343488132001101</v>
      </c>
      <c r="K93">
        <v>0.65719292019372999</v>
      </c>
      <c r="L93">
        <v>0</v>
      </c>
      <c r="M93">
        <v>1.2382722283092387E-6</v>
      </c>
      <c r="N93">
        <v>0</v>
      </c>
      <c r="O93" s="1">
        <v>9.3427619924930508E-13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747</v>
      </c>
      <c r="C94">
        <v>240</v>
      </c>
      <c r="D94">
        <v>0.33286330441601902</v>
      </c>
      <c r="E94">
        <v>1.8658478669515199</v>
      </c>
      <c r="F94">
        <v>2.5427440136239099</v>
      </c>
      <c r="G94">
        <v>-30.414443464335879</v>
      </c>
      <c r="H94">
        <v>-26.68814898794114</v>
      </c>
      <c r="I94">
        <v>3.6526927181245199</v>
      </c>
      <c r="J94">
        <v>2.1595303864145001</v>
      </c>
      <c r="K94">
        <v>0.73379304285228697</v>
      </c>
      <c r="L94">
        <v>0</v>
      </c>
      <c r="M94">
        <v>1.2382722283092387E-6</v>
      </c>
      <c r="N94">
        <v>0</v>
      </c>
      <c r="O94" s="1">
        <v>1.0431721858925699E-12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746</v>
      </c>
      <c r="C95">
        <v>240</v>
      </c>
      <c r="D95">
        <v>0.33214001864298798</v>
      </c>
      <c r="E95">
        <v>9.8229583065182204</v>
      </c>
      <c r="F95">
        <v>2.5427440136239099</v>
      </c>
      <c r="G95">
        <v>-160.10090935540842</v>
      </c>
      <c r="H95">
        <v>-140.51402101566347</v>
      </c>
      <c r="I95">
        <v>19.218847411808699</v>
      </c>
      <c r="J95">
        <v>11.367607592823999</v>
      </c>
      <c r="K95">
        <v>3.8631329987947001</v>
      </c>
      <c r="L95">
        <v>0</v>
      </c>
      <c r="M95">
        <v>1.2382722283092385E-6</v>
      </c>
      <c r="N95">
        <v>0</v>
      </c>
      <c r="O95" s="1">
        <v>5.4918930262434004E-12</v>
      </c>
      <c r="P95">
        <v>0</v>
      </c>
      <c r="Q95">
        <v>100</v>
      </c>
      <c r="AJ95">
        <v>1</v>
      </c>
    </row>
    <row r="96" spans="1:36" x14ac:dyDescent="0.2">
      <c r="A96">
        <v>100</v>
      </c>
      <c r="B96">
        <v>745</v>
      </c>
      <c r="C96">
        <v>240</v>
      </c>
      <c r="D96">
        <v>0.33141531208564601</v>
      </c>
      <c r="E96">
        <v>15.098430841788099</v>
      </c>
      <c r="F96">
        <v>2.5427440136239099</v>
      </c>
      <c r="G96">
        <v>-246.0544310562332</v>
      </c>
      <c r="H96">
        <v>-215.99530246265945</v>
      </c>
      <c r="I96">
        <v>29.5232810426496</v>
      </c>
      <c r="J96">
        <v>17.470371478491501</v>
      </c>
      <c r="K96">
        <v>5.9378493316241903</v>
      </c>
      <c r="L96">
        <v>0</v>
      </c>
      <c r="M96">
        <v>1.2382722283092387E-6</v>
      </c>
      <c r="N96">
        <v>0</v>
      </c>
      <c r="O96" s="1">
        <v>8.4413436828101099E-12</v>
      </c>
      <c r="P96">
        <v>0</v>
      </c>
      <c r="Q96">
        <v>100</v>
      </c>
      <c r="AJ96">
        <v>1</v>
      </c>
    </row>
    <row r="97" spans="1:36" x14ac:dyDescent="0.2">
      <c r="A97">
        <v>101</v>
      </c>
      <c r="B97">
        <v>744</v>
      </c>
      <c r="C97">
        <v>240</v>
      </c>
      <c r="D97">
        <v>0.33068918055350899</v>
      </c>
      <c r="E97">
        <v>25.047011810387598</v>
      </c>
      <c r="F97">
        <v>2.5427440136239099</v>
      </c>
      <c r="G97">
        <v>-408.13439821777041</v>
      </c>
      <c r="H97">
        <v>-358.34680441794933</v>
      </c>
      <c r="I97">
        <v>48.948133313494601</v>
      </c>
      <c r="J97">
        <v>28.978084039661599</v>
      </c>
      <c r="K97">
        <v>9.8503866988524393</v>
      </c>
      <c r="L97">
        <v>0</v>
      </c>
      <c r="M97">
        <v>1.2382722283092387E-6</v>
      </c>
      <c r="N97">
        <v>0</v>
      </c>
      <c r="O97" s="1">
        <v>1.40034707668896E-11</v>
      </c>
      <c r="P97">
        <v>0</v>
      </c>
      <c r="Q97">
        <v>100</v>
      </c>
      <c r="AJ97">
        <v>1</v>
      </c>
    </row>
    <row r="98" spans="1:36" x14ac:dyDescent="0.2">
      <c r="A98">
        <v>102</v>
      </c>
      <c r="B98">
        <v>743</v>
      </c>
      <c r="C98">
        <v>240</v>
      </c>
      <c r="D98">
        <v>0.32996161983958999</v>
      </c>
      <c r="E98">
        <v>30.0292382531672</v>
      </c>
      <c r="F98">
        <v>2.5427440136239099</v>
      </c>
      <c r="G98">
        <v>-489.25978591327782</v>
      </c>
      <c r="H98">
        <v>-429.66210027752157</v>
      </c>
      <c r="I98">
        <v>58.650480377657097</v>
      </c>
      <c r="J98">
        <v>34.7377233601566</v>
      </c>
      <c r="K98">
        <v>11.809776403866</v>
      </c>
      <c r="L98">
        <v>0</v>
      </c>
      <c r="M98">
        <v>1.2382722283092387E-6</v>
      </c>
      <c r="N98">
        <v>0</v>
      </c>
      <c r="O98" s="1">
        <v>1.67889712039739E-11</v>
      </c>
      <c r="P98">
        <v>0</v>
      </c>
      <c r="Q98">
        <v>100</v>
      </c>
      <c r="AJ98">
        <v>1</v>
      </c>
    </row>
    <row r="99" spans="1:36" x14ac:dyDescent="0.2">
      <c r="A99">
        <v>103</v>
      </c>
      <c r="B99">
        <v>742</v>
      </c>
      <c r="C99">
        <v>240</v>
      </c>
      <c r="D99">
        <v>0.32923262572033701</v>
      </c>
      <c r="E99">
        <v>31.3799035172438</v>
      </c>
      <c r="F99">
        <v>2.5427440136239099</v>
      </c>
      <c r="G99">
        <v>-511.20460790625867</v>
      </c>
      <c r="H99">
        <v>-449.0238857592152</v>
      </c>
      <c r="I99">
        <v>61.252743089241399</v>
      </c>
      <c r="J99">
        <v>36.295417617435803</v>
      </c>
      <c r="K99">
        <v>12.3409605328384</v>
      </c>
      <c r="L99">
        <v>0</v>
      </c>
      <c r="M99">
        <v>1.2382722283092385E-6</v>
      </c>
      <c r="N99">
        <v>0</v>
      </c>
      <c r="O99" s="1">
        <v>1.7544111245609698E-11</v>
      </c>
      <c r="P99">
        <v>0</v>
      </c>
      <c r="Q99">
        <v>100</v>
      </c>
      <c r="AJ99">
        <v>1</v>
      </c>
    </row>
    <row r="100" spans="1:36" x14ac:dyDescent="0.2">
      <c r="A100">
        <v>105</v>
      </c>
      <c r="B100">
        <v>756</v>
      </c>
      <c r="C100">
        <v>225</v>
      </c>
      <c r="D100">
        <v>0.35534227274935698</v>
      </c>
      <c r="E100">
        <v>9.8613153012780605E-2</v>
      </c>
      <c r="F100">
        <v>2.5422717692855801</v>
      </c>
      <c r="G100">
        <v>-1.6097775229708429</v>
      </c>
      <c r="H100">
        <v>-1.4100668972799408</v>
      </c>
      <c r="I100">
        <v>0.19405395296205699</v>
      </c>
      <c r="J100">
        <v>0.114266509230598</v>
      </c>
      <c r="K100">
        <v>3.8789382867785299E-2</v>
      </c>
      <c r="L100">
        <v>0</v>
      </c>
      <c r="M100">
        <v>1.2382554563563432E-6</v>
      </c>
      <c r="N100">
        <v>0</v>
      </c>
      <c r="O100" s="1">
        <v>5.5133379418641299E-14</v>
      </c>
      <c r="P100">
        <v>0</v>
      </c>
      <c r="Q100">
        <v>100</v>
      </c>
      <c r="AJ100">
        <v>1</v>
      </c>
    </row>
    <row r="101" spans="1:36" x14ac:dyDescent="0.2">
      <c r="A101">
        <v>106</v>
      </c>
      <c r="B101">
        <v>755</v>
      </c>
      <c r="C101">
        <v>225</v>
      </c>
      <c r="D101">
        <v>0.354647181831445</v>
      </c>
      <c r="E101">
        <v>0.29677371448212497</v>
      </c>
      <c r="F101">
        <v>2.5422717692855801</v>
      </c>
      <c r="G101">
        <v>-4.8439996770773908</v>
      </c>
      <c r="H101">
        <v>-4.2439034462640128</v>
      </c>
      <c r="I101">
        <v>0.58366603201223199</v>
      </c>
      <c r="J101">
        <v>0.34383841014248701</v>
      </c>
      <c r="K101">
        <v>0.116735637026533</v>
      </c>
      <c r="L101">
        <v>0</v>
      </c>
      <c r="M101">
        <v>1.2382554563563434E-6</v>
      </c>
      <c r="N101">
        <v>0</v>
      </c>
      <c r="O101" s="1">
        <v>1.65922468779615E-13</v>
      </c>
      <c r="P101">
        <v>0</v>
      </c>
      <c r="Q101">
        <v>100</v>
      </c>
      <c r="AJ101">
        <v>1</v>
      </c>
    </row>
    <row r="102" spans="1:36" x14ac:dyDescent="0.2">
      <c r="A102">
        <v>107</v>
      </c>
      <c r="B102">
        <v>754</v>
      </c>
      <c r="C102">
        <v>225</v>
      </c>
      <c r="D102">
        <v>0.35395073747748601</v>
      </c>
      <c r="E102">
        <v>0.494012654539636</v>
      </c>
      <c r="F102">
        <v>2.5422717692855801</v>
      </c>
      <c r="G102">
        <v>-8.0624016431503769</v>
      </c>
      <c r="H102">
        <v>-7.0650187482962075</v>
      </c>
      <c r="I102">
        <v>0.97101970973486695</v>
      </c>
      <c r="J102">
        <v>0.57228418826139604</v>
      </c>
      <c r="K102">
        <v>0.194319372345648</v>
      </c>
      <c r="L102">
        <v>0</v>
      </c>
      <c r="M102">
        <v>1.2382554563563434E-6</v>
      </c>
      <c r="N102">
        <v>0</v>
      </c>
      <c r="O102" s="1">
        <v>2.7619629114600898E-13</v>
      </c>
      <c r="P102">
        <v>0</v>
      </c>
      <c r="Q102">
        <v>100</v>
      </c>
      <c r="AJ102">
        <v>1</v>
      </c>
    </row>
    <row r="103" spans="1:36" x14ac:dyDescent="0.2">
      <c r="A103">
        <v>108</v>
      </c>
      <c r="B103">
        <v>753</v>
      </c>
      <c r="C103">
        <v>225</v>
      </c>
      <c r="D103">
        <v>0.35325293573064698</v>
      </c>
      <c r="E103">
        <v>0.69033705295401004</v>
      </c>
      <c r="F103">
        <v>2.5422717692855801</v>
      </c>
      <c r="G103">
        <v>-11.26510505430822</v>
      </c>
      <c r="H103">
        <v>-9.8735107708853747</v>
      </c>
      <c r="I103">
        <v>1.3561314461071401</v>
      </c>
      <c r="J103">
        <v>0.79961226172330502</v>
      </c>
      <c r="K103">
        <v>0.271543373644905</v>
      </c>
      <c r="L103">
        <v>0</v>
      </c>
      <c r="M103">
        <v>1.2382554563563432E-6</v>
      </c>
      <c r="N103">
        <v>0</v>
      </c>
      <c r="O103" s="1">
        <v>3.8595880472787799E-13</v>
      </c>
      <c r="P103">
        <v>0</v>
      </c>
      <c r="Q103">
        <v>100</v>
      </c>
      <c r="AJ103">
        <v>1</v>
      </c>
    </row>
    <row r="104" spans="1:36" x14ac:dyDescent="0.2">
      <c r="A104">
        <v>109</v>
      </c>
      <c r="B104">
        <v>752</v>
      </c>
      <c r="C104">
        <v>225</v>
      </c>
      <c r="D104">
        <v>0.35255377261864101</v>
      </c>
      <c r="E104">
        <v>0.88575391659244296</v>
      </c>
      <c r="F104">
        <v>2.5422717692855801</v>
      </c>
      <c r="G104">
        <v>-14.45223029308622</v>
      </c>
      <c r="H104">
        <v>-12.669476472148743</v>
      </c>
      <c r="I104">
        <v>1.73901753005655</v>
      </c>
      <c r="J104">
        <v>1.02583096099593</v>
      </c>
      <c r="K104">
        <v>0.34841039706834798</v>
      </c>
      <c r="L104">
        <v>0</v>
      </c>
      <c r="M104">
        <v>1.2382554563563436E-6</v>
      </c>
      <c r="N104">
        <v>0</v>
      </c>
      <c r="O104" s="1">
        <v>4.9521392697695804E-13</v>
      </c>
      <c r="P104">
        <v>0</v>
      </c>
      <c r="Q104">
        <v>100</v>
      </c>
      <c r="AJ104">
        <v>1</v>
      </c>
    </row>
    <row r="105" spans="1:36" x14ac:dyDescent="0.2">
      <c r="A105">
        <v>110</v>
      </c>
      <c r="B105">
        <v>751</v>
      </c>
      <c r="C105">
        <v>225</v>
      </c>
      <c r="D105">
        <v>0.35185324415369101</v>
      </c>
      <c r="E105">
        <v>1.0802701792634899</v>
      </c>
      <c r="F105">
        <v>2.5422717692855801</v>
      </c>
      <c r="G105">
        <v>-17.623896489661309</v>
      </c>
      <c r="H105">
        <v>-15.453011798133609</v>
      </c>
      <c r="I105">
        <v>2.1196940795075898</v>
      </c>
      <c r="J105">
        <v>1.25094852873333</v>
      </c>
      <c r="K105">
        <v>0.42492317002248398</v>
      </c>
      <c r="L105">
        <v>0</v>
      </c>
      <c r="M105">
        <v>1.2382554563563432E-6</v>
      </c>
      <c r="N105">
        <v>0</v>
      </c>
      <c r="O105" s="1">
        <v>6.0396553449882198E-13</v>
      </c>
      <c r="P105">
        <v>0</v>
      </c>
      <c r="Q105">
        <v>100</v>
      </c>
      <c r="AJ105">
        <v>1</v>
      </c>
    </row>
    <row r="106" spans="1:36" x14ac:dyDescent="0.2">
      <c r="A106">
        <v>111</v>
      </c>
      <c r="B106">
        <v>750</v>
      </c>
      <c r="C106">
        <v>225</v>
      </c>
      <c r="D106">
        <v>0.35115134633240402</v>
      </c>
      <c r="E106">
        <v>1.8457004629963001</v>
      </c>
      <c r="F106">
        <v>2.5422717692855801</v>
      </c>
      <c r="G106">
        <v>-30.107766873775855</v>
      </c>
      <c r="H106">
        <v>-26.404449836774031</v>
      </c>
      <c r="I106">
        <v>3.6195250324994599</v>
      </c>
      <c r="J106">
        <v>2.13703914503634</v>
      </c>
      <c r="K106">
        <v>0.72600438918258203</v>
      </c>
      <c r="L106">
        <v>0</v>
      </c>
      <c r="M106">
        <v>1.2382554563563432E-6</v>
      </c>
      <c r="N106">
        <v>0</v>
      </c>
      <c r="O106" s="1">
        <v>1.03190802454464E-12</v>
      </c>
      <c r="P106">
        <v>0</v>
      </c>
      <c r="Q106">
        <v>100</v>
      </c>
      <c r="AJ106">
        <v>1</v>
      </c>
    </row>
    <row r="107" spans="1:36" x14ac:dyDescent="0.2">
      <c r="A107">
        <v>112</v>
      </c>
      <c r="B107">
        <v>749</v>
      </c>
      <c r="C107">
        <v>225</v>
      </c>
      <c r="D107">
        <v>0.350448075135744</v>
      </c>
      <c r="E107">
        <v>6.8784011663896498</v>
      </c>
      <c r="F107">
        <v>2.5422717692855801</v>
      </c>
      <c r="G107">
        <v>-112.18960691273371</v>
      </c>
      <c r="H107">
        <v>-98.409845293519325</v>
      </c>
      <c r="I107">
        <v>13.481154056855001</v>
      </c>
      <c r="J107">
        <v>7.96311213903489</v>
      </c>
      <c r="K107">
        <v>2.7056120629945801</v>
      </c>
      <c r="L107">
        <v>0</v>
      </c>
      <c r="M107">
        <v>1.2382554563563434E-6</v>
      </c>
      <c r="N107">
        <v>0</v>
      </c>
      <c r="O107" s="1">
        <v>3.8456279889056603E-12</v>
      </c>
      <c r="P107">
        <v>0</v>
      </c>
      <c r="Q107">
        <v>100</v>
      </c>
      <c r="AJ107">
        <v>1</v>
      </c>
    </row>
    <row r="108" spans="1:36" x14ac:dyDescent="0.2">
      <c r="A108">
        <v>113</v>
      </c>
      <c r="B108">
        <v>748</v>
      </c>
      <c r="C108">
        <v>225</v>
      </c>
      <c r="D108">
        <v>0.34974342652891699</v>
      </c>
      <c r="E108">
        <v>13.151827087170499</v>
      </c>
      <c r="F108">
        <v>2.5422717692855801</v>
      </c>
      <c r="G108">
        <v>-214.48604477160671</v>
      </c>
      <c r="H108">
        <v>-188.17948537493197</v>
      </c>
      <c r="I108">
        <v>25.761699453238698</v>
      </c>
      <c r="J108">
        <v>15.2238804539328</v>
      </c>
      <c r="K108">
        <v>5.1732577319483202</v>
      </c>
      <c r="L108">
        <v>0</v>
      </c>
      <c r="M108">
        <v>1.2382554563563432E-6</v>
      </c>
      <c r="N108">
        <v>0</v>
      </c>
      <c r="O108" s="1">
        <v>7.3530218910185702E-12</v>
      </c>
      <c r="P108">
        <v>0</v>
      </c>
      <c r="Q108">
        <v>100</v>
      </c>
      <c r="AJ108">
        <v>1</v>
      </c>
    </row>
    <row r="109" spans="1:36" x14ac:dyDescent="0.2">
      <c r="A109">
        <v>114</v>
      </c>
      <c r="B109">
        <v>747</v>
      </c>
      <c r="C109">
        <v>225</v>
      </c>
      <c r="D109">
        <v>0.34903739646130499</v>
      </c>
      <c r="E109">
        <v>22.2614150787958</v>
      </c>
      <c r="F109">
        <v>2.5422717692855801</v>
      </c>
      <c r="G109">
        <v>-363.00580244339801</v>
      </c>
      <c r="H109">
        <v>-318.54741464333705</v>
      </c>
      <c r="I109">
        <v>43.580245846258698</v>
      </c>
      <c r="J109">
        <v>25.765338728173202</v>
      </c>
      <c r="K109">
        <v>8.7565048504045802</v>
      </c>
      <c r="L109">
        <v>0</v>
      </c>
      <c r="M109">
        <v>1.2382554563563432E-6</v>
      </c>
      <c r="N109">
        <v>0</v>
      </c>
      <c r="O109" s="1">
        <v>1.24460785041123E-11</v>
      </c>
      <c r="P109">
        <v>0</v>
      </c>
      <c r="Q109">
        <v>100</v>
      </c>
      <c r="AJ109">
        <v>1</v>
      </c>
    </row>
    <row r="110" spans="1:36" x14ac:dyDescent="0.2">
      <c r="A110">
        <v>115</v>
      </c>
      <c r="B110">
        <v>746</v>
      </c>
      <c r="C110">
        <v>225</v>
      </c>
      <c r="D110">
        <v>0.34832998086640898</v>
      </c>
      <c r="E110">
        <v>28.670269393687899</v>
      </c>
      <c r="F110">
        <v>2.5422717692855801</v>
      </c>
      <c r="G110">
        <v>-467.45568578901123</v>
      </c>
      <c r="H110">
        <v>-410.28743282880703</v>
      </c>
      <c r="I110">
        <v>56.094051866952</v>
      </c>
      <c r="J110">
        <v>33.1786374204328</v>
      </c>
      <c r="K110">
        <v>11.2774211396544</v>
      </c>
      <c r="L110">
        <v>0</v>
      </c>
      <c r="M110">
        <v>1.2382554563563434E-6</v>
      </c>
      <c r="N110">
        <v>0</v>
      </c>
      <c r="O110" s="1">
        <v>1.6029188726092099E-11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745</v>
      </c>
      <c r="C111">
        <v>225</v>
      </c>
      <c r="D111">
        <v>0.347621175661739</v>
      </c>
      <c r="E111">
        <v>30.845107662750699</v>
      </c>
      <c r="F111">
        <v>2.5422717692855801</v>
      </c>
      <c r="G111">
        <v>-502.85510167054565</v>
      </c>
      <c r="H111">
        <v>-441.44626604829756</v>
      </c>
      <c r="I111">
        <v>60.314134088541003</v>
      </c>
      <c r="J111">
        <v>35.690827398491301</v>
      </c>
      <c r="K111">
        <v>12.132891548183499</v>
      </c>
      <c r="L111">
        <v>0</v>
      </c>
      <c r="M111">
        <v>1.2382554563563432E-6</v>
      </c>
      <c r="N111">
        <v>0</v>
      </c>
      <c r="O111" s="1">
        <v>1.7245113577890201E-11</v>
      </c>
      <c r="P111">
        <v>0</v>
      </c>
      <c r="Q111">
        <v>100</v>
      </c>
      <c r="AJ111">
        <v>1</v>
      </c>
    </row>
    <row r="112" spans="1:36" x14ac:dyDescent="0.2">
      <c r="A112">
        <v>118</v>
      </c>
      <c r="B112">
        <v>756</v>
      </c>
      <c r="C112">
        <v>210</v>
      </c>
      <c r="D112">
        <v>0.371374921051355</v>
      </c>
      <c r="E112">
        <v>0.14469587116406901</v>
      </c>
      <c r="F112">
        <v>2.54179961905457</v>
      </c>
      <c r="G112">
        <v>-2.362893302972398</v>
      </c>
      <c r="H112">
        <v>-2.069856298453121</v>
      </c>
      <c r="I112">
        <v>0.28473692320777</v>
      </c>
      <c r="J112">
        <v>0.167664166420636</v>
      </c>
      <c r="K112">
        <v>5.6926545302532001E-2</v>
      </c>
      <c r="L112">
        <v>0</v>
      </c>
      <c r="M112">
        <v>1.2382386510400953E-6</v>
      </c>
      <c r="N112">
        <v>0</v>
      </c>
      <c r="O112" s="1">
        <v>8.0897650277600804E-14</v>
      </c>
      <c r="P112">
        <v>0</v>
      </c>
      <c r="Q112">
        <v>100</v>
      </c>
      <c r="AJ112">
        <v>1</v>
      </c>
    </row>
    <row r="113" spans="1:36" x14ac:dyDescent="0.2">
      <c r="A113">
        <v>119</v>
      </c>
      <c r="B113">
        <v>755</v>
      </c>
      <c r="C113">
        <v>210</v>
      </c>
      <c r="D113">
        <v>0.37069542381948001</v>
      </c>
      <c r="E113">
        <v>0.33853189327387201</v>
      </c>
      <c r="F113">
        <v>2.54179961905457</v>
      </c>
      <c r="G113">
        <v>-5.527582591534757</v>
      </c>
      <c r="H113">
        <v>-4.8430485399989909</v>
      </c>
      <c r="I113">
        <v>0.66579200655134396</v>
      </c>
      <c r="J113">
        <v>0.39221892737008301</v>
      </c>
      <c r="K113">
        <v>0.13318590920231099</v>
      </c>
      <c r="L113">
        <v>0</v>
      </c>
      <c r="M113">
        <v>1.2382386510400953E-6</v>
      </c>
      <c r="N113">
        <v>0</v>
      </c>
      <c r="O113" s="1">
        <v>1.8926894381685999E-13</v>
      </c>
      <c r="P113">
        <v>0</v>
      </c>
      <c r="Q113">
        <v>100</v>
      </c>
      <c r="AJ113">
        <v>1</v>
      </c>
    </row>
    <row r="114" spans="1:36" x14ac:dyDescent="0.2">
      <c r="A114">
        <v>120</v>
      </c>
      <c r="B114">
        <v>754</v>
      </c>
      <c r="C114">
        <v>210</v>
      </c>
      <c r="D114">
        <v>0.37001460351457899</v>
      </c>
      <c r="E114">
        <v>0.791640445424585</v>
      </c>
      <c r="F114">
        <v>2.54179961905457</v>
      </c>
      <c r="G114">
        <v>-12.92442784557276</v>
      </c>
      <c r="H114">
        <v>-11.326151704494945</v>
      </c>
      <c r="I114">
        <v>1.5560299285185299</v>
      </c>
      <c r="J114">
        <v>0.91706822799283205</v>
      </c>
      <c r="K114">
        <v>0.31144880166401001</v>
      </c>
      <c r="L114">
        <v>0</v>
      </c>
      <c r="M114">
        <v>1.2382386510400953E-6</v>
      </c>
      <c r="N114">
        <v>0</v>
      </c>
      <c r="O114" s="1">
        <v>4.4259626335119002E-13</v>
      </c>
      <c r="P114">
        <v>0</v>
      </c>
      <c r="Q114">
        <v>100</v>
      </c>
      <c r="AJ114">
        <v>1</v>
      </c>
    </row>
    <row r="115" spans="1:36" x14ac:dyDescent="0.2">
      <c r="A115">
        <v>121</v>
      </c>
      <c r="B115">
        <v>753</v>
      </c>
      <c r="C115">
        <v>210</v>
      </c>
      <c r="D115">
        <v>0.36933245626858002</v>
      </c>
      <c r="E115">
        <v>1.69506639317846</v>
      </c>
      <c r="F115">
        <v>2.54179961905457</v>
      </c>
      <c r="G115">
        <v>-27.670549934090467</v>
      </c>
      <c r="H115">
        <v>-24.253603541490438</v>
      </c>
      <c r="I115">
        <v>3.32987028465626</v>
      </c>
      <c r="J115">
        <v>1.96338276588334</v>
      </c>
      <c r="K115">
        <v>0.66687648407507005</v>
      </c>
      <c r="L115">
        <v>0</v>
      </c>
      <c r="M115">
        <v>1.2382386510400951E-6</v>
      </c>
      <c r="N115">
        <v>0</v>
      </c>
      <c r="O115" s="1">
        <v>9.4769040173357306E-13</v>
      </c>
      <c r="P115">
        <v>0</v>
      </c>
      <c r="Q115">
        <v>100</v>
      </c>
      <c r="AJ115">
        <v>1</v>
      </c>
    </row>
    <row r="116" spans="1:36" x14ac:dyDescent="0.2">
      <c r="A116">
        <v>122</v>
      </c>
      <c r="B116">
        <v>752</v>
      </c>
      <c r="C116">
        <v>210</v>
      </c>
      <c r="D116">
        <v>0.36864897819831499</v>
      </c>
      <c r="E116">
        <v>5.0446538082115904</v>
      </c>
      <c r="F116">
        <v>2.54179961905457</v>
      </c>
      <c r="G116">
        <v>-82.33987320298715</v>
      </c>
      <c r="H116">
        <v>-72.186516064591245</v>
      </c>
      <c r="I116">
        <v>9.9042648767457493</v>
      </c>
      <c r="J116">
        <v>5.8424376872957398</v>
      </c>
      <c r="K116">
        <v>1.98467800938925</v>
      </c>
      <c r="L116">
        <v>0</v>
      </c>
      <c r="M116">
        <v>1.2382386510400953E-6</v>
      </c>
      <c r="N116">
        <v>0</v>
      </c>
      <c r="O116" s="1">
        <v>2.8204027956369801E-12</v>
      </c>
      <c r="P116">
        <v>0</v>
      </c>
      <c r="Q116">
        <v>100</v>
      </c>
      <c r="AJ116">
        <v>1</v>
      </c>
    </row>
    <row r="117" spans="1:36" x14ac:dyDescent="0.2">
      <c r="A117">
        <v>123</v>
      </c>
      <c r="B117">
        <v>751</v>
      </c>
      <c r="C117">
        <v>210</v>
      </c>
      <c r="D117">
        <v>0.36796416540546001</v>
      </c>
      <c r="E117">
        <v>11.8562339087597</v>
      </c>
      <c r="F117">
        <v>2.54179961905457</v>
      </c>
      <c r="G117">
        <v>-193.49660855552773</v>
      </c>
      <c r="H117">
        <v>-169.67060911042037</v>
      </c>
      <c r="I117">
        <v>23.264169745747498</v>
      </c>
      <c r="J117">
        <v>13.7294712463442</v>
      </c>
      <c r="K117">
        <v>4.6645037712176904</v>
      </c>
      <c r="L117">
        <v>0</v>
      </c>
      <c r="M117">
        <v>1.2382386510400953E-6</v>
      </c>
      <c r="N117">
        <v>0</v>
      </c>
      <c r="O117" s="1">
        <v>6.6286719630909101E-12</v>
      </c>
      <c r="P117">
        <v>0</v>
      </c>
      <c r="Q117">
        <v>100</v>
      </c>
      <c r="AJ117">
        <v>1</v>
      </c>
    </row>
    <row r="118" spans="1:36" x14ac:dyDescent="0.2">
      <c r="A118">
        <v>124</v>
      </c>
      <c r="B118">
        <v>750</v>
      </c>
      <c r="C118">
        <v>210</v>
      </c>
      <c r="D118">
        <v>0.36727801397644499</v>
      </c>
      <c r="E118">
        <v>16.154130230521101</v>
      </c>
      <c r="F118">
        <v>2.54179961905457</v>
      </c>
      <c r="G118">
        <v>-263.60762900795743</v>
      </c>
      <c r="H118">
        <v>-231.19507512935172</v>
      </c>
      <c r="I118">
        <v>31.679180842110799</v>
      </c>
      <c r="J118">
        <v>18.704014735194701</v>
      </c>
      <c r="K118">
        <v>6.3553909243757198</v>
      </c>
      <c r="L118">
        <v>0</v>
      </c>
      <c r="M118">
        <v>1.2382386510400953E-6</v>
      </c>
      <c r="N118">
        <v>0</v>
      </c>
      <c r="O118" s="1">
        <v>9.0315719958983195E-12</v>
      </c>
      <c r="P118">
        <v>0</v>
      </c>
      <c r="Q118">
        <v>100</v>
      </c>
      <c r="AJ118">
        <v>1</v>
      </c>
    </row>
    <row r="119" spans="1:36" x14ac:dyDescent="0.2">
      <c r="A119">
        <v>125</v>
      </c>
      <c r="B119">
        <v>749</v>
      </c>
      <c r="C119">
        <v>210</v>
      </c>
      <c r="D119">
        <v>0.36659051998239101</v>
      </c>
      <c r="E119">
        <v>27.234507896735099</v>
      </c>
      <c r="F119">
        <v>2.54179961905457</v>
      </c>
      <c r="G119">
        <v>-444.3669472466176</v>
      </c>
      <c r="H119">
        <v>-389.80702589928472</v>
      </c>
      <c r="I119">
        <v>53.377607344648801</v>
      </c>
      <c r="J119">
        <v>31.529338749947399</v>
      </c>
      <c r="K119">
        <v>10.7146557472791</v>
      </c>
      <c r="L119">
        <v>0</v>
      </c>
      <c r="M119">
        <v>1.2382386510400953E-6</v>
      </c>
      <c r="N119">
        <v>0</v>
      </c>
      <c r="O119" s="1">
        <v>1.5226472445882301E-11</v>
      </c>
      <c r="P119">
        <v>0</v>
      </c>
      <c r="Q119">
        <v>100</v>
      </c>
      <c r="AJ119">
        <v>1</v>
      </c>
    </row>
    <row r="120" spans="1:36" x14ac:dyDescent="0.2">
      <c r="A120">
        <v>126</v>
      </c>
      <c r="B120">
        <v>748</v>
      </c>
      <c r="C120">
        <v>210</v>
      </c>
      <c r="D120">
        <v>0.36590167947901903</v>
      </c>
      <c r="E120">
        <v>30.324302664452802</v>
      </c>
      <c r="F120">
        <v>2.54179961905457</v>
      </c>
      <c r="G120">
        <v>-494.72161136811485</v>
      </c>
      <c r="H120">
        <v>-434.06630743826435</v>
      </c>
      <c r="I120">
        <v>59.3990147675174</v>
      </c>
      <c r="J120">
        <v>35.101857373326098</v>
      </c>
      <c r="K120">
        <v>11.930249118430501</v>
      </c>
      <c r="L120">
        <v>0</v>
      </c>
      <c r="M120">
        <v>1.2382386510400953E-6</v>
      </c>
      <c r="N120">
        <v>0</v>
      </c>
      <c r="O120" s="1">
        <v>1.69539380227332E-11</v>
      </c>
      <c r="P120">
        <v>0</v>
      </c>
      <c r="Q120">
        <v>100</v>
      </c>
      <c r="AJ120">
        <v>1</v>
      </c>
    </row>
    <row r="121" spans="1:36" x14ac:dyDescent="0.2">
      <c r="A121">
        <v>127</v>
      </c>
      <c r="B121">
        <v>747</v>
      </c>
      <c r="C121">
        <v>210</v>
      </c>
      <c r="D121">
        <v>0.36521148850659502</v>
      </c>
      <c r="E121">
        <v>31.447945027695901</v>
      </c>
      <c r="F121">
        <v>2.54179961905457</v>
      </c>
      <c r="G121">
        <v>-512.99153600204681</v>
      </c>
      <c r="H121">
        <v>-450.18668147651272</v>
      </c>
      <c r="I121">
        <v>61.564333211325803</v>
      </c>
      <c r="J121">
        <v>36.397818965037096</v>
      </c>
      <c r="K121">
        <v>12.372314793009901</v>
      </c>
      <c r="L121">
        <v>0</v>
      </c>
      <c r="M121">
        <v>1.2382386510400956E-6</v>
      </c>
      <c r="N121">
        <v>0</v>
      </c>
      <c r="O121" s="1">
        <v>1.7582152402365899E-11</v>
      </c>
      <c r="P121">
        <v>0</v>
      </c>
      <c r="Q121">
        <v>100</v>
      </c>
      <c r="AJ121">
        <v>1</v>
      </c>
    </row>
    <row r="122" spans="1:36" x14ac:dyDescent="0.2">
      <c r="A122">
        <v>130</v>
      </c>
      <c r="B122">
        <v>757</v>
      </c>
      <c r="C122">
        <v>195</v>
      </c>
      <c r="D122">
        <v>0.388070183953793</v>
      </c>
      <c r="E122">
        <v>0.85839851881413198</v>
      </c>
      <c r="F122">
        <v>2.54132756292374</v>
      </c>
      <c r="G122">
        <v>-14.024461345894927</v>
      </c>
      <c r="H122">
        <v>-12.283354650442487</v>
      </c>
      <c r="I122">
        <v>1.6901487117919101</v>
      </c>
      <c r="J122">
        <v>0.99478242946304696</v>
      </c>
      <c r="K122">
        <v>0.33777563008310502</v>
      </c>
      <c r="L122">
        <v>0</v>
      </c>
      <c r="M122">
        <v>1.238221812380692E-6</v>
      </c>
      <c r="N122">
        <v>0</v>
      </c>
      <c r="O122" s="1">
        <v>4.7991986651157602E-13</v>
      </c>
      <c r="P122">
        <v>0</v>
      </c>
      <c r="Q122">
        <v>100</v>
      </c>
      <c r="AJ122">
        <v>1</v>
      </c>
    </row>
    <row r="123" spans="1:36" x14ac:dyDescent="0.2">
      <c r="A123">
        <v>131</v>
      </c>
      <c r="B123">
        <v>756</v>
      </c>
      <c r="C123">
        <v>195</v>
      </c>
      <c r="D123">
        <v>0.38740756935335302</v>
      </c>
      <c r="E123">
        <v>1.7938797927586601</v>
      </c>
      <c r="F123">
        <v>2.54132756292374</v>
      </c>
      <c r="G123">
        <v>-29.304764866377202</v>
      </c>
      <c r="H123">
        <v>-25.671812822143643</v>
      </c>
      <c r="I123">
        <v>3.5300510559525402</v>
      </c>
      <c r="J123">
        <v>2.0786312538985001</v>
      </c>
      <c r="K123">
        <v>0.70588294831809895</v>
      </c>
      <c r="L123">
        <v>0</v>
      </c>
      <c r="M123">
        <v>1.238221812380692E-6</v>
      </c>
      <c r="N123">
        <v>0</v>
      </c>
      <c r="O123" s="1">
        <v>1.0029357365013801E-12</v>
      </c>
      <c r="P123">
        <v>0</v>
      </c>
      <c r="Q123">
        <v>100</v>
      </c>
      <c r="AJ123">
        <v>1</v>
      </c>
    </row>
    <row r="124" spans="1:36" x14ac:dyDescent="0.2">
      <c r="A124">
        <v>132</v>
      </c>
      <c r="B124">
        <v>755</v>
      </c>
      <c r="C124">
        <v>195</v>
      </c>
      <c r="D124">
        <v>0.38674366580751801</v>
      </c>
      <c r="E124">
        <v>5.21082564181172</v>
      </c>
      <c r="F124">
        <v>2.54132756292374</v>
      </c>
      <c r="G124">
        <v>-85.113635591714655</v>
      </c>
      <c r="H124">
        <v>-74.576998839589976</v>
      </c>
      <c r="I124">
        <v>10.2481512932205</v>
      </c>
      <c r="J124">
        <v>6.0371991075313503</v>
      </c>
      <c r="K124">
        <v>2.0504344728456698</v>
      </c>
      <c r="L124">
        <v>0</v>
      </c>
      <c r="M124">
        <v>1.2382218123806924E-6</v>
      </c>
      <c r="N124">
        <v>0</v>
      </c>
      <c r="O124" s="1">
        <v>2.91330738767837E-12</v>
      </c>
      <c r="P124">
        <v>0</v>
      </c>
      <c r="Q124">
        <v>100</v>
      </c>
      <c r="AJ124">
        <v>1</v>
      </c>
    </row>
    <row r="125" spans="1:36" x14ac:dyDescent="0.2">
      <c r="A125">
        <v>133</v>
      </c>
      <c r="B125">
        <v>754</v>
      </c>
      <c r="C125">
        <v>195</v>
      </c>
      <c r="D125">
        <v>0.38607846955167302</v>
      </c>
      <c r="E125">
        <v>11.7265957294195</v>
      </c>
      <c r="F125">
        <v>2.54132756292374</v>
      </c>
      <c r="G125">
        <v>-191.51918002181282</v>
      </c>
      <c r="H125">
        <v>-167.84386343241837</v>
      </c>
      <c r="I125">
        <v>23.0495220653209</v>
      </c>
      <c r="J125">
        <v>13.5845615621613</v>
      </c>
      <c r="K125">
        <v>4.6143582198936697</v>
      </c>
      <c r="L125">
        <v>0</v>
      </c>
      <c r="M125">
        <v>1.2382218123806917E-6</v>
      </c>
      <c r="N125">
        <v>0</v>
      </c>
      <c r="O125" s="1">
        <v>6.5561928798211598E-12</v>
      </c>
      <c r="P125">
        <v>0</v>
      </c>
      <c r="Q125">
        <v>100</v>
      </c>
      <c r="AJ125">
        <v>1</v>
      </c>
    </row>
    <row r="126" spans="1:36" x14ac:dyDescent="0.2">
      <c r="A126">
        <v>134</v>
      </c>
      <c r="B126">
        <v>753</v>
      </c>
      <c r="C126">
        <v>195</v>
      </c>
      <c r="D126">
        <v>0.38541197680651201</v>
      </c>
      <c r="E126">
        <v>19.5585447607113</v>
      </c>
      <c r="F126">
        <v>2.54132756292374</v>
      </c>
      <c r="G126">
        <v>-319.3924183689648</v>
      </c>
      <c r="H126">
        <v>-279.96593971682012</v>
      </c>
      <c r="I126">
        <v>38.421749892456901</v>
      </c>
      <c r="J126">
        <v>22.654516580280902</v>
      </c>
      <c r="K126">
        <v>7.6961919612635903</v>
      </c>
      <c r="L126">
        <v>0</v>
      </c>
      <c r="M126">
        <v>1.2382218123806922E-6</v>
      </c>
      <c r="N126">
        <v>0</v>
      </c>
      <c r="O126" s="1">
        <v>1.0934937543565E-11</v>
      </c>
      <c r="P126">
        <v>0</v>
      </c>
      <c r="Q126">
        <v>100</v>
      </c>
      <c r="AJ126">
        <v>1</v>
      </c>
    </row>
    <row r="127" spans="1:36" x14ac:dyDescent="0.2">
      <c r="A127">
        <v>135</v>
      </c>
      <c r="B127">
        <v>752</v>
      </c>
      <c r="C127">
        <v>195</v>
      </c>
      <c r="D127">
        <v>0.38474418377798603</v>
      </c>
      <c r="E127">
        <v>26.737084337673199</v>
      </c>
      <c r="F127">
        <v>2.54132756292374</v>
      </c>
      <c r="G127">
        <v>-436.5659685250485</v>
      </c>
      <c r="H127">
        <v>-382.75233206144958</v>
      </c>
      <c r="I127">
        <v>52.493426780079801</v>
      </c>
      <c r="J127">
        <v>30.965405183711798</v>
      </c>
      <c r="K127">
        <v>10.520912269535501</v>
      </c>
      <c r="L127">
        <v>0</v>
      </c>
      <c r="M127">
        <v>1.2382218123806917E-6</v>
      </c>
      <c r="N127">
        <v>0</v>
      </c>
      <c r="O127" s="1">
        <v>1.4948369160715299E-11</v>
      </c>
      <c r="P127">
        <v>0</v>
      </c>
      <c r="Q127">
        <v>100</v>
      </c>
      <c r="AJ127">
        <v>1</v>
      </c>
    </row>
    <row r="128" spans="1:36" x14ac:dyDescent="0.2">
      <c r="A128">
        <v>136</v>
      </c>
      <c r="B128">
        <v>751</v>
      </c>
      <c r="C128">
        <v>195</v>
      </c>
      <c r="D128">
        <v>0.38407508665723</v>
      </c>
      <c r="E128">
        <v>30.0442290045549</v>
      </c>
      <c r="F128">
        <v>2.54132756292374</v>
      </c>
      <c r="G128">
        <v>-490.50641041026518</v>
      </c>
      <c r="H128">
        <v>-430.13025815990136</v>
      </c>
      <c r="I128">
        <v>58.952450569119499</v>
      </c>
      <c r="J128">
        <v>34.791096516057799</v>
      </c>
      <c r="K128">
        <v>11.8222575644635</v>
      </c>
      <c r="L128">
        <v>0</v>
      </c>
      <c r="M128">
        <v>1.2382218123806917E-6</v>
      </c>
      <c r="N128">
        <v>0</v>
      </c>
      <c r="O128" s="1">
        <v>1.6797352345421799E-11</v>
      </c>
      <c r="P128">
        <v>0</v>
      </c>
      <c r="Q128">
        <v>100</v>
      </c>
      <c r="AJ128">
        <v>1</v>
      </c>
    </row>
    <row r="129" spans="1:36" x14ac:dyDescent="0.2">
      <c r="A129">
        <v>137</v>
      </c>
      <c r="B129">
        <v>750</v>
      </c>
      <c r="C129">
        <v>195</v>
      </c>
      <c r="D129">
        <v>0.38340468162048602</v>
      </c>
      <c r="E129">
        <v>31.291009651152901</v>
      </c>
      <c r="F129">
        <v>2.54132756292374</v>
      </c>
      <c r="G129">
        <v>-510.80014966310893</v>
      </c>
      <c r="H129">
        <v>-448.01611104506406</v>
      </c>
      <c r="I129">
        <v>61.3634741905339</v>
      </c>
      <c r="J129">
        <v>36.230208450870201</v>
      </c>
      <c r="K129">
        <v>12.312859667391001</v>
      </c>
      <c r="L129">
        <v>0</v>
      </c>
      <c r="M129">
        <v>1.2382218123806922E-6</v>
      </c>
      <c r="N129">
        <v>0</v>
      </c>
      <c r="O129" s="1">
        <v>1.7494411797843899E-11</v>
      </c>
      <c r="P129">
        <v>0</v>
      </c>
      <c r="Q129">
        <v>100</v>
      </c>
      <c r="AJ129">
        <v>1</v>
      </c>
    </row>
    <row r="130" spans="1:36" x14ac:dyDescent="0.2">
      <c r="A130">
        <v>142</v>
      </c>
      <c r="B130">
        <v>761</v>
      </c>
      <c r="C130">
        <v>180</v>
      </c>
      <c r="D130">
        <v>0.40666295991877599</v>
      </c>
      <c r="E130">
        <v>0.33641298468112402</v>
      </c>
      <c r="F130">
        <v>2.5408556008859402</v>
      </c>
      <c r="G130">
        <v>-5.5009327069117475</v>
      </c>
      <c r="H130">
        <v>-4.8143671970596404</v>
      </c>
      <c r="I130">
        <v>0.66389354528076705</v>
      </c>
      <c r="J130">
        <v>0.390059413991444</v>
      </c>
      <c r="K130">
        <v>0.13240145743182799</v>
      </c>
      <c r="L130">
        <v>0</v>
      </c>
      <c r="M130">
        <v>1.2382049403983212E-6</v>
      </c>
      <c r="N130">
        <v>0</v>
      </c>
      <c r="O130" s="1">
        <v>1.8808428854696599E-13</v>
      </c>
      <c r="P130">
        <v>0</v>
      </c>
      <c r="Q130">
        <v>100</v>
      </c>
      <c r="AJ130">
        <v>1</v>
      </c>
    </row>
    <row r="131" spans="1:36" x14ac:dyDescent="0.2">
      <c r="A131">
        <v>143</v>
      </c>
      <c r="B131">
        <v>760</v>
      </c>
      <c r="C131">
        <v>180</v>
      </c>
      <c r="D131">
        <v>0.40602090693510101</v>
      </c>
      <c r="E131">
        <v>1.25556667753004</v>
      </c>
      <c r="F131">
        <v>2.5408556008859402</v>
      </c>
      <c r="G131">
        <v>-20.528204293064395</v>
      </c>
      <c r="H131">
        <v>-17.969724761431547</v>
      </c>
      <c r="I131">
        <v>2.4763872928740698</v>
      </c>
      <c r="J131">
        <v>1.4556040849899301</v>
      </c>
      <c r="K131">
        <v>0.49415113440222902</v>
      </c>
      <c r="L131">
        <v>0</v>
      </c>
      <c r="M131">
        <v>1.238204940398321E-6</v>
      </c>
      <c r="N131">
        <v>0</v>
      </c>
      <c r="O131" s="1">
        <v>7.0197161233345196E-13</v>
      </c>
      <c r="P131">
        <v>0</v>
      </c>
      <c r="Q131">
        <v>100</v>
      </c>
      <c r="AJ131">
        <v>1</v>
      </c>
    </row>
    <row r="132" spans="1:36" x14ac:dyDescent="0.2">
      <c r="A132">
        <v>144</v>
      </c>
      <c r="B132">
        <v>759</v>
      </c>
      <c r="C132">
        <v>180</v>
      </c>
      <c r="D132">
        <v>0.40537760984353299</v>
      </c>
      <c r="E132">
        <v>2.2602326030800501</v>
      </c>
      <c r="F132">
        <v>2.5408556008859402</v>
      </c>
      <c r="G132">
        <v>-36.949786767602085</v>
      </c>
      <c r="H132">
        <v>-32.351167244219788</v>
      </c>
      <c r="I132">
        <v>4.4553790857746396</v>
      </c>
      <c r="J132">
        <v>2.6200040686336998</v>
      </c>
      <c r="K132">
        <v>0.88955570804258099</v>
      </c>
      <c r="L132">
        <v>0</v>
      </c>
      <c r="M132">
        <v>1.2382049403983212E-6</v>
      </c>
      <c r="N132">
        <v>0</v>
      </c>
      <c r="O132" s="1">
        <v>1.26366775498848E-12</v>
      </c>
      <c r="P132">
        <v>0</v>
      </c>
      <c r="Q132">
        <v>100</v>
      </c>
      <c r="AJ132">
        <v>1</v>
      </c>
    </row>
    <row r="133" spans="1:36" x14ac:dyDescent="0.2">
      <c r="A133">
        <v>145</v>
      </c>
      <c r="B133">
        <v>758</v>
      </c>
      <c r="C133">
        <v>180</v>
      </c>
      <c r="D133">
        <v>0.40473306502448703</v>
      </c>
      <c r="E133">
        <v>7.5870685637494004</v>
      </c>
      <c r="F133">
        <v>2.5408556008859402</v>
      </c>
      <c r="G133">
        <v>-124.01678110710003</v>
      </c>
      <c r="H133">
        <v>-108.60404392100834</v>
      </c>
      <c r="I133">
        <v>14.9471339631398</v>
      </c>
      <c r="J133">
        <v>8.7936274020372007</v>
      </c>
      <c r="K133">
        <v>2.9860290215248502</v>
      </c>
      <c r="L133">
        <v>0</v>
      </c>
      <c r="M133">
        <v>1.2382049403983212E-6</v>
      </c>
      <c r="N133">
        <v>0</v>
      </c>
      <c r="O133" s="1">
        <v>4.2418350597331402E-12</v>
      </c>
      <c r="P133">
        <v>0</v>
      </c>
      <c r="Q133">
        <v>100</v>
      </c>
      <c r="AJ133">
        <v>1</v>
      </c>
    </row>
    <row r="134" spans="1:36" x14ac:dyDescent="0.2">
      <c r="A134">
        <v>146</v>
      </c>
      <c r="B134">
        <v>757</v>
      </c>
      <c r="C134">
        <v>180</v>
      </c>
      <c r="D134">
        <v>0.40408726884434598</v>
      </c>
      <c r="E134">
        <v>13.007568847799799</v>
      </c>
      <c r="F134">
        <v>2.5408556008859402</v>
      </c>
      <c r="G134">
        <v>-212.59363014661878</v>
      </c>
      <c r="H134">
        <v>-186.21012095353407</v>
      </c>
      <c r="I134">
        <v>25.611327664014599</v>
      </c>
      <c r="J134">
        <v>15.074234934256699</v>
      </c>
      <c r="K134">
        <v>5.1193656354435904</v>
      </c>
      <c r="L134">
        <v>0</v>
      </c>
      <c r="M134">
        <v>1.2382049403983215E-6</v>
      </c>
      <c r="N134">
        <v>0</v>
      </c>
      <c r="O134" s="1">
        <v>7.27236891519841E-12</v>
      </c>
      <c r="P134">
        <v>0</v>
      </c>
      <c r="Q134">
        <v>100</v>
      </c>
      <c r="AJ134">
        <v>1</v>
      </c>
    </row>
    <row r="135" spans="1:36" x14ac:dyDescent="0.2">
      <c r="A135">
        <v>147</v>
      </c>
      <c r="B135">
        <v>756</v>
      </c>
      <c r="C135">
        <v>180</v>
      </c>
      <c r="D135">
        <v>0.40344021765534699</v>
      </c>
      <c r="E135">
        <v>22.000516624529801</v>
      </c>
      <c r="F135">
        <v>2.5408556008859402</v>
      </c>
      <c r="G135">
        <v>-359.52962829586892</v>
      </c>
      <c r="H135">
        <v>-314.97434528977232</v>
      </c>
      <c r="I135">
        <v>43.293283783798799</v>
      </c>
      <c r="J135">
        <v>25.4927680451406</v>
      </c>
      <c r="K135">
        <v>8.6587040274381302</v>
      </c>
      <c r="L135">
        <v>0</v>
      </c>
      <c r="M135">
        <v>1.2382049403983212E-6</v>
      </c>
      <c r="N135">
        <v>0</v>
      </c>
      <c r="O135" s="1">
        <v>1.23002134442362E-11</v>
      </c>
      <c r="P135">
        <v>0</v>
      </c>
      <c r="Q135">
        <v>100</v>
      </c>
      <c r="AJ135">
        <v>1</v>
      </c>
    </row>
    <row r="136" spans="1:36" x14ac:dyDescent="0.2">
      <c r="A136">
        <v>148</v>
      </c>
      <c r="B136">
        <v>755</v>
      </c>
      <c r="C136">
        <v>180</v>
      </c>
      <c r="D136">
        <v>0.40279190779555302</v>
      </c>
      <c r="E136">
        <v>27.594174341506601</v>
      </c>
      <c r="F136">
        <v>2.5408556008859402</v>
      </c>
      <c r="G136">
        <v>-450.88618203230698</v>
      </c>
      <c r="H136">
        <v>-395.08892234695594</v>
      </c>
      <c r="I136">
        <v>54.269571254535798</v>
      </c>
      <c r="J136">
        <v>31.970274225043301</v>
      </c>
      <c r="K136">
        <v>10.860189902915</v>
      </c>
      <c r="L136">
        <v>0</v>
      </c>
      <c r="M136">
        <v>1.2382049403983212E-6</v>
      </c>
      <c r="N136">
        <v>0</v>
      </c>
      <c r="O136" s="1">
        <v>1.5427557452881001E-11</v>
      </c>
      <c r="P136">
        <v>0</v>
      </c>
      <c r="Q136">
        <v>100</v>
      </c>
      <c r="AJ136">
        <v>1</v>
      </c>
    </row>
    <row r="137" spans="1:36" x14ac:dyDescent="0.2">
      <c r="A137">
        <v>149</v>
      </c>
      <c r="B137">
        <v>754</v>
      </c>
      <c r="C137">
        <v>180</v>
      </c>
      <c r="D137">
        <v>0.402142335588766</v>
      </c>
      <c r="E137">
        <v>30.2299855751236</v>
      </c>
      <c r="F137">
        <v>2.5408556008859402</v>
      </c>
      <c r="G137">
        <v>-493.89565029077562</v>
      </c>
      <c r="H137">
        <v>-432.8630628717068</v>
      </c>
      <c r="I137">
        <v>59.419352011944397</v>
      </c>
      <c r="J137">
        <v>35.019634815094101</v>
      </c>
      <c r="K137">
        <v>11.8975614216656</v>
      </c>
      <c r="L137">
        <v>0</v>
      </c>
      <c r="M137">
        <v>1.2382049403983212E-6</v>
      </c>
      <c r="N137">
        <v>0</v>
      </c>
      <c r="O137" s="1">
        <v>1.69012065187423E-11</v>
      </c>
      <c r="P137">
        <v>0</v>
      </c>
      <c r="Q137">
        <v>100</v>
      </c>
      <c r="AJ137">
        <v>1</v>
      </c>
    </row>
    <row r="138" spans="1:36" x14ac:dyDescent="0.2">
      <c r="A138">
        <v>150</v>
      </c>
      <c r="B138">
        <v>753</v>
      </c>
      <c r="C138">
        <v>180</v>
      </c>
      <c r="D138">
        <v>0.401491497344444</v>
      </c>
      <c r="E138">
        <v>31.343958476594199</v>
      </c>
      <c r="F138">
        <v>2.5408556008859402</v>
      </c>
      <c r="G138">
        <v>-512.03407996300598</v>
      </c>
      <c r="H138">
        <v>-448.85034493208718</v>
      </c>
      <c r="I138">
        <v>61.573585763210801</v>
      </c>
      <c r="J138">
        <v>36.305473422850604</v>
      </c>
      <c r="K138">
        <v>12.335985746559199</v>
      </c>
      <c r="L138">
        <v>0</v>
      </c>
      <c r="M138">
        <v>1.238204940398321E-6</v>
      </c>
      <c r="N138">
        <v>0</v>
      </c>
      <c r="O138" s="1">
        <v>1.7524014823339401E-11</v>
      </c>
      <c r="P138">
        <v>0</v>
      </c>
      <c r="Q138">
        <v>100</v>
      </c>
      <c r="AJ138">
        <v>1</v>
      </c>
    </row>
    <row r="139" spans="1:36" x14ac:dyDescent="0.2">
      <c r="A139">
        <v>157</v>
      </c>
      <c r="B139">
        <v>765</v>
      </c>
      <c r="C139">
        <v>165</v>
      </c>
      <c r="D139">
        <v>0.42511245966382499</v>
      </c>
      <c r="E139">
        <v>0.214775954723602</v>
      </c>
      <c r="F139">
        <v>2.5403837329339898</v>
      </c>
      <c r="G139">
        <v>-3.5149227824810354</v>
      </c>
      <c r="H139">
        <v>-3.0739054740399312</v>
      </c>
      <c r="I139">
        <v>0.42481077728758299</v>
      </c>
      <c r="J139">
        <v>0.249149803675209</v>
      </c>
      <c r="K139">
        <v>8.4544689819576205E-2</v>
      </c>
      <c r="L139">
        <v>0</v>
      </c>
      <c r="M139">
        <v>1.2381880351131634E-6</v>
      </c>
      <c r="N139">
        <v>0</v>
      </c>
      <c r="O139" s="1">
        <v>1.2007854773939301E-13</v>
      </c>
      <c r="P139">
        <v>0</v>
      </c>
      <c r="Q139">
        <v>100</v>
      </c>
      <c r="AJ139">
        <v>1</v>
      </c>
    </row>
    <row r="140" spans="1:36" x14ac:dyDescent="0.2">
      <c r="A140">
        <v>158</v>
      </c>
      <c r="B140">
        <v>764</v>
      </c>
      <c r="C140">
        <v>165</v>
      </c>
      <c r="D140">
        <v>0.424490671551851</v>
      </c>
      <c r="E140">
        <v>1.1429447317202199</v>
      </c>
      <c r="F140">
        <v>2.5403837329339898</v>
      </c>
      <c r="G140">
        <v>-18.702638681121908</v>
      </c>
      <c r="H140">
        <v>-16.359321128985719</v>
      </c>
      <c r="I140">
        <v>2.2593815283577001</v>
      </c>
      <c r="J140">
        <v>1.32570253584506</v>
      </c>
      <c r="K140">
        <v>0.44991027020952601</v>
      </c>
      <c r="L140">
        <v>0</v>
      </c>
      <c r="M140">
        <v>1.2381880351131636E-6</v>
      </c>
      <c r="N140">
        <v>0</v>
      </c>
      <c r="O140" s="1">
        <v>6.3900609222282202E-13</v>
      </c>
      <c r="P140">
        <v>0</v>
      </c>
      <c r="Q140">
        <v>100</v>
      </c>
      <c r="AJ140">
        <v>1</v>
      </c>
    </row>
    <row r="141" spans="1:36" x14ac:dyDescent="0.2">
      <c r="A141">
        <v>159</v>
      </c>
      <c r="B141">
        <v>763</v>
      </c>
      <c r="C141">
        <v>165</v>
      </c>
      <c r="D141">
        <v>0.42386768325049901</v>
      </c>
      <c r="E141">
        <v>2.1584474853175299</v>
      </c>
      <c r="F141">
        <v>2.5403837329339898</v>
      </c>
      <c r="G141">
        <v>-35.315607949659281</v>
      </c>
      <c r="H141">
        <v>-30.897029272952469</v>
      </c>
      <c r="I141">
        <v>4.2644198974152401</v>
      </c>
      <c r="J141">
        <v>2.50327283413267</v>
      </c>
      <c r="K141">
        <v>0.84965411222525999</v>
      </c>
      <c r="L141">
        <v>0</v>
      </c>
      <c r="M141">
        <v>1.2381880351131636E-6</v>
      </c>
      <c r="N141">
        <v>0</v>
      </c>
      <c r="O141" s="1">
        <v>1.20676096978463E-12</v>
      </c>
      <c r="P141">
        <v>0</v>
      </c>
      <c r="Q141">
        <v>100</v>
      </c>
      <c r="AJ141">
        <v>1</v>
      </c>
    </row>
    <row r="142" spans="1:36" x14ac:dyDescent="0.2">
      <c r="A142">
        <v>160</v>
      </c>
      <c r="B142">
        <v>762</v>
      </c>
      <c r="C142">
        <v>165</v>
      </c>
      <c r="D142">
        <v>0.42324349128146099</v>
      </c>
      <c r="E142">
        <v>5.6840459610271399</v>
      </c>
      <c r="F142">
        <v>2.5403837329339898</v>
      </c>
      <c r="G142">
        <v>-92.988737415276759</v>
      </c>
      <c r="H142">
        <v>-81.370690494165387</v>
      </c>
      <c r="I142">
        <v>11.223539507425301</v>
      </c>
      <c r="J142">
        <v>6.5912836217273298</v>
      </c>
      <c r="K142">
        <v>2.2374753417517699</v>
      </c>
      <c r="L142">
        <v>0</v>
      </c>
      <c r="M142">
        <v>1.2381880351131636E-6</v>
      </c>
      <c r="N142">
        <v>0</v>
      </c>
      <c r="O142" s="1">
        <v>3.1778789444212302E-12</v>
      </c>
      <c r="P142">
        <v>0</v>
      </c>
      <c r="Q142">
        <v>100</v>
      </c>
      <c r="AJ142">
        <v>1</v>
      </c>
    </row>
    <row r="143" spans="1:36" x14ac:dyDescent="0.2">
      <c r="A143">
        <v>161</v>
      </c>
      <c r="B143">
        <v>761</v>
      </c>
      <c r="C143">
        <v>165</v>
      </c>
      <c r="D143">
        <v>0.42261809215297602</v>
      </c>
      <c r="E143">
        <v>11.5059079647509</v>
      </c>
      <c r="F143">
        <v>2.5403837329339898</v>
      </c>
      <c r="G143">
        <v>-188.2093778662304</v>
      </c>
      <c r="H143">
        <v>-164.72764580520897</v>
      </c>
      <c r="I143">
        <v>22.706311522527098</v>
      </c>
      <c r="J143">
        <v>13.340708957545999</v>
      </c>
      <c r="K143">
        <v>4.5292007721456704</v>
      </c>
      <c r="L143">
        <v>0</v>
      </c>
      <c r="M143">
        <v>1.2381880351131634E-6</v>
      </c>
      <c r="N143">
        <v>0</v>
      </c>
      <c r="O143" s="1">
        <v>6.4328091131450601E-12</v>
      </c>
      <c r="P143">
        <v>0</v>
      </c>
      <c r="Q143">
        <v>100</v>
      </c>
      <c r="AJ143">
        <v>1</v>
      </c>
    </row>
    <row r="144" spans="1:36" x14ac:dyDescent="0.2">
      <c r="A144">
        <v>162</v>
      </c>
      <c r="B144">
        <v>760</v>
      </c>
      <c r="C144">
        <v>165</v>
      </c>
      <c r="D144">
        <v>0.42199148235977502</v>
      </c>
      <c r="E144">
        <v>15.473402326916499</v>
      </c>
      <c r="F144">
        <v>2.5403837329339898</v>
      </c>
      <c r="G144">
        <v>-253.07765282694714</v>
      </c>
      <c r="H144">
        <v>-221.54736148788865</v>
      </c>
      <c r="I144">
        <v>30.518599757110199</v>
      </c>
      <c r="J144">
        <v>17.938631248210601</v>
      </c>
      <c r="K144">
        <v>6.0909704806862601</v>
      </c>
      <c r="L144">
        <v>0</v>
      </c>
      <c r="M144">
        <v>1.2381880351131634E-6</v>
      </c>
      <c r="N144">
        <v>0</v>
      </c>
      <c r="O144" s="1">
        <v>8.6509855462852295E-12</v>
      </c>
      <c r="P144">
        <v>0</v>
      </c>
      <c r="Q144">
        <v>100</v>
      </c>
      <c r="AJ144">
        <v>1</v>
      </c>
    </row>
    <row r="145" spans="1:36" x14ac:dyDescent="0.2">
      <c r="A145">
        <v>163</v>
      </c>
      <c r="B145">
        <v>759</v>
      </c>
      <c r="C145">
        <v>165</v>
      </c>
      <c r="D145">
        <v>0.42136365838299</v>
      </c>
      <c r="E145">
        <v>25.413655280063601</v>
      </c>
      <c r="F145">
        <v>2.5403837329339898</v>
      </c>
      <c r="G145">
        <v>-415.60690555833889</v>
      </c>
      <c r="H145">
        <v>-363.9008416903323</v>
      </c>
      <c r="I145">
        <v>50.095493744132803</v>
      </c>
      <c r="J145">
        <v>29.458861951591299</v>
      </c>
      <c r="K145">
        <v>10.003864751059499</v>
      </c>
      <c r="L145">
        <v>0</v>
      </c>
      <c r="M145">
        <v>1.2381880351131634E-6</v>
      </c>
      <c r="N145">
        <v>0</v>
      </c>
      <c r="O145" s="1">
        <v>1.42084565411747E-11</v>
      </c>
      <c r="P145">
        <v>0</v>
      </c>
      <c r="Q145">
        <v>100</v>
      </c>
      <c r="AJ145">
        <v>1</v>
      </c>
    </row>
    <row r="146" spans="1:36" x14ac:dyDescent="0.2">
      <c r="A146">
        <v>164</v>
      </c>
      <c r="B146">
        <v>758</v>
      </c>
      <c r="C146">
        <v>165</v>
      </c>
      <c r="D146">
        <v>0.42073461669010398</v>
      </c>
      <c r="E146">
        <v>29.197999068411999</v>
      </c>
      <c r="F146">
        <v>2.5403837329339898</v>
      </c>
      <c r="G146">
        <v>-477.43733186810266</v>
      </c>
      <c r="H146">
        <v>-418.12310764303618</v>
      </c>
      <c r="I146">
        <v>57.522401420808201</v>
      </c>
      <c r="J146">
        <v>33.841308080358303</v>
      </c>
      <c r="K146">
        <v>11.4935388263922</v>
      </c>
      <c r="L146">
        <v>0</v>
      </c>
      <c r="M146">
        <v>1.2381880351131634E-6</v>
      </c>
      <c r="N146">
        <v>0</v>
      </c>
      <c r="O146" s="1">
        <v>1.63242357811565E-11</v>
      </c>
      <c r="P146">
        <v>0</v>
      </c>
      <c r="Q146">
        <v>100</v>
      </c>
      <c r="AJ146">
        <v>1</v>
      </c>
    </row>
    <row r="147" spans="1:36" x14ac:dyDescent="0.2">
      <c r="A147">
        <v>165</v>
      </c>
      <c r="B147">
        <v>757</v>
      </c>
      <c r="C147">
        <v>165</v>
      </c>
      <c r="D147">
        <v>0.42010435373489502</v>
      </c>
      <c r="E147">
        <v>30.8238993469942</v>
      </c>
      <c r="F147">
        <v>2.5403837329339898</v>
      </c>
      <c r="G147">
        <v>-503.96288008497248</v>
      </c>
      <c r="H147">
        <v>-441.44215532050623</v>
      </c>
      <c r="I147">
        <v>60.690894301282498</v>
      </c>
      <c r="J147">
        <v>35.721256276499702</v>
      </c>
      <c r="K147">
        <v>12.1335603544407</v>
      </c>
      <c r="L147">
        <v>0</v>
      </c>
      <c r="M147">
        <v>1.2381880351131636E-6</v>
      </c>
      <c r="N147">
        <v>0</v>
      </c>
      <c r="O147" s="1">
        <v>1.7233256274034701E-11</v>
      </c>
      <c r="P147">
        <v>0</v>
      </c>
      <c r="Q147">
        <v>100</v>
      </c>
      <c r="AJ147">
        <v>1</v>
      </c>
    </row>
    <row r="148" spans="1:36" x14ac:dyDescent="0.2">
      <c r="A148">
        <v>175</v>
      </c>
      <c r="B148">
        <v>769</v>
      </c>
      <c r="C148">
        <v>150</v>
      </c>
      <c r="D148">
        <v>0.44342033296550898</v>
      </c>
      <c r="E148">
        <v>0.63358440595703902</v>
      </c>
      <c r="F148">
        <v>2.53991195906073</v>
      </c>
      <c r="G148">
        <v>-10.377705747352746</v>
      </c>
      <c r="H148">
        <v>-9.0687551947007865</v>
      </c>
      <c r="I148">
        <v>1.25600974202558</v>
      </c>
      <c r="J148">
        <v>0.73535031773002102</v>
      </c>
      <c r="K148">
        <v>0.2494513259394</v>
      </c>
      <c r="L148">
        <v>0</v>
      </c>
      <c r="M148">
        <v>1.2381710965453891E-6</v>
      </c>
      <c r="N148">
        <v>0</v>
      </c>
      <c r="O148" s="1">
        <v>3.54229110216531E-13</v>
      </c>
      <c r="P148">
        <v>0</v>
      </c>
      <c r="Q148">
        <v>100</v>
      </c>
      <c r="AJ148">
        <v>1</v>
      </c>
    </row>
    <row r="149" spans="1:36" x14ac:dyDescent="0.2">
      <c r="A149">
        <v>176</v>
      </c>
      <c r="B149">
        <v>768</v>
      </c>
      <c r="C149">
        <v>150</v>
      </c>
      <c r="D149">
        <v>0.442818517984921</v>
      </c>
      <c r="E149">
        <v>1.6100374259871499</v>
      </c>
      <c r="F149">
        <v>2.53991195906073</v>
      </c>
      <c r="G149">
        <v>-26.368188417420473</v>
      </c>
      <c r="H149">
        <v>-23.046998950524692</v>
      </c>
      <c r="I149">
        <v>3.1899240905688702</v>
      </c>
      <c r="J149">
        <v>1.86841020398874</v>
      </c>
      <c r="K149">
        <v>0.63389497428979702</v>
      </c>
      <c r="L149">
        <v>0</v>
      </c>
      <c r="M149">
        <v>1.2381710965453891E-6</v>
      </c>
      <c r="N149">
        <v>0</v>
      </c>
      <c r="O149" s="1">
        <v>9.0015177056206602E-13</v>
      </c>
      <c r="P149">
        <v>0</v>
      </c>
      <c r="Q149">
        <v>100</v>
      </c>
      <c r="AJ149">
        <v>1</v>
      </c>
    </row>
    <row r="150" spans="1:36" x14ac:dyDescent="0.2">
      <c r="A150">
        <v>177</v>
      </c>
      <c r="B150">
        <v>767</v>
      </c>
      <c r="C150">
        <v>150</v>
      </c>
      <c r="D150">
        <v>0.44221554583473799</v>
      </c>
      <c r="E150">
        <v>2.7212576833787199</v>
      </c>
      <c r="F150">
        <v>2.53991195906073</v>
      </c>
      <c r="G150">
        <v>-44.56167043487833</v>
      </c>
      <c r="H150">
        <v>-38.956800675664553</v>
      </c>
      <c r="I150">
        <v>5.3885206549187803</v>
      </c>
      <c r="J150">
        <v>3.1575647124981101</v>
      </c>
      <c r="K150">
        <v>1.0713984292530501</v>
      </c>
      <c r="L150">
        <v>0</v>
      </c>
      <c r="M150">
        <v>1.2381710965453891E-6</v>
      </c>
      <c r="N150">
        <v>0</v>
      </c>
      <c r="O150" s="1">
        <v>1.52142110631192E-12</v>
      </c>
      <c r="P150">
        <v>0</v>
      </c>
      <c r="Q150">
        <v>100</v>
      </c>
      <c r="AJ150">
        <v>1</v>
      </c>
    </row>
    <row r="151" spans="1:36" x14ac:dyDescent="0.2">
      <c r="A151">
        <v>178</v>
      </c>
      <c r="B151">
        <v>766</v>
      </c>
      <c r="C151">
        <v>150</v>
      </c>
      <c r="D151">
        <v>0.44161141317423203</v>
      </c>
      <c r="E151">
        <v>7.4052769002486203</v>
      </c>
      <c r="F151">
        <v>2.53991195906073</v>
      </c>
      <c r="G151">
        <v>-121.24967748510613</v>
      </c>
      <c r="H151">
        <v>-106.02056508904023</v>
      </c>
      <c r="I151">
        <v>14.6553552384794</v>
      </c>
      <c r="J151">
        <v>8.5915219688123905</v>
      </c>
      <c r="K151">
        <v>2.9155644052273</v>
      </c>
      <c r="L151">
        <v>0</v>
      </c>
      <c r="M151">
        <v>1.2381710965453891E-6</v>
      </c>
      <c r="N151">
        <v>0</v>
      </c>
      <c r="O151" s="1">
        <v>4.1401976163219601E-12</v>
      </c>
      <c r="P151">
        <v>0</v>
      </c>
      <c r="Q151">
        <v>100</v>
      </c>
      <c r="AJ151">
        <v>1</v>
      </c>
    </row>
    <row r="152" spans="1:36" x14ac:dyDescent="0.2">
      <c r="A152">
        <v>179</v>
      </c>
      <c r="B152">
        <v>765</v>
      </c>
      <c r="C152">
        <v>150</v>
      </c>
      <c r="D152">
        <v>0.44100611664981298</v>
      </c>
      <c r="E152">
        <v>12.4019978584802</v>
      </c>
      <c r="F152">
        <v>2.53991195906073</v>
      </c>
      <c r="G152">
        <v>-203.03853000555853</v>
      </c>
      <c r="H152">
        <v>-177.5724776167888</v>
      </c>
      <c r="I152">
        <v>24.530224330558902</v>
      </c>
      <c r="J152">
        <v>14.3868774118462</v>
      </c>
      <c r="K152">
        <v>4.8828455703899696</v>
      </c>
      <c r="L152">
        <v>0</v>
      </c>
      <c r="M152">
        <v>1.2381710965453891E-6</v>
      </c>
      <c r="N152">
        <v>0</v>
      </c>
      <c r="O152" s="1">
        <v>6.9338017555543502E-12</v>
      </c>
      <c r="P152">
        <v>0</v>
      </c>
      <c r="Q152">
        <v>100</v>
      </c>
      <c r="AJ152">
        <v>1</v>
      </c>
    </row>
    <row r="153" spans="1:36" x14ac:dyDescent="0.2">
      <c r="A153">
        <v>180</v>
      </c>
      <c r="B153">
        <v>764</v>
      </c>
      <c r="C153">
        <v>150</v>
      </c>
      <c r="D153">
        <v>0.44039965289495597</v>
      </c>
      <c r="E153">
        <v>20.077409634288099</v>
      </c>
      <c r="F153">
        <v>2.53991195906073</v>
      </c>
      <c r="G153">
        <v>-328.6563520467858</v>
      </c>
      <c r="H153">
        <v>-287.49272873960723</v>
      </c>
      <c r="I153">
        <v>39.689170618694099</v>
      </c>
      <c r="J153">
        <v>23.287803973964301</v>
      </c>
      <c r="K153">
        <v>7.9047659753186004</v>
      </c>
      <c r="L153">
        <v>0</v>
      </c>
      <c r="M153">
        <v>1.2381710965453893E-6</v>
      </c>
      <c r="N153">
        <v>0</v>
      </c>
      <c r="O153" s="1">
        <v>1.1225028399276801E-11</v>
      </c>
      <c r="P153">
        <v>0</v>
      </c>
      <c r="Q153">
        <v>100</v>
      </c>
      <c r="AJ153">
        <v>1</v>
      </c>
    </row>
    <row r="154" spans="1:36" x14ac:dyDescent="0.2">
      <c r="A154">
        <v>181</v>
      </c>
      <c r="B154">
        <v>763</v>
      </c>
      <c r="C154">
        <v>150</v>
      </c>
      <c r="D154">
        <v>0.43979201853014099</v>
      </c>
      <c r="E154">
        <v>25.725999663027999</v>
      </c>
      <c r="F154">
        <v>2.53991195906073</v>
      </c>
      <c r="G154">
        <v>-421.06987909845589</v>
      </c>
      <c r="H154">
        <v>-368.40593692647383</v>
      </c>
      <c r="I154">
        <v>50.826561957228201</v>
      </c>
      <c r="J154">
        <v>29.835887379900999</v>
      </c>
      <c r="K154">
        <v>10.128697402779901</v>
      </c>
      <c r="L154">
        <v>0</v>
      </c>
      <c r="M154">
        <v>1.2381710965453891E-6</v>
      </c>
      <c r="N154">
        <v>0</v>
      </c>
      <c r="O154" s="1">
        <v>1.4383084375790499E-11</v>
      </c>
      <c r="P154">
        <v>0</v>
      </c>
      <c r="Q154">
        <v>100</v>
      </c>
      <c r="AJ154">
        <v>1</v>
      </c>
    </row>
    <row r="155" spans="1:36" x14ac:dyDescent="0.2">
      <c r="A155">
        <v>182</v>
      </c>
      <c r="B155">
        <v>762</v>
      </c>
      <c r="C155">
        <v>150</v>
      </c>
      <c r="D155">
        <v>0.439183210162781</v>
      </c>
      <c r="E155">
        <v>29.182657116602201</v>
      </c>
      <c r="F155">
        <v>2.53991195906073</v>
      </c>
      <c r="G155">
        <v>-477.58902398109956</v>
      </c>
      <c r="H155">
        <v>-417.94040713527068</v>
      </c>
      <c r="I155">
        <v>57.623162677707398</v>
      </c>
      <c r="J155">
        <v>33.840537393611399</v>
      </c>
      <c r="K155">
        <v>11.4896333365011</v>
      </c>
      <c r="L155">
        <v>0</v>
      </c>
      <c r="M155">
        <v>1.2381710965453891E-6</v>
      </c>
      <c r="N155">
        <v>0</v>
      </c>
      <c r="O155" s="1">
        <v>1.6315658287948799E-11</v>
      </c>
      <c r="P155">
        <v>0</v>
      </c>
      <c r="Q155">
        <v>100</v>
      </c>
      <c r="AJ155">
        <v>1</v>
      </c>
    </row>
    <row r="156" spans="1:36" x14ac:dyDescent="0.2">
      <c r="A156">
        <v>183</v>
      </c>
      <c r="B156">
        <v>761</v>
      </c>
      <c r="C156">
        <v>150</v>
      </c>
      <c r="D156">
        <v>0.43857322438717999</v>
      </c>
      <c r="E156">
        <v>30.728317304884001</v>
      </c>
      <c r="F156">
        <v>2.53991195906073</v>
      </c>
      <c r="G156">
        <v>-502.82388101882066</v>
      </c>
      <c r="H156">
        <v>-440.11226227044745</v>
      </c>
      <c r="I156">
        <v>60.640737560676101</v>
      </c>
      <c r="J156">
        <v>35.628438813820601</v>
      </c>
      <c r="K156">
        <v>12.0981820630693</v>
      </c>
      <c r="L156">
        <v>0</v>
      </c>
      <c r="M156">
        <v>1.2381710965453891E-6</v>
      </c>
      <c r="N156">
        <v>0</v>
      </c>
      <c r="O156" s="1">
        <v>1.7179817550778402E-11</v>
      </c>
      <c r="P156">
        <v>0</v>
      </c>
      <c r="Q156">
        <v>100</v>
      </c>
      <c r="AJ156">
        <v>1</v>
      </c>
    </row>
    <row r="157" spans="1:36" x14ac:dyDescent="0.2">
      <c r="A157">
        <v>195</v>
      </c>
      <c r="B157">
        <v>774</v>
      </c>
      <c r="C157">
        <v>135</v>
      </c>
      <c r="D157">
        <v>0.46216922121950399</v>
      </c>
      <c r="E157">
        <v>0.85183800621846895</v>
      </c>
      <c r="F157">
        <v>2.5394402792589501</v>
      </c>
      <c r="G157">
        <v>-13.966045967332123</v>
      </c>
      <c r="H157">
        <v>-12.192795453139434</v>
      </c>
      <c r="I157">
        <v>1.6934064023231501</v>
      </c>
      <c r="J157">
        <v>0.98926521557748004</v>
      </c>
      <c r="K157">
        <v>0.33544321289061602</v>
      </c>
      <c r="L157">
        <v>0</v>
      </c>
      <c r="M157">
        <v>1.2381541247151614E-6</v>
      </c>
      <c r="N157">
        <v>0</v>
      </c>
      <c r="O157" s="1">
        <v>4.7625196604326202E-13</v>
      </c>
      <c r="P157">
        <v>0</v>
      </c>
      <c r="Q157">
        <v>100</v>
      </c>
      <c r="AJ157">
        <v>1</v>
      </c>
    </row>
    <row r="158" spans="1:36" x14ac:dyDescent="0.2">
      <c r="A158">
        <v>196</v>
      </c>
      <c r="B158">
        <v>773</v>
      </c>
      <c r="C158">
        <v>135</v>
      </c>
      <c r="D158">
        <v>0.46158820436839998</v>
      </c>
      <c r="E158">
        <v>1.8616773190862801</v>
      </c>
      <c r="F158">
        <v>2.5394402792589501</v>
      </c>
      <c r="G158">
        <v>-30.518853500612398</v>
      </c>
      <c r="H158">
        <v>-26.649306753222589</v>
      </c>
      <c r="I158">
        <v>3.6988450484058699</v>
      </c>
      <c r="J158">
        <v>2.1617585683242502</v>
      </c>
      <c r="K158">
        <v>0.733105375342612</v>
      </c>
      <c r="L158">
        <v>0</v>
      </c>
      <c r="M158">
        <v>1.2381541247151614E-6</v>
      </c>
      <c r="N158">
        <v>0</v>
      </c>
      <c r="O158" s="1">
        <v>1.0408404847876599E-12</v>
      </c>
      <c r="P158">
        <v>0</v>
      </c>
      <c r="Q158">
        <v>100</v>
      </c>
      <c r="AJ158">
        <v>1</v>
      </c>
    </row>
    <row r="159" spans="1:36" x14ac:dyDescent="0.2">
      <c r="A159">
        <v>197</v>
      </c>
      <c r="B159">
        <v>772</v>
      </c>
      <c r="C159">
        <v>135</v>
      </c>
      <c r="D159">
        <v>0.46100607568291702</v>
      </c>
      <c r="E159">
        <v>3.0395496934533801</v>
      </c>
      <c r="F159">
        <v>2.5394402792589501</v>
      </c>
      <c r="G159">
        <v>-49.82191659607939</v>
      </c>
      <c r="H159">
        <v>-43.513696876105413</v>
      </c>
      <c r="I159">
        <v>6.03570752521071</v>
      </c>
      <c r="J159">
        <v>3.5290593758267299</v>
      </c>
      <c r="K159">
        <v>1.19693686765508</v>
      </c>
      <c r="L159">
        <v>0</v>
      </c>
      <c r="M159">
        <v>1.2381541247151612E-6</v>
      </c>
      <c r="N159">
        <v>0</v>
      </c>
      <c r="O159" s="1">
        <v>1.69937418479319E-12</v>
      </c>
      <c r="P159">
        <v>0</v>
      </c>
      <c r="Q159">
        <v>100</v>
      </c>
      <c r="AJ159">
        <v>1</v>
      </c>
    </row>
    <row r="160" spans="1:36" x14ac:dyDescent="0.2">
      <c r="A160">
        <v>198</v>
      </c>
      <c r="B160">
        <v>771</v>
      </c>
      <c r="C160">
        <v>135</v>
      </c>
      <c r="D160">
        <v>0.46042283196858502</v>
      </c>
      <c r="E160">
        <v>7.2096844341495698</v>
      </c>
      <c r="F160">
        <v>2.5394402792589501</v>
      </c>
      <c r="G160">
        <v>-118.16118485074693</v>
      </c>
      <c r="H160">
        <v>-103.2210348667453</v>
      </c>
      <c r="I160">
        <v>14.3084326811297</v>
      </c>
      <c r="J160">
        <v>8.3697558521180007</v>
      </c>
      <c r="K160">
        <v>2.8390840662941099</v>
      </c>
      <c r="L160">
        <v>0</v>
      </c>
      <c r="M160">
        <v>1.2381541247151612E-6</v>
      </c>
      <c r="N160">
        <v>0</v>
      </c>
      <c r="O160" s="1">
        <v>4.0308443169353298E-12</v>
      </c>
      <c r="P160">
        <v>0</v>
      </c>
      <c r="Q160">
        <v>100</v>
      </c>
      <c r="AJ160">
        <v>1</v>
      </c>
    </row>
    <row r="161" spans="1:36" x14ac:dyDescent="0.2">
      <c r="A161">
        <v>199</v>
      </c>
      <c r="B161">
        <v>770</v>
      </c>
      <c r="C161">
        <v>135</v>
      </c>
      <c r="D161">
        <v>0.45983847001869499</v>
      </c>
      <c r="E161">
        <v>11.987678603103801</v>
      </c>
      <c r="F161">
        <v>2.5394402792589501</v>
      </c>
      <c r="G161">
        <v>-196.44505157687888</v>
      </c>
      <c r="H161">
        <v>-171.64148169775606</v>
      </c>
      <c r="I161">
        <v>23.777567827371701</v>
      </c>
      <c r="J161">
        <v>13.914843307376</v>
      </c>
      <c r="K161">
        <v>4.7205987480839697</v>
      </c>
      <c r="L161">
        <v>0</v>
      </c>
      <c r="M161">
        <v>1.238154124715161E-6</v>
      </c>
      <c r="N161">
        <v>0</v>
      </c>
      <c r="O161" s="1">
        <v>6.7021610462855297E-12</v>
      </c>
      <c r="P161">
        <v>0</v>
      </c>
      <c r="Q161">
        <v>100</v>
      </c>
      <c r="AJ161">
        <v>1</v>
      </c>
    </row>
    <row r="162" spans="1:36" x14ac:dyDescent="0.2">
      <c r="A162">
        <v>200</v>
      </c>
      <c r="B162">
        <v>769</v>
      </c>
      <c r="C162">
        <v>135</v>
      </c>
      <c r="D162">
        <v>0.45925298661421299</v>
      </c>
      <c r="E162">
        <v>18.429802096616498</v>
      </c>
      <c r="F162">
        <v>2.5394402792589501</v>
      </c>
      <c r="G162">
        <v>-301.97717592870623</v>
      </c>
      <c r="H162">
        <v>-263.90221793918118</v>
      </c>
      <c r="I162">
        <v>36.535007426498098</v>
      </c>
      <c r="J162">
        <v>21.389984822901901</v>
      </c>
      <c r="K162">
        <v>7.2574268617943698</v>
      </c>
      <c r="L162">
        <v>0</v>
      </c>
      <c r="M162">
        <v>1.2381541247151612E-6</v>
      </c>
      <c r="N162">
        <v>0</v>
      </c>
      <c r="O162" s="1">
        <v>1.0303871649571301E-11</v>
      </c>
      <c r="P162">
        <v>0</v>
      </c>
      <c r="Q162">
        <v>100</v>
      </c>
      <c r="AJ162">
        <v>1</v>
      </c>
    </row>
    <row r="163" spans="1:36" x14ac:dyDescent="0.2">
      <c r="A163">
        <v>201</v>
      </c>
      <c r="B163">
        <v>768</v>
      </c>
      <c r="C163">
        <v>135</v>
      </c>
      <c r="D163">
        <v>0.45866637852374798</v>
      </c>
      <c r="E163">
        <v>24.7429638577951</v>
      </c>
      <c r="F163">
        <v>2.5394402792589501</v>
      </c>
      <c r="G163">
        <v>-405.37096276687879</v>
      </c>
      <c r="H163">
        <v>-354.3311113833571</v>
      </c>
      <c r="I163">
        <v>49.0225725241527</v>
      </c>
      <c r="J163">
        <v>28.713622057875</v>
      </c>
      <c r="K163">
        <v>9.7434714491554892</v>
      </c>
      <c r="L163">
        <v>0</v>
      </c>
      <c r="M163">
        <v>1.2381541247151612E-6</v>
      </c>
      <c r="N163">
        <v>0</v>
      </c>
      <c r="O163" s="1">
        <v>1.38334813626408E-11</v>
      </c>
      <c r="P163">
        <v>0</v>
      </c>
      <c r="Q163">
        <v>100</v>
      </c>
      <c r="AJ163">
        <v>1</v>
      </c>
    </row>
    <row r="164" spans="1:36" x14ac:dyDescent="0.2">
      <c r="A164">
        <v>202</v>
      </c>
      <c r="B164">
        <v>767</v>
      </c>
      <c r="C164">
        <v>135</v>
      </c>
      <c r="D164">
        <v>0.45807864250348701</v>
      </c>
      <c r="E164">
        <v>28.316930065048901</v>
      </c>
      <c r="F164">
        <v>2.5394402792589501</v>
      </c>
      <c r="G164">
        <v>-463.86817241700197</v>
      </c>
      <c r="H164">
        <v>-405.54488096071242</v>
      </c>
      <c r="I164">
        <v>56.072000630956502</v>
      </c>
      <c r="J164">
        <v>32.857064469051203</v>
      </c>
      <c r="K164">
        <v>11.1508548936272</v>
      </c>
      <c r="L164">
        <v>0</v>
      </c>
      <c r="M164">
        <v>1.238154124715161E-6</v>
      </c>
      <c r="N164">
        <v>0</v>
      </c>
      <c r="O164" s="1">
        <v>1.5831641130520699E-11</v>
      </c>
      <c r="P164">
        <v>0</v>
      </c>
      <c r="Q164">
        <v>100</v>
      </c>
      <c r="AJ164">
        <v>1</v>
      </c>
    </row>
    <row r="165" spans="1:36" x14ac:dyDescent="0.2">
      <c r="A165">
        <v>203</v>
      </c>
      <c r="B165">
        <v>766</v>
      </c>
      <c r="C165">
        <v>135</v>
      </c>
      <c r="D165">
        <v>0.45748977529712298</v>
      </c>
      <c r="E165">
        <v>30.2017452939245</v>
      </c>
      <c r="F165">
        <v>2.5394402792589501</v>
      </c>
      <c r="G165">
        <v>-494.68411180124417</v>
      </c>
      <c r="H165">
        <v>-432.57356822074831</v>
      </c>
      <c r="I165">
        <v>59.770527431550597</v>
      </c>
      <c r="J165">
        <v>35.039737431090103</v>
      </c>
      <c r="K165">
        <v>11.893071690088201</v>
      </c>
      <c r="L165">
        <v>0</v>
      </c>
      <c r="M165">
        <v>1.2381541247151612E-6</v>
      </c>
      <c r="N165">
        <v>0</v>
      </c>
      <c r="O165" s="1">
        <v>1.68854177310332E-11</v>
      </c>
      <c r="P165">
        <v>0</v>
      </c>
      <c r="Q165">
        <v>100</v>
      </c>
      <c r="AJ165">
        <v>1</v>
      </c>
    </row>
    <row r="166" spans="1:36" x14ac:dyDescent="0.2">
      <c r="A166">
        <v>204</v>
      </c>
      <c r="B166">
        <v>765</v>
      </c>
      <c r="C166">
        <v>135</v>
      </c>
      <c r="D166">
        <v>0.45689977363579698</v>
      </c>
      <c r="E166">
        <v>31.207197312087299</v>
      </c>
      <c r="F166">
        <v>2.5394402792589501</v>
      </c>
      <c r="G166">
        <v>-511.09099125117945</v>
      </c>
      <c r="H166">
        <v>-447.01066074919709</v>
      </c>
      <c r="I166">
        <v>61.725502578608399</v>
      </c>
      <c r="J166">
        <v>36.201757750611101</v>
      </c>
      <c r="K166">
        <v>12.289006190448401</v>
      </c>
      <c r="L166">
        <v>0</v>
      </c>
      <c r="M166">
        <v>1.2381541247151614E-6</v>
      </c>
      <c r="N166">
        <v>0</v>
      </c>
      <c r="O166" s="1">
        <v>1.74475533682279E-11</v>
      </c>
      <c r="P166">
        <v>0</v>
      </c>
      <c r="Q166">
        <v>100</v>
      </c>
      <c r="AJ166">
        <v>1</v>
      </c>
    </row>
    <row r="167" spans="1:36" x14ac:dyDescent="0.2">
      <c r="A167">
        <v>218</v>
      </c>
      <c r="B167">
        <v>781</v>
      </c>
      <c r="C167">
        <v>120</v>
      </c>
      <c r="D167">
        <v>0.48185789498648202</v>
      </c>
      <c r="E167">
        <v>0.13802211448877999</v>
      </c>
      <c r="F167">
        <v>2.5389686935214599</v>
      </c>
      <c r="G167">
        <v>-2.2656385436379285</v>
      </c>
      <c r="H167">
        <v>-1.9752743505495396</v>
      </c>
      <c r="I167">
        <v>0.27544864875813602</v>
      </c>
      <c r="J167">
        <v>0.16042487243953699</v>
      </c>
      <c r="K167">
        <v>5.4361487339707401E-2</v>
      </c>
      <c r="L167">
        <v>0</v>
      </c>
      <c r="M167">
        <v>1.2381371196426337E-6</v>
      </c>
      <c r="N167">
        <v>0</v>
      </c>
      <c r="O167" s="1">
        <v>7.7166436461947996E-14</v>
      </c>
      <c r="P167">
        <v>0</v>
      </c>
      <c r="Q167">
        <v>100</v>
      </c>
      <c r="AJ167">
        <v>1</v>
      </c>
    </row>
    <row r="168" spans="1:36" x14ac:dyDescent="0.2">
      <c r="A168">
        <v>219</v>
      </c>
      <c r="B168">
        <v>780</v>
      </c>
      <c r="C168">
        <v>120</v>
      </c>
      <c r="D168">
        <v>0.48129943502824801</v>
      </c>
      <c r="E168">
        <v>1.0866914647958801</v>
      </c>
      <c r="F168">
        <v>2.5389686935214599</v>
      </c>
      <c r="G168">
        <v>-17.83591587346589</v>
      </c>
      <c r="H168">
        <v>-15.553218462176883</v>
      </c>
      <c r="I168">
        <v>2.1674950494127199</v>
      </c>
      <c r="J168">
        <v>1.2629238436050301</v>
      </c>
      <c r="K168">
        <v>0.428005066611785</v>
      </c>
      <c r="L168">
        <v>0</v>
      </c>
      <c r="M168">
        <v>1.2381371196426337E-6</v>
      </c>
      <c r="N168">
        <v>0</v>
      </c>
      <c r="O168" s="1">
        <v>6.0755559485889202E-13</v>
      </c>
      <c r="P168">
        <v>0</v>
      </c>
      <c r="Q168">
        <v>100</v>
      </c>
      <c r="AJ168">
        <v>1</v>
      </c>
    </row>
    <row r="169" spans="1:36" x14ac:dyDescent="0.2">
      <c r="A169">
        <v>220</v>
      </c>
      <c r="B169">
        <v>779</v>
      </c>
      <c r="C169">
        <v>120</v>
      </c>
      <c r="D169">
        <v>0.48073991351043299</v>
      </c>
      <c r="E169">
        <v>2.1287976185231501</v>
      </c>
      <c r="F169">
        <v>2.5389686935214599</v>
      </c>
      <c r="G169">
        <v>-34.935806145501665</v>
      </c>
      <c r="H169">
        <v>-30.470785722536966</v>
      </c>
      <c r="I169">
        <v>4.2437108995530002</v>
      </c>
      <c r="J169">
        <v>2.4737342733421501</v>
      </c>
      <c r="K169">
        <v>0.83844973116647004</v>
      </c>
      <c r="L169">
        <v>0</v>
      </c>
      <c r="M169">
        <v>1.2381371196426337E-6</v>
      </c>
      <c r="N169">
        <v>0</v>
      </c>
      <c r="O169" s="1">
        <v>1.1901841004143301E-12</v>
      </c>
      <c r="P169">
        <v>0</v>
      </c>
      <c r="Q169">
        <v>100</v>
      </c>
      <c r="AJ169">
        <v>1</v>
      </c>
    </row>
    <row r="170" spans="1:36" x14ac:dyDescent="0.2">
      <c r="A170">
        <v>221</v>
      </c>
      <c r="B170">
        <v>778</v>
      </c>
      <c r="C170">
        <v>120</v>
      </c>
      <c r="D170">
        <v>0.48017932740332298</v>
      </c>
      <c r="E170">
        <v>3.3695438418791199</v>
      </c>
      <c r="F170">
        <v>2.5389686935214599</v>
      </c>
      <c r="G170">
        <v>-55.29104036323983</v>
      </c>
      <c r="H170">
        <v>-48.234262547568079</v>
      </c>
      <c r="I170">
        <v>6.7133880185242303</v>
      </c>
      <c r="J170">
        <v>3.9150510441229001</v>
      </c>
      <c r="K170">
        <v>1.3271309136174001</v>
      </c>
      <c r="L170">
        <v>0</v>
      </c>
      <c r="M170">
        <v>1.2381371196426337E-6</v>
      </c>
      <c r="N170">
        <v>0</v>
      </c>
      <c r="O170" s="1">
        <v>1.8838697823402E-12</v>
      </c>
      <c r="P170">
        <v>0</v>
      </c>
      <c r="Q170">
        <v>100</v>
      </c>
      <c r="AJ170">
        <v>1</v>
      </c>
    </row>
    <row r="171" spans="1:36" x14ac:dyDescent="0.2">
      <c r="A171">
        <v>222</v>
      </c>
      <c r="B171">
        <v>777</v>
      </c>
      <c r="C171">
        <v>120</v>
      </c>
      <c r="D171">
        <v>0.47961767366567098</v>
      </c>
      <c r="E171">
        <v>6.7369768199089703</v>
      </c>
      <c r="F171">
        <v>2.5389686935214599</v>
      </c>
      <c r="G171">
        <v>-110.53402459312549</v>
      </c>
      <c r="H171">
        <v>-96.446135730526791</v>
      </c>
      <c r="I171">
        <v>13.4151205662035</v>
      </c>
      <c r="J171">
        <v>7.8267038235548503</v>
      </c>
      <c r="K171">
        <v>2.6534304409106402</v>
      </c>
      <c r="L171">
        <v>0</v>
      </c>
      <c r="M171">
        <v>1.2381371196426339E-6</v>
      </c>
      <c r="N171">
        <v>0</v>
      </c>
      <c r="O171" s="1">
        <v>3.7665594071258804E-12</v>
      </c>
      <c r="P171">
        <v>0</v>
      </c>
      <c r="Q171">
        <v>100</v>
      </c>
      <c r="AJ171">
        <v>1</v>
      </c>
    </row>
    <row r="172" spans="1:36" x14ac:dyDescent="0.2">
      <c r="A172">
        <v>223</v>
      </c>
      <c r="B172">
        <v>776</v>
      </c>
      <c r="C172">
        <v>120</v>
      </c>
      <c r="D172">
        <v>0.47905494924462999</v>
      </c>
      <c r="E172">
        <v>11.3359206126414</v>
      </c>
      <c r="F172">
        <v>2.5389686935214599</v>
      </c>
      <c r="G172">
        <v>-185.96663322247841</v>
      </c>
      <c r="H172">
        <v>-162.29749408218746</v>
      </c>
      <c r="I172">
        <v>22.560300376772599</v>
      </c>
      <c r="J172">
        <v>13.1679465141397</v>
      </c>
      <c r="K172">
        <v>4.4647736860901999</v>
      </c>
      <c r="L172">
        <v>0</v>
      </c>
      <c r="M172">
        <v>1.2381371196426334E-6</v>
      </c>
      <c r="N172">
        <v>0</v>
      </c>
      <c r="O172" s="1">
        <v>6.3377713124673804E-12</v>
      </c>
      <c r="P172">
        <v>0</v>
      </c>
      <c r="Q172">
        <v>100</v>
      </c>
      <c r="AJ172">
        <v>1</v>
      </c>
    </row>
    <row r="173" spans="1:36" x14ac:dyDescent="0.2">
      <c r="A173">
        <v>224</v>
      </c>
      <c r="B173">
        <v>775</v>
      </c>
      <c r="C173">
        <v>120</v>
      </c>
      <c r="D173">
        <v>0.478491151075708</v>
      </c>
      <c r="E173">
        <v>14.782575121115499</v>
      </c>
      <c r="F173">
        <v>2.5389686935214599</v>
      </c>
      <c r="G173">
        <v>-242.47984905840843</v>
      </c>
      <c r="H173">
        <v>-211.66075739049913</v>
      </c>
      <c r="I173">
        <v>29.403321726765501</v>
      </c>
      <c r="J173">
        <v>17.169539447040499</v>
      </c>
      <c r="K173">
        <v>5.8222754612277701</v>
      </c>
      <c r="L173">
        <v>0</v>
      </c>
      <c r="M173">
        <v>1.2381371196426339E-6</v>
      </c>
      <c r="N173">
        <v>0</v>
      </c>
      <c r="O173" s="1">
        <v>8.2647527032362693E-12</v>
      </c>
      <c r="P173">
        <v>0</v>
      </c>
      <c r="Q173">
        <v>100</v>
      </c>
      <c r="AJ173">
        <v>1</v>
      </c>
    </row>
    <row r="174" spans="1:36" x14ac:dyDescent="0.2">
      <c r="A174">
        <v>225</v>
      </c>
      <c r="B174">
        <v>774</v>
      </c>
      <c r="C174">
        <v>120</v>
      </c>
      <c r="D174">
        <v>0.47792627608270499</v>
      </c>
      <c r="E174">
        <v>23.104994992774898</v>
      </c>
      <c r="F174">
        <v>2.5389686935214599</v>
      </c>
      <c r="G174">
        <v>-378.94727259204961</v>
      </c>
      <c r="H174">
        <v>-330.8501649820729</v>
      </c>
      <c r="I174">
        <v>45.931440204341897</v>
      </c>
      <c r="J174">
        <v>26.8325288207228</v>
      </c>
      <c r="K174">
        <v>9.1001496204859205</v>
      </c>
      <c r="L174">
        <v>0</v>
      </c>
      <c r="M174">
        <v>1.2381371196426337E-6</v>
      </c>
      <c r="N174">
        <v>0</v>
      </c>
      <c r="O174" s="1">
        <v>1.2917713474158701E-11</v>
      </c>
      <c r="P174">
        <v>0</v>
      </c>
      <c r="Q174">
        <v>100</v>
      </c>
      <c r="AJ174">
        <v>1</v>
      </c>
    </row>
    <row r="175" spans="1:36" x14ac:dyDescent="0.2">
      <c r="A175">
        <v>226</v>
      </c>
      <c r="B175">
        <v>773</v>
      </c>
      <c r="C175">
        <v>120</v>
      </c>
      <c r="D175">
        <v>0.47736032117765198</v>
      </c>
      <c r="E175">
        <v>26.6819681746179</v>
      </c>
      <c r="F175">
        <v>2.5389686935214599</v>
      </c>
      <c r="G175">
        <v>-437.56053057115616</v>
      </c>
      <c r="H175">
        <v>-382.10133680780029</v>
      </c>
      <c r="I175">
        <v>53.012659526220801</v>
      </c>
      <c r="J175">
        <v>30.982798538655899</v>
      </c>
      <c r="K175">
        <v>10.508978800211599</v>
      </c>
      <c r="L175">
        <v>0</v>
      </c>
      <c r="M175">
        <v>1.2381371196426337E-6</v>
      </c>
      <c r="N175">
        <v>0</v>
      </c>
      <c r="O175" s="1">
        <v>1.4917554403890401E-11</v>
      </c>
      <c r="P175">
        <v>0</v>
      </c>
      <c r="Q175">
        <v>100</v>
      </c>
      <c r="AJ175">
        <v>1</v>
      </c>
    </row>
    <row r="176" spans="1:36" x14ac:dyDescent="0.2">
      <c r="A176">
        <v>227</v>
      </c>
      <c r="B176">
        <v>772</v>
      </c>
      <c r="C176">
        <v>120</v>
      </c>
      <c r="D176">
        <v>0.47679328326077502</v>
      </c>
      <c r="E176">
        <v>29.399890655240402</v>
      </c>
      <c r="F176">
        <v>2.5389686935214599</v>
      </c>
      <c r="G176">
        <v>-482.07364384605199</v>
      </c>
      <c r="H176">
        <v>-421.05770770396015</v>
      </c>
      <c r="I176">
        <v>58.380075723189798</v>
      </c>
      <c r="J176">
        <v>34.134648296299801</v>
      </c>
      <c r="K176">
        <v>11.5794616649895</v>
      </c>
      <c r="L176">
        <v>0</v>
      </c>
      <c r="M176">
        <v>1.2381371196426337E-6</v>
      </c>
      <c r="N176">
        <v>0</v>
      </c>
      <c r="O176" s="1">
        <v>1.6437110840091101E-11</v>
      </c>
      <c r="P176">
        <v>0</v>
      </c>
      <c r="Q176">
        <v>100</v>
      </c>
      <c r="AJ176">
        <v>1</v>
      </c>
    </row>
    <row r="177" spans="1:36" x14ac:dyDescent="0.2">
      <c r="A177">
        <v>228</v>
      </c>
      <c r="B177">
        <v>771</v>
      </c>
      <c r="C177">
        <v>120</v>
      </c>
      <c r="D177">
        <v>0.47622515922041903</v>
      </c>
      <c r="E177">
        <v>30.672437558404098</v>
      </c>
      <c r="F177">
        <v>2.5389686935214599</v>
      </c>
      <c r="G177">
        <v>-502.87886287015237</v>
      </c>
      <c r="H177">
        <v>-439.31840863904608</v>
      </c>
      <c r="I177">
        <v>60.8729150324247</v>
      </c>
      <c r="J177">
        <v>35.607773973738198</v>
      </c>
      <c r="K177">
        <v>12.080667885614</v>
      </c>
      <c r="L177">
        <v>0</v>
      </c>
      <c r="M177">
        <v>1.2381371196426334E-6</v>
      </c>
      <c r="N177">
        <v>0</v>
      </c>
      <c r="O177" s="1">
        <v>1.7148575884019299E-11</v>
      </c>
      <c r="P177">
        <v>0</v>
      </c>
      <c r="Q177">
        <v>100</v>
      </c>
      <c r="AJ177">
        <v>1</v>
      </c>
    </row>
    <row r="178" spans="1:36" x14ac:dyDescent="0.2">
      <c r="A178">
        <v>245</v>
      </c>
      <c r="B178">
        <v>788</v>
      </c>
      <c r="C178">
        <v>105</v>
      </c>
      <c r="D178">
        <v>0.50128681147811704</v>
      </c>
      <c r="E178">
        <v>0.67156192282009897</v>
      </c>
      <c r="F178">
        <v>2.5384972018410301</v>
      </c>
      <c r="G178">
        <v>-11.037083475485169</v>
      </c>
      <c r="H178">
        <v>-9.6094183296756519</v>
      </c>
      <c r="I178">
        <v>1.3453942852655201</v>
      </c>
      <c r="J178">
        <v>0.78121521274308803</v>
      </c>
      <c r="K178">
        <v>0.26455098013622103</v>
      </c>
      <c r="L178">
        <v>0</v>
      </c>
      <c r="M178">
        <v>1.238120081347952E-6</v>
      </c>
      <c r="N178">
        <v>0</v>
      </c>
      <c r="O178" s="1">
        <v>3.7546186449544101E-13</v>
      </c>
      <c r="P178">
        <v>0</v>
      </c>
      <c r="Q178">
        <v>100</v>
      </c>
      <c r="AJ178">
        <v>1</v>
      </c>
    </row>
    <row r="179" spans="1:36" x14ac:dyDescent="0.2">
      <c r="A179">
        <v>246</v>
      </c>
      <c r="B179">
        <v>787</v>
      </c>
      <c r="C179">
        <v>105</v>
      </c>
      <c r="D179">
        <v>0.50075036551431296</v>
      </c>
      <c r="E179">
        <v>1.66331930091837</v>
      </c>
      <c r="F179">
        <v>2.5384972018410301</v>
      </c>
      <c r="G179">
        <v>-27.333230397713354</v>
      </c>
      <c r="H179">
        <v>-23.802466710487177</v>
      </c>
      <c r="I179">
        <v>3.3304378505175398</v>
      </c>
      <c r="J179">
        <v>1.9346791059905899</v>
      </c>
      <c r="K179">
        <v>0.65523779175807595</v>
      </c>
      <c r="L179">
        <v>0</v>
      </c>
      <c r="M179">
        <v>1.2381200813479518E-6</v>
      </c>
      <c r="N179">
        <v>0</v>
      </c>
      <c r="O179" s="1">
        <v>9.2994099985827196E-13</v>
      </c>
      <c r="P179">
        <v>0</v>
      </c>
      <c r="Q179">
        <v>100</v>
      </c>
      <c r="AJ179">
        <v>1</v>
      </c>
    </row>
    <row r="180" spans="1:36" x14ac:dyDescent="0.2">
      <c r="A180">
        <v>247</v>
      </c>
      <c r="B180">
        <v>786</v>
      </c>
      <c r="C180">
        <v>105</v>
      </c>
      <c r="D180">
        <v>0.50021290657603101</v>
      </c>
      <c r="E180">
        <v>2.7841685181012301</v>
      </c>
      <c r="F180">
        <v>2.5384972018410301</v>
      </c>
      <c r="G180">
        <v>-45.746507943617544</v>
      </c>
      <c r="H180">
        <v>-39.845304858643559</v>
      </c>
      <c r="I180">
        <v>5.5716405466402099</v>
      </c>
      <c r="J180">
        <v>3.23800418162643</v>
      </c>
      <c r="K180">
        <v>1.09677824977787</v>
      </c>
      <c r="L180">
        <v>0</v>
      </c>
      <c r="M180">
        <v>1.238120081347952E-6</v>
      </c>
      <c r="N180">
        <v>0</v>
      </c>
      <c r="O180" s="1">
        <v>1.5565937664929699E-12</v>
      </c>
      <c r="P180">
        <v>0</v>
      </c>
      <c r="Q180">
        <v>100</v>
      </c>
      <c r="AJ180">
        <v>1</v>
      </c>
    </row>
    <row r="181" spans="1:36" x14ac:dyDescent="0.2">
      <c r="A181">
        <v>248</v>
      </c>
      <c r="B181">
        <v>785</v>
      </c>
      <c r="C181">
        <v>105</v>
      </c>
      <c r="D181">
        <v>0.49967443179133703</v>
      </c>
      <c r="E181">
        <v>4.1964032460477796</v>
      </c>
      <c r="F181">
        <v>2.5384972018410301</v>
      </c>
      <c r="G181">
        <v>-68.942457594738983</v>
      </c>
      <c r="H181">
        <v>-60.061218538560077</v>
      </c>
      <c r="I181">
        <v>8.39317587882522</v>
      </c>
      <c r="J181">
        <v>4.8798622108002396</v>
      </c>
      <c r="K181">
        <v>1.6531053266493101</v>
      </c>
      <c r="L181">
        <v>0</v>
      </c>
      <c r="M181">
        <v>1.238120081347952E-6</v>
      </c>
      <c r="N181">
        <v>0</v>
      </c>
      <c r="O181" s="1">
        <v>2.34615652465736E-12</v>
      </c>
      <c r="P181">
        <v>0</v>
      </c>
      <c r="Q181">
        <v>100</v>
      </c>
      <c r="AJ181">
        <v>1</v>
      </c>
    </row>
    <row r="182" spans="1:36" x14ac:dyDescent="0.2">
      <c r="A182">
        <v>249</v>
      </c>
      <c r="B182">
        <v>784</v>
      </c>
      <c r="C182">
        <v>105</v>
      </c>
      <c r="D182">
        <v>0.49913493827744299</v>
      </c>
      <c r="E182">
        <v>7.5477650950880504</v>
      </c>
      <c r="F182">
        <v>2.5384972018410301</v>
      </c>
      <c r="G182">
        <v>-123.98668864390616</v>
      </c>
      <c r="H182">
        <v>-108.0365189272202</v>
      </c>
      <c r="I182">
        <v>15.087896435402699</v>
      </c>
      <c r="J182">
        <v>8.7760090775934003</v>
      </c>
      <c r="K182">
        <v>2.9733202343552199</v>
      </c>
      <c r="L182">
        <v>0</v>
      </c>
      <c r="M182">
        <v>1.238120081347952E-6</v>
      </c>
      <c r="N182">
        <v>0</v>
      </c>
      <c r="O182" s="1">
        <v>4.2198609824019497E-12</v>
      </c>
      <c r="P182">
        <v>0</v>
      </c>
      <c r="Q182">
        <v>100</v>
      </c>
      <c r="AJ182">
        <v>1</v>
      </c>
    </row>
    <row r="183" spans="1:36" x14ac:dyDescent="0.2">
      <c r="A183">
        <v>250</v>
      </c>
      <c r="B183">
        <v>783</v>
      </c>
      <c r="C183">
        <v>105</v>
      </c>
      <c r="D183">
        <v>0.498594423140655</v>
      </c>
      <c r="E183">
        <v>11.624617418708601</v>
      </c>
      <c r="F183">
        <v>2.5384972018410301</v>
      </c>
      <c r="G183">
        <v>-190.93366838837105</v>
      </c>
      <c r="H183">
        <v>-166.40491531263544</v>
      </c>
      <c r="I183">
        <v>23.224686905965601</v>
      </c>
      <c r="J183">
        <v>13.514674345013701</v>
      </c>
      <c r="K183">
        <v>4.57933040472843</v>
      </c>
      <c r="L183">
        <v>0</v>
      </c>
      <c r="M183">
        <v>1.2381200813479518E-6</v>
      </c>
      <c r="N183">
        <v>0</v>
      </c>
      <c r="O183" s="1">
        <v>6.4991780828582698E-12</v>
      </c>
      <c r="P183">
        <v>0</v>
      </c>
      <c r="Q183">
        <v>100</v>
      </c>
      <c r="AJ183">
        <v>1</v>
      </c>
    </row>
    <row r="184" spans="1:36" x14ac:dyDescent="0.2">
      <c r="A184">
        <v>251</v>
      </c>
      <c r="B184">
        <v>782</v>
      </c>
      <c r="C184">
        <v>105</v>
      </c>
      <c r="D184">
        <v>0.49805288347628701</v>
      </c>
      <c r="E184">
        <v>14.7878172569963</v>
      </c>
      <c r="F184">
        <v>2.5384972018410301</v>
      </c>
      <c r="G184">
        <v>-242.85950641313974</v>
      </c>
      <c r="H184">
        <v>-211.70290860061039</v>
      </c>
      <c r="I184">
        <v>29.5281218902803</v>
      </c>
      <c r="J184">
        <v>17.190127758394699</v>
      </c>
      <c r="K184">
        <v>5.8254219253311001</v>
      </c>
      <c r="L184">
        <v>0</v>
      </c>
      <c r="M184">
        <v>1.2381200813479518E-6</v>
      </c>
      <c r="N184">
        <v>0</v>
      </c>
      <c r="O184" s="1">
        <v>8.2676835157866594E-12</v>
      </c>
      <c r="P184">
        <v>0</v>
      </c>
      <c r="Q184">
        <v>100</v>
      </c>
      <c r="AJ184">
        <v>1</v>
      </c>
    </row>
    <row r="185" spans="1:36" x14ac:dyDescent="0.2">
      <c r="A185">
        <v>252</v>
      </c>
      <c r="B185">
        <v>781</v>
      </c>
      <c r="C185">
        <v>105</v>
      </c>
      <c r="D185">
        <v>0.49751031636863902</v>
      </c>
      <c r="E185">
        <v>22.201690385632102</v>
      </c>
      <c r="F185">
        <v>2.5384972018410301</v>
      </c>
      <c r="G185">
        <v>-364.57281568869547</v>
      </c>
      <c r="H185">
        <v>-317.8659822374056</v>
      </c>
      <c r="I185">
        <v>44.307578097319897</v>
      </c>
      <c r="J185">
        <v>25.805309252429002</v>
      </c>
      <c r="K185">
        <v>8.7459975805884298</v>
      </c>
      <c r="L185">
        <v>0</v>
      </c>
      <c r="M185">
        <v>1.238120081347952E-6</v>
      </c>
      <c r="N185">
        <v>0</v>
      </c>
      <c r="O185" s="1">
        <v>1.2412687175793E-11</v>
      </c>
      <c r="P185">
        <v>0</v>
      </c>
      <c r="Q185">
        <v>100</v>
      </c>
      <c r="AJ185">
        <v>1</v>
      </c>
    </row>
    <row r="186" spans="1:36" x14ac:dyDescent="0.2">
      <c r="A186">
        <v>253</v>
      </c>
      <c r="B186">
        <v>780</v>
      </c>
      <c r="C186">
        <v>105</v>
      </c>
      <c r="D186">
        <v>0.49696671889094501</v>
      </c>
      <c r="E186">
        <v>25.986608757413698</v>
      </c>
      <c r="F186">
        <v>2.5384972018410301</v>
      </c>
      <c r="G186">
        <v>-426.67291881003331</v>
      </c>
      <c r="H186">
        <v>-372.08560818836548</v>
      </c>
      <c r="I186">
        <v>51.832417624904203</v>
      </c>
      <c r="J186">
        <v>30.200943761288599</v>
      </c>
      <c r="K186">
        <v>10.237005082600399</v>
      </c>
      <c r="L186">
        <v>0</v>
      </c>
      <c r="M186">
        <v>1.2381200813479518E-6</v>
      </c>
      <c r="N186">
        <v>0</v>
      </c>
      <c r="O186" s="1">
        <v>1.45287876581797E-11</v>
      </c>
      <c r="P186">
        <v>0</v>
      </c>
      <c r="Q186">
        <v>100</v>
      </c>
      <c r="AJ186">
        <v>1</v>
      </c>
    </row>
    <row r="187" spans="1:36" x14ac:dyDescent="0.2">
      <c r="A187">
        <v>254</v>
      </c>
      <c r="B187">
        <v>779</v>
      </c>
      <c r="C187">
        <v>105</v>
      </c>
      <c r="D187">
        <v>0.49642208810530802</v>
      </c>
      <c r="E187">
        <v>28.663814272924601</v>
      </c>
      <c r="F187">
        <v>2.5384972018410301</v>
      </c>
      <c r="G187">
        <v>-470.57267496987959</v>
      </c>
      <c r="H187">
        <v>-410.45210971978105</v>
      </c>
      <c r="I187">
        <v>57.140678848166601</v>
      </c>
      <c r="J187">
        <v>33.308314118107198</v>
      </c>
      <c r="K187">
        <v>11.2916469839464</v>
      </c>
      <c r="L187">
        <v>0</v>
      </c>
      <c r="M187">
        <v>1.238120081347952E-6</v>
      </c>
      <c r="N187">
        <v>0</v>
      </c>
      <c r="O187" s="1">
        <v>1.6025579748877902E-11</v>
      </c>
      <c r="P187">
        <v>0</v>
      </c>
      <c r="Q187">
        <v>100</v>
      </c>
      <c r="AJ187">
        <v>1</v>
      </c>
    </row>
    <row r="188" spans="1:36" x14ac:dyDescent="0.2">
      <c r="A188">
        <v>255</v>
      </c>
      <c r="B188">
        <v>778</v>
      </c>
      <c r="C188">
        <v>105</v>
      </c>
      <c r="D188">
        <v>0.49587642106264601</v>
      </c>
      <c r="E188">
        <v>30.220429300096601</v>
      </c>
      <c r="F188">
        <v>2.5384972018410301</v>
      </c>
      <c r="G188">
        <v>-496.06733359812307</v>
      </c>
      <c r="H188">
        <v>-432.7772073755574</v>
      </c>
      <c r="I188">
        <v>60.210366001584497</v>
      </c>
      <c r="J188">
        <v>35.112919978866898</v>
      </c>
      <c r="K188">
        <v>11.9048503493245</v>
      </c>
      <c r="L188">
        <v>0</v>
      </c>
      <c r="M188">
        <v>1.2381200813479518E-6</v>
      </c>
      <c r="N188">
        <v>0</v>
      </c>
      <c r="O188" s="1">
        <v>1.6895863724999399E-11</v>
      </c>
      <c r="P188">
        <v>0</v>
      </c>
      <c r="Q188">
        <v>100</v>
      </c>
      <c r="AJ188">
        <v>1</v>
      </c>
    </row>
    <row r="189" spans="1:36" x14ac:dyDescent="0.2">
      <c r="A189">
        <v>256</v>
      </c>
      <c r="B189">
        <v>777</v>
      </c>
      <c r="C189">
        <v>105</v>
      </c>
      <c r="D189">
        <v>0.49532971480264998</v>
      </c>
      <c r="E189">
        <v>31.087514869424599</v>
      </c>
      <c r="F189">
        <v>2.5384972018410301</v>
      </c>
      <c r="G189">
        <v>-510.23859340548165</v>
      </c>
      <c r="H189">
        <v>-445.23058369991224</v>
      </c>
      <c r="I189">
        <v>61.903546831947203</v>
      </c>
      <c r="J189">
        <v>36.116017317190497</v>
      </c>
      <c r="K189">
        <v>12.2464247141492</v>
      </c>
      <c r="L189">
        <v>0</v>
      </c>
      <c r="M189">
        <v>1.2381200813479518E-6</v>
      </c>
      <c r="N189">
        <v>0</v>
      </c>
      <c r="O189" s="1">
        <v>1.7380640412709501E-11</v>
      </c>
      <c r="P189">
        <v>0</v>
      </c>
      <c r="Q189">
        <v>100</v>
      </c>
      <c r="AJ18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D8A5F-08C6-4DE0-85D9-D424F88D67C3}">
  <sheetPr codeName="Sheet14"/>
  <dimension ref="A1:AJ25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3.6938039096064399</v>
      </c>
      <c r="F3">
        <v>0.58013866374805401</v>
      </c>
      <c r="G3">
        <v>-79.847866178766722</v>
      </c>
      <c r="H3">
        <v>-47.067464467517375</v>
      </c>
      <c r="I3">
        <v>31.853972241822799</v>
      </c>
      <c r="J3">
        <v>14.138623310124</v>
      </c>
      <c r="K3">
        <v>6.3671052119543097</v>
      </c>
      <c r="L3">
        <v>1.1180447622227638E-3</v>
      </c>
      <c r="M3">
        <v>1.6751474484224941E-4</v>
      </c>
      <c r="N3" s="1">
        <v>4.7386395406977304E-6</v>
      </c>
      <c r="O3" s="1">
        <v>7.6834115068516897E-7</v>
      </c>
      <c r="P3" s="1">
        <v>-3.1249687334952899E-6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300</v>
      </c>
      <c r="D4">
        <v>0.27440597189125798</v>
      </c>
      <c r="E4">
        <v>3.70623656588372</v>
      </c>
      <c r="F4">
        <v>0.58078779390964097</v>
      </c>
      <c r="G4">
        <v>-80.084664939403581</v>
      </c>
      <c r="H4">
        <v>-47.240073648689972</v>
      </c>
      <c r="I4">
        <v>31.9473931107966</v>
      </c>
      <c r="J4">
        <v>14.191504084418501</v>
      </c>
      <c r="K4">
        <v>6.3813954162754598</v>
      </c>
      <c r="L4">
        <v>1.1185482806184512E-3</v>
      </c>
      <c r="M4">
        <v>1.6721099349605633E-4</v>
      </c>
      <c r="N4" s="1">
        <v>4.78543452768638E-6</v>
      </c>
      <c r="O4" s="1">
        <v>7.6823843951827395E-7</v>
      </c>
      <c r="P4" s="1">
        <v>-3.1334294740928902E-6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3.71858586386527</v>
      </c>
      <c r="F5">
        <v>0.58143794183976405</v>
      </c>
      <c r="G5">
        <v>-80.31946267194229</v>
      </c>
      <c r="H5">
        <v>-47.411720517026488</v>
      </c>
      <c r="I5">
        <v>32.039984576833398</v>
      </c>
      <c r="J5">
        <v>14.2440922087772</v>
      </c>
      <c r="K5">
        <v>6.3954991518081101</v>
      </c>
      <c r="L5">
        <v>1.1190472461558236E-3</v>
      </c>
      <c r="M5">
        <v>1.6690676151603711E-4</v>
      </c>
      <c r="N5" s="1">
        <v>4.8323497656759902E-6</v>
      </c>
      <c r="O5" s="1">
        <v>7.6810059179095103E-7</v>
      </c>
      <c r="P5" s="1">
        <v>-3.1417749513660601E-6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300</v>
      </c>
      <c r="D6">
        <v>0.27285533304097898</v>
      </c>
      <c r="E6">
        <v>3.73085237239939</v>
      </c>
      <c r="F6">
        <v>0.58208910667238001</v>
      </c>
      <c r="G6">
        <v>-80.552273970137662</v>
      </c>
      <c r="H6">
        <v>-47.582411413655493</v>
      </c>
      <c r="I6">
        <v>32.131752257769499</v>
      </c>
      <c r="J6">
        <v>14.2963892753463</v>
      </c>
      <c r="K6">
        <v>6.4094179561742601</v>
      </c>
      <c r="L6">
        <v>1.1195416336781841E-3</v>
      </c>
      <c r="M6">
        <v>1.6660205202628594E-4</v>
      </c>
      <c r="N6" s="1">
        <v>4.8793829949322997E-6</v>
      </c>
      <c r="O6" s="1">
        <v>7.6792795268027297E-7</v>
      </c>
      <c r="P6" s="1">
        <v>-3.1500054248873501E-6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300</v>
      </c>
      <c r="D7">
        <v>0.27207774472028401</v>
      </c>
      <c r="E7">
        <v>3.7430366523602898</v>
      </c>
      <c r="F7">
        <v>0.58274128751843002</v>
      </c>
      <c r="G7">
        <v>-80.78311323446276</v>
      </c>
      <c r="H7">
        <v>-47.752152585722257</v>
      </c>
      <c r="I7">
        <v>32.222701696494902</v>
      </c>
      <c r="J7">
        <v>14.348396848041499</v>
      </c>
      <c r="K7">
        <v>6.4231533487180803</v>
      </c>
      <c r="L7">
        <v>1.1200314181014446E-3</v>
      </c>
      <c r="M7">
        <v>1.6629686818048773E-4</v>
      </c>
      <c r="N7" s="1">
        <v>4.9265319415019897E-6</v>
      </c>
      <c r="O7" s="1">
        <v>7.6772086487433796E-7</v>
      </c>
      <c r="P7" s="1">
        <v>-3.15812115166159E-6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300</v>
      </c>
      <c r="D8">
        <v>0.27129863789483999</v>
      </c>
      <c r="E8">
        <v>3.7551392565444299</v>
      </c>
      <c r="F8">
        <v>0.58339448346576706</v>
      </c>
      <c r="G8">
        <v>-81.011994670232838</v>
      </c>
      <c r="H8">
        <v>-47.920950184919484</v>
      </c>
      <c r="I8">
        <v>32.312838360189303</v>
      </c>
      <c r="J8">
        <v>14.400116462111701</v>
      </c>
      <c r="K8">
        <v>6.4367068304045301</v>
      </c>
      <c r="L8">
        <v>1.1205165744157337E-3</v>
      </c>
      <c r="M8">
        <v>1.6599121316179937E-4</v>
      </c>
      <c r="N8" s="1">
        <v>4.97379431704909E-6</v>
      </c>
      <c r="O8" s="1">
        <v>7.6747966856976201E-7</v>
      </c>
      <c r="P8" s="1">
        <v>-3.1661223860709099E-6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300</v>
      </c>
      <c r="D9">
        <v>0.270518008112205</v>
      </c>
      <c r="E9">
        <v>3.7671607302796302</v>
      </c>
      <c r="F9">
        <v>0.58404869357908595</v>
      </c>
      <c r="G9">
        <v>-81.238932301106274</v>
      </c>
      <c r="H9">
        <v>-48.088810275117261</v>
      </c>
      <c r="I9">
        <v>32.4021676456913</v>
      </c>
      <c r="J9">
        <v>14.4515496264421</v>
      </c>
      <c r="K9">
        <v>6.4500798849394503</v>
      </c>
      <c r="L9">
        <v>1.1209970776875702E-3</v>
      </c>
      <c r="M9">
        <v>1.6568509018277566E-4</v>
      </c>
      <c r="N9" s="1">
        <v>5.0211678196362104E-6</v>
      </c>
      <c r="O9" s="1">
        <v>7.6720470161510404E-7</v>
      </c>
      <c r="P9" s="1">
        <v>-3.1740093804224498E-6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300</v>
      </c>
      <c r="D10">
        <v>0.26973585090251001</v>
      </c>
      <c r="E10">
        <v>3.7791016110320999</v>
      </c>
      <c r="F10">
        <v>0.58470391689982804</v>
      </c>
      <c r="G10">
        <v>-81.463939960951052</v>
      </c>
      <c r="H10">
        <v>-48.255738827207168</v>
      </c>
      <c r="I10">
        <v>32.490694876240397</v>
      </c>
      <c r="J10">
        <v>14.5026978220119</v>
      </c>
      <c r="K10">
        <v>6.4632739781689104</v>
      </c>
      <c r="L10">
        <v>1.1214729030611578E-3</v>
      </c>
      <c r="M10">
        <v>1.6537850248520266E-4</v>
      </c>
      <c r="N10" s="1">
        <v>5.0686501331921296E-6</v>
      </c>
      <c r="O10" s="1">
        <v>7.6689629944752704E-7</v>
      </c>
      <c r="P10" s="1">
        <v>-3.1817823846478801E-6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300</v>
      </c>
      <c r="D11">
        <v>0.26895216177838999</v>
      </c>
      <c r="E11">
        <v>3.7909624287599302</v>
      </c>
      <c r="F11">
        <v>0.58536015244613604</v>
      </c>
      <c r="G11">
        <v>-81.687031301816617</v>
      </c>
      <c r="H11">
        <v>-48.421741723475371</v>
      </c>
      <c r="I11">
        <v>32.578425304641499</v>
      </c>
      <c r="J11">
        <v>14.553562503221301</v>
      </c>
      <c r="K11">
        <v>6.4762905587577899</v>
      </c>
      <c r="L11">
        <v>1.1219440257605904E-3</v>
      </c>
      <c r="M11">
        <v>1.6507145334001015E-4</v>
      </c>
      <c r="N11" s="1">
        <v>5.1162389279710298E-6</v>
      </c>
      <c r="O11" s="1">
        <v>7.6655479518263102E-7</v>
      </c>
      <c r="P11" s="1">
        <v>-3.18944164663483E-6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300</v>
      </c>
      <c r="D12">
        <v>0.26816693623486898</v>
      </c>
      <c r="E12">
        <v>3.8027437057651698</v>
      </c>
      <c r="F12">
        <v>0.58601739921274598</v>
      </c>
      <c r="G12">
        <v>-81.908219791086537</v>
      </c>
      <c r="H12">
        <v>-48.586824755574774</v>
      </c>
      <c r="I12">
        <v>32.665364112116201</v>
      </c>
      <c r="J12">
        <v>14.604145097285899</v>
      </c>
      <c r="K12">
        <v>6.4891310580091401</v>
      </c>
      <c r="L12">
        <v>1.1224104210913089E-3</v>
      </c>
      <c r="M12">
        <v>1.6476394604712205E-4</v>
      </c>
      <c r="N12" s="1">
        <v>5.1639318603405697E-6</v>
      </c>
      <c r="O12" s="1">
        <v>7.66180519601231E-7</v>
      </c>
      <c r="P12" s="1">
        <v>-3.1969874121332901E-6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300</v>
      </c>
      <c r="D13">
        <v>0.26738016974930101</v>
      </c>
      <c r="E13">
        <v>3.81444595700885</v>
      </c>
      <c r="F13">
        <v>0.58667565617094397</v>
      </c>
      <c r="G13">
        <v>-82.127518718606211</v>
      </c>
      <c r="H13">
        <v>-48.750993628411479</v>
      </c>
      <c r="I13">
        <v>32.751516411131902</v>
      </c>
      <c r="J13">
        <v>14.6544470054192</v>
      </c>
      <c r="K13">
        <v>6.5017968904736803</v>
      </c>
      <c r="L13">
        <v>1.1228720644420381E-3</v>
      </c>
      <c r="M13">
        <v>1.6445598393534667E-4</v>
      </c>
      <c r="N13" s="1">
        <v>5.2117265732090801E-6</v>
      </c>
      <c r="O13" s="1">
        <v>7.6577380123000796E-7</v>
      </c>
      <c r="P13" s="1">
        <v>-3.2044199250540601E-6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300</v>
      </c>
      <c r="D14">
        <v>0.26659185778126798</v>
      </c>
      <c r="E14">
        <v>3.8260696899582598</v>
      </c>
      <c r="F14">
        <v>0.58733492226846895</v>
      </c>
      <c r="G14">
        <v>-82.344941193727621</v>
      </c>
      <c r="H14">
        <v>-48.914253958058971</v>
      </c>
      <c r="I14">
        <v>32.836887244210402</v>
      </c>
      <c r="J14">
        <v>14.7044696022131</v>
      </c>
      <c r="K14">
        <v>6.5142894537596998</v>
      </c>
      <c r="L14">
        <v>1.1233289312865035E-3</v>
      </c>
      <c r="M14">
        <v>1.6414757036223098E-4</v>
      </c>
      <c r="N14" s="1">
        <v>5.25962069581234E-6</v>
      </c>
      <c r="O14" s="1">
        <v>7.6533496632682597E-7</v>
      </c>
      <c r="P14" s="1">
        <v>-3.21173942737128E-6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300</v>
      </c>
      <c r="D15">
        <v>0.26580199577250502</v>
      </c>
      <c r="E15">
        <v>3.8376154048278002</v>
      </c>
      <c r="F15">
        <v>0.58799519642945897</v>
      </c>
      <c r="G15">
        <v>-82.560500150827025</v>
      </c>
      <c r="H15">
        <v>-49.076611274699765</v>
      </c>
      <c r="I15">
        <v>32.921481586116499</v>
      </c>
      <c r="J15">
        <v>14.754214236533</v>
      </c>
      <c r="K15">
        <v>6.5266101290135197</v>
      </c>
      <c r="L15">
        <v>1.1237809971851975E-3</v>
      </c>
      <c r="M15">
        <v>1.6383870871392443E-4</v>
      </c>
      <c r="N15" s="1">
        <v>5.3076118440431097E-6</v>
      </c>
      <c r="O15" s="1">
        <v>7.6486433894521295E-7</v>
      </c>
      <c r="P15" s="1">
        <v>-3.2189461593566399E-6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300</v>
      </c>
      <c r="D16">
        <v>0.265010579146782</v>
      </c>
      <c r="E16">
        <v>3.84908359451186</v>
      </c>
      <c r="F16">
        <v>0.58865647755436701</v>
      </c>
      <c r="G16">
        <v>-82.774208348189163</v>
      </c>
      <c r="H16">
        <v>-49.238071021635292</v>
      </c>
      <c r="I16">
        <v>33.005304343401498</v>
      </c>
      <c r="J16">
        <v>14.8036822312308</v>
      </c>
      <c r="K16">
        <v>6.53876028087429</v>
      </c>
      <c r="L16">
        <v>1.1242282377871371E-3</v>
      </c>
      <c r="M16">
        <v>1.6352940240504924E-4</v>
      </c>
      <c r="N16" s="1">
        <v>5.3556976203668496E-6</v>
      </c>
      <c r="O16" s="1">
        <v>7.6436224093666404E-7</v>
      </c>
      <c r="P16" s="1">
        <v>-3.2260403595548998E-6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300</v>
      </c>
      <c r="D17">
        <v>0.264217603309855</v>
      </c>
      <c r="E17">
        <v>3.8604747446279002</v>
      </c>
      <c r="F17">
        <v>0.58931876451991005</v>
      </c>
      <c r="G17">
        <v>-82.986078369261818</v>
      </c>
      <c r="H17">
        <v>-49.398638555702867</v>
      </c>
      <c r="I17">
        <v>33.088360354891499</v>
      </c>
      <c r="J17">
        <v>14.8528748832796</v>
      </c>
      <c r="K17">
        <v>6.5507412576160702</v>
      </c>
      <c r="L17">
        <v>1.1246706288316102E-3</v>
      </c>
      <c r="M17">
        <v>1.6321965487853322E-4</v>
      </c>
      <c r="N17" s="1">
        <v>5.40387561388995E-6</v>
      </c>
      <c r="O17" s="1">
        <v>7.6382899197466802E-7</v>
      </c>
      <c r="P17" s="1">
        <v>-3.2330222648514698E-6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300</v>
      </c>
      <c r="D18">
        <v>0.26342306364936202</v>
      </c>
      <c r="E18">
        <v>3.8717893337875302</v>
      </c>
      <c r="F18">
        <v>0.58998205617897403</v>
      </c>
      <c r="G18">
        <v>-83.196122628807458</v>
      </c>
      <c r="H18">
        <v>-49.558319150611737</v>
      </c>
      <c r="I18">
        <v>33.170654394130601</v>
      </c>
      <c r="J18">
        <v>14.9017934647896</v>
      </c>
      <c r="K18">
        <v>6.5625543916762696</v>
      </c>
      <c r="L18">
        <v>1.125108146149987E-3</v>
      </c>
      <c r="M18">
        <v>1.6290946960549651E-4</v>
      </c>
      <c r="N18" s="1">
        <v>5.4521434007377697E-6</v>
      </c>
      <c r="O18" s="1">
        <v>7.6326490962383599E-7</v>
      </c>
      <c r="P18" s="1">
        <v>-3.2398921107306799E-6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300</v>
      </c>
      <c r="D19">
        <v>0.26262695553471999</v>
      </c>
      <c r="E19">
        <v>3.88302783340544</v>
      </c>
      <c r="F19">
        <v>0.59064635136056898</v>
      </c>
      <c r="G19">
        <v>-83.40435336911483</v>
      </c>
      <c r="H19">
        <v>-49.717117994368991</v>
      </c>
      <c r="I19">
        <v>33.252191167859898</v>
      </c>
      <c r="J19">
        <v>14.950439222242901</v>
      </c>
      <c r="K19">
        <v>6.5742009993980002</v>
      </c>
      <c r="L19">
        <v>1.1255407656673808E-3</v>
      </c>
      <c r="M19">
        <v>1.6259885008507538E-4</v>
      </c>
      <c r="N19" s="1">
        <v>5.5004985438155204E-6</v>
      </c>
      <c r="O19" s="1">
        <v>7.6267030931663002E-7</v>
      </c>
      <c r="P19" s="1">
        <v>-3.2466501311470701E-6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300</v>
      </c>
      <c r="D20">
        <v>0.261829274317047</v>
      </c>
      <c r="E20">
        <v>3.89419070791805</v>
      </c>
      <c r="F20">
        <v>0.59131164886975696</v>
      </c>
      <c r="G20">
        <v>-83.610782665015478</v>
      </c>
      <c r="H20">
        <v>-49.875040191947903</v>
      </c>
      <c r="I20">
        <v>33.332975318007499</v>
      </c>
      <c r="J20">
        <v>14.99881337731</v>
      </c>
      <c r="K20">
        <v>6.5856823814674996</v>
      </c>
      <c r="L20">
        <v>1.1259684634045194E-3</v>
      </c>
      <c r="M20">
        <v>1.6228779984426816E-4</v>
      </c>
      <c r="N20" s="1">
        <v>5.5489385931200797E-6</v>
      </c>
      <c r="O20" s="1">
        <v>7.6204550441108401E-7</v>
      </c>
      <c r="P20" s="1">
        <v>-3.25329655873892E-6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300</v>
      </c>
      <c r="D21">
        <v>0.26103001532908299</v>
      </c>
      <c r="E21">
        <v>4.1257606923146097</v>
      </c>
      <c r="F21">
        <v>0.59197794748758203</v>
      </c>
      <c r="G21">
        <v>-88.547432095609977</v>
      </c>
      <c r="H21">
        <v>-52.856777804061551</v>
      </c>
      <c r="I21">
        <v>35.299426697490198</v>
      </c>
      <c r="J21">
        <v>15.8964285330712</v>
      </c>
      <c r="K21">
        <v>6.9694499766837401</v>
      </c>
      <c r="L21">
        <v>1.1263912154793017E-3</v>
      </c>
      <c r="M21">
        <v>1.6197632243779078E-4</v>
      </c>
      <c r="N21" s="1">
        <v>5.91347977573127E-6</v>
      </c>
      <c r="O21" s="1">
        <v>8.0437703182422604E-7</v>
      </c>
      <c r="P21" s="1">
        <v>-3.4438735867064999E-6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300</v>
      </c>
      <c r="D22">
        <v>0.260229173885068</v>
      </c>
      <c r="E22">
        <v>4.4407600588360197</v>
      </c>
      <c r="F22">
        <v>0.59264524597101398</v>
      </c>
      <c r="G22">
        <v>-95.269989636885981</v>
      </c>
      <c r="H22">
        <v>-56.909474418519224</v>
      </c>
      <c r="I22">
        <v>37.977584016201803</v>
      </c>
      <c r="J22">
        <v>17.116236579435899</v>
      </c>
      <c r="K22">
        <v>7.4931168165537203</v>
      </c>
      <c r="L22">
        <v>1.1268089981088243E-3</v>
      </c>
      <c r="M22">
        <v>1.6166442144791216E-4</v>
      </c>
      <c r="N22" s="1">
        <v>6.4021828038866401E-6</v>
      </c>
      <c r="O22" s="1">
        <v>8.6258012981094101E-7</v>
      </c>
      <c r="P22" s="1">
        <v>-3.7036715946242098E-6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300</v>
      </c>
      <c r="D23">
        <v>0.25942674528068399</v>
      </c>
      <c r="E23">
        <v>5.8430602435083197</v>
      </c>
      <c r="F23">
        <v>0.59331354305285799</v>
      </c>
      <c r="G23">
        <v>-125.30432306371117</v>
      </c>
      <c r="H23">
        <v>-74.90283467470843</v>
      </c>
      <c r="I23">
        <v>49.9478096882317</v>
      </c>
      <c r="J23">
        <v>22.529231546597298</v>
      </c>
      <c r="K23">
        <v>9.8481828232728503</v>
      </c>
      <c r="L23">
        <v>1.1272217876108104E-3</v>
      </c>
      <c r="M23">
        <v>1.6135210048428208E-4</v>
      </c>
      <c r="N23" s="1">
        <v>8.4728239075965306E-6</v>
      </c>
      <c r="O23" s="1">
        <v>1.1307421623099801E-6</v>
      </c>
      <c r="P23" s="1">
        <v>-4.8690336054737897E-6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300</v>
      </c>
      <c r="D24">
        <v>0.25862272479293502</v>
      </c>
      <c r="E24">
        <v>6.84283831294574</v>
      </c>
      <c r="F24">
        <v>0.59398283744173197</v>
      </c>
      <c r="G24">
        <v>-146.68606493008667</v>
      </c>
      <c r="H24">
        <v>-87.745488980715479</v>
      </c>
      <c r="I24">
        <v>58.467977822399703</v>
      </c>
      <c r="J24">
        <v>26.3934965657151</v>
      </c>
      <c r="K24">
        <v>11.520262676978399</v>
      </c>
      <c r="L24">
        <v>1.1276295604055191E-3</v>
      </c>
      <c r="M24">
        <v>1.6103936318377177E-4</v>
      </c>
      <c r="N24" s="1">
        <v>9.9799093019067408E-6</v>
      </c>
      <c r="O24" s="1">
        <v>1.3192744107860899E-6</v>
      </c>
      <c r="P24" s="1">
        <v>-5.6971960997659996E-6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300</v>
      </c>
      <c r="D25">
        <v>0.25781710768008598</v>
      </c>
      <c r="E25">
        <v>9.4556408556145506</v>
      </c>
      <c r="F25">
        <v>0.59465312782199797</v>
      </c>
      <c r="G25">
        <v>-202.61446445548501</v>
      </c>
      <c r="H25">
        <v>-121.2858472330248</v>
      </c>
      <c r="I25">
        <v>80.756618498536099</v>
      </c>
      <c r="J25">
        <v>36.484285391352898</v>
      </c>
      <c r="K25">
        <v>15.901103371384201</v>
      </c>
      <c r="L25">
        <v>1.1280322930175457E-3</v>
      </c>
      <c r="M25">
        <v>1.6072621321029811E-4</v>
      </c>
      <c r="N25" s="1">
        <v>1.38697713198904E-5</v>
      </c>
      <c r="O25" s="1">
        <v>1.8161847133219801E-6</v>
      </c>
      <c r="P25" s="1">
        <v>-7.8656309011473396E-6</v>
      </c>
      <c r="AE25">
        <v>100</v>
      </c>
      <c r="AJ25">
        <v>1</v>
      </c>
    </row>
    <row r="26" spans="1:36" x14ac:dyDescent="0.2">
      <c r="A26">
        <v>25</v>
      </c>
      <c r="B26">
        <v>733</v>
      </c>
      <c r="C26">
        <v>300</v>
      </c>
      <c r="D26">
        <v>0.257009889181535</v>
      </c>
      <c r="E26">
        <v>9.8908719764404207</v>
      </c>
      <c r="F26">
        <v>0.59532441285366999</v>
      </c>
      <c r="G26">
        <v>-211.85609573678136</v>
      </c>
      <c r="H26">
        <v>-126.90665087578</v>
      </c>
      <c r="I26">
        <v>84.4358247033895</v>
      </c>
      <c r="J26">
        <v>38.177129186239497</v>
      </c>
      <c r="K26">
        <v>16.614255627496899</v>
      </c>
      <c r="L26">
        <v>1.1284299620773106E-3</v>
      </c>
      <c r="M26">
        <v>1.6041265425464866E-4</v>
      </c>
      <c r="N26" s="1">
        <v>1.45910489774555E-5</v>
      </c>
      <c r="O26" s="1">
        <v>1.8926414839834799E-6</v>
      </c>
      <c r="P26" s="1">
        <v>-8.2203458271575407E-6</v>
      </c>
      <c r="AE26">
        <v>100</v>
      </c>
      <c r="AJ26">
        <v>1</v>
      </c>
    </row>
    <row r="27" spans="1:36" x14ac:dyDescent="0.2">
      <c r="A27">
        <v>26</v>
      </c>
      <c r="B27">
        <v>757</v>
      </c>
      <c r="C27">
        <v>285</v>
      </c>
      <c r="D27">
        <v>0.291967674610496</v>
      </c>
      <c r="E27">
        <v>3.94010278347448</v>
      </c>
      <c r="F27">
        <v>0.564464844426534</v>
      </c>
      <c r="G27">
        <v>-85.309342228182715</v>
      </c>
      <c r="H27">
        <v>-50.17266311207964</v>
      </c>
      <c r="I27">
        <v>34.110502242261603</v>
      </c>
      <c r="J27">
        <v>15.155803009778699</v>
      </c>
      <c r="K27">
        <v>6.9802447794200697</v>
      </c>
      <c r="L27">
        <v>1.165136991931093E-3</v>
      </c>
      <c r="M27">
        <v>1.8284864222289883E-4</v>
      </c>
      <c r="N27" s="1">
        <v>5.3400203270652803E-6</v>
      </c>
      <c r="O27" s="1">
        <v>9.8821536357444404E-7</v>
      </c>
      <c r="P27" s="1">
        <v>-3.8059284089220699E-6</v>
      </c>
      <c r="AE27">
        <v>100</v>
      </c>
      <c r="AJ27">
        <v>1</v>
      </c>
    </row>
    <row r="28" spans="1:36" x14ac:dyDescent="0.2">
      <c r="A28">
        <v>27</v>
      </c>
      <c r="B28">
        <v>756</v>
      </c>
      <c r="C28">
        <v>285</v>
      </c>
      <c r="D28">
        <v>0.29121167954136901</v>
      </c>
      <c r="E28">
        <v>3.9479181103675201</v>
      </c>
      <c r="F28">
        <v>0.56512307354332403</v>
      </c>
      <c r="G28">
        <v>-85.444385401133005</v>
      </c>
      <c r="H28">
        <v>-50.287371207682533</v>
      </c>
      <c r="I28">
        <v>34.163410032184899</v>
      </c>
      <c r="J28">
        <v>15.191982191304</v>
      </c>
      <c r="K28">
        <v>6.9859439389265399</v>
      </c>
      <c r="L28">
        <v>1.1657270169384284E-3</v>
      </c>
      <c r="M28">
        <v>1.825161358550552E-4</v>
      </c>
      <c r="N28" s="1">
        <v>5.38895506051815E-6</v>
      </c>
      <c r="O28" s="1">
        <v>9.8673328980345709E-7</v>
      </c>
      <c r="P28" s="1">
        <v>-3.8113705869595802E-6</v>
      </c>
      <c r="AE28">
        <v>100</v>
      </c>
      <c r="AJ28">
        <v>1</v>
      </c>
    </row>
    <row r="29" spans="1:36" x14ac:dyDescent="0.2">
      <c r="A29">
        <v>28</v>
      </c>
      <c r="B29">
        <v>755</v>
      </c>
      <c r="C29">
        <v>285</v>
      </c>
      <c r="D29">
        <v>0.29045421387929599</v>
      </c>
      <c r="E29">
        <v>3.9600555679037002</v>
      </c>
      <c r="F29">
        <v>0.56578240263567903</v>
      </c>
      <c r="G29">
        <v>-85.672814110673031</v>
      </c>
      <c r="H29">
        <v>-50.457216174933109</v>
      </c>
      <c r="I29">
        <v>34.253624590488798</v>
      </c>
      <c r="J29">
        <v>15.244814390227999</v>
      </c>
      <c r="K29">
        <v>6.9992554548460699</v>
      </c>
      <c r="L29">
        <v>1.1663120213187908E-3</v>
      </c>
      <c r="M29">
        <v>1.8218301729637927E-4</v>
      </c>
      <c r="N29" s="1">
        <v>5.4440196674362899E-6</v>
      </c>
      <c r="O29" s="1">
        <v>9.8631328479456995E-7</v>
      </c>
      <c r="P29" s="1">
        <v>-3.8209336572588903E-6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285</v>
      </c>
      <c r="D30">
        <v>0.28969527332911499</v>
      </c>
      <c r="E30">
        <v>3.9721161682415702</v>
      </c>
      <c r="F30">
        <v>0.56644283090958403</v>
      </c>
      <c r="G30">
        <v>-85.899385592053562</v>
      </c>
      <c r="H30">
        <v>-50.626181137865871</v>
      </c>
      <c r="I30">
        <v>34.343063372413901</v>
      </c>
      <c r="J30">
        <v>15.297378057080801</v>
      </c>
      <c r="K30">
        <v>7.01238669022118</v>
      </c>
      <c r="L30">
        <v>1.1668919746115108E-3</v>
      </c>
      <c r="M30">
        <v>1.8184929005932279E-4</v>
      </c>
      <c r="N30" s="1">
        <v>5.4992487252514403E-6</v>
      </c>
      <c r="O30" s="1">
        <v>9.8585229519862204E-7</v>
      </c>
      <c r="P30" s="1">
        <v>-3.8303680748610198E-6</v>
      </c>
      <c r="AE30">
        <v>100</v>
      </c>
      <c r="AJ30">
        <v>1</v>
      </c>
    </row>
    <row r="31" spans="1:36" x14ac:dyDescent="0.2">
      <c r="A31">
        <v>30</v>
      </c>
      <c r="B31">
        <v>753</v>
      </c>
      <c r="C31">
        <v>285</v>
      </c>
      <c r="D31">
        <v>0.28893485357891502</v>
      </c>
      <c r="E31">
        <v>3.98410046540344</v>
      </c>
      <c r="F31">
        <v>0.56710435754481503</v>
      </c>
      <c r="G31">
        <v>-86.124113971498318</v>
      </c>
      <c r="H31">
        <v>-50.794272317764801</v>
      </c>
      <c r="I31">
        <v>34.431731813742203</v>
      </c>
      <c r="J31">
        <v>15.349674703077</v>
      </c>
      <c r="K31">
        <v>7.0253391856340999</v>
      </c>
      <c r="L31">
        <v>1.1674668464429171E-3</v>
      </c>
      <c r="M31">
        <v>1.8151495769694757E-4</v>
      </c>
      <c r="N31" s="1">
        <v>5.55463949943989E-6</v>
      </c>
      <c r="O31" s="1">
        <v>9.8535071404126201E-7</v>
      </c>
      <c r="P31" s="1">
        <v>-3.8396740218713897E-6</v>
      </c>
      <c r="AE31">
        <v>100</v>
      </c>
      <c r="AJ31">
        <v>1</v>
      </c>
    </row>
    <row r="32" spans="1:36" x14ac:dyDescent="0.2">
      <c r="A32">
        <v>31</v>
      </c>
      <c r="B32">
        <v>752</v>
      </c>
      <c r="C32">
        <v>285</v>
      </c>
      <c r="D32">
        <v>0.28817295029995899</v>
      </c>
      <c r="E32">
        <v>3.99600900668537</v>
      </c>
      <c r="F32">
        <v>0.56776698169481299</v>
      </c>
      <c r="G32">
        <v>-86.347013209289614</v>
      </c>
      <c r="H32">
        <v>-50.961495857662996</v>
      </c>
      <c r="I32">
        <v>34.519635285922298</v>
      </c>
      <c r="J32">
        <v>15.4017058157407</v>
      </c>
      <c r="K32">
        <v>7.0381144651227903</v>
      </c>
      <c r="L32">
        <v>1.1680366065288006E-3</v>
      </c>
      <c r="M32">
        <v>1.8118002380282529E-4</v>
      </c>
      <c r="N32" s="1">
        <v>5.61018923646498E-6</v>
      </c>
      <c r="O32" s="1">
        <v>9.8480893198590503E-7</v>
      </c>
      <c r="P32" s="1">
        <v>-3.8488516790409001E-6</v>
      </c>
      <c r="AE32">
        <v>100</v>
      </c>
      <c r="AJ32">
        <v>1</v>
      </c>
    </row>
    <row r="33" spans="1:36" x14ac:dyDescent="0.2">
      <c r="A33">
        <v>32</v>
      </c>
      <c r="B33">
        <v>751</v>
      </c>
      <c r="C33">
        <v>285</v>
      </c>
      <c r="D33">
        <v>0.28740955914661298</v>
      </c>
      <c r="E33">
        <v>4.0078423322933698</v>
      </c>
      <c r="F33">
        <v>0.56843070248660299</v>
      </c>
      <c r="G33">
        <v>-86.56809709221703</v>
      </c>
      <c r="H33">
        <v>-51.127857817578324</v>
      </c>
      <c r="I33">
        <v>34.606779093034099</v>
      </c>
      <c r="J33">
        <v>15.4534728574742</v>
      </c>
      <c r="K33">
        <v>7.0507140356089799</v>
      </c>
      <c r="L33">
        <v>1.1686012246769268E-3</v>
      </c>
      <c r="M33">
        <v>1.8084449201092052E-4</v>
      </c>
      <c r="N33" s="1">
        <v>5.6658951633326804E-6</v>
      </c>
      <c r="O33" s="1">
        <v>9.842273372618579E-7</v>
      </c>
      <c r="P33" s="1">
        <v>-3.8579012254662599E-6</v>
      </c>
      <c r="AE33">
        <v>100</v>
      </c>
      <c r="AJ33">
        <v>1</v>
      </c>
    </row>
    <row r="34" spans="1:36" x14ac:dyDescent="0.2">
      <c r="A34">
        <v>33</v>
      </c>
      <c r="B34">
        <v>750</v>
      </c>
      <c r="C34">
        <v>285</v>
      </c>
      <c r="D34">
        <v>0.28664467575624197</v>
      </c>
      <c r="E34">
        <v>4.0196009756332103</v>
      </c>
      <c r="F34">
        <v>0.56909551902069699</v>
      </c>
      <c r="G34">
        <v>-86.787379240158003</v>
      </c>
      <c r="H34">
        <v>-51.293364178083742</v>
      </c>
      <c r="I34">
        <v>34.693168474401801</v>
      </c>
      <c r="J34">
        <v>15.504977266647099</v>
      </c>
      <c r="K34">
        <v>7.06313938747956</v>
      </c>
      <c r="L34">
        <v>1.169160670789339E-3</v>
      </c>
      <c r="M34">
        <v>1.8050836599545238E-4</v>
      </c>
      <c r="N34" s="1">
        <v>5.7217544880464404E-6</v>
      </c>
      <c r="O34" s="1">
        <v>9.8360631575379E-7</v>
      </c>
      <c r="P34" s="1">
        <v>-3.8668228389176798E-6</v>
      </c>
      <c r="AE34">
        <v>100</v>
      </c>
      <c r="AJ34">
        <v>1</v>
      </c>
    </row>
    <row r="35" spans="1:36" x14ac:dyDescent="0.2">
      <c r="A35">
        <v>34</v>
      </c>
      <c r="B35">
        <v>749</v>
      </c>
      <c r="C35">
        <v>285</v>
      </c>
      <c r="D35">
        <v>0.28587829574915702</v>
      </c>
      <c r="E35">
        <v>4.0312854634513897</v>
      </c>
      <c r="F35">
        <v>0.56976143037098403</v>
      </c>
      <c r="G35">
        <v>-87.004873109430449</v>
      </c>
      <c r="H35">
        <v>-51.458020841981771</v>
      </c>
      <c r="I35">
        <v>34.778808605918996</v>
      </c>
      <c r="J35">
        <v>15.556220458112101</v>
      </c>
      <c r="K35">
        <v>7.0753919949030699</v>
      </c>
      <c r="L35">
        <v>1.1697149148648929E-3</v>
      </c>
      <c r="M35">
        <v>1.8017164947080276E-4</v>
      </c>
      <c r="N35" s="1">
        <v>5.7777643998816903E-6</v>
      </c>
      <c r="O35" s="1">
        <v>9.8294625105403107E-7</v>
      </c>
      <c r="P35" s="1">
        <v>-3.8756166960260804E-6</v>
      </c>
      <c r="AE35">
        <v>100</v>
      </c>
      <c r="AJ35">
        <v>1</v>
      </c>
    </row>
    <row r="36" spans="1:36" x14ac:dyDescent="0.2">
      <c r="A36">
        <v>35</v>
      </c>
      <c r="B36">
        <v>748</v>
      </c>
      <c r="C36">
        <v>285</v>
      </c>
      <c r="D36">
        <v>0.28511041472849202</v>
      </c>
      <c r="E36">
        <v>4.0428963158202196</v>
      </c>
      <c r="F36">
        <v>0.57042843558468004</v>
      </c>
      <c r="G36">
        <v>-87.220591992775198</v>
      </c>
      <c r="H36">
        <v>-51.621833633994143</v>
      </c>
      <c r="I36">
        <v>34.863704600024697</v>
      </c>
      <c r="J36">
        <v>15.6072038231263</v>
      </c>
      <c r="K36">
        <v>7.0874733158705698</v>
      </c>
      <c r="L36">
        <v>1.1702639270016891E-3</v>
      </c>
      <c r="M36">
        <v>1.7983434619134171E-4</v>
      </c>
      <c r="N36" s="1">
        <v>5.83392206942968E-6</v>
      </c>
      <c r="O36" s="1">
        <v>9.8224752447510005E-7</v>
      </c>
      <c r="P36" s="1">
        <v>-3.88428297231621E-6</v>
      </c>
      <c r="AE36">
        <v>100</v>
      </c>
      <c r="AJ36">
        <v>1</v>
      </c>
    </row>
    <row r="37" spans="1:36" x14ac:dyDescent="0.2">
      <c r="A37">
        <v>36</v>
      </c>
      <c r="B37">
        <v>747</v>
      </c>
      <c r="C37">
        <v>285</v>
      </c>
      <c r="D37">
        <v>0.28434102828015601</v>
      </c>
      <c r="E37">
        <v>4.0544340461033004</v>
      </c>
      <c r="F37">
        <v>0.57109653368218405</v>
      </c>
      <c r="G37">
        <v>-87.434549018914936</v>
      </c>
      <c r="H37">
        <v>-51.784808300198485</v>
      </c>
      <c r="I37">
        <v>34.9478615055123</v>
      </c>
      <c r="J37">
        <v>15.657928729186001</v>
      </c>
      <c r="K37">
        <v>7.0993847922032698</v>
      </c>
      <c r="L37">
        <v>1.1708076773996202E-3</v>
      </c>
      <c r="M37">
        <v>1.7949645995134797E-4</v>
      </c>
      <c r="N37" s="1">
        <v>5.8902246486279203E-6</v>
      </c>
      <c r="O37" s="1">
        <v>9.8151051505862397E-7</v>
      </c>
      <c r="P37" s="1">
        <v>-3.89282184222477E-6</v>
      </c>
      <c r="AE37">
        <v>100</v>
      </c>
      <c r="AJ37">
        <v>1</v>
      </c>
    </row>
    <row r="38" spans="1:36" x14ac:dyDescent="0.2">
      <c r="A38">
        <v>37</v>
      </c>
      <c r="B38">
        <v>746</v>
      </c>
      <c r="C38">
        <v>285</v>
      </c>
      <c r="D38">
        <v>0.28357013197272302</v>
      </c>
      <c r="E38">
        <v>4.0658991612725499</v>
      </c>
      <c r="F38">
        <v>0.57176572365704104</v>
      </c>
      <c r="G38">
        <v>-87.646757159693664</v>
      </c>
      <c r="H38">
        <v>-51.946950511956466</v>
      </c>
      <c r="I38">
        <v>35.031284310368498</v>
      </c>
      <c r="J38">
        <v>15.708396521230499</v>
      </c>
      <c r="K38">
        <v>7.11112785017413</v>
      </c>
      <c r="L38">
        <v>1.1713461363626204E-3</v>
      </c>
      <c r="M38">
        <v>1.791579945848153E-4</v>
      </c>
      <c r="N38" s="1">
        <v>5.9466692712984302E-6</v>
      </c>
      <c r="O38" s="1">
        <v>9.8073559966794504E-7</v>
      </c>
      <c r="P38" s="1">
        <v>-3.9012334794525604E-6</v>
      </c>
      <c r="AE38">
        <v>100</v>
      </c>
      <c r="AJ38">
        <v>1</v>
      </c>
    </row>
    <row r="39" spans="1:36" x14ac:dyDescent="0.2">
      <c r="A39">
        <v>38</v>
      </c>
      <c r="B39">
        <v>745</v>
      </c>
      <c r="C39">
        <v>285</v>
      </c>
      <c r="D39">
        <v>0.28279772135736497</v>
      </c>
      <c r="E39">
        <v>4.0772921617544</v>
      </c>
      <c r="F39">
        <v>0.57243600447582399</v>
      </c>
      <c r="G39">
        <v>-87.857229227053679</v>
      </c>
      <c r="H39">
        <v>-52.108265863832415</v>
      </c>
      <c r="I39">
        <v>35.113977940549603</v>
      </c>
      <c r="J39">
        <v>15.7586085210222</v>
      </c>
      <c r="K39">
        <v>7.1227039003039998</v>
      </c>
      <c r="L39">
        <v>1.1718792743011935E-3</v>
      </c>
      <c r="M39">
        <v>1.7881895396531928E-4</v>
      </c>
      <c r="N39" s="1">
        <v>6.00325305301136E-6</v>
      </c>
      <c r="O39" s="1">
        <v>9.7992315296644199E-7</v>
      </c>
      <c r="P39" s="1">
        <v>-3.9095180568656099E-6</v>
      </c>
      <c r="AE39">
        <v>100</v>
      </c>
      <c r="AJ39">
        <v>1</v>
      </c>
    </row>
    <row r="40" spans="1:36" x14ac:dyDescent="0.2">
      <c r="A40">
        <v>39</v>
      </c>
      <c r="B40">
        <v>744</v>
      </c>
      <c r="C40">
        <v>285</v>
      </c>
      <c r="D40">
        <v>0.28202379196775501</v>
      </c>
      <c r="E40">
        <v>4.0886135415584501</v>
      </c>
      <c r="F40">
        <v>0.57310737507804999</v>
      </c>
      <c r="G40">
        <v>-88.065977876105535</v>
      </c>
      <c r="H40">
        <v>-52.268759875118342</v>
      </c>
      <c r="I40">
        <v>35.195947261195698</v>
      </c>
      <c r="J40">
        <v>15.8085660276202</v>
      </c>
      <c r="K40">
        <v>7.1341143376520604</v>
      </c>
      <c r="L40">
        <v>1.1724070617349189E-3</v>
      </c>
      <c r="M40">
        <v>1.7847934200589016E-4</v>
      </c>
      <c r="N40" s="1">
        <v>6.0599730913612404E-6</v>
      </c>
      <c r="O40" s="1">
        <v>9.7907354746428496E-7</v>
      </c>
      <c r="P40" s="1">
        <v>-3.9176757466679097E-6</v>
      </c>
      <c r="AE40">
        <v>100</v>
      </c>
      <c r="AJ40">
        <v>1</v>
      </c>
    </row>
    <row r="41" spans="1:36" x14ac:dyDescent="0.2">
      <c r="A41">
        <v>40</v>
      </c>
      <c r="B41">
        <v>743</v>
      </c>
      <c r="C41">
        <v>285</v>
      </c>
      <c r="D41">
        <v>0.281248339319983</v>
      </c>
      <c r="E41">
        <v>4.0998637884726801</v>
      </c>
      <c r="F41">
        <v>0.57377983437610003</v>
      </c>
      <c r="G41">
        <v>-88.273015609620529</v>
      </c>
      <c r="H41">
        <v>-52.428437992212665</v>
      </c>
      <c r="I41">
        <v>35.277197078411703</v>
      </c>
      <c r="J41">
        <v>15.8582703181124</v>
      </c>
      <c r="K41">
        <v>7.1453605422202902</v>
      </c>
      <c r="L41">
        <v>1.1729294692947394E-3</v>
      </c>
      <c r="M41">
        <v>1.7813916265882454E-4</v>
      </c>
      <c r="N41" s="1">
        <v>6.1168264663592704E-6</v>
      </c>
      <c r="O41" s="1">
        <v>9.7818715357969293E-7</v>
      </c>
      <c r="P41" s="1">
        <v>-3.9257067206358898E-6</v>
      </c>
      <c r="AE41">
        <v>100</v>
      </c>
      <c r="AJ41">
        <v>1</v>
      </c>
    </row>
    <row r="42" spans="1:36" x14ac:dyDescent="0.2">
      <c r="A42">
        <v>41</v>
      </c>
      <c r="B42">
        <v>742</v>
      </c>
      <c r="C42">
        <v>285</v>
      </c>
      <c r="D42">
        <v>0.28047135891247499</v>
      </c>
      <c r="E42">
        <v>4.1110433839249296</v>
      </c>
      <c r="F42">
        <v>0.574453381255147</v>
      </c>
      <c r="G42">
        <v>-88.47835477533414</v>
      </c>
      <c r="H42">
        <v>-52.587305586735837</v>
      </c>
      <c r="I42">
        <v>35.357732138176203</v>
      </c>
      <c r="J42">
        <v>15.907722647056501</v>
      </c>
      <c r="K42">
        <v>7.1564438787748799</v>
      </c>
      <c r="L42">
        <v>1.1734464677254945E-3</v>
      </c>
      <c r="M42">
        <v>1.7779841991552817E-4</v>
      </c>
      <c r="N42" s="1">
        <v>6.1738102403225797E-6</v>
      </c>
      <c r="O42" s="1">
        <v>9.7726433962001909E-7</v>
      </c>
      <c r="P42" s="1">
        <v>-3.9336111500331003E-6</v>
      </c>
      <c r="AE42">
        <v>100</v>
      </c>
      <c r="AJ42">
        <v>1</v>
      </c>
    </row>
    <row r="43" spans="1:36" x14ac:dyDescent="0.2">
      <c r="A43">
        <v>42</v>
      </c>
      <c r="B43">
        <v>741</v>
      </c>
      <c r="C43">
        <v>285</v>
      </c>
      <c r="D43">
        <v>0.27969284622590601</v>
      </c>
      <c r="E43">
        <v>4.1221528031886301</v>
      </c>
      <c r="F43">
        <v>0.57512801457304596</v>
      </c>
      <c r="G43">
        <v>-88.682007570660417</v>
      </c>
      <c r="H43">
        <v>-52.745367958046224</v>
      </c>
      <c r="I43">
        <v>35.437557128213101</v>
      </c>
      <c r="J43">
        <v>15.956924247255801</v>
      </c>
      <c r="K43">
        <v>7.1673656972678801</v>
      </c>
      <c r="L43">
        <v>1.1739580278882762E-3</v>
      </c>
      <c r="M43">
        <v>1.7745711780635707E-4</v>
      </c>
      <c r="N43" s="1">
        <v>6.2309214582963002E-6</v>
      </c>
      <c r="O43" s="1">
        <v>9.7630547184517002E-7</v>
      </c>
      <c r="P43" s="1">
        <v>-3.94138920585578E-6</v>
      </c>
      <c r="AE43">
        <v>100</v>
      </c>
      <c r="AJ43">
        <v>1</v>
      </c>
    </row>
    <row r="44" spans="1:36" x14ac:dyDescent="0.2">
      <c r="A44">
        <v>43</v>
      </c>
      <c r="B44">
        <v>740</v>
      </c>
      <c r="C44">
        <v>285</v>
      </c>
      <c r="D44">
        <v>0.27891279672309399</v>
      </c>
      <c r="E44">
        <v>4.3064304189440801</v>
      </c>
      <c r="F44">
        <v>0.575803733160276</v>
      </c>
      <c r="G44">
        <v>-92.609453788531951</v>
      </c>
      <c r="H44">
        <v>-55.119981868938652</v>
      </c>
      <c r="I44">
        <v>37.005316412697098</v>
      </c>
      <c r="J44">
        <v>16.676743812851001</v>
      </c>
      <c r="K44">
        <v>7.4789900984288602</v>
      </c>
      <c r="L44">
        <v>1.1744641207628468E-3</v>
      </c>
      <c r="M44">
        <v>1.7711526040043468E-4</v>
      </c>
      <c r="N44" s="1">
        <v>6.5517178600189603E-6</v>
      </c>
      <c r="O44" s="1">
        <v>1.01618992447522E-6</v>
      </c>
      <c r="P44" s="1">
        <v>-4.1145604707064097E-6</v>
      </c>
      <c r="AE44">
        <v>100</v>
      </c>
      <c r="AJ44">
        <v>1</v>
      </c>
    </row>
    <row r="45" spans="1:36" x14ac:dyDescent="0.2">
      <c r="A45">
        <v>44</v>
      </c>
      <c r="B45">
        <v>739</v>
      </c>
      <c r="C45">
        <v>285</v>
      </c>
      <c r="D45">
        <v>0.27813120584893603</v>
      </c>
      <c r="E45">
        <v>5.1336067364609201</v>
      </c>
      <c r="F45">
        <v>0.57648053581986203</v>
      </c>
      <c r="G45">
        <v>-110.35371319743282</v>
      </c>
      <c r="H45">
        <v>-65.727275525653212</v>
      </c>
      <c r="I45">
        <v>44.093637738273699</v>
      </c>
      <c r="J45">
        <v>19.8877073120854</v>
      </c>
      <c r="K45">
        <v>8.9050825092645702</v>
      </c>
      <c r="L45">
        <v>1.1749647174500962E-3</v>
      </c>
      <c r="M45">
        <v>1.7677285180546132E-4</v>
      </c>
      <c r="N45" s="1">
        <v>7.8605439007017693E-6</v>
      </c>
      <c r="O45" s="1">
        <v>1.20689646555507E-6</v>
      </c>
      <c r="P45" s="1">
        <v>-4.9012209384380203E-6</v>
      </c>
      <c r="AE45">
        <v>100</v>
      </c>
      <c r="AJ45">
        <v>1</v>
      </c>
    </row>
    <row r="46" spans="1:36" x14ac:dyDescent="0.2">
      <c r="A46">
        <v>45</v>
      </c>
      <c r="B46">
        <v>738</v>
      </c>
      <c r="C46">
        <v>285</v>
      </c>
      <c r="D46">
        <v>0.277348069030313</v>
      </c>
      <c r="E46">
        <v>6.4580792470104598</v>
      </c>
      <c r="F46">
        <v>0.57715842132727202</v>
      </c>
      <c r="G46">
        <v>-138.76955615645755</v>
      </c>
      <c r="H46">
        <v>-82.709961447879138</v>
      </c>
      <c r="I46">
        <v>55.445077800618101</v>
      </c>
      <c r="J46">
        <v>25.028416012295299</v>
      </c>
      <c r="K46">
        <v>11.1894395167258</v>
      </c>
      <c r="L46">
        <v>1.1754597891744107E-3</v>
      </c>
      <c r="M46">
        <v>1.7642989616756491E-4</v>
      </c>
      <c r="N46" s="1">
        <v>9.9519550199131898E-6</v>
      </c>
      <c r="O46" s="1">
        <v>1.5126376382836801E-6</v>
      </c>
      <c r="P46" s="1">
        <v>-6.1610622327077701E-6</v>
      </c>
      <c r="AE46">
        <v>100</v>
      </c>
      <c r="AJ46">
        <v>1</v>
      </c>
    </row>
    <row r="47" spans="1:36" x14ac:dyDescent="0.2">
      <c r="A47">
        <v>46</v>
      </c>
      <c r="B47">
        <v>737</v>
      </c>
      <c r="C47">
        <v>285</v>
      </c>
      <c r="D47">
        <v>0.27656338167599098</v>
      </c>
      <c r="E47">
        <v>8.3411224844964007</v>
      </c>
      <c r="F47">
        <v>0.57783738843038301</v>
      </c>
      <c r="G47">
        <v>-179.16031220111853</v>
      </c>
      <c r="H47">
        <v>-106.85881948474568</v>
      </c>
      <c r="I47">
        <v>71.579731741684</v>
      </c>
      <c r="J47">
        <v>32.338653359015197</v>
      </c>
      <c r="K47">
        <v>14.435068847230401</v>
      </c>
      <c r="L47">
        <v>1.1759493072859596E-3</v>
      </c>
      <c r="M47">
        <v>1.7608639767105022E-4</v>
      </c>
      <c r="N47" s="1">
        <v>1.2935625869964499E-5</v>
      </c>
      <c r="O47" s="1">
        <v>1.9464097748598098E-6</v>
      </c>
      <c r="P47" s="1">
        <v>-7.9513728896568207E-6</v>
      </c>
      <c r="AE47">
        <v>100</v>
      </c>
      <c r="AJ47">
        <v>1</v>
      </c>
    </row>
    <row r="48" spans="1:36" x14ac:dyDescent="0.2">
      <c r="A48">
        <v>47</v>
      </c>
      <c r="B48">
        <v>736</v>
      </c>
      <c r="C48">
        <v>285</v>
      </c>
      <c r="D48">
        <v>0.27577713917653601</v>
      </c>
      <c r="E48">
        <v>9.8509154877086598</v>
      </c>
      <c r="F48">
        <v>0.57851743584934201</v>
      </c>
      <c r="G48">
        <v>-211.5048819137082</v>
      </c>
      <c r="H48">
        <v>-126.2391037228569</v>
      </c>
      <c r="I48">
        <v>84.498256443154006</v>
      </c>
      <c r="J48">
        <v>38.2068316366461</v>
      </c>
      <c r="K48">
        <v>17.027862735452601</v>
      </c>
      <c r="L48">
        <v>1.1764332432632652E-3</v>
      </c>
      <c r="M48">
        <v>1.7574236053825848E-4</v>
      </c>
      <c r="N48" s="1">
        <v>1.5373771726402498E-5</v>
      </c>
      <c r="O48" s="1">
        <v>2.2901226289789302E-6</v>
      </c>
      <c r="P48" s="1">
        <v>-9.3832750935105607E-6</v>
      </c>
      <c r="AE48">
        <v>100</v>
      </c>
      <c r="AJ48">
        <v>1</v>
      </c>
    </row>
    <row r="49" spans="1:36" x14ac:dyDescent="0.2">
      <c r="A49">
        <v>48</v>
      </c>
      <c r="B49">
        <v>735</v>
      </c>
      <c r="C49">
        <v>285</v>
      </c>
      <c r="D49">
        <v>0.27498933690423</v>
      </c>
      <c r="E49">
        <v>10.2134837592404</v>
      </c>
      <c r="F49">
        <v>0.57919856227655697</v>
      </c>
      <c r="G49">
        <v>-219.20184484194689</v>
      </c>
      <c r="H49">
        <v>-130.92502285583447</v>
      </c>
      <c r="I49">
        <v>87.568979585080797</v>
      </c>
      <c r="J49">
        <v>39.628249606781999</v>
      </c>
      <c r="K49">
        <v>17.633820980314699</v>
      </c>
      <c r="L49">
        <v>1.1769115687155236E-3</v>
      </c>
      <c r="M49">
        <v>1.7539778902934906E-4</v>
      </c>
      <c r="N49" s="1">
        <v>1.6039901335808599E-5</v>
      </c>
      <c r="O49" s="1">
        <v>2.36549766316108E-6</v>
      </c>
      <c r="P49" s="1">
        <v>-9.7209075211979E-6</v>
      </c>
      <c r="AE49">
        <v>100</v>
      </c>
      <c r="AJ49">
        <v>1</v>
      </c>
    </row>
    <row r="50" spans="1:36" x14ac:dyDescent="0.2">
      <c r="A50">
        <v>49</v>
      </c>
      <c r="B50">
        <v>757</v>
      </c>
      <c r="C50">
        <v>270</v>
      </c>
      <c r="D50">
        <v>0.30798475950104598</v>
      </c>
      <c r="E50">
        <v>4.1905551292465102</v>
      </c>
      <c r="F50">
        <v>0.54848886699449595</v>
      </c>
      <c r="G50">
        <v>-90.844972699459461</v>
      </c>
      <c r="H50">
        <v>-53.336259369925173</v>
      </c>
      <c r="I50">
        <v>36.413251878375704</v>
      </c>
      <c r="J50">
        <v>16.209435406570599</v>
      </c>
      <c r="K50">
        <v>7.6401826571414597</v>
      </c>
      <c r="L50">
        <v>1.2173661204471144E-3</v>
      </c>
      <c r="M50">
        <v>2.004394785585751E-4</v>
      </c>
      <c r="N50" s="1">
        <v>5.9962259289255498E-6</v>
      </c>
      <c r="O50" s="1">
        <v>1.2778913093117799E-6</v>
      </c>
      <c r="P50" s="1">
        <v>-4.6510996667517804E-6</v>
      </c>
      <c r="AE50">
        <v>100</v>
      </c>
      <c r="AJ50">
        <v>1</v>
      </c>
    </row>
    <row r="51" spans="1:36" x14ac:dyDescent="0.2">
      <c r="A51">
        <v>50</v>
      </c>
      <c r="B51">
        <v>756</v>
      </c>
      <c r="C51">
        <v>270</v>
      </c>
      <c r="D51">
        <v>0.30724432784336703</v>
      </c>
      <c r="E51">
        <v>4.1967039395732799</v>
      </c>
      <c r="F51">
        <v>0.54915717626411797</v>
      </c>
      <c r="G51">
        <v>-90.941810919997678</v>
      </c>
      <c r="H51">
        <v>-53.430756544759682</v>
      </c>
      <c r="I51">
        <v>36.450911904911102</v>
      </c>
      <c r="J51">
        <v>16.240317910956598</v>
      </c>
      <c r="K51">
        <v>7.6420815769415897</v>
      </c>
      <c r="L51">
        <v>1.2180604992606515E-3</v>
      </c>
      <c r="M51">
        <v>2.0007432545528044E-4</v>
      </c>
      <c r="N51" s="1">
        <v>6.0530846048188303E-6</v>
      </c>
      <c r="O51" s="1">
        <v>1.2753403258382E-6</v>
      </c>
      <c r="P51" s="1">
        <v>-4.6559252645658298E-6</v>
      </c>
      <c r="AE51">
        <v>100</v>
      </c>
      <c r="AJ51">
        <v>1</v>
      </c>
    </row>
    <row r="52" spans="1:36" x14ac:dyDescent="0.2">
      <c r="A52">
        <v>51</v>
      </c>
      <c r="B52">
        <v>755</v>
      </c>
      <c r="C52">
        <v>270</v>
      </c>
      <c r="D52">
        <v>0.30650245586733499</v>
      </c>
      <c r="E52">
        <v>4.2084891055938103</v>
      </c>
      <c r="F52">
        <v>0.54982668009636504</v>
      </c>
      <c r="G52">
        <v>-91.160647966578239</v>
      </c>
      <c r="H52">
        <v>-53.597090044784061</v>
      </c>
      <c r="I52">
        <v>36.5374374144737</v>
      </c>
      <c r="J52">
        <v>16.293031117186398</v>
      </c>
      <c r="K52">
        <v>7.6542104229212899</v>
      </c>
      <c r="L52">
        <v>1.2187493051285922E-3</v>
      </c>
      <c r="M52">
        <v>1.9970838849503095E-4</v>
      </c>
      <c r="N52" s="1">
        <v>6.1183397870403204E-6</v>
      </c>
      <c r="O52" s="1">
        <v>1.2744808294048001E-6</v>
      </c>
      <c r="P52" s="1">
        <v>-4.6669409337136899E-6</v>
      </c>
      <c r="AE52">
        <v>100</v>
      </c>
      <c r="AJ52">
        <v>1</v>
      </c>
    </row>
    <row r="53" spans="1:36" x14ac:dyDescent="0.2">
      <c r="A53">
        <v>52</v>
      </c>
      <c r="B53">
        <v>754</v>
      </c>
      <c r="C53">
        <v>270</v>
      </c>
      <c r="D53">
        <v>0.30575913936620902</v>
      </c>
      <c r="E53">
        <v>4.2202034651055804</v>
      </c>
      <c r="F53">
        <v>0.55049737779592001</v>
      </c>
      <c r="G53">
        <v>-91.377763091521771</v>
      </c>
      <c r="H53">
        <v>-53.76261986975976</v>
      </c>
      <c r="I53">
        <v>36.6232373862969</v>
      </c>
      <c r="J53">
        <v>16.345498551629198</v>
      </c>
      <c r="K53">
        <v>7.6661645183532299</v>
      </c>
      <c r="L53">
        <v>1.2194325003927456E-3</v>
      </c>
      <c r="M53">
        <v>1.9934167156227369E-4</v>
      </c>
      <c r="N53" s="1">
        <v>6.18382105998013E-6</v>
      </c>
      <c r="O53" s="1">
        <v>1.2735727304441999E-6</v>
      </c>
      <c r="P53" s="1">
        <v>-4.6778117386043897E-6</v>
      </c>
      <c r="AE53">
        <v>100</v>
      </c>
      <c r="AJ53">
        <v>1</v>
      </c>
    </row>
    <row r="54" spans="1:36" x14ac:dyDescent="0.2">
      <c r="A54">
        <v>53</v>
      </c>
      <c r="B54">
        <v>753</v>
      </c>
      <c r="C54">
        <v>270</v>
      </c>
      <c r="D54">
        <v>0.30501437411684701</v>
      </c>
      <c r="E54">
        <v>4.2318475512013798</v>
      </c>
      <c r="F54">
        <v>0.551169268637134</v>
      </c>
      <c r="G54">
        <v>-91.593169831553197</v>
      </c>
      <c r="H54">
        <v>-53.927352038278677</v>
      </c>
      <c r="I54">
        <v>36.7083170260766</v>
      </c>
      <c r="J54">
        <v>16.397721609490699</v>
      </c>
      <c r="K54">
        <v>7.6779454008119696</v>
      </c>
      <c r="L54">
        <v>1.2201100474955944E-3</v>
      </c>
      <c r="M54">
        <v>1.9897417859759861E-4</v>
      </c>
      <c r="N54" s="1">
        <v>6.2495250751856803E-6</v>
      </c>
      <c r="O54" s="1">
        <v>1.2726164755286799E-6</v>
      </c>
      <c r="P54" s="1">
        <v>-4.6885377241990402E-6</v>
      </c>
      <c r="AE54">
        <v>100</v>
      </c>
      <c r="AJ54">
        <v>1</v>
      </c>
    </row>
    <row r="55" spans="1:36" x14ac:dyDescent="0.2">
      <c r="A55">
        <v>54</v>
      </c>
      <c r="B55">
        <v>752</v>
      </c>
      <c r="C55">
        <v>270</v>
      </c>
      <c r="D55">
        <v>0.30426815587962902</v>
      </c>
      <c r="E55">
        <v>4.24342189090732</v>
      </c>
      <c r="F55">
        <v>0.551842351863845</v>
      </c>
      <c r="G55">
        <v>-91.806881572330582</v>
      </c>
      <c r="H55">
        <v>-54.091292498804016</v>
      </c>
      <c r="I55">
        <v>36.792681480864701</v>
      </c>
      <c r="J55">
        <v>16.449701664473601</v>
      </c>
      <c r="K55">
        <v>7.6895545921315698</v>
      </c>
      <c r="L55">
        <v>1.2207819089840018E-3</v>
      </c>
      <c r="M55">
        <v>1.9860591359772379E-4</v>
      </c>
      <c r="N55" s="1">
        <v>6.3154484553009896E-6</v>
      </c>
      <c r="O55" s="1">
        <v>1.2716125090271499E-6</v>
      </c>
      <c r="P55" s="1">
        <v>-4.6991189349103604E-6</v>
      </c>
      <c r="AE55">
        <v>100</v>
      </c>
      <c r="AJ55">
        <v>1</v>
      </c>
    </row>
    <row r="56" spans="1:36" x14ac:dyDescent="0.2">
      <c r="A56">
        <v>55</v>
      </c>
      <c r="B56">
        <v>751</v>
      </c>
      <c r="C56">
        <v>270</v>
      </c>
      <c r="D56">
        <v>0.30352048039838297</v>
      </c>
      <c r="E56">
        <v>4.2549270049338901</v>
      </c>
      <c r="F56">
        <v>0.55251662668929602</v>
      </c>
      <c r="G56">
        <v>-92.018911543340465</v>
      </c>
      <c r="H56">
        <v>-54.254447126385074</v>
      </c>
      <c r="I56">
        <v>36.876335837006302</v>
      </c>
      <c r="J56">
        <v>16.5014400677887</v>
      </c>
      <c r="K56">
        <v>7.7009935980200401</v>
      </c>
      <c r="L56">
        <v>1.221448047512518E-3</v>
      </c>
      <c r="M56">
        <v>1.9823688061536583E-4</v>
      </c>
      <c r="N56" s="1">
        <v>6.3815877938307404E-6</v>
      </c>
      <c r="O56" s="1">
        <v>1.27056127304936E-6</v>
      </c>
      <c r="P56" s="1">
        <v>-4.7095554144074102E-6</v>
      </c>
      <c r="AE56">
        <v>100</v>
      </c>
      <c r="AJ56">
        <v>1</v>
      </c>
    </row>
    <row r="57" spans="1:36" x14ac:dyDescent="0.2">
      <c r="A57">
        <v>56</v>
      </c>
      <c r="B57">
        <v>750</v>
      </c>
      <c r="C57">
        <v>270</v>
      </c>
      <c r="D57">
        <v>0.302771343400284</v>
      </c>
      <c r="E57">
        <v>4.2663634081397799</v>
      </c>
      <c r="F57">
        <v>0.55319209229598998</v>
      </c>
      <c r="G57">
        <v>-92.229272828214235</v>
      </c>
      <c r="H57">
        <v>-54.416821728459013</v>
      </c>
      <c r="I57">
        <v>36.959285124255501</v>
      </c>
      <c r="J57">
        <v>16.552938149935901</v>
      </c>
      <c r="K57">
        <v>7.7122639089660598</v>
      </c>
      <c r="L57">
        <v>1.2221084258471327E-3</v>
      </c>
      <c r="M57">
        <v>1.9786708375920005E-4</v>
      </c>
      <c r="N57" s="1">
        <v>6.4479396559789101E-6</v>
      </c>
      <c r="O57" s="1">
        <v>1.26946320760499E-6</v>
      </c>
      <c r="P57" s="1">
        <v>-4.7198472062138297E-6</v>
      </c>
      <c r="AE57">
        <v>100</v>
      </c>
      <c r="AJ57">
        <v>1</v>
      </c>
    </row>
    <row r="58" spans="1:36" x14ac:dyDescent="0.2">
      <c r="A58">
        <v>57</v>
      </c>
      <c r="B58">
        <v>749</v>
      </c>
      <c r="C58">
        <v>270</v>
      </c>
      <c r="D58">
        <v>0.30202074059580297</v>
      </c>
      <c r="E58">
        <v>4.2777316094070299</v>
      </c>
      <c r="F58">
        <v>0.55386874783557605</v>
      </c>
      <c r="G58">
        <v>-92.437978362300797</v>
      </c>
      <c r="H58">
        <v>-54.578422043151015</v>
      </c>
      <c r="I58">
        <v>37.041534314786901</v>
      </c>
      <c r="J58">
        <v>16.6041972201992</v>
      </c>
      <c r="K58">
        <v>7.7233670000765899</v>
      </c>
      <c r="L58">
        <v>1.2227630068682958E-3</v>
      </c>
      <c r="M58">
        <v>1.9749652719369456E-4</v>
      </c>
      <c r="N58" s="1">
        <v>6.5145005786220604E-6</v>
      </c>
      <c r="O58" s="1">
        <v>1.2683187505835001E-6</v>
      </c>
      <c r="P58" s="1">
        <v>-4.7299943536493801E-6</v>
      </c>
      <c r="AE58">
        <v>100</v>
      </c>
      <c r="AJ58">
        <v>1</v>
      </c>
    </row>
    <row r="59" spans="1:36" x14ac:dyDescent="0.2">
      <c r="A59">
        <v>58</v>
      </c>
      <c r="B59">
        <v>748</v>
      </c>
      <c r="C59">
        <v>270</v>
      </c>
      <c r="D59">
        <v>0.301268667678598</v>
      </c>
      <c r="E59">
        <v>4.2890321117158798</v>
      </c>
      <c r="F59">
        <v>0.55454659242874105</v>
      </c>
      <c r="G59">
        <v>-92.645040934558438</v>
      </c>
      <c r="H59">
        <v>-54.739253740122059</v>
      </c>
      <c r="I59">
        <v>37.123088323936102</v>
      </c>
      <c r="J59">
        <v>16.655218566924599</v>
      </c>
      <c r="K59">
        <v>7.7343043312758599</v>
      </c>
      <c r="L59">
        <v>1.2234117535749678E-3</v>
      </c>
      <c r="M59">
        <v>1.9712521513907518E-4</v>
      </c>
      <c r="N59" s="1">
        <v>6.5812670705862097E-6</v>
      </c>
      <c r="O59" s="1">
        <v>1.2671283377951099E-6</v>
      </c>
      <c r="P59" s="1">
        <v>-4.7399968999971596E-6</v>
      </c>
      <c r="AE59">
        <v>100</v>
      </c>
      <c r="AJ59">
        <v>1</v>
      </c>
    </row>
    <row r="60" spans="1:36" x14ac:dyDescent="0.2">
      <c r="A60">
        <v>59</v>
      </c>
      <c r="B60">
        <v>747</v>
      </c>
      <c r="C60">
        <v>270</v>
      </c>
      <c r="D60">
        <v>0.30051512032544198</v>
      </c>
      <c r="E60">
        <v>4.3002654122313997</v>
      </c>
      <c r="F60">
        <v>0.55522562516508001</v>
      </c>
      <c r="G60">
        <v>-92.850473189695492</v>
      </c>
      <c r="H60">
        <v>-54.899322421566367</v>
      </c>
      <c r="I60">
        <v>37.203952011041999</v>
      </c>
      <c r="J60">
        <v>16.706003457832701</v>
      </c>
      <c r="K60">
        <v>7.7450773475248802</v>
      </c>
      <c r="L60">
        <v>1.224054629087703E-3</v>
      </c>
      <c r="M60">
        <v>1.9675315187115097E-4</v>
      </c>
      <c r="N60" s="1">
        <v>6.6482356129525903E-6</v>
      </c>
      <c r="O60" s="1">
        <v>1.2658924030131901E-6</v>
      </c>
      <c r="P60" s="1">
        <v>-4.7498548886790797E-6</v>
      </c>
      <c r="AE60">
        <v>100</v>
      </c>
      <c r="AJ60">
        <v>1</v>
      </c>
    </row>
    <row r="61" spans="1:36" x14ac:dyDescent="0.2">
      <c r="A61">
        <v>60</v>
      </c>
      <c r="B61">
        <v>746</v>
      </c>
      <c r="C61">
        <v>270</v>
      </c>
      <c r="D61">
        <v>0.29976009419614502</v>
      </c>
      <c r="E61">
        <v>4.3114320024157298</v>
      </c>
      <c r="F61">
        <v>0.555905845103005</v>
      </c>
      <c r="G61">
        <v>-93.054287630861126</v>
      </c>
      <c r="H61">
        <v>-55.058633623539528</v>
      </c>
      <c r="I61">
        <v>37.284130180508797</v>
      </c>
      <c r="J61">
        <v>16.756553140443099</v>
      </c>
      <c r="K61">
        <v>7.7556874790853403</v>
      </c>
      <c r="L61">
        <v>1.224691596652274E-3</v>
      </c>
      <c r="M61">
        <v>1.963803417212201E-4</v>
      </c>
      <c r="N61" s="1">
        <v>6.7154026594228199E-6</v>
      </c>
      <c r="O61" s="1">
        <v>1.2646113780242001E-6</v>
      </c>
      <c r="P61" s="1">
        <v>-4.7595683634630202E-6</v>
      </c>
      <c r="AE61">
        <v>100</v>
      </c>
      <c r="AJ61">
        <v>1</v>
      </c>
    </row>
    <row r="62" spans="1:36" x14ac:dyDescent="0.2">
      <c r="A62">
        <v>61</v>
      </c>
      <c r="B62">
        <v>745</v>
      </c>
      <c r="C62">
        <v>270</v>
      </c>
      <c r="D62">
        <v>0.29900358493345802</v>
      </c>
      <c r="E62">
        <v>4.3225323679398002</v>
      </c>
      <c r="F62">
        <v>0.55658725126960495</v>
      </c>
      <c r="G62">
        <v>-93.256496618002828</v>
      </c>
      <c r="H62">
        <v>-55.217192814727845</v>
      </c>
      <c r="I62">
        <v>37.363627581132199</v>
      </c>
      <c r="J62">
        <v>16.806868841714099</v>
      </c>
      <c r="K62">
        <v>7.7661361414223498</v>
      </c>
      <c r="L62">
        <v>1.225322619643202E-3</v>
      </c>
      <c r="M62">
        <v>1.9600678907593454E-4</v>
      </c>
      <c r="N62" s="1">
        <v>6.7827646363626196E-6</v>
      </c>
      <c r="O62" s="1">
        <v>1.2632856926179E-6</v>
      </c>
      <c r="P62" s="1">
        <v>-4.7691373684452698E-6</v>
      </c>
      <c r="AE62">
        <v>100</v>
      </c>
      <c r="AJ62">
        <v>1</v>
      </c>
    </row>
    <row r="63" spans="1:36" x14ac:dyDescent="0.2">
      <c r="A63">
        <v>62</v>
      </c>
      <c r="B63">
        <v>744</v>
      </c>
      <c r="C63">
        <v>270</v>
      </c>
      <c r="D63">
        <v>0.298245588163005</v>
      </c>
      <c r="E63">
        <v>4.3335669890420201</v>
      </c>
      <c r="F63">
        <v>0.55726984266055302</v>
      </c>
      <c r="G63">
        <v>-93.457112375866799</v>
      </c>
      <c r="H63">
        <v>-55.375005400924699</v>
      </c>
      <c r="I63">
        <v>37.442448909290398</v>
      </c>
      <c r="J63">
        <v>16.8569517694213</v>
      </c>
      <c r="K63">
        <v>7.7764247359096803</v>
      </c>
      <c r="L63">
        <v>1.2259476615671075E-3</v>
      </c>
      <c r="M63">
        <v>1.9563249837714175E-4</v>
      </c>
      <c r="N63" s="1">
        <v>6.8503179435699404E-6</v>
      </c>
      <c r="O63" s="1">
        <v>1.2619157747077E-6</v>
      </c>
      <c r="P63" s="1">
        <v>-4.77856194852741E-6</v>
      </c>
      <c r="AE63">
        <v>100</v>
      </c>
      <c r="AJ63">
        <v>1</v>
      </c>
    </row>
    <row r="64" spans="1:36" x14ac:dyDescent="0.2">
      <c r="A64">
        <v>63</v>
      </c>
      <c r="B64">
        <v>743</v>
      </c>
      <c r="C64">
        <v>270</v>
      </c>
      <c r="D64">
        <v>0.297486099493184</v>
      </c>
      <c r="E64">
        <v>4.3445363402661004</v>
      </c>
      <c r="F64">
        <v>0.55795361823999601</v>
      </c>
      <c r="G64">
        <v>-93.656146988597399</v>
      </c>
      <c r="H64">
        <v>-55.532076721582293</v>
      </c>
      <c r="I64">
        <v>37.520598806764802</v>
      </c>
      <c r="J64">
        <v>16.906803111125399</v>
      </c>
      <c r="K64">
        <v>7.7865546494177602</v>
      </c>
      <c r="L64">
        <v>1.226566686066269E-3</v>
      </c>
      <c r="M64">
        <v>1.9525747412175098E-4</v>
      </c>
      <c r="N64" s="1">
        <v>6.9180589540743804E-6</v>
      </c>
      <c r="O64" s="1">
        <v>1.2605020502687799E-6</v>
      </c>
      <c r="P64" s="1">
        <v>-4.7878421492072E-6</v>
      </c>
      <c r="AE64">
        <v>100</v>
      </c>
      <c r="AJ64">
        <v>1</v>
      </c>
    </row>
    <row r="65" spans="1:36" x14ac:dyDescent="0.2">
      <c r="A65">
        <v>64</v>
      </c>
      <c r="B65">
        <v>742</v>
      </c>
      <c r="C65">
        <v>270</v>
      </c>
      <c r="D65">
        <v>0.29672511451509398</v>
      </c>
      <c r="E65">
        <v>4.5107629466899803</v>
      </c>
      <c r="F65">
        <v>0.55863857694044605</v>
      </c>
      <c r="G65">
        <v>-97.200583792584098</v>
      </c>
      <c r="H65">
        <v>-57.67435076067121</v>
      </c>
      <c r="I65">
        <v>38.938890181218099</v>
      </c>
      <c r="J65">
        <v>17.561117499986601</v>
      </c>
      <c r="K65">
        <v>8.0745640077249003</v>
      </c>
      <c r="L65">
        <v>1.2271796569220902E-3</v>
      </c>
      <c r="M65">
        <v>1.9488172086156512E-4</v>
      </c>
      <c r="N65" s="1">
        <v>7.2351154867214502E-6</v>
      </c>
      <c r="O65" s="1">
        <v>1.3039445194017E-6</v>
      </c>
      <c r="P65" s="1">
        <v>-4.9680459998941401E-6</v>
      </c>
      <c r="AE65">
        <v>100</v>
      </c>
      <c r="AJ65">
        <v>1</v>
      </c>
    </row>
    <row r="66" spans="1:36" x14ac:dyDescent="0.2">
      <c r="A66">
        <v>65</v>
      </c>
      <c r="B66">
        <v>741</v>
      </c>
      <c r="C66">
        <v>270</v>
      </c>
      <c r="D66">
        <v>0.295962628802445</v>
      </c>
      <c r="E66">
        <v>5.93549250340347</v>
      </c>
      <c r="F66">
        <v>0.559324717662673</v>
      </c>
      <c r="G66">
        <v>-127.85027125466928</v>
      </c>
      <c r="H66">
        <v>-75.913972105270233</v>
      </c>
      <c r="I66">
        <v>51.215003503121302</v>
      </c>
      <c r="J66">
        <v>23.117588890880999</v>
      </c>
      <c r="K66">
        <v>10.611890223995299</v>
      </c>
      <c r="L66">
        <v>1.2277865380585357E-3</v>
      </c>
      <c r="M66">
        <v>1.94505243203126E-4</v>
      </c>
      <c r="N66" s="1">
        <v>9.5892806785914097E-6</v>
      </c>
      <c r="O66" s="1">
        <v>1.7094978562096601E-6</v>
      </c>
      <c r="P66" s="1">
        <v>-6.53320201973101E-6</v>
      </c>
      <c r="AE66">
        <v>100</v>
      </c>
      <c r="AJ66">
        <v>1</v>
      </c>
    </row>
    <row r="67" spans="1:36" x14ac:dyDescent="0.2">
      <c r="A67">
        <v>66</v>
      </c>
      <c r="B67">
        <v>740</v>
      </c>
      <c r="C67">
        <v>270</v>
      </c>
      <c r="D67">
        <v>0.295198637911468</v>
      </c>
      <c r="E67">
        <v>6.9917830188035301</v>
      </c>
      <c r="F67">
        <v>0.56001203927560295</v>
      </c>
      <c r="G67">
        <v>-150.54241084965733</v>
      </c>
      <c r="H67">
        <v>-89.450991307254327</v>
      </c>
      <c r="I67">
        <v>60.302443537473202</v>
      </c>
      <c r="J67">
        <v>27.243122961468799</v>
      </c>
      <c r="K67">
        <v>12.4850584066865</v>
      </c>
      <c r="L67">
        <v>1.228387293545592E-3</v>
      </c>
      <c r="M67">
        <v>1.9412804580752179E-4</v>
      </c>
      <c r="N67" s="1">
        <v>1.137706715526E-5</v>
      </c>
      <c r="O67" s="1">
        <v>2.0063011430466302E-6</v>
      </c>
      <c r="P67" s="1">
        <v>-7.6910471989741701E-6</v>
      </c>
      <c r="AE67">
        <v>100</v>
      </c>
      <c r="AJ67">
        <v>1</v>
      </c>
    </row>
    <row r="68" spans="1:36" x14ac:dyDescent="0.2">
      <c r="A68">
        <v>67</v>
      </c>
      <c r="B68">
        <v>739</v>
      </c>
      <c r="C68">
        <v>270</v>
      </c>
      <c r="D68">
        <v>0.29443313738082399</v>
      </c>
      <c r="E68">
        <v>9.2683294899759208</v>
      </c>
      <c r="F68">
        <v>0.56070054061622299</v>
      </c>
      <c r="G68">
        <v>-199.47957251709346</v>
      </c>
      <c r="H68">
        <v>-118.61263568876348</v>
      </c>
      <c r="I68">
        <v>79.901438260736796</v>
      </c>
      <c r="J68">
        <v>36.128765569524703</v>
      </c>
      <c r="K68">
        <v>16.529910029674301</v>
      </c>
      <c r="L68">
        <v>1.2289818876026358E-3</v>
      </c>
      <c r="M68">
        <v>1.9375013339019393E-4</v>
      </c>
      <c r="N68" s="1">
        <v>1.5189252119559099E-5</v>
      </c>
      <c r="O68" s="1">
        <v>2.6497182351824602E-6</v>
      </c>
      <c r="P68" s="1">
        <v>-1.01887678894293E-5</v>
      </c>
      <c r="AE68">
        <v>100</v>
      </c>
      <c r="AJ68">
        <v>1</v>
      </c>
    </row>
    <row r="69" spans="1:36" x14ac:dyDescent="0.2">
      <c r="A69">
        <v>68</v>
      </c>
      <c r="B69">
        <v>738</v>
      </c>
      <c r="C69">
        <v>270</v>
      </c>
      <c r="D69">
        <v>0.29366612273154402</v>
      </c>
      <c r="E69">
        <v>10.068852696485999</v>
      </c>
      <c r="F69">
        <v>0.56139022048947096</v>
      </c>
      <c r="G69">
        <v>-216.6222184677988</v>
      </c>
      <c r="H69">
        <v>-128.89669163911799</v>
      </c>
      <c r="I69">
        <v>86.763871675312402</v>
      </c>
      <c r="J69">
        <v>39.2657491057317</v>
      </c>
      <c r="K69">
        <v>17.935568396091799</v>
      </c>
      <c r="L69">
        <v>1.2295702846020196E-3</v>
      </c>
      <c r="M69">
        <v>1.9337151072077474E-4</v>
      </c>
      <c r="N69" s="1">
        <v>1.6618316602813101E-5</v>
      </c>
      <c r="O69" s="1">
        <v>2.8678862770945998E-6</v>
      </c>
      <c r="P69" s="1">
        <v>-1.1061583448946699E-5</v>
      </c>
      <c r="AE69">
        <v>100</v>
      </c>
      <c r="AJ69">
        <v>1</v>
      </c>
    </row>
    <row r="70" spans="1:36" x14ac:dyDescent="0.2">
      <c r="A70">
        <v>69</v>
      </c>
      <c r="B70">
        <v>737</v>
      </c>
      <c r="C70">
        <v>270</v>
      </c>
      <c r="D70">
        <v>0.29289758946691402</v>
      </c>
      <c r="E70">
        <v>10.314982906933199</v>
      </c>
      <c r="F70">
        <v>0.56208107766815496</v>
      </c>
      <c r="G70">
        <v>-221.82862145328789</v>
      </c>
      <c r="H70">
        <v>-132.08776823405535</v>
      </c>
      <c r="I70">
        <v>88.844979543497899</v>
      </c>
      <c r="J70">
        <v>40.242428428662599</v>
      </c>
      <c r="K70">
        <v>18.351414621046899</v>
      </c>
      <c r="L70">
        <v>1.2301524490724832E-3</v>
      </c>
      <c r="M70">
        <v>1.9299218262287536E-4</v>
      </c>
      <c r="N70" s="1">
        <v>1.7144600381657202E-5</v>
      </c>
      <c r="O70" s="1">
        <v>2.9270342327545498E-6</v>
      </c>
      <c r="P70" s="1">
        <v>-1.13244560409101E-5</v>
      </c>
      <c r="AE70">
        <v>100</v>
      </c>
      <c r="AJ70">
        <v>1</v>
      </c>
    </row>
    <row r="71" spans="1:36" x14ac:dyDescent="0.2">
      <c r="A71">
        <v>70</v>
      </c>
      <c r="B71">
        <v>757</v>
      </c>
      <c r="C71">
        <v>255</v>
      </c>
      <c r="D71">
        <v>0.32400184439159502</v>
      </c>
      <c r="E71">
        <v>4.43645206405954</v>
      </c>
      <c r="F71">
        <v>0.53143867304734604</v>
      </c>
      <c r="G71">
        <v>-96.298882329909731</v>
      </c>
      <c r="H71">
        <v>-56.431056606777084</v>
      </c>
      <c r="I71">
        <v>38.703455354494999</v>
      </c>
      <c r="J71">
        <v>17.260905944976699</v>
      </c>
      <c r="K71">
        <v>8.3480038037508297</v>
      </c>
      <c r="L71">
        <v>1.2747331376960433E-3</v>
      </c>
      <c r="M71">
        <v>2.2120537379198216E-4</v>
      </c>
      <c r="N71" s="1">
        <v>6.6217323051565099E-6</v>
      </c>
      <c r="O71" s="1">
        <v>1.6663023501877299E-6</v>
      </c>
      <c r="P71" s="1">
        <v>-5.6987494094654304E-6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255</v>
      </c>
      <c r="D72">
        <v>0.32327697614536499</v>
      </c>
      <c r="E72">
        <v>4.4415816800865899</v>
      </c>
      <c r="F72">
        <v>0.53211676824282905</v>
      </c>
      <c r="G72">
        <v>-96.371487410775643</v>
      </c>
      <c r="H72">
        <v>-56.513589613781534</v>
      </c>
      <c r="I72">
        <v>38.73141868802</v>
      </c>
      <c r="J72">
        <v>17.289135600998801</v>
      </c>
      <c r="K72">
        <v>8.3470056671089399</v>
      </c>
      <c r="L72">
        <v>1.2755618021488768E-3</v>
      </c>
      <c r="M72">
        <v>2.2080419518490641E-4</v>
      </c>
      <c r="N72" s="1">
        <v>6.6898752307045504E-6</v>
      </c>
      <c r="O72" s="1">
        <v>1.66252999742336E-6</v>
      </c>
      <c r="P72" s="1">
        <v>-5.7038061790790697E-6</v>
      </c>
      <c r="AE72">
        <v>100</v>
      </c>
      <c r="AJ72">
        <v>1</v>
      </c>
    </row>
    <row r="73" spans="1:36" x14ac:dyDescent="0.2">
      <c r="A73">
        <v>72</v>
      </c>
      <c r="B73">
        <v>755</v>
      </c>
      <c r="C73">
        <v>255</v>
      </c>
      <c r="D73">
        <v>0.322550697855369</v>
      </c>
      <c r="E73">
        <v>4.4529604525697497</v>
      </c>
      <c r="F73">
        <v>0.532796168529304</v>
      </c>
      <c r="G73">
        <v>-96.579556797239874</v>
      </c>
      <c r="H73">
        <v>-56.675707877536844</v>
      </c>
      <c r="I73">
        <v>38.813789016308</v>
      </c>
      <c r="J73">
        <v>17.341709139796698</v>
      </c>
      <c r="K73">
        <v>8.3577186090909894</v>
      </c>
      <c r="L73">
        <v>1.2763842974784594E-3</v>
      </c>
      <c r="M73">
        <v>2.2040200272310209E-4</v>
      </c>
      <c r="N73" s="1">
        <v>6.7677628936941102E-6</v>
      </c>
      <c r="O73" s="1">
        <v>1.6610702378105599E-6</v>
      </c>
      <c r="P73" s="1">
        <v>-5.7168106481493401E-6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255</v>
      </c>
      <c r="D74">
        <v>0.321823005403299</v>
      </c>
      <c r="E74">
        <v>4.46427411544005</v>
      </c>
      <c r="F74">
        <v>0.53347687339181105</v>
      </c>
      <c r="G74">
        <v>-96.786033102021548</v>
      </c>
      <c r="H74">
        <v>-56.837094097785354</v>
      </c>
      <c r="I74">
        <v>38.8954814155896</v>
      </c>
      <c r="J74">
        <v>17.394058913940199</v>
      </c>
      <c r="K74">
        <v>8.3682617524851395</v>
      </c>
      <c r="L74">
        <v>1.2772005760462292E-3</v>
      </c>
      <c r="M74">
        <v>2.1999880049450819E-4</v>
      </c>
      <c r="N74" s="1">
        <v>6.8459659715813497E-6</v>
      </c>
      <c r="O74" s="1">
        <v>1.65955178690818E-6</v>
      </c>
      <c r="P74" s="1">
        <v>-5.7296511186690801E-6</v>
      </c>
      <c r="AE74">
        <v>100</v>
      </c>
      <c r="AJ74">
        <v>1</v>
      </c>
    </row>
    <row r="75" spans="1:36" x14ac:dyDescent="0.2">
      <c r="A75">
        <v>74</v>
      </c>
      <c r="B75">
        <v>753</v>
      </c>
      <c r="C75">
        <v>255</v>
      </c>
      <c r="D75">
        <v>0.321093894654779</v>
      </c>
      <c r="E75">
        <v>4.4755231759010599</v>
      </c>
      <c r="F75">
        <v>0.53415888227988895</v>
      </c>
      <c r="G75">
        <v>-96.990929172291715</v>
      </c>
      <c r="H75">
        <v>-56.997754023615308</v>
      </c>
      <c r="I75">
        <v>38.9765008213869</v>
      </c>
      <c r="J75">
        <v>17.446186168625399</v>
      </c>
      <c r="K75">
        <v>8.3786366273620594</v>
      </c>
      <c r="L75">
        <v>1.2780105903174939E-3</v>
      </c>
      <c r="M75">
        <v>2.1959459266514641E-4</v>
      </c>
      <c r="N75" s="1">
        <v>6.9244803691549297E-6</v>
      </c>
      <c r="O75" s="1">
        <v>1.65797514797414E-6</v>
      </c>
      <c r="P75" s="1">
        <v>-5.7423274061611003E-6</v>
      </c>
      <c r="AE75">
        <v>100</v>
      </c>
      <c r="AJ75">
        <v>1</v>
      </c>
    </row>
    <row r="76" spans="1:36" x14ac:dyDescent="0.2">
      <c r="A76">
        <v>75</v>
      </c>
      <c r="B76">
        <v>752</v>
      </c>
      <c r="C76">
        <v>255</v>
      </c>
      <c r="D76">
        <v>0.3203633614593</v>
      </c>
      <c r="E76">
        <v>4.48670813581258</v>
      </c>
      <c r="F76">
        <v>0.53484219460739701</v>
      </c>
      <c r="G76">
        <v>-97.194257720598003</v>
      </c>
      <c r="H76">
        <v>-57.157693342822228</v>
      </c>
      <c r="I76">
        <v>39.056852116945301</v>
      </c>
      <c r="J76">
        <v>17.498092129803702</v>
      </c>
      <c r="K76">
        <v>8.3888447490685802</v>
      </c>
      <c r="L76">
        <v>1.2788142928664818E-3</v>
      </c>
      <c r="M76">
        <v>2.1918938347915531E-4</v>
      </c>
      <c r="N76" s="1">
        <v>7.0033019453541903E-6</v>
      </c>
      <c r="O76" s="1">
        <v>1.65634082248362E-6</v>
      </c>
      <c r="P76" s="1">
        <v>-5.7548393262936503E-6</v>
      </c>
      <c r="AE76">
        <v>100</v>
      </c>
      <c r="AJ76">
        <v>1</v>
      </c>
    </row>
    <row r="77" spans="1:36" x14ac:dyDescent="0.2">
      <c r="A77">
        <v>76</v>
      </c>
      <c r="B77">
        <v>751</v>
      </c>
      <c r="C77">
        <v>255</v>
      </c>
      <c r="D77">
        <v>0.31963140165015202</v>
      </c>
      <c r="E77">
        <v>4.4978294916499504</v>
      </c>
      <c r="F77">
        <v>0.53552680975235101</v>
      </c>
      <c r="G77">
        <v>-97.396031324231714</v>
      </c>
      <c r="H77">
        <v>-57.316917681292153</v>
      </c>
      <c r="I77">
        <v>39.136540132961997</v>
      </c>
      <c r="J77">
        <v>17.5497780040116</v>
      </c>
      <c r="K77">
        <v>8.3988876182126493</v>
      </c>
      <c r="L77">
        <v>1.2796116363813998E-3</v>
      </c>
      <c r="M77">
        <v>2.1878317725882064E-4</v>
      </c>
      <c r="N77" s="1">
        <v>7.0824265134178804E-6</v>
      </c>
      <c r="O77" s="1">
        <v>1.65464931013783E-6</v>
      </c>
      <c r="P77" s="1">
        <v>-5.7671866949667897E-6</v>
      </c>
      <c r="AE77">
        <v>100</v>
      </c>
      <c r="AJ77">
        <v>1</v>
      </c>
    </row>
    <row r="78" spans="1:36" x14ac:dyDescent="0.2">
      <c r="A78">
        <v>77</v>
      </c>
      <c r="B78">
        <v>750</v>
      </c>
      <c r="C78">
        <v>255</v>
      </c>
      <c r="D78">
        <v>0.31889801104432502</v>
      </c>
      <c r="E78">
        <v>4.5088877344975202</v>
      </c>
      <c r="F78">
        <v>0.53621272705675704</v>
      </c>
      <c r="G78">
        <v>-97.59626242533713</v>
      </c>
      <c r="H78">
        <v>-57.475432602822714</v>
      </c>
      <c r="I78">
        <v>39.215569647611296</v>
      </c>
      <c r="J78">
        <v>17.601244978338801</v>
      </c>
      <c r="K78">
        <v>8.4087667207127907</v>
      </c>
      <c r="L78">
        <v>1.2804025736697035E-3</v>
      </c>
      <c r="M78">
        <v>2.183759784046197E-4</v>
      </c>
      <c r="N78" s="1">
        <v>7.1618498410978099E-6</v>
      </c>
      <c r="O78" s="1">
        <v>1.6529011088857001E-6</v>
      </c>
      <c r="P78" s="1">
        <v>-5.7793693284446303E-6</v>
      </c>
      <c r="AE78">
        <v>100</v>
      </c>
      <c r="AJ78">
        <v>1</v>
      </c>
    </row>
    <row r="79" spans="1:36" x14ac:dyDescent="0.2">
      <c r="A79">
        <v>78</v>
      </c>
      <c r="B79">
        <v>749</v>
      </c>
      <c r="C79">
        <v>255</v>
      </c>
      <c r="D79">
        <v>0.31816318544244998</v>
      </c>
      <c r="E79">
        <v>4.5198833502103097</v>
      </c>
      <c r="F79">
        <v>0.53689994582643397</v>
      </c>
      <c r="G79">
        <v>-97.794963334658917</v>
      </c>
      <c r="H79">
        <v>-57.633243611084225</v>
      </c>
      <c r="I79">
        <v>39.293945388035297</v>
      </c>
      <c r="J79">
        <v>17.6524942210471</v>
      </c>
      <c r="K79">
        <v>8.4184835281609001</v>
      </c>
      <c r="L79">
        <v>1.2811870576626733E-3</v>
      </c>
      <c r="M79">
        <v>2.1796779139515853E-4</v>
      </c>
      <c r="N79" s="1">
        <v>7.2415676511462901E-6</v>
      </c>
      <c r="O79" s="1">
        <v>1.6510967150053501E-6</v>
      </c>
      <c r="P79" s="1">
        <v>-5.7913870436983904E-6</v>
      </c>
      <c r="AE79">
        <v>100</v>
      </c>
      <c r="AJ79">
        <v>1</v>
      </c>
    </row>
    <row r="80" spans="1:36" x14ac:dyDescent="0.2">
      <c r="A80">
        <v>79</v>
      </c>
      <c r="B80">
        <v>748</v>
      </c>
      <c r="C80">
        <v>255</v>
      </c>
      <c r="D80">
        <v>0.31742692062870498</v>
      </c>
      <c r="E80">
        <v>4.5308168194780496</v>
      </c>
      <c r="F80">
        <v>0.537588465330889</v>
      </c>
      <c r="G80">
        <v>-97.992146233169748</v>
      </c>
      <c r="H80">
        <v>-57.79035615034298</v>
      </c>
      <c r="I80">
        <v>39.371672030979603</v>
      </c>
      <c r="J80">
        <v>17.7035268818194</v>
      </c>
      <c r="K80">
        <v>8.42803949800021</v>
      </c>
      <c r="L80">
        <v>1.281965041421023E-3</v>
      </c>
      <c r="M80">
        <v>2.1755862078722164E-4</v>
      </c>
      <c r="N80" s="1">
        <v>7.3215756216740501E-6</v>
      </c>
      <c r="O80" s="1">
        <v>1.6492366231499001E-6</v>
      </c>
      <c r="P80" s="1">
        <v>-5.8032396586302199E-6</v>
      </c>
      <c r="AE80">
        <v>100</v>
      </c>
      <c r="AJ80">
        <v>1</v>
      </c>
    </row>
    <row r="81" spans="1:36" x14ac:dyDescent="0.2">
      <c r="A81">
        <v>80</v>
      </c>
      <c r="B81">
        <v>747</v>
      </c>
      <c r="C81">
        <v>255</v>
      </c>
      <c r="D81">
        <v>0.316689212370732</v>
      </c>
      <c r="E81">
        <v>4.5416886177766296</v>
      </c>
      <c r="F81">
        <v>0.53827828480312301</v>
      </c>
      <c r="G81">
        <v>-98.187823171260888</v>
      </c>
      <c r="H81">
        <v>-57.946775604747273</v>
      </c>
      <c r="I81">
        <v>39.448754202452903</v>
      </c>
      <c r="J81">
        <v>17.754344091558</v>
      </c>
      <c r="K81">
        <v>8.4374360734945295</v>
      </c>
      <c r="L81">
        <v>1.2827364781397884E-3</v>
      </c>
      <c r="M81">
        <v>2.1714847121573477E-4</v>
      </c>
      <c r="N81" s="1">
        <v>7.4018693863372198E-6</v>
      </c>
      <c r="O81" s="1">
        <v>1.64732132635082E-6</v>
      </c>
      <c r="P81" s="1">
        <v>-5.81492699214913E-6</v>
      </c>
      <c r="AE81">
        <v>100</v>
      </c>
      <c r="AJ81">
        <v>1</v>
      </c>
    </row>
    <row r="82" spans="1:36" x14ac:dyDescent="0.2">
      <c r="A82">
        <v>81</v>
      </c>
      <c r="B82">
        <v>746</v>
      </c>
      <c r="C82">
        <v>255</v>
      </c>
      <c r="D82">
        <v>0.31595005641956603</v>
      </c>
      <c r="E82">
        <v>4.5524992156416797</v>
      </c>
      <c r="F82">
        <v>0.53896940343949995</v>
      </c>
      <c r="G82">
        <v>-98.382006074895756</v>
      </c>
      <c r="H82">
        <v>-58.102507301724238</v>
      </c>
      <c r="I82">
        <v>39.5251964801827</v>
      </c>
      <c r="J82">
        <v>17.8049469634514</v>
      </c>
      <c r="K82">
        <v>8.4466746842944005</v>
      </c>
      <c r="L82">
        <v>1.2835013211531974E-3</v>
      </c>
      <c r="M82">
        <v>2.1673734739369367E-4</v>
      </c>
      <c r="N82" s="1">
        <v>7.4824445350719004E-6</v>
      </c>
      <c r="O82" s="1">
        <v>1.64535131613715E-6</v>
      </c>
      <c r="P82" s="1">
        <v>-5.8264488646593703E-6</v>
      </c>
      <c r="AE82">
        <v>100</v>
      </c>
      <c r="AJ82">
        <v>1</v>
      </c>
    </row>
    <row r="83" spans="1:36" x14ac:dyDescent="0.2">
      <c r="A83">
        <v>82</v>
      </c>
      <c r="B83">
        <v>745</v>
      </c>
      <c r="C83">
        <v>255</v>
      </c>
      <c r="D83">
        <v>0.31520944850955201</v>
      </c>
      <c r="E83">
        <v>4.5632490784635902</v>
      </c>
      <c r="F83">
        <v>0.539661820399579</v>
      </c>
      <c r="G83">
        <v>-98.574706741411603</v>
      </c>
      <c r="H83">
        <v>-58.257556509273918</v>
      </c>
      <c r="I83">
        <v>39.601003391912698</v>
      </c>
      <c r="J83">
        <v>17.855336592168499</v>
      </c>
      <c r="K83">
        <v>8.4557567461134102</v>
      </c>
      <c r="L83">
        <v>1.2842595239402589E-3</v>
      </c>
      <c r="M83">
        <v>2.1632525411217896E-4</v>
      </c>
      <c r="N83" s="1">
        <v>7.5632966140517697E-6</v>
      </c>
      <c r="O83" s="1">
        <v>1.64332708248129E-6</v>
      </c>
      <c r="P83" s="1">
        <v>-5.8378050979391304E-6</v>
      </c>
      <c r="AE83">
        <v>100</v>
      </c>
      <c r="AJ83">
        <v>1</v>
      </c>
    </row>
    <row r="84" spans="1:36" x14ac:dyDescent="0.2">
      <c r="A84">
        <v>83</v>
      </c>
      <c r="B84">
        <v>744</v>
      </c>
      <c r="C84">
        <v>255</v>
      </c>
      <c r="D84">
        <v>0.31446738435825899</v>
      </c>
      <c r="E84">
        <v>5.2888823181607396</v>
      </c>
      <c r="F84">
        <v>0.54035553480597098</v>
      </c>
      <c r="G84">
        <v>-114.20385253865089</v>
      </c>
      <c r="H84">
        <v>-67.542185849074315</v>
      </c>
      <c r="I84">
        <v>45.8778875414772</v>
      </c>
      <c r="J84">
        <v>20.704290892845901</v>
      </c>
      <c r="K84">
        <v>9.7877822609142999</v>
      </c>
      <c r="L84">
        <v>1.2850110401293165E-3</v>
      </c>
      <c r="M84">
        <v>2.1591219624022352E-4</v>
      </c>
      <c r="N84" s="1">
        <v>8.8393060497355893E-6</v>
      </c>
      <c r="O84" s="1">
        <v>1.89778964054903E-6</v>
      </c>
      <c r="P84" s="1">
        <v>-6.7632408773633998E-6</v>
      </c>
      <c r="AE84">
        <v>100</v>
      </c>
      <c r="AJ84">
        <v>1</v>
      </c>
    </row>
    <row r="85" spans="1:36" x14ac:dyDescent="0.2">
      <c r="A85">
        <v>84</v>
      </c>
      <c r="B85">
        <v>743</v>
      </c>
      <c r="C85">
        <v>255</v>
      </c>
      <c r="D85">
        <v>0.31372385966638899</v>
      </c>
      <c r="E85">
        <v>6.6386159228051698</v>
      </c>
      <c r="F85">
        <v>0.54105054574419098</v>
      </c>
      <c r="G85">
        <v>-143.29133647568389</v>
      </c>
      <c r="H85">
        <v>-84.805084192221216</v>
      </c>
      <c r="I85">
        <v>57.560450039021198</v>
      </c>
      <c r="J85">
        <v>26.000165516228801</v>
      </c>
      <c r="K85">
        <v>12.269862723590901</v>
      </c>
      <c r="L85">
        <v>1.2857558235033378E-3</v>
      </c>
      <c r="M85">
        <v>2.1549817872475993E-4</v>
      </c>
      <c r="N85" s="1">
        <v>1.1187249017896199E-5</v>
      </c>
      <c r="O85" s="1">
        <v>2.3735002161075001E-6</v>
      </c>
      <c r="P85" s="1">
        <v>-8.4855144481841604E-6</v>
      </c>
      <c r="AE85">
        <v>100</v>
      </c>
      <c r="AJ85">
        <v>1</v>
      </c>
    </row>
    <row r="86" spans="1:36" x14ac:dyDescent="0.2">
      <c r="A86">
        <v>85</v>
      </c>
      <c r="B86">
        <v>742</v>
      </c>
      <c r="C86">
        <v>255</v>
      </c>
      <c r="D86">
        <v>0.31297887011771702</v>
      </c>
      <c r="E86">
        <v>8.2764865010546593</v>
      </c>
      <c r="F86">
        <v>0.54174685226250696</v>
      </c>
      <c r="G86">
        <v>-178.57224058332548</v>
      </c>
      <c r="H86">
        <v>-105.76050530733272</v>
      </c>
      <c r="I86">
        <v>71.7297656403518</v>
      </c>
      <c r="J86">
        <v>32.429944730657198</v>
      </c>
      <c r="K86">
        <v>15.2774057966177</v>
      </c>
      <c r="L86">
        <v>1.2864938280053803E-3</v>
      </c>
      <c r="M86">
        <v>2.1508320659058904E-4</v>
      </c>
      <c r="N86" s="1">
        <v>1.4062341998724E-5</v>
      </c>
      <c r="O86" s="1">
        <v>2.9483464947623302E-6</v>
      </c>
      <c r="P86" s="1">
        <v>-1.05742711947605E-5</v>
      </c>
      <c r="AE86">
        <v>100</v>
      </c>
      <c r="AJ86">
        <v>1</v>
      </c>
    </row>
    <row r="87" spans="1:36" x14ac:dyDescent="0.2">
      <c r="A87">
        <v>86</v>
      </c>
      <c r="B87">
        <v>741</v>
      </c>
      <c r="C87">
        <v>255</v>
      </c>
      <c r="D87">
        <v>0.31223241137898899</v>
      </c>
      <c r="E87">
        <v>9.78517887507879</v>
      </c>
      <c r="F87">
        <v>0.54244445337179503</v>
      </c>
      <c r="G87">
        <v>-211.03877639326788</v>
      </c>
      <c r="H87">
        <v>-125.07757592001322</v>
      </c>
      <c r="I87">
        <v>84.767342260499703</v>
      </c>
      <c r="J87">
        <v>38.359249710966601</v>
      </c>
      <c r="K87">
        <v>18.0390431024869</v>
      </c>
      <c r="L87">
        <v>1.2872250077430357E-3</v>
      </c>
      <c r="M87">
        <v>2.1466728494018677E-4</v>
      </c>
      <c r="N87" s="1">
        <v>1.6761808864969102E-5</v>
      </c>
      <c r="O87" s="1">
        <v>3.4730836989545602E-6</v>
      </c>
      <c r="P87" s="1">
        <v>-1.24960020740515E-5</v>
      </c>
      <c r="AE87">
        <v>100</v>
      </c>
      <c r="AJ87">
        <v>1</v>
      </c>
    </row>
    <row r="88" spans="1:36" x14ac:dyDescent="0.2">
      <c r="A88">
        <v>87</v>
      </c>
      <c r="B88">
        <v>740</v>
      </c>
      <c r="C88">
        <v>255</v>
      </c>
      <c r="D88">
        <v>0.31148447909983901</v>
      </c>
      <c r="E88">
        <v>10.2186113899456</v>
      </c>
      <c r="F88">
        <v>0.54314334804540298</v>
      </c>
      <c r="G88">
        <v>-220.29819388190774</v>
      </c>
      <c r="H88">
        <v>-130.6579294163117</v>
      </c>
      <c r="I88">
        <v>88.482566433921903</v>
      </c>
      <c r="J88">
        <v>40.076875823599501</v>
      </c>
      <c r="K88">
        <v>18.8138387899237</v>
      </c>
      <c r="L88">
        <v>1.2879493169939192E-3</v>
      </c>
      <c r="M88">
        <v>2.1425041895364164E-4</v>
      </c>
      <c r="N88" s="1">
        <v>1.76465272557241E-5</v>
      </c>
      <c r="O88" s="1">
        <v>3.6136451711206502E-6</v>
      </c>
      <c r="P88" s="1">
        <v>-1.3043259836481801E-5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240</v>
      </c>
      <c r="D89">
        <v>0.340018929282145</v>
      </c>
      <c r="E89">
        <v>4.6790875129094402</v>
      </c>
      <c r="F89">
        <v>0.51317002723357097</v>
      </c>
      <c r="G89">
        <v>-101.6999600256099</v>
      </c>
      <c r="H89">
        <v>-59.470950743318383</v>
      </c>
      <c r="I89">
        <v>40.9956675663692</v>
      </c>
      <c r="J89">
        <v>18.314281269159501</v>
      </c>
      <c r="K89">
        <v>9.1180062447016894</v>
      </c>
      <c r="L89">
        <v>1.3377124825460231E-3</v>
      </c>
      <c r="M89">
        <v>2.4594200378070396E-4</v>
      </c>
      <c r="N89" s="1">
        <v>7.14039343500869E-6</v>
      </c>
      <c r="O89" s="1">
        <v>2.19540460329889E-6</v>
      </c>
      <c r="P89" s="1">
        <v>-7.0068261176886803E-6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240</v>
      </c>
      <c r="D90">
        <v>0.33930962444735902</v>
      </c>
      <c r="E90">
        <v>4.6840007690130001</v>
      </c>
      <c r="F90">
        <v>0.513857218530266</v>
      </c>
      <c r="G90">
        <v>-101.76571982762339</v>
      </c>
      <c r="H90">
        <v>-59.55173632500108</v>
      </c>
      <c r="I90">
        <v>41.020904606221499</v>
      </c>
      <c r="J90">
        <v>18.343207318243799</v>
      </c>
      <c r="K90">
        <v>9.1153740768888607</v>
      </c>
      <c r="L90">
        <v>1.3387154848615219E-3</v>
      </c>
      <c r="M90">
        <v>2.4550188116323523E-4</v>
      </c>
      <c r="N90" s="1">
        <v>7.2242109426878902E-6</v>
      </c>
      <c r="O90" s="1">
        <v>2.1903637290442599E-6</v>
      </c>
      <c r="P90" s="1">
        <v>-7.0137437276579796E-6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240</v>
      </c>
      <c r="D91">
        <v>0.338598939843407</v>
      </c>
      <c r="E91">
        <v>4.6949209135743502</v>
      </c>
      <c r="F91">
        <v>0.51454584440387996</v>
      </c>
      <c r="G91">
        <v>-101.96186589495339</v>
      </c>
      <c r="H91">
        <v>-59.708964354670059</v>
      </c>
      <c r="I91">
        <v>41.098660956408303</v>
      </c>
      <c r="J91">
        <v>18.3956773926263</v>
      </c>
      <c r="K91">
        <v>9.1243976890214302</v>
      </c>
      <c r="L91">
        <v>1.3397117195683961E-3</v>
      </c>
      <c r="M91">
        <v>2.4506043713939631E-4</v>
      </c>
      <c r="N91" s="1">
        <v>7.3177403561662401E-6</v>
      </c>
      <c r="O91" s="1">
        <v>2.1880966833199102E-6</v>
      </c>
      <c r="P91" s="1">
        <v>-7.0295617072133698E-6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240</v>
      </c>
      <c r="D92">
        <v>0.33788687144039198</v>
      </c>
      <c r="E92">
        <v>4.7057813646548903</v>
      </c>
      <c r="F92">
        <v>0.51523590465179603</v>
      </c>
      <c r="G92">
        <v>-102.1565427978516</v>
      </c>
      <c r="H92">
        <v>-59.865528255525298</v>
      </c>
      <c r="I92">
        <v>41.175784918844599</v>
      </c>
      <c r="J92">
        <v>18.447945651463499</v>
      </c>
      <c r="K92">
        <v>9.1332558972867393</v>
      </c>
      <c r="L92">
        <v>1.3407011251952076E-3</v>
      </c>
      <c r="M92">
        <v>2.4461767559829566E-4</v>
      </c>
      <c r="N92" s="1">
        <v>7.4117183687849601E-6</v>
      </c>
      <c r="O92" s="1">
        <v>2.1857573870436502E-6</v>
      </c>
      <c r="P92" s="1">
        <v>-7.0451942139308799E-6</v>
      </c>
      <c r="AE92">
        <v>100</v>
      </c>
      <c r="AJ92">
        <v>1</v>
      </c>
    </row>
    <row r="93" spans="1:36" x14ac:dyDescent="0.2">
      <c r="A93">
        <v>92</v>
      </c>
      <c r="B93">
        <v>753</v>
      </c>
      <c r="C93">
        <v>240</v>
      </c>
      <c r="D93">
        <v>0.33717341519271199</v>
      </c>
      <c r="E93">
        <v>4.7165826001742097</v>
      </c>
      <c r="F93">
        <v>0.51592739902965501</v>
      </c>
      <c r="G93">
        <v>-102.34976262561247</v>
      </c>
      <c r="H93">
        <v>-60.021433461683202</v>
      </c>
      <c r="I93">
        <v>41.252281130560299</v>
      </c>
      <c r="J93">
        <v>18.500013158435198</v>
      </c>
      <c r="K93">
        <v>9.1419502221534508</v>
      </c>
      <c r="L93">
        <v>1.3416836403493035E-3</v>
      </c>
      <c r="M93">
        <v>2.4417360053697853E-4</v>
      </c>
      <c r="N93" s="1">
        <v>7.5061400771981604E-6</v>
      </c>
      <c r="O93" s="1">
        <v>2.1833463965809499E-6</v>
      </c>
      <c r="P93" s="1">
        <v>-7.0606406948844797E-6</v>
      </c>
      <c r="AE93">
        <v>100</v>
      </c>
      <c r="AJ93">
        <v>1</v>
      </c>
    </row>
    <row r="94" spans="1:36" x14ac:dyDescent="0.2">
      <c r="A94">
        <v>93</v>
      </c>
      <c r="B94">
        <v>752</v>
      </c>
      <c r="C94">
        <v>240</v>
      </c>
      <c r="D94">
        <v>0.33645856703896998</v>
      </c>
      <c r="E94">
        <v>4.7273250934384601</v>
      </c>
      <c r="F94">
        <v>0.51662032725108598</v>
      </c>
      <c r="G94">
        <v>-102.54153734966314</v>
      </c>
      <c r="H94">
        <v>-60.176685354820847</v>
      </c>
      <c r="I94">
        <v>41.328154182852998</v>
      </c>
      <c r="J94">
        <v>18.551880959965899</v>
      </c>
      <c r="K94">
        <v>9.1504821705184192</v>
      </c>
      <c r="L94">
        <v>1.3426592037241709E-3</v>
      </c>
      <c r="M94">
        <v>2.4372821606076153E-4</v>
      </c>
      <c r="N94" s="1">
        <v>7.6010005038690697E-6</v>
      </c>
      <c r="O94" s="1">
        <v>2.18086426728775E-6</v>
      </c>
      <c r="P94" s="1">
        <v>-7.0759005971290504E-6</v>
      </c>
      <c r="AE94">
        <v>100</v>
      </c>
      <c r="AJ94">
        <v>1</v>
      </c>
    </row>
    <row r="95" spans="1:36" x14ac:dyDescent="0.2">
      <c r="A95">
        <v>94</v>
      </c>
      <c r="B95">
        <v>751</v>
      </c>
      <c r="C95">
        <v>240</v>
      </c>
      <c r="D95">
        <v>0.33574232290192102</v>
      </c>
      <c r="E95">
        <v>4.7380093128377698</v>
      </c>
      <c r="F95">
        <v>0.51731468898748201</v>
      </c>
      <c r="G95">
        <v>-102.73187881722015</v>
      </c>
      <c r="H95">
        <v>-60.33128926023906</v>
      </c>
      <c r="I95">
        <v>41.403408618714998</v>
      </c>
      <c r="J95">
        <v>18.603550084038801</v>
      </c>
      <c r="K95">
        <v>9.1588532351773502</v>
      </c>
      <c r="L95">
        <v>1.3436277541067985E-3</v>
      </c>
      <c r="M95">
        <v>2.432815263835319E-4</v>
      </c>
      <c r="N95" s="1">
        <v>7.6962945967865495E-6</v>
      </c>
      <c r="O95" s="1">
        <v>2.17831155340664E-6</v>
      </c>
      <c r="P95" s="1">
        <v>-7.0909733674770998E-6</v>
      </c>
      <c r="AE95">
        <v>100</v>
      </c>
      <c r="AJ95">
        <v>1</v>
      </c>
    </row>
    <row r="96" spans="1:36" x14ac:dyDescent="0.2">
      <c r="A96">
        <v>95</v>
      </c>
      <c r="B96">
        <v>750</v>
      </c>
      <c r="C96">
        <v>240</v>
      </c>
      <c r="D96">
        <v>0.335024678688366</v>
      </c>
      <c r="E96">
        <v>4.7486357220956696</v>
      </c>
      <c r="F96">
        <v>0.51801048386774795</v>
      </c>
      <c r="G96">
        <v>-102.92079875692455</v>
      </c>
      <c r="H96">
        <v>-60.485250449950293</v>
      </c>
      <c r="I96">
        <v>41.478048935086797</v>
      </c>
      <c r="J96">
        <v>18.655021541178701</v>
      </c>
      <c r="K96">
        <v>9.1670648953661598</v>
      </c>
      <c r="L96">
        <v>1.3445892303850034E-3</v>
      </c>
      <c r="M96">
        <v>2.4283353582802003E-4</v>
      </c>
      <c r="N96" s="1">
        <v>7.7920172300605105E-6</v>
      </c>
      <c r="O96" s="1">
        <v>2.1756888082177E-6</v>
      </c>
      <c r="P96" s="1">
        <v>-7.1058584530999499E-6</v>
      </c>
      <c r="AE96">
        <v>100</v>
      </c>
      <c r="AJ96">
        <v>1</v>
      </c>
    </row>
    <row r="97" spans="1:36" x14ac:dyDescent="0.2">
      <c r="A97">
        <v>96</v>
      </c>
      <c r="B97">
        <v>749</v>
      </c>
      <c r="C97">
        <v>240</v>
      </c>
      <c r="D97">
        <v>0.33430563028909699</v>
      </c>
      <c r="E97">
        <v>4.7592047803154403</v>
      </c>
      <c r="F97">
        <v>0.51870771147807404</v>
      </c>
      <c r="G97">
        <v>-103.10830878006429</v>
      </c>
      <c r="H97">
        <v>-60.638574143182517</v>
      </c>
      <c r="I97">
        <v>41.552079583334802</v>
      </c>
      <c r="J97">
        <v>18.706296324639201</v>
      </c>
      <c r="K97">
        <v>9.1751186169064791</v>
      </c>
      <c r="L97">
        <v>1.3455435715547743E-3</v>
      </c>
      <c r="M97">
        <v>2.4238424882604508E-4</v>
      </c>
      <c r="N97" s="1">
        <v>7.8881632042506202E-6</v>
      </c>
      <c r="O97" s="1">
        <v>2.17299658409392E-6</v>
      </c>
      <c r="P97" s="1">
        <v>-7.1205553018298301E-6</v>
      </c>
      <c r="AE97">
        <v>100</v>
      </c>
      <c r="AJ97">
        <v>1</v>
      </c>
    </row>
    <row r="98" spans="1:36" x14ac:dyDescent="0.2">
      <c r="A98">
        <v>97</v>
      </c>
      <c r="B98">
        <v>748</v>
      </c>
      <c r="C98">
        <v>240</v>
      </c>
      <c r="D98">
        <v>0.33358517357881101</v>
      </c>
      <c r="E98">
        <v>4.7697169419919199</v>
      </c>
      <c r="F98">
        <v>0.51940637136170698</v>
      </c>
      <c r="G98">
        <v>-103.29442038104747</v>
      </c>
      <c r="H98">
        <v>-60.79126550644721</v>
      </c>
      <c r="I98">
        <v>41.625504969425201</v>
      </c>
      <c r="J98">
        <v>18.757375410458</v>
      </c>
      <c r="K98">
        <v>9.1830158522840897</v>
      </c>
      <c r="L98">
        <v>1.3464907167278109E-3</v>
      </c>
      <c r="M98">
        <v>2.419336699187921E-4</v>
      </c>
      <c r="N98" s="1">
        <v>7.9847272466375904E-6</v>
      </c>
      <c r="O98" s="1">
        <v>2.1702354325402001E-6</v>
      </c>
      <c r="P98" s="1">
        <v>-7.1350633624088801E-6</v>
      </c>
      <c r="AE98">
        <v>100</v>
      </c>
      <c r="AJ98">
        <v>1</v>
      </c>
    </row>
    <row r="99" spans="1:36" x14ac:dyDescent="0.2">
      <c r="A99">
        <v>98</v>
      </c>
      <c r="B99">
        <v>747</v>
      </c>
      <c r="C99">
        <v>240</v>
      </c>
      <c r="D99">
        <v>0.33286330441601902</v>
      </c>
      <c r="E99">
        <v>4.7801726571343499</v>
      </c>
      <c r="F99">
        <v>0.520106463018706</v>
      </c>
      <c r="G99">
        <v>-103.47914494027597</v>
      </c>
      <c r="H99">
        <v>-60.943329655020221</v>
      </c>
      <c r="I99">
        <v>41.698329455066698</v>
      </c>
      <c r="J99">
        <v>18.808259757943802</v>
      </c>
      <c r="K99">
        <v>9.1907580409405902</v>
      </c>
      <c r="L99">
        <v>1.3474306051391109E-3</v>
      </c>
      <c r="M99">
        <v>2.4148180375702682E-4</v>
      </c>
      <c r="N99" s="1">
        <v>8.0817040117198394E-6</v>
      </c>
      <c r="O99" s="1">
        <v>2.1674059042816198E-6</v>
      </c>
      <c r="P99" s="1">
        <v>-7.1493820849079104E-6</v>
      </c>
      <c r="AE99">
        <v>100</v>
      </c>
      <c r="AJ99">
        <v>1</v>
      </c>
    </row>
    <row r="100" spans="1:36" x14ac:dyDescent="0.2">
      <c r="A100">
        <v>99</v>
      </c>
      <c r="B100">
        <v>746</v>
      </c>
      <c r="C100">
        <v>240</v>
      </c>
      <c r="D100">
        <v>0.33214001864298798</v>
      </c>
      <c r="E100">
        <v>6.2799385128800402</v>
      </c>
      <c r="F100">
        <v>0.52080798590573996</v>
      </c>
      <c r="G100">
        <v>-135.89066947102228</v>
      </c>
      <c r="H100">
        <v>-80.088845278624959</v>
      </c>
      <c r="I100">
        <v>54.756824764604602</v>
      </c>
      <c r="J100">
        <v>24.7221081707576</v>
      </c>
      <c r="K100">
        <v>12.058068775498</v>
      </c>
      <c r="L100">
        <v>1.34836317615401E-3</v>
      </c>
      <c r="M100">
        <v>2.410286551012612E-4</v>
      </c>
      <c r="N100" s="1">
        <v>1.0721927624253099E-5</v>
      </c>
      <c r="O100" s="1">
        <v>2.83744395172824E-6</v>
      </c>
      <c r="P100" s="1">
        <v>-9.3906123597631097E-6</v>
      </c>
      <c r="AE100">
        <v>100</v>
      </c>
      <c r="AJ100">
        <v>1</v>
      </c>
    </row>
    <row r="101" spans="1:36" x14ac:dyDescent="0.2">
      <c r="A101">
        <v>100</v>
      </c>
      <c r="B101">
        <v>745</v>
      </c>
      <c r="C101">
        <v>240</v>
      </c>
      <c r="D101">
        <v>0.33141531208564601</v>
      </c>
      <c r="E101">
        <v>7.26315752774088</v>
      </c>
      <c r="F101">
        <v>0.52151093943584204</v>
      </c>
      <c r="G101">
        <v>-157.10308589615175</v>
      </c>
      <c r="H101">
        <v>-92.656561095168144</v>
      </c>
      <c r="I101">
        <v>63.301754383666399</v>
      </c>
      <c r="J101">
        <v>28.607516668533499</v>
      </c>
      <c r="K101">
        <v>13.9271431882099</v>
      </c>
      <c r="L101">
        <v>1.3492883692761781E-3</v>
      </c>
      <c r="M101">
        <v>2.4057422882200292E-4</v>
      </c>
      <c r="N101" s="1">
        <v>1.25218256001397E-5</v>
      </c>
      <c r="O101" s="1">
        <v>3.2701326690307402E-6</v>
      </c>
      <c r="P101" s="1">
        <v>-1.08585401998512E-5</v>
      </c>
      <c r="AE101">
        <v>100</v>
      </c>
      <c r="AJ101">
        <v>1</v>
      </c>
    </row>
    <row r="102" spans="1:36" x14ac:dyDescent="0.2">
      <c r="A102">
        <v>101</v>
      </c>
      <c r="B102">
        <v>744</v>
      </c>
      <c r="C102">
        <v>240</v>
      </c>
      <c r="D102">
        <v>0.33068918055350899</v>
      </c>
      <c r="E102">
        <v>9.1329138989187602</v>
      </c>
      <c r="F102">
        <v>0.52221532297820195</v>
      </c>
      <c r="G102">
        <v>-197.46659082692528</v>
      </c>
      <c r="H102">
        <v>-116.5451429142727</v>
      </c>
      <c r="I102">
        <v>79.562182890242994</v>
      </c>
      <c r="J102">
        <v>35.990521748013499</v>
      </c>
      <c r="K102">
        <v>17.488789579810799</v>
      </c>
      <c r="L102">
        <v>1.3502061241548516E-3</v>
      </c>
      <c r="M102">
        <v>2.4011852989985874E-4</v>
      </c>
      <c r="N102" s="1">
        <v>1.5898025016039502E-5</v>
      </c>
      <c r="O102" s="1">
        <v>4.0974157284840804E-6</v>
      </c>
      <c r="P102" s="1">
        <v>-1.36507534288787E-5</v>
      </c>
      <c r="AE102">
        <v>100</v>
      </c>
      <c r="AJ102">
        <v>1</v>
      </c>
    </row>
    <row r="103" spans="1:36" x14ac:dyDescent="0.2">
      <c r="A103">
        <v>102</v>
      </c>
      <c r="B103">
        <v>743</v>
      </c>
      <c r="C103">
        <v>240</v>
      </c>
      <c r="D103">
        <v>0.32996161983958999</v>
      </c>
      <c r="E103">
        <v>10.0770281868783</v>
      </c>
      <c r="F103">
        <v>0.52292113585794298</v>
      </c>
      <c r="G103">
        <v>-217.79191742691165</v>
      </c>
      <c r="H103">
        <v>-128.63270957107909</v>
      </c>
      <c r="I103">
        <v>87.747846823954603</v>
      </c>
      <c r="J103">
        <v>39.731487584717101</v>
      </c>
      <c r="K103">
        <v>19.2706461756325</v>
      </c>
      <c r="L103">
        <v>1.351116380592435E-3</v>
      </c>
      <c r="M103">
        <v>2.3966156342573449E-4</v>
      </c>
      <c r="N103" s="1">
        <v>1.77102688650407E-5</v>
      </c>
      <c r="O103" s="1">
        <v>4.5049151937904802E-6</v>
      </c>
      <c r="P103" s="1">
        <v>-1.50582600130717E-5</v>
      </c>
      <c r="AE103">
        <v>100</v>
      </c>
      <c r="AJ103">
        <v>1</v>
      </c>
    </row>
    <row r="104" spans="1:36" x14ac:dyDescent="0.2">
      <c r="A104">
        <v>103</v>
      </c>
      <c r="B104">
        <v>742</v>
      </c>
      <c r="C104">
        <v>240</v>
      </c>
      <c r="D104">
        <v>0.32923262572033701</v>
      </c>
      <c r="E104">
        <v>10.3321122380764</v>
      </c>
      <c r="F104">
        <v>0.52362837735591405</v>
      </c>
      <c r="G104">
        <v>-223.21502680934108</v>
      </c>
      <c r="H104">
        <v>-131.92959112445328</v>
      </c>
      <c r="I104">
        <v>89.928925138132101</v>
      </c>
      <c r="J104">
        <v>40.758155627239901</v>
      </c>
      <c r="K104">
        <v>19.7317652840912</v>
      </c>
      <c r="L104">
        <v>1.3520190785521601E-3</v>
      </c>
      <c r="M104">
        <v>2.392033346009271E-4</v>
      </c>
      <c r="N104" s="1">
        <v>1.8331931473794999E-5</v>
      </c>
      <c r="O104" s="1">
        <v>4.6024537685619E-6</v>
      </c>
      <c r="P104" s="1">
        <v>-1.54354833951762E-5</v>
      </c>
      <c r="AE104">
        <v>100</v>
      </c>
      <c r="AJ104">
        <v>1</v>
      </c>
    </row>
    <row r="105" spans="1:36" x14ac:dyDescent="0.2">
      <c r="A105">
        <v>104</v>
      </c>
      <c r="B105">
        <v>757</v>
      </c>
      <c r="C105">
        <v>225</v>
      </c>
      <c r="D105">
        <v>0.35603601417269398</v>
      </c>
      <c r="E105">
        <v>4.9198077249041603</v>
      </c>
      <c r="F105">
        <v>0.49351610243928701</v>
      </c>
      <c r="G105">
        <v>-107.07861021739478</v>
      </c>
      <c r="H105">
        <v>-62.469908374432634</v>
      </c>
      <c r="I105">
        <v>43.305846002090099</v>
      </c>
      <c r="J105">
        <v>19.3722374566103</v>
      </c>
      <c r="K105">
        <v>9.9688899725605093</v>
      </c>
      <c r="L105">
        <v>1.4066547857104819E-3</v>
      </c>
      <c r="M105">
        <v>2.7568331144484353E-4</v>
      </c>
      <c r="N105" s="1">
        <v>7.4211001086049399E-6</v>
      </c>
      <c r="O105" s="1">
        <v>2.9283389015500699E-6</v>
      </c>
      <c r="P105" s="1">
        <v>-8.6496851596196E-6</v>
      </c>
      <c r="AE105">
        <v>100</v>
      </c>
      <c r="AJ105">
        <v>1</v>
      </c>
    </row>
    <row r="106" spans="1:36" x14ac:dyDescent="0.2">
      <c r="A106">
        <v>105</v>
      </c>
      <c r="B106">
        <v>756</v>
      </c>
      <c r="C106">
        <v>225</v>
      </c>
      <c r="D106">
        <v>0.35534227274935698</v>
      </c>
      <c r="E106">
        <v>4.9254772558429503</v>
      </c>
      <c r="F106">
        <v>0.49421110210605401</v>
      </c>
      <c r="G106">
        <v>-107.15866006741874</v>
      </c>
      <c r="H106">
        <v>-62.561298275609005</v>
      </c>
      <c r="I106">
        <v>43.336909539284299</v>
      </c>
      <c r="J106">
        <v>19.406002809291302</v>
      </c>
      <c r="K106">
        <v>9.9663427932988196</v>
      </c>
      <c r="L106">
        <v>1.4078854248212131E-3</v>
      </c>
      <c r="M106">
        <v>2.7520256945572124E-4</v>
      </c>
      <c r="N106" s="1">
        <v>7.5258675660921797E-6</v>
      </c>
      <c r="O106" s="1">
        <v>2.9222440775243501E-6</v>
      </c>
      <c r="P106" s="1">
        <v>-8.6613561177594901E-6</v>
      </c>
      <c r="AE106">
        <v>100</v>
      </c>
      <c r="AJ106">
        <v>1</v>
      </c>
    </row>
    <row r="107" spans="1:36" x14ac:dyDescent="0.2">
      <c r="A107">
        <v>106</v>
      </c>
      <c r="B107">
        <v>755</v>
      </c>
      <c r="C107">
        <v>225</v>
      </c>
      <c r="D107">
        <v>0.354647181831445</v>
      </c>
      <c r="E107">
        <v>4.9358875057767904</v>
      </c>
      <c r="F107">
        <v>0.49490768776852501</v>
      </c>
      <c r="G107">
        <v>-107.34172636481851</v>
      </c>
      <c r="H107">
        <v>-62.712977548654827</v>
      </c>
      <c r="I107">
        <v>43.409593380433499</v>
      </c>
      <c r="J107">
        <v>19.458471733185</v>
      </c>
      <c r="K107">
        <v>9.9733498342530709</v>
      </c>
      <c r="L107">
        <v>1.4091087850398635E-3</v>
      </c>
      <c r="M107">
        <v>2.7472009849557628E-4</v>
      </c>
      <c r="N107" s="1">
        <v>7.6385247214245804E-6</v>
      </c>
      <c r="O107" s="1">
        <v>2.9189124674162101E-6</v>
      </c>
      <c r="P107" s="1">
        <v>-8.6812525530274993E-6</v>
      </c>
      <c r="AE107">
        <v>100</v>
      </c>
      <c r="AJ107">
        <v>1</v>
      </c>
    </row>
    <row r="108" spans="1:36" x14ac:dyDescent="0.2">
      <c r="A108">
        <v>107</v>
      </c>
      <c r="B108">
        <v>754</v>
      </c>
      <c r="C108">
        <v>225</v>
      </c>
      <c r="D108">
        <v>0.35395073747748601</v>
      </c>
      <c r="E108">
        <v>4.9462432503297</v>
      </c>
      <c r="F108">
        <v>0.49560585974538901</v>
      </c>
      <c r="G108">
        <v>-107.52344361804764</v>
      </c>
      <c r="H108">
        <v>-62.864057614699526</v>
      </c>
      <c r="I108">
        <v>43.481688699284497</v>
      </c>
      <c r="J108">
        <v>19.510761645632801</v>
      </c>
      <c r="K108">
        <v>9.9801952561068603</v>
      </c>
      <c r="L108">
        <v>1.4103247859760767E-3</v>
      </c>
      <c r="M108">
        <v>2.7423590143348011E-4</v>
      </c>
      <c r="N108" s="1">
        <v>7.7518322915628792E-6</v>
      </c>
      <c r="O108" s="1">
        <v>2.91549020866147E-6</v>
      </c>
      <c r="P108" s="1">
        <v>-8.7009419041967992E-6</v>
      </c>
      <c r="AE108">
        <v>100</v>
      </c>
      <c r="AJ108">
        <v>1</v>
      </c>
    </row>
    <row r="109" spans="1:36" x14ac:dyDescent="0.2">
      <c r="A109">
        <v>108</v>
      </c>
      <c r="B109">
        <v>753</v>
      </c>
      <c r="C109">
        <v>225</v>
      </c>
      <c r="D109">
        <v>0.35325293573064698</v>
      </c>
      <c r="E109">
        <v>4.9565449357481501</v>
      </c>
      <c r="F109">
        <v>0.49630561830638598</v>
      </c>
      <c r="G109">
        <v>-107.70382311043994</v>
      </c>
      <c r="H109">
        <v>-63.014543561718149</v>
      </c>
      <c r="I109">
        <v>43.553199812990997</v>
      </c>
      <c r="J109">
        <v>19.562873398595301</v>
      </c>
      <c r="K109">
        <v>9.9868805689971207</v>
      </c>
      <c r="L109">
        <v>1.4115333472314697E-3</v>
      </c>
      <c r="M109">
        <v>2.7374998128468052E-4</v>
      </c>
      <c r="N109" s="1">
        <v>7.8657847298724695E-6</v>
      </c>
      <c r="O109" s="1">
        <v>2.9119778918711901E-6</v>
      </c>
      <c r="P109" s="1">
        <v>-8.7204230493021693E-6</v>
      </c>
      <c r="AE109">
        <v>100</v>
      </c>
      <c r="AJ109">
        <v>1</v>
      </c>
    </row>
    <row r="110" spans="1:36" x14ac:dyDescent="0.2">
      <c r="A110">
        <v>109</v>
      </c>
      <c r="B110">
        <v>752</v>
      </c>
      <c r="C110">
        <v>225</v>
      </c>
      <c r="D110">
        <v>0.35255377261864101</v>
      </c>
      <c r="E110">
        <v>4.9667930041420796</v>
      </c>
      <c r="F110">
        <v>0.49700696367191499</v>
      </c>
      <c r="G110">
        <v>-107.88287601883616</v>
      </c>
      <c r="H110">
        <v>-63.164440430810366</v>
      </c>
      <c r="I110">
        <v>43.624130997394303</v>
      </c>
      <c r="J110">
        <v>19.614807827247201</v>
      </c>
      <c r="K110">
        <v>9.9934072702867898</v>
      </c>
      <c r="L110">
        <v>1.4127343884097433E-3</v>
      </c>
      <c r="M110">
        <v>2.7326234121145604E-4</v>
      </c>
      <c r="N110" s="1">
        <v>7.9803763696350494E-6</v>
      </c>
      <c r="O110" s="1">
        <v>2.9083761076850601E-6</v>
      </c>
      <c r="P110" s="1">
        <v>-8.7396948633213694E-6</v>
      </c>
      <c r="AE110">
        <v>100</v>
      </c>
      <c r="AJ110">
        <v>1</v>
      </c>
    </row>
    <row r="111" spans="1:36" x14ac:dyDescent="0.2">
      <c r="A111">
        <v>110</v>
      </c>
      <c r="B111">
        <v>751</v>
      </c>
      <c r="C111">
        <v>225</v>
      </c>
      <c r="D111">
        <v>0.35185324415369101</v>
      </c>
      <c r="E111">
        <v>4.9769878933718603</v>
      </c>
      <c r="F111">
        <v>0.497709896012688</v>
      </c>
      <c r="G111">
        <v>-108.06061341132572</v>
      </c>
      <c r="H111">
        <v>-63.313753214685583</v>
      </c>
      <c r="I111">
        <v>43.694486486095499</v>
      </c>
      <c r="J111">
        <v>19.666565749545001</v>
      </c>
      <c r="K111">
        <v>9.9997768443908601</v>
      </c>
      <c r="L111">
        <v>1.4139278291270152E-3</v>
      </c>
      <c r="M111">
        <v>2.7277298452397326E-4</v>
      </c>
      <c r="N111" s="1">
        <v>8.0956014237553203E-6</v>
      </c>
      <c r="O111" s="1">
        <v>2.9046854467685802E-6</v>
      </c>
      <c r="P111" s="1">
        <v>-8.7587562183314797E-6</v>
      </c>
      <c r="AE111">
        <v>100</v>
      </c>
      <c r="AJ111">
        <v>1</v>
      </c>
    </row>
    <row r="112" spans="1:36" x14ac:dyDescent="0.2">
      <c r="A112">
        <v>111</v>
      </c>
      <c r="B112">
        <v>750</v>
      </c>
      <c r="C112">
        <v>225</v>
      </c>
      <c r="D112">
        <v>0.35115134633240402</v>
      </c>
      <c r="E112">
        <v>5.1132671079513301</v>
      </c>
      <c r="F112">
        <v>0.49841441544936699</v>
      </c>
      <c r="G112">
        <v>-110.974633572306</v>
      </c>
      <c r="H112">
        <v>-65.067612880963708</v>
      </c>
      <c r="I112">
        <v>44.871179022403403</v>
      </c>
      <c r="J112">
        <v>20.2168695575469</v>
      </c>
      <c r="K112">
        <v>10.2590674536193</v>
      </c>
      <c r="L112">
        <v>1.4151135890225653E-3</v>
      </c>
      <c r="M112">
        <v>2.7228191468116428E-4</v>
      </c>
      <c r="N112" s="1">
        <v>8.4191423236417807E-6</v>
      </c>
      <c r="O112" s="1">
        <v>2.9742777266429699E-6</v>
      </c>
      <c r="P112" s="1">
        <v>-8.9996137318403407E-6</v>
      </c>
      <c r="AE112">
        <v>100</v>
      </c>
      <c r="AJ112">
        <v>1</v>
      </c>
    </row>
    <row r="113" spans="1:36" x14ac:dyDescent="0.2">
      <c r="A113">
        <v>112</v>
      </c>
      <c r="B113">
        <v>749</v>
      </c>
      <c r="C113">
        <v>225</v>
      </c>
      <c r="D113">
        <v>0.350448075135744</v>
      </c>
      <c r="E113">
        <v>6.0096484212502199</v>
      </c>
      <c r="F113">
        <v>0.49912052205220397</v>
      </c>
      <c r="G113">
        <v>-130.37631650502439</v>
      </c>
      <c r="H113">
        <v>-76.49805896183851</v>
      </c>
      <c r="I113">
        <v>52.714079766225296</v>
      </c>
      <c r="J113">
        <v>23.774834764805799</v>
      </c>
      <c r="K113">
        <v>12.0404755078807</v>
      </c>
      <c r="L113">
        <v>1.4162915877691446E-3</v>
      </c>
      <c r="M113">
        <v>2.7178913529151441E-4</v>
      </c>
      <c r="N113" s="1">
        <v>1.00151525970832E-5</v>
      </c>
      <c r="O113" s="1">
        <v>3.4839753863967501E-6</v>
      </c>
      <c r="P113" s="1">
        <v>-1.05783474521923E-5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225</v>
      </c>
      <c r="D114">
        <v>0.34974342652891699</v>
      </c>
      <c r="E114">
        <v>7.1194696378710303</v>
      </c>
      <c r="F114">
        <v>0.49982821584070197</v>
      </c>
      <c r="G114">
        <v>-154.39089749825791</v>
      </c>
      <c r="H114">
        <v>-90.653376603454447</v>
      </c>
      <c r="I114">
        <v>62.421382845336801</v>
      </c>
      <c r="J114">
        <v>28.181792674257899</v>
      </c>
      <c r="K114">
        <v>14.243833005498001</v>
      </c>
      <c r="L114">
        <v>1.4174617450838846E-3</v>
      </c>
      <c r="M114">
        <v>2.7129465011387983E-4</v>
      </c>
      <c r="N114" s="1">
        <v>1.20073795522442E-5</v>
      </c>
      <c r="O114" s="1">
        <v>4.1134767877152603E-6</v>
      </c>
      <c r="P114" s="1">
        <v>-1.25329573540929E-5</v>
      </c>
      <c r="AE114">
        <v>100</v>
      </c>
      <c r="AJ114">
        <v>1</v>
      </c>
    </row>
    <row r="115" spans="1:36" x14ac:dyDescent="0.2">
      <c r="A115">
        <v>114</v>
      </c>
      <c r="B115">
        <v>747</v>
      </c>
      <c r="C115">
        <v>225</v>
      </c>
      <c r="D115">
        <v>0.34903739646130499</v>
      </c>
      <c r="E115">
        <v>8.7373534273444307</v>
      </c>
      <c r="F115">
        <v>0.50053749678325199</v>
      </c>
      <c r="G115">
        <v>-189.3992992372591</v>
      </c>
      <c r="H115">
        <v>-111.2887527917002</v>
      </c>
      <c r="I115">
        <v>76.572608435744698</v>
      </c>
      <c r="J115">
        <v>34.606120640422603</v>
      </c>
      <c r="K115">
        <v>17.4559418295248</v>
      </c>
      <c r="L115">
        <v>1.4186239807389418E-3</v>
      </c>
      <c r="M115">
        <v>2.7079846305825769E-4</v>
      </c>
      <c r="N115" s="1">
        <v>1.4911666741119001E-5</v>
      </c>
      <c r="O115" s="1">
        <v>5.0311711661874399E-6</v>
      </c>
      <c r="P115" s="1">
        <v>-1.5382138357121901E-5</v>
      </c>
      <c r="AE115">
        <v>100</v>
      </c>
      <c r="AJ115">
        <v>1</v>
      </c>
    </row>
    <row r="116" spans="1:36" x14ac:dyDescent="0.2">
      <c r="A116">
        <v>115</v>
      </c>
      <c r="B116">
        <v>746</v>
      </c>
      <c r="C116">
        <v>225</v>
      </c>
      <c r="D116">
        <v>0.34832998086640898</v>
      </c>
      <c r="E116">
        <v>9.8802124676060998</v>
      </c>
      <c r="F116">
        <v>0.50124836479679802</v>
      </c>
      <c r="G116">
        <v>-214.08644474121149</v>
      </c>
      <c r="H116">
        <v>-125.88463393150485</v>
      </c>
      <c r="I116">
        <v>86.550031765682306</v>
      </c>
      <c r="J116">
        <v>39.155325484219297</v>
      </c>
      <c r="K116">
        <v>19.7112113704579</v>
      </c>
      <c r="L116">
        <v>1.4197782145724304E-3</v>
      </c>
      <c r="M116">
        <v>2.7030057818655599E-4</v>
      </c>
      <c r="N116" s="1">
        <v>1.7061314129378699E-5</v>
      </c>
      <c r="O116" s="1">
        <v>5.6699026393117501E-6</v>
      </c>
      <c r="P116" s="1">
        <v>-1.7395129447582199E-5</v>
      </c>
      <c r="AE116">
        <v>100</v>
      </c>
      <c r="AJ116">
        <v>1</v>
      </c>
    </row>
    <row r="117" spans="1:36" x14ac:dyDescent="0.2">
      <c r="A117">
        <v>116</v>
      </c>
      <c r="B117">
        <v>745</v>
      </c>
      <c r="C117">
        <v>225</v>
      </c>
      <c r="D117">
        <v>0.347621175661739</v>
      </c>
      <c r="E117">
        <v>10.2676780122542</v>
      </c>
      <c r="F117">
        <v>0.50196081974649398</v>
      </c>
      <c r="G117">
        <v>-222.39220240249182</v>
      </c>
      <c r="H117">
        <v>-130.86206826692947</v>
      </c>
      <c r="I117">
        <v>89.904247833254999</v>
      </c>
      <c r="J117">
        <v>40.714380046806397</v>
      </c>
      <c r="K117">
        <v>20.455138346135701</v>
      </c>
      <c r="L117">
        <v>1.420924366499103E-3</v>
      </c>
      <c r="M117">
        <v>2.698009997132519E-4</v>
      </c>
      <c r="N117" s="1">
        <v>1.7937964935271901E-5</v>
      </c>
      <c r="O117" s="1">
        <v>5.8721074918182696E-6</v>
      </c>
      <c r="P117" s="1">
        <v>-1.8078059924443E-5</v>
      </c>
      <c r="AE117">
        <v>100</v>
      </c>
      <c r="AJ117">
        <v>1</v>
      </c>
    </row>
    <row r="118" spans="1:36" x14ac:dyDescent="0.2">
      <c r="A118">
        <v>117</v>
      </c>
      <c r="B118">
        <v>757</v>
      </c>
      <c r="C118">
        <v>210</v>
      </c>
      <c r="D118">
        <v>0.37205309906324402</v>
      </c>
      <c r="E118">
        <v>5.1600527476756204</v>
      </c>
      <c r="F118">
        <v>0.47228630828451501</v>
      </c>
      <c r="G118">
        <v>-112.46775632396331</v>
      </c>
      <c r="H118">
        <v>-65.442330207578635</v>
      </c>
      <c r="I118">
        <v>45.651972057885203</v>
      </c>
      <c r="J118">
        <v>20.435079387954399</v>
      </c>
      <c r="K118">
        <v>10.9256877812496</v>
      </c>
      <c r="L118">
        <v>1.4816308393897995E-3</v>
      </c>
      <c r="M118">
        <v>3.1177489648632567E-4</v>
      </c>
      <c r="N118" s="1">
        <v>7.24725285216912E-6</v>
      </c>
      <c r="O118" s="1">
        <v>3.96174515013833E-6</v>
      </c>
      <c r="P118" s="1">
        <v>-1.07210021568504E-5</v>
      </c>
      <c r="AE118">
        <v>100</v>
      </c>
      <c r="AJ118">
        <v>1</v>
      </c>
    </row>
    <row r="119" spans="1:36" x14ac:dyDescent="0.2">
      <c r="A119">
        <v>118</v>
      </c>
      <c r="B119">
        <v>756</v>
      </c>
      <c r="C119">
        <v>210</v>
      </c>
      <c r="D119">
        <v>0.371374921051355</v>
      </c>
      <c r="E119">
        <v>5.1676367918611996</v>
      </c>
      <c r="F119">
        <v>0.47298694258706397</v>
      </c>
      <c r="G119">
        <v>-112.58734791271313</v>
      </c>
      <c r="H119">
        <v>-65.558986703608369</v>
      </c>
      <c r="I119">
        <v>45.699187142988201</v>
      </c>
      <c r="J119">
        <v>20.478709759536699</v>
      </c>
      <c r="K119">
        <v>10.9255379516316</v>
      </c>
      <c r="L119">
        <v>1.4831590164800183E-3</v>
      </c>
      <c r="M119">
        <v>3.1125443691024172E-4</v>
      </c>
      <c r="N119" s="1">
        <v>7.37836119281438E-6</v>
      </c>
      <c r="O119" s="1">
        <v>3.9553858479730997E-6</v>
      </c>
      <c r="P119" s="1">
        <v>-1.0742301393035E-5</v>
      </c>
      <c r="AE119">
        <v>100</v>
      </c>
      <c r="AJ119">
        <v>1</v>
      </c>
    </row>
    <row r="120" spans="1:36" x14ac:dyDescent="0.2">
      <c r="A120">
        <v>119</v>
      </c>
      <c r="B120">
        <v>755</v>
      </c>
      <c r="C120">
        <v>210</v>
      </c>
      <c r="D120">
        <v>0.37069542381948001</v>
      </c>
      <c r="E120">
        <v>5.1774861944698003</v>
      </c>
      <c r="F120">
        <v>0.47368933837807498</v>
      </c>
      <c r="G120">
        <v>-112.75616061829841</v>
      </c>
      <c r="H120">
        <v>-65.704465246114594</v>
      </c>
      <c r="I120">
        <v>45.7663358923487</v>
      </c>
      <c r="J120">
        <v>20.531354554016101</v>
      </c>
      <c r="K120">
        <v>10.9301303090283</v>
      </c>
      <c r="L120">
        <v>1.4846796623975869E-3</v>
      </c>
      <c r="M120">
        <v>3.1073171901347839E-4</v>
      </c>
      <c r="N120" s="1">
        <v>7.5136829269735702E-6</v>
      </c>
      <c r="O120" s="1">
        <v>3.9506879838711296E-6</v>
      </c>
      <c r="P120" s="1">
        <v>-1.07681897773217E-5</v>
      </c>
      <c r="AE120">
        <v>100</v>
      </c>
      <c r="AJ120">
        <v>1</v>
      </c>
    </row>
    <row r="121" spans="1:36" x14ac:dyDescent="0.2">
      <c r="A121">
        <v>120</v>
      </c>
      <c r="B121">
        <v>754</v>
      </c>
      <c r="C121">
        <v>210</v>
      </c>
      <c r="D121">
        <v>0.37001460351457899</v>
      </c>
      <c r="E121">
        <v>5.2412191515207596</v>
      </c>
      <c r="F121">
        <v>0.47439349681874099</v>
      </c>
      <c r="G121">
        <v>-114.09782803080346</v>
      </c>
      <c r="H121">
        <v>-66.534054101117988</v>
      </c>
      <c r="I121">
        <v>46.309471135794801</v>
      </c>
      <c r="J121">
        <v>20.797858920726501</v>
      </c>
      <c r="K121">
        <v>11.048252530163399</v>
      </c>
      <c r="L121">
        <v>1.4861926717360553E-3</v>
      </c>
      <c r="M121">
        <v>3.1020674312885721E-4</v>
      </c>
      <c r="N121" s="1">
        <v>7.7294988744265796E-6</v>
      </c>
      <c r="O121" s="1">
        <v>3.9869004258793702E-6</v>
      </c>
      <c r="P121" s="1">
        <v>-1.09060803998046E-5</v>
      </c>
      <c r="AE121">
        <v>100</v>
      </c>
      <c r="AJ121">
        <v>1</v>
      </c>
    </row>
    <row r="122" spans="1:36" x14ac:dyDescent="0.2">
      <c r="A122">
        <v>121</v>
      </c>
      <c r="B122">
        <v>753</v>
      </c>
      <c r="C122">
        <v>210</v>
      </c>
      <c r="D122">
        <v>0.36933245626858002</v>
      </c>
      <c r="E122">
        <v>5.3987471024287901</v>
      </c>
      <c r="F122">
        <v>0.47509941901387398</v>
      </c>
      <c r="G122">
        <v>-117.47941504411358</v>
      </c>
      <c r="H122">
        <v>-68.555204606916419</v>
      </c>
      <c r="I122">
        <v>47.680456007221302</v>
      </c>
      <c r="J122">
        <v>21.437125359280401</v>
      </c>
      <c r="K122">
        <v>11.3634049766563</v>
      </c>
      <c r="L122">
        <v>1.4876979388726652E-3</v>
      </c>
      <c r="M122">
        <v>3.0967950977807808E-4</v>
      </c>
      <c r="N122" s="1">
        <v>8.0894305150511395E-6</v>
      </c>
      <c r="O122" s="1">
        <v>4.0939041749992498E-6</v>
      </c>
      <c r="P122" s="1">
        <v>-1.12392192189164E-5</v>
      </c>
      <c r="AE122">
        <v>100</v>
      </c>
      <c r="AJ122">
        <v>1</v>
      </c>
    </row>
    <row r="123" spans="1:36" x14ac:dyDescent="0.2">
      <c r="A123">
        <v>122</v>
      </c>
      <c r="B123">
        <v>752</v>
      </c>
      <c r="C123">
        <v>210</v>
      </c>
      <c r="D123">
        <v>0.36864897819831499</v>
      </c>
      <c r="E123">
        <v>5.9683284297763999</v>
      </c>
      <c r="F123">
        <v>0.47580710601133502</v>
      </c>
      <c r="G123">
        <v>-129.82108796326304</v>
      </c>
      <c r="H123">
        <v>-75.811656848486862</v>
      </c>
      <c r="I123">
        <v>52.687749654978298</v>
      </c>
      <c r="J123">
        <v>23.714453486064698</v>
      </c>
      <c r="K123">
        <v>12.5435882616562</v>
      </c>
      <c r="L123">
        <v>1.4891953579815116E-3</v>
      </c>
      <c r="M123">
        <v>3.0915001967357094E-4</v>
      </c>
      <c r="N123" s="1">
        <v>9.0846065258956798E-6</v>
      </c>
      <c r="O123" s="1">
        <v>4.5116074459240002E-6</v>
      </c>
      <c r="P123" s="1">
        <v>-1.24307332218887E-5</v>
      </c>
      <c r="AE123">
        <v>100</v>
      </c>
      <c r="AJ123">
        <v>1</v>
      </c>
    </row>
    <row r="124" spans="1:36" x14ac:dyDescent="0.2">
      <c r="A124">
        <v>123</v>
      </c>
      <c r="B124">
        <v>751</v>
      </c>
      <c r="C124">
        <v>210</v>
      </c>
      <c r="D124">
        <v>0.36796416540546001</v>
      </c>
      <c r="E124">
        <v>7.1115784244107099</v>
      </c>
      <c r="F124">
        <v>0.47651655880148902</v>
      </c>
      <c r="G124">
        <v>-154.62591381950983</v>
      </c>
      <c r="H124">
        <v>-90.361857987842924</v>
      </c>
      <c r="I124">
        <v>62.752649039244503</v>
      </c>
      <c r="J124">
        <v>28.2756651415534</v>
      </c>
      <c r="K124">
        <v>14.924095066701099</v>
      </c>
      <c r="L124">
        <v>1.4906848230478366E-3</v>
      </c>
      <c r="M124">
        <v>3.086182737205255E-4</v>
      </c>
      <c r="N124" s="1">
        <v>1.0994410391637199E-5</v>
      </c>
      <c r="O124" s="1">
        <v>5.3588392623979502E-6</v>
      </c>
      <c r="P124" s="1">
        <v>-1.48185235668288E-5</v>
      </c>
      <c r="AE124">
        <v>100</v>
      </c>
      <c r="AJ124">
        <v>1</v>
      </c>
    </row>
    <row r="125" spans="1:36" x14ac:dyDescent="0.2">
      <c r="A125">
        <v>124</v>
      </c>
      <c r="B125">
        <v>750</v>
      </c>
      <c r="C125">
        <v>210</v>
      </c>
      <c r="D125">
        <v>0.36727801397644499</v>
      </c>
      <c r="E125">
        <v>7.8304275441939799</v>
      </c>
      <c r="F125">
        <v>0.47722777831664998</v>
      </c>
      <c r="G125">
        <v>-170.18665484251773</v>
      </c>
      <c r="H125">
        <v>-99.526915541656152</v>
      </c>
      <c r="I125">
        <v>69.065357330152594</v>
      </c>
      <c r="J125">
        <v>31.154320659312098</v>
      </c>
      <c r="K125">
        <v>16.408155392409501</v>
      </c>
      <c r="L125">
        <v>1.4921662278820484E-3</v>
      </c>
      <c r="M125">
        <v>3.0808427301878377E-4</v>
      </c>
      <c r="N125" s="1">
        <v>1.2293330833166799E-5</v>
      </c>
      <c r="O125" s="1">
        <v>5.8817765832417598E-6</v>
      </c>
      <c r="P125" s="1">
        <v>-1.6323499286599399E-5</v>
      </c>
      <c r="AE125">
        <v>100</v>
      </c>
      <c r="AJ125">
        <v>1</v>
      </c>
    </row>
    <row r="126" spans="1:36" x14ac:dyDescent="0.2">
      <c r="A126">
        <v>125</v>
      </c>
      <c r="B126">
        <v>749</v>
      </c>
      <c r="C126">
        <v>210</v>
      </c>
      <c r="D126">
        <v>0.36659051998239101</v>
      </c>
      <c r="E126">
        <v>9.6952298206855598</v>
      </c>
      <c r="F126">
        <v>0.47794076543052899</v>
      </c>
      <c r="G126">
        <v>-210.63080719141612</v>
      </c>
      <c r="H126">
        <v>-123.2676583384124</v>
      </c>
      <c r="I126">
        <v>85.475416581580404</v>
      </c>
      <c r="J126">
        <v>38.5990357490682</v>
      </c>
      <c r="K126">
        <v>20.2854213784256</v>
      </c>
      <c r="L126">
        <v>1.4936394661338029E-3</v>
      </c>
      <c r="M126">
        <v>3.0754801886469783E-4</v>
      </c>
      <c r="N126" s="1">
        <v>1.5454232876221201E-5</v>
      </c>
      <c r="O126" s="1">
        <v>7.2592477019379196E-6</v>
      </c>
      <c r="P126" s="1">
        <v>-2.02194178369483E-5</v>
      </c>
      <c r="AE126">
        <v>100</v>
      </c>
      <c r="AJ126">
        <v>1</v>
      </c>
    </row>
    <row r="127" spans="1:36" x14ac:dyDescent="0.2">
      <c r="A127">
        <v>126</v>
      </c>
      <c r="B127">
        <v>748</v>
      </c>
      <c r="C127">
        <v>210</v>
      </c>
      <c r="D127">
        <v>0.36590167947901903</v>
      </c>
      <c r="E127">
        <v>10.2148219682456</v>
      </c>
      <c r="F127">
        <v>0.47865552095770603</v>
      </c>
      <c r="G127">
        <v>-221.82901417259356</v>
      </c>
      <c r="H127">
        <v>-129.9145682375306</v>
      </c>
      <c r="I127">
        <v>90.016443699216595</v>
      </c>
      <c r="J127">
        <v>40.694360435165102</v>
      </c>
      <c r="K127">
        <v>21.340654230431799</v>
      </c>
      <c r="L127">
        <v>1.4951044313070263E-3</v>
      </c>
      <c r="M127">
        <v>3.0700951275309575E-4</v>
      </c>
      <c r="N127" s="1">
        <v>1.6529279081797399E-5</v>
      </c>
      <c r="O127" s="1">
        <v>7.6237185857662001E-6</v>
      </c>
      <c r="P127" s="1">
        <v>-2.13116912300656E-5</v>
      </c>
      <c r="AE127">
        <v>100</v>
      </c>
      <c r="AJ127">
        <v>1</v>
      </c>
    </row>
    <row r="128" spans="1:36" x14ac:dyDescent="0.2">
      <c r="A128">
        <v>127</v>
      </c>
      <c r="B128">
        <v>747</v>
      </c>
      <c r="C128">
        <v>210</v>
      </c>
      <c r="D128">
        <v>0.36521148850659502</v>
      </c>
      <c r="E128">
        <v>10.403130164277499</v>
      </c>
      <c r="F128">
        <v>0.47937204565306502</v>
      </c>
      <c r="G128">
        <v>-225.82673202179328</v>
      </c>
      <c r="H128">
        <v>-132.35097540892028</v>
      </c>
      <c r="I128">
        <v>91.635259444962401</v>
      </c>
      <c r="J128">
        <v>41.471721708094499</v>
      </c>
      <c r="K128">
        <v>21.701578676964701</v>
      </c>
      <c r="L128">
        <v>1.496561016774075E-3</v>
      </c>
      <c r="M128">
        <v>3.0646875637903282E-4</v>
      </c>
      <c r="N128" s="1">
        <v>1.7086408873037799E-5</v>
      </c>
      <c r="O128" s="1">
        <v>7.7391751431745706E-6</v>
      </c>
      <c r="P128" s="1">
        <v>-2.1713082325308399E-5</v>
      </c>
      <c r="AE128">
        <v>100</v>
      </c>
      <c r="AJ128">
        <v>1</v>
      </c>
    </row>
    <row r="129" spans="1:36" x14ac:dyDescent="0.2">
      <c r="A129">
        <v>128</v>
      </c>
      <c r="B129">
        <v>759</v>
      </c>
      <c r="C129">
        <v>195</v>
      </c>
      <c r="D129">
        <v>0.38939156130407598</v>
      </c>
      <c r="E129">
        <v>5.3998876192525103</v>
      </c>
      <c r="F129">
        <v>0.44786796074135798</v>
      </c>
      <c r="G129">
        <v>-117.96704895731662</v>
      </c>
      <c r="H129">
        <v>-68.341300387616059</v>
      </c>
      <c r="I129">
        <v>48.082971193128301</v>
      </c>
      <c r="J129">
        <v>21.460718189817701</v>
      </c>
      <c r="K129">
        <v>12.0568741070784</v>
      </c>
      <c r="L129">
        <v>1.558324849206414E-3</v>
      </c>
      <c r="M129">
        <v>3.5706488191763059E-4</v>
      </c>
      <c r="N129" s="1">
        <v>5.9816368102284303E-6</v>
      </c>
      <c r="O129" s="1">
        <v>5.4756430250371901E-6</v>
      </c>
      <c r="P129" s="1">
        <v>-1.33073765140499E-5</v>
      </c>
      <c r="AE129">
        <v>100</v>
      </c>
      <c r="AJ129">
        <v>1</v>
      </c>
    </row>
    <row r="130" spans="1:36" x14ac:dyDescent="0.2">
      <c r="A130">
        <v>129</v>
      </c>
      <c r="B130">
        <v>758</v>
      </c>
      <c r="C130">
        <v>195</v>
      </c>
      <c r="D130">
        <v>0.38873151335887302</v>
      </c>
      <c r="E130">
        <v>5.42233814337441</v>
      </c>
      <c r="F130">
        <v>0.44856686145323699</v>
      </c>
      <c r="G130">
        <v>-118.409235262206</v>
      </c>
      <c r="H130">
        <v>-68.646993646738821</v>
      </c>
      <c r="I130">
        <v>48.261983814500802</v>
      </c>
      <c r="J130">
        <v>21.566225515348499</v>
      </c>
      <c r="K130">
        <v>12.0881380443652</v>
      </c>
      <c r="L130">
        <v>1.5602536752947851E-3</v>
      </c>
      <c r="M130">
        <v>3.5651613474174546E-4</v>
      </c>
      <c r="N130" s="1">
        <v>6.1531003271589199E-6</v>
      </c>
      <c r="O130" s="1">
        <v>5.48288498478238E-6</v>
      </c>
      <c r="P130" s="1">
        <v>-1.3375004620295299E-5</v>
      </c>
      <c r="AE130">
        <v>100</v>
      </c>
      <c r="AJ130">
        <v>1</v>
      </c>
    </row>
    <row r="131" spans="1:36" x14ac:dyDescent="0.2">
      <c r="A131">
        <v>130</v>
      </c>
      <c r="B131">
        <v>757</v>
      </c>
      <c r="C131">
        <v>195</v>
      </c>
      <c r="D131">
        <v>0.388070183953793</v>
      </c>
      <c r="E131">
        <v>5.5635387511792702</v>
      </c>
      <c r="F131">
        <v>0.449267717805515</v>
      </c>
      <c r="G131">
        <v>-121.44316755303851</v>
      </c>
      <c r="H131">
        <v>-70.456734535786595</v>
      </c>
      <c r="I131">
        <v>49.497274004529203</v>
      </c>
      <c r="J131">
        <v>22.144528044077902</v>
      </c>
      <c r="K131">
        <v>12.3835711552008</v>
      </c>
      <c r="L131">
        <v>1.5621755480064617E-3</v>
      </c>
      <c r="M131">
        <v>3.5596447742919298E-4</v>
      </c>
      <c r="N131" s="1">
        <v>6.4647362126289302E-6</v>
      </c>
      <c r="O131" s="1">
        <v>5.6096826721330203E-6</v>
      </c>
      <c r="P131" s="1">
        <v>-1.37357720368516E-5</v>
      </c>
      <c r="AE131">
        <v>100</v>
      </c>
      <c r="AJ131">
        <v>1</v>
      </c>
    </row>
    <row r="132" spans="1:36" x14ac:dyDescent="0.2">
      <c r="A132">
        <v>131</v>
      </c>
      <c r="B132">
        <v>756</v>
      </c>
      <c r="C132">
        <v>195</v>
      </c>
      <c r="D132">
        <v>0.38740756935335302</v>
      </c>
      <c r="E132">
        <v>5.7184101864427399</v>
      </c>
      <c r="F132">
        <v>0.44997053239551899</v>
      </c>
      <c r="G132">
        <v>-124.77289963050369</v>
      </c>
      <c r="H132">
        <v>-72.440798160625647</v>
      </c>
      <c r="I132">
        <v>50.853008691966501</v>
      </c>
      <c r="J132">
        <v>22.778132760797899</v>
      </c>
      <c r="K132">
        <v>12.708410384118899</v>
      </c>
      <c r="L132">
        <v>1.5640903323792697E-3</v>
      </c>
      <c r="M132">
        <v>3.5540990479693155E-4</v>
      </c>
      <c r="N132" s="1">
        <v>6.80133179535738E-6</v>
      </c>
      <c r="O132" s="1">
        <v>5.7493608533714296E-6</v>
      </c>
      <c r="P132" s="1">
        <v>-1.4130801280866599E-5</v>
      </c>
      <c r="AE132">
        <v>100</v>
      </c>
      <c r="AJ132">
        <v>1</v>
      </c>
    </row>
    <row r="133" spans="1:36" x14ac:dyDescent="0.2">
      <c r="A133">
        <v>132</v>
      </c>
      <c r="B133">
        <v>755</v>
      </c>
      <c r="C133">
        <v>195</v>
      </c>
      <c r="D133">
        <v>0.38674366580751801</v>
      </c>
      <c r="E133">
        <v>6.2688695664992098</v>
      </c>
      <c r="F133">
        <v>0.45067530776014297</v>
      </c>
      <c r="G133">
        <v>-136.72791672182896</v>
      </c>
      <c r="H133">
        <v>-79.438995649294156</v>
      </c>
      <c r="I133">
        <v>55.723881247535303</v>
      </c>
      <c r="J133">
        <v>24.989598395552399</v>
      </c>
      <c r="K133">
        <v>13.9099468254773</v>
      </c>
      <c r="L133">
        <v>1.5659978927838459E-3</v>
      </c>
      <c r="M133">
        <v>3.5485241187653392E-4</v>
      </c>
      <c r="N133" s="1">
        <v>7.6288596120349396E-6</v>
      </c>
      <c r="O133" s="1">
        <v>6.2846771072883201E-6</v>
      </c>
      <c r="P133" s="1">
        <v>-1.5504761113678199E-5</v>
      </c>
      <c r="AE133">
        <v>100</v>
      </c>
      <c r="AJ133">
        <v>1</v>
      </c>
    </row>
    <row r="134" spans="1:36" x14ac:dyDescent="0.2">
      <c r="A134">
        <v>133</v>
      </c>
      <c r="B134">
        <v>754</v>
      </c>
      <c r="C134">
        <v>195</v>
      </c>
      <c r="D134">
        <v>0.38607846955167302</v>
      </c>
      <c r="E134">
        <v>7.3039747281776997</v>
      </c>
      <c r="F134">
        <v>0.45138204637499801</v>
      </c>
      <c r="G134">
        <v>-159.23928880271845</v>
      </c>
      <c r="H134">
        <v>-92.584955329198309</v>
      </c>
      <c r="I134">
        <v>64.896571344375204</v>
      </c>
      <c r="J134">
        <v>29.137765362285698</v>
      </c>
      <c r="K134">
        <v>16.181358533940699</v>
      </c>
      <c r="L134">
        <v>1.5678980929386649E-3</v>
      </c>
      <c r="M134">
        <v>3.5429199391792557E-4</v>
      </c>
      <c r="N134" s="1">
        <v>9.0911724540243595E-6</v>
      </c>
      <c r="O134" s="1">
        <v>7.3012092816896303E-6</v>
      </c>
      <c r="P134" s="1">
        <v>-1.8080657584887001E-5</v>
      </c>
      <c r="AE134">
        <v>100</v>
      </c>
      <c r="AJ134">
        <v>1</v>
      </c>
    </row>
    <row r="135" spans="1:36" x14ac:dyDescent="0.2">
      <c r="A135">
        <v>134</v>
      </c>
      <c r="B135">
        <v>753</v>
      </c>
      <c r="C135">
        <v>195</v>
      </c>
      <c r="D135">
        <v>0.38541197680651201</v>
      </c>
      <c r="E135">
        <v>8.5467648681485802</v>
      </c>
      <c r="F135">
        <v>0.45209075065360899</v>
      </c>
      <c r="G135">
        <v>-186.25834225288307</v>
      </c>
      <c r="H135">
        <v>-108.37263275153902</v>
      </c>
      <c r="I135">
        <v>75.905667285516799</v>
      </c>
      <c r="J135">
        <v>34.121284213739898</v>
      </c>
      <c r="K135">
        <v>18.904976170806599</v>
      </c>
      <c r="L135">
        <v>1.5697907959257827E-3</v>
      </c>
      <c r="M135">
        <v>3.537286463931348E-4</v>
      </c>
      <c r="N135" s="1">
        <v>1.08766856743935E-5</v>
      </c>
      <c r="O135" s="1">
        <v>8.5186614351677102E-6</v>
      </c>
      <c r="P135" s="1">
        <v>-2.1175345355933199E-5</v>
      </c>
      <c r="AE135">
        <v>100</v>
      </c>
      <c r="AJ135">
        <v>1</v>
      </c>
    </row>
    <row r="136" spans="1:36" x14ac:dyDescent="0.2">
      <c r="A136">
        <v>135</v>
      </c>
      <c r="B136">
        <v>752</v>
      </c>
      <c r="C136">
        <v>195</v>
      </c>
      <c r="D136">
        <v>0.38474418377798603</v>
      </c>
      <c r="E136">
        <v>9.6841745167872801</v>
      </c>
      <c r="F136">
        <v>0.45280142294654702</v>
      </c>
      <c r="G136">
        <v>-210.95974872030752</v>
      </c>
      <c r="H136">
        <v>-122.83361778020809</v>
      </c>
      <c r="I136">
        <v>85.969538915704305</v>
      </c>
      <c r="J136">
        <v>38.6912296651711</v>
      </c>
      <c r="K136">
        <v>21.387244001506801</v>
      </c>
      <c r="L136">
        <v>1.5716758642066043E-3</v>
      </c>
      <c r="M136">
        <v>3.5316236500003418E-4</v>
      </c>
      <c r="N136" s="1">
        <v>1.25962332066294E-5</v>
      </c>
      <c r="O136" s="1">
        <v>9.6240635520654704E-6</v>
      </c>
      <c r="P136" s="1">
        <v>-2.4013735925502499E-5</v>
      </c>
      <c r="AE136">
        <v>100</v>
      </c>
      <c r="AJ136">
        <v>1</v>
      </c>
    </row>
    <row r="137" spans="1:36" x14ac:dyDescent="0.2">
      <c r="A137">
        <v>136</v>
      </c>
      <c r="B137">
        <v>751</v>
      </c>
      <c r="C137">
        <v>195</v>
      </c>
      <c r="D137">
        <v>0.38407508665723</v>
      </c>
      <c r="E137">
        <v>10.208607185198099</v>
      </c>
      <c r="F137">
        <v>0.45351406554060503</v>
      </c>
      <c r="G137">
        <v>-222.29336804566779</v>
      </c>
      <c r="H137">
        <v>-129.52629909190719</v>
      </c>
      <c r="I137">
        <v>90.585276517768094</v>
      </c>
      <c r="J137">
        <v>40.817123755150597</v>
      </c>
      <c r="K137">
        <v>22.5100122816016</v>
      </c>
      <c r="L137">
        <v>1.5735531596382203E-3</v>
      </c>
      <c r="M137">
        <v>3.5259314566607502E-4</v>
      </c>
      <c r="N137" s="1">
        <v>1.35669359965458E-5</v>
      </c>
      <c r="O137" s="1">
        <v>1.0115347041132801E-5</v>
      </c>
      <c r="P137" s="1">
        <v>-2.53353263589922E-5</v>
      </c>
      <c r="AE137">
        <v>100</v>
      </c>
      <c r="AJ137">
        <v>1</v>
      </c>
    </row>
    <row r="138" spans="1:36" x14ac:dyDescent="0.2">
      <c r="A138">
        <v>137</v>
      </c>
      <c r="B138">
        <v>750</v>
      </c>
      <c r="C138">
        <v>195</v>
      </c>
      <c r="D138">
        <v>0.38340468162048602</v>
      </c>
      <c r="E138">
        <v>10.4053685165325</v>
      </c>
      <c r="F138">
        <v>0.45422868065796301</v>
      </c>
      <c r="G138">
        <v>-226.48555338037943</v>
      </c>
      <c r="H138">
        <v>-132.06441649527932</v>
      </c>
      <c r="I138">
        <v>92.290564898527194</v>
      </c>
      <c r="J138">
        <v>41.635041621971403</v>
      </c>
      <c r="K138">
        <v>22.907775223396499</v>
      </c>
      <c r="L138">
        <v>1.5754225434902235E-3</v>
      </c>
      <c r="M138">
        <v>3.520209845520217E-4</v>
      </c>
      <c r="N138" s="1">
        <v>1.4124350406487E-5</v>
      </c>
      <c r="O138" s="1">
        <v>1.02797431835534E-5</v>
      </c>
      <c r="P138" s="1">
        <v>-2.58448960731476E-5</v>
      </c>
      <c r="AE138">
        <v>100</v>
      </c>
      <c r="AJ138">
        <v>1</v>
      </c>
    </row>
    <row r="139" spans="1:36" x14ac:dyDescent="0.2">
      <c r="A139">
        <v>138</v>
      </c>
      <c r="B139">
        <v>765</v>
      </c>
      <c r="C139">
        <v>180</v>
      </c>
      <c r="D139">
        <v>0.409218802677841</v>
      </c>
      <c r="E139">
        <v>5.6411594571839601</v>
      </c>
      <c r="F139">
        <v>0.41871137437891198</v>
      </c>
      <c r="G139">
        <v>-123.73590753982045</v>
      </c>
      <c r="H139">
        <v>-71.133538784617002</v>
      </c>
      <c r="I139">
        <v>50.672443262584103</v>
      </c>
      <c r="J139">
        <v>22.3820808407818</v>
      </c>
      <c r="K139">
        <v>13.4726682922136</v>
      </c>
      <c r="L139">
        <v>1.6274335457675544E-3</v>
      </c>
      <c r="M139">
        <v>4.1497905989361958E-4</v>
      </c>
      <c r="N139" s="1">
        <v>2.6411461662296802E-6</v>
      </c>
      <c r="O139" s="1">
        <v>7.7701377052141598E-6</v>
      </c>
      <c r="P139" s="1">
        <v>-1.6434018671045201E-5</v>
      </c>
      <c r="AE139">
        <v>100</v>
      </c>
      <c r="AJ139">
        <v>1</v>
      </c>
    </row>
    <row r="140" spans="1:36" x14ac:dyDescent="0.2">
      <c r="A140">
        <v>139</v>
      </c>
      <c r="B140">
        <v>764</v>
      </c>
      <c r="C140">
        <v>180</v>
      </c>
      <c r="D140">
        <v>0.40858169020874802</v>
      </c>
      <c r="E140">
        <v>5.64790708550834</v>
      </c>
      <c r="F140">
        <v>0.41939386807347301</v>
      </c>
      <c r="G140">
        <v>-123.83319101276341</v>
      </c>
      <c r="H140">
        <v>-71.241043108652462</v>
      </c>
      <c r="I140">
        <v>50.711449629625903</v>
      </c>
      <c r="J140">
        <v>22.428157320093302</v>
      </c>
      <c r="K140">
        <v>13.466832768568</v>
      </c>
      <c r="L140">
        <v>1.6298838109191603E-3</v>
      </c>
      <c r="M140">
        <v>4.1443282257927374E-4</v>
      </c>
      <c r="N140" s="1">
        <v>2.80809903695468E-6</v>
      </c>
      <c r="O140" s="1">
        <v>7.7602798710308595E-6</v>
      </c>
      <c r="P140" s="1">
        <v>-1.64766843016575E-5</v>
      </c>
      <c r="AE140">
        <v>100</v>
      </c>
      <c r="AJ140">
        <v>1</v>
      </c>
    </row>
    <row r="141" spans="1:36" x14ac:dyDescent="0.2">
      <c r="A141">
        <v>140</v>
      </c>
      <c r="B141">
        <v>763</v>
      </c>
      <c r="C141">
        <v>180</v>
      </c>
      <c r="D141">
        <v>0.40794334797085602</v>
      </c>
      <c r="E141">
        <v>5.6808248493808202</v>
      </c>
      <c r="F141">
        <v>0.42007850256930701</v>
      </c>
      <c r="G141">
        <v>-124.50393333934755</v>
      </c>
      <c r="H141">
        <v>-71.67882671756611</v>
      </c>
      <c r="I141">
        <v>50.985241073785502</v>
      </c>
      <c r="J141">
        <v>22.578311898604301</v>
      </c>
      <c r="K141">
        <v>13.5232458091414</v>
      </c>
      <c r="L141">
        <v>1.632329496526221E-3</v>
      </c>
      <c r="M141">
        <v>4.1388300738298114E-4</v>
      </c>
      <c r="N141" s="1">
        <v>2.9907512762676299E-6</v>
      </c>
      <c r="O141" s="1">
        <v>7.7861715078828804E-6</v>
      </c>
      <c r="P141" s="1">
        <v>-1.6595762849329901E-5</v>
      </c>
      <c r="AE141">
        <v>100</v>
      </c>
      <c r="AJ141">
        <v>1</v>
      </c>
    </row>
    <row r="142" spans="1:36" x14ac:dyDescent="0.2">
      <c r="A142">
        <v>141</v>
      </c>
      <c r="B142">
        <v>762</v>
      </c>
      <c r="C142">
        <v>180</v>
      </c>
      <c r="D142">
        <v>0.40730377240013699</v>
      </c>
      <c r="E142">
        <v>5.7138119396038398</v>
      </c>
      <c r="F142">
        <v>0.42076528275571701</v>
      </c>
      <c r="G142">
        <v>-125.17562535516068</v>
      </c>
      <c r="H142">
        <v>-72.117766447353915</v>
      </c>
      <c r="I142">
        <v>51.2593621232351</v>
      </c>
      <c r="J142">
        <v>22.728986266691599</v>
      </c>
      <c r="K142">
        <v>13.579570781558701</v>
      </c>
      <c r="L142">
        <v>1.63477044451666E-3</v>
      </c>
      <c r="M142">
        <v>4.1332959918505074E-4</v>
      </c>
      <c r="N142" s="1">
        <v>3.1769172014190002E-6</v>
      </c>
      <c r="O142" s="1">
        <v>7.8118589364091303E-6</v>
      </c>
      <c r="P142" s="1">
        <v>-1.67152119504203E-5</v>
      </c>
      <c r="AE142">
        <v>100</v>
      </c>
      <c r="AJ142">
        <v>1</v>
      </c>
    </row>
    <row r="143" spans="1:36" x14ac:dyDescent="0.2">
      <c r="A143">
        <v>142</v>
      </c>
      <c r="B143">
        <v>761</v>
      </c>
      <c r="C143">
        <v>180</v>
      </c>
      <c r="D143">
        <v>0.40666295991877599</v>
      </c>
      <c r="E143">
        <v>5.7861434300419798</v>
      </c>
      <c r="F143">
        <v>0.42145421346922002</v>
      </c>
      <c r="G143">
        <v>-126.70833402357708</v>
      </c>
      <c r="H143">
        <v>-73.053736237782374</v>
      </c>
      <c r="I143">
        <v>51.886002003940703</v>
      </c>
      <c r="J143">
        <v>23.036547698499199</v>
      </c>
      <c r="K143">
        <v>13.728996519961299</v>
      </c>
      <c r="L143">
        <v>1.6372064953669044E-3</v>
      </c>
      <c r="M143">
        <v>4.1277258303264137E-4</v>
      </c>
      <c r="N143" s="1">
        <v>3.3896393245874102E-6</v>
      </c>
      <c r="O143" s="1">
        <v>7.8909014537561906E-6</v>
      </c>
      <c r="P143" s="1">
        <v>-1.6950080299725299E-5</v>
      </c>
      <c r="AE143">
        <v>100</v>
      </c>
      <c r="AJ143">
        <v>1</v>
      </c>
    </row>
    <row r="144" spans="1:36" x14ac:dyDescent="0.2">
      <c r="A144">
        <v>143</v>
      </c>
      <c r="B144">
        <v>760</v>
      </c>
      <c r="C144">
        <v>180</v>
      </c>
      <c r="D144">
        <v>0.40602090693510101</v>
      </c>
      <c r="E144">
        <v>5.9289976017233599</v>
      </c>
      <c r="F144">
        <v>0.42214529949238699</v>
      </c>
      <c r="G144">
        <v>-129.78348216200263</v>
      </c>
      <c r="H144">
        <v>-74.880976364620921</v>
      </c>
      <c r="I144">
        <v>53.1441695144863</v>
      </c>
      <c r="J144">
        <v>23.625638638215801</v>
      </c>
      <c r="K144">
        <v>14.0449215207483</v>
      </c>
      <c r="L144">
        <v>1.6396374881098249E-3</v>
      </c>
      <c r="M144">
        <v>4.1221194414539728E-4</v>
      </c>
      <c r="N144" s="1">
        <v>3.65169951029053E-6</v>
      </c>
      <c r="O144" s="1">
        <v>8.0653031764286505E-6</v>
      </c>
      <c r="P144" s="1">
        <v>-1.7392293928428101E-5</v>
      </c>
      <c r="AE144">
        <v>100</v>
      </c>
      <c r="AJ144">
        <v>1</v>
      </c>
    </row>
    <row r="145" spans="1:36" x14ac:dyDescent="0.2">
      <c r="A145">
        <v>144</v>
      </c>
      <c r="B145">
        <v>759</v>
      </c>
      <c r="C145">
        <v>180</v>
      </c>
      <c r="D145">
        <v>0.40537760984353299</v>
      </c>
      <c r="E145">
        <v>6.0868615036652001</v>
      </c>
      <c r="F145">
        <v>0.42283854555270201</v>
      </c>
      <c r="G145">
        <v>-133.18451496637107</v>
      </c>
      <c r="H145">
        <v>-76.899002320235994</v>
      </c>
      <c r="I145">
        <v>54.535674002871197</v>
      </c>
      <c r="J145">
        <v>24.275588887237799</v>
      </c>
      <c r="K145">
        <v>14.3952380114942</v>
      </c>
      <c r="L145">
        <v>1.6420632603436609E-3</v>
      </c>
      <c r="M145">
        <v>4.1164766792121455E-4</v>
      </c>
      <c r="N145" s="1">
        <v>3.9337040975934297E-6</v>
      </c>
      <c r="O145" s="1">
        <v>8.2590062714537103E-6</v>
      </c>
      <c r="P145" s="1">
        <v>-1.7879623020683102E-5</v>
      </c>
      <c r="AE145">
        <v>100</v>
      </c>
      <c r="AJ145">
        <v>1</v>
      </c>
    </row>
    <row r="146" spans="1:36" x14ac:dyDescent="0.2">
      <c r="A146">
        <v>145</v>
      </c>
      <c r="B146">
        <v>758</v>
      </c>
      <c r="C146">
        <v>180</v>
      </c>
      <c r="D146">
        <v>0.40473306502448703</v>
      </c>
      <c r="E146">
        <v>6.8918058412549303</v>
      </c>
      <c r="F146">
        <v>0.42353395632138902</v>
      </c>
      <c r="G146">
        <v>-150.73548978829072</v>
      </c>
      <c r="H146">
        <v>-87.095848619449384</v>
      </c>
      <c r="I146">
        <v>61.720976660378199</v>
      </c>
      <c r="J146">
        <v>27.5095465995628</v>
      </c>
      <c r="K146">
        <v>16.272144743986502</v>
      </c>
      <c r="L146">
        <v>1.6444836482412851E-3</v>
      </c>
      <c r="M146">
        <v>4.1107973994203729E-4</v>
      </c>
      <c r="N146" s="1">
        <v>4.6649912612356697E-6</v>
      </c>
      <c r="O146" s="1">
        <v>9.3272850483117899E-6</v>
      </c>
      <c r="P146" s="1">
        <v>-2.02713908611767E-5</v>
      </c>
      <c r="AE146">
        <v>100</v>
      </c>
      <c r="AJ146">
        <v>1</v>
      </c>
    </row>
    <row r="147" spans="1:36" x14ac:dyDescent="0.2">
      <c r="A147">
        <v>146</v>
      </c>
      <c r="B147">
        <v>757</v>
      </c>
      <c r="C147">
        <v>180</v>
      </c>
      <c r="D147">
        <v>0.40408726884434598</v>
      </c>
      <c r="E147">
        <v>7.7035118078048397</v>
      </c>
      <c r="F147">
        <v>0.42423153641223499</v>
      </c>
      <c r="G147">
        <v>-168.41990136178322</v>
      </c>
      <c r="H147">
        <v>-97.384622420483552</v>
      </c>
      <c r="I147">
        <v>68.960527460860902</v>
      </c>
      <c r="J147">
        <v>30.7760694755098</v>
      </c>
      <c r="K147">
        <v>18.158743861793301</v>
      </c>
      <c r="L147">
        <v>1.6468984865598429E-3</v>
      </c>
      <c r="M147">
        <v>4.1050814597963866E-4</v>
      </c>
      <c r="N147" s="1">
        <v>5.4524629839914597E-6</v>
      </c>
      <c r="O147" s="1">
        <v>1.0399001134964899E-5</v>
      </c>
      <c r="P147" s="1">
        <v>-2.26892940256044E-5</v>
      </c>
      <c r="AE147">
        <v>100</v>
      </c>
      <c r="AJ147">
        <v>1</v>
      </c>
    </row>
    <row r="148" spans="1:36" x14ac:dyDescent="0.2">
      <c r="A148">
        <v>147</v>
      </c>
      <c r="B148">
        <v>756</v>
      </c>
      <c r="C148">
        <v>180</v>
      </c>
      <c r="D148">
        <v>0.40344021765534699</v>
      </c>
      <c r="E148">
        <v>9.0486909808770992</v>
      </c>
      <c r="F148">
        <v>0.42493129038043198</v>
      </c>
      <c r="G148">
        <v>-197.74822356411531</v>
      </c>
      <c r="H148">
        <v>-114.42598903420152</v>
      </c>
      <c r="I148">
        <v>80.967218332163696</v>
      </c>
      <c r="J148">
        <v>36.1812945381931</v>
      </c>
      <c r="K148">
        <v>21.294480274154399</v>
      </c>
      <c r="L148">
        <v>1.6493076086517139E-3</v>
      </c>
      <c r="M148">
        <v>4.0993287200160022E-4</v>
      </c>
      <c r="N148" s="1">
        <v>6.6866266773785998E-6</v>
      </c>
      <c r="O148" s="1">
        <v>1.2183218576900899E-5</v>
      </c>
      <c r="P148" s="1">
        <v>-2.6686754130599999E-5</v>
      </c>
      <c r="AE148">
        <v>100</v>
      </c>
      <c r="AJ148">
        <v>1</v>
      </c>
    </row>
    <row r="149" spans="1:36" x14ac:dyDescent="0.2">
      <c r="A149">
        <v>148</v>
      </c>
      <c r="B149">
        <v>755</v>
      </c>
      <c r="C149">
        <v>180</v>
      </c>
      <c r="D149">
        <v>0.40279190779555302</v>
      </c>
      <c r="E149">
        <v>9.8827968193897906</v>
      </c>
      <c r="F149">
        <v>0.425633222721372</v>
      </c>
      <c r="G149">
        <v>-215.88818871905264</v>
      </c>
      <c r="H149">
        <v>-125.01327862961018</v>
      </c>
      <c r="I149">
        <v>88.392321774698004</v>
      </c>
      <c r="J149">
        <v>39.550509200333998</v>
      </c>
      <c r="K149">
        <v>23.219044688762999</v>
      </c>
      <c r="L149">
        <v>1.6517108464755047E-3</v>
      </c>
      <c r="M149">
        <v>4.0935390417726886E-4</v>
      </c>
      <c r="N149" s="1">
        <v>7.6137427948411703E-6</v>
      </c>
      <c r="O149" s="1">
        <v>1.3271567795528501E-5</v>
      </c>
      <c r="P149" s="1">
        <v>-2.9185261570133499E-5</v>
      </c>
      <c r="AE149">
        <v>100</v>
      </c>
      <c r="AJ149">
        <v>1</v>
      </c>
    </row>
    <row r="150" spans="1:36" x14ac:dyDescent="0.2">
      <c r="A150">
        <v>149</v>
      </c>
      <c r="B150">
        <v>754</v>
      </c>
      <c r="C150">
        <v>180</v>
      </c>
      <c r="D150">
        <v>0.402142335588766</v>
      </c>
      <c r="E150">
        <v>10.2755246244425</v>
      </c>
      <c r="F150">
        <v>0.42633733786946298</v>
      </c>
      <c r="G150">
        <v>-224.3753828104397</v>
      </c>
      <c r="H150">
        <v>-130.02226228047024</v>
      </c>
      <c r="I150">
        <v>91.864869606336896</v>
      </c>
      <c r="J150">
        <v>41.157595329812096</v>
      </c>
      <c r="K150">
        <v>24.101864208732898</v>
      </c>
      <c r="L150">
        <v>1.6541080306075968E-3</v>
      </c>
      <c r="M150">
        <v>4.0877122888368115E-4</v>
      </c>
      <c r="N150" s="1">
        <v>8.2421845962179908E-6</v>
      </c>
      <c r="O150" s="1">
        <v>1.3762744892681499E-5</v>
      </c>
      <c r="P150" s="1">
        <v>-3.03848656314113E-5</v>
      </c>
      <c r="AE150">
        <v>100</v>
      </c>
      <c r="AJ150">
        <v>1</v>
      </c>
    </row>
    <row r="151" spans="1:36" x14ac:dyDescent="0.2">
      <c r="A151">
        <v>150</v>
      </c>
      <c r="B151">
        <v>753</v>
      </c>
      <c r="C151">
        <v>180</v>
      </c>
      <c r="D151">
        <v>0.401491497344444</v>
      </c>
      <c r="E151">
        <v>10.440697961352701</v>
      </c>
      <c r="F151">
        <v>0.42704364019693403</v>
      </c>
      <c r="G151">
        <v>-227.88877097968142</v>
      </c>
      <c r="H151">
        <v>-132.15413492751713</v>
      </c>
      <c r="I151">
        <v>93.300795069599999</v>
      </c>
      <c r="J151">
        <v>41.855177485779002</v>
      </c>
      <c r="K151">
        <v>24.448784570443198</v>
      </c>
      <c r="L151">
        <v>1.6564989902549355E-3</v>
      </c>
      <c r="M151">
        <v>4.0818483271172056E-4</v>
      </c>
      <c r="N151" s="1">
        <v>8.7086270061556396E-6</v>
      </c>
      <c r="O151" s="1">
        <v>1.39470326447293E-5</v>
      </c>
      <c r="P151" s="1">
        <v>-3.0913502588997201E-5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165</v>
      </c>
      <c r="D152">
        <v>0.42881817746492201</v>
      </c>
      <c r="E152">
        <v>5.8899604232284402</v>
      </c>
      <c r="F152">
        <v>0.38754882039650401</v>
      </c>
      <c r="G152">
        <v>-129.73132220815313</v>
      </c>
      <c r="H152">
        <v>-73.971297494193479</v>
      </c>
      <c r="I152">
        <v>53.405540689554897</v>
      </c>
      <c r="J152">
        <v>23.2430975468734</v>
      </c>
      <c r="K152">
        <v>15.197983101077099</v>
      </c>
      <c r="L152">
        <v>1.6904426157878948E-3</v>
      </c>
      <c r="M152">
        <v>4.8582373139252773E-4</v>
      </c>
      <c r="N152" s="1">
        <v>-2.82486059457167E-6</v>
      </c>
      <c r="O152" s="1">
        <v>1.12025934335198E-5</v>
      </c>
      <c r="P152" s="1">
        <v>-2.02131552191986E-5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165</v>
      </c>
      <c r="D153">
        <v>0.428203518190098</v>
      </c>
      <c r="E153">
        <v>5.89809740846023</v>
      </c>
      <c r="F153">
        <v>0.38820509420539301</v>
      </c>
      <c r="G153">
        <v>-129.85707797007538</v>
      </c>
      <c r="H153">
        <v>-74.096775412156163</v>
      </c>
      <c r="I153">
        <v>53.457007919705703</v>
      </c>
      <c r="J153">
        <v>23.2978179989965</v>
      </c>
      <c r="K153">
        <v>15.1932509297253</v>
      </c>
      <c r="L153">
        <v>1.6934859353215411E-3</v>
      </c>
      <c r="M153">
        <v>4.8531295594346952E-4</v>
      </c>
      <c r="N153" s="1">
        <v>-2.6626326721257798E-6</v>
      </c>
      <c r="O153" s="1">
        <v>1.1194723345347001E-5</v>
      </c>
      <c r="P153" s="1">
        <v>-2.0278341364493101E-5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165</v>
      </c>
      <c r="D154">
        <v>0.42758767931679997</v>
      </c>
      <c r="E154">
        <v>5.92807305068823</v>
      </c>
      <c r="F154">
        <v>0.38886366270781503</v>
      </c>
      <c r="G154">
        <v>-130.46332745292958</v>
      </c>
      <c r="H154">
        <v>-74.49678181621789</v>
      </c>
      <c r="I154">
        <v>53.706220835903302</v>
      </c>
      <c r="J154">
        <v>23.438997647577501</v>
      </c>
      <c r="K154">
        <v>15.2446052927873</v>
      </c>
      <c r="L154">
        <v>1.6965288537669919E-3</v>
      </c>
      <c r="M154">
        <v>4.8479807535348944E-4</v>
      </c>
      <c r="N154" s="1">
        <v>-2.50704049207745E-6</v>
      </c>
      <c r="O154" s="1">
        <v>1.12280564228789E-5</v>
      </c>
      <c r="P154" s="1">
        <v>-2.0418874118005101E-5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165</v>
      </c>
      <c r="D155">
        <v>0.42697065744609403</v>
      </c>
      <c r="E155">
        <v>5.95810226413509</v>
      </c>
      <c r="F155">
        <v>0.38952453362070399</v>
      </c>
      <c r="G155">
        <v>-131.07023478443151</v>
      </c>
      <c r="H155">
        <v>-74.897721489661791</v>
      </c>
      <c r="I155">
        <v>53.955647972678797</v>
      </c>
      <c r="J155">
        <v>23.580668334788101</v>
      </c>
      <c r="K155">
        <v>15.2958331244335</v>
      </c>
      <c r="L155">
        <v>1.6995712101089031E-3</v>
      </c>
      <c r="M155">
        <v>4.8427906171913854E-4</v>
      </c>
      <c r="N155" s="1">
        <v>-2.3475850725489602E-6</v>
      </c>
      <c r="O155" s="1">
        <v>1.12611548572662E-5</v>
      </c>
      <c r="P155" s="1">
        <v>-2.0559989023559699E-5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165</v>
      </c>
      <c r="D156">
        <v>0.42635244916598902</v>
      </c>
      <c r="E156">
        <v>5.9881691466340099</v>
      </c>
      <c r="F156">
        <v>0.39018771463089003</v>
      </c>
      <c r="G156">
        <v>-131.67744921233333</v>
      </c>
      <c r="H156">
        <v>-75.299395498404138</v>
      </c>
      <c r="I156">
        <v>54.205143981185898</v>
      </c>
      <c r="J156">
        <v>23.722767685255501</v>
      </c>
      <c r="K156">
        <v>15.3468931032303</v>
      </c>
      <c r="L156">
        <v>1.7026128409773781E-3</v>
      </c>
      <c r="M156">
        <v>4.8375588714789599E-4</v>
      </c>
      <c r="N156" s="1">
        <v>-2.18420970074701E-6</v>
      </c>
      <c r="O156" s="1">
        <v>1.1293985643152901E-5</v>
      </c>
      <c r="P156" s="1">
        <v>-2.0701628505741701E-5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165</v>
      </c>
      <c r="D157">
        <v>0.42573305105134501</v>
      </c>
      <c r="E157">
        <v>6.0182580875931002</v>
      </c>
      <c r="F157">
        <v>0.39085321339378198</v>
      </c>
      <c r="G157">
        <v>-132.28462697126625</v>
      </c>
      <c r="H157">
        <v>-75.701608325335016</v>
      </c>
      <c r="I157">
        <v>54.454566388656403</v>
      </c>
      <c r="J157">
        <v>23.8652342064543</v>
      </c>
      <c r="K157">
        <v>15.397744936869</v>
      </c>
      <c r="L157">
        <v>1.7056535806377268E-3</v>
      </c>
      <c r="M157">
        <v>4.8322852376433273E-4</v>
      </c>
      <c r="N157" s="1">
        <v>-2.0168594701755199E-6</v>
      </c>
      <c r="O157" s="1">
        <v>1.13265165542459E-5</v>
      </c>
      <c r="P157" s="1">
        <v>-2.0843735432218799E-5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165</v>
      </c>
      <c r="D158">
        <v>0.42511245966382499</v>
      </c>
      <c r="E158">
        <v>6.0723259266162399</v>
      </c>
      <c r="F158">
        <v>0.39152103753203799</v>
      </c>
      <c r="G158">
        <v>-133.41813565694656</v>
      </c>
      <c r="H158">
        <v>-76.405800559989245</v>
      </c>
      <c r="I158">
        <v>54.920589562910997</v>
      </c>
      <c r="J158">
        <v>24.103161078358401</v>
      </c>
      <c r="K158">
        <v>15.509577633154199</v>
      </c>
      <c r="L158">
        <v>1.7086932609803431E-3</v>
      </c>
      <c r="M158">
        <v>4.8269694371626926E-4</v>
      </c>
      <c r="N158" s="1">
        <v>-1.8527957246403099E-6</v>
      </c>
      <c r="O158" s="1">
        <v>1.1403735488514001E-5</v>
      </c>
      <c r="P158" s="1">
        <v>-2.1069430428166001E-5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165</v>
      </c>
      <c r="D159">
        <v>0.424490671551851</v>
      </c>
      <c r="E159">
        <v>6.2080003056447302</v>
      </c>
      <c r="F159">
        <v>0.39219119463420299</v>
      </c>
      <c r="G159">
        <v>-136.3429700610518</v>
      </c>
      <c r="H159">
        <v>-78.137594149081664</v>
      </c>
      <c r="I159">
        <v>56.123924708055597</v>
      </c>
      <c r="J159">
        <v>24.665795136998401</v>
      </c>
      <c r="K159">
        <v>15.8290150074249</v>
      </c>
      <c r="L159">
        <v>1.7117317115112464E-3</v>
      </c>
      <c r="M159">
        <v>4.8216111918115344E-4</v>
      </c>
      <c r="N159" s="1">
        <v>-1.7056197954200999E-6</v>
      </c>
      <c r="O159" s="1">
        <v>1.16333380764465E-5</v>
      </c>
      <c r="P159" s="1">
        <v>-2.1579482814488E-5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165</v>
      </c>
      <c r="D160">
        <v>0.42386768325049901</v>
      </c>
      <c r="E160">
        <v>6.3578751635398296</v>
      </c>
      <c r="F160">
        <v>0.39286369225333501</v>
      </c>
      <c r="G160">
        <v>-139.57712422000515</v>
      </c>
      <c r="H160">
        <v>-80.049282132930159</v>
      </c>
      <c r="I160">
        <v>57.454500268939597</v>
      </c>
      <c r="J160">
        <v>25.2860071614441</v>
      </c>
      <c r="K160">
        <v>16.183412437716399</v>
      </c>
      <c r="L160">
        <v>1.7147687593431417E-3</v>
      </c>
      <c r="M160">
        <v>4.8162102237254208E-4</v>
      </c>
      <c r="N160" s="1">
        <v>-1.5512829336935001E-6</v>
      </c>
      <c r="O160" s="1">
        <v>1.1888283629266001E-5</v>
      </c>
      <c r="P160" s="1">
        <v>-2.2140702633903102E-5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165</v>
      </c>
      <c r="D161">
        <v>0.42324349128146099</v>
      </c>
      <c r="E161">
        <v>6.8631247560656803</v>
      </c>
      <c r="F161">
        <v>0.39353853790562299</v>
      </c>
      <c r="G161">
        <v>-150.60707522228248</v>
      </c>
      <c r="H161">
        <v>-86.437972086314034</v>
      </c>
      <c r="I161">
        <v>61.993943522579301</v>
      </c>
      <c r="J161">
        <v>27.322184248625199</v>
      </c>
      <c r="K161">
        <v>17.439523947490901</v>
      </c>
      <c r="L161">
        <v>1.7178042291873753E-3</v>
      </c>
      <c r="M161">
        <v>4.8107662554678938E-4</v>
      </c>
      <c r="N161" s="1">
        <v>-1.4609167536304099E-6</v>
      </c>
      <c r="O161" s="1">
        <v>1.28049388950851E-5</v>
      </c>
      <c r="P161" s="1">
        <v>-2.3943621122477599E-5</v>
      </c>
      <c r="AE161">
        <v>100</v>
      </c>
      <c r="AJ161">
        <v>1</v>
      </c>
    </row>
    <row r="162" spans="1:36" x14ac:dyDescent="0.2">
      <c r="A162">
        <v>161</v>
      </c>
      <c r="B162">
        <v>761</v>
      </c>
      <c r="C162">
        <v>165</v>
      </c>
      <c r="D162">
        <v>0.42261809215297602</v>
      </c>
      <c r="E162">
        <v>7.6853173144810096</v>
      </c>
      <c r="F162">
        <v>0.39421573906897001</v>
      </c>
      <c r="G162">
        <v>-168.58018211451349</v>
      </c>
      <c r="H162">
        <v>-96.823728213274919</v>
      </c>
      <c r="I162">
        <v>69.391144332774203</v>
      </c>
      <c r="J162">
        <v>30.6253431325684</v>
      </c>
      <c r="K162">
        <v>19.495206692233001</v>
      </c>
      <c r="L162">
        <v>1.7208379433461551E-3</v>
      </c>
      <c r="M162">
        <v>4.8052790100982146E-4</v>
      </c>
      <c r="N162" s="1">
        <v>-1.39377573322397E-6</v>
      </c>
      <c r="O162" s="1">
        <v>1.4307367031250701E-5</v>
      </c>
      <c r="P162" s="1">
        <v>-2.6860656714829801E-5</v>
      </c>
      <c r="AE162">
        <v>100</v>
      </c>
      <c r="AJ162">
        <v>1</v>
      </c>
    </row>
    <row r="163" spans="1:36" x14ac:dyDescent="0.2">
      <c r="A163">
        <v>162</v>
      </c>
      <c r="B163">
        <v>760</v>
      </c>
      <c r="C163">
        <v>165</v>
      </c>
      <c r="D163">
        <v>0.42199148235977502</v>
      </c>
      <c r="E163">
        <v>8.2424722854170192</v>
      </c>
      <c r="F163">
        <v>0.39489530318156502</v>
      </c>
      <c r="G163">
        <v>-180.7271696998086</v>
      </c>
      <c r="H163">
        <v>-103.87592549140689</v>
      </c>
      <c r="I163">
        <v>74.389934721182001</v>
      </c>
      <c r="J163">
        <v>32.877792610183398</v>
      </c>
      <c r="K163">
        <v>20.8725508229893</v>
      </c>
      <c r="L163">
        <v>1.7238697217054071E-3</v>
      </c>
      <c r="M163">
        <v>4.7997482112403371E-4</v>
      </c>
      <c r="N163" s="1">
        <v>-1.23196054166791E-6</v>
      </c>
      <c r="O163" s="1">
        <v>1.5310574226814299E-5</v>
      </c>
      <c r="P163" s="1">
        <v>-2.8860075656003999E-5</v>
      </c>
      <c r="AE163">
        <v>100</v>
      </c>
      <c r="AJ163">
        <v>1</v>
      </c>
    </row>
    <row r="164" spans="1:36" x14ac:dyDescent="0.2">
      <c r="A164">
        <v>163</v>
      </c>
      <c r="B164">
        <v>759</v>
      </c>
      <c r="C164">
        <v>165</v>
      </c>
      <c r="D164">
        <v>0.42136365838299</v>
      </c>
      <c r="E164">
        <v>9.6377367231823801</v>
      </c>
      <c r="F164">
        <v>0.39557723764043701</v>
      </c>
      <c r="G164">
        <v>-211.23323474405547</v>
      </c>
      <c r="H164">
        <v>-121.49823622773241</v>
      </c>
      <c r="I164">
        <v>86.945224842417105</v>
      </c>
      <c r="J164">
        <v>38.481017992994701</v>
      </c>
      <c r="K164">
        <v>24.363729269838899</v>
      </c>
      <c r="L164">
        <v>1.7268993817286631E-3</v>
      </c>
      <c r="M164">
        <v>4.7941735831544464E-4</v>
      </c>
      <c r="N164" s="1">
        <v>-1.1294520158223801E-6</v>
      </c>
      <c r="O164" s="1">
        <v>1.7862358839334599E-5</v>
      </c>
      <c r="P164" s="1">
        <v>-3.3806355060917199E-5</v>
      </c>
      <c r="AE164">
        <v>100</v>
      </c>
      <c r="AJ164">
        <v>1</v>
      </c>
    </row>
    <row r="165" spans="1:36" x14ac:dyDescent="0.2">
      <c r="A165">
        <v>164</v>
      </c>
      <c r="B165">
        <v>758</v>
      </c>
      <c r="C165">
        <v>165</v>
      </c>
      <c r="D165">
        <v>0.42073461669010398</v>
      </c>
      <c r="E165">
        <v>10.1682324299756</v>
      </c>
      <c r="F165">
        <v>0.396261549799999</v>
      </c>
      <c r="G165">
        <v>-222.76856070007895</v>
      </c>
      <c r="H165">
        <v>-128.22655541121972</v>
      </c>
      <c r="I165">
        <v>91.691629904336494</v>
      </c>
      <c r="J165">
        <v>40.639056970708403</v>
      </c>
      <c r="K165">
        <v>25.660406454039499</v>
      </c>
      <c r="L165">
        <v>1.7299267384512393E-3</v>
      </c>
      <c r="M165">
        <v>4.7885548508087568E-4</v>
      </c>
      <c r="N165" s="1">
        <v>-8.5952838539165696E-7</v>
      </c>
      <c r="O165" s="1">
        <v>1.88032365382841E-5</v>
      </c>
      <c r="P165" s="1">
        <v>-3.5731410418834003E-5</v>
      </c>
      <c r="AE165">
        <v>100</v>
      </c>
      <c r="AJ165">
        <v>1</v>
      </c>
    </row>
    <row r="166" spans="1:36" x14ac:dyDescent="0.2">
      <c r="A166">
        <v>165</v>
      </c>
      <c r="B166">
        <v>757</v>
      </c>
      <c r="C166">
        <v>165</v>
      </c>
      <c r="D166">
        <v>0.42010435373489502</v>
      </c>
      <c r="E166">
        <v>10.394779263693399</v>
      </c>
      <c r="F166">
        <v>0.39694824697054398</v>
      </c>
      <c r="G166">
        <v>-227.63809954432392</v>
      </c>
      <c r="H166">
        <v>-131.12499051830642</v>
      </c>
      <c r="I166">
        <v>93.694178087681095</v>
      </c>
      <c r="J166">
        <v>41.585353486824701</v>
      </c>
      <c r="K166">
        <v>26.186736792579499</v>
      </c>
      <c r="L166">
        <v>1.7329516044751504E-3</v>
      </c>
      <c r="M166">
        <v>4.7828917399532375E-4</v>
      </c>
      <c r="N166" s="1">
        <v>-5.3516095291136097E-7</v>
      </c>
      <c r="O166" s="1">
        <v>1.9178708596588098E-5</v>
      </c>
      <c r="P166" s="1">
        <v>-3.6593113537480599E-5</v>
      </c>
      <c r="AE166">
        <v>100</v>
      </c>
      <c r="AJ166">
        <v>1</v>
      </c>
    </row>
    <row r="167" spans="1:36" x14ac:dyDescent="0.2">
      <c r="A167">
        <v>166</v>
      </c>
      <c r="B167">
        <v>778</v>
      </c>
      <c r="C167">
        <v>150</v>
      </c>
      <c r="D167">
        <v>0.44878514008467002</v>
      </c>
      <c r="E167">
        <v>6.1488867636754199</v>
      </c>
      <c r="F167">
        <v>0.353769771240103</v>
      </c>
      <c r="G167">
        <v>-136.07559966122008</v>
      </c>
      <c r="H167">
        <v>-76.855618292516951</v>
      </c>
      <c r="I167">
        <v>56.341625970883399</v>
      </c>
      <c r="J167">
        <v>23.985404828943601</v>
      </c>
      <c r="K167">
        <v>17.381040618934499</v>
      </c>
      <c r="L167">
        <v>1.7376523710728438E-3</v>
      </c>
      <c r="M167">
        <v>5.7287218953501972E-4</v>
      </c>
      <c r="N167" s="1">
        <v>-1.0984826377370699E-5</v>
      </c>
      <c r="O167" s="1">
        <v>1.6473829397990699E-5</v>
      </c>
      <c r="P167" s="1">
        <v>-2.4695517900200302E-5</v>
      </c>
      <c r="AE167">
        <v>100</v>
      </c>
      <c r="AJ167">
        <v>1</v>
      </c>
    </row>
    <row r="168" spans="1:36" x14ac:dyDescent="0.2">
      <c r="A168">
        <v>167</v>
      </c>
      <c r="B168">
        <v>777</v>
      </c>
      <c r="C168">
        <v>150</v>
      </c>
      <c r="D168">
        <v>0.44819359139171</v>
      </c>
      <c r="E168">
        <v>6.1488680678728898</v>
      </c>
      <c r="F168">
        <v>0.35438568187631497</v>
      </c>
      <c r="G168">
        <v>-136.01885588299072</v>
      </c>
      <c r="H168">
        <v>-76.87938277461113</v>
      </c>
      <c r="I168">
        <v>56.318613405962701</v>
      </c>
      <c r="J168">
        <v>24.011008835093001</v>
      </c>
      <c r="K168">
        <v>17.3507801876118</v>
      </c>
      <c r="L168">
        <v>1.7413067193394398E-3</v>
      </c>
      <c r="M168">
        <v>5.7244470538355817E-4</v>
      </c>
      <c r="N168" s="1">
        <v>-1.0845814237265299E-5</v>
      </c>
      <c r="O168" s="1">
        <v>1.6445699504445001E-5</v>
      </c>
      <c r="P168" s="1">
        <v>-2.47491295420997E-5</v>
      </c>
      <c r="AE168">
        <v>100</v>
      </c>
      <c r="AJ168">
        <v>1</v>
      </c>
    </row>
    <row r="169" spans="1:36" x14ac:dyDescent="0.2">
      <c r="A169">
        <v>168</v>
      </c>
      <c r="B169">
        <v>776</v>
      </c>
      <c r="C169">
        <v>150</v>
      </c>
      <c r="D169">
        <v>0.447600915026452</v>
      </c>
      <c r="E169">
        <v>6.1753926367424796</v>
      </c>
      <c r="F169">
        <v>0.35500396313718702</v>
      </c>
      <c r="G169">
        <v>-136.54905470491565</v>
      </c>
      <c r="H169">
        <v>-77.235147343892564</v>
      </c>
      <c r="I169">
        <v>56.538570557024599</v>
      </c>
      <c r="J169">
        <v>24.1404621301022</v>
      </c>
      <c r="K169">
        <v>17.395278019349998</v>
      </c>
      <c r="L169">
        <v>1.7449668098908988E-3</v>
      </c>
      <c r="M169">
        <v>5.7201298255247102E-4</v>
      </c>
      <c r="N169" s="1">
        <v>-1.07504764502337E-5</v>
      </c>
      <c r="O169" s="1">
        <v>1.6488332913400601E-5</v>
      </c>
      <c r="P169" s="1">
        <v>-2.4910023436169699E-5</v>
      </c>
      <c r="AE169">
        <v>100</v>
      </c>
      <c r="AJ169">
        <v>1</v>
      </c>
    </row>
    <row r="170" spans="1:36" x14ac:dyDescent="0.2">
      <c r="A170">
        <v>169</v>
      </c>
      <c r="B170">
        <v>775</v>
      </c>
      <c r="C170">
        <v>150</v>
      </c>
      <c r="D170">
        <v>0.44700710776129698</v>
      </c>
      <c r="E170">
        <v>6.2025405424626499</v>
      </c>
      <c r="F170">
        <v>0.35562462570499698</v>
      </c>
      <c r="G170">
        <v>-137.09256824190322</v>
      </c>
      <c r="H170">
        <v>-77.598943672760129</v>
      </c>
      <c r="I170">
        <v>56.763988020532402</v>
      </c>
      <c r="J170">
        <v>24.2726655656909</v>
      </c>
      <c r="K170">
        <v>17.4412571406342</v>
      </c>
      <c r="L170">
        <v>1.7486325179944698E-3</v>
      </c>
      <c r="M170">
        <v>5.7157698103235156E-4</v>
      </c>
      <c r="N170" s="1">
        <v>-1.0652402965299901E-5</v>
      </c>
      <c r="O170" s="1">
        <v>1.6532274792399302E-5</v>
      </c>
      <c r="P170" s="1">
        <v>-2.50741156610364E-5</v>
      </c>
      <c r="AE170">
        <v>100</v>
      </c>
      <c r="AJ170">
        <v>1</v>
      </c>
    </row>
    <row r="171" spans="1:36" x14ac:dyDescent="0.2">
      <c r="A171">
        <v>170</v>
      </c>
      <c r="B171">
        <v>774</v>
      </c>
      <c r="C171">
        <v>150</v>
      </c>
      <c r="D171">
        <v>0.44641216635630598</v>
      </c>
      <c r="E171">
        <v>6.2297189532216599</v>
      </c>
      <c r="F171">
        <v>0.35624768027248299</v>
      </c>
      <c r="G171">
        <v>-137.63628199889982</v>
      </c>
      <c r="H171">
        <v>-77.963360365343775</v>
      </c>
      <c r="I171">
        <v>56.989434809998201</v>
      </c>
      <c r="J171">
        <v>24.405305294912999</v>
      </c>
      <c r="K171">
        <v>17.4870442621738</v>
      </c>
      <c r="L171">
        <v>1.7523037160198551E-3</v>
      </c>
      <c r="M171">
        <v>5.7113666056184315E-4</v>
      </c>
      <c r="N171" s="1">
        <v>-1.05504828582917E-5</v>
      </c>
      <c r="O171" s="1">
        <v>1.6575936348117301E-5</v>
      </c>
      <c r="P171" s="1">
        <v>-2.52390216271091E-5</v>
      </c>
      <c r="AE171">
        <v>100</v>
      </c>
      <c r="AJ171">
        <v>1</v>
      </c>
    </row>
    <row r="172" spans="1:36" x14ac:dyDescent="0.2">
      <c r="A172">
        <v>171</v>
      </c>
      <c r="B172">
        <v>773</v>
      </c>
      <c r="C172">
        <v>150</v>
      </c>
      <c r="D172">
        <v>0.44581608755914398</v>
      </c>
      <c r="E172">
        <v>6.2569144257617602</v>
      </c>
      <c r="F172">
        <v>0.35687313754174299</v>
      </c>
      <c r="G172">
        <v>-138.17989860485702</v>
      </c>
      <c r="H172">
        <v>-78.328229920361821</v>
      </c>
      <c r="I172">
        <v>57.214786861490303</v>
      </c>
      <c r="J172">
        <v>24.538329704529598</v>
      </c>
      <c r="K172">
        <v>17.532601273554501</v>
      </c>
      <c r="L172">
        <v>1.7559802734019516E-3</v>
      </c>
      <c r="M172">
        <v>5.7069198063049403E-4</v>
      </c>
      <c r="N172" s="1">
        <v>-1.0444627778633701E-5</v>
      </c>
      <c r="O172" s="1">
        <v>1.66192786198728E-5</v>
      </c>
      <c r="P172" s="1">
        <v>-2.5404688174159601E-5</v>
      </c>
      <c r="AE172">
        <v>100</v>
      </c>
      <c r="AJ172">
        <v>1</v>
      </c>
    </row>
    <row r="173" spans="1:36" x14ac:dyDescent="0.2">
      <c r="A173">
        <v>172</v>
      </c>
      <c r="B173">
        <v>772</v>
      </c>
      <c r="C173">
        <v>150</v>
      </c>
      <c r="D173">
        <v>0.44521886810505501</v>
      </c>
      <c r="E173">
        <v>6.2841138087236903</v>
      </c>
      <c r="F173">
        <v>0.35750100822311298</v>
      </c>
      <c r="G173">
        <v>-138.72312762574609</v>
      </c>
      <c r="H173">
        <v>-78.693388282724882</v>
      </c>
      <c r="I173">
        <v>57.439922976444798</v>
      </c>
      <c r="J173">
        <v>24.671688076384601</v>
      </c>
      <c r="K173">
        <v>17.577891150454601</v>
      </c>
      <c r="L173">
        <v>1.7596620566039769E-3</v>
      </c>
      <c r="M173">
        <v>5.7024290048188772E-4</v>
      </c>
      <c r="N173" s="1">
        <v>-1.03347505246977E-5</v>
      </c>
      <c r="O173" s="1">
        <v>1.66622636289465E-5</v>
      </c>
      <c r="P173" s="1">
        <v>-2.55710627172521E-5</v>
      </c>
      <c r="AE173">
        <v>100</v>
      </c>
      <c r="AJ173">
        <v>1</v>
      </c>
    </row>
    <row r="174" spans="1:36" x14ac:dyDescent="0.2">
      <c r="A174">
        <v>173</v>
      </c>
      <c r="B174">
        <v>771</v>
      </c>
      <c r="C174">
        <v>150</v>
      </c>
      <c r="D174">
        <v>0.44462050471675502</v>
      </c>
      <c r="E174">
        <v>6.3113042905982004</v>
      </c>
      <c r="F174">
        <v>0.35813130303401502</v>
      </c>
      <c r="G174">
        <v>-139.26568660882498</v>
      </c>
      <c r="H174">
        <v>-79.058675449341735</v>
      </c>
      <c r="I174">
        <v>57.6647252553337</v>
      </c>
      <c r="J174">
        <v>24.8053307795306</v>
      </c>
      <c r="K174">
        <v>17.622878081670301</v>
      </c>
      <c r="L174">
        <v>1.7633489290803182E-3</v>
      </c>
      <c r="M174">
        <v>5.6978937911685359E-4</v>
      </c>
      <c r="N174" s="1">
        <v>-1.02207651488406E-5</v>
      </c>
      <c r="O174" s="1">
        <v>1.67048545007828E-5</v>
      </c>
      <c r="P174" s="1">
        <v>-2.5738093446359801E-5</v>
      </c>
      <c r="AE174">
        <v>100</v>
      </c>
      <c r="AJ174">
        <v>1</v>
      </c>
    </row>
    <row r="175" spans="1:36" x14ac:dyDescent="0.2">
      <c r="A175">
        <v>174</v>
      </c>
      <c r="B175">
        <v>770</v>
      </c>
      <c r="C175">
        <v>150</v>
      </c>
      <c r="D175">
        <v>0.44402099410439499</v>
      </c>
      <c r="E175">
        <v>6.3384734408940098</v>
      </c>
      <c r="F175">
        <v>0.35876403269776902</v>
      </c>
      <c r="G175">
        <v>-139.80730197466295</v>
      </c>
      <c r="H175">
        <v>-79.423935991064553</v>
      </c>
      <c r="I175">
        <v>57.889079468272101</v>
      </c>
      <c r="J175">
        <v>24.939209436967602</v>
      </c>
      <c r="K175">
        <v>17.667527575802598</v>
      </c>
      <c r="L175">
        <v>1.7670407512394338E-3</v>
      </c>
      <c r="M175">
        <v>5.6933137529686646E-4</v>
      </c>
      <c r="N175" s="1">
        <v>-1.01025870441732E-5</v>
      </c>
      <c r="O175" s="1">
        <v>1.67470155679039E-5</v>
      </c>
      <c r="P175" s="1">
        <v>-2.5905729500989801E-5</v>
      </c>
      <c r="AE175">
        <v>100</v>
      </c>
      <c r="AJ175">
        <v>1</v>
      </c>
    </row>
    <row r="176" spans="1:36" x14ac:dyDescent="0.2">
      <c r="A176">
        <v>175</v>
      </c>
      <c r="B176">
        <v>769</v>
      </c>
      <c r="C176">
        <v>150</v>
      </c>
      <c r="D176">
        <v>0.44342033296550898</v>
      </c>
      <c r="E176">
        <v>6.4333609895402297</v>
      </c>
      <c r="F176">
        <v>0.359399207942393</v>
      </c>
      <c r="G176">
        <v>-141.84148700320276</v>
      </c>
      <c r="H176">
        <v>-80.638246186132577</v>
      </c>
      <c r="I176">
        <v>58.731394119159397</v>
      </c>
      <c r="J176">
        <v>25.340142061072601</v>
      </c>
      <c r="K176">
        <v>17.900320444143599</v>
      </c>
      <c r="L176">
        <v>1.7707373804070829E-3</v>
      </c>
      <c r="M176">
        <v>5.6886884754770936E-4</v>
      </c>
      <c r="N176" s="1">
        <v>-1.0086355592199599E-5</v>
      </c>
      <c r="O176" s="1">
        <v>1.6967401487525899E-5</v>
      </c>
      <c r="P176" s="1">
        <v>-2.6351436371707498E-5</v>
      </c>
      <c r="AE176">
        <v>100</v>
      </c>
      <c r="AJ176">
        <v>1</v>
      </c>
    </row>
    <row r="177" spans="1:36" x14ac:dyDescent="0.2">
      <c r="A177">
        <v>176</v>
      </c>
      <c r="B177">
        <v>768</v>
      </c>
      <c r="C177">
        <v>150</v>
      </c>
      <c r="D177">
        <v>0.442818517984921</v>
      </c>
      <c r="E177">
        <v>6.5676553984563499</v>
      </c>
      <c r="F177">
        <v>0.36003683949936299</v>
      </c>
      <c r="G177">
        <v>-144.74243893661597</v>
      </c>
      <c r="H177">
        <v>-82.347427715070978</v>
      </c>
      <c r="I177">
        <v>59.9325453942892</v>
      </c>
      <c r="J177">
        <v>25.8973661507024</v>
      </c>
      <c r="K177">
        <v>18.241620517469102</v>
      </c>
      <c r="L177">
        <v>1.7744386707893424E-3</v>
      </c>
      <c r="M177">
        <v>5.6840175416322629E-4</v>
      </c>
      <c r="N177" s="1">
        <v>-1.01229867929132E-5</v>
      </c>
      <c r="O177" s="1">
        <v>1.7290512783123701E-5</v>
      </c>
      <c r="P177" s="1">
        <v>-2.6960827172067501E-5</v>
      </c>
      <c r="AE177">
        <v>100</v>
      </c>
      <c r="AJ177">
        <v>1</v>
      </c>
    </row>
    <row r="178" spans="1:36" x14ac:dyDescent="0.2">
      <c r="A178">
        <v>177</v>
      </c>
      <c r="B178">
        <v>767</v>
      </c>
      <c r="C178">
        <v>150</v>
      </c>
      <c r="D178">
        <v>0.44221554583473799</v>
      </c>
      <c r="E178">
        <v>6.7216164157676204</v>
      </c>
      <c r="F178">
        <v>0.36067693810235402</v>
      </c>
      <c r="G178">
        <v>-148.07421137162311</v>
      </c>
      <c r="H178">
        <v>-84.304360644978829</v>
      </c>
      <c r="I178">
        <v>61.3120196590029</v>
      </c>
      <c r="J178">
        <v>26.533470964007702</v>
      </c>
      <c r="K178">
        <v>18.636113667628301</v>
      </c>
      <c r="L178">
        <v>1.7781444734358753E-3</v>
      </c>
      <c r="M178">
        <v>5.679300532093252E-4</v>
      </c>
      <c r="N178" s="1">
        <v>-1.0179242151427701E-5</v>
      </c>
      <c r="O178" s="1">
        <v>1.7663904797880299E-5</v>
      </c>
      <c r="P178" s="1">
        <v>-2.7653764888530902E-5</v>
      </c>
      <c r="AE178">
        <v>100</v>
      </c>
      <c r="AJ178">
        <v>1</v>
      </c>
    </row>
    <row r="179" spans="1:36" x14ac:dyDescent="0.2">
      <c r="A179">
        <v>178</v>
      </c>
      <c r="B179">
        <v>766</v>
      </c>
      <c r="C179">
        <v>150</v>
      </c>
      <c r="D179">
        <v>0.44161141317423203</v>
      </c>
      <c r="E179">
        <v>7.3474831000308898</v>
      </c>
      <c r="F179">
        <v>0.36131951448594002</v>
      </c>
      <c r="G179">
        <v>-161.79476826478654</v>
      </c>
      <c r="H179">
        <v>-92.183172596868232</v>
      </c>
      <c r="I179">
        <v>66.993023479704803</v>
      </c>
      <c r="J179">
        <v>29.035881141373199</v>
      </c>
      <c r="K179">
        <v>20.335140520944101</v>
      </c>
      <c r="L179">
        <v>1.78185463620327E-3</v>
      </c>
      <c r="M179">
        <v>5.6745370252813732E-4</v>
      </c>
      <c r="N179" s="1">
        <v>-1.09257733611624E-5</v>
      </c>
      <c r="O179" s="1">
        <v>1.9273579229639401E-5</v>
      </c>
      <c r="P179" s="1">
        <v>-3.0295488850719301E-5</v>
      </c>
      <c r="AE179">
        <v>100</v>
      </c>
      <c r="AJ179">
        <v>1</v>
      </c>
    </row>
    <row r="180" spans="1:36" x14ac:dyDescent="0.2">
      <c r="A180">
        <v>179</v>
      </c>
      <c r="B180">
        <v>765</v>
      </c>
      <c r="C180">
        <v>150</v>
      </c>
      <c r="D180">
        <v>0.44100611664981298</v>
      </c>
      <c r="E180">
        <v>8.0081172642856906</v>
      </c>
      <c r="F180">
        <v>0.36196457938427801</v>
      </c>
      <c r="G180">
        <v>-176.26921809144145</v>
      </c>
      <c r="H180">
        <v>-100.50330110918331</v>
      </c>
      <c r="I180">
        <v>72.986080738536302</v>
      </c>
      <c r="J180">
        <v>31.681363852665498</v>
      </c>
      <c r="K180">
        <v>22.124035666439799</v>
      </c>
      <c r="L180">
        <v>1.7855690037185885E-3</v>
      </c>
      <c r="M180">
        <v>5.6697265974241641E-4</v>
      </c>
      <c r="N180" s="1">
        <v>-1.16850443196391E-5</v>
      </c>
      <c r="O180" s="1">
        <v>2.09681559799118E-5</v>
      </c>
      <c r="P180" s="1">
        <v>-3.3092509202001203E-5</v>
      </c>
      <c r="AE180">
        <v>100</v>
      </c>
      <c r="AJ180">
        <v>1</v>
      </c>
    </row>
    <row r="181" spans="1:36" x14ac:dyDescent="0.2">
      <c r="A181">
        <v>180</v>
      </c>
      <c r="B181">
        <v>764</v>
      </c>
      <c r="C181">
        <v>150</v>
      </c>
      <c r="D181">
        <v>0.44039965289495597</v>
      </c>
      <c r="E181">
        <v>9.0197628265676002</v>
      </c>
      <c r="F181">
        <v>0.36261214352975601</v>
      </c>
      <c r="G181">
        <v>-198.45468153700338</v>
      </c>
      <c r="H181">
        <v>-113.23533672265719</v>
      </c>
      <c r="I181">
        <v>82.1718232430337</v>
      </c>
      <c r="J181">
        <v>35.722886040873902</v>
      </c>
      <c r="K181">
        <v>24.874409165581099</v>
      </c>
      <c r="L181">
        <v>1.7892874173430719E-3</v>
      </c>
      <c r="M181">
        <v>5.6648688226013013E-4</v>
      </c>
      <c r="N181" s="1">
        <v>-1.29056771135376E-5</v>
      </c>
      <c r="O181" s="1">
        <v>2.3573613352106802E-5</v>
      </c>
      <c r="P181" s="1">
        <v>-3.7355565117668499E-5</v>
      </c>
      <c r="AE181">
        <v>100</v>
      </c>
      <c r="AJ181">
        <v>1</v>
      </c>
    </row>
    <row r="182" spans="1:36" x14ac:dyDescent="0.2">
      <c r="A182">
        <v>181</v>
      </c>
      <c r="B182">
        <v>763</v>
      </c>
      <c r="C182">
        <v>150</v>
      </c>
      <c r="D182">
        <v>0.43979201853014099</v>
      </c>
      <c r="E182">
        <v>9.7586891178133204</v>
      </c>
      <c r="F182">
        <v>0.36326221765161398</v>
      </c>
      <c r="G182">
        <v>-214.62380521709434</v>
      </c>
      <c r="H182">
        <v>-122.55058921593591</v>
      </c>
      <c r="I182">
        <v>88.866284343312998</v>
      </c>
      <c r="J182">
        <v>38.692055941649301</v>
      </c>
      <c r="K182">
        <v>26.864035519301801</v>
      </c>
      <c r="L182">
        <v>1.7930097151359567E-3</v>
      </c>
      <c r="M182">
        <v>5.6599632727922827E-4</v>
      </c>
      <c r="N182" s="1">
        <v>-1.36818862140458E-5</v>
      </c>
      <c r="O182" s="1">
        <v>2.5457682542500499E-5</v>
      </c>
      <c r="P182" s="1">
        <v>-4.0505457431494802E-5</v>
      </c>
      <c r="AE182">
        <v>100</v>
      </c>
      <c r="AJ182">
        <v>1</v>
      </c>
    </row>
    <row r="183" spans="1:36" x14ac:dyDescent="0.2">
      <c r="A183">
        <v>182</v>
      </c>
      <c r="B183">
        <v>762</v>
      </c>
      <c r="C183">
        <v>150</v>
      </c>
      <c r="D183">
        <v>0.439183210162781</v>
      </c>
      <c r="E183">
        <v>10.211680582182</v>
      </c>
      <c r="F183">
        <v>0.363914812474528</v>
      </c>
      <c r="G183">
        <v>-224.49351900090824</v>
      </c>
      <c r="H183">
        <v>-128.2798115925055</v>
      </c>
      <c r="I183">
        <v>92.952278567454798</v>
      </c>
      <c r="J183">
        <v>40.532870759610397</v>
      </c>
      <c r="K183">
        <v>28.060634610460699</v>
      </c>
      <c r="L183">
        <v>1.7967357318186277E-3</v>
      </c>
      <c r="M183">
        <v>5.6550095179265546E-4</v>
      </c>
      <c r="N183" s="1">
        <v>-1.40179959681569E-5</v>
      </c>
      <c r="O183" s="1">
        <v>2.6589857363281799E-5</v>
      </c>
      <c r="P183" s="1">
        <v>-4.2479757031654003E-5</v>
      </c>
      <c r="AE183">
        <v>100</v>
      </c>
      <c r="AJ183">
        <v>1</v>
      </c>
    </row>
    <row r="184" spans="1:36" x14ac:dyDescent="0.2">
      <c r="A184">
        <v>183</v>
      </c>
      <c r="B184">
        <v>761</v>
      </c>
      <c r="C184">
        <v>150</v>
      </c>
      <c r="D184">
        <v>0.43857322438717999</v>
      </c>
      <c r="E184">
        <v>10.4130816806473</v>
      </c>
      <c r="F184">
        <v>0.36456993871718202</v>
      </c>
      <c r="G184">
        <v>-228.82635386690907</v>
      </c>
      <c r="H184">
        <v>-130.8511807668923</v>
      </c>
      <c r="I184">
        <v>94.745570859924499</v>
      </c>
      <c r="J184">
        <v>41.3780608791661</v>
      </c>
      <c r="K184">
        <v>28.562644844739602</v>
      </c>
      <c r="L184">
        <v>1.8004652987390155E-3</v>
      </c>
      <c r="M184">
        <v>5.650007125935926E-4</v>
      </c>
      <c r="N184" s="1">
        <v>-1.39845473868327E-5</v>
      </c>
      <c r="O184" s="1">
        <v>2.7063530686288999E-5</v>
      </c>
      <c r="P184" s="1">
        <v>-4.3413782984063198E-5</v>
      </c>
      <c r="AE184">
        <v>100</v>
      </c>
      <c r="AJ184">
        <v>1</v>
      </c>
    </row>
    <row r="185" spans="1:36" x14ac:dyDescent="0.2">
      <c r="A185">
        <v>184</v>
      </c>
      <c r="B185">
        <v>785</v>
      </c>
      <c r="C185">
        <v>135</v>
      </c>
      <c r="D185">
        <v>0.46848792704248099</v>
      </c>
      <c r="E185">
        <v>6.4212444342187798</v>
      </c>
      <c r="F185">
        <v>0.31822304734854601</v>
      </c>
      <c r="G185">
        <v>-142.8038889737517</v>
      </c>
      <c r="H185">
        <v>-79.842405615513968</v>
      </c>
      <c r="I185">
        <v>59.504945412855001</v>
      </c>
      <c r="J185">
        <v>24.5948404072332</v>
      </c>
      <c r="K185">
        <v>20.1784392668004</v>
      </c>
      <c r="L185">
        <v>1.7646164406930765E-3</v>
      </c>
      <c r="M185">
        <v>6.7890902519569243E-4</v>
      </c>
      <c r="N185" s="1">
        <v>-2.17263509594065E-5</v>
      </c>
      <c r="O185" s="1">
        <v>2.47464063150033E-5</v>
      </c>
      <c r="P185" s="1">
        <v>-3.0079687212391899E-5</v>
      </c>
      <c r="AE185">
        <v>100</v>
      </c>
      <c r="AJ185">
        <v>1</v>
      </c>
    </row>
    <row r="186" spans="1:36" x14ac:dyDescent="0.2">
      <c r="A186">
        <v>185</v>
      </c>
      <c r="B186">
        <v>784</v>
      </c>
      <c r="C186">
        <v>135</v>
      </c>
      <c r="D186">
        <v>0.467918932980182</v>
      </c>
      <c r="E186">
        <v>6.4335874651410601</v>
      </c>
      <c r="F186">
        <v>0.31878575334848802</v>
      </c>
      <c r="G186">
        <v>-143.01878148895798</v>
      </c>
      <c r="H186">
        <v>-80.020536286922379</v>
      </c>
      <c r="I186">
        <v>59.596014658138103</v>
      </c>
      <c r="J186">
        <v>24.670246773086301</v>
      </c>
      <c r="K186">
        <v>20.181540101975699</v>
      </c>
      <c r="L186">
        <v>1.7688134784889513E-3</v>
      </c>
      <c r="M186">
        <v>6.7861446625114492E-4</v>
      </c>
      <c r="N186" s="1">
        <v>-2.1690810759724399E-5</v>
      </c>
      <c r="O186" s="1">
        <v>2.47598182669938E-5</v>
      </c>
      <c r="P186" s="1">
        <v>-3.0207676248396301E-5</v>
      </c>
      <c r="AE186">
        <v>100</v>
      </c>
      <c r="AJ186">
        <v>1</v>
      </c>
    </row>
    <row r="187" spans="1:36" x14ac:dyDescent="0.2">
      <c r="A187">
        <v>186</v>
      </c>
      <c r="B187">
        <v>783</v>
      </c>
      <c r="C187">
        <v>135</v>
      </c>
      <c r="D187">
        <v>0.46734886143066801</v>
      </c>
      <c r="E187">
        <v>6.45794337869218</v>
      </c>
      <c r="F187">
        <v>0.31935079675014399</v>
      </c>
      <c r="G187">
        <v>-143.50040403816348</v>
      </c>
      <c r="H187">
        <v>-80.34825134703317</v>
      </c>
      <c r="I187">
        <v>59.798180488467302</v>
      </c>
      <c r="J187">
        <v>24.792009497227198</v>
      </c>
      <c r="K187">
        <v>20.22209884682</v>
      </c>
      <c r="L187">
        <v>1.7730233971355682E-3</v>
      </c>
      <c r="M187">
        <v>6.7831610004687214E-4</v>
      </c>
      <c r="N187" s="1">
        <v>-2.1692885914351601E-5</v>
      </c>
      <c r="O187" s="1">
        <v>2.4819163027458701E-5</v>
      </c>
      <c r="P187" s="1">
        <v>-3.0392913078550401E-5</v>
      </c>
      <c r="AE187">
        <v>100</v>
      </c>
      <c r="AJ187">
        <v>1</v>
      </c>
    </row>
    <row r="188" spans="1:36" x14ac:dyDescent="0.2">
      <c r="A188">
        <v>187</v>
      </c>
      <c r="B188">
        <v>782</v>
      </c>
      <c r="C188">
        <v>135</v>
      </c>
      <c r="D188">
        <v>0.466777709330429</v>
      </c>
      <c r="E188">
        <v>6.4823240289502602</v>
      </c>
      <c r="F188">
        <v>0.319918190564426</v>
      </c>
      <c r="G188">
        <v>-143.98214844719126</v>
      </c>
      <c r="H188">
        <v>-80.676489708395465</v>
      </c>
      <c r="I188">
        <v>60.0003490713788</v>
      </c>
      <c r="J188">
        <v>24.914213184811199</v>
      </c>
      <c r="K188">
        <v>20.262442774865601</v>
      </c>
      <c r="L188">
        <v>1.777246149703259E-3</v>
      </c>
      <c r="M188">
        <v>6.7801388064372644E-4</v>
      </c>
      <c r="N188" s="1">
        <v>-2.1691945439556101E-5</v>
      </c>
      <c r="O188" s="1">
        <v>2.4878237229387601E-5</v>
      </c>
      <c r="P188" s="1">
        <v>-3.0579247923869903E-5</v>
      </c>
      <c r="AE188">
        <v>100</v>
      </c>
      <c r="AJ188">
        <v>1</v>
      </c>
    </row>
    <row r="189" spans="1:36" x14ac:dyDescent="0.2">
      <c r="A189">
        <v>188</v>
      </c>
      <c r="B189">
        <v>781</v>
      </c>
      <c r="C189">
        <v>135</v>
      </c>
      <c r="D189">
        <v>0.46620547360432502</v>
      </c>
      <c r="E189">
        <v>6.50671794864102</v>
      </c>
      <c r="F189">
        <v>0.32048794786150298</v>
      </c>
      <c r="G189">
        <v>-144.46375974525316</v>
      </c>
      <c r="H189">
        <v>-81.005109349232029</v>
      </c>
      <c r="I189">
        <v>60.202413261480402</v>
      </c>
      <c r="J189">
        <v>25.036815660193099</v>
      </c>
      <c r="K189">
        <v>20.302535530767699</v>
      </c>
      <c r="L189">
        <v>1.7814816867163159E-3</v>
      </c>
      <c r="M189">
        <v>6.7770776159018604E-4</v>
      </c>
      <c r="N189" s="1">
        <v>-2.1687881001123898E-5</v>
      </c>
      <c r="O189" s="1">
        <v>2.4936993824893399E-5</v>
      </c>
      <c r="P189" s="1">
        <v>-3.07666340529336E-5</v>
      </c>
      <c r="AE189">
        <v>100</v>
      </c>
      <c r="AJ189">
        <v>1</v>
      </c>
    </row>
    <row r="190" spans="1:36" x14ac:dyDescent="0.2">
      <c r="A190">
        <v>189</v>
      </c>
      <c r="B190">
        <v>780</v>
      </c>
      <c r="C190">
        <v>135</v>
      </c>
      <c r="D190">
        <v>0.46563215116555001</v>
      </c>
      <c r="E190">
        <v>6.5311139060765004</v>
      </c>
      <c r="F190">
        <v>0.32106008177037698</v>
      </c>
      <c r="G190">
        <v>-144.94498861574516</v>
      </c>
      <c r="H190">
        <v>-81.333971007764802</v>
      </c>
      <c r="I190">
        <v>60.404268254677604</v>
      </c>
      <c r="J190">
        <v>25.1597754426679</v>
      </c>
      <c r="K190">
        <v>20.342341751309799</v>
      </c>
      <c r="L190">
        <v>1.7857299560989914E-3</v>
      </c>
      <c r="M190">
        <v>6.7739769591905431E-4</v>
      </c>
      <c r="N190" s="1">
        <v>-2.1680584506291E-5</v>
      </c>
      <c r="O190" s="1">
        <v>2.49953868635522E-5</v>
      </c>
      <c r="P190" s="1">
        <v>-3.0955025315439101E-5</v>
      </c>
      <c r="AE190">
        <v>100</v>
      </c>
      <c r="AJ190">
        <v>1</v>
      </c>
    </row>
    <row r="191" spans="1:36" x14ac:dyDescent="0.2">
      <c r="A191">
        <v>190</v>
      </c>
      <c r="B191">
        <v>779</v>
      </c>
      <c r="C191">
        <v>135</v>
      </c>
      <c r="D191">
        <v>0.46505773891555402</v>
      </c>
      <c r="E191">
        <v>6.5555009450208699</v>
      </c>
      <c r="F191">
        <v>0.32163460547842998</v>
      </c>
      <c r="G191">
        <v>-145.42559226931718</v>
      </c>
      <c r="H191">
        <v>-81.662938682852811</v>
      </c>
      <c r="I191">
        <v>60.605811953294598</v>
      </c>
      <c r="J191">
        <v>25.28305190256</v>
      </c>
      <c r="K191">
        <v>20.381827183270801</v>
      </c>
      <c r="L191">
        <v>1.7899909031205664E-3</v>
      </c>
      <c r="M191">
        <v>6.7708363614413941E-4</v>
      </c>
      <c r="N191" s="1">
        <v>-2.1669948254117899E-5</v>
      </c>
      <c r="O191" s="1">
        <v>2.5053371639445301E-5</v>
      </c>
      <c r="P191" s="1">
        <v>-3.1144376333347703E-5</v>
      </c>
      <c r="AE191">
        <v>100</v>
      </c>
      <c r="AJ191">
        <v>1</v>
      </c>
    </row>
    <row r="192" spans="1:36" x14ac:dyDescent="0.2">
      <c r="A192">
        <v>191</v>
      </c>
      <c r="B192">
        <v>778</v>
      </c>
      <c r="C192">
        <v>135</v>
      </c>
      <c r="D192">
        <v>0.464482233743996</v>
      </c>
      <c r="E192">
        <v>6.5798684188778802</v>
      </c>
      <c r="F192">
        <v>0.32221153223094401</v>
      </c>
      <c r="G192">
        <v>-145.90533518882557</v>
      </c>
      <c r="H192">
        <v>-81.991880064803652</v>
      </c>
      <c r="I192">
        <v>60.806945277820802</v>
      </c>
      <c r="J192">
        <v>25.406605396510798</v>
      </c>
      <c r="K192">
        <v>20.420958782324899</v>
      </c>
      <c r="L192">
        <v>1.79426447033986E-3</v>
      </c>
      <c r="M192">
        <v>6.7676553425711106E-4</v>
      </c>
      <c r="N192" s="1">
        <v>-2.1655865064011599E-5</v>
      </c>
      <c r="O192" s="1">
        <v>2.5110904815223399E-5</v>
      </c>
      <c r="P192" s="1">
        <v>-3.1334642667766703E-5</v>
      </c>
      <c r="AE192">
        <v>100</v>
      </c>
      <c r="AJ192">
        <v>1</v>
      </c>
    </row>
    <row r="193" spans="1:36" x14ac:dyDescent="0.2">
      <c r="A193">
        <v>192</v>
      </c>
      <c r="B193">
        <v>777</v>
      </c>
      <c r="C193">
        <v>135</v>
      </c>
      <c r="D193">
        <v>0.46390563252868899</v>
      </c>
      <c r="E193">
        <v>6.6042060199950798</v>
      </c>
      <c r="F193">
        <v>0.32279087533060502</v>
      </c>
      <c r="G193">
        <v>-146.3839897641686</v>
      </c>
      <c r="H193">
        <v>-82.320666906125325</v>
      </c>
      <c r="I193">
        <v>61.007572432769201</v>
      </c>
      <c r="J193">
        <v>25.530397384892701</v>
      </c>
      <c r="K193">
        <v>20.4597047956544</v>
      </c>
      <c r="L193">
        <v>1.7985505975489432E-3</v>
      </c>
      <c r="M193">
        <v>6.7644334172440907E-4</v>
      </c>
      <c r="N193" s="1">
        <v>-2.1638228385179399E-5</v>
      </c>
      <c r="O193" s="1">
        <v>2.5167944526419502E-5</v>
      </c>
      <c r="P193" s="1">
        <v>-3.1525780964973003E-5</v>
      </c>
      <c r="AE193">
        <v>100</v>
      </c>
      <c r="AJ193">
        <v>1</v>
      </c>
    </row>
    <row r="194" spans="1:36" x14ac:dyDescent="0.2">
      <c r="A194">
        <v>193</v>
      </c>
      <c r="B194">
        <v>776</v>
      </c>
      <c r="C194">
        <v>135</v>
      </c>
      <c r="D194">
        <v>0.46332793213554102</v>
      </c>
      <c r="E194">
        <v>6.6285038027226104</v>
      </c>
      <c r="F194">
        <v>0.32337264813697397</v>
      </c>
      <c r="G194">
        <v>-146.861336787135</v>
      </c>
      <c r="H194">
        <v>-82.649175315094951</v>
      </c>
      <c r="I194">
        <v>61.207601114190197</v>
      </c>
      <c r="J194">
        <v>25.654390525915201</v>
      </c>
      <c r="K194">
        <v>20.498034824253001</v>
      </c>
      <c r="L194">
        <v>1.8028492217158315E-3</v>
      </c>
      <c r="M194">
        <v>6.7611700948418856E-4</v>
      </c>
      <c r="N194" s="1">
        <v>-2.1616932382767901E-5</v>
      </c>
      <c r="O194" s="1">
        <v>2.52244504609979E-5</v>
      </c>
      <c r="P194" s="1">
        <v>-3.1717749074722397E-5</v>
      </c>
      <c r="AE194">
        <v>100</v>
      </c>
      <c r="AJ194">
        <v>1</v>
      </c>
    </row>
    <row r="195" spans="1:36" x14ac:dyDescent="0.2">
      <c r="A195">
        <v>194</v>
      </c>
      <c r="B195">
        <v>775</v>
      </c>
      <c r="C195">
        <v>135</v>
      </c>
      <c r="D195">
        <v>0.46274912941850099</v>
      </c>
      <c r="E195">
        <v>6.65275220119939</v>
      </c>
      <c r="F195">
        <v>0.32395686406593099</v>
      </c>
      <c r="G195">
        <v>-147.33716582822711</v>
      </c>
      <c r="H195">
        <v>-82.977285984127136</v>
      </c>
      <c r="I195">
        <v>61.406942667972402</v>
      </c>
      <c r="J195">
        <v>25.778548750028701</v>
      </c>
      <c r="K195">
        <v>20.535919868163099</v>
      </c>
      <c r="L195">
        <v>1.8071602769268503E-3</v>
      </c>
      <c r="M195">
        <v>6.7578648794347604E-4</v>
      </c>
      <c r="N195" s="1">
        <v>-2.1591872004308602E-5</v>
      </c>
      <c r="O195" s="1">
        <v>2.52803839180697E-5</v>
      </c>
      <c r="P195" s="1">
        <v>-3.1910506145049502E-5</v>
      </c>
      <c r="AE195">
        <v>100</v>
      </c>
      <c r="AJ195">
        <v>1</v>
      </c>
    </row>
    <row r="196" spans="1:36" x14ac:dyDescent="0.2">
      <c r="A196">
        <v>195</v>
      </c>
      <c r="B196">
        <v>774</v>
      </c>
      <c r="C196">
        <v>135</v>
      </c>
      <c r="D196">
        <v>0.46216922121950399</v>
      </c>
      <c r="E196">
        <v>6.7632860500627103</v>
      </c>
      <c r="F196">
        <v>0.32454353658910101</v>
      </c>
      <c r="G196">
        <v>-149.72272206861373</v>
      </c>
      <c r="H196">
        <v>-84.382155590458382</v>
      </c>
      <c r="I196">
        <v>62.4021743262632</v>
      </c>
      <c r="J196">
        <v>26.237804247422702</v>
      </c>
      <c r="K196">
        <v>20.8393798907343</v>
      </c>
      <c r="L196">
        <v>1.8114836943278288E-3</v>
      </c>
      <c r="M196">
        <v>6.7545172697530762E-4</v>
      </c>
      <c r="N196" s="1">
        <v>-2.1841787880793799E-5</v>
      </c>
      <c r="O196" s="1">
        <v>2.5663340848040101E-5</v>
      </c>
      <c r="P196" s="1">
        <v>-3.2519171177063401E-5</v>
      </c>
      <c r="AE196">
        <v>100</v>
      </c>
      <c r="AJ196">
        <v>1</v>
      </c>
    </row>
    <row r="197" spans="1:36" x14ac:dyDescent="0.2">
      <c r="A197">
        <v>196</v>
      </c>
      <c r="B197">
        <v>773</v>
      </c>
      <c r="C197">
        <v>135</v>
      </c>
      <c r="D197">
        <v>0.46158820436839998</v>
      </c>
      <c r="E197">
        <v>6.8927770891146398</v>
      </c>
      <c r="F197">
        <v>0.32513267923323802</v>
      </c>
      <c r="G197">
        <v>-152.52575492101332</v>
      </c>
      <c r="H197">
        <v>-86.024506856674435</v>
      </c>
      <c r="I197">
        <v>63.571373641116701</v>
      </c>
      <c r="J197">
        <v>26.771842579826099</v>
      </c>
      <c r="K197">
        <v>21.199890165977401</v>
      </c>
      <c r="L197">
        <v>1.8158194020647094E-3</v>
      </c>
      <c r="M197">
        <v>6.7511267591603241E-4</v>
      </c>
      <c r="N197" s="1">
        <v>-2.21460007858541E-5</v>
      </c>
      <c r="O197" s="1">
        <v>2.6116787192054399E-5</v>
      </c>
      <c r="P197" s="1">
        <v>-3.3222259325093098E-5</v>
      </c>
      <c r="AE197">
        <v>100</v>
      </c>
      <c r="AJ197">
        <v>1</v>
      </c>
    </row>
    <row r="198" spans="1:36" x14ac:dyDescent="0.2">
      <c r="A198">
        <v>197</v>
      </c>
      <c r="B198">
        <v>772</v>
      </c>
      <c r="C198">
        <v>135</v>
      </c>
      <c r="D198">
        <v>0.46100607568291702</v>
      </c>
      <c r="E198">
        <v>7.0446617819763704</v>
      </c>
      <c r="F198">
        <v>0.32572430557959597</v>
      </c>
      <c r="G198">
        <v>-155.82175282192188</v>
      </c>
      <c r="H198">
        <v>-87.947464211259927</v>
      </c>
      <c r="I198">
        <v>64.946007748864105</v>
      </c>
      <c r="J198">
        <v>27.394296361377801</v>
      </c>
      <c r="K198">
        <v>21.627682249382701</v>
      </c>
      <c r="L198">
        <v>1.8201673252235082E-3</v>
      </c>
      <c r="M198">
        <v>6.7476928356274542E-4</v>
      </c>
      <c r="N198" s="1">
        <v>-2.2514331348227402E-5</v>
      </c>
      <c r="O198" s="1">
        <v>2.6653402877716601E-5</v>
      </c>
      <c r="P198" s="1">
        <v>-3.4037066815696503E-5</v>
      </c>
      <c r="AE198">
        <v>100</v>
      </c>
      <c r="AJ198">
        <v>1</v>
      </c>
    </row>
    <row r="199" spans="1:36" x14ac:dyDescent="0.2">
      <c r="A199">
        <v>198</v>
      </c>
      <c r="B199">
        <v>771</v>
      </c>
      <c r="C199">
        <v>135</v>
      </c>
      <c r="D199">
        <v>0.46042283196858502</v>
      </c>
      <c r="E199">
        <v>7.5651650083127899</v>
      </c>
      <c r="F199">
        <v>0.32631842926326499</v>
      </c>
      <c r="G199">
        <v>-167.26509808429194</v>
      </c>
      <c r="H199">
        <v>-94.475003240971958</v>
      </c>
      <c r="I199">
        <v>69.716443131055897</v>
      </c>
      <c r="J199">
        <v>29.453441714858201</v>
      </c>
      <c r="K199">
        <v>23.183382640670299</v>
      </c>
      <c r="L199">
        <v>1.824527385769339E-3</v>
      </c>
      <c r="M199">
        <v>6.7442149817079652E-4</v>
      </c>
      <c r="N199" s="1">
        <v>-2.40458567236924E-5</v>
      </c>
      <c r="O199" s="1">
        <v>2.8580827437821101E-5</v>
      </c>
      <c r="P199" s="1">
        <v>-3.6641331357611499E-5</v>
      </c>
      <c r="AE199">
        <v>100</v>
      </c>
      <c r="AJ199">
        <v>1</v>
      </c>
    </row>
    <row r="200" spans="1:36" x14ac:dyDescent="0.2">
      <c r="A200">
        <v>199</v>
      </c>
      <c r="B200">
        <v>770</v>
      </c>
      <c r="C200">
        <v>135</v>
      </c>
      <c r="D200">
        <v>0.45983847001869499</v>
      </c>
      <c r="E200">
        <v>8.1546110281687607</v>
      </c>
      <c r="F200">
        <v>0.326915063972468</v>
      </c>
      <c r="G200">
        <v>-180.22256177983951</v>
      </c>
      <c r="H200">
        <v>-101.86786770776054</v>
      </c>
      <c r="I200">
        <v>75.118018157752701</v>
      </c>
      <c r="J200">
        <v>31.786316289592101</v>
      </c>
      <c r="K200">
        <v>24.944127471762801</v>
      </c>
      <c r="L200">
        <v>1.8288995024846628E-3</v>
      </c>
      <c r="M200">
        <v>6.7406926745141335E-4</v>
      </c>
      <c r="N200" s="1">
        <v>-2.5773358304122201E-5</v>
      </c>
      <c r="O200" s="1">
        <v>3.0762409599355499E-5</v>
      </c>
      <c r="P200" s="1">
        <v>-3.9593212308778399E-5</v>
      </c>
      <c r="AE200">
        <v>100</v>
      </c>
      <c r="AJ200">
        <v>1</v>
      </c>
    </row>
    <row r="201" spans="1:36" x14ac:dyDescent="0.2">
      <c r="A201">
        <v>200</v>
      </c>
      <c r="B201">
        <v>769</v>
      </c>
      <c r="C201">
        <v>135</v>
      </c>
      <c r="D201">
        <v>0.45925298661421299</v>
      </c>
      <c r="E201">
        <v>8.9464071321258292</v>
      </c>
      <c r="F201">
        <v>0.32751422344784797</v>
      </c>
      <c r="G201">
        <v>-197.6394099656826</v>
      </c>
      <c r="H201">
        <v>-111.79392357420534</v>
      </c>
      <c r="I201">
        <v>82.378358273771099</v>
      </c>
      <c r="J201">
        <v>34.914559548178602</v>
      </c>
      <c r="K201">
        <v>27.316087337960699</v>
      </c>
      <c r="L201">
        <v>1.8332835909070234E-3</v>
      </c>
      <c r="M201">
        <v>6.7371253856949979E-4</v>
      </c>
      <c r="N201" s="1">
        <v>-2.8111438194646E-5</v>
      </c>
      <c r="O201" s="1">
        <v>3.3699484095426198E-5</v>
      </c>
      <c r="P201" s="1">
        <v>-4.35446254645397E-5</v>
      </c>
      <c r="AE201">
        <v>100</v>
      </c>
      <c r="AJ201">
        <v>1</v>
      </c>
    </row>
    <row r="202" spans="1:36" x14ac:dyDescent="0.2">
      <c r="A202">
        <v>201</v>
      </c>
      <c r="B202">
        <v>768</v>
      </c>
      <c r="C202">
        <v>135</v>
      </c>
      <c r="D202">
        <v>0.45866637852374798</v>
      </c>
      <c r="E202">
        <v>9.71685827371609</v>
      </c>
      <c r="F202">
        <v>0.32811592148170499</v>
      </c>
      <c r="G202">
        <v>-214.57036457669795</v>
      </c>
      <c r="H202">
        <v>-121.45939248127331</v>
      </c>
      <c r="I202">
        <v>89.436231742219903</v>
      </c>
      <c r="J202">
        <v>37.9670088720232</v>
      </c>
      <c r="K202">
        <v>29.614101716968499</v>
      </c>
      <c r="L202">
        <v>1.8376795632658763E-3</v>
      </c>
      <c r="M202">
        <v>6.733512581415602E-4</v>
      </c>
      <c r="N202" s="1">
        <v>-3.0349066068918799E-5</v>
      </c>
      <c r="O202" s="1">
        <v>3.6547249391581897E-5</v>
      </c>
      <c r="P202" s="1">
        <v>-4.7411524715179202E-5</v>
      </c>
      <c r="AE202">
        <v>100</v>
      </c>
      <c r="AJ202">
        <v>1</v>
      </c>
    </row>
    <row r="203" spans="1:36" x14ac:dyDescent="0.2">
      <c r="A203">
        <v>202</v>
      </c>
      <c r="B203">
        <v>767</v>
      </c>
      <c r="C203">
        <v>135</v>
      </c>
      <c r="D203">
        <v>0.45807864250348701</v>
      </c>
      <c r="E203">
        <v>10.151892194614099</v>
      </c>
      <c r="F203">
        <v>0.32872017191721598</v>
      </c>
      <c r="G203">
        <v>-224.08348318549346</v>
      </c>
      <c r="H203">
        <v>-126.93694745111993</v>
      </c>
      <c r="I203">
        <v>93.402245128572602</v>
      </c>
      <c r="J203">
        <v>39.714743033794498</v>
      </c>
      <c r="K203">
        <v>30.8830825178892</v>
      </c>
      <c r="L203">
        <v>1.8420873284186539E-3</v>
      </c>
      <c r="M203">
        <v>6.7298537223370921E-4</v>
      </c>
      <c r="N203" s="1">
        <v>-3.1511386091245099E-5</v>
      </c>
      <c r="O203" s="1">
        <v>3.8126483701539001E-5</v>
      </c>
      <c r="P203" s="1">
        <v>-4.9657050137947297E-5</v>
      </c>
      <c r="AE203">
        <v>100</v>
      </c>
      <c r="AJ203">
        <v>1</v>
      </c>
    </row>
    <row r="204" spans="1:36" x14ac:dyDescent="0.2">
      <c r="A204">
        <v>203</v>
      </c>
      <c r="B204">
        <v>766</v>
      </c>
      <c r="C204">
        <v>135</v>
      </c>
      <c r="D204">
        <v>0.45748977529712298</v>
      </c>
      <c r="E204">
        <v>10.3809311759859</v>
      </c>
      <c r="F204">
        <v>0.32932698864760901</v>
      </c>
      <c r="G204">
        <v>-229.04358794349903</v>
      </c>
      <c r="H204">
        <v>-129.84143404040839</v>
      </c>
      <c r="I204">
        <v>95.470427281308503</v>
      </c>
      <c r="J204">
        <v>40.659959851925898</v>
      </c>
      <c r="K204">
        <v>31.521653353147698</v>
      </c>
      <c r="L204">
        <v>1.8465067917861834E-3</v>
      </c>
      <c r="M204">
        <v>6.7261482635988155E-4</v>
      </c>
      <c r="N204" s="1">
        <v>-3.2016314598343002E-5</v>
      </c>
      <c r="O204" s="1">
        <v>3.89281389023137E-5</v>
      </c>
      <c r="P204" s="1">
        <v>-5.0903750683644597E-5</v>
      </c>
      <c r="AE204">
        <v>100</v>
      </c>
      <c r="AJ204">
        <v>1</v>
      </c>
    </row>
    <row r="205" spans="1:36" x14ac:dyDescent="0.2">
      <c r="A205">
        <v>204</v>
      </c>
      <c r="B205">
        <v>765</v>
      </c>
      <c r="C205">
        <v>135</v>
      </c>
      <c r="D205">
        <v>0.45689977363579698</v>
      </c>
      <c r="E205">
        <v>10.5024288745138</v>
      </c>
      <c r="F205">
        <v>0.32993638561532002</v>
      </c>
      <c r="G205">
        <v>-231.62773021261975</v>
      </c>
      <c r="H205">
        <v>-131.40224999983371</v>
      </c>
      <c r="I205">
        <v>96.548177380447001</v>
      </c>
      <c r="J205">
        <v>41.185835252743701</v>
      </c>
      <c r="K205">
        <v>31.831678264060201</v>
      </c>
      <c r="L205">
        <v>1.8509378552875198E-3</v>
      </c>
      <c r="M205">
        <v>6.7223956548022378E-4</v>
      </c>
      <c r="N205" s="1">
        <v>-3.2177339787534E-5</v>
      </c>
      <c r="O205" s="1">
        <v>3.9324322484846002E-5</v>
      </c>
      <c r="P205" s="1">
        <v>-5.1628134085523E-5</v>
      </c>
      <c r="AE205">
        <v>100</v>
      </c>
      <c r="AJ205">
        <v>1</v>
      </c>
    </row>
    <row r="206" spans="1:36" x14ac:dyDescent="0.2">
      <c r="A206">
        <v>205</v>
      </c>
      <c r="B206">
        <v>794</v>
      </c>
      <c r="C206">
        <v>120</v>
      </c>
      <c r="D206">
        <v>0.489022630370612</v>
      </c>
      <c r="E206">
        <v>6.7110871260379703</v>
      </c>
      <c r="F206">
        <v>0.28023998025739999</v>
      </c>
      <c r="G206">
        <v>-150.14987014569246</v>
      </c>
      <c r="H206">
        <v>-82.924009754914351</v>
      </c>
      <c r="I206">
        <v>62.999298024588398</v>
      </c>
      <c r="J206">
        <v>24.9854130585056</v>
      </c>
      <c r="K206">
        <v>23.947643444285902</v>
      </c>
      <c r="L206">
        <v>1.7556500261124606E-3</v>
      </c>
      <c r="M206">
        <v>8.0852558045492451E-4</v>
      </c>
      <c r="N206" s="1">
        <v>-3.4681162373758003E-5</v>
      </c>
      <c r="O206" s="1">
        <v>3.8293599411636002E-5</v>
      </c>
      <c r="P206" s="1">
        <v>-3.6547116167827901E-5</v>
      </c>
      <c r="AE206">
        <v>100</v>
      </c>
      <c r="AJ206">
        <v>1</v>
      </c>
    </row>
    <row r="207" spans="1:36" x14ac:dyDescent="0.2">
      <c r="A207">
        <v>206</v>
      </c>
      <c r="B207">
        <v>793</v>
      </c>
      <c r="C207">
        <v>120</v>
      </c>
      <c r="D207">
        <v>0.488477700136005</v>
      </c>
      <c r="E207">
        <v>6.7127454911275004</v>
      </c>
      <c r="F207">
        <v>0.28073305257001002</v>
      </c>
      <c r="G207">
        <v>-150.12397027144888</v>
      </c>
      <c r="H207">
        <v>-82.969506991495848</v>
      </c>
      <c r="I207">
        <v>62.991422149915898</v>
      </c>
      <c r="J207">
        <v>25.020497222902499</v>
      </c>
      <c r="K207">
        <v>23.911489686286298</v>
      </c>
      <c r="L207">
        <v>1.760190228985285E-3</v>
      </c>
      <c r="M207">
        <v>8.0841761997053462E-4</v>
      </c>
      <c r="N207" s="1">
        <v>-3.4710657646825802E-5</v>
      </c>
      <c r="O207" s="1">
        <v>3.8260606608322597E-5</v>
      </c>
      <c r="P207" s="1">
        <v>-3.6638585669695897E-5</v>
      </c>
      <c r="AE207">
        <v>100</v>
      </c>
      <c r="AJ207">
        <v>1</v>
      </c>
    </row>
    <row r="208" spans="1:36" x14ac:dyDescent="0.2">
      <c r="A208">
        <v>207</v>
      </c>
      <c r="B208">
        <v>792</v>
      </c>
      <c r="C208">
        <v>120</v>
      </c>
      <c r="D208">
        <v>0.48793174670234402</v>
      </c>
      <c r="E208">
        <v>6.7344134020387498</v>
      </c>
      <c r="F208">
        <v>0.28122827198497002</v>
      </c>
      <c r="G208">
        <v>-150.54536888053804</v>
      </c>
      <c r="H208">
        <v>-83.262438113178433</v>
      </c>
      <c r="I208">
        <v>63.1711820985294</v>
      </c>
      <c r="J208">
        <v>25.130429091992902</v>
      </c>
      <c r="K208">
        <v>23.946430970491601</v>
      </c>
      <c r="L208">
        <v>1.7647498461571471E-3</v>
      </c>
      <c r="M208">
        <v>8.0830698742375686E-4</v>
      </c>
      <c r="N208" s="1">
        <v>-3.4842084363106903E-5</v>
      </c>
      <c r="O208" s="1">
        <v>3.8341434722024903E-5</v>
      </c>
      <c r="P208" s="1">
        <v>-3.68401876235436E-5</v>
      </c>
      <c r="AE208">
        <v>100</v>
      </c>
      <c r="AJ208">
        <v>1</v>
      </c>
    </row>
    <row r="209" spans="1:36" x14ac:dyDescent="0.2">
      <c r="A209">
        <v>208</v>
      </c>
      <c r="B209">
        <v>791</v>
      </c>
      <c r="C209">
        <v>120</v>
      </c>
      <c r="D209">
        <v>0.48738476718508</v>
      </c>
      <c r="E209">
        <v>6.7560984776532997</v>
      </c>
      <c r="F209">
        <v>0.281725652277657</v>
      </c>
      <c r="G209">
        <v>-150.96676812740836</v>
      </c>
      <c r="H209">
        <v>-83.555772484481423</v>
      </c>
      <c r="I209">
        <v>63.350901562136698</v>
      </c>
      <c r="J209">
        <v>25.2407795314795</v>
      </c>
      <c r="K209">
        <v>23.981126400924101</v>
      </c>
      <c r="L209">
        <v>1.7693289338609813E-3</v>
      </c>
      <c r="M209">
        <v>8.0819364223634529E-4</v>
      </c>
      <c r="N209" s="1">
        <v>-3.4972073615302503E-5</v>
      </c>
      <c r="O209" s="1">
        <v>3.8422004552955898E-5</v>
      </c>
      <c r="P209" s="1">
        <v>-3.7043060342937201E-5</v>
      </c>
      <c r="AE209">
        <v>100</v>
      </c>
      <c r="AJ209">
        <v>1</v>
      </c>
    </row>
    <row r="210" spans="1:36" x14ac:dyDescent="0.2">
      <c r="A210">
        <v>209</v>
      </c>
      <c r="B210">
        <v>790</v>
      </c>
      <c r="C210">
        <v>120</v>
      </c>
      <c r="D210">
        <v>0.486836758688802</v>
      </c>
      <c r="E210">
        <v>6.7777910716532901</v>
      </c>
      <c r="F210">
        <v>0.28222520732211198</v>
      </c>
      <c r="G210">
        <v>-151.38795234805715</v>
      </c>
      <c r="H210">
        <v>-83.84939141142047</v>
      </c>
      <c r="I210">
        <v>63.530489211204298</v>
      </c>
      <c r="J210">
        <v>25.3515150770268</v>
      </c>
      <c r="K210">
        <v>24.015541120384601</v>
      </c>
      <c r="L210">
        <v>1.773927547185515E-3</v>
      </c>
      <c r="M210">
        <v>8.0807754322329884E-4</v>
      </c>
      <c r="N210" s="1">
        <v>-3.5100520765591199E-5</v>
      </c>
      <c r="O210" s="1">
        <v>3.8502258996452802E-5</v>
      </c>
      <c r="P210" s="1">
        <v>-3.7247163392128702E-5</v>
      </c>
      <c r="AE210">
        <v>100</v>
      </c>
      <c r="AJ210">
        <v>1</v>
      </c>
    </row>
    <row r="211" spans="1:36" x14ac:dyDescent="0.2">
      <c r="A211">
        <v>210</v>
      </c>
      <c r="B211">
        <v>789</v>
      </c>
      <c r="C211">
        <v>120</v>
      </c>
      <c r="D211">
        <v>0.48628771830721002</v>
      </c>
      <c r="E211">
        <v>6.7994817351700796</v>
      </c>
      <c r="F211">
        <v>0.28272695109150398</v>
      </c>
      <c r="G211">
        <v>-151.80871064969423</v>
      </c>
      <c r="H211">
        <v>-84.143178502408531</v>
      </c>
      <c r="I211">
        <v>63.709855696719401</v>
      </c>
      <c r="J211">
        <v>25.462602843076599</v>
      </c>
      <c r="K211">
        <v>24.049641213615399</v>
      </c>
      <c r="L211">
        <v>1.7785457400315023E-3</v>
      </c>
      <c r="M211">
        <v>8.0795864858419894E-4</v>
      </c>
      <c r="N211" s="1">
        <v>-3.5227320864512497E-5</v>
      </c>
      <c r="O211" s="1">
        <v>3.8582142273050001E-5</v>
      </c>
      <c r="P211" s="1">
        <v>-3.7452457050628803E-5</v>
      </c>
      <c r="AE211">
        <v>100</v>
      </c>
      <c r="AJ211">
        <v>1</v>
      </c>
    </row>
    <row r="212" spans="1:36" x14ac:dyDescent="0.2">
      <c r="A212">
        <v>211</v>
      </c>
      <c r="B212">
        <v>788</v>
      </c>
      <c r="C212">
        <v>120</v>
      </c>
      <c r="D212">
        <v>0.48573764312303003</v>
      </c>
      <c r="E212">
        <v>6.8211612482420998</v>
      </c>
      <c r="F212">
        <v>0.283230897658583</v>
      </c>
      <c r="G212">
        <v>-152.22883760320914</v>
      </c>
      <c r="H212">
        <v>-84.437020060950104</v>
      </c>
      <c r="I212">
        <v>63.888913942036901</v>
      </c>
      <c r="J212">
        <v>25.574010642463598</v>
      </c>
      <c r="K212">
        <v>24.0833938127208</v>
      </c>
      <c r="L212">
        <v>1.7831835650669377E-3</v>
      </c>
      <c r="M212">
        <v>8.0783691589447098E-4</v>
      </c>
      <c r="N212" s="1">
        <v>-3.5352368817279298E-5</v>
      </c>
      <c r="O212" s="1">
        <v>3.8661600100709801E-5</v>
      </c>
      <c r="P212" s="1">
        <v>-3.7658902489855103E-5</v>
      </c>
      <c r="AE212">
        <v>100</v>
      </c>
      <c r="AJ212">
        <v>1</v>
      </c>
    </row>
    <row r="213" spans="1:36" x14ac:dyDescent="0.2">
      <c r="A213">
        <v>212</v>
      </c>
      <c r="B213">
        <v>787</v>
      </c>
      <c r="C213">
        <v>120</v>
      </c>
      <c r="D213">
        <v>0.48518653020799002</v>
      </c>
      <c r="E213">
        <v>6.8428206473503597</v>
      </c>
      <c r="F213">
        <v>0.28373706119612702</v>
      </c>
      <c r="G213">
        <v>-152.64813384638228</v>
      </c>
      <c r="H213">
        <v>-84.730805430482349</v>
      </c>
      <c r="I213">
        <v>64.067579397322703</v>
      </c>
      <c r="J213">
        <v>25.685707092195599</v>
      </c>
      <c r="K213">
        <v>24.116767187563099</v>
      </c>
      <c r="L213">
        <v>1.7878410736811351E-3</v>
      </c>
      <c r="M213">
        <v>8.0771230209654844E-4</v>
      </c>
      <c r="N213" s="1">
        <v>-3.5475559530126498E-5</v>
      </c>
      <c r="O213" s="1">
        <v>3.8740579843609398E-5</v>
      </c>
      <c r="P213" s="1">
        <v>-3.7866461930546602E-5</v>
      </c>
      <c r="AE213">
        <v>100</v>
      </c>
      <c r="AJ213">
        <v>1</v>
      </c>
    </row>
    <row r="214" spans="1:36" x14ac:dyDescent="0.2">
      <c r="A214">
        <v>213</v>
      </c>
      <c r="B214">
        <v>786</v>
      </c>
      <c r="C214">
        <v>120</v>
      </c>
      <c r="D214">
        <v>0.48463437662276798</v>
      </c>
      <c r="E214">
        <v>6.8644512490294298</v>
      </c>
      <c r="F214">
        <v>0.28424545597738199</v>
      </c>
      <c r="G214">
        <v>-153.06640659804773</v>
      </c>
      <c r="H214">
        <v>-85.024427291236691</v>
      </c>
      <c r="I214">
        <v>64.245770256659895</v>
      </c>
      <c r="J214">
        <v>25.7976617052725</v>
      </c>
      <c r="K214">
        <v>24.149730821292799</v>
      </c>
      <c r="L214">
        <v>1.7925183159377023E-3</v>
      </c>
      <c r="M214">
        <v>8.0758476349095467E-4</v>
      </c>
      <c r="N214" s="1">
        <v>-3.5596788036426501E-5</v>
      </c>
      <c r="O214" s="1">
        <v>3.8819030637645797E-5</v>
      </c>
      <c r="P214" s="1">
        <v>-3.8075098780659302E-5</v>
      </c>
      <c r="AE214">
        <v>100</v>
      </c>
      <c r="AJ214">
        <v>1</v>
      </c>
    </row>
    <row r="215" spans="1:36" x14ac:dyDescent="0.2">
      <c r="A215">
        <v>214</v>
      </c>
      <c r="B215">
        <v>785</v>
      </c>
      <c r="C215">
        <v>120</v>
      </c>
      <c r="D215">
        <v>0.48408117941691098</v>
      </c>
      <c r="E215">
        <v>6.8860446691129296</v>
      </c>
      <c r="F215">
        <v>0.28475609637648702</v>
      </c>
      <c r="G215">
        <v>-153.48347007364171</v>
      </c>
      <c r="H215">
        <v>-85.317781903558327</v>
      </c>
      <c r="I215">
        <v>64.423407633789694</v>
      </c>
      <c r="J215">
        <v>25.909844966783702</v>
      </c>
      <c r="K215">
        <v>24.182255469637401</v>
      </c>
      <c r="L215">
        <v>1.797215340526469E-3</v>
      </c>
      <c r="M215">
        <v>8.0745425572730683E-4</v>
      </c>
      <c r="N215" s="1">
        <v>-3.5715949600140897E-5</v>
      </c>
      <c r="O215" s="1">
        <v>3.8896903490333297E-5</v>
      </c>
      <c r="P215" s="1">
        <v>-3.8284777750978801E-5</v>
      </c>
      <c r="AE215">
        <v>100</v>
      </c>
      <c r="AJ215">
        <v>1</v>
      </c>
    </row>
    <row r="216" spans="1:36" x14ac:dyDescent="0.2">
      <c r="A216">
        <v>215</v>
      </c>
      <c r="B216">
        <v>784</v>
      </c>
      <c r="C216">
        <v>120</v>
      </c>
      <c r="D216">
        <v>0.48352693562881199</v>
      </c>
      <c r="E216">
        <v>6.9075928382066296</v>
      </c>
      <c r="F216">
        <v>0.28526899686889101</v>
      </c>
      <c r="G216">
        <v>-153.89914581563517</v>
      </c>
      <c r="H216">
        <v>-85.610769304919202</v>
      </c>
      <c r="I216">
        <v>64.600415702135706</v>
      </c>
      <c r="J216">
        <v>26.022228396394102</v>
      </c>
      <c r="K216">
        <v>24.214313206216801</v>
      </c>
      <c r="L216">
        <v>1.8019321947140014E-3</v>
      </c>
      <c r="M216">
        <v>8.0732073379517842E-4</v>
      </c>
      <c r="N216" s="1">
        <v>-3.5832939799405701E-5</v>
      </c>
      <c r="O216" s="1">
        <v>3.8974151358628203E-5</v>
      </c>
      <c r="P216" s="1">
        <v>-3.8495464951421802E-5</v>
      </c>
      <c r="AE216">
        <v>100</v>
      </c>
      <c r="AJ216">
        <v>1</v>
      </c>
    </row>
    <row r="217" spans="1:36" x14ac:dyDescent="0.2">
      <c r="A217">
        <v>216</v>
      </c>
      <c r="B217">
        <v>783</v>
      </c>
      <c r="C217">
        <v>120</v>
      </c>
      <c r="D217">
        <v>0.48297164228566197</v>
      </c>
      <c r="E217">
        <v>6.9290880128255097</v>
      </c>
      <c r="F217">
        <v>0.28578417203175899</v>
      </c>
      <c r="G217">
        <v>-154.3132629265491</v>
      </c>
      <c r="H217">
        <v>-85.903293453542901</v>
      </c>
      <c r="I217">
        <v>64.776721793932495</v>
      </c>
      <c r="J217">
        <v>26.134784594974601</v>
      </c>
      <c r="K217">
        <v>24.2458774520776</v>
      </c>
      <c r="L217">
        <v>1.8066689242932652E-3</v>
      </c>
      <c r="M217">
        <v>8.0718415201496742E-4</v>
      </c>
      <c r="N217" s="1">
        <v>-3.5947654587297201E-5</v>
      </c>
      <c r="O217" s="1">
        <v>3.9050729201672102E-5</v>
      </c>
      <c r="P217" s="1">
        <v>-3.87071279645557E-5</v>
      </c>
      <c r="AE217">
        <v>100</v>
      </c>
      <c r="AJ217">
        <v>1</v>
      </c>
    </row>
    <row r="218" spans="1:36" x14ac:dyDescent="0.2">
      <c r="A218">
        <v>217</v>
      </c>
      <c r="B218">
        <v>782</v>
      </c>
      <c r="C218">
        <v>120</v>
      </c>
      <c r="D218">
        <v>0.48241529640335601</v>
      </c>
      <c r="E218">
        <v>6.9505227828191103</v>
      </c>
      <c r="F218">
        <v>0.28630163654437002</v>
      </c>
      <c r="G218">
        <v>-154.72565821873434</v>
      </c>
      <c r="H218">
        <v>-86.195262326264441</v>
      </c>
      <c r="I218">
        <v>64.952256464405195</v>
      </c>
      <c r="J218">
        <v>26.247487277623101</v>
      </c>
      <c r="K218">
        <v>24.276922991817798</v>
      </c>
      <c r="L218">
        <v>1.8114255735318088E-3</v>
      </c>
      <c r="M218">
        <v>8.0704446402858284E-4</v>
      </c>
      <c r="N218" s="1">
        <v>-3.6059990332771099E-5</v>
      </c>
      <c r="O218" s="1">
        <v>3.9126594012151402E-5</v>
      </c>
      <c r="P218" s="1">
        <v>-3.8919735899479203E-5</v>
      </c>
      <c r="AE218">
        <v>100</v>
      </c>
      <c r="AJ218">
        <v>1</v>
      </c>
    </row>
    <row r="219" spans="1:36" x14ac:dyDescent="0.2">
      <c r="A219">
        <v>218</v>
      </c>
      <c r="B219">
        <v>781</v>
      </c>
      <c r="C219">
        <v>120</v>
      </c>
      <c r="D219">
        <v>0.48185789498648202</v>
      </c>
      <c r="E219">
        <v>6.98486655159794</v>
      </c>
      <c r="F219">
        <v>0.28682140518849802</v>
      </c>
      <c r="G219">
        <v>-155.42492451529804</v>
      </c>
      <c r="H219">
        <v>-86.647561704399706</v>
      </c>
      <c r="I219">
        <v>65.248171494055896</v>
      </c>
      <c r="J219">
        <v>26.409374596674901</v>
      </c>
      <c r="K219">
        <v>24.352668333827701</v>
      </c>
      <c r="L219">
        <v>1.81620218511894E-3</v>
      </c>
      <c r="M219">
        <v>8.0690162279013376E-4</v>
      </c>
      <c r="N219" s="1">
        <v>-3.62371652028301E-5</v>
      </c>
      <c r="O219" s="1">
        <v>3.9274669258824199E-5</v>
      </c>
      <c r="P219" s="1">
        <v>-3.9206096463656497E-5</v>
      </c>
      <c r="AE219">
        <v>100</v>
      </c>
      <c r="AJ219">
        <v>1</v>
      </c>
    </row>
    <row r="220" spans="1:36" x14ac:dyDescent="0.2">
      <c r="A220">
        <v>219</v>
      </c>
      <c r="B220">
        <v>780</v>
      </c>
      <c r="C220">
        <v>120</v>
      </c>
      <c r="D220">
        <v>0.48129943502824801</v>
      </c>
      <c r="E220">
        <v>7.0966601553504596</v>
      </c>
      <c r="F220">
        <v>0.28734349284878202</v>
      </c>
      <c r="G220">
        <v>-157.84623881824771</v>
      </c>
      <c r="H220">
        <v>-88.061214525436839</v>
      </c>
      <c r="I220">
        <v>66.266994670784399</v>
      </c>
      <c r="J220">
        <v>26.8649527764432</v>
      </c>
      <c r="K220">
        <v>24.697479956802599</v>
      </c>
      <c r="L220">
        <v>1.8209988001114384E-3</v>
      </c>
      <c r="M220">
        <v>8.0675558055645928E-4</v>
      </c>
      <c r="N220" s="1">
        <v>-3.6813898931371799E-5</v>
      </c>
      <c r="O220" s="1">
        <v>3.9857183679041101E-5</v>
      </c>
      <c r="P220" s="1">
        <v>-3.9929891917206402E-5</v>
      </c>
      <c r="AE220">
        <v>100</v>
      </c>
      <c r="AJ220">
        <v>1</v>
      </c>
    </row>
    <row r="221" spans="1:36" x14ac:dyDescent="0.2">
      <c r="A221">
        <v>220</v>
      </c>
      <c r="B221">
        <v>779</v>
      </c>
      <c r="C221">
        <v>120</v>
      </c>
      <c r="D221">
        <v>0.48073991351043299</v>
      </c>
      <c r="E221">
        <v>7.2202379570575301</v>
      </c>
      <c r="F221">
        <v>0.28786791451308702</v>
      </c>
      <c r="G221">
        <v>-160.52748879670139</v>
      </c>
      <c r="H221">
        <v>-89.622019427941993</v>
      </c>
      <c r="I221">
        <v>67.394954362297895</v>
      </c>
      <c r="J221">
        <v>27.366419854908901</v>
      </c>
      <c r="K221">
        <v>25.081773942296198</v>
      </c>
      <c r="L221">
        <v>1.8258154578781908E-3</v>
      </c>
      <c r="M221">
        <v>8.0660628887763912E-4</v>
      </c>
      <c r="N221" s="1">
        <v>-3.74493397687302E-5</v>
      </c>
      <c r="O221" s="1">
        <v>4.0504249637120102E-5</v>
      </c>
      <c r="P221" s="1">
        <v>-4.0723946028653597E-5</v>
      </c>
      <c r="AE221">
        <v>100</v>
      </c>
      <c r="AJ221">
        <v>1</v>
      </c>
    </row>
    <row r="222" spans="1:36" x14ac:dyDescent="0.2">
      <c r="A222">
        <v>221</v>
      </c>
      <c r="B222">
        <v>778</v>
      </c>
      <c r="C222">
        <v>120</v>
      </c>
      <c r="D222">
        <v>0.48017932740332298</v>
      </c>
      <c r="E222">
        <v>7.3679583076441499</v>
      </c>
      <c r="F222">
        <v>0.28839468527284501</v>
      </c>
      <c r="G222">
        <v>-163.74299356789575</v>
      </c>
      <c r="H222">
        <v>-91.483558536451937</v>
      </c>
      <c r="I222">
        <v>68.747230585198906</v>
      </c>
      <c r="J222">
        <v>27.9608500712446</v>
      </c>
      <c r="K222">
        <v>25.548176453645201</v>
      </c>
      <c r="L222">
        <v>1.8306521960434056E-3</v>
      </c>
      <c r="M222">
        <v>8.0645369858738613E-4</v>
      </c>
      <c r="N222" s="1">
        <v>-3.82073744090725E-5</v>
      </c>
      <c r="O222" s="1">
        <v>4.1284877605581197E-5</v>
      </c>
      <c r="P222" s="1">
        <v>-4.1658662361383501E-5</v>
      </c>
      <c r="AE222">
        <v>100</v>
      </c>
      <c r="AJ222">
        <v>1</v>
      </c>
    </row>
    <row r="223" spans="1:36" x14ac:dyDescent="0.2">
      <c r="A223">
        <v>222</v>
      </c>
      <c r="B223">
        <v>777</v>
      </c>
      <c r="C223">
        <v>120</v>
      </c>
      <c r="D223">
        <v>0.47961767366567098</v>
      </c>
      <c r="E223">
        <v>7.7587333502318403</v>
      </c>
      <c r="F223">
        <v>0.28892382032339098</v>
      </c>
      <c r="G223">
        <v>-172.35506552492049</v>
      </c>
      <c r="H223">
        <v>-96.365042030246258</v>
      </c>
      <c r="I223">
        <v>72.365341635326402</v>
      </c>
      <c r="J223">
        <v>29.480382312701</v>
      </c>
      <c r="K223">
        <v>26.853906824115501</v>
      </c>
      <c r="L223">
        <v>1.835509050428558E-3</v>
      </c>
      <c r="M223">
        <v>8.0629775979336677E-4</v>
      </c>
      <c r="N223" s="1">
        <v>-4.0222600655655797E-5</v>
      </c>
      <c r="O223" s="1">
        <v>4.3423786183315498E-5</v>
      </c>
      <c r="P223" s="1">
        <v>-4.3975869078354202E-5</v>
      </c>
      <c r="AE223">
        <v>100</v>
      </c>
      <c r="AJ223">
        <v>1</v>
      </c>
    </row>
    <row r="224" spans="1:36" x14ac:dyDescent="0.2">
      <c r="A224">
        <v>223</v>
      </c>
      <c r="B224">
        <v>776</v>
      </c>
      <c r="C224">
        <v>120</v>
      </c>
      <c r="D224">
        <v>0.47905494924462999</v>
      </c>
      <c r="E224">
        <v>8.2846784017216297</v>
      </c>
      <c r="F224">
        <v>0.289455334964271</v>
      </c>
      <c r="G224">
        <v>-183.96132682241651</v>
      </c>
      <c r="H224">
        <v>-102.92888465402525</v>
      </c>
      <c r="I224">
        <v>77.240797950827101</v>
      </c>
      <c r="J224">
        <v>31.518050946563498</v>
      </c>
      <c r="K224">
        <v>28.621612390541099</v>
      </c>
      <c r="L224">
        <v>1.8403860549930132E-3</v>
      </c>
      <c r="M224">
        <v>8.0613842186747886E-4</v>
      </c>
      <c r="N224" s="1">
        <v>-4.2934412505931803E-5</v>
      </c>
      <c r="O224" s="1">
        <v>4.6313091190622099E-5</v>
      </c>
      <c r="P224" s="1">
        <v>-4.70728343080463E-5</v>
      </c>
      <c r="AE224">
        <v>100</v>
      </c>
      <c r="AJ224">
        <v>1</v>
      </c>
    </row>
    <row r="225" spans="1:36" x14ac:dyDescent="0.2">
      <c r="A225">
        <v>224</v>
      </c>
      <c r="B225">
        <v>775</v>
      </c>
      <c r="C225">
        <v>120</v>
      </c>
      <c r="D225">
        <v>0.478491151075708</v>
      </c>
      <c r="E225">
        <v>8.6765014486834708</v>
      </c>
      <c r="F225">
        <v>0.28998924459955</v>
      </c>
      <c r="G225">
        <v>-192.58088145859327</v>
      </c>
      <c r="H225">
        <v>-107.82992544232363</v>
      </c>
      <c r="I225">
        <v>80.862396835564297</v>
      </c>
      <c r="J225">
        <v>33.050048307276803</v>
      </c>
      <c r="K225">
        <v>29.9200801763008</v>
      </c>
      <c r="L225">
        <v>1.8452832417732506E-3</v>
      </c>
      <c r="M225">
        <v>8.0597563343600385E-4</v>
      </c>
      <c r="N225" s="1">
        <v>-4.4946477960186897E-5</v>
      </c>
      <c r="O225" s="1">
        <v>4.84464793500591E-5</v>
      </c>
      <c r="P225" s="1">
        <v>-4.9421519494090899E-5</v>
      </c>
      <c r="AE225">
        <v>100</v>
      </c>
      <c r="AJ225">
        <v>1</v>
      </c>
    </row>
    <row r="226" spans="1:36" x14ac:dyDescent="0.2">
      <c r="A226">
        <v>225</v>
      </c>
      <c r="B226">
        <v>774</v>
      </c>
      <c r="C226">
        <v>120</v>
      </c>
      <c r="D226">
        <v>0.47792627608270499</v>
      </c>
      <c r="E226">
        <v>9.6201316778393693</v>
      </c>
      <c r="F226">
        <v>0.29052556473809499</v>
      </c>
      <c r="G226">
        <v>-213.43576026527407</v>
      </c>
      <c r="H226">
        <v>-119.59385166482598</v>
      </c>
      <c r="I226">
        <v>89.621748393771497</v>
      </c>
      <c r="J226">
        <v>36.690579596755299</v>
      </c>
      <c r="K226">
        <v>33.112857680912803</v>
      </c>
      <c r="L226">
        <v>1.8502006408207324E-3</v>
      </c>
      <c r="M226">
        <v>8.0580934236973141E-4</v>
      </c>
      <c r="N226" s="1">
        <v>-4.9810753855596598E-5</v>
      </c>
      <c r="O226" s="1">
        <v>5.3652040508718301E-5</v>
      </c>
      <c r="P226" s="1">
        <v>-5.4933201499194999E-5</v>
      </c>
      <c r="AE226">
        <v>100</v>
      </c>
      <c r="AJ226">
        <v>1</v>
      </c>
    </row>
    <row r="227" spans="1:36" x14ac:dyDescent="0.2">
      <c r="A227">
        <v>226</v>
      </c>
      <c r="B227">
        <v>773</v>
      </c>
      <c r="C227">
        <v>120</v>
      </c>
      <c r="D227">
        <v>0.47736032117765198</v>
      </c>
      <c r="E227">
        <v>10.0214415918363</v>
      </c>
      <c r="F227">
        <v>0.291064310993839</v>
      </c>
      <c r="G227">
        <v>-222.24602669564902</v>
      </c>
      <c r="H227">
        <v>-124.6210305588102</v>
      </c>
      <c r="I227">
        <v>93.323835990158798</v>
      </c>
      <c r="J227">
        <v>38.269448399430402</v>
      </c>
      <c r="K227">
        <v>34.430334511359703</v>
      </c>
      <c r="L227">
        <v>1.8551382801383057E-3</v>
      </c>
      <c r="M227">
        <v>8.0563949577398179E-4</v>
      </c>
      <c r="N227" s="1">
        <v>-5.1860010442515201E-5</v>
      </c>
      <c r="O227" s="1">
        <v>5.5824036467400998E-5</v>
      </c>
      <c r="P227" s="1">
        <v>-5.7368334791352E-5</v>
      </c>
      <c r="AE227">
        <v>100</v>
      </c>
      <c r="AJ227">
        <v>1</v>
      </c>
    </row>
    <row r="228" spans="1:36" x14ac:dyDescent="0.2">
      <c r="A228">
        <v>227</v>
      </c>
      <c r="B228">
        <v>772</v>
      </c>
      <c r="C228">
        <v>120</v>
      </c>
      <c r="D228">
        <v>0.47679328326077502</v>
      </c>
      <c r="E228">
        <v>10.3277635061462</v>
      </c>
      <c r="F228">
        <v>0.291605499086037</v>
      </c>
      <c r="G228">
        <v>-228.94318600788174</v>
      </c>
      <c r="H228">
        <v>-128.46974240946648</v>
      </c>
      <c r="I228">
        <v>96.138691842214797</v>
      </c>
      <c r="J228">
        <v>39.489267941512203</v>
      </c>
      <c r="K228">
        <v>35.416902419590699</v>
      </c>
      <c r="L228">
        <v>1.8600961856152845E-3</v>
      </c>
      <c r="M228">
        <v>8.0546603997860421E-4</v>
      </c>
      <c r="N228" s="1">
        <v>-5.3411834758305598E-5</v>
      </c>
      <c r="O228" s="1">
        <v>5.7462069619776103E-5</v>
      </c>
      <c r="P228" s="1">
        <v>-5.92709933411428E-5</v>
      </c>
      <c r="AE228">
        <v>100</v>
      </c>
      <c r="AJ228">
        <v>1</v>
      </c>
    </row>
    <row r="229" spans="1:36" x14ac:dyDescent="0.2">
      <c r="A229">
        <v>228</v>
      </c>
      <c r="B229">
        <v>771</v>
      </c>
      <c r="C229">
        <v>120</v>
      </c>
      <c r="D229">
        <v>0.47622515922041903</v>
      </c>
      <c r="E229">
        <v>10.470302260239899</v>
      </c>
      <c r="F229">
        <v>0.292149144839498</v>
      </c>
      <c r="G229">
        <v>-232.005501799592</v>
      </c>
      <c r="H229">
        <v>-130.28287889488368</v>
      </c>
      <c r="I229">
        <v>97.427203615009105</v>
      </c>
      <c r="J229">
        <v>40.085302238325902</v>
      </c>
      <c r="K229">
        <v>35.838894089497003</v>
      </c>
      <c r="L229">
        <v>1.8650743809609808E-3</v>
      </c>
      <c r="M229">
        <v>8.0528892052785927E-4</v>
      </c>
      <c r="N229" s="1">
        <v>-5.4111181429250601E-5</v>
      </c>
      <c r="O229" s="1">
        <v>5.8185698184562999E-5</v>
      </c>
      <c r="P229" s="1">
        <v>-6.0241359237684401E-5</v>
      </c>
      <c r="AE229">
        <v>100</v>
      </c>
      <c r="AJ229">
        <v>1</v>
      </c>
    </row>
    <row r="230" spans="1:36" x14ac:dyDescent="0.2">
      <c r="A230">
        <v>229</v>
      </c>
      <c r="B230">
        <v>804</v>
      </c>
      <c r="C230">
        <v>105</v>
      </c>
      <c r="D230">
        <v>0.50973448451933401</v>
      </c>
      <c r="E230">
        <v>7.0222507843199304</v>
      </c>
      <c r="F230">
        <v>0.24118058765942599</v>
      </c>
      <c r="G230">
        <v>-158.18026881382116</v>
      </c>
      <c r="H230">
        <v>-86.163950928071529</v>
      </c>
      <c r="I230">
        <v>66.861937937022702</v>
      </c>
      <c r="J230">
        <v>25.1688878687123</v>
      </c>
      <c r="K230">
        <v>29.116152557999801</v>
      </c>
      <c r="L230">
        <v>1.7095645746523437E-3</v>
      </c>
      <c r="M230">
        <v>9.668163599041564E-4</v>
      </c>
      <c r="N230" s="1">
        <v>-4.8626338254700899E-5</v>
      </c>
      <c r="O230" s="1">
        <v>6.1465715527259196E-5</v>
      </c>
      <c r="P230" s="1">
        <v>-4.48251230198041E-5</v>
      </c>
      <c r="AE230">
        <v>100</v>
      </c>
      <c r="AJ230">
        <v>1</v>
      </c>
    </row>
    <row r="231" spans="1:36" x14ac:dyDescent="0.2">
      <c r="A231">
        <v>230</v>
      </c>
      <c r="B231">
        <v>803</v>
      </c>
      <c r="C231">
        <v>105</v>
      </c>
      <c r="D231">
        <v>0.50921386423825798</v>
      </c>
      <c r="E231">
        <v>7.0219435816057203</v>
      </c>
      <c r="F231">
        <v>0.24159380980731199</v>
      </c>
      <c r="G231">
        <v>-158.10650157221215</v>
      </c>
      <c r="H231">
        <v>-86.185363193778826</v>
      </c>
      <c r="I231">
        <v>66.835623998278507</v>
      </c>
      <c r="J231">
        <v>25.195610851254202</v>
      </c>
      <c r="K231">
        <v>29.065080712151499</v>
      </c>
      <c r="L231">
        <v>1.7141689119072286E-3</v>
      </c>
      <c r="M231">
        <v>9.6692915370392139E-4</v>
      </c>
      <c r="N231" s="1">
        <v>-4.8760474021050501E-5</v>
      </c>
      <c r="O231" s="1">
        <v>6.1406738217190395E-5</v>
      </c>
      <c r="P231" s="1">
        <v>-4.4911471912542603E-5</v>
      </c>
      <c r="AE231">
        <v>100</v>
      </c>
      <c r="AJ231">
        <v>1</v>
      </c>
    </row>
    <row r="232" spans="1:36" x14ac:dyDescent="0.2">
      <c r="A232">
        <v>231</v>
      </c>
      <c r="B232">
        <v>802</v>
      </c>
      <c r="C232">
        <v>105</v>
      </c>
      <c r="D232">
        <v>0.50869227549644302</v>
      </c>
      <c r="E232">
        <v>7.0410393703057501</v>
      </c>
      <c r="F232">
        <v>0.242008857056036</v>
      </c>
      <c r="G232">
        <v>-158.46945785883281</v>
      </c>
      <c r="H232">
        <v>-86.445017694673737</v>
      </c>
      <c r="I232">
        <v>66.993879439386205</v>
      </c>
      <c r="J232">
        <v>25.292209344763801</v>
      </c>
      <c r="K232">
        <v>29.094139181341699</v>
      </c>
      <c r="L232">
        <v>1.718796633494181E-3</v>
      </c>
      <c r="M232">
        <v>9.6704090380412872E-4</v>
      </c>
      <c r="N232" s="1">
        <v>-4.9029417020113402E-5</v>
      </c>
      <c r="O232" s="1">
        <v>6.1517253895552695E-5</v>
      </c>
      <c r="P232" s="1">
        <v>-4.5122880619421398E-5</v>
      </c>
      <c r="AE232">
        <v>100</v>
      </c>
      <c r="AJ232">
        <v>1</v>
      </c>
    </row>
    <row r="233" spans="1:36" x14ac:dyDescent="0.2">
      <c r="A233">
        <v>232</v>
      </c>
      <c r="B233">
        <v>801</v>
      </c>
      <c r="C233">
        <v>105</v>
      </c>
      <c r="D233">
        <v>0.50816971558907198</v>
      </c>
      <c r="E233">
        <v>7.0601412225817004</v>
      </c>
      <c r="F233">
        <v>0.24242574206220499</v>
      </c>
      <c r="G233">
        <v>-158.83221069819868</v>
      </c>
      <c r="H233">
        <v>-86.704912021679149</v>
      </c>
      <c r="I233">
        <v>67.152016871823704</v>
      </c>
      <c r="J233">
        <v>25.389164409275899</v>
      </c>
      <c r="K233">
        <v>29.122902388683201</v>
      </c>
      <c r="L233">
        <v>1.7234478811730129E-3</v>
      </c>
      <c r="M233">
        <v>9.6715158484014872E-4</v>
      </c>
      <c r="N233" s="1">
        <v>-4.92988271699977E-5</v>
      </c>
      <c r="O233" s="1">
        <v>6.1627480372745405E-5</v>
      </c>
      <c r="P233" s="1">
        <v>-4.5335546974758298E-5</v>
      </c>
      <c r="AE233">
        <v>100</v>
      </c>
      <c r="AJ233">
        <v>1</v>
      </c>
    </row>
    <row r="234" spans="1:36" x14ac:dyDescent="0.2">
      <c r="A234">
        <v>233</v>
      </c>
      <c r="B234">
        <v>800</v>
      </c>
      <c r="C234">
        <v>105</v>
      </c>
      <c r="D234">
        <v>0.50764618180124099</v>
      </c>
      <c r="E234">
        <v>7.0792411865946603</v>
      </c>
      <c r="F234">
        <v>0.24284447759358699</v>
      </c>
      <c r="G234">
        <v>-159.1945813400522</v>
      </c>
      <c r="H234">
        <v>-86.964948968659868</v>
      </c>
      <c r="I234">
        <v>67.309959975692493</v>
      </c>
      <c r="J234">
        <v>25.4864502400982</v>
      </c>
      <c r="K234">
        <v>29.151336924540399</v>
      </c>
      <c r="L234">
        <v>1.7281227972247687E-3</v>
      </c>
      <c r="M234">
        <v>9.6726117097306196E-4</v>
      </c>
      <c r="N234" s="1">
        <v>-4.9568624026523702E-5</v>
      </c>
      <c r="O234" s="1">
        <v>6.17373472761085E-5</v>
      </c>
      <c r="P234" s="1">
        <v>-4.5549434225575798E-5</v>
      </c>
      <c r="AE234">
        <v>100</v>
      </c>
      <c r="AJ234">
        <v>1</v>
      </c>
    </row>
    <row r="235" spans="1:36" x14ac:dyDescent="0.2">
      <c r="A235">
        <v>234</v>
      </c>
      <c r="B235">
        <v>799</v>
      </c>
      <c r="C235">
        <v>105</v>
      </c>
      <c r="D235">
        <v>0.50712167140791897</v>
      </c>
      <c r="E235">
        <v>7.0983314894084204</v>
      </c>
      <c r="F235">
        <v>0.243265076530157</v>
      </c>
      <c r="G235">
        <v>-159.55639535879473</v>
      </c>
      <c r="H235">
        <v>-87.225033416683189</v>
      </c>
      <c r="I235">
        <v>67.467634233341599</v>
      </c>
      <c r="J235">
        <v>25.584041570097899</v>
      </c>
      <c r="K235">
        <v>29.1794103397675</v>
      </c>
      <c r="L235">
        <v>1.7328215244380471E-3</v>
      </c>
      <c r="M235">
        <v>9.673696358807061E-4</v>
      </c>
      <c r="N235" s="1">
        <v>-4.98387269516175E-5</v>
      </c>
      <c r="O235" s="1">
        <v>6.1846786027492596E-5</v>
      </c>
      <c r="P235" s="1">
        <v>-4.5764506557615499E-5</v>
      </c>
      <c r="AE235">
        <v>100</v>
      </c>
      <c r="AJ235">
        <v>1</v>
      </c>
    </row>
    <row r="236" spans="1:36" x14ac:dyDescent="0.2">
      <c r="A236">
        <v>235</v>
      </c>
      <c r="B236">
        <v>798</v>
      </c>
      <c r="C236">
        <v>105</v>
      </c>
      <c r="D236">
        <v>0.50659618167390597</v>
      </c>
      <c r="E236">
        <v>7.1174045601661797</v>
      </c>
      <c r="F236">
        <v>0.243687551865165</v>
      </c>
      <c r="G236">
        <v>-159.9174831654708</v>
      </c>
      <c r="H236">
        <v>-87.485072621829033</v>
      </c>
      <c r="I236">
        <v>67.624967147075296</v>
      </c>
      <c r="J236">
        <v>25.681913754961698</v>
      </c>
      <c r="K236">
        <v>29.207091235026599</v>
      </c>
      <c r="L236">
        <v>1.7375442060946773E-3</v>
      </c>
      <c r="M236">
        <v>9.6747695274853631E-4</v>
      </c>
      <c r="N236" s="1">
        <v>-5.0109055276117001E-5</v>
      </c>
      <c r="O236" s="1">
        <v>6.1955730037672498E-5</v>
      </c>
      <c r="P236" s="1">
        <v>-4.5980729250955301E-5</v>
      </c>
      <c r="AE236">
        <v>100</v>
      </c>
      <c r="AJ236">
        <v>1</v>
      </c>
    </row>
    <row r="237" spans="1:36" x14ac:dyDescent="0.2">
      <c r="A237">
        <v>236</v>
      </c>
      <c r="B237">
        <v>797</v>
      </c>
      <c r="C237">
        <v>105</v>
      </c>
      <c r="D237">
        <v>0.50606970985375799</v>
      </c>
      <c r="E237">
        <v>7.1364530500817702</v>
      </c>
      <c r="F237">
        <v>0.244111916706199</v>
      </c>
      <c r="G237">
        <v>-160.27768044689503</v>
      </c>
      <c r="H237">
        <v>-87.744976464341377</v>
      </c>
      <c r="I237">
        <v>67.781888426124596</v>
      </c>
      <c r="J237">
        <v>25.7800428475575</v>
      </c>
      <c r="K237">
        <v>29.234349336049998</v>
      </c>
      <c r="L237">
        <v>1.7422909859547647E-3</v>
      </c>
      <c r="M237">
        <v>9.6758309426033364E-4</v>
      </c>
      <c r="N237" s="1">
        <v>-5.0379528442616902E-5</v>
      </c>
      <c r="O237" s="1">
        <v>6.2064114871921702E-5</v>
      </c>
      <c r="P237" s="1">
        <v>-4.6198068816969302E-5</v>
      </c>
      <c r="AE237">
        <v>100</v>
      </c>
      <c r="AJ237">
        <v>1</v>
      </c>
    </row>
    <row r="238" spans="1:36" x14ac:dyDescent="0.2">
      <c r="A238">
        <v>237</v>
      </c>
      <c r="B238">
        <v>796</v>
      </c>
      <c r="C238">
        <v>105</v>
      </c>
      <c r="D238">
        <v>0.50554225319178703</v>
      </c>
      <c r="E238">
        <v>7.1554698497045299</v>
      </c>
      <c r="F238">
        <v>0.24453818427626001</v>
      </c>
      <c r="G238">
        <v>-160.63682854244649</v>
      </c>
      <c r="H238">
        <v>-88.004657664689901</v>
      </c>
      <c r="I238">
        <v>67.938330147314005</v>
      </c>
      <c r="J238">
        <v>25.878405662990399</v>
      </c>
      <c r="K238">
        <v>29.261155556879501</v>
      </c>
      <c r="L238">
        <v>1.7470620082410196E-3</v>
      </c>
      <c r="M238">
        <v>9.6768803258872943E-4</v>
      </c>
      <c r="N238" s="1">
        <v>-5.0650066131141698E-5</v>
      </c>
      <c r="O238" s="1">
        <v>6.2171878390914894E-5</v>
      </c>
      <c r="P238" s="1">
        <v>-4.6416493119364201E-5</v>
      </c>
      <c r="AE238">
        <v>100</v>
      </c>
      <c r="AJ238">
        <v>1</v>
      </c>
    </row>
    <row r="239" spans="1:36" x14ac:dyDescent="0.2">
      <c r="A239">
        <v>238</v>
      </c>
      <c r="B239">
        <v>795</v>
      </c>
      <c r="C239">
        <v>105</v>
      </c>
      <c r="D239">
        <v>0.50501380892196901</v>
      </c>
      <c r="E239">
        <v>7.17444810279998</v>
      </c>
      <c r="F239">
        <v>0.24496636791485199</v>
      </c>
      <c r="G239">
        <v>-160.99477474394646</v>
      </c>
      <c r="H239">
        <v>-88.264031958383072</v>
      </c>
      <c r="I239">
        <v>68.0942268832368</v>
      </c>
      <c r="J239">
        <v>25.976979831881401</v>
      </c>
      <c r="K239">
        <v>29.287482048530599</v>
      </c>
      <c r="L239">
        <v>1.751857417622414E-3</v>
      </c>
      <c r="M239">
        <v>9.6779173938552781E-4</v>
      </c>
      <c r="N239" s="1">
        <v>-5.0920588362588298E-5</v>
      </c>
      <c r="O239" s="1">
        <v>6.22789608613891E-5</v>
      </c>
      <c r="P239" s="1">
        <v>-4.6635971474807103E-5</v>
      </c>
      <c r="AE239">
        <v>100</v>
      </c>
      <c r="AJ239">
        <v>1</v>
      </c>
    </row>
    <row r="240" spans="1:36" x14ac:dyDescent="0.2">
      <c r="A240">
        <v>239</v>
      </c>
      <c r="B240">
        <v>794</v>
      </c>
      <c r="C240">
        <v>105</v>
      </c>
      <c r="D240">
        <v>0.50448437426791004</v>
      </c>
      <c r="E240">
        <v>7.19338121773258</v>
      </c>
      <c r="F240">
        <v>0.245396481079065</v>
      </c>
      <c r="G240">
        <v>-161.35137253872941</v>
      </c>
      <c r="H240">
        <v>-88.523018240353679</v>
      </c>
      <c r="I240">
        <v>68.249515806430793</v>
      </c>
      <c r="J240">
        <v>26.0757438450221</v>
      </c>
      <c r="K240">
        <v>29.313302236860199</v>
      </c>
      <c r="L240">
        <v>1.7566773591970925E-3</v>
      </c>
      <c r="M240">
        <v>9.6789418577189056E-4</v>
      </c>
      <c r="N240" s="1">
        <v>-5.1191015585749303E-5</v>
      </c>
      <c r="O240" s="1">
        <v>6.2385305044452703E-5</v>
      </c>
      <c r="P240" s="1">
        <v>-4.6856474738646798E-5</v>
      </c>
      <c r="AE240">
        <v>100</v>
      </c>
      <c r="AJ240">
        <v>1</v>
      </c>
    </row>
    <row r="241" spans="1:36" x14ac:dyDescent="0.2">
      <c r="A241">
        <v>240</v>
      </c>
      <c r="B241">
        <v>793</v>
      </c>
      <c r="C241">
        <v>105</v>
      </c>
      <c r="D241">
        <v>0.503953946442809</v>
      </c>
      <c r="E241">
        <v>7.2122628754140203</v>
      </c>
      <c r="F241">
        <v>0.24582853734467999</v>
      </c>
      <c r="G241">
        <v>-161.7064817750701</v>
      </c>
      <c r="H241">
        <v>-88.781538667327126</v>
      </c>
      <c r="I241">
        <v>68.404136760722196</v>
      </c>
      <c r="J241">
        <v>26.174677085905302</v>
      </c>
      <c r="K241">
        <v>29.338590845950399</v>
      </c>
      <c r="L241">
        <v>1.7615219784745705E-3</v>
      </c>
      <c r="M241">
        <v>9.679953423283018E-4</v>
      </c>
      <c r="N241" s="1">
        <v>-5.1461268740855701E-5</v>
      </c>
      <c r="O241" s="1">
        <v>6.2490856253552199E-5</v>
      </c>
      <c r="P241" s="1">
        <v>-4.7077975369416097E-5</v>
      </c>
      <c r="AE241">
        <v>100</v>
      </c>
      <c r="AJ241">
        <v>1</v>
      </c>
    </row>
    <row r="242" spans="1:36" x14ac:dyDescent="0.2">
      <c r="A242">
        <v>241</v>
      </c>
      <c r="B242">
        <v>792</v>
      </c>
      <c r="C242">
        <v>105</v>
      </c>
      <c r="D242">
        <v>0.50342252264939402</v>
      </c>
      <c r="E242">
        <v>7.2310870347171896</v>
      </c>
      <c r="F242">
        <v>0.24626255040726999</v>
      </c>
      <c r="G242">
        <v>-162.05996877037791</v>
      </c>
      <c r="H242">
        <v>-89.039518729167938</v>
      </c>
      <c r="I242">
        <v>68.558032308361106</v>
      </c>
      <c r="J242">
        <v>26.273759854348501</v>
      </c>
      <c r="K242">
        <v>29.3633239108356</v>
      </c>
      <c r="L242">
        <v>1.7663914213571455E-3</v>
      </c>
      <c r="M242">
        <v>9.680951790843709E-4</v>
      </c>
      <c r="N242" s="1">
        <v>-5.1731269305621297E-5</v>
      </c>
      <c r="O242" s="1">
        <v>6.2595562390090802E-5</v>
      </c>
      <c r="P242" s="1">
        <v>-4.7300447477697899E-5</v>
      </c>
      <c r="AE242">
        <v>100</v>
      </c>
      <c r="AJ242">
        <v>1</v>
      </c>
    </row>
    <row r="243" spans="1:36" x14ac:dyDescent="0.2">
      <c r="A243">
        <v>242</v>
      </c>
      <c r="B243">
        <v>791</v>
      </c>
      <c r="C243">
        <v>105</v>
      </c>
      <c r="D243">
        <v>0.502890100079881</v>
      </c>
      <c r="E243">
        <v>7.2498479354314798</v>
      </c>
      <c r="F243">
        <v>0.24669853408331799</v>
      </c>
      <c r="G243">
        <v>-162.41170636401225</v>
      </c>
      <c r="H243">
        <v>-89.296887290077663</v>
      </c>
      <c r="I243">
        <v>68.711147753714101</v>
      </c>
      <c r="J243">
        <v>26.372973381379001</v>
      </c>
      <c r="K243">
        <v>29.387478780003399</v>
      </c>
      <c r="L243">
        <v>1.7712858341204639E-3</v>
      </c>
      <c r="M243">
        <v>9.6819366550839373E-4</v>
      </c>
      <c r="N243" s="1">
        <v>-5.2000939323912703E-5</v>
      </c>
      <c r="O243" s="1">
        <v>6.2699373957486495E-5</v>
      </c>
      <c r="P243" s="1">
        <v>-4.75238668596439E-5</v>
      </c>
      <c r="AE243">
        <v>100</v>
      </c>
      <c r="AJ243">
        <v>1</v>
      </c>
    </row>
    <row r="244" spans="1:36" x14ac:dyDescent="0.2">
      <c r="A244">
        <v>243</v>
      </c>
      <c r="B244">
        <v>790</v>
      </c>
      <c r="C244">
        <v>105</v>
      </c>
      <c r="D244">
        <v>0.50235667591591204</v>
      </c>
      <c r="E244">
        <v>7.26854009824401</v>
      </c>
      <c r="F244">
        <v>0.24713650231133</v>
      </c>
      <c r="G244">
        <v>-162.76157390334936</v>
      </c>
      <c r="H244">
        <v>-89.55357659322658</v>
      </c>
      <c r="I244">
        <v>68.863431138697706</v>
      </c>
      <c r="J244">
        <v>26.4722998334572</v>
      </c>
      <c r="K244">
        <v>29.4110341057082</v>
      </c>
      <c r="L244">
        <v>1.7762053633933943E-3</v>
      </c>
      <c r="M244">
        <v>9.682907704967929E-4</v>
      </c>
      <c r="N244" s="1">
        <v>-5.2270201413046397E-5</v>
      </c>
      <c r="O244" s="1">
        <v>6.2802244049361503E-5</v>
      </c>
      <c r="P244" s="1">
        <v>-4.7748211011525599E-5</v>
      </c>
      <c r="AE244">
        <v>100</v>
      </c>
      <c r="AJ244">
        <v>1</v>
      </c>
    </row>
    <row r="245" spans="1:36" x14ac:dyDescent="0.2">
      <c r="A245">
        <v>244</v>
      </c>
      <c r="B245">
        <v>789</v>
      </c>
      <c r="C245">
        <v>105</v>
      </c>
      <c r="D245">
        <v>0.50182224732853298</v>
      </c>
      <c r="E245">
        <v>7.2871583229615</v>
      </c>
      <c r="F245">
        <v>0.24757646915296899</v>
      </c>
      <c r="G245">
        <v>-163.10945719048209</v>
      </c>
      <c r="H245">
        <v>-89.809522243716614</v>
      </c>
      <c r="I245">
        <v>69.014833221523006</v>
      </c>
      <c r="J245">
        <v>26.571722310371399</v>
      </c>
      <c r="K245">
        <v>29.433969827152701</v>
      </c>
      <c r="L245">
        <v>1.7811501561369207E-3</v>
      </c>
      <c r="M245">
        <v>9.6838646236329349E-4</v>
      </c>
      <c r="N245" s="1">
        <v>-5.2538978757988703E-5</v>
      </c>
      <c r="O245" s="1">
        <v>6.2904128322509797E-5</v>
      </c>
      <c r="P245" s="1">
        <v>-4.7973459133049501E-5</v>
      </c>
      <c r="AE245">
        <v>100</v>
      </c>
      <c r="AJ245">
        <v>1</v>
      </c>
    </row>
    <row r="246" spans="1:36" x14ac:dyDescent="0.2">
      <c r="A246">
        <v>245</v>
      </c>
      <c r="B246">
        <v>788</v>
      </c>
      <c r="C246">
        <v>105</v>
      </c>
      <c r="D246">
        <v>0.50128681147811704</v>
      </c>
      <c r="E246">
        <v>7.3645891345400702</v>
      </c>
      <c r="F246">
        <v>0.248018448794184</v>
      </c>
      <c r="G246">
        <v>-164.77286608097697</v>
      </c>
      <c r="H246">
        <v>-90.79067713832363</v>
      </c>
      <c r="I246">
        <v>69.722851069870998</v>
      </c>
      <c r="J246">
        <v>26.8862223852522</v>
      </c>
      <c r="K246">
        <v>29.693715005255498</v>
      </c>
      <c r="L246">
        <v>1.7861203596223425E-3</v>
      </c>
      <c r="M246">
        <v>9.6848070882796179E-4</v>
      </c>
      <c r="N246" s="1">
        <v>-5.3232875485932402E-5</v>
      </c>
      <c r="O246" s="1">
        <v>6.3512870040325806E-5</v>
      </c>
      <c r="P246" s="1">
        <v>-4.8588130486277697E-5</v>
      </c>
      <c r="AE246">
        <v>100</v>
      </c>
      <c r="AJ246">
        <v>1</v>
      </c>
    </row>
    <row r="247" spans="1:36" x14ac:dyDescent="0.2">
      <c r="A247">
        <v>246</v>
      </c>
      <c r="B247">
        <v>787</v>
      </c>
      <c r="C247">
        <v>105</v>
      </c>
      <c r="D247">
        <v>0.50075036551431296</v>
      </c>
      <c r="E247">
        <v>7.4718873416703504</v>
      </c>
      <c r="F247">
        <v>0.24846245554635399</v>
      </c>
      <c r="G247">
        <v>-167.10279464008889</v>
      </c>
      <c r="H247">
        <v>-92.140744102970032</v>
      </c>
      <c r="I247">
        <v>70.712942894762193</v>
      </c>
      <c r="J247">
        <v>27.3107798255574</v>
      </c>
      <c r="K247">
        <v>30.072500592655299</v>
      </c>
      <c r="L247">
        <v>1.7911161214083043E-3</v>
      </c>
      <c r="M247">
        <v>9.6857347700592545E-4</v>
      </c>
      <c r="N247" s="1">
        <v>-5.4145333704638898E-5</v>
      </c>
      <c r="O247" s="1">
        <v>6.4377646442384401E-5</v>
      </c>
      <c r="P247" s="1">
        <v>-4.9403394170601399E-5</v>
      </c>
      <c r="AE247">
        <v>100</v>
      </c>
      <c r="AJ247">
        <v>1</v>
      </c>
    </row>
    <row r="248" spans="1:36" x14ac:dyDescent="0.2">
      <c r="A248">
        <v>247</v>
      </c>
      <c r="B248">
        <v>786</v>
      </c>
      <c r="C248">
        <v>105</v>
      </c>
      <c r="D248">
        <v>0.50021290657603101</v>
      </c>
      <c r="E248">
        <v>7.5937041971744303</v>
      </c>
      <c r="F248">
        <v>0.24890850384743399</v>
      </c>
      <c r="G248">
        <v>-169.75527865025589</v>
      </c>
      <c r="H248">
        <v>-93.670720470852302</v>
      </c>
      <c r="I248">
        <v>71.839591902234901</v>
      </c>
      <c r="J248">
        <v>27.789629375445699</v>
      </c>
      <c r="K248">
        <v>30.508014309663299</v>
      </c>
      <c r="L248">
        <v>1.7961375893173043E-3</v>
      </c>
      <c r="M248">
        <v>9.6866473339608436E-4</v>
      </c>
      <c r="N248" s="1">
        <v>-5.5166423967158703E-5</v>
      </c>
      <c r="O248" s="1">
        <v>6.5365608201927699E-5</v>
      </c>
      <c r="P248" s="1">
        <v>-5.0318880501401101E-5</v>
      </c>
      <c r="AE248">
        <v>100</v>
      </c>
      <c r="AJ248">
        <v>1</v>
      </c>
    </row>
    <row r="249" spans="1:36" x14ac:dyDescent="0.2">
      <c r="A249">
        <v>248</v>
      </c>
      <c r="B249">
        <v>785</v>
      </c>
      <c r="C249">
        <v>105</v>
      </c>
      <c r="D249">
        <v>0.49967443179133703</v>
      </c>
      <c r="E249">
        <v>7.7473853144308</v>
      </c>
      <c r="F249">
        <v>0.24935660826310899</v>
      </c>
      <c r="G249">
        <v>-173.11749989706038</v>
      </c>
      <c r="H249">
        <v>-95.59479446625464</v>
      </c>
      <c r="I249">
        <v>73.266681434982402</v>
      </c>
      <c r="J249">
        <v>28.386530254034199</v>
      </c>
      <c r="K249">
        <v>31.0695006977963</v>
      </c>
      <c r="L249">
        <v>1.8011849114108467E-3</v>
      </c>
      <c r="M249">
        <v>9.687544438693633E-4</v>
      </c>
      <c r="N249" s="1">
        <v>-5.6423192243999703E-5</v>
      </c>
      <c r="O249" s="1">
        <v>6.6625566551156893E-5</v>
      </c>
      <c r="P249" s="1">
        <v>-5.1450468907081001E-5</v>
      </c>
      <c r="AE249">
        <v>100</v>
      </c>
      <c r="AJ249">
        <v>1</v>
      </c>
    </row>
    <row r="250" spans="1:36" x14ac:dyDescent="0.2">
      <c r="A250">
        <v>249</v>
      </c>
      <c r="B250">
        <v>784</v>
      </c>
      <c r="C250">
        <v>105</v>
      </c>
      <c r="D250">
        <v>0.49913493827744299</v>
      </c>
      <c r="E250">
        <v>8.1036727801297204</v>
      </c>
      <c r="F250">
        <v>0.24980678348795199</v>
      </c>
      <c r="G250">
        <v>-181.00222130829783</v>
      </c>
      <c r="H250">
        <v>-100.02072674451361</v>
      </c>
      <c r="I250">
        <v>76.607985605610807</v>
      </c>
      <c r="J250">
        <v>29.728289557884601</v>
      </c>
      <c r="K250">
        <v>32.439762711730097</v>
      </c>
      <c r="L250">
        <v>1.8062582359639379E-3</v>
      </c>
      <c r="M250">
        <v>9.6884257365698024E-4</v>
      </c>
      <c r="N250" s="1">
        <v>-5.9163848175798797E-5</v>
      </c>
      <c r="O250" s="1">
        <v>6.9623692708051897E-5</v>
      </c>
      <c r="P250" s="1">
        <v>-5.3936042359649398E-5</v>
      </c>
      <c r="AE250">
        <v>100</v>
      </c>
      <c r="AJ250">
        <v>1</v>
      </c>
    </row>
    <row r="251" spans="1:36" x14ac:dyDescent="0.2">
      <c r="A251">
        <v>250</v>
      </c>
      <c r="B251">
        <v>783</v>
      </c>
      <c r="C251">
        <v>105</v>
      </c>
      <c r="D251">
        <v>0.498594423140655</v>
      </c>
      <c r="E251">
        <v>8.5311714291299996</v>
      </c>
      <c r="F251">
        <v>0.25025904434659502</v>
      </c>
      <c r="G251">
        <v>-190.47012201692758</v>
      </c>
      <c r="H251">
        <v>-105.32850503358776</v>
      </c>
      <c r="I251">
        <v>80.619702734938599</v>
      </c>
      <c r="J251">
        <v>31.335048673366501</v>
      </c>
      <c r="K251">
        <v>34.0893630893706</v>
      </c>
      <c r="L251">
        <v>1.811357711438352E-3</v>
      </c>
      <c r="M251">
        <v>9.689290873383052E-4</v>
      </c>
      <c r="N251" s="1">
        <v>-6.2437521940149899E-5</v>
      </c>
      <c r="O251" s="1">
        <v>7.3227209905195705E-5</v>
      </c>
      <c r="P251" s="1">
        <v>-5.6908220889869199E-5</v>
      </c>
      <c r="AE251">
        <v>100</v>
      </c>
      <c r="AJ251">
        <v>1</v>
      </c>
    </row>
    <row r="252" spans="1:36" x14ac:dyDescent="0.2">
      <c r="A252">
        <v>251</v>
      </c>
      <c r="B252">
        <v>782</v>
      </c>
      <c r="C252">
        <v>105</v>
      </c>
      <c r="D252">
        <v>0.49805288347628701</v>
      </c>
      <c r="E252">
        <v>8.8609856767825299</v>
      </c>
      <c r="F252">
        <v>0.25071340579489598</v>
      </c>
      <c r="G252">
        <v>-197.74995715123234</v>
      </c>
      <c r="H252">
        <v>-109.43306122181987</v>
      </c>
      <c r="I252">
        <v>83.7056027385145</v>
      </c>
      <c r="J252">
        <v>32.5866890990714</v>
      </c>
      <c r="K252">
        <v>35.3430868552418</v>
      </c>
      <c r="L252">
        <v>1.8164834864550341E-3</v>
      </c>
      <c r="M252">
        <v>9.6901394882864848E-4</v>
      </c>
      <c r="N252" s="1">
        <v>-6.5008734658050606E-5</v>
      </c>
      <c r="O252" s="1">
        <v>7.5986032180791696E-5</v>
      </c>
      <c r="P252" s="1">
        <v>-5.9241185818384399E-5</v>
      </c>
      <c r="AE252">
        <v>100</v>
      </c>
      <c r="AJ252">
        <v>1</v>
      </c>
    </row>
    <row r="253" spans="1:36" x14ac:dyDescent="0.2">
      <c r="A253">
        <v>252</v>
      </c>
      <c r="B253">
        <v>781</v>
      </c>
      <c r="C253">
        <v>105</v>
      </c>
      <c r="D253">
        <v>0.49751031636863902</v>
      </c>
      <c r="E253">
        <v>9.6319835267537002</v>
      </c>
      <c r="F253">
        <v>0.25116988292112102</v>
      </c>
      <c r="G253">
        <v>-214.86528666240108</v>
      </c>
      <c r="H253">
        <v>-118.99031898770856</v>
      </c>
      <c r="I253">
        <v>90.955252750688203</v>
      </c>
      <c r="J253">
        <v>35.466086024482401</v>
      </c>
      <c r="K253">
        <v>38.3484811743077</v>
      </c>
      <c r="L253">
        <v>1.8216357097653423E-3</v>
      </c>
      <c r="M253">
        <v>9.6909712136672866E-4</v>
      </c>
      <c r="N253" s="1">
        <v>-7.0835029181508699E-5</v>
      </c>
      <c r="O253" s="1">
        <v>8.2519126879752202E-5</v>
      </c>
      <c r="P253" s="1">
        <v>-6.45415018448676E-5</v>
      </c>
      <c r="AE253">
        <v>100</v>
      </c>
      <c r="AJ253">
        <v>1</v>
      </c>
    </row>
    <row r="254" spans="1:36" x14ac:dyDescent="0.2">
      <c r="A254">
        <v>253</v>
      </c>
      <c r="B254">
        <v>780</v>
      </c>
      <c r="C254">
        <v>105</v>
      </c>
      <c r="D254">
        <v>0.49696671889094501</v>
      </c>
      <c r="E254">
        <v>10.021575806952701</v>
      </c>
      <c r="F254">
        <v>0.25162849094712503</v>
      </c>
      <c r="G254">
        <v>-223.46149226051281</v>
      </c>
      <c r="H254">
        <v>-123.84013599483453</v>
      </c>
      <c r="I254">
        <v>94.599146585719197</v>
      </c>
      <c r="J254">
        <v>36.946705668219302</v>
      </c>
      <c r="K254">
        <v>39.826872423038097</v>
      </c>
      <c r="L254">
        <v>1.8268145302212343E-3</v>
      </c>
      <c r="M254">
        <v>9.6917856750194985E-4</v>
      </c>
      <c r="N254" s="1">
        <v>-7.3875556142619295E-5</v>
      </c>
      <c r="O254" s="1">
        <v>8.5775114493803704E-5</v>
      </c>
      <c r="P254" s="1">
        <v>-6.7304993484440593E-5</v>
      </c>
      <c r="AE254">
        <v>100</v>
      </c>
      <c r="AJ254">
        <v>1</v>
      </c>
    </row>
    <row r="255" spans="1:36" x14ac:dyDescent="0.2">
      <c r="A255">
        <v>254</v>
      </c>
      <c r="B255">
        <v>779</v>
      </c>
      <c r="C255">
        <v>105</v>
      </c>
      <c r="D255">
        <v>0.49642208810530802</v>
      </c>
      <c r="E255">
        <v>10.2972873115477</v>
      </c>
      <c r="F255">
        <v>0.25208924522954101</v>
      </c>
      <c r="G255">
        <v>-229.51213455313672</v>
      </c>
      <c r="H255">
        <v>-127.28518698799031</v>
      </c>
      <c r="I255">
        <v>97.165651575604201</v>
      </c>
      <c r="J255">
        <v>38.010848443866401</v>
      </c>
      <c r="K255">
        <v>40.847785085680698</v>
      </c>
      <c r="L255">
        <v>1.8320200967443018E-3</v>
      </c>
      <c r="M255">
        <v>9.6925824908144099E-4</v>
      </c>
      <c r="N255" s="1">
        <v>-7.6086825068558697E-5</v>
      </c>
      <c r="O255" s="1">
        <v>8.8050889334873606E-5</v>
      </c>
      <c r="P255" s="1">
        <v>-6.9315185956193799E-5</v>
      </c>
      <c r="AE255">
        <v>100</v>
      </c>
      <c r="AJ255">
        <v>1</v>
      </c>
    </row>
    <row r="256" spans="1:36" x14ac:dyDescent="0.2">
      <c r="A256">
        <v>255</v>
      </c>
      <c r="B256">
        <v>778</v>
      </c>
      <c r="C256">
        <v>105</v>
      </c>
      <c r="D256">
        <v>0.49587642106264601</v>
      </c>
      <c r="E256">
        <v>10.4572488547036</v>
      </c>
      <c r="F256">
        <v>0.25255216126097602</v>
      </c>
      <c r="G256">
        <v>-232.97879696337574</v>
      </c>
      <c r="H256">
        <v>-129.30110378454989</v>
      </c>
      <c r="I256">
        <v>98.638327031126906</v>
      </c>
      <c r="J256">
        <v>38.650051069443698</v>
      </c>
      <c r="K256">
        <v>41.406293268255098</v>
      </c>
      <c r="L256">
        <v>1.8372525582936693E-3</v>
      </c>
      <c r="M256">
        <v>9.6933612723685658E-4</v>
      </c>
      <c r="N256" s="1">
        <v>-7.7448887989912295E-5</v>
      </c>
      <c r="O256" s="1">
        <v>8.9333264558423203E-5</v>
      </c>
      <c r="P256" s="1">
        <v>-7.0554335146302098E-5</v>
      </c>
      <c r="AE256">
        <v>100</v>
      </c>
      <c r="AJ256">
        <v>1</v>
      </c>
    </row>
    <row r="257" spans="1:36" x14ac:dyDescent="0.2">
      <c r="A257">
        <v>256</v>
      </c>
      <c r="B257">
        <v>777</v>
      </c>
      <c r="C257">
        <v>105</v>
      </c>
      <c r="D257">
        <v>0.49532971480264998</v>
      </c>
      <c r="E257">
        <v>10.5459537483282</v>
      </c>
      <c r="F257">
        <v>0.253017254671208</v>
      </c>
      <c r="G257">
        <v>-234.85561164633319</v>
      </c>
      <c r="H257">
        <v>-130.43691883664542</v>
      </c>
      <c r="I257">
        <v>99.437916347205899</v>
      </c>
      <c r="J257">
        <v>39.027368239191603</v>
      </c>
      <c r="K257">
        <v>41.6807690132934</v>
      </c>
      <c r="L257">
        <v>1.8425120638326995E-3</v>
      </c>
      <c r="M257">
        <v>9.6941216237093691E-4</v>
      </c>
      <c r="N257" s="1">
        <v>-7.8285923948737506E-5</v>
      </c>
      <c r="O257" s="1">
        <v>9.0004801793322004E-5</v>
      </c>
      <c r="P257" s="1">
        <v>-7.1318020060082797E-5</v>
      </c>
      <c r="AE257">
        <v>100</v>
      </c>
      <c r="AJ257">
        <v>1</v>
      </c>
    </row>
    <row r="258" spans="1:36" x14ac:dyDescent="0.2">
      <c r="A258">
        <v>257</v>
      </c>
      <c r="B258">
        <v>815</v>
      </c>
      <c r="C258">
        <v>90</v>
      </c>
      <c r="D258">
        <v>0.53056150346919295</v>
      </c>
      <c r="E258">
        <v>7.3586721547963903</v>
      </c>
      <c r="F258">
        <v>0.20194282472099101</v>
      </c>
      <c r="G258">
        <v>-167.03464101472491</v>
      </c>
      <c r="H258">
        <v>-89.604996450561075</v>
      </c>
      <c r="I258">
        <v>71.161012404765003</v>
      </c>
      <c r="J258">
        <v>25.155841887903598</v>
      </c>
      <c r="K258">
        <v>36.4393840928157</v>
      </c>
      <c r="L258">
        <v>1.6259194069559839E-3</v>
      </c>
      <c r="M258">
        <v>1.1632231565617819E-3</v>
      </c>
      <c r="N258" s="1">
        <v>-6.2160000467137005E-5</v>
      </c>
      <c r="O258">
        <v>1.03828537984964E-4</v>
      </c>
      <c r="P258" s="1">
        <v>-5.6476163595934901E-5</v>
      </c>
      <c r="AE258">
        <v>100</v>
      </c>
      <c r="AJ258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4E4E-A63A-466E-AEBD-74BB161E6107}">
  <sheetPr codeName="Sheet15"/>
  <dimension ref="A1:AU258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300</v>
      </c>
      <c r="D2">
        <v>0.27595058971994302</v>
      </c>
      <c r="E2">
        <v>216.64705833756648</v>
      </c>
      <c r="F2">
        <v>67.404851786275074</v>
      </c>
      <c r="G2">
        <v>72.667438074062702</v>
      </c>
      <c r="H2">
        <v>68.068838459480673</v>
      </c>
      <c r="J2">
        <v>71.015890380190584</v>
      </c>
      <c r="L2">
        <v>8.8046081148368707</v>
      </c>
      <c r="M2">
        <v>13.945907902029866</v>
      </c>
      <c r="N2">
        <v>2.6703724647730955</v>
      </c>
      <c r="O2">
        <v>34.956102791824591</v>
      </c>
      <c r="P2">
        <v>13.829460878682518</v>
      </c>
      <c r="Q2">
        <v>1.2558148667973537</v>
      </c>
      <c r="R2">
        <v>18.520955304701069</v>
      </c>
      <c r="S2">
        <v>52.008894559883139</v>
      </c>
      <c r="U2">
        <v>1.9442504901798365</v>
      </c>
      <c r="V2">
        <v>49.723641978413781</v>
      </c>
      <c r="W2">
        <v>21.390930528884176</v>
      </c>
      <c r="X2">
        <v>49.806028617478773</v>
      </c>
      <c r="Y2">
        <v>10.730031480443724</v>
      </c>
      <c r="Z2">
        <v>33.972215457448712</v>
      </c>
      <c r="AA2">
        <v>7.8680925041165102</v>
      </c>
      <c r="AB2">
        <v>37.839111583003152</v>
      </c>
      <c r="AC2">
        <v>1.8580743886666357E-3</v>
      </c>
      <c r="AD2">
        <v>9.6950794339277859</v>
      </c>
      <c r="AE2">
        <v>13.485956537564991</v>
      </c>
      <c r="AF2">
        <v>13.635936412165782</v>
      </c>
      <c r="AG2">
        <v>23.289861283017871</v>
      </c>
      <c r="AH2">
        <v>10.627803295578794</v>
      </c>
      <c r="AI2">
        <v>2.6216065347105864</v>
      </c>
      <c r="AK2">
        <v>58.857982387195477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216.52634545531743</v>
      </c>
      <c r="F3">
        <v>67.025587973767344</v>
      </c>
      <c r="G3">
        <v>72.604959780175946</v>
      </c>
      <c r="H3">
        <v>68.003975998454507</v>
      </c>
      <c r="J3">
        <v>70.927574715948765</v>
      </c>
      <c r="L3">
        <v>8.718028681478069</v>
      </c>
      <c r="M3">
        <v>13.875087270537447</v>
      </c>
      <c r="N3">
        <v>2.6702255567094162</v>
      </c>
      <c r="O3">
        <v>34.563756651606937</v>
      </c>
      <c r="P3">
        <v>13.725856239857128</v>
      </c>
      <c r="Q3">
        <v>1.190689974759148</v>
      </c>
      <c r="R3">
        <v>18.301008516366839</v>
      </c>
      <c r="S3">
        <v>51.542910237553947</v>
      </c>
      <c r="U3">
        <v>1.8624590703185671</v>
      </c>
      <c r="V3">
        <v>49.608865584777313</v>
      </c>
      <c r="W3">
        <v>21.182161896496897</v>
      </c>
      <c r="X3">
        <v>49.592422077648571</v>
      </c>
      <c r="Y3">
        <v>10.638308671111103</v>
      </c>
      <c r="Z3">
        <v>33.761506234083519</v>
      </c>
      <c r="AA3">
        <v>7.7788714538807033</v>
      </c>
      <c r="AB3">
        <v>37.679122607858233</v>
      </c>
      <c r="AD3">
        <v>9.5754331595438735</v>
      </c>
      <c r="AE3">
        <v>13.391518048933365</v>
      </c>
      <c r="AF3">
        <v>13.561880606177404</v>
      </c>
      <c r="AG3">
        <v>23.112727388104972</v>
      </c>
      <c r="AH3">
        <v>10.492191573384583</v>
      </c>
      <c r="AI3">
        <v>2.6211713942009576</v>
      </c>
      <c r="AK3">
        <v>58.842775234187158</v>
      </c>
    </row>
    <row r="4" spans="1:47" x14ac:dyDescent="0.2">
      <c r="A4">
        <v>3</v>
      </c>
      <c r="B4">
        <v>755</v>
      </c>
      <c r="C4">
        <v>300</v>
      </c>
      <c r="D4">
        <v>0.27440597189125798</v>
      </c>
      <c r="E4">
        <v>216.4009590584927</v>
      </c>
      <c r="F4">
        <v>66.630043816938681</v>
      </c>
      <c r="G4">
        <v>72.540102247823981</v>
      </c>
      <c r="H4">
        <v>67.936747327617383</v>
      </c>
      <c r="J4">
        <v>70.830857436228328</v>
      </c>
      <c r="L4">
        <v>8.6289324036942538</v>
      </c>
      <c r="M4">
        <v>13.797581315809216</v>
      </c>
      <c r="N4">
        <v>2.6721966236792074</v>
      </c>
      <c r="O4">
        <v>34.165255692049676</v>
      </c>
      <c r="P4">
        <v>13.619618850479357</v>
      </c>
      <c r="Q4">
        <v>1.1204154082803943</v>
      </c>
      <c r="R4">
        <v>18.070525085480934</v>
      </c>
      <c r="S4">
        <v>51.043899209488238</v>
      </c>
      <c r="U4">
        <v>1.7749404490004612</v>
      </c>
      <c r="V4">
        <v>49.483537012523598</v>
      </c>
      <c r="W4">
        <v>20.960701225263712</v>
      </c>
      <c r="X4">
        <v>49.359435937327618</v>
      </c>
      <c r="Y4">
        <v>10.543185170627691</v>
      </c>
      <c r="Z4">
        <v>33.540726413065585</v>
      </c>
      <c r="AA4">
        <v>7.6871950570635015</v>
      </c>
      <c r="AB4">
        <v>37.50684885173532</v>
      </c>
      <c r="AD4">
        <v>9.4493356593973488</v>
      </c>
      <c r="AE4">
        <v>13.293041170928168</v>
      </c>
      <c r="AF4">
        <v>13.483257742678186</v>
      </c>
      <c r="AG4">
        <v>22.925429208594228</v>
      </c>
      <c r="AH4">
        <v>10.348878336235721</v>
      </c>
      <c r="AI4">
        <v>2.6228533978213822</v>
      </c>
      <c r="AK4">
        <v>58.824680253512362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216.27573912382607</v>
      </c>
      <c r="F5">
        <v>66.235219563709009</v>
      </c>
      <c r="G5">
        <v>72.475331738980969</v>
      </c>
      <c r="H5">
        <v>67.869618729781379</v>
      </c>
      <c r="J5">
        <v>70.734768269330587</v>
      </c>
      <c r="L5">
        <v>8.5400600009451448</v>
      </c>
      <c r="M5">
        <v>13.720226959067917</v>
      </c>
      <c r="N5">
        <v>2.6741675586039881</v>
      </c>
      <c r="O5">
        <v>33.767386451052168</v>
      </c>
      <c r="P5">
        <v>13.513563150130214</v>
      </c>
      <c r="Q5">
        <v>1.0502696957511317</v>
      </c>
      <c r="R5">
        <v>17.840420054895311</v>
      </c>
      <c r="S5">
        <v>50.545851252978125</v>
      </c>
      <c r="U5">
        <v>1.6875047299227477</v>
      </c>
      <c r="V5">
        <v>49.358410606938321</v>
      </c>
      <c r="W5">
        <v>20.739526891908906</v>
      </c>
      <c r="X5">
        <v>49.126909363495344</v>
      </c>
      <c r="Y5">
        <v>10.448225535833512</v>
      </c>
      <c r="Z5">
        <v>33.320229948481263</v>
      </c>
      <c r="AA5">
        <v>7.5956940799016301</v>
      </c>
      <c r="AB5">
        <v>37.334848708892551</v>
      </c>
      <c r="AD5">
        <v>9.323343373640629</v>
      </c>
      <c r="AE5">
        <v>13.194683594912879</v>
      </c>
      <c r="AF5">
        <v>13.404786641424892</v>
      </c>
      <c r="AG5">
        <v>22.738407037598634</v>
      </c>
      <c r="AH5">
        <v>10.205790279324514</v>
      </c>
      <c r="AI5">
        <v>2.6245344366555319</v>
      </c>
      <c r="AK5">
        <v>58.806916995471482</v>
      </c>
    </row>
    <row r="6" spans="1:47" x14ac:dyDescent="0.2">
      <c r="A6">
        <v>5</v>
      </c>
      <c r="B6">
        <v>753</v>
      </c>
      <c r="C6">
        <v>300</v>
      </c>
      <c r="D6">
        <v>0.27285533304097898</v>
      </c>
      <c r="E6">
        <v>216.15068524915111</v>
      </c>
      <c r="F6">
        <v>65.841113350852297</v>
      </c>
      <c r="G6">
        <v>72.410648090563853</v>
      </c>
      <c r="H6">
        <v>67.802590062743192</v>
      </c>
      <c r="J6">
        <v>70.63930681761444</v>
      </c>
      <c r="L6">
        <v>8.4513610322784825</v>
      </c>
      <c r="M6">
        <v>13.643023689256102</v>
      </c>
      <c r="N6">
        <v>2.6761383620518657</v>
      </c>
      <c r="O6">
        <v>33.370147497266132</v>
      </c>
      <c r="P6">
        <v>13.407688835984111</v>
      </c>
      <c r="Q6">
        <v>0.98025208641684092</v>
      </c>
      <c r="R6">
        <v>17.610692250754418</v>
      </c>
      <c r="S6">
        <v>50.048763444453471</v>
      </c>
      <c r="U6">
        <v>1.6001515383579545</v>
      </c>
      <c r="V6">
        <v>49.233485632527568</v>
      </c>
      <c r="W6">
        <v>20.518637816801323</v>
      </c>
      <c r="X6">
        <v>48.894840858830342</v>
      </c>
      <c r="Y6">
        <v>10.35342938088681</v>
      </c>
      <c r="Z6">
        <v>33.100015614620006</v>
      </c>
      <c r="AA6">
        <v>7.5043681178980037</v>
      </c>
      <c r="AB6">
        <v>37.163121075121765</v>
      </c>
      <c r="AD6">
        <v>9.1974560877416138</v>
      </c>
      <c r="AE6">
        <v>13.096444718664056</v>
      </c>
      <c r="AF6">
        <v>13.326466797549411</v>
      </c>
      <c r="AG6">
        <v>22.551659777427417</v>
      </c>
      <c r="AH6">
        <v>10.062927049792835</v>
      </c>
      <c r="AI6">
        <v>2.626214509431569</v>
      </c>
      <c r="AK6">
        <v>58.789485434929979</v>
      </c>
    </row>
    <row r="7" spans="1:47" x14ac:dyDescent="0.2">
      <c r="A7">
        <v>6</v>
      </c>
      <c r="B7">
        <v>752</v>
      </c>
      <c r="C7">
        <v>300</v>
      </c>
      <c r="D7">
        <v>0.27207774472028401</v>
      </c>
      <c r="E7">
        <v>216.02579703839581</v>
      </c>
      <c r="F7">
        <v>65.44772333916616</v>
      </c>
      <c r="G7">
        <v>72.346051142440089</v>
      </c>
      <c r="H7">
        <v>67.735661187289665</v>
      </c>
      <c r="J7">
        <v>70.544472696532409</v>
      </c>
      <c r="L7">
        <v>8.3628354431548448</v>
      </c>
      <c r="M7">
        <v>13.565971000109151</v>
      </c>
      <c r="N7">
        <v>2.6781090345907144</v>
      </c>
      <c r="O7">
        <v>32.97353741804092</v>
      </c>
      <c r="P7">
        <v>13.301995611178716</v>
      </c>
      <c r="Q7">
        <v>0.91036183165635431</v>
      </c>
      <c r="R7">
        <v>17.38134051306335</v>
      </c>
      <c r="S7">
        <v>49.55263289091431</v>
      </c>
      <c r="U7">
        <v>1.512880505231216</v>
      </c>
      <c r="V7">
        <v>49.108761354596759</v>
      </c>
      <c r="W7">
        <v>20.298032929194168</v>
      </c>
      <c r="X7">
        <v>48.663228942403322</v>
      </c>
      <c r="Y7">
        <v>10.258796326179416</v>
      </c>
      <c r="Z7">
        <v>32.880082193186709</v>
      </c>
      <c r="AA7">
        <v>7.4132167727295819</v>
      </c>
      <c r="AB7">
        <v>36.99166485392287</v>
      </c>
      <c r="AD7">
        <v>9.0716735894264762</v>
      </c>
      <c r="AE7">
        <v>12.998323942842088</v>
      </c>
      <c r="AF7">
        <v>13.248297710993228</v>
      </c>
      <c r="AG7">
        <v>22.365186338118601</v>
      </c>
      <c r="AH7">
        <v>9.9202883019511461</v>
      </c>
      <c r="AI7">
        <v>2.627893614878587</v>
      </c>
      <c r="AK7">
        <v>58.772385553778292</v>
      </c>
    </row>
    <row r="8" spans="1:47" x14ac:dyDescent="0.2">
      <c r="A8">
        <v>7</v>
      </c>
      <c r="B8">
        <v>751</v>
      </c>
      <c r="C8">
        <v>300</v>
      </c>
      <c r="D8">
        <v>0.27129863789483999</v>
      </c>
      <c r="E8">
        <v>215.90107410186323</v>
      </c>
      <c r="F8">
        <v>65.055047714329461</v>
      </c>
      <c r="G8">
        <v>72.281540737554479</v>
      </c>
      <c r="H8">
        <v>67.668831967326383</v>
      </c>
      <c r="J8">
        <v>70.450265535165386</v>
      </c>
      <c r="L8">
        <v>8.2744833110898526</v>
      </c>
      <c r="M8">
        <v>13.489068390528722</v>
      </c>
      <c r="N8">
        <v>2.6800795766747858</v>
      </c>
      <c r="O8">
        <v>32.577554819672443</v>
      </c>
      <c r="P8">
        <v>13.196483184959082</v>
      </c>
      <c r="Q8">
        <v>0.84059818519191776</v>
      </c>
      <c r="R8">
        <v>17.15236369627997</v>
      </c>
      <c r="S8">
        <v>49.057456731721196</v>
      </c>
      <c r="U8">
        <v>1.4256912674327691</v>
      </c>
      <c r="V8">
        <v>48.984237039669154</v>
      </c>
      <c r="W8">
        <v>20.07771116783686</v>
      </c>
      <c r="X8">
        <v>48.432072151309796</v>
      </c>
      <c r="Y8">
        <v>10.164325998525173</v>
      </c>
      <c r="Z8">
        <v>32.660428473697991</v>
      </c>
      <c r="AA8">
        <v>7.3222396524424473</v>
      </c>
      <c r="AB8">
        <v>36.820478957077569</v>
      </c>
      <c r="AD8">
        <v>8.9459956689956819</v>
      </c>
      <c r="AE8">
        <v>12.900320671120319</v>
      </c>
      <c r="AF8">
        <v>13.170278886760949</v>
      </c>
      <c r="AG8">
        <v>22.178985637897018</v>
      </c>
      <c r="AH8">
        <v>9.7778736976929927</v>
      </c>
      <c r="AI8">
        <v>2.6295717516113606</v>
      </c>
      <c r="AK8">
        <v>58.755617341146952</v>
      </c>
    </row>
    <row r="9" spans="1:47" x14ac:dyDescent="0.2">
      <c r="A9">
        <v>8</v>
      </c>
      <c r="B9">
        <v>750</v>
      </c>
      <c r="C9">
        <v>300</v>
      </c>
      <c r="D9">
        <v>0.270518008112205</v>
      </c>
      <c r="E9">
        <v>215.77651605534078</v>
      </c>
      <c r="F9">
        <v>64.663084683938777</v>
      </c>
      <c r="G9">
        <v>72.217116721539568</v>
      </c>
      <c r="H9">
        <v>67.602102269488199</v>
      </c>
      <c r="J9">
        <v>70.356684974620705</v>
      </c>
      <c r="L9">
        <v>8.1862487090960467</v>
      </c>
      <c r="M9">
        <v>13.41231536352034</v>
      </c>
      <c r="N9">
        <v>2.682049988896634</v>
      </c>
      <c r="O9">
        <v>32.18219832612278</v>
      </c>
      <c r="P9">
        <v>13.091151272144222</v>
      </c>
      <c r="Q9">
        <v>0.77096040215815809</v>
      </c>
      <c r="R9">
        <v>16.923760667438085</v>
      </c>
      <c r="S9">
        <v>48.563232133306393</v>
      </c>
      <c r="U9">
        <v>1.338583466933521</v>
      </c>
      <c r="V9">
        <v>48.859911953499889</v>
      </c>
      <c r="W9">
        <v>19.857671479147868</v>
      </c>
      <c r="X9">
        <v>48.201369036406966</v>
      </c>
      <c r="Y9">
        <v>10.07001803054245</v>
      </c>
      <c r="Z9">
        <v>32.441053252105796</v>
      </c>
      <c r="AA9">
        <v>7.2314363709594547</v>
      </c>
      <c r="AB9">
        <v>36.649562302912202</v>
      </c>
      <c r="AD9">
        <v>8.820422118443739</v>
      </c>
      <c r="AE9">
        <v>12.802434309677812</v>
      </c>
      <c r="AF9">
        <v>13.092409834111471</v>
      </c>
      <c r="AG9">
        <v>21.993056601688593</v>
      </c>
      <c r="AH9">
        <v>9.6356829052783937</v>
      </c>
      <c r="AI9">
        <v>2.6312489183822665</v>
      </c>
      <c r="AK9">
        <v>58.739180792699713</v>
      </c>
    </row>
    <row r="10" spans="1:47" x14ac:dyDescent="0.2">
      <c r="A10">
        <v>9</v>
      </c>
      <c r="B10">
        <v>749</v>
      </c>
      <c r="C10">
        <v>300</v>
      </c>
      <c r="D10">
        <v>0.26973585090251001</v>
      </c>
      <c r="E10">
        <v>215.65212252084913</v>
      </c>
      <c r="F10">
        <v>64.271832479861231</v>
      </c>
      <c r="G10">
        <v>72.152778943043486</v>
      </c>
      <c r="H10">
        <v>67.535471963465042</v>
      </c>
      <c r="J10">
        <v>70.263730669400687</v>
      </c>
      <c r="L10">
        <v>8.09823453931274</v>
      </c>
      <c r="M10">
        <v>13.335711427087011</v>
      </c>
      <c r="N10">
        <v>2.6840202717435746</v>
      </c>
      <c r="O10">
        <v>31.787466579909054</v>
      </c>
      <c r="P10">
        <v>12.98599959354738</v>
      </c>
      <c r="Q10">
        <v>0.70144773976271246</v>
      </c>
      <c r="R10">
        <v>16.695530307667898</v>
      </c>
      <c r="S10">
        <v>48.069956293588831</v>
      </c>
      <c r="U10">
        <v>1.2515567515410502</v>
      </c>
      <c r="V10">
        <v>48.735785362362655</v>
      </c>
      <c r="W10">
        <v>19.63791281872226</v>
      </c>
      <c r="X10">
        <v>47.971118166114159</v>
      </c>
      <c r="Y10">
        <v>9.9758720611571281</v>
      </c>
      <c r="Z10">
        <v>32.221955331823516</v>
      </c>
      <c r="AA10">
        <v>7.1408065485163172</v>
      </c>
      <c r="AB10">
        <v>36.478913817701475</v>
      </c>
      <c r="AD10">
        <v>8.694952732201342</v>
      </c>
      <c r="AE10">
        <v>12.704664267544876</v>
      </c>
      <c r="AF10">
        <v>13.014690067210129</v>
      </c>
      <c r="AG10">
        <v>21.807398162283331</v>
      </c>
      <c r="AH10">
        <v>9.4937156003703489</v>
      </c>
      <c r="AI10">
        <v>2.6329251138392569</v>
      </c>
      <c r="AK10">
        <v>58.723075911234275</v>
      </c>
    </row>
    <row r="11" spans="1:47" x14ac:dyDescent="0.2">
      <c r="A11">
        <v>10</v>
      </c>
      <c r="B11">
        <v>748</v>
      </c>
      <c r="C11">
        <v>300</v>
      </c>
      <c r="D11">
        <v>0.26895216177838999</v>
      </c>
      <c r="E11">
        <v>215.52789312612268</v>
      </c>
      <c r="F11">
        <v>63.881289356396664</v>
      </c>
      <c r="G11">
        <v>72.088527253484884</v>
      </c>
      <c r="H11">
        <v>67.468940921759298</v>
      </c>
      <c r="J11">
        <v>70.171402286457422</v>
      </c>
      <c r="L11">
        <v>8.0103927846676104</v>
      </c>
      <c r="M11">
        <v>13.259256093530729</v>
      </c>
      <c r="N11">
        <v>2.6859904257856924</v>
      </c>
      <c r="O11">
        <v>31.393358241330645</v>
      </c>
      <c r="P11">
        <v>12.881027875663326</v>
      </c>
      <c r="Q11">
        <v>0.63205945667196284</v>
      </c>
      <c r="R11">
        <v>16.467671511040965</v>
      </c>
      <c r="S11">
        <v>47.577626438534047</v>
      </c>
      <c r="U11">
        <v>1.1646107743235938</v>
      </c>
      <c r="V11">
        <v>48.611856531738233</v>
      </c>
      <c r="W11">
        <v>19.418434150052612</v>
      </c>
      <c r="X11">
        <v>47.741318123653954</v>
      </c>
      <c r="Y11">
        <v>9.8818877352299559</v>
      </c>
      <c r="Z11">
        <v>32.003133522689311</v>
      </c>
      <c r="AA11">
        <v>7.0503498113911993</v>
      </c>
      <c r="AB11">
        <v>36.308532434427256</v>
      </c>
      <c r="AD11">
        <v>8.5695873065076675</v>
      </c>
      <c r="AE11">
        <v>12.607009956185133</v>
      </c>
      <c r="AF11">
        <v>12.937119104616469</v>
      </c>
      <c r="AG11">
        <v>21.622009259280613</v>
      </c>
      <c r="AH11">
        <v>9.3519714652504859</v>
      </c>
      <c r="AI11">
        <v>2.634600336711892</v>
      </c>
      <c r="AK11">
        <v>58.707302706306947</v>
      </c>
    </row>
    <row r="12" spans="1:47" x14ac:dyDescent="0.2">
      <c r="A12">
        <v>11</v>
      </c>
      <c r="B12">
        <v>747</v>
      </c>
      <c r="C12">
        <v>300</v>
      </c>
      <c r="D12">
        <v>0.26816693623486898</v>
      </c>
      <c r="E12">
        <v>215.40382750497145</v>
      </c>
      <c r="F12">
        <v>63.491453591418818</v>
      </c>
      <c r="G12">
        <v>72.024361507217819</v>
      </c>
      <c r="H12">
        <v>67.40250901985118</v>
      </c>
      <c r="J12">
        <v>70.079699505872071</v>
      </c>
      <c r="L12">
        <v>7.9227239012054849</v>
      </c>
      <c r="M12">
        <v>13.182948879904393</v>
      </c>
      <c r="N12">
        <v>2.6879604515313735</v>
      </c>
      <c r="O12">
        <v>30.999871988836844</v>
      </c>
      <c r="P12">
        <v>12.77623585086884</v>
      </c>
      <c r="Q12">
        <v>0.56279481329658576</v>
      </c>
      <c r="R12">
        <v>16.240183185295425</v>
      </c>
      <c r="S12">
        <v>47.086239824404593</v>
      </c>
      <c r="U12">
        <v>1.077745193996227</v>
      </c>
      <c r="V12">
        <v>48.48812472682301</v>
      </c>
      <c r="W12">
        <v>19.199234445318762</v>
      </c>
      <c r="X12">
        <v>47.511967509410354</v>
      </c>
      <c r="Y12">
        <v>9.7880647038020516</v>
      </c>
      <c r="Z12">
        <v>31.784586641494656</v>
      </c>
      <c r="AA12">
        <v>6.9600657921047819</v>
      </c>
      <c r="AB12">
        <v>36.13841709350919</v>
      </c>
      <c r="AD12">
        <v>8.4443256398068467</v>
      </c>
      <c r="AE12">
        <v>12.50947078967398</v>
      </c>
      <c r="AF12">
        <v>12.859696469591123</v>
      </c>
      <c r="AG12">
        <v>21.436888839672882</v>
      </c>
      <c r="AH12">
        <v>9.2104501893558126</v>
      </c>
      <c r="AI12">
        <v>2.636274585668962</v>
      </c>
      <c r="AK12">
        <v>58.691861194521344</v>
      </c>
    </row>
    <row r="13" spans="1:47" x14ac:dyDescent="0.2">
      <c r="A13">
        <v>12</v>
      </c>
      <c r="B13">
        <v>746</v>
      </c>
      <c r="C13">
        <v>300</v>
      </c>
      <c r="D13">
        <v>0.26738016974930101</v>
      </c>
      <c r="E13">
        <v>215.27992529688092</v>
      </c>
      <c r="F13">
        <v>63.102323485034638</v>
      </c>
      <c r="G13">
        <v>71.960281561368689</v>
      </c>
      <c r="H13">
        <v>67.336176136033217</v>
      </c>
      <c r="J13">
        <v>69.98862202015475</v>
      </c>
      <c r="L13">
        <v>7.8351709021700824</v>
      </c>
      <c r="M13">
        <v>13.10678930759155</v>
      </c>
      <c r="N13">
        <v>2.6899303495104241</v>
      </c>
      <c r="O13">
        <v>30.607006518415357</v>
      </c>
      <c r="P13">
        <v>12.671623257165182</v>
      </c>
      <c r="Q13">
        <v>0.49365307135680175</v>
      </c>
      <c r="R13">
        <v>16.013064251045869</v>
      </c>
      <c r="S13">
        <v>46.59579373559842</v>
      </c>
      <c r="U13">
        <v>0.99095967457335321</v>
      </c>
      <c r="V13">
        <v>48.364589211549983</v>
      </c>
      <c r="W13">
        <v>18.980312684667652</v>
      </c>
      <c r="X13">
        <v>47.283064936995721</v>
      </c>
      <c r="Y13">
        <v>9.6944026238181422</v>
      </c>
      <c r="Z13">
        <v>31.566313511442971</v>
      </c>
      <c r="AA13">
        <v>6.8699541292117425</v>
      </c>
      <c r="AB13">
        <v>35.968566742140183</v>
      </c>
      <c r="AD13">
        <v>8.3191675324165075</v>
      </c>
      <c r="AE13">
        <v>12.412046184508489</v>
      </c>
      <c r="AF13">
        <v>12.782421689762623</v>
      </c>
      <c r="AG13">
        <v>21.252035857268709</v>
      </c>
      <c r="AH13">
        <v>9.0691514687733417</v>
      </c>
      <c r="AI13">
        <v>2.6379478593997474</v>
      </c>
      <c r="AK13">
        <v>58.676751399182869</v>
      </c>
    </row>
    <row r="14" spans="1:47" x14ac:dyDescent="0.2">
      <c r="A14">
        <v>13</v>
      </c>
      <c r="B14">
        <v>745</v>
      </c>
      <c r="C14">
        <v>300</v>
      </c>
      <c r="D14">
        <v>0.26659185778126798</v>
      </c>
      <c r="E14">
        <v>215.15618614727097</v>
      </c>
      <c r="F14">
        <v>62.713897360194366</v>
      </c>
      <c r="G14">
        <v>71.896287275909188</v>
      </c>
      <c r="H14">
        <v>67.269942151485211</v>
      </c>
      <c r="J14">
        <v>69.898169534704948</v>
      </c>
      <c r="L14">
        <v>7.7478371402004163</v>
      </c>
      <c r="M14">
        <v>13.030776902440977</v>
      </c>
      <c r="N14">
        <v>2.6919001202726736</v>
      </c>
      <c r="O14">
        <v>30.21476054382061</v>
      </c>
      <c r="P14">
        <v>12.567189838331544</v>
      </c>
      <c r="Q14">
        <v>0.42463349397239836</v>
      </c>
      <c r="R14">
        <v>15.786313642126668</v>
      </c>
      <c r="S14">
        <v>46.106285485385669</v>
      </c>
      <c r="U14">
        <v>0.90425388549328334</v>
      </c>
      <c r="V14">
        <v>48.241249248698985</v>
      </c>
      <c r="W14">
        <v>18.761667856297404</v>
      </c>
      <c r="X14">
        <v>47.054609037741308</v>
      </c>
      <c r="Y14">
        <v>9.6009011582739472</v>
      </c>
      <c r="Z14">
        <v>31.348312962012926</v>
      </c>
      <c r="AA14">
        <v>6.7800144674435865</v>
      </c>
      <c r="AB14">
        <v>35.798980334271754</v>
      </c>
      <c r="AD14">
        <v>8.1941127865334185</v>
      </c>
      <c r="AE14">
        <v>12.314735559468867</v>
      </c>
      <c r="AF14">
        <v>12.705294297253367</v>
      </c>
      <c r="AG14">
        <v>21.067449272674843</v>
      </c>
      <c r="AH14">
        <v>8.9280750064405936</v>
      </c>
      <c r="AI14">
        <v>2.6396201566139004</v>
      </c>
      <c r="AK14">
        <v>58.661973350610737</v>
      </c>
    </row>
    <row r="15" spans="1:47" x14ac:dyDescent="0.2">
      <c r="A15">
        <v>14</v>
      </c>
      <c r="B15">
        <v>744</v>
      </c>
      <c r="C15">
        <v>300</v>
      </c>
      <c r="D15">
        <v>0.26580199577250502</v>
      </c>
      <c r="E15">
        <v>215.03260970729966</v>
      </c>
      <c r="F15">
        <v>62.326173562151041</v>
      </c>
      <c r="G15">
        <v>71.832378513616248</v>
      </c>
      <c r="H15">
        <v>67.203806950233144</v>
      </c>
      <c r="J15">
        <v>69.808341767490475</v>
      </c>
      <c r="L15">
        <v>7.6606759813439345</v>
      </c>
      <c r="M15">
        <v>12.954911194726632</v>
      </c>
      <c r="N15">
        <v>2.6938697643246452</v>
      </c>
      <c r="O15">
        <v>29.82313279623019</v>
      </c>
      <c r="P15">
        <v>12.462935343778124</v>
      </c>
      <c r="Q15">
        <v>0.35573534548734825</v>
      </c>
      <c r="R15">
        <v>15.559930305341368</v>
      </c>
      <c r="S15">
        <v>45.617712415591335</v>
      </c>
      <c r="U15">
        <v>0.81762750158844599</v>
      </c>
      <c r="V15">
        <v>48.118104099450655</v>
      </c>
      <c r="W15">
        <v>18.54329895653623</v>
      </c>
      <c r="X15">
        <v>46.826598457437214</v>
      </c>
      <c r="Y15">
        <v>9.5075599761016161</v>
      </c>
      <c r="Z15">
        <v>31.130583829101248</v>
      </c>
      <c r="AA15">
        <v>6.6902464576033598</v>
      </c>
      <c r="AB15">
        <v>35.62965683075025</v>
      </c>
      <c r="AD15">
        <v>8.0691612063167906</v>
      </c>
      <c r="AE15">
        <v>12.21753833573138</v>
      </c>
      <c r="AF15">
        <v>12.628313828581829</v>
      </c>
      <c r="AG15">
        <v>20.88312805336631</v>
      </c>
      <c r="AH15">
        <v>8.7872205120687479</v>
      </c>
      <c r="AI15">
        <v>2.6412914759769519</v>
      </c>
      <c r="AK15">
        <v>58.647527085867864</v>
      </c>
    </row>
    <row r="16" spans="1:47" x14ac:dyDescent="0.2">
      <c r="A16">
        <v>15</v>
      </c>
      <c r="B16">
        <v>743</v>
      </c>
      <c r="C16">
        <v>300</v>
      </c>
      <c r="D16">
        <v>0.265010579146782</v>
      </c>
      <c r="E16">
        <v>214.90919563393518</v>
      </c>
      <c r="F16">
        <v>61.939150458415625</v>
      </c>
      <c r="G16">
        <v>71.768555140044867</v>
      </c>
      <c r="H16">
        <v>67.137770419124834</v>
      </c>
      <c r="J16">
        <v>69.719138449155238</v>
      </c>
      <c r="L16">
        <v>7.5736321942880132</v>
      </c>
      <c r="M16">
        <v>12.879191718963249</v>
      </c>
      <c r="N16">
        <v>2.6958392822373556</v>
      </c>
      <c r="O16">
        <v>29.432122024263325</v>
      </c>
      <c r="P16">
        <v>12.358859528603176</v>
      </c>
      <c r="Q16">
        <v>0.2869578913260375</v>
      </c>
      <c r="R16">
        <v>15.333913200354267</v>
      </c>
      <c r="S16">
        <v>45.13007189599989</v>
      </c>
      <c r="U16">
        <v>0.73108020295115472</v>
      </c>
      <c r="V16">
        <v>47.995153022978606</v>
      </c>
      <c r="W16">
        <v>18.32520498929156</v>
      </c>
      <c r="X16">
        <v>46.599031857364722</v>
      </c>
      <c r="Y16">
        <v>9.4143787521789477</v>
      </c>
      <c r="Z16">
        <v>30.913124954385353</v>
      </c>
      <c r="AA16">
        <v>6.6006497565881803</v>
      </c>
      <c r="AB16">
        <v>35.460595198698186</v>
      </c>
      <c r="AD16">
        <v>7.9443125975804314</v>
      </c>
      <c r="AE16">
        <v>12.120453936518995</v>
      </c>
      <c r="AF16">
        <v>12.551479824588982</v>
      </c>
      <c r="AG16">
        <v>20.699071173183725</v>
      </c>
      <c r="AH16">
        <v>8.646587702000943</v>
      </c>
      <c r="AI16">
        <v>2.6429618162203248</v>
      </c>
      <c r="AK16">
        <v>58.633412648971344</v>
      </c>
    </row>
    <row r="17" spans="1:37" x14ac:dyDescent="0.2">
      <c r="A17">
        <v>16</v>
      </c>
      <c r="B17">
        <v>742</v>
      </c>
      <c r="C17">
        <v>300</v>
      </c>
      <c r="D17">
        <v>0.264217603309855</v>
      </c>
      <c r="E17">
        <v>214.7859435900555</v>
      </c>
      <c r="F17">
        <v>61.552826439116508</v>
      </c>
      <c r="G17">
        <v>71.704817023611383</v>
      </c>
      <c r="H17">
        <v>67.071832447909031</v>
      </c>
      <c r="J17">
        <v>69.63055932326229</v>
      </c>
      <c r="L17">
        <v>7.4868048101361948</v>
      </c>
      <c r="M17">
        <v>12.80361801419248</v>
      </c>
      <c r="N17">
        <v>2.6978086745098784</v>
      </c>
      <c r="O17">
        <v>29.041726993997749</v>
      </c>
      <c r="P17">
        <v>12.254962153619545</v>
      </c>
      <c r="Q17">
        <v>0.21830039808815491</v>
      </c>
      <c r="R17">
        <v>15.108261300003155</v>
      </c>
      <c r="S17">
        <v>44.643361325366619</v>
      </c>
      <c r="U17">
        <v>0.64461167517179863</v>
      </c>
      <c r="V17">
        <v>47.872395276567062</v>
      </c>
      <c r="W17">
        <v>18.107384966651974</v>
      </c>
      <c r="X17">
        <v>46.371907914671617</v>
      </c>
      <c r="Y17">
        <v>9.3213571674111702</v>
      </c>
      <c r="Z17">
        <v>30.695935185798049</v>
      </c>
      <c r="AA17">
        <v>6.5112240274408544</v>
      </c>
      <c r="AB17">
        <v>35.291794412112175</v>
      </c>
      <c r="AD17">
        <v>7.8195667681131056</v>
      </c>
      <c r="AE17">
        <v>12.023481787312903</v>
      </c>
      <c r="AF17">
        <v>12.474791830576605</v>
      </c>
      <c r="AG17">
        <v>20.51527761278405</v>
      </c>
      <c r="AH17">
        <v>8.5061762995074925</v>
      </c>
      <c r="AI17">
        <v>2.6446311760020995</v>
      </c>
      <c r="AK17">
        <v>58.619630090898063</v>
      </c>
    </row>
    <row r="18" spans="1:37" x14ac:dyDescent="0.2">
      <c r="A18">
        <v>17</v>
      </c>
      <c r="B18">
        <v>741</v>
      </c>
      <c r="C18">
        <v>300</v>
      </c>
      <c r="D18">
        <v>0.26342306364936202</v>
      </c>
      <c r="E18">
        <v>214.66285324408256</v>
      </c>
      <c r="F18">
        <v>61.167199915746352</v>
      </c>
      <c r="G18">
        <v>71.641164035427138</v>
      </c>
      <c r="H18">
        <v>67.005992929072804</v>
      </c>
      <c r="J18">
        <v>69.542604145618398</v>
      </c>
      <c r="L18">
        <v>7.4001508516706984</v>
      </c>
      <c r="M18">
        <v>12.728189623525402</v>
      </c>
      <c r="N18">
        <v>2.6997779416776067</v>
      </c>
      <c r="O18">
        <v>28.651946488405361</v>
      </c>
      <c r="P18">
        <v>12.151242985132553</v>
      </c>
      <c r="Q18">
        <v>0.14976213310146796</v>
      </c>
      <c r="R18">
        <v>14.882973589514227</v>
      </c>
      <c r="S18">
        <v>44.157578129375928</v>
      </c>
      <c r="U18">
        <v>0.55822160896831907</v>
      </c>
      <c r="V18">
        <v>47.749830114570635</v>
      </c>
      <c r="W18">
        <v>17.889837908076014</v>
      </c>
      <c r="X18">
        <v>46.145225320876442</v>
      </c>
      <c r="Y18">
        <v>9.2284949084746462</v>
      </c>
      <c r="Z18">
        <v>30.479013376876889</v>
      </c>
      <c r="AA18">
        <v>6.4219689391088108</v>
      </c>
      <c r="AB18">
        <v>35.123253451077112</v>
      </c>
      <c r="AD18">
        <v>7.6949235272857068</v>
      </c>
      <c r="AE18">
        <v>11.926621315596869</v>
      </c>
      <c r="AF18">
        <v>12.398249395970833</v>
      </c>
      <c r="AG18">
        <v>20.331746358970751</v>
      </c>
      <c r="AH18">
        <v>8.3659860342745969</v>
      </c>
      <c r="AI18">
        <v>2.6462995540171432</v>
      </c>
      <c r="AK18">
        <v>58.6061794692978</v>
      </c>
    </row>
    <row r="19" spans="1:37" x14ac:dyDescent="0.2">
      <c r="A19">
        <v>18</v>
      </c>
      <c r="B19">
        <v>740</v>
      </c>
      <c r="C19">
        <v>300</v>
      </c>
      <c r="D19">
        <v>0.26262695553471999</v>
      </c>
      <c r="E19">
        <v>214.53992427030011</v>
      </c>
      <c r="F19">
        <v>60.782269321958651</v>
      </c>
      <c r="G19">
        <v>71.577596049399702</v>
      </c>
      <c r="H19">
        <v>66.940251757941795</v>
      </c>
      <c r="J19">
        <v>69.455272684862706</v>
      </c>
      <c r="L19">
        <v>7.3136089880353286</v>
      </c>
      <c r="M19">
        <v>12.652906094359038</v>
      </c>
      <c r="N19">
        <v>2.7017470842916507</v>
      </c>
      <c r="O19">
        <v>28.262779307682198</v>
      </c>
      <c r="P19">
        <v>12.04770179512207</v>
      </c>
      <c r="Q19">
        <v>8.134236455395967E-2</v>
      </c>
      <c r="R19">
        <v>14.658049066983603</v>
      </c>
      <c r="S19">
        <v>43.672719761699945</v>
      </c>
      <c r="U19">
        <v>0.47190970037639246</v>
      </c>
      <c r="V19">
        <v>47.627456788570619</v>
      </c>
      <c r="W19">
        <v>17.672562840595909</v>
      </c>
      <c r="X19">
        <v>45.918982782837936</v>
      </c>
      <c r="Y19">
        <v>9.1357916680018043</v>
      </c>
      <c r="Z19">
        <v>30.262358386713725</v>
      </c>
      <c r="AA19">
        <v>6.3328841666121516</v>
      </c>
      <c r="AB19">
        <v>34.95497130188587</v>
      </c>
      <c r="AD19">
        <v>7.5703826861135024</v>
      </c>
      <c r="AE19">
        <v>11.82987195075607</v>
      </c>
      <c r="AF19">
        <v>12.321852074509364</v>
      </c>
      <c r="AG19">
        <v>20.148476404792504</v>
      </c>
      <c r="AH19">
        <v>8.2260166426783634</v>
      </c>
      <c r="AI19">
        <v>2.6479669489759239</v>
      </c>
      <c r="AK19">
        <v>58.593060848854641</v>
      </c>
    </row>
    <row r="20" spans="1:37" x14ac:dyDescent="0.2">
      <c r="A20">
        <v>19</v>
      </c>
      <c r="B20">
        <v>739</v>
      </c>
      <c r="C20">
        <v>300</v>
      </c>
      <c r="D20">
        <v>0.261829274317047</v>
      </c>
      <c r="E20">
        <v>214.41715634865608</v>
      </c>
      <c r="F20">
        <v>60.398033112994042</v>
      </c>
      <c r="G20">
        <v>71.514112942183388</v>
      </c>
      <c r="H20">
        <v>66.874608832630329</v>
      </c>
      <c r="J20">
        <v>69.3685647221415</v>
      </c>
      <c r="L20">
        <v>7.2272882528696156</v>
      </c>
      <c r="M20">
        <v>12.577766978264821</v>
      </c>
      <c r="N20">
        <v>2.7037161028857746</v>
      </c>
      <c r="O20">
        <v>27.874224268912368</v>
      </c>
      <c r="P20">
        <v>11.944338361109571</v>
      </c>
      <c r="Q20">
        <v>1.3040361286193729E-2</v>
      </c>
      <c r="R20">
        <v>14.433486743062208</v>
      </c>
      <c r="S20">
        <v>43.188783703450163</v>
      </c>
      <c r="U20">
        <v>0.38567565070244308</v>
      </c>
      <c r="V20">
        <v>47.505274546839495</v>
      </c>
      <c r="W20">
        <v>17.45555879874988</v>
      </c>
      <c r="X20">
        <v>45.693179022593874</v>
      </c>
      <c r="Y20">
        <v>9.0432471444629243</v>
      </c>
      <c r="Z20">
        <v>30.045969079962731</v>
      </c>
      <c r="AA20">
        <v>6.2439693908787088</v>
      </c>
      <c r="AB20">
        <v>34.786946957006897</v>
      </c>
      <c r="AD20">
        <v>7.4459440572608182</v>
      </c>
      <c r="AE20">
        <v>11.733233124114934</v>
      </c>
      <c r="AF20">
        <v>12.245599424100822</v>
      </c>
      <c r="AG20">
        <v>19.965466749475446</v>
      </c>
      <c r="AH20">
        <v>8.0862678676659066</v>
      </c>
      <c r="AI20">
        <v>2.6496333595716797</v>
      </c>
      <c r="AK20">
        <v>58.580274301051325</v>
      </c>
    </row>
    <row r="21" spans="1:37" x14ac:dyDescent="0.2">
      <c r="A21">
        <v>20</v>
      </c>
      <c r="B21">
        <v>738</v>
      </c>
      <c r="C21">
        <v>300</v>
      </c>
      <c r="D21">
        <v>0.26103001532908299</v>
      </c>
      <c r="E21">
        <v>214.17543280922868</v>
      </c>
      <c r="F21">
        <v>59.044347639206215</v>
      </c>
      <c r="G21">
        <v>71.337668754669735</v>
      </c>
      <c r="H21">
        <v>66.696018215531382</v>
      </c>
      <c r="J21">
        <v>68.708552164623356</v>
      </c>
      <c r="L21">
        <v>6.8968467875340993</v>
      </c>
      <c r="M21">
        <v>12.390762675135429</v>
      </c>
      <c r="N21">
        <v>2.7056808909784191</v>
      </c>
      <c r="O21">
        <v>26.614897240989741</v>
      </c>
      <c r="P21">
        <v>11.615056682144507</v>
      </c>
      <c r="R21">
        <v>13.716761961166329</v>
      </c>
      <c r="S21">
        <v>41.652156366823881</v>
      </c>
      <c r="U21">
        <v>0.23850970634905186</v>
      </c>
      <c r="V21">
        <v>47.164259867931968</v>
      </c>
      <c r="W21">
        <v>17.256080837490568</v>
      </c>
      <c r="X21">
        <v>45.279872850131163</v>
      </c>
      <c r="Y21">
        <v>8.7149925345860737</v>
      </c>
      <c r="Z21">
        <v>28.999236261239179</v>
      </c>
      <c r="AA21">
        <v>5.9104192478821789</v>
      </c>
      <c r="AB21">
        <v>34.032100124102861</v>
      </c>
      <c r="AD21">
        <v>6.8656256483197202</v>
      </c>
      <c r="AE21">
        <v>11.243940583064232</v>
      </c>
      <c r="AF21">
        <v>12.057477743974992</v>
      </c>
      <c r="AG21">
        <v>19.195633000441941</v>
      </c>
      <c r="AH21">
        <v>7.559298747261078</v>
      </c>
      <c r="AI21">
        <v>2.6512946774827899</v>
      </c>
      <c r="AK21">
        <v>58.249974550577981</v>
      </c>
    </row>
    <row r="22" spans="1:37" x14ac:dyDescent="0.2">
      <c r="A22">
        <v>21</v>
      </c>
      <c r="B22">
        <v>737</v>
      </c>
      <c r="C22">
        <v>300</v>
      </c>
      <c r="D22">
        <v>0.260229173885068</v>
      </c>
      <c r="E22">
        <v>213.88412322080967</v>
      </c>
      <c r="F22">
        <v>57.29285440824961</v>
      </c>
      <c r="G22">
        <v>71.108266168246075</v>
      </c>
      <c r="H22">
        <v>66.464482609577502</v>
      </c>
      <c r="J22">
        <v>67.834889021802539</v>
      </c>
      <c r="L22">
        <v>6.4597373619565008</v>
      </c>
      <c r="M22">
        <v>12.182148454842189</v>
      </c>
      <c r="N22">
        <v>2.7076430975299863</v>
      </c>
      <c r="O22">
        <v>24.969377321828652</v>
      </c>
      <c r="P22">
        <v>11.179863793772416</v>
      </c>
      <c r="R22">
        <v>12.816605996267219</v>
      </c>
      <c r="S22">
        <v>39.761602867318729</v>
      </c>
      <c r="U22">
        <v>8.3995283451761493E-2</v>
      </c>
      <c r="V22">
        <v>46.758379969335479</v>
      </c>
      <c r="W22">
        <v>17.066419902689354</v>
      </c>
      <c r="X22">
        <v>44.843429263266081</v>
      </c>
      <c r="Y22">
        <v>8.278645112825755</v>
      </c>
      <c r="Z22">
        <v>27.637271383532724</v>
      </c>
      <c r="AA22">
        <v>5.4694003478183877</v>
      </c>
      <c r="AB22">
        <v>33.084729890443697</v>
      </c>
      <c r="AD22">
        <v>6.1078538393380244</v>
      </c>
      <c r="AE22">
        <v>10.614885322362779</v>
      </c>
      <c r="AF22">
        <v>11.847743958791355</v>
      </c>
      <c r="AG22">
        <v>18.233275900186619</v>
      </c>
      <c r="AH22">
        <v>6.8585721519645189</v>
      </c>
      <c r="AI22">
        <v>2.6529525498291315</v>
      </c>
      <c r="AK22">
        <v>57.79479442766884</v>
      </c>
    </row>
    <row r="23" spans="1:37" x14ac:dyDescent="0.2">
      <c r="A23">
        <v>22</v>
      </c>
      <c r="B23">
        <v>736</v>
      </c>
      <c r="C23">
        <v>300</v>
      </c>
      <c r="D23">
        <v>0.25942674528068399</v>
      </c>
      <c r="E23">
        <v>212.8026291716771</v>
      </c>
      <c r="F23">
        <v>49.9172430412682</v>
      </c>
      <c r="G23">
        <v>70.057996653258044</v>
      </c>
      <c r="H23">
        <v>65.412093506702405</v>
      </c>
      <c r="J23">
        <v>64.846520550654503</v>
      </c>
      <c r="L23">
        <v>4.5075277845438251</v>
      </c>
      <c r="M23">
        <v>12.065601251327228</v>
      </c>
      <c r="N23">
        <v>2.7095571853972293</v>
      </c>
      <c r="O23">
        <v>17.603053194543111</v>
      </c>
      <c r="P23">
        <v>9.102897123425107</v>
      </c>
      <c r="R23">
        <v>10.013530241154827</v>
      </c>
      <c r="S23">
        <v>35.975584764047007</v>
      </c>
      <c r="U23">
        <v>5.3307852062288016E-3</v>
      </c>
      <c r="V23">
        <v>46.611709610470484</v>
      </c>
      <c r="W23">
        <v>16.911328753350197</v>
      </c>
      <c r="X23">
        <v>44.647135847318616</v>
      </c>
      <c r="Y23">
        <v>6.1969578750263024</v>
      </c>
      <c r="Z23">
        <v>22.448654147960532</v>
      </c>
      <c r="AA23">
        <v>3.463128594682872</v>
      </c>
      <c r="AB23">
        <v>31.160476018412588</v>
      </c>
      <c r="AD23">
        <v>3.1267256478077217</v>
      </c>
      <c r="AE23">
        <v>8.4047704165204333</v>
      </c>
      <c r="AF23">
        <v>11.730029471192376</v>
      </c>
      <c r="AG23">
        <v>16.293989680235157</v>
      </c>
      <c r="AH23">
        <v>3.6137506124287531</v>
      </c>
      <c r="AI23">
        <v>2.6545614376265809</v>
      </c>
      <c r="AK23">
        <v>55.72840045767947</v>
      </c>
    </row>
    <row r="24" spans="1:37" x14ac:dyDescent="0.2">
      <c r="A24">
        <v>23</v>
      </c>
      <c r="B24">
        <v>735</v>
      </c>
      <c r="C24">
        <v>300</v>
      </c>
      <c r="D24">
        <v>0.25862272479293502</v>
      </c>
      <c r="E24">
        <v>211.81158420568292</v>
      </c>
      <c r="F24">
        <v>43.022015609674973</v>
      </c>
      <c r="G24">
        <v>69.043415425723396</v>
      </c>
      <c r="H24">
        <v>64.395406144553775</v>
      </c>
      <c r="J24">
        <v>61.865474922211753</v>
      </c>
      <c r="L24">
        <v>2.6075559103864179</v>
      </c>
      <c r="M24">
        <v>11.991073601770708</v>
      </c>
      <c r="N24">
        <v>2.7114652706614897</v>
      </c>
      <c r="O24">
        <v>10.569145188254659</v>
      </c>
      <c r="P24">
        <v>7.0973092431618374</v>
      </c>
      <c r="R24">
        <v>7.215789532337527</v>
      </c>
      <c r="S24">
        <v>31.806301343998832</v>
      </c>
      <c r="V24">
        <v>46.240597781163494</v>
      </c>
      <c r="W24">
        <v>16.754385152858926</v>
      </c>
      <c r="X24">
        <v>44.670451263418613</v>
      </c>
      <c r="Y24">
        <v>4.1936716973797292</v>
      </c>
      <c r="Z24">
        <v>17.62387965158571</v>
      </c>
      <c r="AA24">
        <v>1.535902072344441</v>
      </c>
      <c r="AB24">
        <v>29.08687090172371</v>
      </c>
      <c r="AD24">
        <v>0.31782729690907358</v>
      </c>
      <c r="AE24">
        <v>6.3870809355867255</v>
      </c>
      <c r="AF24">
        <v>11.654328940296644</v>
      </c>
      <c r="AG24">
        <v>14.205348856684401</v>
      </c>
      <c r="AH24">
        <v>0.46494645950929608</v>
      </c>
      <c r="AI24">
        <v>2.656163455116769</v>
      </c>
      <c r="AK24">
        <v>53.780781678902166</v>
      </c>
    </row>
    <row r="25" spans="1:37" x14ac:dyDescent="0.2">
      <c r="A25">
        <v>24</v>
      </c>
      <c r="B25">
        <v>734</v>
      </c>
      <c r="C25">
        <v>300</v>
      </c>
      <c r="D25">
        <v>0.25781710768008598</v>
      </c>
      <c r="E25">
        <v>212.23052502179303</v>
      </c>
      <c r="F25">
        <v>44.626445846025952</v>
      </c>
      <c r="G25">
        <v>69.231778169474538</v>
      </c>
      <c r="H25">
        <v>64.581676228636837</v>
      </c>
      <c r="J25">
        <v>47.082681501963059</v>
      </c>
      <c r="L25">
        <v>1.6884022195458419</v>
      </c>
      <c r="M25">
        <v>11.509653421019694</v>
      </c>
      <c r="N25">
        <v>2.713469271016276</v>
      </c>
      <c r="O25">
        <v>5.0450242550873954</v>
      </c>
      <c r="P25">
        <v>7.4977134623601085</v>
      </c>
      <c r="R25">
        <v>6.107104974715087</v>
      </c>
      <c r="S25">
        <v>29.326196914135643</v>
      </c>
      <c r="V25">
        <v>46.680613515786405</v>
      </c>
      <c r="W25">
        <v>16.188275641070803</v>
      </c>
      <c r="X25">
        <v>44.703877643412298</v>
      </c>
      <c r="Y25">
        <v>3.5739730022441019</v>
      </c>
      <c r="Z25">
        <v>17.943466189277046</v>
      </c>
      <c r="AB25">
        <v>29.466683824301782</v>
      </c>
      <c r="AE25">
        <v>6.4400462937404104</v>
      </c>
      <c r="AF25">
        <v>11.171832204512414</v>
      </c>
      <c r="AG25">
        <v>14.570224637478471</v>
      </c>
      <c r="AI25">
        <v>2.657860518153027</v>
      </c>
      <c r="AK25">
        <v>43.837677143277801</v>
      </c>
    </row>
    <row r="26" spans="1:37" x14ac:dyDescent="0.2">
      <c r="A26">
        <v>25</v>
      </c>
      <c r="B26">
        <v>733</v>
      </c>
      <c r="C26">
        <v>300</v>
      </c>
      <c r="D26">
        <v>0.257009889181535</v>
      </c>
      <c r="E26">
        <v>212.43797243795655</v>
      </c>
      <c r="F26">
        <v>45.222535074330516</v>
      </c>
      <c r="G26">
        <v>69.211687862056408</v>
      </c>
      <c r="H26">
        <v>64.559506758213601</v>
      </c>
      <c r="J26">
        <v>40.814681197942932</v>
      </c>
      <c r="L26">
        <v>1.7054217807667047</v>
      </c>
      <c r="M26">
        <v>11.034632775969358</v>
      </c>
      <c r="N26">
        <v>2.7154556410323929</v>
      </c>
      <c r="O26">
        <v>5.0677509715335054</v>
      </c>
      <c r="P26">
        <v>7.4812022147606223</v>
      </c>
      <c r="R26">
        <v>5.7215692379485263</v>
      </c>
      <c r="S26">
        <v>29.549716792399892</v>
      </c>
      <c r="V26">
        <v>47.218575812472508</v>
      </c>
      <c r="W26">
        <v>15.628792566769183</v>
      </c>
      <c r="X26">
        <v>44.737803207543202</v>
      </c>
      <c r="Y26">
        <v>3.3713117477338437</v>
      </c>
      <c r="Z26">
        <v>18.12145561699057</v>
      </c>
      <c r="AB26">
        <v>29.882093212845586</v>
      </c>
      <c r="AE26">
        <v>6.5330443036240924</v>
      </c>
      <c r="AF26">
        <v>10.695717791189063</v>
      </c>
      <c r="AG26">
        <v>14.970681910231358</v>
      </c>
      <c r="AI26">
        <v>2.6595390794657505</v>
      </c>
      <c r="AK26">
        <v>39.572551837175368</v>
      </c>
    </row>
    <row r="27" spans="1:37" x14ac:dyDescent="0.2">
      <c r="A27">
        <v>26</v>
      </c>
      <c r="B27">
        <v>757</v>
      </c>
      <c r="C27">
        <v>285</v>
      </c>
      <c r="D27">
        <v>0.291967674610496</v>
      </c>
      <c r="E27">
        <v>207.89641055839559</v>
      </c>
      <c r="F27">
        <v>67.113895724125584</v>
      </c>
      <c r="G27">
        <v>72.669279797021417</v>
      </c>
      <c r="H27">
        <v>68.069972434011405</v>
      </c>
      <c r="J27">
        <v>70.718756817255354</v>
      </c>
      <c r="L27">
        <v>8.7473508798756647</v>
      </c>
      <c r="M27">
        <v>13.932995430601588</v>
      </c>
      <c r="N27">
        <v>2.6171127724998917</v>
      </c>
      <c r="O27">
        <v>35.001776303023846</v>
      </c>
      <c r="P27">
        <v>13.695176676387844</v>
      </c>
      <c r="Q27">
        <v>1.1209285189747624</v>
      </c>
      <c r="R27">
        <v>18.548488643239477</v>
      </c>
      <c r="S27">
        <v>51.709476540969305</v>
      </c>
      <c r="U27">
        <v>1.8432076307502521</v>
      </c>
      <c r="V27">
        <v>49.411955982199736</v>
      </c>
      <c r="W27">
        <v>21.694806578520691</v>
      </c>
      <c r="X27">
        <v>48.918203643519398</v>
      </c>
      <c r="Y27">
        <v>10.610028375868845</v>
      </c>
      <c r="Z27">
        <v>33.969688710140296</v>
      </c>
      <c r="AA27">
        <v>7.8274850586287501</v>
      </c>
      <c r="AB27">
        <v>37.859958551270964</v>
      </c>
      <c r="AC27">
        <v>3.5412890326518617E-3</v>
      </c>
      <c r="AD27">
        <v>9.6859058148007016</v>
      </c>
      <c r="AE27">
        <v>13.598299570697948</v>
      </c>
      <c r="AF27">
        <v>13.616003174774493</v>
      </c>
      <c r="AG27">
        <v>23.322288686650886</v>
      </c>
      <c r="AH27">
        <v>10.339115060729014</v>
      </c>
      <c r="AI27">
        <v>2.5663790200605114</v>
      </c>
      <c r="AK27">
        <v>58.636564449870157</v>
      </c>
    </row>
    <row r="28" spans="1:37" x14ac:dyDescent="0.2">
      <c r="A28">
        <v>27</v>
      </c>
      <c r="B28">
        <v>756</v>
      </c>
      <c r="C28">
        <v>285</v>
      </c>
      <c r="D28">
        <v>0.29121167954136901</v>
      </c>
      <c r="E28">
        <v>207.77964341679464</v>
      </c>
      <c r="F28">
        <v>66.748980850564692</v>
      </c>
      <c r="G28">
        <v>72.608801313476746</v>
      </c>
      <c r="H28">
        <v>68.007103684006836</v>
      </c>
      <c r="J28">
        <v>70.637281333474334</v>
      </c>
      <c r="L28">
        <v>8.6630399588063494</v>
      </c>
      <c r="M28">
        <v>13.867927345298522</v>
      </c>
      <c r="N28">
        <v>2.6152902073354696</v>
      </c>
      <c r="O28">
        <v>34.615041473090244</v>
      </c>
      <c r="P28">
        <v>13.593890082253569</v>
      </c>
      <c r="Q28">
        <v>1.0605459670737354</v>
      </c>
      <c r="R28">
        <v>18.337751594910298</v>
      </c>
      <c r="S28">
        <v>51.271481008021496</v>
      </c>
      <c r="U28">
        <v>1.7659872699177883</v>
      </c>
      <c r="V28">
        <v>49.306119350276298</v>
      </c>
      <c r="W28">
        <v>21.49676241899969</v>
      </c>
      <c r="X28">
        <v>48.72116019608314</v>
      </c>
      <c r="Y28">
        <v>10.521219997589403</v>
      </c>
      <c r="Z28">
        <v>33.768448769533215</v>
      </c>
      <c r="AA28">
        <v>7.7405629100775917</v>
      </c>
      <c r="AB28">
        <v>37.710786788510703</v>
      </c>
      <c r="AD28">
        <v>9.5721798091447621</v>
      </c>
      <c r="AE28">
        <v>13.507722564939765</v>
      </c>
      <c r="AF28">
        <v>13.546022153591181</v>
      </c>
      <c r="AG28">
        <v>23.154316076826621</v>
      </c>
      <c r="AH28">
        <v>10.210001144515232</v>
      </c>
      <c r="AI28">
        <v>2.5642688991004601</v>
      </c>
      <c r="AK28">
        <v>58.623775723924993</v>
      </c>
    </row>
    <row r="29" spans="1:37" x14ac:dyDescent="0.2">
      <c r="A29">
        <v>28</v>
      </c>
      <c r="B29">
        <v>755</v>
      </c>
      <c r="C29">
        <v>285</v>
      </c>
      <c r="D29">
        <v>0.29045421387929599</v>
      </c>
      <c r="E29">
        <v>207.65430663117152</v>
      </c>
      <c r="F29">
        <v>66.354340829929953</v>
      </c>
      <c r="G29">
        <v>72.543985367753663</v>
      </c>
      <c r="H29">
        <v>67.93991050189932</v>
      </c>
      <c r="J29">
        <v>70.540098067570312</v>
      </c>
      <c r="L29">
        <v>8.5741952145182854</v>
      </c>
      <c r="M29">
        <v>13.79076859226782</v>
      </c>
      <c r="N29">
        <v>2.6172626720384877</v>
      </c>
      <c r="O29">
        <v>34.216885496880245</v>
      </c>
      <c r="P29">
        <v>13.487731343136607</v>
      </c>
      <c r="Q29">
        <v>0.99096027782221241</v>
      </c>
      <c r="R29">
        <v>18.107839062488306</v>
      </c>
      <c r="S29">
        <v>50.773574484987229</v>
      </c>
      <c r="U29">
        <v>1.6783856364355294</v>
      </c>
      <c r="V29">
        <v>49.181142991837667</v>
      </c>
      <c r="W29">
        <v>21.275807336463828</v>
      </c>
      <c r="X29">
        <v>48.488871534176461</v>
      </c>
      <c r="Y29">
        <v>10.426195216255044</v>
      </c>
      <c r="Z29">
        <v>33.549238392303891</v>
      </c>
      <c r="AA29">
        <v>7.6491209527989845</v>
      </c>
      <c r="AB29">
        <v>37.539554108097995</v>
      </c>
      <c r="AD29">
        <v>9.4469509494879862</v>
      </c>
      <c r="AE29">
        <v>13.409975182286471</v>
      </c>
      <c r="AF29">
        <v>13.467745788859808</v>
      </c>
      <c r="AG29">
        <v>22.968080100564137</v>
      </c>
      <c r="AH29">
        <v>10.066940970838413</v>
      </c>
      <c r="AI29">
        <v>2.5659529771046663</v>
      </c>
      <c r="AK29">
        <v>58.605443070240455</v>
      </c>
    </row>
    <row r="30" spans="1:37" x14ac:dyDescent="0.2">
      <c r="A30">
        <v>29</v>
      </c>
      <c r="B30">
        <v>754</v>
      </c>
      <c r="C30">
        <v>285</v>
      </c>
      <c r="D30">
        <v>0.28969527332911499</v>
      </c>
      <c r="E30">
        <v>207.52913151579435</v>
      </c>
      <c r="F30">
        <v>65.96040736017018</v>
      </c>
      <c r="G30">
        <v>72.479254581780182</v>
      </c>
      <c r="H30">
        <v>67.872815530453821</v>
      </c>
      <c r="J30">
        <v>70.443531659348679</v>
      </c>
      <c r="L30">
        <v>8.4855207791205505</v>
      </c>
      <c r="M30">
        <v>13.713758872164004</v>
      </c>
      <c r="N30">
        <v>2.619235005466467</v>
      </c>
      <c r="O30">
        <v>33.819351444857958</v>
      </c>
      <c r="P30">
        <v>13.381750564462259</v>
      </c>
      <c r="Q30">
        <v>0.92150305800336085</v>
      </c>
      <c r="R30">
        <v>17.878297081097223</v>
      </c>
      <c r="S30">
        <v>50.276612380328686</v>
      </c>
      <c r="U30">
        <v>1.5908620860258824</v>
      </c>
      <c r="V30">
        <v>49.056363329465803</v>
      </c>
      <c r="W30">
        <v>21.055135644964178</v>
      </c>
      <c r="X30">
        <v>48.257029991758458</v>
      </c>
      <c r="Y30">
        <v>10.331330534158754</v>
      </c>
      <c r="Z30">
        <v>33.33031307871336</v>
      </c>
      <c r="AA30">
        <v>7.5578513134837486</v>
      </c>
      <c r="AB30">
        <v>37.368594192879357</v>
      </c>
      <c r="AD30">
        <v>9.3218267293725035</v>
      </c>
      <c r="AE30">
        <v>13.312348917329341</v>
      </c>
      <c r="AF30">
        <v>13.389618625703639</v>
      </c>
      <c r="AG30">
        <v>22.782119285499533</v>
      </c>
      <c r="AH30">
        <v>9.9241018127428209</v>
      </c>
      <c r="AI30">
        <v>2.5676360910925684</v>
      </c>
      <c r="AK30">
        <v>58.587435403657281</v>
      </c>
    </row>
    <row r="31" spans="1:37" x14ac:dyDescent="0.2">
      <c r="A31">
        <v>30</v>
      </c>
      <c r="B31">
        <v>753</v>
      </c>
      <c r="C31">
        <v>285</v>
      </c>
      <c r="D31">
        <v>0.28893485357891502</v>
      </c>
      <c r="E31">
        <v>207.40411765891315</v>
      </c>
      <c r="F31">
        <v>65.567178618797001</v>
      </c>
      <c r="G31">
        <v>72.414608791819091</v>
      </c>
      <c r="H31">
        <v>67.805818626813377</v>
      </c>
      <c r="J31">
        <v>70.347581668909683</v>
      </c>
      <c r="L31">
        <v>8.3970165357248678</v>
      </c>
      <c r="M31">
        <v>13.636897689570727</v>
      </c>
      <c r="N31">
        <v>2.621207208081227</v>
      </c>
      <c r="O31">
        <v>33.422437924033176</v>
      </c>
      <c r="P31">
        <v>13.275947441993745</v>
      </c>
      <c r="Q31">
        <v>0.85217359194539311</v>
      </c>
      <c r="R31">
        <v>17.649124498188634</v>
      </c>
      <c r="S31">
        <v>49.780591824701673</v>
      </c>
      <c r="U31">
        <v>1.5034162455406883</v>
      </c>
      <c r="V31">
        <v>48.931779628774166</v>
      </c>
      <c r="W31">
        <v>20.834746321329153</v>
      </c>
      <c r="X31">
        <v>48.025634069862512</v>
      </c>
      <c r="Y31">
        <v>10.236625566260514</v>
      </c>
      <c r="Z31">
        <v>33.111671716381224</v>
      </c>
      <c r="AA31">
        <v>7.4667535969880552</v>
      </c>
      <c r="AB31">
        <v>37.197906014891188</v>
      </c>
      <c r="AD31">
        <v>9.1968069969079167</v>
      </c>
      <c r="AE31">
        <v>13.214843229925266</v>
      </c>
      <c r="AF31">
        <v>13.311640174791819</v>
      </c>
      <c r="AG31">
        <v>22.596432610082527</v>
      </c>
      <c r="AH31">
        <v>9.7814833284942946</v>
      </c>
      <c r="AI31">
        <v>2.5693182396859249</v>
      </c>
      <c r="AK31">
        <v>58.569752665362458</v>
      </c>
    </row>
    <row r="32" spans="1:37" x14ac:dyDescent="0.2">
      <c r="A32">
        <v>31</v>
      </c>
      <c r="B32">
        <v>752</v>
      </c>
      <c r="C32">
        <v>285</v>
      </c>
      <c r="D32">
        <v>0.28817295029995899</v>
      </c>
      <c r="E32">
        <v>207.27926465374699</v>
      </c>
      <c r="F32">
        <v>65.174652804250499</v>
      </c>
      <c r="G32">
        <v>72.35004783662319</v>
      </c>
      <c r="H32">
        <v>67.738919650650146</v>
      </c>
      <c r="J32">
        <v>70.252247666967833</v>
      </c>
      <c r="L32">
        <v>8.3086824719834116</v>
      </c>
      <c r="M32">
        <v>13.560184553090536</v>
      </c>
      <c r="N32">
        <v>2.6231792804767178</v>
      </c>
      <c r="O32">
        <v>33.026143558369832</v>
      </c>
      <c r="P32">
        <v>13.170321676667324</v>
      </c>
      <c r="Q32">
        <v>0.78297116564848146</v>
      </c>
      <c r="R32">
        <v>17.420320173221</v>
      </c>
      <c r="S32">
        <v>49.285509974699224</v>
      </c>
      <c r="U32">
        <v>1.4160477465310457</v>
      </c>
      <c r="V32">
        <v>48.807391154699758</v>
      </c>
      <c r="W32">
        <v>20.614638350227093</v>
      </c>
      <c r="X32">
        <v>47.794682283196693</v>
      </c>
      <c r="Y32">
        <v>10.142079932954557</v>
      </c>
      <c r="Z32">
        <v>32.893313200434896</v>
      </c>
      <c r="AA32">
        <v>7.3758274137174524</v>
      </c>
      <c r="AB32">
        <v>37.027488553250521</v>
      </c>
      <c r="AD32">
        <v>9.0718916021778959</v>
      </c>
      <c r="AE32">
        <v>13.117457583085876</v>
      </c>
      <c r="AF32">
        <v>13.233809950957907</v>
      </c>
      <c r="AG32">
        <v>22.411019059992949</v>
      </c>
      <c r="AH32">
        <v>9.6390851824118347</v>
      </c>
      <c r="AI32">
        <v>2.5709994216400234</v>
      </c>
      <c r="AK32">
        <v>58.55239480217746</v>
      </c>
    </row>
    <row r="33" spans="1:37" x14ac:dyDescent="0.2">
      <c r="A33">
        <v>32</v>
      </c>
      <c r="B33">
        <v>751</v>
      </c>
      <c r="C33">
        <v>285</v>
      </c>
      <c r="D33">
        <v>0.28740955914661298</v>
      </c>
      <c r="E33">
        <v>207.15457209920152</v>
      </c>
      <c r="F33">
        <v>64.782828138164845</v>
      </c>
      <c r="G33">
        <v>72.285571557750018</v>
      </c>
      <c r="H33">
        <v>67.672118464482978</v>
      </c>
      <c r="J33">
        <v>70.157529236141443</v>
      </c>
      <c r="L33">
        <v>8.2204641438764803</v>
      </c>
      <c r="M33">
        <v>13.483618976171414</v>
      </c>
      <c r="N33">
        <v>2.625151223158765</v>
      </c>
      <c r="O33">
        <v>32.630466989624892</v>
      </c>
      <c r="P33">
        <v>13.064872975006026</v>
      </c>
      <c r="Q33">
        <v>0.71389506741761211</v>
      </c>
      <c r="R33">
        <v>17.191882979110684</v>
      </c>
      <c r="S33">
        <v>48.791364016684732</v>
      </c>
      <c r="U33">
        <v>1.3287562259532995</v>
      </c>
      <c r="V33">
        <v>48.683197172733713</v>
      </c>
      <c r="W33">
        <v>20.39481072554959</v>
      </c>
      <c r="X33">
        <v>47.56417316122608</v>
      </c>
      <c r="Y33">
        <v>10.047693260552808</v>
      </c>
      <c r="Z33">
        <v>32.675236434470897</v>
      </c>
      <c r="AA33">
        <v>7.2850723800410124</v>
      </c>
      <c r="AB33">
        <v>36.857340795456743</v>
      </c>
      <c r="AD33">
        <v>8.9470803979437239</v>
      </c>
      <c r="AE33">
        <v>13.020191443293831</v>
      </c>
      <c r="AF33">
        <v>13.156127473803602</v>
      </c>
      <c r="AG33">
        <v>22.225877629225234</v>
      </c>
      <c r="AH33">
        <v>9.4969070458552558</v>
      </c>
      <c r="AI33">
        <v>2.5726796356210935</v>
      </c>
      <c r="AK33">
        <v>58.535361767130112</v>
      </c>
    </row>
    <row r="34" spans="1:37" x14ac:dyDescent="0.2">
      <c r="A34">
        <v>33</v>
      </c>
      <c r="B34">
        <v>750</v>
      </c>
      <c r="C34">
        <v>285</v>
      </c>
      <c r="D34">
        <v>0.28664467575624197</v>
      </c>
      <c r="E34">
        <v>207.03003959948654</v>
      </c>
      <c r="F34">
        <v>64.391702864070552</v>
      </c>
      <c r="G34">
        <v>72.221179799396822</v>
      </c>
      <c r="H34">
        <v>67.605414933509934</v>
      </c>
      <c r="J34">
        <v>70.063425970266366</v>
      </c>
      <c r="L34">
        <v>8.1324622209964659</v>
      </c>
      <c r="M34">
        <v>13.40720047665928</v>
      </c>
      <c r="N34">
        <v>2.6271230366408758</v>
      </c>
      <c r="O34">
        <v>32.235406876777013</v>
      </c>
      <c r="P34">
        <v>12.959601048881456</v>
      </c>
      <c r="Q34">
        <v>0.6449445874552121</v>
      </c>
      <c r="R34">
        <v>16.963811801410806</v>
      </c>
      <c r="S34">
        <v>48.298151164776463</v>
      </c>
      <c r="U34">
        <v>1.2415413257937222</v>
      </c>
      <c r="V34">
        <v>48.559196947958952</v>
      </c>
      <c r="W34">
        <v>20.175262449665237</v>
      </c>
      <c r="X34">
        <v>47.334105248911349</v>
      </c>
      <c r="Y34">
        <v>9.9534651815727813</v>
      </c>
      <c r="Z34">
        <v>32.457440329967667</v>
      </c>
      <c r="AA34">
        <v>7.1944881180722655</v>
      </c>
      <c r="AB34">
        <v>36.6874617366582</v>
      </c>
      <c r="AD34">
        <v>8.8223732392922294</v>
      </c>
      <c r="AE34">
        <v>12.923044280281998</v>
      </c>
      <c r="AF34">
        <v>13.078592267350192</v>
      </c>
      <c r="AG34">
        <v>22.041007319448841</v>
      </c>
      <c r="AH34">
        <v>9.3549485967144097</v>
      </c>
      <c r="AI34">
        <v>2.5743588803028157</v>
      </c>
      <c r="AK34">
        <v>58.518653519149083</v>
      </c>
    </row>
    <row r="35" spans="1:37" x14ac:dyDescent="0.2">
      <c r="A35">
        <v>34</v>
      </c>
      <c r="B35">
        <v>749</v>
      </c>
      <c r="C35">
        <v>285</v>
      </c>
      <c r="D35">
        <v>0.28587829574915702</v>
      </c>
      <c r="E35">
        <v>206.90566676395167</v>
      </c>
      <c r="F35">
        <v>64.001275246770717</v>
      </c>
      <c r="G35">
        <v>72.156872408314996</v>
      </c>
      <c r="H35">
        <v>67.53880892552661</v>
      </c>
      <c r="J35">
        <v>69.969937474103901</v>
      </c>
      <c r="L35">
        <v>8.044629335220959</v>
      </c>
      <c r="M35">
        <v>13.330928576597062</v>
      </c>
      <c r="N35">
        <v>2.6290947214924381</v>
      </c>
      <c r="O35">
        <v>31.840961895685606</v>
      </c>
      <c r="P35">
        <v>12.854505615398804</v>
      </c>
      <c r="Q35">
        <v>0.5761190176454174</v>
      </c>
      <c r="R35">
        <v>16.736105537954703</v>
      </c>
      <c r="S35">
        <v>47.805868659709446</v>
      </c>
      <c r="U35">
        <v>1.1544026928975148</v>
      </c>
      <c r="V35">
        <v>48.435389744519064</v>
      </c>
      <c r="W35">
        <v>19.955992532997165</v>
      </c>
      <c r="X35">
        <v>47.104477104885881</v>
      </c>
      <c r="Y35">
        <v>9.8593953323936372</v>
      </c>
      <c r="Z35">
        <v>32.239923805926153</v>
      </c>
      <c r="AA35">
        <v>7.1040742556048277</v>
      </c>
      <c r="AB35">
        <v>36.517850379263827</v>
      </c>
      <c r="AD35">
        <v>8.6977699834554194</v>
      </c>
      <c r="AE35">
        <v>12.826015566882104</v>
      </c>
      <c r="AF35">
        <v>13.001203859885353</v>
      </c>
      <c r="AG35">
        <v>21.856407139669265</v>
      </c>
      <c r="AH35">
        <v>9.2132095191640602</v>
      </c>
      <c r="AI35">
        <v>2.5760371544148657</v>
      </c>
      <c r="AK35">
        <v>58.502270022942831</v>
      </c>
    </row>
    <row r="36" spans="1:37" x14ac:dyDescent="0.2">
      <c r="A36">
        <v>35</v>
      </c>
      <c r="B36">
        <v>748</v>
      </c>
      <c r="C36">
        <v>285</v>
      </c>
      <c r="D36">
        <v>0.28511041472849202</v>
      </c>
      <c r="E36">
        <v>206.78145320723732</v>
      </c>
      <c r="F36">
        <v>63.611543572799668</v>
      </c>
      <c r="G36">
        <v>72.092649233892729</v>
      </c>
      <c r="H36">
        <v>67.472300311003053</v>
      </c>
      <c r="J36">
        <v>69.877063363621659</v>
      </c>
      <c r="L36">
        <v>7.9569657534682499</v>
      </c>
      <c r="M36">
        <v>13.254802802425624</v>
      </c>
      <c r="N36">
        <v>2.6310662782638632</v>
      </c>
      <c r="O36">
        <v>31.447130739238222</v>
      </c>
      <c r="P36">
        <v>12.749586396972946</v>
      </c>
      <c r="Q36">
        <v>0.50741765166960973</v>
      </c>
      <c r="R36">
        <v>16.508763099160117</v>
      </c>
      <c r="S36">
        <v>47.314513769859609</v>
      </c>
      <c r="U36">
        <v>1.0673399791453733</v>
      </c>
      <c r="V36">
        <v>48.311774825729621</v>
      </c>
      <c r="W36">
        <v>19.73699999440375</v>
      </c>
      <c r="X36">
        <v>46.875287302223775</v>
      </c>
      <c r="Y36">
        <v>9.7654833560044398</v>
      </c>
      <c r="Z36">
        <v>32.022685789127024</v>
      </c>
      <c r="AA36">
        <v>7.0138304261888189</v>
      </c>
      <c r="AB36">
        <v>36.348505733285648</v>
      </c>
      <c r="AD36">
        <v>8.5732704900165277</v>
      </c>
      <c r="AE36">
        <v>12.72910477911158</v>
      </c>
      <c r="AF36">
        <v>12.923961784086551</v>
      </c>
      <c r="AG36">
        <v>21.672076106496018</v>
      </c>
      <c r="AH36">
        <v>9.0716895039157723</v>
      </c>
      <c r="AI36">
        <v>2.577714456667362</v>
      </c>
      <c r="AK36">
        <v>58.486211249098325</v>
      </c>
    </row>
    <row r="37" spans="1:37" x14ac:dyDescent="0.2">
      <c r="A37">
        <v>36</v>
      </c>
      <c r="B37">
        <v>747</v>
      </c>
      <c r="C37">
        <v>285</v>
      </c>
      <c r="D37">
        <v>0.28434102828015601</v>
      </c>
      <c r="E37">
        <v>206.65739854940787</v>
      </c>
      <c r="F37">
        <v>63.22250615076571</v>
      </c>
      <c r="G37">
        <v>72.028510128199642</v>
      </c>
      <c r="H37">
        <v>67.405888963134558</v>
      </c>
      <c r="J37">
        <v>69.78480326622072</v>
      </c>
      <c r="L37">
        <v>7.8694183579742782</v>
      </c>
      <c r="M37">
        <v>13.178822685099254</v>
      </c>
      <c r="N37">
        <v>2.6330377074517792</v>
      </c>
      <c r="O37">
        <v>31.053912117407929</v>
      </c>
      <c r="P37">
        <v>12.644843121399946</v>
      </c>
      <c r="Q37">
        <v>0.43883978506654514</v>
      </c>
      <c r="R37">
        <v>16.281783408241054</v>
      </c>
      <c r="S37">
        <v>46.824083791829814</v>
      </c>
      <c r="U37">
        <v>0.98035284155450786</v>
      </c>
      <c r="V37">
        <v>48.188351454081207</v>
      </c>
      <c r="W37">
        <v>19.518283861332346</v>
      </c>
      <c r="X37">
        <v>46.646534428770131</v>
      </c>
      <c r="Y37">
        <v>9.6717289028124593</v>
      </c>
      <c r="Z37">
        <v>31.805725214164013</v>
      </c>
      <c r="AA37">
        <v>6.9237562692024515</v>
      </c>
      <c r="AB37">
        <v>36.179426816462389</v>
      </c>
      <c r="AD37">
        <v>8.4488746209949817</v>
      </c>
      <c r="AE37">
        <v>12.632311396152954</v>
      </c>
      <c r="AF37">
        <v>12.846865577104627</v>
      </c>
      <c r="AG37">
        <v>21.488013244229464</v>
      </c>
      <c r="AH37">
        <v>8.9303882483699777</v>
      </c>
      <c r="AI37">
        <v>2.579390785716988</v>
      </c>
      <c r="AK37">
        <v>58.470477174208646</v>
      </c>
    </row>
    <row r="38" spans="1:37" x14ac:dyDescent="0.2">
      <c r="A38">
        <v>37</v>
      </c>
      <c r="B38">
        <v>746</v>
      </c>
      <c r="C38">
        <v>285</v>
      </c>
      <c r="D38">
        <v>0.28357013197272302</v>
      </c>
      <c r="E38">
        <v>206.53350241551516</v>
      </c>
      <c r="F38">
        <v>62.834161309889879</v>
      </c>
      <c r="G38">
        <v>71.964454945798565</v>
      </c>
      <c r="H38">
        <v>67.339574757651505</v>
      </c>
      <c r="J38">
        <v>69.69315681998097</v>
      </c>
      <c r="L38">
        <v>7.7820839973256373</v>
      </c>
      <c r="M38">
        <v>13.102987759607657</v>
      </c>
      <c r="N38">
        <v>2.6350090096052003</v>
      </c>
      <c r="O38">
        <v>30.661304756609841</v>
      </c>
      <c r="P38">
        <v>12.540275521578822</v>
      </c>
      <c r="Q38">
        <v>0.37038471478849716</v>
      </c>
      <c r="R38">
        <v>16.055165400330029</v>
      </c>
      <c r="S38">
        <v>46.334576047993735</v>
      </c>
      <c r="U38">
        <v>0.89344094187578249</v>
      </c>
      <c r="V38">
        <v>48.065118890184245</v>
      </c>
      <c r="W38">
        <v>19.299843168984232</v>
      </c>
      <c r="X38">
        <v>46.418217086046695</v>
      </c>
      <c r="Y38">
        <v>9.5781316260003866</v>
      </c>
      <c r="Z38">
        <v>31.589041022825043</v>
      </c>
      <c r="AA38">
        <v>6.8338514296254438</v>
      </c>
      <c r="AB38">
        <v>36.010612653480919</v>
      </c>
      <c r="AD38">
        <v>8.3245822404669028</v>
      </c>
      <c r="AE38">
        <v>12.535634900132086</v>
      </c>
      <c r="AF38">
        <v>12.769914780193831</v>
      </c>
      <c r="AG38">
        <v>21.304217584192386</v>
      </c>
      <c r="AH38">
        <v>8.7893054560455415</v>
      </c>
      <c r="AI38">
        <v>2.5810661402725814</v>
      </c>
      <c r="AK38">
        <v>58.455067780519052</v>
      </c>
    </row>
    <row r="39" spans="1:37" x14ac:dyDescent="0.2">
      <c r="A39">
        <v>38</v>
      </c>
      <c r="B39">
        <v>745</v>
      </c>
      <c r="C39">
        <v>285</v>
      </c>
      <c r="D39">
        <v>0.28279772135736497</v>
      </c>
      <c r="E39">
        <v>206.40976443589201</v>
      </c>
      <c r="F39">
        <v>62.446507400790594</v>
      </c>
      <c r="G39">
        <v>71.900483543848807</v>
      </c>
      <c r="H39">
        <v>67.27335757292127</v>
      </c>
      <c r="J39">
        <v>69.602123674145147</v>
      </c>
      <c r="L39">
        <v>7.6949183521740379</v>
      </c>
      <c r="M39">
        <v>13.02729756519622</v>
      </c>
      <c r="N39">
        <v>2.6369801852923502</v>
      </c>
      <c r="O39">
        <v>30.269307399998574</v>
      </c>
      <c r="P39">
        <v>12.435883335683364</v>
      </c>
      <c r="Q39">
        <v>0.30205173937440305</v>
      </c>
      <c r="R39">
        <v>15.828908022945043</v>
      </c>
      <c r="S39">
        <v>45.845987887659284</v>
      </c>
      <c r="U39">
        <v>0.80660394678496872</v>
      </c>
      <c r="V39">
        <v>47.942076392974045</v>
      </c>
      <c r="W39">
        <v>19.081676960591352</v>
      </c>
      <c r="X39">
        <v>46.190333889595721</v>
      </c>
      <c r="Y39">
        <v>9.4846911854436922</v>
      </c>
      <c r="Z39">
        <v>31.372632164153607</v>
      </c>
      <c r="AA39">
        <v>6.7441155581737116</v>
      </c>
      <c r="AB39">
        <v>35.84206227617463</v>
      </c>
      <c r="AD39">
        <v>8.2003932146874128</v>
      </c>
      <c r="AE39">
        <v>12.439074776073694</v>
      </c>
      <c r="AF39">
        <v>12.69310893889133</v>
      </c>
      <c r="AG39">
        <v>21.120688164889444</v>
      </c>
      <c r="AH39">
        <v>8.6484408368714139</v>
      </c>
      <c r="AI39">
        <v>2.5827405190620722</v>
      </c>
      <c r="AK39">
        <v>58.439983056216654</v>
      </c>
    </row>
    <row r="40" spans="1:37" x14ac:dyDescent="0.2">
      <c r="A40">
        <v>39</v>
      </c>
      <c r="B40">
        <v>744</v>
      </c>
      <c r="C40">
        <v>285</v>
      </c>
      <c r="D40">
        <v>0.28202379196775501</v>
      </c>
      <c r="E40">
        <v>206.28618424610087</v>
      </c>
      <c r="F40">
        <v>62.059542795370923</v>
      </c>
      <c r="G40">
        <v>71.836595782116945</v>
      </c>
      <c r="H40">
        <v>67.207237289959053</v>
      </c>
      <c r="J40">
        <v>69.511703489077419</v>
      </c>
      <c r="L40">
        <v>7.6079223629475603</v>
      </c>
      <c r="M40">
        <v>12.951751645446798</v>
      </c>
      <c r="N40">
        <v>2.6389512350217306</v>
      </c>
      <c r="O40">
        <v>29.877918807294268</v>
      </c>
      <c r="P40">
        <v>12.33166630710603</v>
      </c>
      <c r="Q40">
        <v>0.23384015892775278</v>
      </c>
      <c r="R40">
        <v>15.603010235982325</v>
      </c>
      <c r="S40">
        <v>45.358316687392787</v>
      </c>
      <c r="U40">
        <v>0.71984152795307177</v>
      </c>
      <c r="V40">
        <v>47.819223219522328</v>
      </c>
      <c r="W40">
        <v>18.863784287653989</v>
      </c>
      <c r="X40">
        <v>45.962883469436036</v>
      </c>
      <c r="Y40">
        <v>9.3914072465263025</v>
      </c>
      <c r="Z40">
        <v>31.156497594674832</v>
      </c>
      <c r="AA40">
        <v>6.6545483112775914</v>
      </c>
      <c r="AB40">
        <v>35.673774723786472</v>
      </c>
      <c r="AD40">
        <v>8.0763074122479495</v>
      </c>
      <c r="AE40">
        <v>12.342630512021374</v>
      </c>
      <c r="AF40">
        <v>12.616447603025593</v>
      </c>
      <c r="AG40">
        <v>20.937424032196269</v>
      </c>
      <c r="AH40">
        <v>8.5077941072626402</v>
      </c>
      <c r="AI40">
        <v>2.5844139207529704</v>
      </c>
      <c r="AK40">
        <v>58.425222995319558</v>
      </c>
    </row>
    <row r="41" spans="1:37" x14ac:dyDescent="0.2">
      <c r="A41">
        <v>40</v>
      </c>
      <c r="B41">
        <v>743</v>
      </c>
      <c r="C41">
        <v>285</v>
      </c>
      <c r="D41">
        <v>0.281248339319983</v>
      </c>
      <c r="E41">
        <v>206.16276148665477</v>
      </c>
      <c r="F41">
        <v>61.673265885825856</v>
      </c>
      <c r="G41">
        <v>71.772791522836869</v>
      </c>
      <c r="H41">
        <v>67.141213792290628</v>
      </c>
      <c r="J41">
        <v>69.42189593574669</v>
      </c>
      <c r="L41">
        <v>7.521034026437297</v>
      </c>
      <c r="M41">
        <v>12.87634954788447</v>
      </c>
      <c r="N41">
        <v>2.6409221593517858</v>
      </c>
      <c r="O41">
        <v>29.487137754375404</v>
      </c>
      <c r="P41">
        <v>12.227624184291471</v>
      </c>
      <c r="Q41">
        <v>0.16574927476972517</v>
      </c>
      <c r="R41">
        <v>15.377471011070915</v>
      </c>
      <c r="S41">
        <v>44.871559849072511</v>
      </c>
      <c r="U41">
        <v>0.63315336172362913</v>
      </c>
      <c r="V41">
        <v>47.696558624123888</v>
      </c>
      <c r="W41">
        <v>18.646164209201938</v>
      </c>
      <c r="X41">
        <v>45.735864468626659</v>
      </c>
      <c r="Y41">
        <v>9.2982794799713098</v>
      </c>
      <c r="Z41">
        <v>30.9406362777836</v>
      </c>
      <c r="AA41">
        <v>6.5651493508891798</v>
      </c>
      <c r="AB41">
        <v>35.505749042242144</v>
      </c>
      <c r="AD41">
        <v>7.9523247037213229</v>
      </c>
      <c r="AE41">
        <v>12.246301598782894</v>
      </c>
      <c r="AF41">
        <v>12.539930326434902</v>
      </c>
      <c r="AG41">
        <v>20.754424238743361</v>
      </c>
      <c r="AH41">
        <v>8.3673649896827307</v>
      </c>
      <c r="AI41">
        <v>2.5860863440641251</v>
      </c>
      <c r="AK41">
        <v>58.410787597484109</v>
      </c>
    </row>
    <row r="42" spans="1:37" x14ac:dyDescent="0.2">
      <c r="A42">
        <v>41</v>
      </c>
      <c r="B42">
        <v>742</v>
      </c>
      <c r="C42">
        <v>285</v>
      </c>
      <c r="D42">
        <v>0.28047135891247499</v>
      </c>
      <c r="E42">
        <v>206.03949580331056</v>
      </c>
      <c r="F42">
        <v>61.287675085446686</v>
      </c>
      <c r="G42">
        <v>71.709070630825678</v>
      </c>
      <c r="H42">
        <v>67.075286966067367</v>
      </c>
      <c r="J42">
        <v>69.332700696256779</v>
      </c>
      <c r="L42">
        <v>7.4343648864233094</v>
      </c>
      <c r="M42">
        <v>12.801090824280905</v>
      </c>
      <c r="N42">
        <v>2.6428929588161645</v>
      </c>
      <c r="O42">
        <v>29.096963033544601</v>
      </c>
      <c r="P42">
        <v>12.123756720892759</v>
      </c>
      <c r="Q42">
        <v>9.777838966189574E-2</v>
      </c>
      <c r="R42">
        <v>15.15228933211608</v>
      </c>
      <c r="S42">
        <v>44.385714801386968</v>
      </c>
      <c r="U42">
        <v>0.54653912936162341</v>
      </c>
      <c r="V42">
        <v>47.574081858608608</v>
      </c>
      <c r="W42">
        <v>18.428815792228974</v>
      </c>
      <c r="X42">
        <v>45.509275544920008</v>
      </c>
      <c r="Y42">
        <v>9.2053075620324147</v>
      </c>
      <c r="Z42">
        <v>30.725047183969984</v>
      </c>
      <c r="AA42">
        <v>6.4759183446452804</v>
      </c>
      <c r="AB42">
        <v>35.337984284537924</v>
      </c>
      <c r="AD42">
        <v>7.8284449618800425</v>
      </c>
      <c r="AE42">
        <v>12.150087529971159</v>
      </c>
      <c r="AF42">
        <v>12.463556667185738</v>
      </c>
      <c r="AG42">
        <v>20.571687844221813</v>
      </c>
      <c r="AH42">
        <v>8.2271532129966509</v>
      </c>
      <c r="AI42">
        <v>2.5877577876881932</v>
      </c>
      <c r="AK42">
        <v>58.39667686827682</v>
      </c>
    </row>
    <row r="43" spans="1:37" x14ac:dyDescent="0.2">
      <c r="A43">
        <v>42</v>
      </c>
      <c r="B43">
        <v>741</v>
      </c>
      <c r="C43">
        <v>285</v>
      </c>
      <c r="D43">
        <v>0.27969284622590601</v>
      </c>
      <c r="E43">
        <v>205.91638684685054</v>
      </c>
      <c r="F43">
        <v>60.902768827943021</v>
      </c>
      <c r="G43">
        <v>71.64543297340731</v>
      </c>
      <c r="H43">
        <v>67.009456699987979</v>
      </c>
      <c r="J43">
        <v>69.244117463465443</v>
      </c>
      <c r="L43">
        <v>7.347812680037574</v>
      </c>
      <c r="M43">
        <v>12.725975030441107</v>
      </c>
      <c r="N43">
        <v>2.6448636339431584</v>
      </c>
      <c r="O43">
        <v>28.707393453166922</v>
      </c>
      <c r="P43">
        <v>12.020063675634249</v>
      </c>
      <c r="Q43">
        <v>2.9926807582858601E-2</v>
      </c>
      <c r="R43">
        <v>14.927464194866086</v>
      </c>
      <c r="S43">
        <v>43.900778998794742</v>
      </c>
      <c r="U43">
        <v>0.45999851689328752</v>
      </c>
      <c r="V43">
        <v>47.451792171655349</v>
      </c>
      <c r="W43">
        <v>18.21173811140989</v>
      </c>
      <c r="X43">
        <v>45.283115368820098</v>
      </c>
      <c r="Y43">
        <v>9.1124911743549539</v>
      </c>
      <c r="Z43">
        <v>30.509729290622385</v>
      </c>
      <c r="AA43">
        <v>6.3868549656878093</v>
      </c>
      <c r="AB43">
        <v>35.17047951047806</v>
      </c>
      <c r="AD43">
        <v>7.7046680615795067</v>
      </c>
      <c r="AE43">
        <v>12.0539878019438</v>
      </c>
      <c r="AF43">
        <v>12.38732618739188</v>
      </c>
      <c r="AG43">
        <v>20.389213915147458</v>
      </c>
      <c r="AH43">
        <v>8.087158512251488</v>
      </c>
      <c r="AI43">
        <v>2.5894282503129404</v>
      </c>
      <c r="AK43">
        <v>58.382890818956461</v>
      </c>
    </row>
    <row r="44" spans="1:37" x14ac:dyDescent="0.2">
      <c r="A44">
        <v>43</v>
      </c>
      <c r="B44">
        <v>740</v>
      </c>
      <c r="C44">
        <v>285</v>
      </c>
      <c r="D44">
        <v>0.27891279672309399</v>
      </c>
      <c r="E44">
        <v>205.69660317310985</v>
      </c>
      <c r="F44">
        <v>59.740935752330472</v>
      </c>
      <c r="G44">
        <v>71.488824953977243</v>
      </c>
      <c r="H44">
        <v>66.850669418866033</v>
      </c>
      <c r="J44">
        <v>68.699341232864668</v>
      </c>
      <c r="L44">
        <v>7.063393033754795</v>
      </c>
      <c r="M44">
        <v>12.568958319573932</v>
      </c>
      <c r="N44">
        <v>2.6468309072546097</v>
      </c>
      <c r="O44">
        <v>27.611582217669767</v>
      </c>
      <c r="P44">
        <v>11.730434601444689</v>
      </c>
      <c r="R44">
        <v>14.312554579156386</v>
      </c>
      <c r="S44">
        <v>42.588686566680778</v>
      </c>
      <c r="U44">
        <v>0.32951826996631928</v>
      </c>
      <c r="V44">
        <v>47.159640003616907</v>
      </c>
      <c r="W44">
        <v>18.008199801740592</v>
      </c>
      <c r="X44">
        <v>44.921539210004994</v>
      </c>
      <c r="Y44">
        <v>8.8267599539653165</v>
      </c>
      <c r="Z44">
        <v>29.6459529396218</v>
      </c>
      <c r="AA44">
        <v>6.0994760427323857</v>
      </c>
      <c r="AB44">
        <v>34.547359708805878</v>
      </c>
      <c r="AD44">
        <v>7.2231483223242323</v>
      </c>
      <c r="AE44">
        <v>11.653221253937353</v>
      </c>
      <c r="AF44">
        <v>12.229191768572313</v>
      </c>
      <c r="AG44">
        <v>19.751124168990749</v>
      </c>
      <c r="AH44">
        <v>7.6341160788682583</v>
      </c>
      <c r="AI44">
        <v>2.5910944526196826</v>
      </c>
      <c r="AK44">
        <v>58.115258559758004</v>
      </c>
    </row>
    <row r="45" spans="1:37" x14ac:dyDescent="0.2">
      <c r="A45">
        <v>44</v>
      </c>
      <c r="B45">
        <v>739</v>
      </c>
      <c r="C45">
        <v>285</v>
      </c>
      <c r="D45">
        <v>0.27813120584893603</v>
      </c>
      <c r="E45">
        <v>205.05728852192397</v>
      </c>
      <c r="F45">
        <v>55.514216285086356</v>
      </c>
      <c r="G45">
        <v>70.898826341116234</v>
      </c>
      <c r="H45">
        <v>66.258504912741387</v>
      </c>
      <c r="J45">
        <v>66.847255992872633</v>
      </c>
      <c r="L45">
        <v>5.9595535757979849</v>
      </c>
      <c r="M45">
        <v>12.389345962637604</v>
      </c>
      <c r="N45">
        <v>2.6487758052378281</v>
      </c>
      <c r="O45">
        <v>23.454699174395543</v>
      </c>
      <c r="P45">
        <v>10.574010085652098</v>
      </c>
      <c r="R45">
        <v>12.546608673602316</v>
      </c>
      <c r="S45">
        <v>39.695496296172614</v>
      </c>
      <c r="U45">
        <v>0.2017298257188892</v>
      </c>
      <c r="V45">
        <v>46.803796892340642</v>
      </c>
      <c r="W45">
        <v>17.83143220880611</v>
      </c>
      <c r="X45">
        <v>44.569644191532532</v>
      </c>
      <c r="Y45">
        <v>7.6677896818121338</v>
      </c>
      <c r="Z45">
        <v>26.613082744915364</v>
      </c>
      <c r="AA45">
        <v>4.970731190000901</v>
      </c>
      <c r="AB45">
        <v>33.091779012324835</v>
      </c>
      <c r="AD45">
        <v>5.4986448618775654</v>
      </c>
      <c r="AE45">
        <v>10.326839441055677</v>
      </c>
      <c r="AF45">
        <v>12.04843971397692</v>
      </c>
      <c r="AG45">
        <v>18.280553771264728</v>
      </c>
      <c r="AH45">
        <v>5.8296905707256981</v>
      </c>
      <c r="AI45">
        <v>2.5927374192549699</v>
      </c>
      <c r="AK45">
        <v>56.945008285368949</v>
      </c>
    </row>
    <row r="46" spans="1:37" x14ac:dyDescent="0.2">
      <c r="A46">
        <v>45</v>
      </c>
      <c r="B46">
        <v>738</v>
      </c>
      <c r="C46">
        <v>285</v>
      </c>
      <c r="D46">
        <v>0.277348069030313</v>
      </c>
      <c r="E46">
        <v>203.92523531486529</v>
      </c>
      <c r="F46">
        <v>47.73711774292088</v>
      </c>
      <c r="G46">
        <v>69.779759408711499</v>
      </c>
      <c r="H46">
        <v>65.137285477004056</v>
      </c>
      <c r="J46">
        <v>63.666954174722576</v>
      </c>
      <c r="L46">
        <v>3.8720236876302407</v>
      </c>
      <c r="M46">
        <v>12.294990359232097</v>
      </c>
      <c r="N46">
        <v>2.6506867948320032</v>
      </c>
      <c r="O46">
        <v>15.634749040757137</v>
      </c>
      <c r="P46">
        <v>8.3594231667216476</v>
      </c>
      <c r="R46">
        <v>9.5522185215702482</v>
      </c>
      <c r="S46">
        <v>35.667510875224671</v>
      </c>
      <c r="U46">
        <v>0.15201769775182256</v>
      </c>
      <c r="V46">
        <v>46.640219413623065</v>
      </c>
      <c r="W46">
        <v>17.679201886464732</v>
      </c>
      <c r="X46">
        <v>44.460551671540337</v>
      </c>
      <c r="Y46">
        <v>5.44980054124429</v>
      </c>
      <c r="Z46">
        <v>21.175734007967204</v>
      </c>
      <c r="AA46">
        <v>2.8361905027512111</v>
      </c>
      <c r="AB46">
        <v>31.05794164791735</v>
      </c>
      <c r="AD46">
        <v>2.3591880520079647</v>
      </c>
      <c r="AE46">
        <v>8.0228210482249409</v>
      </c>
      <c r="AF46">
        <v>11.952910895963539</v>
      </c>
      <c r="AG46">
        <v>16.231695422034118</v>
      </c>
      <c r="AH46">
        <v>2.3724977358296853</v>
      </c>
      <c r="AI46">
        <v>2.5943456153180486</v>
      </c>
      <c r="AK46">
        <v>54.756130350655113</v>
      </c>
    </row>
    <row r="47" spans="1:37" x14ac:dyDescent="0.2">
      <c r="A47">
        <v>46</v>
      </c>
      <c r="B47">
        <v>737</v>
      </c>
      <c r="C47">
        <v>285</v>
      </c>
      <c r="D47">
        <v>0.27656338167599098</v>
      </c>
      <c r="E47">
        <v>203.54694467721592</v>
      </c>
      <c r="F47">
        <v>44.295647937078613</v>
      </c>
      <c r="G47">
        <v>69.389188119788244</v>
      </c>
      <c r="H47">
        <v>64.744575096224509</v>
      </c>
      <c r="J47">
        <v>56.939619872050649</v>
      </c>
      <c r="L47">
        <v>1.8897982785896239</v>
      </c>
      <c r="M47">
        <v>12.113367980565442</v>
      </c>
      <c r="N47">
        <v>2.6526481482930233</v>
      </c>
      <c r="O47">
        <v>6.2009762896242098</v>
      </c>
      <c r="P47">
        <v>7.601886066773992</v>
      </c>
      <c r="R47">
        <v>7.2149050975203277</v>
      </c>
      <c r="S47">
        <v>31.509456753691044</v>
      </c>
      <c r="U47">
        <v>8.4053396615323794E-2</v>
      </c>
      <c r="V47">
        <v>46.780633586934357</v>
      </c>
      <c r="W47">
        <v>17.449821163942055</v>
      </c>
      <c r="X47">
        <v>44.298892986894629</v>
      </c>
      <c r="Y47">
        <v>3.8582245713008314</v>
      </c>
      <c r="Z47">
        <v>17.706754416656565</v>
      </c>
      <c r="AA47">
        <v>0.6112283463064232</v>
      </c>
      <c r="AB47">
        <v>29.88836414933958</v>
      </c>
      <c r="AD47">
        <v>0.35129098168539508</v>
      </c>
      <c r="AE47">
        <v>6.361311169312585</v>
      </c>
      <c r="AF47">
        <v>11.770166063823609</v>
      </c>
      <c r="AG47">
        <v>15.047149933573897</v>
      </c>
      <c r="AI47">
        <v>2.5960033112242806</v>
      </c>
      <c r="AK47">
        <v>50.128595650910583</v>
      </c>
    </row>
    <row r="48" spans="1:37" x14ac:dyDescent="0.2">
      <c r="A48">
        <v>47</v>
      </c>
      <c r="B48">
        <v>736</v>
      </c>
      <c r="C48">
        <v>285</v>
      </c>
      <c r="D48">
        <v>0.27577713917653601</v>
      </c>
      <c r="E48">
        <v>203.7111313825279</v>
      </c>
      <c r="F48">
        <v>44.811637979003251</v>
      </c>
      <c r="G48">
        <v>69.369185705858825</v>
      </c>
      <c r="H48">
        <v>64.722447023502625</v>
      </c>
      <c r="J48">
        <v>45.943658141959517</v>
      </c>
      <c r="L48">
        <v>1.6901847106556342</v>
      </c>
      <c r="M48">
        <v>11.609502297454542</v>
      </c>
      <c r="N48">
        <v>2.6546383573595604</v>
      </c>
      <c r="O48">
        <v>5.0848245967346353</v>
      </c>
      <c r="P48">
        <v>7.5855237644536917</v>
      </c>
      <c r="R48">
        <v>6.6636466998306361</v>
      </c>
      <c r="S48">
        <v>31.902972788771464</v>
      </c>
      <c r="U48">
        <v>2.6733371021950204E-2</v>
      </c>
      <c r="V48">
        <v>47.596306876642352</v>
      </c>
      <c r="W48">
        <v>16.892340854064976</v>
      </c>
      <c r="X48">
        <v>44.167915100667578</v>
      </c>
      <c r="Y48">
        <v>3.4985866341718803</v>
      </c>
      <c r="Z48">
        <v>17.890742980172519</v>
      </c>
      <c r="AB48">
        <v>30.738618907594436</v>
      </c>
      <c r="AE48">
        <v>6.4605346573193252</v>
      </c>
      <c r="AF48">
        <v>11.265207185955353</v>
      </c>
      <c r="AG48">
        <v>15.882468194911826</v>
      </c>
      <c r="AI48">
        <v>2.5976889968714612</v>
      </c>
      <c r="AK48">
        <v>42.568898951110633</v>
      </c>
    </row>
    <row r="49" spans="1:37" x14ac:dyDescent="0.2">
      <c r="A49">
        <v>48</v>
      </c>
      <c r="B49">
        <v>735</v>
      </c>
      <c r="C49">
        <v>285</v>
      </c>
      <c r="D49">
        <v>0.27498933690423</v>
      </c>
      <c r="E49">
        <v>203.88617162585902</v>
      </c>
      <c r="F49">
        <v>45.333775572048381</v>
      </c>
      <c r="G49">
        <v>69.347513223676671</v>
      </c>
      <c r="H49">
        <v>64.698662337220938</v>
      </c>
      <c r="J49">
        <v>40.59355658052926</v>
      </c>
      <c r="L49">
        <v>1.7069001556699333</v>
      </c>
      <c r="M49">
        <v>11.14579257340662</v>
      </c>
      <c r="N49">
        <v>2.6566252138382875</v>
      </c>
      <c r="O49">
        <v>5.093305641627623</v>
      </c>
      <c r="P49">
        <v>7.5658261890212204</v>
      </c>
      <c r="R49">
        <v>6.3045538854857845</v>
      </c>
      <c r="S49">
        <v>32.410415361664128</v>
      </c>
      <c r="V49">
        <v>48.221507328720918</v>
      </c>
      <c r="W49">
        <v>16.356549947585627</v>
      </c>
      <c r="X49">
        <v>44.130002882724462</v>
      </c>
      <c r="Y49">
        <v>3.3010106182391943</v>
      </c>
      <c r="Z49">
        <v>18.058875982601343</v>
      </c>
      <c r="AB49">
        <v>31.302363566985665</v>
      </c>
      <c r="AE49">
        <v>6.5492080381616411</v>
      </c>
      <c r="AF49">
        <v>10.800401323531618</v>
      </c>
      <c r="AG49">
        <v>16.43127564846036</v>
      </c>
      <c r="AI49">
        <v>2.5993704622265534</v>
      </c>
      <c r="AK49">
        <v>38.865062415194906</v>
      </c>
    </row>
    <row r="50" spans="1:37" x14ac:dyDescent="0.2">
      <c r="A50">
        <v>49</v>
      </c>
      <c r="B50">
        <v>757</v>
      </c>
      <c r="C50">
        <v>270</v>
      </c>
      <c r="D50">
        <v>0.30798475950104598</v>
      </c>
      <c r="E50">
        <v>199.14641157467153</v>
      </c>
      <c r="F50">
        <v>66.823411600596415</v>
      </c>
      <c r="G50">
        <v>72.671570249749337</v>
      </c>
      <c r="H50">
        <v>68.07155892103583</v>
      </c>
      <c r="J50">
        <v>70.430314258056242</v>
      </c>
      <c r="L50">
        <v>8.6895872168518213</v>
      </c>
      <c r="M50">
        <v>13.920698743081248</v>
      </c>
      <c r="N50">
        <v>2.5634607420839575</v>
      </c>
      <c r="O50">
        <v>35.057475176206665</v>
      </c>
      <c r="P50">
        <v>13.561396899514994</v>
      </c>
      <c r="Q50">
        <v>0.98095785242272726</v>
      </c>
      <c r="R50">
        <v>18.576270246940577</v>
      </c>
      <c r="S50">
        <v>51.422897250450504</v>
      </c>
      <c r="U50">
        <v>1.752516699439735</v>
      </c>
      <c r="V50">
        <v>49.100308908075391</v>
      </c>
      <c r="W50">
        <v>22.011119827961146</v>
      </c>
      <c r="X50">
        <v>48.03111109656971</v>
      </c>
      <c r="Y50">
        <v>10.490094397886649</v>
      </c>
      <c r="Z50">
        <v>33.962553018633905</v>
      </c>
      <c r="AA50">
        <v>7.7863370456573104</v>
      </c>
      <c r="AB50">
        <v>37.879455681463078</v>
      </c>
      <c r="AC50">
        <v>4.8319947713725241E-3</v>
      </c>
      <c r="AD50">
        <v>9.6748658262376797</v>
      </c>
      <c r="AE50">
        <v>13.70906631524489</v>
      </c>
      <c r="AF50">
        <v>13.596296624617565</v>
      </c>
      <c r="AG50">
        <v>23.352965668942627</v>
      </c>
      <c r="AH50">
        <v>10.05016529161329</v>
      </c>
      <c r="AI50">
        <v>2.5107805370702381</v>
      </c>
      <c r="AK50">
        <v>58.416486439325048</v>
      </c>
    </row>
    <row r="51" spans="1:37" x14ac:dyDescent="0.2">
      <c r="A51">
        <v>50</v>
      </c>
      <c r="B51">
        <v>756</v>
      </c>
      <c r="C51">
        <v>270</v>
      </c>
      <c r="D51">
        <v>0.30724432784336703</v>
      </c>
      <c r="E51">
        <v>199.03280755829687</v>
      </c>
      <c r="F51">
        <v>66.46985817582059</v>
      </c>
      <c r="G51">
        <v>72.612660119450055</v>
      </c>
      <c r="H51">
        <v>68.010252424956633</v>
      </c>
      <c r="J51">
        <v>70.354241634847781</v>
      </c>
      <c r="L51">
        <v>8.6070889279964735</v>
      </c>
      <c r="M51">
        <v>13.860148714655139</v>
      </c>
      <c r="N51">
        <v>2.5603553428340158</v>
      </c>
      <c r="O51">
        <v>34.675089856420527</v>
      </c>
      <c r="P51">
        <v>13.46195827754465</v>
      </c>
      <c r="Q51">
        <v>0.92440690764248301</v>
      </c>
      <c r="R51">
        <v>18.372819687491805</v>
      </c>
      <c r="S51">
        <v>51.006777758432719</v>
      </c>
      <c r="U51">
        <v>1.6788764807908256</v>
      </c>
      <c r="V51">
        <v>49.001565190243703</v>
      </c>
      <c r="W51">
        <v>21.821376487709529</v>
      </c>
      <c r="X51">
        <v>47.847265018087626</v>
      </c>
      <c r="Y51">
        <v>10.403575377203611</v>
      </c>
      <c r="Z51">
        <v>33.768626366954727</v>
      </c>
      <c r="AA51">
        <v>7.7012493801254749</v>
      </c>
      <c r="AB51">
        <v>37.738662275759118</v>
      </c>
      <c r="AD51">
        <v>9.5657502801093024</v>
      </c>
      <c r="AE51">
        <v>13.621437258300729</v>
      </c>
      <c r="AF51">
        <v>13.529548721941566</v>
      </c>
      <c r="AG51">
        <v>23.19210831189373</v>
      </c>
      <c r="AH51">
        <v>9.9261084935362476</v>
      </c>
      <c r="AI51">
        <v>2.5073882586751051</v>
      </c>
      <c r="AK51">
        <v>58.405679465132899</v>
      </c>
    </row>
    <row r="52" spans="1:37" x14ac:dyDescent="0.2">
      <c r="A52">
        <v>51</v>
      </c>
      <c r="B52">
        <v>755</v>
      </c>
      <c r="C52">
        <v>270</v>
      </c>
      <c r="D52">
        <v>0.30650245586733499</v>
      </c>
      <c r="E52">
        <v>198.9076005421451</v>
      </c>
      <c r="F52">
        <v>66.076315495071611</v>
      </c>
      <c r="G52">
        <v>72.547910708741753</v>
      </c>
      <c r="H52">
        <v>67.943119679963687</v>
      </c>
      <c r="J52">
        <v>70.256743572845636</v>
      </c>
      <c r="L52">
        <v>8.5184872649115047</v>
      </c>
      <c r="M52">
        <v>13.783378997925031</v>
      </c>
      <c r="N52">
        <v>2.5623292076103259</v>
      </c>
      <c r="O52">
        <v>34.27735687702004</v>
      </c>
      <c r="P52">
        <v>13.355928106442748</v>
      </c>
      <c r="Q52">
        <v>0.85553812410086261</v>
      </c>
      <c r="R52">
        <v>18.143590580579488</v>
      </c>
      <c r="S52">
        <v>50.510207797177856</v>
      </c>
      <c r="U52">
        <v>1.5912493641300343</v>
      </c>
      <c r="V52">
        <v>48.877049114405011</v>
      </c>
      <c r="W52">
        <v>21.600950750969993</v>
      </c>
      <c r="X52">
        <v>47.615901952903663</v>
      </c>
      <c r="Y52">
        <v>10.308694021793224</v>
      </c>
      <c r="Z52">
        <v>33.550938383159931</v>
      </c>
      <c r="AA52">
        <v>7.6100810558659866</v>
      </c>
      <c r="AB52">
        <v>37.568469454532803</v>
      </c>
      <c r="AD52">
        <v>9.4413859225633558</v>
      </c>
      <c r="AE52">
        <v>13.524377408315667</v>
      </c>
      <c r="AF52">
        <v>13.45166069292082</v>
      </c>
      <c r="AG52">
        <v>23.006933324695183</v>
      </c>
      <c r="AH52">
        <v>9.7833552583705412</v>
      </c>
      <c r="AI52">
        <v>2.5090744134031571</v>
      </c>
      <c r="AK52">
        <v>58.387209417061079</v>
      </c>
    </row>
    <row r="53" spans="1:37" x14ac:dyDescent="0.2">
      <c r="A53">
        <v>52</v>
      </c>
      <c r="B53">
        <v>754</v>
      </c>
      <c r="C53">
        <v>270</v>
      </c>
      <c r="D53">
        <v>0.30575913936620902</v>
      </c>
      <c r="E53">
        <v>198.78255069145203</v>
      </c>
      <c r="F53">
        <v>65.683466039732238</v>
      </c>
      <c r="G53">
        <v>72.483244674376095</v>
      </c>
      <c r="H53">
        <v>67.876083363647922</v>
      </c>
      <c r="J53">
        <v>70.159852036623292</v>
      </c>
      <c r="L53">
        <v>8.4300526754317353</v>
      </c>
      <c r="M53">
        <v>13.706755658021487</v>
      </c>
      <c r="N53">
        <v>2.5643029417708565</v>
      </c>
      <c r="O53">
        <v>33.88023584397488</v>
      </c>
      <c r="P53">
        <v>13.250072327785629</v>
      </c>
      <c r="Q53">
        <v>0.78679742769182937</v>
      </c>
      <c r="R53">
        <v>17.914724225682441</v>
      </c>
      <c r="S53">
        <v>50.014563539069762</v>
      </c>
      <c r="U53">
        <v>1.5036956039111635</v>
      </c>
      <c r="V53">
        <v>48.75272444825476</v>
      </c>
      <c r="W53">
        <v>21.380804966186759</v>
      </c>
      <c r="X53">
        <v>47.384974030942303</v>
      </c>
      <c r="Y53">
        <v>10.21396910594194</v>
      </c>
      <c r="Z53">
        <v>33.333535798908933</v>
      </c>
      <c r="AA53">
        <v>7.5190819325212139</v>
      </c>
      <c r="AB53">
        <v>37.398547693648922</v>
      </c>
      <c r="AD53">
        <v>9.3171248558025095</v>
      </c>
      <c r="AE53">
        <v>13.427439703901655</v>
      </c>
      <c r="AF53">
        <v>13.37391921365508</v>
      </c>
      <c r="AG53">
        <v>22.822031794502717</v>
      </c>
      <c r="AH53">
        <v>9.6408188268798209</v>
      </c>
      <c r="AI53">
        <v>2.5107596047739316</v>
      </c>
      <c r="AK53">
        <v>58.369058251698632</v>
      </c>
    </row>
    <row r="54" spans="1:37" x14ac:dyDescent="0.2">
      <c r="A54">
        <v>53</v>
      </c>
      <c r="B54">
        <v>753</v>
      </c>
      <c r="C54">
        <v>270</v>
      </c>
      <c r="D54">
        <v>0.30501437411684701</v>
      </c>
      <c r="E54">
        <v>198.65765759109289</v>
      </c>
      <c r="F54">
        <v>65.29130803798526</v>
      </c>
      <c r="G54">
        <v>72.418661854134072</v>
      </c>
      <c r="H54">
        <v>67.809143334667795</v>
      </c>
      <c r="J54">
        <v>70.06356656158475</v>
      </c>
      <c r="L54">
        <v>8.3417850849589357</v>
      </c>
      <c r="M54">
        <v>13.630278215847966</v>
      </c>
      <c r="N54">
        <v>2.5662765457831322</v>
      </c>
      <c r="O54">
        <v>33.483725408786583</v>
      </c>
      <c r="P54">
        <v>13.14439064037798</v>
      </c>
      <c r="Q54">
        <v>0.71818415862515572</v>
      </c>
      <c r="R54">
        <v>17.686219497481538</v>
      </c>
      <c r="S54">
        <v>49.519842181611963</v>
      </c>
      <c r="U54">
        <v>1.4162148335496165</v>
      </c>
      <c r="V54">
        <v>48.628590463755799</v>
      </c>
      <c r="W54">
        <v>21.160938163887653</v>
      </c>
      <c r="X54">
        <v>47.15447976429698</v>
      </c>
      <c r="Y54">
        <v>10.11940024931712</v>
      </c>
      <c r="Z54">
        <v>33.116417598859947</v>
      </c>
      <c r="AA54">
        <v>7.4282516263142169</v>
      </c>
      <c r="AB54">
        <v>37.228896033073156</v>
      </c>
      <c r="AD54">
        <v>9.1929669849746141</v>
      </c>
      <c r="AE54">
        <v>13.330623657778961</v>
      </c>
      <c r="AF54">
        <v>13.296323811138189</v>
      </c>
      <c r="AG54">
        <v>22.637402767699761</v>
      </c>
      <c r="AH54">
        <v>9.4984988713009528</v>
      </c>
      <c r="AI54">
        <v>2.5124438314152417</v>
      </c>
      <c r="AK54">
        <v>58.351225887768109</v>
      </c>
    </row>
    <row r="55" spans="1:37" x14ac:dyDescent="0.2">
      <c r="A55">
        <v>54</v>
      </c>
      <c r="B55">
        <v>752</v>
      </c>
      <c r="C55">
        <v>270</v>
      </c>
      <c r="D55">
        <v>0.30426815587962902</v>
      </c>
      <c r="E55">
        <v>198.53292083058835</v>
      </c>
      <c r="F55">
        <v>64.899839738128847</v>
      </c>
      <c r="G55">
        <v>72.35416208813632</v>
      </c>
      <c r="H55">
        <v>67.742299454066099</v>
      </c>
      <c r="J55">
        <v>69.967886692791083</v>
      </c>
      <c r="L55">
        <v>8.2536305800420209</v>
      </c>
      <c r="M55">
        <v>13.553946196220171</v>
      </c>
      <c r="N55">
        <v>2.5682500202496019</v>
      </c>
      <c r="O55">
        <v>33.087824239158145</v>
      </c>
      <c r="P55">
        <v>13.038882747903926</v>
      </c>
      <c r="Q55">
        <v>0.6496976612610188</v>
      </c>
      <c r="R55">
        <v>17.458075282204494</v>
      </c>
      <c r="S55">
        <v>49.026040946914392</v>
      </c>
      <c r="U55">
        <v>1.3288066908529148</v>
      </c>
      <c r="V55">
        <v>48.504646432031507</v>
      </c>
      <c r="W55">
        <v>20.941349382350516</v>
      </c>
      <c r="X55">
        <v>46.924417677600132</v>
      </c>
      <c r="Y55">
        <v>10.024987076737167</v>
      </c>
      <c r="Z55">
        <v>32.899582775615059</v>
      </c>
      <c r="AA55">
        <v>7.3375897587872752</v>
      </c>
      <c r="AB55">
        <v>37.059513519987078</v>
      </c>
      <c r="AD55">
        <v>9.0689122172209906</v>
      </c>
      <c r="AE55">
        <v>13.233928786087672</v>
      </c>
      <c r="AF55">
        <v>13.218874016425943</v>
      </c>
      <c r="AG55">
        <v>22.453045298040465</v>
      </c>
      <c r="AH55">
        <v>9.3563950696662719</v>
      </c>
      <c r="AI55">
        <v>2.5141270920907566</v>
      </c>
      <c r="AK55">
        <v>58.33371224906309</v>
      </c>
    </row>
    <row r="56" spans="1:37" x14ac:dyDescent="0.2">
      <c r="A56">
        <v>55</v>
      </c>
      <c r="B56">
        <v>751</v>
      </c>
      <c r="C56">
        <v>270</v>
      </c>
      <c r="D56">
        <v>0.30352048039838297</v>
      </c>
      <c r="E56">
        <v>198.40834000470167</v>
      </c>
      <c r="F56">
        <v>64.50905941053098</v>
      </c>
      <c r="G56">
        <v>72.289745219132072</v>
      </c>
      <c r="H56">
        <v>67.675551585551034</v>
      </c>
      <c r="J56">
        <v>69.87281198604002</v>
      </c>
      <c r="L56">
        <v>8.1656893298763649</v>
      </c>
      <c r="M56">
        <v>13.477759128640461</v>
      </c>
      <c r="N56">
        <v>2.5702233656677085</v>
      </c>
      <c r="O56">
        <v>32.692531019677304</v>
      </c>
      <c r="P56">
        <v>12.933548359263463</v>
      </c>
      <c r="Q56">
        <v>0.58133728499028436</v>
      </c>
      <c r="R56">
        <v>17.230290478893995</v>
      </c>
      <c r="S56">
        <v>48.533157085560084</v>
      </c>
      <c r="U56">
        <v>1.2414708186808665</v>
      </c>
      <c r="V56">
        <v>48.380891624460361</v>
      </c>
      <c r="W56">
        <v>20.722037669005342</v>
      </c>
      <c r="X56">
        <v>46.694786310666316</v>
      </c>
      <c r="Y56">
        <v>9.9307292185886986</v>
      </c>
      <c r="Z56">
        <v>32.683030330763152</v>
      </c>
      <c r="AA56">
        <v>7.2470959571299316</v>
      </c>
      <c r="AB56">
        <v>36.890399210130411</v>
      </c>
      <c r="AD56">
        <v>8.9449604624107888</v>
      </c>
      <c r="AE56">
        <v>13.137354608772796</v>
      </c>
      <c r="AF56">
        <v>13.141569365166497</v>
      </c>
      <c r="AG56">
        <v>22.268958447750514</v>
      </c>
      <c r="AH56">
        <v>9.2145071067251099</v>
      </c>
      <c r="AI56">
        <v>2.5158093854584398</v>
      </c>
      <c r="AK56">
        <v>58.316517264861751</v>
      </c>
    </row>
    <row r="57" spans="1:37" x14ac:dyDescent="0.2">
      <c r="A57">
        <v>56</v>
      </c>
      <c r="B57">
        <v>750</v>
      </c>
      <c r="C57">
        <v>270</v>
      </c>
      <c r="D57">
        <v>0.302771343400284</v>
      </c>
      <c r="E57">
        <v>198.28391471277286</v>
      </c>
      <c r="F57">
        <v>64.118965345516941</v>
      </c>
      <c r="G57">
        <v>72.225411092230033</v>
      </c>
      <c r="H57">
        <v>67.608899595233524</v>
      </c>
      <c r="J57">
        <v>69.778342006706282</v>
      </c>
      <c r="L57">
        <v>8.0779138789067186</v>
      </c>
      <c r="M57">
        <v>13.401716546639619</v>
      </c>
      <c r="N57">
        <v>2.5721965825529387</v>
      </c>
      <c r="O57">
        <v>32.297844450870279</v>
      </c>
      <c r="P57">
        <v>12.828387188154759</v>
      </c>
      <c r="Q57">
        <v>0.51304374343839299</v>
      </c>
      <c r="R57">
        <v>17.00286399810696</v>
      </c>
      <c r="S57">
        <v>48.041187873217432</v>
      </c>
      <c r="U57">
        <v>1.1542068643929364</v>
      </c>
      <c r="V57">
        <v>48.25732531127138</v>
      </c>
      <c r="W57">
        <v>20.503002079392203</v>
      </c>
      <c r="X57">
        <v>46.46558421561879</v>
      </c>
      <c r="Y57">
        <v>9.8366263103798968</v>
      </c>
      <c r="Z57">
        <v>32.466759274160658</v>
      </c>
      <c r="AA57">
        <v>7.1567698538011104</v>
      </c>
      <c r="AB57">
        <v>36.721552166829433</v>
      </c>
      <c r="AD57">
        <v>8.821111632669842</v>
      </c>
      <c r="AE57">
        <v>13.040900649361554</v>
      </c>
      <c r="AF57">
        <v>13.064409397067172</v>
      </c>
      <c r="AG57">
        <v>22.085141286678937</v>
      </c>
      <c r="AH57">
        <v>9.0728346731395551</v>
      </c>
      <c r="AI57">
        <v>2.5174907101936022</v>
      </c>
      <c r="AK57">
        <v>58.299640869345652</v>
      </c>
    </row>
    <row r="58" spans="1:37" x14ac:dyDescent="0.2">
      <c r="A58">
        <v>57</v>
      </c>
      <c r="B58">
        <v>749</v>
      </c>
      <c r="C58">
        <v>270</v>
      </c>
      <c r="D58">
        <v>0.30202074059580297</v>
      </c>
      <c r="E58">
        <v>198.15964455888923</v>
      </c>
      <c r="F58">
        <v>63.729555853651505</v>
      </c>
      <c r="G58">
        <v>72.161159554910071</v>
      </c>
      <c r="H58">
        <v>67.542343351635779</v>
      </c>
      <c r="J58">
        <v>69.684476329967382</v>
      </c>
      <c r="L58">
        <v>7.9903043645196501</v>
      </c>
      <c r="M58">
        <v>13.325817987727053</v>
      </c>
      <c r="N58">
        <v>2.5741696715203148</v>
      </c>
      <c r="O58">
        <v>31.903763249344209</v>
      </c>
      <c r="P58">
        <v>12.72339895318615</v>
      </c>
      <c r="Q58">
        <v>0.44492997105167614</v>
      </c>
      <c r="R58">
        <v>16.77579476206056</v>
      </c>
      <c r="S58">
        <v>47.55013061046558</v>
      </c>
      <c r="U58">
        <v>1.0670144797964449</v>
      </c>
      <c r="V58">
        <v>48.133946761441386</v>
      </c>
      <c r="W58">
        <v>20.284241676826149</v>
      </c>
      <c r="X58">
        <v>46.236809957535208</v>
      </c>
      <c r="Y58">
        <v>9.7426779928120126</v>
      </c>
      <c r="Z58">
        <v>32.25076862350285</v>
      </c>
      <c r="AA58">
        <v>7.066611086655481</v>
      </c>
      <c r="AB58">
        <v>36.552971460617691</v>
      </c>
      <c r="AD58">
        <v>8.6973656422225663</v>
      </c>
      <c r="AE58">
        <v>12.944566434699817</v>
      </c>
      <c r="AF58">
        <v>12.987393655927519</v>
      </c>
      <c r="AG58">
        <v>21.901592892002405</v>
      </c>
      <c r="AH58">
        <v>8.9313774654850153</v>
      </c>
      <c r="AI58">
        <v>2.5191710650719039</v>
      </c>
      <c r="AK58">
        <v>58.283083001854969</v>
      </c>
    </row>
    <row r="59" spans="1:37" x14ac:dyDescent="0.2">
      <c r="A59">
        <v>58</v>
      </c>
      <c r="B59">
        <v>748</v>
      </c>
      <c r="C59">
        <v>270</v>
      </c>
      <c r="D59">
        <v>0.301268667678598</v>
      </c>
      <c r="E59">
        <v>198.03552915201618</v>
      </c>
      <c r="F59">
        <v>63.340829266351548</v>
      </c>
      <c r="G59">
        <v>72.096990457153339</v>
      </c>
      <c r="H59">
        <v>67.475882725823595</v>
      </c>
      <c r="J59">
        <v>69.591214541129304</v>
      </c>
      <c r="L59">
        <v>7.9028611272979106</v>
      </c>
      <c r="M59">
        <v>13.250062993827793</v>
      </c>
      <c r="N59">
        <v>2.5761426330684434</v>
      </c>
      <c r="O59">
        <v>31.510286147871465</v>
      </c>
      <c r="P59">
        <v>12.61858337791036</v>
      </c>
      <c r="Q59">
        <v>0.3769401299774745</v>
      </c>
      <c r="R59">
        <v>16.54908170509718</v>
      </c>
      <c r="S59">
        <v>47.059982624862442</v>
      </c>
      <c r="U59">
        <v>0.97989332152803099</v>
      </c>
      <c r="V59">
        <v>48.010755243025208</v>
      </c>
      <c r="W59">
        <v>20.065755533399237</v>
      </c>
      <c r="X59">
        <v>46.008462115506845</v>
      </c>
      <c r="Y59">
        <v>9.6488839119059868</v>
      </c>
      <c r="Z59">
        <v>32.035057405198749</v>
      </c>
      <c r="AA59">
        <v>6.9766192989746632</v>
      </c>
      <c r="AB59">
        <v>36.384656170251397</v>
      </c>
      <c r="AD59">
        <v>8.573722407942217</v>
      </c>
      <c r="AE59">
        <v>12.848351495357472</v>
      </c>
      <c r="AF59">
        <v>12.910521689858884</v>
      </c>
      <c r="AG59">
        <v>21.718312349022224</v>
      </c>
      <c r="AH59">
        <v>8.790135186717567</v>
      </c>
      <c r="AI59">
        <v>2.5208504487516574</v>
      </c>
      <c r="AK59">
        <v>58.266843606840965</v>
      </c>
    </row>
    <row r="60" spans="1:37" x14ac:dyDescent="0.2">
      <c r="A60">
        <v>59</v>
      </c>
      <c r="B60">
        <v>747</v>
      </c>
      <c r="C60">
        <v>270</v>
      </c>
      <c r="D60">
        <v>0.30051512032544198</v>
      </c>
      <c r="E60">
        <v>197.91156810582572</v>
      </c>
      <c r="F60">
        <v>62.952783935124884</v>
      </c>
      <c r="G60">
        <v>72.032903651317412</v>
      </c>
      <c r="H60">
        <v>67.409517591278828</v>
      </c>
      <c r="J60">
        <v>69.498556235246653</v>
      </c>
      <c r="L60">
        <v>7.8155239898086348</v>
      </c>
      <c r="M60">
        <v>13.17445111091207</v>
      </c>
      <c r="N60">
        <v>2.5781154677228235</v>
      </c>
      <c r="O60">
        <v>31.117411895081858</v>
      </c>
      <c r="P60">
        <v>12.513940190732306</v>
      </c>
      <c r="Q60">
        <v>0.30907356793234159</v>
      </c>
      <c r="R60">
        <v>16.322723773180314</v>
      </c>
      <c r="S60">
        <v>46.570741269111224</v>
      </c>
      <c r="U60">
        <v>0.89284305072986703</v>
      </c>
      <c r="V60">
        <v>47.887750022424768</v>
      </c>
      <c r="W60">
        <v>19.847542729159183</v>
      </c>
      <c r="X60">
        <v>45.780539281133194</v>
      </c>
      <c r="Y60">
        <v>9.5552437188482546</v>
      </c>
      <c r="Z60">
        <v>31.819624653619815</v>
      </c>
      <c r="AA60">
        <v>6.886794139387697</v>
      </c>
      <c r="AB60">
        <v>36.216605381865833</v>
      </c>
      <c r="AD60">
        <v>8.450181848951221</v>
      </c>
      <c r="AE60">
        <v>12.752255365279861</v>
      </c>
      <c r="AF60">
        <v>12.833793051055297</v>
      </c>
      <c r="AG60">
        <v>21.535298750464435</v>
      </c>
      <c r="AH60">
        <v>8.6491075457653839</v>
      </c>
      <c r="AI60">
        <v>2.5225288599183018</v>
      </c>
      <c r="AK60">
        <v>58.250922633819428</v>
      </c>
    </row>
    <row r="61" spans="1:37" x14ac:dyDescent="0.2">
      <c r="A61">
        <v>60</v>
      </c>
      <c r="B61">
        <v>746</v>
      </c>
      <c r="C61">
        <v>270</v>
      </c>
      <c r="D61">
        <v>0.29976009419614502</v>
      </c>
      <c r="E61">
        <v>197.78776103857979</v>
      </c>
      <c r="F61">
        <v>62.565418231126515</v>
      </c>
      <c r="G61">
        <v>71.968898992080881</v>
      </c>
      <c r="H61">
        <v>67.343247823847634</v>
      </c>
      <c r="J61">
        <v>69.406501016922533</v>
      </c>
      <c r="L61">
        <v>7.7284030301152509</v>
      </c>
      <c r="M61">
        <v>13.098981888820697</v>
      </c>
      <c r="N61">
        <v>2.5800881760754275</v>
      </c>
      <c r="O61">
        <v>30.725139255243139</v>
      </c>
      <c r="P61">
        <v>12.409469124824115</v>
      </c>
      <c r="Q61">
        <v>0.24132963668065896</v>
      </c>
      <c r="R61">
        <v>16.096719923613126</v>
      </c>
      <c r="S61">
        <v>46.0824039202367</v>
      </c>
      <c r="U61">
        <v>0.80586333291240086</v>
      </c>
      <c r="V61">
        <v>47.764930363904043</v>
      </c>
      <c r="W61">
        <v>19.629602351781628</v>
      </c>
      <c r="X61">
        <v>45.553040058882004</v>
      </c>
      <c r="Y61">
        <v>9.4617570699039177</v>
      </c>
      <c r="Z61">
        <v>31.604469410841986</v>
      </c>
      <c r="AA61">
        <v>6.7971352618017189</v>
      </c>
      <c r="AB61">
        <v>36.048818188680414</v>
      </c>
      <c r="AD61">
        <v>8.3267438864979475</v>
      </c>
      <c r="AE61">
        <v>12.656277581675219</v>
      </c>
      <c r="AF61">
        <v>12.757207295666344</v>
      </c>
      <c r="AG61">
        <v>21.352551196227409</v>
      </c>
      <c r="AH61">
        <v>8.5082942573560238</v>
      </c>
      <c r="AI61">
        <v>2.5242062973233987</v>
      </c>
      <c r="AK61">
        <v>58.235320037293391</v>
      </c>
    </row>
    <row r="62" spans="1:37" x14ac:dyDescent="0.2">
      <c r="A62">
        <v>61</v>
      </c>
      <c r="B62">
        <v>745</v>
      </c>
      <c r="C62">
        <v>270</v>
      </c>
      <c r="D62">
        <v>0.29900358493345802</v>
      </c>
      <c r="E62">
        <v>197.66410757343289</v>
      </c>
      <c r="F62">
        <v>62.178730546167948</v>
      </c>
      <c r="G62">
        <v>71.904976336604975</v>
      </c>
      <c r="H62">
        <v>67.277073301898369</v>
      </c>
      <c r="J62">
        <v>69.315048500878561</v>
      </c>
      <c r="L62">
        <v>7.641447841051928</v>
      </c>
      <c r="M62">
        <v>13.023654881753073</v>
      </c>
      <c r="N62">
        <v>2.5820607586138018</v>
      </c>
      <c r="O62">
        <v>30.333467008558873</v>
      </c>
      <c r="P62">
        <v>12.305169918283905</v>
      </c>
      <c r="Q62">
        <v>0.17370769273890893</v>
      </c>
      <c r="R62">
        <v>15.871069125734348</v>
      </c>
      <c r="S62">
        <v>45.594967981872195</v>
      </c>
      <c r="U62">
        <v>0.7189538383561811</v>
      </c>
      <c r="V62">
        <v>47.642295530068679</v>
      </c>
      <c r="W62">
        <v>19.411933497487922</v>
      </c>
      <c r="X62">
        <v>45.325963066845304</v>
      </c>
      <c r="Y62">
        <v>9.3684236266317882</v>
      </c>
      <c r="Z62">
        <v>31.389590727311052</v>
      </c>
      <c r="AA62">
        <v>6.7076423255363986</v>
      </c>
      <c r="AB62">
        <v>35.881293691851745</v>
      </c>
      <c r="AD62">
        <v>8.2034084444221644</v>
      </c>
      <c r="AE62">
        <v>12.560417685274043</v>
      </c>
      <c r="AF62">
        <v>12.680763984101951</v>
      </c>
      <c r="AG62">
        <v>21.170068794057567</v>
      </c>
      <c r="AH62">
        <v>8.3676950425468331</v>
      </c>
      <c r="AI62">
        <v>2.5258827596145514</v>
      </c>
      <c r="AK62">
        <v>58.220035776930075</v>
      </c>
    </row>
    <row r="63" spans="1:37" x14ac:dyDescent="0.2">
      <c r="A63">
        <v>62</v>
      </c>
      <c r="B63">
        <v>744</v>
      </c>
      <c r="C63">
        <v>270</v>
      </c>
      <c r="D63">
        <v>0.298245588163005</v>
      </c>
      <c r="E63">
        <v>197.54060733784681</v>
      </c>
      <c r="F63">
        <v>61.792719290714842</v>
      </c>
      <c r="G63">
        <v>71.841135544251031</v>
      </c>
      <c r="H63">
        <v>67.210993906042376</v>
      </c>
      <c r="J63">
        <v>69.224198310864125</v>
      </c>
      <c r="L63">
        <v>7.5546024608863247</v>
      </c>
      <c r="M63">
        <v>12.948469647487672</v>
      </c>
      <c r="N63">
        <v>2.5840332159360888</v>
      </c>
      <c r="O63">
        <v>29.942393950336914</v>
      </c>
      <c r="P63">
        <v>12.201042313788417</v>
      </c>
      <c r="Q63">
        <v>0.10620709720208014</v>
      </c>
      <c r="R63">
        <v>15.645770359636932</v>
      </c>
      <c r="S63">
        <v>45.108430880466422</v>
      </c>
      <c r="U63">
        <v>0.63211424146822293</v>
      </c>
      <c r="V63">
        <v>47.519844780386912</v>
      </c>
      <c r="W63">
        <v>19.194535269634514</v>
      </c>
      <c r="X63">
        <v>45.09930693450152</v>
      </c>
      <c r="Y63">
        <v>9.2752430554677279</v>
      </c>
      <c r="Z63">
        <v>31.174987660782651</v>
      </c>
      <c r="AA63">
        <v>6.6183149949969593</v>
      </c>
      <c r="AB63">
        <v>35.714030999146019</v>
      </c>
      <c r="AD63">
        <v>8.0801754485061199</v>
      </c>
      <c r="AE63">
        <v>12.464675219920473</v>
      </c>
      <c r="AF63">
        <v>12.604462680476143</v>
      </c>
      <c r="AG63">
        <v>20.987850658444554</v>
      </c>
      <c r="AH63">
        <v>8.227309627854158</v>
      </c>
      <c r="AI63">
        <v>2.5275582455489101</v>
      </c>
      <c r="AK63">
        <v>58.205069817122215</v>
      </c>
    </row>
    <row r="64" spans="1:37" x14ac:dyDescent="0.2">
      <c r="A64">
        <v>63</v>
      </c>
      <c r="B64">
        <v>743</v>
      </c>
      <c r="C64">
        <v>270</v>
      </c>
      <c r="D64">
        <v>0.297486099493184</v>
      </c>
      <c r="E64">
        <v>197.41725996415099</v>
      </c>
      <c r="F64">
        <v>61.407382895674218</v>
      </c>
      <c r="G64">
        <v>71.777376476837162</v>
      </c>
      <c r="H64">
        <v>67.145009519389674</v>
      </c>
      <c r="J64">
        <v>69.133950080686077</v>
      </c>
      <c r="L64">
        <v>7.4679680900054208</v>
      </c>
      <c r="M64">
        <v>12.873425748069815</v>
      </c>
      <c r="N64">
        <v>2.5860055485526536</v>
      </c>
      <c r="O64">
        <v>29.551918891649979</v>
      </c>
      <c r="P64">
        <v>12.097086058901967</v>
      </c>
      <c r="Q64">
        <v>3.8827216780464371E-2</v>
      </c>
      <c r="R64">
        <v>15.420822617315318</v>
      </c>
      <c r="S64">
        <v>44.622790068640448</v>
      </c>
      <c r="U64">
        <v>0.54534422135123917</v>
      </c>
      <c r="V64">
        <v>47.397577372053291</v>
      </c>
      <c r="W64">
        <v>18.977406779890305</v>
      </c>
      <c r="X64">
        <v>44.873070305013051</v>
      </c>
      <c r="Y64">
        <v>9.1822150281030712</v>
      </c>
      <c r="Z64">
        <v>30.960659277127426</v>
      </c>
      <c r="AA64">
        <v>6.5291529399439021</v>
      </c>
      <c r="AB64">
        <v>35.5470292260324</v>
      </c>
      <c r="AD64">
        <v>7.957044827054931</v>
      </c>
      <c r="AE64">
        <v>12.369049732842724</v>
      </c>
      <c r="AF64">
        <v>12.528302953099955</v>
      </c>
      <c r="AG64">
        <v>20.805895911512994</v>
      </c>
      <c r="AH64">
        <v>8.0871377460488567</v>
      </c>
      <c r="AI64">
        <v>2.5292327537970123</v>
      </c>
      <c r="AK64">
        <v>58.190422127433273</v>
      </c>
    </row>
    <row r="65" spans="1:37" x14ac:dyDescent="0.2">
      <c r="A65">
        <v>64</v>
      </c>
      <c r="B65">
        <v>742</v>
      </c>
      <c r="C65">
        <v>270</v>
      </c>
      <c r="D65">
        <v>0.29672511451509398</v>
      </c>
      <c r="E65">
        <v>197.20420934903612</v>
      </c>
      <c r="F65">
        <v>60.310415738749676</v>
      </c>
      <c r="G65">
        <v>71.625843189059026</v>
      </c>
      <c r="H65">
        <v>66.9912642179697</v>
      </c>
      <c r="J65">
        <v>68.630987388196345</v>
      </c>
      <c r="L65">
        <v>7.1975212188763926</v>
      </c>
      <c r="M65">
        <v>12.732034161082977</v>
      </c>
      <c r="N65">
        <v>2.5879746924204907</v>
      </c>
      <c r="O65">
        <v>28.504796939140846</v>
      </c>
      <c r="P65">
        <v>11.817586222462719</v>
      </c>
      <c r="R65">
        <v>14.843861337946379</v>
      </c>
      <c r="S65">
        <v>43.400035540719614</v>
      </c>
      <c r="U65">
        <v>0.42404013909028127</v>
      </c>
      <c r="V65">
        <v>47.126786166081217</v>
      </c>
      <c r="W65">
        <v>18.772048130718648</v>
      </c>
      <c r="X65">
        <v>44.540136743187034</v>
      </c>
      <c r="Y65">
        <v>8.9081130778296025</v>
      </c>
      <c r="Z65">
        <v>30.168899446477521</v>
      </c>
      <c r="AA65">
        <v>6.2557948194754429</v>
      </c>
      <c r="AB65">
        <v>34.979062724246489</v>
      </c>
      <c r="AD65">
        <v>7.5135737151998345</v>
      </c>
      <c r="AE65">
        <v>12.004521739715488</v>
      </c>
      <c r="AF65">
        <v>12.385792721275823</v>
      </c>
      <c r="AG65">
        <v>20.222975847117706</v>
      </c>
      <c r="AH65">
        <v>7.6567644755626665</v>
      </c>
      <c r="AI65">
        <v>2.5309032184749762</v>
      </c>
      <c r="AK65">
        <v>57.94461823892609</v>
      </c>
    </row>
    <row r="66" spans="1:37" x14ac:dyDescent="0.2">
      <c r="A66">
        <v>65</v>
      </c>
      <c r="B66">
        <v>741</v>
      </c>
      <c r="C66">
        <v>270</v>
      </c>
      <c r="D66">
        <v>0.295962628802445</v>
      </c>
      <c r="E66">
        <v>196.09741886772184</v>
      </c>
      <c r="F66">
        <v>52.730031614462504</v>
      </c>
      <c r="G66">
        <v>70.538782685167277</v>
      </c>
      <c r="H66">
        <v>65.902005027407426</v>
      </c>
      <c r="J66">
        <v>65.448938257535616</v>
      </c>
      <c r="L66">
        <v>5.171266387877731</v>
      </c>
      <c r="M66">
        <v>12.612804961241123</v>
      </c>
      <c r="N66">
        <v>2.5898943207320162</v>
      </c>
      <c r="O66">
        <v>20.904639522411241</v>
      </c>
      <c r="P66">
        <v>9.6669905097116384</v>
      </c>
      <c r="R66">
        <v>11.882097599430926</v>
      </c>
      <c r="S66">
        <v>39.130351199562121</v>
      </c>
      <c r="U66">
        <v>0.35530122468046604</v>
      </c>
      <c r="V66">
        <v>46.83388852193174</v>
      </c>
      <c r="W66">
        <v>18.612033054887441</v>
      </c>
      <c r="X66">
        <v>44.371029646611092</v>
      </c>
      <c r="Y66">
        <v>6.7543671734372559</v>
      </c>
      <c r="Z66">
        <v>24.894109705940192</v>
      </c>
      <c r="AA66">
        <v>4.1823758568974592</v>
      </c>
      <c r="AB66">
        <v>32.833697009764229</v>
      </c>
      <c r="AD66">
        <v>4.4828367384121126</v>
      </c>
      <c r="AE66">
        <v>9.7507298927261861</v>
      </c>
      <c r="AF66">
        <v>12.265395738689346</v>
      </c>
      <c r="AG66">
        <v>18.062609660610192</v>
      </c>
      <c r="AH66">
        <v>4.3341495526003282</v>
      </c>
      <c r="AI66">
        <v>2.532523310934693</v>
      </c>
      <c r="AK66">
        <v>55.80878339176175</v>
      </c>
    </row>
    <row r="67" spans="1:37" x14ac:dyDescent="0.2">
      <c r="A67">
        <v>66</v>
      </c>
      <c r="B67">
        <v>740</v>
      </c>
      <c r="C67">
        <v>270</v>
      </c>
      <c r="D67">
        <v>0.295198637911468</v>
      </c>
      <c r="E67">
        <v>195.06608250264955</v>
      </c>
      <c r="F67">
        <v>45.629833581296388</v>
      </c>
      <c r="G67">
        <v>69.50944976491229</v>
      </c>
      <c r="H67">
        <v>64.870486768871814</v>
      </c>
      <c r="J67">
        <v>62.502087821439957</v>
      </c>
      <c r="L67">
        <v>3.2443202807266753</v>
      </c>
      <c r="M67">
        <v>12.52453555536856</v>
      </c>
      <c r="N67">
        <v>2.5918115967300541</v>
      </c>
      <c r="O67">
        <v>13.731233809167312</v>
      </c>
      <c r="P67">
        <v>7.6318557070123845</v>
      </c>
      <c r="R67">
        <v>9.0843122539658729</v>
      </c>
      <c r="S67">
        <v>35.296546464235483</v>
      </c>
      <c r="U67">
        <v>0.31936193578322752</v>
      </c>
      <c r="V67">
        <v>46.631481050440549</v>
      </c>
      <c r="W67">
        <v>18.457642801852906</v>
      </c>
      <c r="X67">
        <v>44.30207348564543</v>
      </c>
      <c r="Y67">
        <v>4.7174140259751676</v>
      </c>
      <c r="Z67">
        <v>19.934227998182507</v>
      </c>
      <c r="AA67">
        <v>2.2214835523548535</v>
      </c>
      <c r="AB67">
        <v>30.909418281168758</v>
      </c>
      <c r="AD67">
        <v>1.6079501531714688</v>
      </c>
      <c r="AE67">
        <v>7.6530305268615626</v>
      </c>
      <c r="AF67">
        <v>12.17595658119663</v>
      </c>
      <c r="AG67">
        <v>16.123330720021258</v>
      </c>
      <c r="AH67">
        <v>1.1524317329895395</v>
      </c>
      <c r="AI67">
        <v>2.5341401925784588</v>
      </c>
      <c r="AK67">
        <v>53.808048735110255</v>
      </c>
    </row>
    <row r="68" spans="1:37" x14ac:dyDescent="0.2">
      <c r="A68">
        <v>67</v>
      </c>
      <c r="B68">
        <v>739</v>
      </c>
      <c r="C68">
        <v>270</v>
      </c>
      <c r="D68">
        <v>0.29443313738082399</v>
      </c>
      <c r="E68">
        <v>195.18441504379436</v>
      </c>
      <c r="F68">
        <v>44.85291823450023</v>
      </c>
      <c r="G68">
        <v>69.542598267915466</v>
      </c>
      <c r="H68">
        <v>64.901463303443322</v>
      </c>
      <c r="J68">
        <v>51.722388679533466</v>
      </c>
      <c r="L68">
        <v>1.6613172270146714</v>
      </c>
      <c r="M68">
        <v>12.207588820257261</v>
      </c>
      <c r="N68">
        <v>2.59380648490137</v>
      </c>
      <c r="O68">
        <v>5.2198869503213965</v>
      </c>
      <c r="P68">
        <v>7.721769481774694</v>
      </c>
      <c r="R68">
        <v>7.376229217708314</v>
      </c>
      <c r="S68">
        <v>31.836575340831327</v>
      </c>
      <c r="U68">
        <v>0.25649024851766217</v>
      </c>
      <c r="V68">
        <v>47.035665405714752</v>
      </c>
      <c r="W68">
        <v>18.089757202193788</v>
      </c>
      <c r="X68">
        <v>44.155481644531569</v>
      </c>
      <c r="Y68">
        <v>3.6279664120222934</v>
      </c>
      <c r="Z68">
        <v>17.685419148050975</v>
      </c>
      <c r="AB68">
        <v>30.244974433344172</v>
      </c>
      <c r="AE68">
        <v>6.3916691765987936</v>
      </c>
      <c r="AF68">
        <v>11.857918095880532</v>
      </c>
      <c r="AG68">
        <v>15.443966890943802</v>
      </c>
      <c r="AI68">
        <v>2.5358338260522815</v>
      </c>
      <c r="AK68">
        <v>46.444188629894697</v>
      </c>
    </row>
    <row r="69" spans="1:37" x14ac:dyDescent="0.2">
      <c r="A69">
        <v>68</v>
      </c>
      <c r="B69">
        <v>738</v>
      </c>
      <c r="C69">
        <v>270</v>
      </c>
      <c r="D69">
        <v>0.29366612273154402</v>
      </c>
      <c r="E69">
        <v>195.36983370611901</v>
      </c>
      <c r="F69">
        <v>45.408628541564696</v>
      </c>
      <c r="G69">
        <v>69.518858816414067</v>
      </c>
      <c r="H69">
        <v>64.87556527486251</v>
      </c>
      <c r="J69">
        <v>43.366585192656025</v>
      </c>
      <c r="L69">
        <v>1.6801780394361194</v>
      </c>
      <c r="M69">
        <v>11.699398333253139</v>
      </c>
      <c r="N69">
        <v>2.5957959699934769</v>
      </c>
      <c r="O69">
        <v>5.2255226118539699</v>
      </c>
      <c r="P69">
        <v>7.697910086975253</v>
      </c>
      <c r="R69">
        <v>6.9969647221250675</v>
      </c>
      <c r="S69">
        <v>32.518243923941178</v>
      </c>
      <c r="U69">
        <v>0.22165041500583088</v>
      </c>
      <c r="V69">
        <v>47.773125275000275</v>
      </c>
      <c r="W69">
        <v>17.514494645633217</v>
      </c>
      <c r="X69">
        <v>44.089763726138351</v>
      </c>
      <c r="Y69">
        <v>3.3993166114426909</v>
      </c>
      <c r="Z69">
        <v>17.886007826337718</v>
      </c>
      <c r="AB69">
        <v>30.942791426331585</v>
      </c>
      <c r="AE69">
        <v>6.4994285101943108</v>
      </c>
      <c r="AF69">
        <v>11.348630850653038</v>
      </c>
      <c r="AG69">
        <v>16.126861124410393</v>
      </c>
      <c r="AI69">
        <v>2.5375211942637295</v>
      </c>
      <c r="AK69">
        <v>40.698512627310315</v>
      </c>
    </row>
    <row r="70" spans="1:37" x14ac:dyDescent="0.2">
      <c r="A70">
        <v>69</v>
      </c>
      <c r="B70">
        <v>737</v>
      </c>
      <c r="C70">
        <v>270</v>
      </c>
      <c r="D70">
        <v>0.29289758946691402</v>
      </c>
      <c r="E70">
        <v>195.53586025901839</v>
      </c>
      <c r="F70">
        <v>45.907399873046096</v>
      </c>
      <c r="G70">
        <v>69.497226173853321</v>
      </c>
      <c r="H70">
        <v>64.851787468118886</v>
      </c>
      <c r="J70">
        <v>39.058782529519057</v>
      </c>
      <c r="L70">
        <v>1.6958469426575831</v>
      </c>
      <c r="M70">
        <v>11.253038515933586</v>
      </c>
      <c r="N70">
        <v>2.5977833029450985</v>
      </c>
      <c r="O70">
        <v>5.2264106838618423</v>
      </c>
      <c r="P70">
        <v>7.6782703242570332</v>
      </c>
      <c r="R70">
        <v>6.6490092342542431</v>
      </c>
      <c r="S70">
        <v>33.00806360325128</v>
      </c>
      <c r="U70">
        <v>0.19607388887784946</v>
      </c>
      <c r="V70">
        <v>48.37602510269469</v>
      </c>
      <c r="W70">
        <v>16.99560401329818</v>
      </c>
      <c r="X70">
        <v>44.050905653533405</v>
      </c>
      <c r="Y70">
        <v>3.2083861126194746</v>
      </c>
      <c r="Z70">
        <v>18.044234512114347</v>
      </c>
      <c r="AB70">
        <v>31.485664524129671</v>
      </c>
      <c r="AE70">
        <v>6.5827095339764066</v>
      </c>
      <c r="AF70">
        <v>10.901172523858127</v>
      </c>
      <c r="AG70">
        <v>16.654811941621922</v>
      </c>
      <c r="AI70">
        <v>2.5392055463109999</v>
      </c>
      <c r="AK70">
        <v>37.694958406122609</v>
      </c>
    </row>
    <row r="71" spans="1:37" x14ac:dyDescent="0.2">
      <c r="A71">
        <v>70</v>
      </c>
      <c r="B71">
        <v>757</v>
      </c>
      <c r="C71">
        <v>255</v>
      </c>
      <c r="D71">
        <v>0.32400184439159502</v>
      </c>
      <c r="E71">
        <v>190.39567506291533</v>
      </c>
      <c r="F71">
        <v>66.529804621230952</v>
      </c>
      <c r="G71">
        <v>72.673952086531301</v>
      </c>
      <c r="H71">
        <v>68.073240580595296</v>
      </c>
      <c r="J71">
        <v>70.148702697205437</v>
      </c>
      <c r="L71">
        <v>8.6303993091252433</v>
      </c>
      <c r="M71">
        <v>13.908402425830548</v>
      </c>
      <c r="N71">
        <v>2.5092503303444369</v>
      </c>
      <c r="O71">
        <v>35.122103057044555</v>
      </c>
      <c r="P71">
        <v>13.427240852638993</v>
      </c>
      <c r="Q71">
        <v>0.83451692349646645</v>
      </c>
      <c r="R71">
        <v>18.602264785529346</v>
      </c>
      <c r="S71">
        <v>51.146385400241336</v>
      </c>
      <c r="U71">
        <v>1.6721307521114488</v>
      </c>
      <c r="V71">
        <v>48.786937430361434</v>
      </c>
      <c r="W71">
        <v>22.340410754260262</v>
      </c>
      <c r="X71">
        <v>47.140913073497963</v>
      </c>
      <c r="Y71">
        <v>10.369452157070043</v>
      </c>
      <c r="Z71">
        <v>33.951268411393336</v>
      </c>
      <c r="AA71">
        <v>7.7438186361643311</v>
      </c>
      <c r="AB71">
        <v>37.897718749995882</v>
      </c>
      <c r="AC71">
        <v>5.5642390827538137E-3</v>
      </c>
      <c r="AD71">
        <v>9.6619821668496257</v>
      </c>
      <c r="AE71">
        <v>13.818838518536774</v>
      </c>
      <c r="AF71">
        <v>13.576035413346636</v>
      </c>
      <c r="AG71">
        <v>23.381842065123916</v>
      </c>
      <c r="AH71">
        <v>9.7601022829382575</v>
      </c>
      <c r="AI71">
        <v>2.4546450755519449</v>
      </c>
      <c r="AK71">
        <v>58.196100486499382</v>
      </c>
    </row>
    <row r="72" spans="1:37" x14ac:dyDescent="0.2">
      <c r="A72">
        <v>71</v>
      </c>
      <c r="B72">
        <v>756</v>
      </c>
      <c r="C72">
        <v>255</v>
      </c>
      <c r="D72">
        <v>0.32327697614536499</v>
      </c>
      <c r="E72">
        <v>190.28404626953267</v>
      </c>
      <c r="F72">
        <v>66.183315409979002</v>
      </c>
      <c r="G72">
        <v>72.615984087884996</v>
      </c>
      <c r="H72">
        <v>68.012870116849072</v>
      </c>
      <c r="J72">
        <v>70.075816519224105</v>
      </c>
      <c r="L72">
        <v>8.5490572568376173</v>
      </c>
      <c r="M72">
        <v>13.850608453925993</v>
      </c>
      <c r="N72">
        <v>2.5054208557049344</v>
      </c>
      <c r="O72">
        <v>34.742329376499399</v>
      </c>
      <c r="P72">
        <v>13.328956537026373</v>
      </c>
      <c r="Q72">
        <v>0.78035927912475744</v>
      </c>
      <c r="R72">
        <v>18.403333177115414</v>
      </c>
      <c r="S72">
        <v>50.743397541177728</v>
      </c>
      <c r="U72">
        <v>1.6006019484907079</v>
      </c>
      <c r="V72">
        <v>48.692570433936254</v>
      </c>
      <c r="W72">
        <v>22.155559283248209</v>
      </c>
      <c r="X72">
        <v>46.965285713195783</v>
      </c>
      <c r="Y72">
        <v>10.284323991289925</v>
      </c>
      <c r="Z72">
        <v>33.761837303490907</v>
      </c>
      <c r="AA72">
        <v>7.6599069600919103</v>
      </c>
      <c r="AB72">
        <v>37.761967497316959</v>
      </c>
      <c r="AD72">
        <v>9.5557256248431557</v>
      </c>
      <c r="AE72">
        <v>13.732997126998621</v>
      </c>
      <c r="AF72">
        <v>13.51131738751862</v>
      </c>
      <c r="AG72">
        <v>23.225322515515458</v>
      </c>
      <c r="AH72">
        <v>9.6390606942007846</v>
      </c>
      <c r="AI72">
        <v>2.450529398417689</v>
      </c>
      <c r="AK72">
        <v>58.186538017059803</v>
      </c>
    </row>
    <row r="73" spans="1:37" x14ac:dyDescent="0.2">
      <c r="A73">
        <v>72</v>
      </c>
      <c r="B73">
        <v>755</v>
      </c>
      <c r="C73">
        <v>255</v>
      </c>
      <c r="D73">
        <v>0.322550697855369</v>
      </c>
      <c r="E73">
        <v>190.15905112471515</v>
      </c>
      <c r="F73">
        <v>65.79107732236028</v>
      </c>
      <c r="G73">
        <v>72.551326859368814</v>
      </c>
      <c r="H73">
        <v>67.945823456148958</v>
      </c>
      <c r="J73">
        <v>69.97815164224167</v>
      </c>
      <c r="L73">
        <v>8.460743701086276</v>
      </c>
      <c r="M73">
        <v>13.774273995017461</v>
      </c>
      <c r="N73">
        <v>2.5073961230808655</v>
      </c>
      <c r="O73">
        <v>34.345104012729564</v>
      </c>
      <c r="P73">
        <v>13.223106249493719</v>
      </c>
      <c r="Q73">
        <v>0.7122416669720697</v>
      </c>
      <c r="R73">
        <v>18.174908122192992</v>
      </c>
      <c r="S73">
        <v>50.248412773044791</v>
      </c>
      <c r="U73">
        <v>1.5130075753323329</v>
      </c>
      <c r="V73">
        <v>48.568628000746031</v>
      </c>
      <c r="W73">
        <v>21.935692908802423</v>
      </c>
      <c r="X73">
        <v>46.735086802336724</v>
      </c>
      <c r="Y73">
        <v>10.189632947227246</v>
      </c>
      <c r="Z73">
        <v>33.54564127830195</v>
      </c>
      <c r="AA73">
        <v>7.5690547811563302</v>
      </c>
      <c r="AB73">
        <v>37.592825443848341</v>
      </c>
      <c r="AD73">
        <v>9.4322314772860913</v>
      </c>
      <c r="AE73">
        <v>13.63659091261356</v>
      </c>
      <c r="AF73">
        <v>13.43386391825616</v>
      </c>
      <c r="AG73">
        <v>23.041219428478819</v>
      </c>
      <c r="AH73">
        <v>9.4966733241821402</v>
      </c>
      <c r="AI73">
        <v>2.4522176323957994</v>
      </c>
      <c r="AK73">
        <v>58.168029313806578</v>
      </c>
    </row>
    <row r="74" spans="1:37" x14ac:dyDescent="0.2">
      <c r="A74">
        <v>73</v>
      </c>
      <c r="B74">
        <v>754</v>
      </c>
      <c r="C74">
        <v>255</v>
      </c>
      <c r="D74">
        <v>0.321823005403299</v>
      </c>
      <c r="E74">
        <v>190.03420884870147</v>
      </c>
      <c r="F74">
        <v>65.399518995670277</v>
      </c>
      <c r="G74">
        <v>72.486751275897959</v>
      </c>
      <c r="H74">
        <v>67.878871494248514</v>
      </c>
      <c r="J74">
        <v>69.881083682594664</v>
      </c>
      <c r="L74">
        <v>8.372593995877855</v>
      </c>
      <c r="M74">
        <v>13.69808314058796</v>
      </c>
      <c r="N74">
        <v>2.5093712604545257</v>
      </c>
      <c r="O74">
        <v>33.948480341476191</v>
      </c>
      <c r="P74">
        <v>13.117426890572718</v>
      </c>
      <c r="Q74">
        <v>0.64425258824330833</v>
      </c>
      <c r="R74">
        <v>17.946837978539271</v>
      </c>
      <c r="S74">
        <v>49.75433472166938</v>
      </c>
      <c r="U74">
        <v>1.4254818448311164</v>
      </c>
      <c r="V74">
        <v>48.444871791393339</v>
      </c>
      <c r="W74">
        <v>21.716102545499048</v>
      </c>
      <c r="X74">
        <v>46.505311341048646</v>
      </c>
      <c r="Y74">
        <v>10.09509474218317</v>
      </c>
      <c r="Z74">
        <v>33.329729747883732</v>
      </c>
      <c r="AA74">
        <v>7.4783686375992255</v>
      </c>
      <c r="AB74">
        <v>37.423951937703727</v>
      </c>
      <c r="AD74">
        <v>9.3088385290124176</v>
      </c>
      <c r="AE74">
        <v>13.540307160164819</v>
      </c>
      <c r="AF74">
        <v>13.356554230634732</v>
      </c>
      <c r="AG74">
        <v>22.857387286042876</v>
      </c>
      <c r="AH74">
        <v>9.3544984566833875</v>
      </c>
      <c r="AI74">
        <v>2.4539049036301406</v>
      </c>
      <c r="AK74">
        <v>58.149833896752575</v>
      </c>
    </row>
    <row r="75" spans="1:37" x14ac:dyDescent="0.2">
      <c r="A75">
        <v>74</v>
      </c>
      <c r="B75">
        <v>753</v>
      </c>
      <c r="C75">
        <v>255</v>
      </c>
      <c r="D75">
        <v>0.321093894654779</v>
      </c>
      <c r="E75">
        <v>189.90951902864049</v>
      </c>
      <c r="F75">
        <v>65.008638719166072</v>
      </c>
      <c r="G75">
        <v>72.422257178799953</v>
      </c>
      <c r="H75">
        <v>67.812014093354577</v>
      </c>
      <c r="J75">
        <v>69.784612166349419</v>
      </c>
      <c r="L75">
        <v>8.2845538576781603</v>
      </c>
      <c r="M75">
        <v>13.622035429035837</v>
      </c>
      <c r="N75">
        <v>2.5113462683278986</v>
      </c>
      <c r="O75">
        <v>33.552457065376522</v>
      </c>
      <c r="P75">
        <v>13.011918166197336</v>
      </c>
      <c r="Q75">
        <v>0.57632377282243119</v>
      </c>
      <c r="R75">
        <v>17.719121654337783</v>
      </c>
      <c r="S75">
        <v>49.26116066515992</v>
      </c>
      <c r="U75">
        <v>1.3380244015997458</v>
      </c>
      <c r="V75">
        <v>48.321301089380462</v>
      </c>
      <c r="W75">
        <v>21.496787276444319</v>
      </c>
      <c r="X75">
        <v>46.275957864920748</v>
      </c>
      <c r="Y75">
        <v>10.00070900426768</v>
      </c>
      <c r="Z75">
        <v>33.114101781637928</v>
      </c>
      <c r="AA75">
        <v>7.3878481591609306</v>
      </c>
      <c r="AB75">
        <v>37.255346081124934</v>
      </c>
      <c r="AD75">
        <v>9.1855467389264547</v>
      </c>
      <c r="AE75">
        <v>13.444145428183031</v>
      </c>
      <c r="AF75">
        <v>13.279387869177761</v>
      </c>
      <c r="AG75">
        <v>22.673825196902818</v>
      </c>
      <c r="AH75">
        <v>9.2125357812341004</v>
      </c>
      <c r="AI75">
        <v>2.4555912107829854</v>
      </c>
      <c r="AK75">
        <v>58.131951671805361</v>
      </c>
    </row>
    <row r="76" spans="1:37" x14ac:dyDescent="0.2">
      <c r="A76">
        <v>75</v>
      </c>
      <c r="B76">
        <v>752</v>
      </c>
      <c r="C76">
        <v>255</v>
      </c>
      <c r="D76">
        <v>0.3203633614593</v>
      </c>
      <c r="E76">
        <v>189.78498125594228</v>
      </c>
      <c r="F76">
        <v>64.618434801224751</v>
      </c>
      <c r="G76">
        <v>72.357844411614835</v>
      </c>
      <c r="H76">
        <v>67.745251117927509</v>
      </c>
      <c r="J76">
        <v>69.688736628291963</v>
      </c>
      <c r="L76">
        <v>8.1967246149303161</v>
      </c>
      <c r="M76">
        <v>13.546130402613953</v>
      </c>
      <c r="N76">
        <v>2.5133211472538401</v>
      </c>
      <c r="O76">
        <v>33.1570329023805</v>
      </c>
      <c r="P76">
        <v>12.906579786843832</v>
      </c>
      <c r="Q76">
        <v>0.50858344990492788</v>
      </c>
      <c r="R76">
        <v>17.491758068785703</v>
      </c>
      <c r="S76">
        <v>48.768887905367613</v>
      </c>
      <c r="U76">
        <v>1.2506348944421017</v>
      </c>
      <c r="V76">
        <v>48.197915177223223</v>
      </c>
      <c r="W76">
        <v>21.277746192641327</v>
      </c>
      <c r="X76">
        <v>46.047024921259776</v>
      </c>
      <c r="Y76">
        <v>9.9064753664454699</v>
      </c>
      <c r="Z76">
        <v>32.898756457453828</v>
      </c>
      <c r="AA76">
        <v>7.2974929805835567</v>
      </c>
      <c r="AB76">
        <v>37.08700698390588</v>
      </c>
      <c r="AD76">
        <v>9.0623560679583051</v>
      </c>
      <c r="AE76">
        <v>13.34810527895543</v>
      </c>
      <c r="AF76">
        <v>13.202364382329769</v>
      </c>
      <c r="AG76">
        <v>22.490532277374612</v>
      </c>
      <c r="AH76">
        <v>9.070784992957341</v>
      </c>
      <c r="AI76">
        <v>2.4572765525685258</v>
      </c>
      <c r="AK76">
        <v>58.114382549292536</v>
      </c>
    </row>
    <row r="77" spans="1:37" x14ac:dyDescent="0.2">
      <c r="A77">
        <v>76</v>
      </c>
      <c r="B77">
        <v>751</v>
      </c>
      <c r="C77">
        <v>255</v>
      </c>
      <c r="D77">
        <v>0.31963140165015202</v>
      </c>
      <c r="E77">
        <v>189.66059512642181</v>
      </c>
      <c r="F77">
        <v>64.228905569752357</v>
      </c>
      <c r="G77">
        <v>72.293512820152344</v>
      </c>
      <c r="H77">
        <v>67.678582434737834</v>
      </c>
      <c r="J77">
        <v>69.593456612184482</v>
      </c>
      <c r="L77">
        <v>8.1090579964947089</v>
      </c>
      <c r="M77">
        <v>13.470367607582418</v>
      </c>
      <c r="N77">
        <v>2.5152958977985946</v>
      </c>
      <c r="O77">
        <v>32.762206585828032</v>
      </c>
      <c r="P77">
        <v>12.801411467602234</v>
      </c>
      <c r="Q77">
        <v>0.44096965806195842</v>
      </c>
      <c r="R77">
        <v>17.264746152369277</v>
      </c>
      <c r="S77">
        <v>48.277513768598304</v>
      </c>
      <c r="U77">
        <v>1.1633129764726906</v>
      </c>
      <c r="V77">
        <v>48.074713336545749</v>
      </c>
      <c r="W77">
        <v>21.058978393195435</v>
      </c>
      <c r="X77">
        <v>45.818511069975798</v>
      </c>
      <c r="Y77">
        <v>9.8123934666237069</v>
      </c>
      <c r="Z77">
        <v>32.683692861822578</v>
      </c>
      <c r="AA77">
        <v>7.2073027417011621</v>
      </c>
      <c r="AB77">
        <v>36.918933763581876</v>
      </c>
      <c r="AD77">
        <v>8.9392664792124101</v>
      </c>
      <c r="AE77">
        <v>13.252186278540881</v>
      </c>
      <c r="AF77">
        <v>13.125483322564184</v>
      </c>
      <c r="AG77">
        <v>22.307507651547986</v>
      </c>
      <c r="AH77">
        <v>8.9292457927485192</v>
      </c>
      <c r="AI77">
        <v>2.4589609277131785</v>
      </c>
      <c r="AK77">
        <v>58.097126444080985</v>
      </c>
    </row>
    <row r="78" spans="1:37" x14ac:dyDescent="0.2">
      <c r="A78">
        <v>77</v>
      </c>
      <c r="B78">
        <v>750</v>
      </c>
      <c r="C78">
        <v>255</v>
      </c>
      <c r="D78">
        <v>0.31889801104432502</v>
      </c>
      <c r="E78">
        <v>189.5363602404363</v>
      </c>
      <c r="F78">
        <v>63.84004937260891</v>
      </c>
      <c r="G78">
        <v>72.229262252562947</v>
      </c>
      <c r="H78">
        <v>67.612007912936889</v>
      </c>
      <c r="J78">
        <v>69.498771670991857</v>
      </c>
      <c r="L78">
        <v>8.0215540519962758</v>
      </c>
      <c r="M78">
        <v>13.394746594396475</v>
      </c>
      <c r="N78">
        <v>2.5172705204664729</v>
      </c>
      <c r="O78">
        <v>32.367976864594688</v>
      </c>
      <c r="P78">
        <v>12.696412928245033</v>
      </c>
      <c r="Q78">
        <v>0.37348200215723321</v>
      </c>
      <c r="R78">
        <v>17.038084847136201</v>
      </c>
      <c r="S78">
        <v>47.787035606574513</v>
      </c>
      <c r="U78">
        <v>1.076058305283921</v>
      </c>
      <c r="V78">
        <v>47.951694848185319</v>
      </c>
      <c r="W78">
        <v>20.840482985692802</v>
      </c>
      <c r="X78">
        <v>45.590414883730915</v>
      </c>
      <c r="Y78">
        <v>9.7184629477445803</v>
      </c>
      <c r="Z78">
        <v>32.468910090101687</v>
      </c>
      <c r="AA78">
        <v>7.1172770875025018</v>
      </c>
      <c r="AB78">
        <v>36.751125545773036</v>
      </c>
      <c r="AD78">
        <v>8.8162779381857721</v>
      </c>
      <c r="AE78">
        <v>13.156387996865559</v>
      </c>
      <c r="AF78">
        <v>13.048744246502311</v>
      </c>
      <c r="AG78">
        <v>22.124750451556029</v>
      </c>
      <c r="AH78">
        <v>8.7879178875122417</v>
      </c>
      <c r="AI78">
        <v>2.4606443348814269</v>
      </c>
      <c r="AK78">
        <v>58.080183275661568</v>
      </c>
    </row>
    <row r="79" spans="1:37" x14ac:dyDescent="0.2">
      <c r="A79">
        <v>78</v>
      </c>
      <c r="B79">
        <v>749</v>
      </c>
      <c r="C79">
        <v>255</v>
      </c>
      <c r="D79">
        <v>0.31816318544244998</v>
      </c>
      <c r="E79">
        <v>189.41227620260281</v>
      </c>
      <c r="F79">
        <v>63.451864576561981</v>
      </c>
      <c r="G79">
        <v>72.165092559181303</v>
      </c>
      <c r="H79">
        <v>67.545527423903025</v>
      </c>
      <c r="J79">
        <v>69.404681366364514</v>
      </c>
      <c r="L79">
        <v>7.934212990251206</v>
      </c>
      <c r="M79">
        <v>13.31926691728626</v>
      </c>
      <c r="N79">
        <v>2.5192450158351285</v>
      </c>
      <c r="O79">
        <v>31.974342502613457</v>
      </c>
      <c r="P79">
        <v>12.591583893057443</v>
      </c>
      <c r="Q79">
        <v>0.30605511265517632</v>
      </c>
      <c r="R79">
        <v>16.811773106040643</v>
      </c>
      <c r="S79">
        <v>47.297450794289965</v>
      </c>
      <c r="U79">
        <v>0.98887054257871354</v>
      </c>
      <c r="V79">
        <v>47.82885899135848</v>
      </c>
      <c r="W79">
        <v>20.622259085339266</v>
      </c>
      <c r="X79">
        <v>45.362734946851631</v>
      </c>
      <c r="Y79">
        <v>9.6246834575695388</v>
      </c>
      <c r="Z79">
        <v>32.254407245814384</v>
      </c>
      <c r="AA79">
        <v>7.0274156679846342</v>
      </c>
      <c r="AB79">
        <v>36.583581463362172</v>
      </c>
      <c r="AD79">
        <v>8.6933904123874122</v>
      </c>
      <c r="AE79">
        <v>13.060710007424124</v>
      </c>
      <c r="AF79">
        <v>12.972146714626248</v>
      </c>
      <c r="AG79">
        <v>21.942259816886246</v>
      </c>
      <c r="AH79">
        <v>8.6468009896750768</v>
      </c>
      <c r="AI79">
        <v>2.4623267728116778</v>
      </c>
      <c r="AK79">
        <v>58.063552967978779</v>
      </c>
    </row>
    <row r="80" spans="1:37" x14ac:dyDescent="0.2">
      <c r="A80">
        <v>79</v>
      </c>
      <c r="B80">
        <v>748</v>
      </c>
      <c r="C80">
        <v>255</v>
      </c>
      <c r="D80">
        <v>0.31742692062870498</v>
      </c>
      <c r="E80">
        <v>189.28834262184395</v>
      </c>
      <c r="F80">
        <v>63.064349567473762</v>
      </c>
      <c r="G80">
        <v>72.101003592577797</v>
      </c>
      <c r="H80">
        <v>67.47914084128945</v>
      </c>
      <c r="J80">
        <v>69.311185268721133</v>
      </c>
      <c r="L80">
        <v>7.8469769243684606</v>
      </c>
      <c r="M80">
        <v>13.243928134414187</v>
      </c>
      <c r="N80">
        <v>2.5212193844697572</v>
      </c>
      <c r="O80">
        <v>31.581302278879832</v>
      </c>
      <c r="P80">
        <v>12.48692409083716</v>
      </c>
      <c r="Q80">
        <v>0.23881121887593962</v>
      </c>
      <c r="R80">
        <v>16.585809893099523</v>
      </c>
      <c r="S80">
        <v>46.808756730768415</v>
      </c>
      <c r="U80">
        <v>0.90174935431015646</v>
      </c>
      <c r="V80">
        <v>47.706205043624841</v>
      </c>
      <c r="W80">
        <v>20.404305815335601</v>
      </c>
      <c r="X80">
        <v>45.135469855845884</v>
      </c>
      <c r="Y80">
        <v>9.5310546487198611</v>
      </c>
      <c r="Z80">
        <v>32.040183440968391</v>
      </c>
      <c r="AA80">
        <v>6.9377181381582558</v>
      </c>
      <c r="AB80">
        <v>36.416300656864266</v>
      </c>
      <c r="AD80">
        <v>8.5706038715692632</v>
      </c>
      <c r="AE80">
        <v>12.965151887422087</v>
      </c>
      <c r="AF80">
        <v>12.895690291352702</v>
      </c>
      <c r="AG80">
        <v>21.760034894665328</v>
      </c>
      <c r="AH80">
        <v>8.5058948173664692</v>
      </c>
      <c r="AI80">
        <v>2.4640082402282526</v>
      </c>
      <c r="AK80">
        <v>58.047235449387827</v>
      </c>
    </row>
    <row r="81" spans="1:37" x14ac:dyDescent="0.2">
      <c r="A81">
        <v>80</v>
      </c>
      <c r="B81">
        <v>747</v>
      </c>
      <c r="C81">
        <v>255</v>
      </c>
      <c r="D81">
        <v>0.316689212370732</v>
      </c>
      <c r="E81">
        <v>189.16455911155862</v>
      </c>
      <c r="F81">
        <v>62.677502750820842</v>
      </c>
      <c r="G81">
        <v>72.036995207631648</v>
      </c>
      <c r="H81">
        <v>67.412848041100588</v>
      </c>
      <c r="J81">
        <v>69.218282957566373</v>
      </c>
      <c r="L81">
        <v>7.7599523047898931</v>
      </c>
      <c r="M81">
        <v>13.168729808089374</v>
      </c>
      <c r="N81">
        <v>2.5231936268522022</v>
      </c>
      <c r="O81">
        <v>31.18885498757275</v>
      </c>
      <c r="P81">
        <v>12.38243325498984</v>
      </c>
      <c r="Q81">
        <v>0.17169156400499469</v>
      </c>
      <c r="R81">
        <v>16.360194183727288</v>
      </c>
      <c r="S81">
        <v>46.320950840094419</v>
      </c>
      <c r="U81">
        <v>0.81469441086017713</v>
      </c>
      <c r="V81">
        <v>47.583732281042515</v>
      </c>
      <c r="W81">
        <v>20.186622307231655</v>
      </c>
      <c r="X81">
        <v>44.908618219816255</v>
      </c>
      <c r="Y81">
        <v>9.4375761787889676</v>
      </c>
      <c r="Z81">
        <v>31.826237796273745</v>
      </c>
      <c r="AA81">
        <v>6.8481841581174958</v>
      </c>
      <c r="AB81">
        <v>36.249282274751309</v>
      </c>
      <c r="AD81">
        <v>8.4479182879315999</v>
      </c>
      <c r="AE81">
        <v>12.869713217839957</v>
      </c>
      <c r="AF81">
        <v>12.819374545169426</v>
      </c>
      <c r="AG81">
        <v>21.578074839912912</v>
      </c>
      <c r="AH81">
        <v>8.3651990946682417</v>
      </c>
      <c r="AI81">
        <v>2.4656887357733996</v>
      </c>
      <c r="AK81">
        <v>58.031230652799039</v>
      </c>
    </row>
    <row r="82" spans="1:37" x14ac:dyDescent="0.2">
      <c r="A82">
        <v>81</v>
      </c>
      <c r="B82">
        <v>746</v>
      </c>
      <c r="C82">
        <v>255</v>
      </c>
      <c r="D82">
        <v>0.31595005641956603</v>
      </c>
      <c r="E82">
        <v>189.04092528912764</v>
      </c>
      <c r="F82">
        <v>62.291322549937654</v>
      </c>
      <c r="G82">
        <v>71.973067261275759</v>
      </c>
      <c r="H82">
        <v>67.346648901436865</v>
      </c>
      <c r="J82">
        <v>69.125974020551041</v>
      </c>
      <c r="L82">
        <v>7.6730898632422795</v>
      </c>
      <c r="M82">
        <v>13.093671504046817</v>
      </c>
      <c r="N82">
        <v>2.5251677436081961</v>
      </c>
      <c r="O82">
        <v>30.796999437378041</v>
      </c>
      <c r="P82">
        <v>12.278111123233625</v>
      </c>
      <c r="Q82">
        <v>0.10469585432777603</v>
      </c>
      <c r="R82">
        <v>16.134924963616818</v>
      </c>
      <c r="S82">
        <v>45.834030567852352</v>
      </c>
      <c r="U82">
        <v>0.72770538642614446</v>
      </c>
      <c r="V82">
        <v>47.461439976817189</v>
      </c>
      <c r="W82">
        <v>19.969207699546942</v>
      </c>
      <c r="X82">
        <v>44.682178658656518</v>
      </c>
      <c r="Y82">
        <v>9.3442477099763916</v>
      </c>
      <c r="Z82">
        <v>31.612569440074925</v>
      </c>
      <c r="AA82">
        <v>6.7588133927851306</v>
      </c>
      <c r="AB82">
        <v>36.082525472131174</v>
      </c>
      <c r="AD82">
        <v>8.3253336354869614</v>
      </c>
      <c r="AE82">
        <v>12.774393582997154</v>
      </c>
      <c r="AF82">
        <v>12.743199048154418</v>
      </c>
      <c r="AG82">
        <v>21.396378814449157</v>
      </c>
      <c r="AH82">
        <v>8.22471355080358</v>
      </c>
      <c r="AI82">
        <v>2.4673682582324403</v>
      </c>
      <c r="AK82">
        <v>58.015538515345341</v>
      </c>
    </row>
    <row r="83" spans="1:37" x14ac:dyDescent="0.2">
      <c r="A83">
        <v>82</v>
      </c>
      <c r="B83">
        <v>745</v>
      </c>
      <c r="C83">
        <v>255</v>
      </c>
      <c r="D83">
        <v>0.31520944850955201</v>
      </c>
      <c r="E83">
        <v>188.9174407764705</v>
      </c>
      <c r="F83">
        <v>61.905807407901989</v>
      </c>
      <c r="G83">
        <v>71.909219612788704</v>
      </c>
      <c r="H83">
        <v>67.280543302784494</v>
      </c>
      <c r="J83">
        <v>69.034258054519981</v>
      </c>
      <c r="L83">
        <v>7.5863375179452559</v>
      </c>
      <c r="M83">
        <v>13.018752792286268</v>
      </c>
      <c r="N83">
        <v>2.5271417352210945</v>
      </c>
      <c r="O83">
        <v>30.405734452089845</v>
      </c>
      <c r="P83">
        <v>12.173957437897869</v>
      </c>
      <c r="Q83">
        <v>3.775860590141019E-2</v>
      </c>
      <c r="R83">
        <v>15.910001229981608</v>
      </c>
      <c r="S83">
        <v>45.347993385186243</v>
      </c>
      <c r="U83">
        <v>0.6407819597283001</v>
      </c>
      <c r="V83">
        <v>47.339327402354883</v>
      </c>
      <c r="W83">
        <v>19.752061139356929</v>
      </c>
      <c r="X83">
        <v>44.456149805250973</v>
      </c>
      <c r="Y83">
        <v>9.2510689094863015</v>
      </c>
      <c r="Z83">
        <v>31.399177509533473</v>
      </c>
      <c r="AA83">
        <v>6.6696055121528914</v>
      </c>
      <c r="AB83">
        <v>35.916029412255703</v>
      </c>
      <c r="AD83">
        <v>8.202849890863364</v>
      </c>
      <c r="AE83">
        <v>12.679192571016737</v>
      </c>
      <c r="AF83">
        <v>12.667163376513995</v>
      </c>
      <c r="AG83">
        <v>21.214945988111293</v>
      </c>
      <c r="AH83">
        <v>8.0844379210782051</v>
      </c>
      <c r="AI83">
        <v>2.4690468062485551</v>
      </c>
      <c r="AK83">
        <v>58.00015897873152</v>
      </c>
    </row>
    <row r="84" spans="1:37" x14ac:dyDescent="0.2">
      <c r="A84">
        <v>83</v>
      </c>
      <c r="B84">
        <v>744</v>
      </c>
      <c r="C84">
        <v>255</v>
      </c>
      <c r="D84">
        <v>0.31446738435825899</v>
      </c>
      <c r="E84">
        <v>188.32182511516302</v>
      </c>
      <c r="F84">
        <v>58.069174461846373</v>
      </c>
      <c r="G84">
        <v>71.353339728886681</v>
      </c>
      <c r="H84">
        <v>66.722418733109208</v>
      </c>
      <c r="J84">
        <v>67.434823404375749</v>
      </c>
      <c r="L84">
        <v>6.5681646862626586</v>
      </c>
      <c r="M84">
        <v>12.921664415284107</v>
      </c>
      <c r="N84">
        <v>2.5290920896738007</v>
      </c>
      <c r="O84">
        <v>26.552889450188623</v>
      </c>
      <c r="P84">
        <v>11.085723643756813</v>
      </c>
      <c r="R84">
        <v>14.357767242406208</v>
      </c>
      <c r="S84">
        <v>42.944548482063738</v>
      </c>
      <c r="U84">
        <v>0.56280002655369432</v>
      </c>
      <c r="V84">
        <v>47.097096536332977</v>
      </c>
      <c r="W84">
        <v>19.55949678502774</v>
      </c>
      <c r="X84">
        <v>44.25747406707238</v>
      </c>
      <c r="Y84">
        <v>8.1676053911608832</v>
      </c>
      <c r="Z84">
        <v>28.778899117160705</v>
      </c>
      <c r="AA84">
        <v>5.6278086230711564</v>
      </c>
      <c r="AB84">
        <v>34.75540945993535</v>
      </c>
      <c r="AD84">
        <v>6.7002824000431325</v>
      </c>
      <c r="AE84">
        <v>11.553272827345657</v>
      </c>
      <c r="AF84">
        <v>12.568934766444968</v>
      </c>
      <c r="AG84">
        <v>20.039368219818549</v>
      </c>
      <c r="AH84">
        <v>6.4283624348869832</v>
      </c>
      <c r="AI84">
        <v>2.470700865963654</v>
      </c>
      <c r="AK84">
        <v>56.967407939345719</v>
      </c>
    </row>
    <row r="85" spans="1:37" x14ac:dyDescent="0.2">
      <c r="A85">
        <v>84</v>
      </c>
      <c r="B85">
        <v>743</v>
      </c>
      <c r="C85">
        <v>255</v>
      </c>
      <c r="D85">
        <v>0.31372385966638899</v>
      </c>
      <c r="E85">
        <v>187.13932481946881</v>
      </c>
      <c r="F85">
        <v>49.900206381518757</v>
      </c>
      <c r="G85">
        <v>70.168018555381096</v>
      </c>
      <c r="H85">
        <v>65.534866159513825</v>
      </c>
      <c r="J85">
        <v>64.002051067442437</v>
      </c>
      <c r="L85">
        <v>4.3528647131871478</v>
      </c>
      <c r="M85">
        <v>12.836623963590524</v>
      </c>
      <c r="N85">
        <v>2.5310063586561595</v>
      </c>
      <c r="O85">
        <v>18.296405616909031</v>
      </c>
      <c r="P85">
        <v>8.7385792075430029</v>
      </c>
      <c r="R85">
        <v>11.149779902491161</v>
      </c>
      <c r="S85">
        <v>38.405290461506596</v>
      </c>
      <c r="U85">
        <v>0.53315461908336281</v>
      </c>
      <c r="V85">
        <v>46.810226512791807</v>
      </c>
      <c r="W85">
        <v>19.404009523706286</v>
      </c>
      <c r="X85">
        <v>44.207029910661078</v>
      </c>
      <c r="Y85">
        <v>5.8185958200508532</v>
      </c>
      <c r="Z85">
        <v>23.131213121740501</v>
      </c>
      <c r="AA85">
        <v>3.3705803078874159</v>
      </c>
      <c r="AB85">
        <v>32.485259357661086</v>
      </c>
      <c r="AD85">
        <v>3.4362222141060004</v>
      </c>
      <c r="AE85">
        <v>9.1571760198450782</v>
      </c>
      <c r="AF85">
        <v>12.482718365943184</v>
      </c>
      <c r="AG85">
        <v>17.754226809896391</v>
      </c>
      <c r="AH85">
        <v>2.8006027106975258</v>
      </c>
      <c r="AI85">
        <v>2.472317987228104</v>
      </c>
      <c r="AK85">
        <v>54.658859588807601</v>
      </c>
    </row>
    <row r="86" spans="1:37" x14ac:dyDescent="0.2">
      <c r="A86">
        <v>85</v>
      </c>
      <c r="B86">
        <v>742</v>
      </c>
      <c r="C86">
        <v>255</v>
      </c>
      <c r="D86">
        <v>0.31297887011771702</v>
      </c>
      <c r="E86">
        <v>186.6102812076175</v>
      </c>
      <c r="F86">
        <v>45.3967756191647</v>
      </c>
      <c r="G86">
        <v>69.613278938356459</v>
      </c>
      <c r="H86">
        <v>64.977908449416645</v>
      </c>
      <c r="J86">
        <v>57.980134968109368</v>
      </c>
      <c r="L86">
        <v>2.3701601323925714</v>
      </c>
      <c r="M86">
        <v>12.690312395613917</v>
      </c>
      <c r="N86">
        <v>2.5329593716984919</v>
      </c>
      <c r="O86">
        <v>9.3311449345163542</v>
      </c>
      <c r="P86">
        <v>7.6526446744459626</v>
      </c>
      <c r="R86">
        <v>8.6368810219824343</v>
      </c>
      <c r="S86">
        <v>34.004364548991099</v>
      </c>
      <c r="U86">
        <v>0.49577526793753335</v>
      </c>
      <c r="V86">
        <v>46.737781344656199</v>
      </c>
      <c r="W86">
        <v>19.191594956721712</v>
      </c>
      <c r="X86">
        <v>44.134372650342073</v>
      </c>
      <c r="Y86">
        <v>4.1083042867545743</v>
      </c>
      <c r="Z86">
        <v>19.021163313918386</v>
      </c>
      <c r="AA86">
        <v>1.1923099076023063</v>
      </c>
      <c r="AB86">
        <v>30.798483392052198</v>
      </c>
      <c r="AD86">
        <v>1.0805896312901013</v>
      </c>
      <c r="AE86">
        <v>7.2278737343487007</v>
      </c>
      <c r="AF86">
        <v>12.335269968707935</v>
      </c>
      <c r="AG86">
        <v>16.052500880657558</v>
      </c>
      <c r="AI86">
        <v>2.4739729977310008</v>
      </c>
      <c r="AK86">
        <v>50.585307435290126</v>
      </c>
    </row>
    <row r="87" spans="1:37" x14ac:dyDescent="0.2">
      <c r="A87">
        <v>86</v>
      </c>
      <c r="B87">
        <v>741</v>
      </c>
      <c r="C87">
        <v>255</v>
      </c>
      <c r="D87">
        <v>0.31223241137898899</v>
      </c>
      <c r="E87">
        <v>186.85358601378059</v>
      </c>
      <c r="F87">
        <v>45.479343771300179</v>
      </c>
      <c r="G87">
        <v>69.69173586520472</v>
      </c>
      <c r="H87">
        <v>65.054160611585388</v>
      </c>
      <c r="J87">
        <v>47.325488105975062</v>
      </c>
      <c r="L87">
        <v>1.6526908703927148</v>
      </c>
      <c r="M87">
        <v>12.265503745284903</v>
      </c>
      <c r="N87">
        <v>2.534957475042718</v>
      </c>
      <c r="O87">
        <v>5.3876729353136446</v>
      </c>
      <c r="P87">
        <v>7.8331563890427338</v>
      </c>
      <c r="R87">
        <v>7.6939507503817905</v>
      </c>
      <c r="S87">
        <v>32.58252419463183</v>
      </c>
      <c r="U87">
        <v>0.45826164956227344</v>
      </c>
      <c r="V87">
        <v>47.285641995731957</v>
      </c>
      <c r="W87">
        <v>18.700540721690405</v>
      </c>
      <c r="X87">
        <v>44.061336965929456</v>
      </c>
      <c r="Y87">
        <v>3.5126196114552339</v>
      </c>
      <c r="Z87">
        <v>17.697782572177225</v>
      </c>
      <c r="AB87">
        <v>30.533688309613463</v>
      </c>
      <c r="AE87">
        <v>6.4401864116073266</v>
      </c>
      <c r="AF87">
        <v>11.909369960692128</v>
      </c>
      <c r="AG87">
        <v>15.772803531030521</v>
      </c>
      <c r="AI87">
        <v>2.4756722418737387</v>
      </c>
      <c r="AK87">
        <v>43.329762663078675</v>
      </c>
    </row>
    <row r="88" spans="1:37" x14ac:dyDescent="0.2">
      <c r="A88">
        <v>87</v>
      </c>
      <c r="B88">
        <v>740</v>
      </c>
      <c r="C88">
        <v>255</v>
      </c>
      <c r="D88">
        <v>0.31148447909983901</v>
      </c>
      <c r="E88">
        <v>187.03616659345994</v>
      </c>
      <c r="F88">
        <v>46.023965581888</v>
      </c>
      <c r="G88">
        <v>69.66902555157165</v>
      </c>
      <c r="H88">
        <v>65.029258883082917</v>
      </c>
      <c r="J88">
        <v>41.21729438896832</v>
      </c>
      <c r="L88">
        <v>1.6695613015939197</v>
      </c>
      <c r="M88">
        <v>11.78347921180263</v>
      </c>
      <c r="N88">
        <v>2.5369468767776127</v>
      </c>
      <c r="O88">
        <v>5.3890363819799765</v>
      </c>
      <c r="P88">
        <v>7.8113330143336306</v>
      </c>
      <c r="R88">
        <v>7.3194940817962939</v>
      </c>
      <c r="S88">
        <v>33.108203283186491</v>
      </c>
      <c r="U88">
        <v>0.43239777602158452</v>
      </c>
      <c r="V88">
        <v>47.940375194631144</v>
      </c>
      <c r="W88">
        <v>18.145390141141842</v>
      </c>
      <c r="X88">
        <v>44.022055351060828</v>
      </c>
      <c r="Y88">
        <v>3.2952257475669384</v>
      </c>
      <c r="Z88">
        <v>17.884043362231289</v>
      </c>
      <c r="AB88">
        <v>31.128228205432496</v>
      </c>
      <c r="AE88">
        <v>6.5395129885889034</v>
      </c>
      <c r="AF88">
        <v>11.426245754971747</v>
      </c>
      <c r="AG88">
        <v>16.352435070396961</v>
      </c>
      <c r="AI88">
        <v>2.4773619259047992</v>
      </c>
      <c r="AK88">
        <v>39.114380823838722</v>
      </c>
    </row>
    <row r="89" spans="1:37" x14ac:dyDescent="0.2">
      <c r="A89">
        <v>88</v>
      </c>
      <c r="B89">
        <v>757</v>
      </c>
      <c r="C89">
        <v>240</v>
      </c>
      <c r="D89">
        <v>0.340018929282145</v>
      </c>
      <c r="E89">
        <v>181.64265273463451</v>
      </c>
      <c r="F89">
        <v>66.22902123695394</v>
      </c>
      <c r="G89">
        <v>72.676037337301267</v>
      </c>
      <c r="H89">
        <v>68.074629448380762</v>
      </c>
      <c r="J89">
        <v>69.871987603058656</v>
      </c>
      <c r="L89">
        <v>8.5687914610398632</v>
      </c>
      <c r="M89">
        <v>13.895416725534313</v>
      </c>
      <c r="N89">
        <v>2.4542797727064736</v>
      </c>
      <c r="O89">
        <v>35.194515145213096</v>
      </c>
      <c r="P89">
        <v>13.291730870114305</v>
      </c>
      <c r="Q89">
        <v>0.67949786113831168</v>
      </c>
      <c r="R89">
        <v>18.624171695177843</v>
      </c>
      <c r="S89">
        <v>50.876991921981087</v>
      </c>
      <c r="U89">
        <v>1.6021183959664187</v>
      </c>
      <c r="V89">
        <v>48.469871265715305</v>
      </c>
      <c r="W89">
        <v>22.683414387127097</v>
      </c>
      <c r="X89">
        <v>46.243302153230715</v>
      </c>
      <c r="Y89">
        <v>10.247230539703166</v>
      </c>
      <c r="Z89">
        <v>33.936262731651709</v>
      </c>
      <c r="AA89">
        <v>7.698980612826432</v>
      </c>
      <c r="AB89">
        <v>37.914851981867642</v>
      </c>
      <c r="AC89">
        <v>5.5363480508367575E-3</v>
      </c>
      <c r="AD89">
        <v>9.6472425993040005</v>
      </c>
      <c r="AE89">
        <v>13.928226419144199</v>
      </c>
      <c r="AF89">
        <v>13.554328131542228</v>
      </c>
      <c r="AG89">
        <v>23.408820437615582</v>
      </c>
      <c r="AH89">
        <v>9.4679770837896804</v>
      </c>
      <c r="AI89">
        <v>2.3977709039238091</v>
      </c>
      <c r="AK89">
        <v>57.973595927921245</v>
      </c>
    </row>
    <row r="90" spans="1:37" x14ac:dyDescent="0.2">
      <c r="A90">
        <v>89</v>
      </c>
      <c r="B90">
        <v>756</v>
      </c>
      <c r="C90">
        <v>240</v>
      </c>
      <c r="D90">
        <v>0.33930962444735902</v>
      </c>
      <c r="E90">
        <v>181.53131733001888</v>
      </c>
      <c r="F90">
        <v>65.883718890915773</v>
      </c>
      <c r="G90">
        <v>72.618149724872751</v>
      </c>
      <c r="H90">
        <v>68.014333271531356</v>
      </c>
      <c r="J90">
        <v>69.799121209808703</v>
      </c>
      <c r="L90">
        <v>8.4877142427795729</v>
      </c>
      <c r="M90">
        <v>13.837978012522047</v>
      </c>
      <c r="N90">
        <v>2.4504866382632389</v>
      </c>
      <c r="O90">
        <v>34.815051978590816</v>
      </c>
      <c r="P90">
        <v>13.193637804285068</v>
      </c>
      <c r="Q90">
        <v>0.6258477435435198</v>
      </c>
      <c r="R90">
        <v>18.425970456804759</v>
      </c>
      <c r="S90">
        <v>50.475207445771538</v>
      </c>
      <c r="U90">
        <v>1.5306502731594271</v>
      </c>
      <c r="V90">
        <v>48.376106447001192</v>
      </c>
      <c r="W90">
        <v>22.498854448198461</v>
      </c>
      <c r="X90">
        <v>46.068950716854779</v>
      </c>
      <c r="Y90">
        <v>10.162265399495089</v>
      </c>
      <c r="Z90">
        <v>33.747725971202222</v>
      </c>
      <c r="AA90">
        <v>7.6153541343756004</v>
      </c>
      <c r="AB90">
        <v>37.779729372410173</v>
      </c>
      <c r="AD90">
        <v>9.5415676667390237</v>
      </c>
      <c r="AE90">
        <v>13.842723418288287</v>
      </c>
      <c r="AF90">
        <v>13.489999600519344</v>
      </c>
      <c r="AG90">
        <v>23.252985601228971</v>
      </c>
      <c r="AH90">
        <v>9.3471827238720895</v>
      </c>
      <c r="AI90">
        <v>2.3936922436362584</v>
      </c>
      <c r="AK90">
        <v>57.964172367143568</v>
      </c>
    </row>
    <row r="91" spans="1:37" x14ac:dyDescent="0.2">
      <c r="A91">
        <v>90</v>
      </c>
      <c r="B91">
        <v>755</v>
      </c>
      <c r="C91">
        <v>240</v>
      </c>
      <c r="D91">
        <v>0.338598939843407</v>
      </c>
      <c r="E91">
        <v>181.40661957755827</v>
      </c>
      <c r="F91">
        <v>65.493010835635616</v>
      </c>
      <c r="G91">
        <v>72.553611504432382</v>
      </c>
      <c r="H91">
        <v>67.947399521007299</v>
      </c>
      <c r="J91">
        <v>69.701436589658485</v>
      </c>
      <c r="L91">
        <v>8.3997379023762946</v>
      </c>
      <c r="M91">
        <v>13.762130354000087</v>
      </c>
      <c r="N91">
        <v>2.452463311019021</v>
      </c>
      <c r="O91">
        <v>34.418426844376988</v>
      </c>
      <c r="P91">
        <v>13.08802107357552</v>
      </c>
      <c r="Q91">
        <v>0.55854265558206273</v>
      </c>
      <c r="R91">
        <v>18.198480482712512</v>
      </c>
      <c r="S91">
        <v>49.982077582458359</v>
      </c>
      <c r="U91">
        <v>1.4431485233770875</v>
      </c>
      <c r="V91">
        <v>48.252858420144527</v>
      </c>
      <c r="W91">
        <v>22.279584156628179</v>
      </c>
      <c r="X91">
        <v>45.840169344463185</v>
      </c>
      <c r="Y91">
        <v>10.067814605117579</v>
      </c>
      <c r="Z91">
        <v>33.53300810332582</v>
      </c>
      <c r="AA91">
        <v>7.5248647765467611</v>
      </c>
      <c r="AB91">
        <v>37.611661784428712</v>
      </c>
      <c r="AD91">
        <v>9.4189598455751025</v>
      </c>
      <c r="AE91">
        <v>13.746944753454889</v>
      </c>
      <c r="AF91">
        <v>13.413032236359697</v>
      </c>
      <c r="AG91">
        <v>23.069978114863932</v>
      </c>
      <c r="AH91">
        <v>9.2052263102042851</v>
      </c>
      <c r="AI91">
        <v>2.3953825596446574</v>
      </c>
      <c r="AK91">
        <v>57.945723852996835</v>
      </c>
    </row>
    <row r="92" spans="1:37" x14ac:dyDescent="0.2">
      <c r="A92">
        <v>91</v>
      </c>
      <c r="B92">
        <v>754</v>
      </c>
      <c r="C92">
        <v>240</v>
      </c>
      <c r="D92">
        <v>0.33788687144039198</v>
      </c>
      <c r="E92">
        <v>181.28207054247594</v>
      </c>
      <c r="F92">
        <v>65.102968798686433</v>
      </c>
      <c r="G92">
        <v>72.489153226448096</v>
      </c>
      <c r="H92">
        <v>67.880558768114881</v>
      </c>
      <c r="J92">
        <v>69.604339839688308</v>
      </c>
      <c r="L92">
        <v>8.3118666848719354</v>
      </c>
      <c r="M92">
        <v>13.686423390230459</v>
      </c>
      <c r="N92">
        <v>2.4544398543761461</v>
      </c>
      <c r="O92">
        <v>34.022392787550807</v>
      </c>
      <c r="P92">
        <v>12.982571865041676</v>
      </c>
      <c r="Q92">
        <v>0.49129373577061869</v>
      </c>
      <c r="R92">
        <v>17.971337460907538</v>
      </c>
      <c r="S92">
        <v>49.489834999694395</v>
      </c>
      <c r="U92">
        <v>1.3557106423430549</v>
      </c>
      <c r="V92">
        <v>48.129791466613902</v>
      </c>
      <c r="W92">
        <v>22.060585420467547</v>
      </c>
      <c r="X92">
        <v>45.611799862265485</v>
      </c>
      <c r="Y92">
        <v>9.9735130680431379</v>
      </c>
      <c r="Z92">
        <v>33.31857268610063</v>
      </c>
      <c r="AA92">
        <v>7.4345382115939795</v>
      </c>
      <c r="AB92">
        <v>37.44385945615808</v>
      </c>
      <c r="AD92">
        <v>9.2964504028541839</v>
      </c>
      <c r="AE92">
        <v>13.65128821223905</v>
      </c>
      <c r="AF92">
        <v>13.336205748339099</v>
      </c>
      <c r="AG92">
        <v>22.887238286090863</v>
      </c>
      <c r="AH92">
        <v>9.0634779717624916</v>
      </c>
      <c r="AI92">
        <v>2.3970719135129013</v>
      </c>
      <c r="AK92">
        <v>57.927583437880628</v>
      </c>
    </row>
    <row r="93" spans="1:37" x14ac:dyDescent="0.2">
      <c r="A93">
        <v>92</v>
      </c>
      <c r="B93">
        <v>753</v>
      </c>
      <c r="C93">
        <v>240</v>
      </c>
      <c r="D93">
        <v>0.33717341519271199</v>
      </c>
      <c r="E93">
        <v>181.15766981849555</v>
      </c>
      <c r="F93">
        <v>64.713591138608422</v>
      </c>
      <c r="G93">
        <v>72.424774737442732</v>
      </c>
      <c r="H93">
        <v>67.813810880255772</v>
      </c>
      <c r="J93">
        <v>69.50783048879741</v>
      </c>
      <c r="L93">
        <v>8.2242047667029912</v>
      </c>
      <c r="M93">
        <v>13.610856678118989</v>
      </c>
      <c r="N93">
        <v>2.4564162688029532</v>
      </c>
      <c r="O93">
        <v>33.626948567705348</v>
      </c>
      <c r="P93">
        <v>12.877289894977999</v>
      </c>
      <c r="Q93">
        <v>0.45242728837568824</v>
      </c>
      <c r="R93">
        <v>17.744540338136819</v>
      </c>
      <c r="S93">
        <v>48.998477068046149</v>
      </c>
      <c r="U93">
        <v>1.2683362898127939</v>
      </c>
      <c r="V93">
        <v>48.006904885320914</v>
      </c>
      <c r="W93">
        <v>21.841857375112657</v>
      </c>
      <c r="X93">
        <v>45.3838408387344</v>
      </c>
      <c r="Y93">
        <v>9.8793604278810054</v>
      </c>
      <c r="Z93">
        <v>33.104418864419742</v>
      </c>
      <c r="AA93">
        <v>7.3443740844743512</v>
      </c>
      <c r="AB93">
        <v>37.276321548197494</v>
      </c>
      <c r="AD93">
        <v>9.1740393497845147</v>
      </c>
      <c r="AE93">
        <v>13.555753393788248</v>
      </c>
      <c r="AF93">
        <v>13.259519699454685</v>
      </c>
      <c r="AG93">
        <v>22.704765281926221</v>
      </c>
      <c r="AH93">
        <v>8.9219374183044753</v>
      </c>
      <c r="AI93">
        <v>2.398760303869734</v>
      </c>
      <c r="AK93">
        <v>57.909751022320371</v>
      </c>
    </row>
    <row r="94" spans="1:37" x14ac:dyDescent="0.2">
      <c r="A94">
        <v>93</v>
      </c>
      <c r="B94">
        <v>752</v>
      </c>
      <c r="C94">
        <v>240</v>
      </c>
      <c r="D94">
        <v>0.33645856703896998</v>
      </c>
      <c r="E94">
        <v>181.03341700300041</v>
      </c>
      <c r="F94">
        <v>64.324876231107993</v>
      </c>
      <c r="G94">
        <v>72.360475885875402</v>
      </c>
      <c r="H94">
        <v>67.74715572680941</v>
      </c>
      <c r="J94">
        <v>69.411908073307558</v>
      </c>
      <c r="L94">
        <v>8.1367023006711161</v>
      </c>
      <c r="M94">
        <v>13.535429777873274</v>
      </c>
      <c r="N94">
        <v>2.4583925549235448</v>
      </c>
      <c r="O94">
        <v>33.232092958528916</v>
      </c>
      <c r="P94">
        <v>12.772174883771184</v>
      </c>
      <c r="Q94">
        <v>0.38516974403867105</v>
      </c>
      <c r="R94">
        <v>17.518088070974489</v>
      </c>
      <c r="S94">
        <v>48.50800117860971</v>
      </c>
      <c r="U94">
        <v>1.1810251291406701</v>
      </c>
      <c r="V94">
        <v>47.884197973372586</v>
      </c>
      <c r="W94">
        <v>21.62339916291711</v>
      </c>
      <c r="X94">
        <v>45.156290851966631</v>
      </c>
      <c r="Y94">
        <v>9.7853563286182688</v>
      </c>
      <c r="Z94">
        <v>32.890545791176713</v>
      </c>
      <c r="AA94">
        <v>7.254372044727555</v>
      </c>
      <c r="AB94">
        <v>37.109047227924307</v>
      </c>
      <c r="AD94">
        <v>9.0517266989648153</v>
      </c>
      <c r="AE94">
        <v>13.460339900869883</v>
      </c>
      <c r="AF94">
        <v>13.182973656176035</v>
      </c>
      <c r="AG94">
        <v>22.522558276342775</v>
      </c>
      <c r="AH94">
        <v>8.780604364439121</v>
      </c>
      <c r="AI94">
        <v>2.4004477295003617</v>
      </c>
      <c r="AK94">
        <v>57.89222651060777</v>
      </c>
    </row>
    <row r="95" spans="1:37" x14ac:dyDescent="0.2">
      <c r="A95">
        <v>94</v>
      </c>
      <c r="B95">
        <v>751</v>
      </c>
      <c r="C95">
        <v>240</v>
      </c>
      <c r="D95">
        <v>0.33574232290192102</v>
      </c>
      <c r="E95">
        <v>180.90931169774049</v>
      </c>
      <c r="F95">
        <v>63.936822471351967</v>
      </c>
      <c r="G95">
        <v>72.296256522471452</v>
      </c>
      <c r="H95">
        <v>67.680593179461439</v>
      </c>
      <c r="J95">
        <v>69.316572138228523</v>
      </c>
      <c r="L95">
        <v>8.0493592787509272</v>
      </c>
      <c r="M95">
        <v>13.460142253895116</v>
      </c>
      <c r="N95">
        <v>2.460368713258879</v>
      </c>
      <c r="O95">
        <v>32.837824748635917</v>
      </c>
      <c r="P95">
        <v>12.667226556299228</v>
      </c>
      <c r="Q95">
        <v>0.31802105371552103</v>
      </c>
      <c r="R95">
        <v>17.291979627313737</v>
      </c>
      <c r="S95">
        <v>48.018404747410294</v>
      </c>
      <c r="U95">
        <v>1.0937768280302556</v>
      </c>
      <c r="V95">
        <v>47.761670027363628</v>
      </c>
      <c r="W95">
        <v>21.405209934767107</v>
      </c>
      <c r="X95">
        <v>44.929148493350091</v>
      </c>
      <c r="Y95">
        <v>9.6915004191015193</v>
      </c>
      <c r="Z95">
        <v>32.676952628399036</v>
      </c>
      <c r="AA95">
        <v>7.1645317468302601</v>
      </c>
      <c r="AB95">
        <v>36.942035670980658</v>
      </c>
      <c r="AD95">
        <v>8.9295124652059084</v>
      </c>
      <c r="AE95">
        <v>13.365047340280267</v>
      </c>
      <c r="AF95">
        <v>13.106567189073099</v>
      </c>
      <c r="AG95">
        <v>22.340616451492384</v>
      </c>
      <c r="AH95">
        <v>8.6394785306631832</v>
      </c>
      <c r="AI95">
        <v>2.4021341890860315</v>
      </c>
      <c r="AK95">
        <v>57.875009811307436</v>
      </c>
    </row>
    <row r="96" spans="1:37" x14ac:dyDescent="0.2">
      <c r="A96">
        <v>95</v>
      </c>
      <c r="B96">
        <v>750</v>
      </c>
      <c r="C96">
        <v>240</v>
      </c>
      <c r="D96">
        <v>0.335024678688366</v>
      </c>
      <c r="E96">
        <v>180.78535350841682</v>
      </c>
      <c r="F96">
        <v>63.549428272557819</v>
      </c>
      <c r="G96">
        <v>72.232116500027843</v>
      </c>
      <c r="H96">
        <v>67.614123112010205</v>
      </c>
      <c r="J96">
        <v>69.221822236508089</v>
      </c>
      <c r="L96">
        <v>7.9621758219455838</v>
      </c>
      <c r="M96">
        <v>13.384993674274357</v>
      </c>
      <c r="N96">
        <v>2.4623447443582034</v>
      </c>
      <c r="O96">
        <v>32.44414274097165</v>
      </c>
      <c r="P96">
        <v>12.56244464167672</v>
      </c>
      <c r="Q96">
        <v>0.22360863210753723</v>
      </c>
      <c r="R96">
        <v>17.066213985477919</v>
      </c>
      <c r="S96">
        <v>47.529685212864962</v>
      </c>
      <c r="U96">
        <v>1.0065910581061825</v>
      </c>
      <c r="V96">
        <v>47.639320342332823</v>
      </c>
      <c r="W96">
        <v>21.187288849197799</v>
      </c>
      <c r="X96">
        <v>44.702412364655515</v>
      </c>
      <c r="Y96">
        <v>9.5977923527453726</v>
      </c>
      <c r="Z96">
        <v>32.463638546569591</v>
      </c>
      <c r="AA96">
        <v>7.0748528499788659</v>
      </c>
      <c r="AB96">
        <v>36.775286060407375</v>
      </c>
      <c r="AD96">
        <v>8.8073966651396347</v>
      </c>
      <c r="AE96">
        <v>13.269875322583605</v>
      </c>
      <c r="AF96">
        <v>13.030299872447179</v>
      </c>
      <c r="AG96">
        <v>22.158938996971667</v>
      </c>
      <c r="AH96">
        <v>8.4985596427710579</v>
      </c>
      <c r="AI96">
        <v>2.4038196813362802</v>
      </c>
      <c r="AK96">
        <v>57.858100836951415</v>
      </c>
    </row>
    <row r="97" spans="1:37" x14ac:dyDescent="0.2">
      <c r="A97">
        <v>96</v>
      </c>
      <c r="B97">
        <v>749</v>
      </c>
      <c r="C97">
        <v>240</v>
      </c>
      <c r="D97">
        <v>0.33430563028909699</v>
      </c>
      <c r="E97">
        <v>180.66154204470072</v>
      </c>
      <c r="F97">
        <v>63.162692066052138</v>
      </c>
      <c r="G97">
        <v>72.168055673430217</v>
      </c>
      <c r="H97">
        <v>67.547745400384542</v>
      </c>
      <c r="J97">
        <v>69.127657929064981</v>
      </c>
      <c r="L97">
        <v>7.8750949156093304</v>
      </c>
      <c r="M97">
        <v>13.309983610840336</v>
      </c>
      <c r="N97">
        <v>2.4643206487642471</v>
      </c>
      <c r="O97">
        <v>32.051045752754625</v>
      </c>
      <c r="P97">
        <v>12.457828873252732</v>
      </c>
      <c r="Q97">
        <v>0.15701990445919273</v>
      </c>
      <c r="R97">
        <v>16.840790134268264</v>
      </c>
      <c r="S97">
        <v>47.041840036006285</v>
      </c>
      <c r="U97">
        <v>0.91946749496058922</v>
      </c>
      <c r="V97">
        <v>47.517148211654408</v>
      </c>
      <c r="W97">
        <v>20.969635072474546</v>
      </c>
      <c r="X97">
        <v>44.476081079221203</v>
      </c>
      <c r="Y97">
        <v>9.5042317875415669</v>
      </c>
      <c r="Z97">
        <v>32.250602724711513</v>
      </c>
      <c r="AA97">
        <v>6.9854146079241906</v>
      </c>
      <c r="AB97">
        <v>36.608797586762662</v>
      </c>
      <c r="AD97">
        <v>8.6853793173350589</v>
      </c>
      <c r="AE97">
        <v>13.174823462145062</v>
      </c>
      <c r="AF97">
        <v>12.954171284345582</v>
      </c>
      <c r="AG97">
        <v>21.977525109909795</v>
      </c>
      <c r="AH97">
        <v>8.3578474319222344</v>
      </c>
      <c r="AI97">
        <v>2.405504204954124</v>
      </c>
      <c r="AK97">
        <v>57.841499504020575</v>
      </c>
    </row>
    <row r="98" spans="1:37" x14ac:dyDescent="0.2">
      <c r="A98">
        <v>97</v>
      </c>
      <c r="B98">
        <v>748</v>
      </c>
      <c r="C98">
        <v>240</v>
      </c>
      <c r="D98">
        <v>0.33358517357881101</v>
      </c>
      <c r="E98">
        <v>180.53787692024702</v>
      </c>
      <c r="F98">
        <v>62.776612301189822</v>
      </c>
      <c r="G98">
        <v>72.104073899636774</v>
      </c>
      <c r="H98">
        <v>67.481459922626414</v>
      </c>
      <c r="J98">
        <v>69.034078784767757</v>
      </c>
      <c r="L98">
        <v>7.7882219471265834</v>
      </c>
      <c r="M98">
        <v>13.235111639113919</v>
      </c>
      <c r="N98">
        <v>2.4662964270453487</v>
      </c>
      <c r="O98">
        <v>31.658532615428332</v>
      </c>
      <c r="P98">
        <v>12.353378988611061</v>
      </c>
      <c r="Q98">
        <v>9.0491160699672946E-2</v>
      </c>
      <c r="R98">
        <v>16.615707072933652</v>
      </c>
      <c r="S98">
        <v>46.554866700216564</v>
      </c>
      <c r="U98">
        <v>0.83240581809873426</v>
      </c>
      <c r="V98">
        <v>47.395152926777527</v>
      </c>
      <c r="W98">
        <v>20.752247778445543</v>
      </c>
      <c r="X98">
        <v>44.250153261580145</v>
      </c>
      <c r="Y98">
        <v>9.4108183860505825</v>
      </c>
      <c r="Z98">
        <v>32.037844350204217</v>
      </c>
      <c r="AA98">
        <v>6.8960570118668549</v>
      </c>
      <c r="AB98">
        <v>36.442569447933778</v>
      </c>
      <c r="AD98">
        <v>8.5634604422521292</v>
      </c>
      <c r="AE98">
        <v>13.079891377025175</v>
      </c>
      <c r="AF98">
        <v>12.878181006544638</v>
      </c>
      <c r="AG98">
        <v>21.796373994808498</v>
      </c>
      <c r="AH98">
        <v>8.2173416345907953</v>
      </c>
      <c r="AI98">
        <v>2.4071877586676091</v>
      </c>
      <c r="AK98">
        <v>57.825205732982745</v>
      </c>
    </row>
    <row r="99" spans="1:37" x14ac:dyDescent="0.2">
      <c r="A99">
        <v>98</v>
      </c>
      <c r="B99">
        <v>747</v>
      </c>
      <c r="C99">
        <v>240</v>
      </c>
      <c r="D99">
        <v>0.33286330441601902</v>
      </c>
      <c r="E99">
        <v>180.41435775261095</v>
      </c>
      <c r="F99">
        <v>62.391187445177131</v>
      </c>
      <c r="G99">
        <v>72.040171037674099</v>
      </c>
      <c r="H99">
        <v>67.41526655888805</v>
      </c>
      <c r="J99">
        <v>68.941084380326771</v>
      </c>
      <c r="L99">
        <v>7.7015077222563741</v>
      </c>
      <c r="M99">
        <v>13.160377338326123</v>
      </c>
      <c r="N99">
        <v>2.4682720797373681</v>
      </c>
      <c r="O99">
        <v>31.266602174487865</v>
      </c>
      <c r="P99">
        <v>12.249094729506904</v>
      </c>
      <c r="Q99">
        <v>2.4106107282267659E-2</v>
      </c>
      <c r="R99">
        <v>16.390963811067088</v>
      </c>
      <c r="S99">
        <v>46.068762711296877</v>
      </c>
      <c r="U99">
        <v>0.74540571096554731</v>
      </c>
      <c r="V99">
        <v>47.273333776964073</v>
      </c>
      <c r="W99">
        <v>20.535126148664979</v>
      </c>
      <c r="X99">
        <v>44.024627547047466</v>
      </c>
      <c r="Y99">
        <v>9.3175518153609644</v>
      </c>
      <c r="Z99">
        <v>31.825362618941185</v>
      </c>
      <c r="AA99">
        <v>6.8068598215663147</v>
      </c>
      <c r="AB99">
        <v>36.276600849299307</v>
      </c>
      <c r="AD99">
        <v>8.4416400623787222</v>
      </c>
      <c r="AE99">
        <v>12.985078689070425</v>
      </c>
      <c r="AF99">
        <v>12.802328624509876</v>
      </c>
      <c r="AG99">
        <v>21.615484863649211</v>
      </c>
      <c r="AH99">
        <v>8.0770419925838759</v>
      </c>
      <c r="AI99">
        <v>2.4088703411728845</v>
      </c>
      <c r="AK99">
        <v>57.809219448163311</v>
      </c>
    </row>
    <row r="100" spans="1:37" x14ac:dyDescent="0.2">
      <c r="A100">
        <v>99</v>
      </c>
      <c r="B100">
        <v>746</v>
      </c>
      <c r="C100">
        <v>240</v>
      </c>
      <c r="D100">
        <v>0.33214001864298798</v>
      </c>
      <c r="E100">
        <v>179.1962176536336</v>
      </c>
      <c r="F100">
        <v>54.034046686125819</v>
      </c>
      <c r="G100">
        <v>70.811695839342846</v>
      </c>
      <c r="H100">
        <v>66.18451408213582</v>
      </c>
      <c r="J100">
        <v>65.488952479843107</v>
      </c>
      <c r="L100">
        <v>5.4279224528119085</v>
      </c>
      <c r="M100">
        <v>13.139297911427967</v>
      </c>
      <c r="N100">
        <v>2.4701888898663173</v>
      </c>
      <c r="O100">
        <v>22.754369589251631</v>
      </c>
      <c r="P100">
        <v>9.8156149057937903</v>
      </c>
      <c r="R100">
        <v>13.172676609620925</v>
      </c>
      <c r="S100">
        <v>41.572213957986662</v>
      </c>
      <c r="U100">
        <v>0.75445757441064443</v>
      </c>
      <c r="V100">
        <v>47.029647130981523</v>
      </c>
      <c r="W100">
        <v>20.366187511593804</v>
      </c>
      <c r="X100">
        <v>44.092600405211485</v>
      </c>
      <c r="Y100">
        <v>6.8875145898112216</v>
      </c>
      <c r="Z100">
        <v>26.179262252621179</v>
      </c>
      <c r="AA100">
        <v>4.4847832670458887</v>
      </c>
      <c r="AB100">
        <v>34.064045602778521</v>
      </c>
      <c r="AD100">
        <v>5.1774134414219777</v>
      </c>
      <c r="AE100">
        <v>10.601619509054242</v>
      </c>
      <c r="AF100">
        <v>12.780072629933844</v>
      </c>
      <c r="AG100">
        <v>19.387952817461308</v>
      </c>
      <c r="AH100">
        <v>4.3736868796345316</v>
      </c>
      <c r="AI100">
        <v>2.4104932336553184</v>
      </c>
      <c r="AK100">
        <v>55.473105565345989</v>
      </c>
    </row>
    <row r="101" spans="1:37" x14ac:dyDescent="0.2">
      <c r="A101">
        <v>100</v>
      </c>
      <c r="B101">
        <v>745</v>
      </c>
      <c r="C101">
        <v>240</v>
      </c>
      <c r="D101">
        <v>0.33141531208564601</v>
      </c>
      <c r="E101">
        <v>178.17109530509768</v>
      </c>
      <c r="F101">
        <v>46.946712957873373</v>
      </c>
      <c r="G101">
        <v>69.775989799153976</v>
      </c>
      <c r="H101">
        <v>65.146544008089222</v>
      </c>
      <c r="J101">
        <v>62.47734861503713</v>
      </c>
      <c r="L101">
        <v>3.4857503276992938</v>
      </c>
      <c r="M101">
        <v>13.058679872725676</v>
      </c>
      <c r="N101">
        <v>2.4721116823861049</v>
      </c>
      <c r="O101">
        <v>15.55726614616559</v>
      </c>
      <c r="P101">
        <v>7.767687354741093</v>
      </c>
      <c r="R101">
        <v>10.327043530803504</v>
      </c>
      <c r="S101">
        <v>37.500182211171975</v>
      </c>
      <c r="U101">
        <v>0.73451740036886304</v>
      </c>
      <c r="V101">
        <v>46.737430304851202</v>
      </c>
      <c r="W101">
        <v>20.208367787978908</v>
      </c>
      <c r="X101">
        <v>44.070687545610554</v>
      </c>
      <c r="Y101">
        <v>4.8390588422151488</v>
      </c>
      <c r="Z101">
        <v>21.271420295688486</v>
      </c>
      <c r="AA101">
        <v>2.514689769233315</v>
      </c>
      <c r="AB101">
        <v>32.036361699487628</v>
      </c>
      <c r="AD101">
        <v>2.3281935699731551</v>
      </c>
      <c r="AE101">
        <v>8.5236052414974086</v>
      </c>
      <c r="AF101">
        <v>12.698284367801287</v>
      </c>
      <c r="AG101">
        <v>17.345300678419971</v>
      </c>
      <c r="AH101">
        <v>1.1957809998333029</v>
      </c>
      <c r="AI101">
        <v>2.4121212592287593</v>
      </c>
      <c r="AK101">
        <v>53.470830702833986</v>
      </c>
    </row>
    <row r="102" spans="1:37" x14ac:dyDescent="0.2">
      <c r="A102">
        <v>101</v>
      </c>
      <c r="B102">
        <v>744</v>
      </c>
      <c r="C102">
        <v>240</v>
      </c>
      <c r="D102">
        <v>0.33068918055350899</v>
      </c>
      <c r="E102">
        <v>178.28459928999274</v>
      </c>
      <c r="F102">
        <v>45.856510193611861</v>
      </c>
      <c r="G102">
        <v>69.811485142023656</v>
      </c>
      <c r="H102">
        <v>65.179788582913929</v>
      </c>
      <c r="J102">
        <v>53.466906949468132</v>
      </c>
      <c r="L102">
        <v>1.4645760976089659</v>
      </c>
      <c r="M102">
        <v>12.826100234942558</v>
      </c>
      <c r="N102">
        <v>2.4741067132523371</v>
      </c>
      <c r="O102">
        <v>4.9305165982276593</v>
      </c>
      <c r="P102">
        <v>7.8622428054955735</v>
      </c>
      <c r="R102">
        <v>8.1840454497100552</v>
      </c>
      <c r="S102">
        <v>32.3576881067549</v>
      </c>
      <c r="U102">
        <v>0.70608682767782704</v>
      </c>
      <c r="V102">
        <v>46.791719800643662</v>
      </c>
      <c r="W102">
        <v>19.903283038248254</v>
      </c>
      <c r="X102">
        <v>44.024254349310134</v>
      </c>
      <c r="Y102">
        <v>3.4911848701691564</v>
      </c>
      <c r="Z102">
        <v>18.481341511821196</v>
      </c>
      <c r="AA102">
        <v>0.15634431423658679</v>
      </c>
      <c r="AB102">
        <v>30.726352160803589</v>
      </c>
      <c r="AD102">
        <v>0.74507854484818969</v>
      </c>
      <c r="AE102">
        <v>6.9517134345339278</v>
      </c>
      <c r="AF102">
        <v>12.464607112528185</v>
      </c>
      <c r="AG102">
        <v>16.020397729981546</v>
      </c>
      <c r="AI102">
        <v>2.4138206720079385</v>
      </c>
      <c r="AK102">
        <v>47.398753794142209</v>
      </c>
    </row>
    <row r="103" spans="1:37" x14ac:dyDescent="0.2">
      <c r="A103">
        <v>102</v>
      </c>
      <c r="B103">
        <v>743</v>
      </c>
      <c r="C103">
        <v>240</v>
      </c>
      <c r="D103">
        <v>0.32996161983958999</v>
      </c>
      <c r="E103">
        <v>178.54039083120929</v>
      </c>
      <c r="F103">
        <v>46.147692610810644</v>
      </c>
      <c r="G103">
        <v>69.8416811436757</v>
      </c>
      <c r="H103">
        <v>65.207747103625678</v>
      </c>
      <c r="J103">
        <v>43.887965696429951</v>
      </c>
      <c r="L103">
        <v>1.6434518505452251</v>
      </c>
      <c r="M103">
        <v>12.306825058748524</v>
      </c>
      <c r="N103">
        <v>2.476101807218468</v>
      </c>
      <c r="O103">
        <v>5.5843765771513576</v>
      </c>
      <c r="P103">
        <v>7.9462076576817342</v>
      </c>
      <c r="R103">
        <v>7.9862229248581311</v>
      </c>
      <c r="S103">
        <v>33.260426307883108</v>
      </c>
      <c r="U103">
        <v>0.6817821018667638</v>
      </c>
      <c r="V103">
        <v>47.519083780713409</v>
      </c>
      <c r="W103">
        <v>19.309074097823238</v>
      </c>
      <c r="X103">
        <v>43.989900514030452</v>
      </c>
      <c r="Y103">
        <v>3.3863549954968493</v>
      </c>
      <c r="Z103">
        <v>17.718054154307385</v>
      </c>
      <c r="AB103">
        <v>30.785811148273137</v>
      </c>
      <c r="AE103">
        <v>6.4925223506293408</v>
      </c>
      <c r="AF103">
        <v>11.944234755293355</v>
      </c>
      <c r="AG103">
        <v>16.064965964591686</v>
      </c>
      <c r="AI103">
        <v>2.4155192949064812</v>
      </c>
      <c r="AK103">
        <v>40.862052474310801</v>
      </c>
    </row>
    <row r="104" spans="1:37" x14ac:dyDescent="0.2">
      <c r="A104">
        <v>103</v>
      </c>
      <c r="B104">
        <v>742</v>
      </c>
      <c r="C104">
        <v>240</v>
      </c>
      <c r="D104">
        <v>0.32923262572033701</v>
      </c>
      <c r="E104">
        <v>178.71403293768191</v>
      </c>
      <c r="F104">
        <v>46.667304702582435</v>
      </c>
      <c r="G104">
        <v>69.819516765722184</v>
      </c>
      <c r="H104">
        <v>65.183358553169882</v>
      </c>
      <c r="J104">
        <v>39.28080028599544</v>
      </c>
      <c r="L104">
        <v>1.6588078107066904</v>
      </c>
      <c r="M104">
        <v>11.850799783452688</v>
      </c>
      <c r="N104">
        <v>2.4780914610820579</v>
      </c>
      <c r="O104">
        <v>5.5788684371623596</v>
      </c>
      <c r="P104">
        <v>7.9254543548118921</v>
      </c>
      <c r="R104">
        <v>7.6247533367294169</v>
      </c>
      <c r="S104">
        <v>33.706515222007759</v>
      </c>
      <c r="U104">
        <v>0.65921806109585701</v>
      </c>
      <c r="V104">
        <v>48.120031133398342</v>
      </c>
      <c r="W104">
        <v>18.777050702509008</v>
      </c>
      <c r="X104">
        <v>43.960779395717807</v>
      </c>
      <c r="Y104">
        <v>3.181197567138303</v>
      </c>
      <c r="Z104">
        <v>17.888940797093031</v>
      </c>
      <c r="AB104">
        <v>31.318760670387729</v>
      </c>
      <c r="AE104">
        <v>6.5831445539521667</v>
      </c>
      <c r="AF104">
        <v>11.487107237964986</v>
      </c>
      <c r="AG104">
        <v>16.583021893701837</v>
      </c>
      <c r="AI104">
        <v>2.4172116228810734</v>
      </c>
      <c r="AK104">
        <v>37.665275783651708</v>
      </c>
    </row>
    <row r="105" spans="1:37" x14ac:dyDescent="0.2">
      <c r="A105">
        <v>104</v>
      </c>
      <c r="B105">
        <v>757</v>
      </c>
      <c r="C105">
        <v>225</v>
      </c>
      <c r="D105">
        <v>0.35603601417269398</v>
      </c>
      <c r="E105">
        <v>172.88557634242733</v>
      </c>
      <c r="F105">
        <v>65.916391736975555</v>
      </c>
      <c r="G105">
        <v>72.6773943912291</v>
      </c>
      <c r="H105">
        <v>68.075293919317147</v>
      </c>
      <c r="J105">
        <v>69.598116139062853</v>
      </c>
      <c r="L105">
        <v>8.503604170502971</v>
      </c>
      <c r="M105">
        <v>13.88095140474832</v>
      </c>
      <c r="N105">
        <v>2.3983017535143722</v>
      </c>
      <c r="O105">
        <v>35.273503854886584</v>
      </c>
      <c r="P105">
        <v>13.153756453558684</v>
      </c>
      <c r="Q105">
        <v>0.43364849007962636</v>
      </c>
      <c r="R105">
        <v>18.639335334544054</v>
      </c>
      <c r="S105">
        <v>50.611517471147948</v>
      </c>
      <c r="U105">
        <v>1.5426940075621998</v>
      </c>
      <c r="V105">
        <v>48.146859359481091</v>
      </c>
      <c r="W105">
        <v>23.041123270388518</v>
      </c>
      <c r="X105">
        <v>45.333337303759734</v>
      </c>
      <c r="Y105">
        <v>10.122431730155721</v>
      </c>
      <c r="Z105">
        <v>33.917936341594284</v>
      </c>
      <c r="AA105">
        <v>7.6507158355122371</v>
      </c>
      <c r="AB105">
        <v>37.930948426040892</v>
      </c>
      <c r="AC105">
        <v>4.5010966785907743E-3</v>
      </c>
      <c r="AD105">
        <v>9.6305936534103136</v>
      </c>
      <c r="AE105">
        <v>14.037886036206508</v>
      </c>
      <c r="AF105">
        <v>13.530137334576963</v>
      </c>
      <c r="AG105">
        <v>23.433746621720331</v>
      </c>
      <c r="AH105">
        <v>9.1727094845317563</v>
      </c>
      <c r="AI105">
        <v>2.3399107395231682</v>
      </c>
      <c r="AK105">
        <v>57.746935761464876</v>
      </c>
    </row>
    <row r="106" spans="1:37" x14ac:dyDescent="0.2">
      <c r="A106">
        <v>105</v>
      </c>
      <c r="B106">
        <v>756</v>
      </c>
      <c r="C106">
        <v>225</v>
      </c>
      <c r="D106">
        <v>0.35534227274935698</v>
      </c>
      <c r="E106">
        <v>172.77224649377206</v>
      </c>
      <c r="F106">
        <v>65.564479542207579</v>
      </c>
      <c r="G106">
        <v>72.618438432116733</v>
      </c>
      <c r="H106">
        <v>68.013923296463886</v>
      </c>
      <c r="J106">
        <v>69.520935839966555</v>
      </c>
      <c r="L106">
        <v>8.4216167965897899</v>
      </c>
      <c r="M106">
        <v>13.820687802519018</v>
      </c>
      <c r="N106">
        <v>2.3955525824277801</v>
      </c>
      <c r="O106">
        <v>34.891380482897631</v>
      </c>
      <c r="P106">
        <v>13.054564813615183</v>
      </c>
      <c r="Q106">
        <v>0.37232717509139385</v>
      </c>
      <c r="R106">
        <v>18.436832325493899</v>
      </c>
      <c r="S106">
        <v>50.195128032225298</v>
      </c>
      <c r="U106">
        <v>1.4685221523527012</v>
      </c>
      <c r="V106">
        <v>48.04862463941906</v>
      </c>
      <c r="W106">
        <v>22.850803507267731</v>
      </c>
      <c r="X106">
        <v>45.150910326456817</v>
      </c>
      <c r="Y106">
        <v>10.036002309035588</v>
      </c>
      <c r="Z106">
        <v>33.725757967656243</v>
      </c>
      <c r="AA106">
        <v>7.5662039786609601</v>
      </c>
      <c r="AB106">
        <v>37.790737524165145</v>
      </c>
      <c r="AD106">
        <v>9.5225918775480629</v>
      </c>
      <c r="AE106">
        <v>13.95093133008597</v>
      </c>
      <c r="AF106">
        <v>13.464025773409906</v>
      </c>
      <c r="AG106">
        <v>23.273887186077264</v>
      </c>
      <c r="AH106">
        <v>9.0485108767032525</v>
      </c>
      <c r="AI106">
        <v>2.3368767192426976</v>
      </c>
      <c r="AK106">
        <v>57.736091258888258</v>
      </c>
    </row>
    <row r="107" spans="1:37" x14ac:dyDescent="0.2">
      <c r="A107">
        <v>106</v>
      </c>
      <c r="B107">
        <v>755</v>
      </c>
      <c r="C107">
        <v>225</v>
      </c>
      <c r="D107">
        <v>0.354647181831445</v>
      </c>
      <c r="E107">
        <v>172.64793656411851</v>
      </c>
      <c r="F107">
        <v>65.175549546515711</v>
      </c>
      <c r="G107">
        <v>72.554047709577105</v>
      </c>
      <c r="H107">
        <v>67.947130945940827</v>
      </c>
      <c r="J107">
        <v>69.423379695422597</v>
      </c>
      <c r="L107">
        <v>8.333974110297941</v>
      </c>
      <c r="M107">
        <v>13.745384835256097</v>
      </c>
      <c r="N107">
        <v>2.3975306637091882</v>
      </c>
      <c r="O107">
        <v>34.495457518584708</v>
      </c>
      <c r="P107">
        <v>12.949238641259866</v>
      </c>
      <c r="Q107">
        <v>0.30049031294734824</v>
      </c>
      <c r="R107">
        <v>18.210421314245924</v>
      </c>
      <c r="S107">
        <v>49.704148504402092</v>
      </c>
      <c r="U107">
        <v>1.3811755019299046</v>
      </c>
      <c r="V107">
        <v>47.926201386847495</v>
      </c>
      <c r="W107">
        <v>22.632173136738832</v>
      </c>
      <c r="X107">
        <v>44.923819261157185</v>
      </c>
      <c r="Y107">
        <v>9.9418456640710371</v>
      </c>
      <c r="Z107">
        <v>33.512521517326782</v>
      </c>
      <c r="AA107">
        <v>7.4761291940197552</v>
      </c>
      <c r="AB107">
        <v>37.623781857142532</v>
      </c>
      <c r="AD107">
        <v>9.4008977812284993</v>
      </c>
      <c r="AE107">
        <v>13.855761905387981</v>
      </c>
      <c r="AF107">
        <v>13.387602408371318</v>
      </c>
      <c r="AG107">
        <v>23.092012759000603</v>
      </c>
      <c r="AH107">
        <v>8.9070578880417237</v>
      </c>
      <c r="AI107">
        <v>2.3385691204271599</v>
      </c>
      <c r="AK107">
        <v>57.717803441943722</v>
      </c>
    </row>
    <row r="108" spans="1:37" x14ac:dyDescent="0.2">
      <c r="A108">
        <v>107</v>
      </c>
      <c r="B108">
        <v>754</v>
      </c>
      <c r="C108">
        <v>225</v>
      </c>
      <c r="D108">
        <v>0.35395073747748601</v>
      </c>
      <c r="E108">
        <v>172.52377129767024</v>
      </c>
      <c r="F108">
        <v>64.787271436464422</v>
      </c>
      <c r="G108">
        <v>72.489735236640769</v>
      </c>
      <c r="H108">
        <v>67.880429901617333</v>
      </c>
      <c r="J108">
        <v>69.326402805770854</v>
      </c>
      <c r="L108">
        <v>8.2465399224411371</v>
      </c>
      <c r="M108">
        <v>13.670219499203441</v>
      </c>
      <c r="N108">
        <v>2.3995086161589985</v>
      </c>
      <c r="O108">
        <v>34.100114577254416</v>
      </c>
      <c r="P108">
        <v>12.844076604073322</v>
      </c>
      <c r="Q108">
        <v>0.32285654894728011</v>
      </c>
      <c r="R108">
        <v>17.984349117286484</v>
      </c>
      <c r="S108">
        <v>49.214036223274746</v>
      </c>
      <c r="U108">
        <v>1.2938878174534603</v>
      </c>
      <c r="V108">
        <v>47.803954045453466</v>
      </c>
      <c r="W108">
        <v>22.413809335875037</v>
      </c>
      <c r="X108">
        <v>44.697128551208905</v>
      </c>
      <c r="Y108">
        <v>9.847834680132733</v>
      </c>
      <c r="Z108">
        <v>33.299564413450724</v>
      </c>
      <c r="AA108">
        <v>7.3862930563109837</v>
      </c>
      <c r="AB108">
        <v>37.457087410285212</v>
      </c>
      <c r="AD108">
        <v>9.2792985101192098</v>
      </c>
      <c r="AE108">
        <v>13.760713652255486</v>
      </c>
      <c r="AF108">
        <v>13.311316860117634</v>
      </c>
      <c r="AG108">
        <v>22.910401950537537</v>
      </c>
      <c r="AH108">
        <v>8.7658083900139179</v>
      </c>
      <c r="AI108">
        <v>2.3402605600385264</v>
      </c>
      <c r="AK108">
        <v>57.699818869380401</v>
      </c>
    </row>
    <row r="109" spans="1:37" x14ac:dyDescent="0.2">
      <c r="A109">
        <v>108</v>
      </c>
      <c r="B109">
        <v>753</v>
      </c>
      <c r="C109">
        <v>225</v>
      </c>
      <c r="D109">
        <v>0.35325293573064698</v>
      </c>
      <c r="E109">
        <v>172.39975029805456</v>
      </c>
      <c r="F109">
        <v>64.399643646224078</v>
      </c>
      <c r="G109">
        <v>72.425500866299018</v>
      </c>
      <c r="H109">
        <v>67.81382003736401</v>
      </c>
      <c r="J109">
        <v>69.230004712498797</v>
      </c>
      <c r="L109">
        <v>8.1592619710846179</v>
      </c>
      <c r="M109">
        <v>13.595191370286109</v>
      </c>
      <c r="N109">
        <v>2.4014864403029423</v>
      </c>
      <c r="O109">
        <v>33.705350480702513</v>
      </c>
      <c r="P109">
        <v>12.739078431347551</v>
      </c>
      <c r="Q109">
        <v>0.25572371507837877</v>
      </c>
      <c r="R109">
        <v>17.758614723836953</v>
      </c>
      <c r="S109">
        <v>48.724788660523046</v>
      </c>
      <c r="U109">
        <v>1.206658776918863</v>
      </c>
      <c r="V109">
        <v>47.681881932087748</v>
      </c>
      <c r="W109">
        <v>22.195711291653165</v>
      </c>
      <c r="X109">
        <v>44.470836804491931</v>
      </c>
      <c r="Y109">
        <v>9.7539690108331758</v>
      </c>
      <c r="Z109">
        <v>33.08688586846408</v>
      </c>
      <c r="AA109">
        <v>7.2965363288094665</v>
      </c>
      <c r="AB109">
        <v>37.290653398864507</v>
      </c>
      <c r="AD109">
        <v>9.1577941274317674</v>
      </c>
      <c r="AE109">
        <v>13.665786206137513</v>
      </c>
      <c r="AF109">
        <v>13.23516871072227</v>
      </c>
      <c r="AG109">
        <v>22.729053982434639</v>
      </c>
      <c r="AH109">
        <v>8.6247621148846232</v>
      </c>
      <c r="AI109">
        <v>2.3419510367630503</v>
      </c>
      <c r="AK109">
        <v>57.682137442379386</v>
      </c>
    </row>
    <row r="110" spans="1:37" x14ac:dyDescent="0.2">
      <c r="A110">
        <v>109</v>
      </c>
      <c r="B110">
        <v>752</v>
      </c>
      <c r="C110">
        <v>225</v>
      </c>
      <c r="D110">
        <v>0.35255377261864101</v>
      </c>
      <c r="E110">
        <v>172.27587317247657</v>
      </c>
      <c r="F110">
        <v>64.012664626890469</v>
      </c>
      <c r="G110">
        <v>72.361344453471133</v>
      </c>
      <c r="H110">
        <v>67.747301229019527</v>
      </c>
      <c r="J110">
        <v>69.134184964243019</v>
      </c>
      <c r="L110">
        <v>8.0721402131731654</v>
      </c>
      <c r="M110">
        <v>13.520300027896479</v>
      </c>
      <c r="N110">
        <v>2.403464136690733</v>
      </c>
      <c r="O110">
        <v>33.311164064262883</v>
      </c>
      <c r="P110">
        <v>12.634243856316145</v>
      </c>
      <c r="Q110">
        <v>8.5337010479255834E-2</v>
      </c>
      <c r="R110">
        <v>17.533217132887611</v>
      </c>
      <c r="S110">
        <v>48.236403308739973</v>
      </c>
      <c r="U110">
        <v>1.1194880619774488</v>
      </c>
      <c r="V110">
        <v>47.559984362108118</v>
      </c>
      <c r="W110">
        <v>21.977878198427501</v>
      </c>
      <c r="X110">
        <v>44.244942638811111</v>
      </c>
      <c r="Y110">
        <v>9.6602483140569557</v>
      </c>
      <c r="Z110">
        <v>32.874485103223655</v>
      </c>
      <c r="AA110">
        <v>7.2069383761090213</v>
      </c>
      <c r="AB110">
        <v>37.124479045396043</v>
      </c>
      <c r="AD110">
        <v>9.0363846976418021</v>
      </c>
      <c r="AE110">
        <v>13.570979206317228</v>
      </c>
      <c r="AF110">
        <v>13.159157545765076</v>
      </c>
      <c r="AG110">
        <v>22.547968083727721</v>
      </c>
      <c r="AH110">
        <v>8.4839187998463377</v>
      </c>
      <c r="AI110">
        <v>2.3436405493111985</v>
      </c>
      <c r="AK110">
        <v>57.664759065605821</v>
      </c>
    </row>
    <row r="111" spans="1:37" x14ac:dyDescent="0.2">
      <c r="A111">
        <v>110</v>
      </c>
      <c r="B111">
        <v>751</v>
      </c>
      <c r="C111">
        <v>225</v>
      </c>
      <c r="D111">
        <v>0.35185324415369101</v>
      </c>
      <c r="E111">
        <v>172.15213953196948</v>
      </c>
      <c r="F111">
        <v>63.626332847179519</v>
      </c>
      <c r="G111">
        <v>72.297265855088369</v>
      </c>
      <c r="H111">
        <v>67.680873354475949</v>
      </c>
      <c r="J111">
        <v>69.038943117184488</v>
      </c>
      <c r="L111">
        <v>7.9851747140662139</v>
      </c>
      <c r="M111">
        <v>13.445545055094236</v>
      </c>
      <c r="N111">
        <v>2.4054417058655644</v>
      </c>
      <c r="O111">
        <v>32.917554177037736</v>
      </c>
      <c r="P111">
        <v>12.529572616293288</v>
      </c>
      <c r="Q111">
        <v>1.3754560053221532E-2</v>
      </c>
      <c r="R111">
        <v>17.308155353640188</v>
      </c>
      <c r="S111">
        <v>47.748877682449347</v>
      </c>
      <c r="U111">
        <v>1.032375358089086</v>
      </c>
      <c r="V111">
        <v>47.438260649625882</v>
      </c>
      <c r="W111">
        <v>21.760309258172175</v>
      </c>
      <c r="X111">
        <v>44.019444683427189</v>
      </c>
      <c r="Y111">
        <v>9.5666722521130332</v>
      </c>
      <c r="Z111">
        <v>32.662361347132993</v>
      </c>
      <c r="AA111">
        <v>7.1174988692240149</v>
      </c>
      <c r="AB111">
        <v>36.95856357986488</v>
      </c>
      <c r="AD111">
        <v>8.915070286683326</v>
      </c>
      <c r="AE111">
        <v>13.476292295910891</v>
      </c>
      <c r="AF111">
        <v>13.083282954497406</v>
      </c>
      <c r="AG111">
        <v>22.36714349093366</v>
      </c>
      <c r="AH111">
        <v>8.3432781872830706</v>
      </c>
      <c r="AI111">
        <v>2.345329096386803</v>
      </c>
      <c r="AK111">
        <v>57.647683647436217</v>
      </c>
    </row>
    <row r="112" spans="1:37" x14ac:dyDescent="0.2">
      <c r="A112">
        <v>111</v>
      </c>
      <c r="B112">
        <v>750</v>
      </c>
      <c r="C112">
        <v>225</v>
      </c>
      <c r="D112">
        <v>0.35115134633240402</v>
      </c>
      <c r="E112">
        <v>171.93724490592248</v>
      </c>
      <c r="F112">
        <v>62.638627215575795</v>
      </c>
      <c r="G112">
        <v>72.129391794121844</v>
      </c>
      <c r="H112">
        <v>67.510663157706162</v>
      </c>
      <c r="J112">
        <v>68.829320705777945</v>
      </c>
      <c r="L112">
        <v>7.7254902414793865</v>
      </c>
      <c r="M112">
        <v>13.452002164718287</v>
      </c>
      <c r="N112">
        <v>2.4074127528278693</v>
      </c>
      <c r="O112">
        <v>31.841506373086411</v>
      </c>
      <c r="P112">
        <v>12.217311785194303</v>
      </c>
      <c r="R112">
        <v>16.961921038372349</v>
      </c>
      <c r="S112">
        <v>47.408271182206192</v>
      </c>
      <c r="U112">
        <v>0.99756536868893009</v>
      </c>
      <c r="V112">
        <v>47.469348914934599</v>
      </c>
      <c r="W112">
        <v>21.537823086724622</v>
      </c>
      <c r="X112">
        <v>43.956055887250663</v>
      </c>
      <c r="Y112">
        <v>9.2697320810084243</v>
      </c>
      <c r="Z112">
        <v>32.132424720938758</v>
      </c>
      <c r="AA112">
        <v>6.8458219583311806</v>
      </c>
      <c r="AB112">
        <v>36.88829954455079</v>
      </c>
      <c r="AD112">
        <v>8.5991823248809016</v>
      </c>
      <c r="AE112">
        <v>13.273945913947893</v>
      </c>
      <c r="AF112">
        <v>13.088614260418716</v>
      </c>
      <c r="AG112">
        <v>22.281966357339719</v>
      </c>
      <c r="AH112">
        <v>7.9100771694169802</v>
      </c>
      <c r="AI112">
        <v>2.3470102811504687</v>
      </c>
      <c r="AK112">
        <v>57.486550374695234</v>
      </c>
    </row>
    <row r="113" spans="1:37" x14ac:dyDescent="0.2">
      <c r="A113">
        <v>112</v>
      </c>
      <c r="B113">
        <v>749</v>
      </c>
      <c r="C113">
        <v>225</v>
      </c>
      <c r="D113">
        <v>0.350448075135744</v>
      </c>
      <c r="E113">
        <v>171.16211348137298</v>
      </c>
      <c r="F113">
        <v>57.507832372262982</v>
      </c>
      <c r="G113">
        <v>71.364849453291882</v>
      </c>
      <c r="H113">
        <v>66.743797842473285</v>
      </c>
      <c r="J113">
        <v>66.734140453683338</v>
      </c>
      <c r="L113">
        <v>6.3269189120801892</v>
      </c>
      <c r="M113">
        <v>13.431013192958257</v>
      </c>
      <c r="N113">
        <v>2.4093554210931778</v>
      </c>
      <c r="O113">
        <v>26.582089069029845</v>
      </c>
      <c r="P113">
        <v>10.711693895015664</v>
      </c>
      <c r="R113">
        <v>14.951701473932012</v>
      </c>
      <c r="S113">
        <v>44.505077640625025</v>
      </c>
      <c r="U113">
        <v>0.98559085807935209</v>
      </c>
      <c r="V113">
        <v>47.265559802338416</v>
      </c>
      <c r="W113">
        <v>21.345911741168592</v>
      </c>
      <c r="X113">
        <v>43.959436332156919</v>
      </c>
      <c r="Y113">
        <v>7.7724770390869358</v>
      </c>
      <c r="Z113">
        <v>28.728180433220459</v>
      </c>
      <c r="AA113">
        <v>5.4187916501949225</v>
      </c>
      <c r="AB113">
        <v>35.502014677618241</v>
      </c>
      <c r="AD113">
        <v>6.6287199135287143</v>
      </c>
      <c r="AE113">
        <v>11.839038459466082</v>
      </c>
      <c r="AF113">
        <v>13.066471448910564</v>
      </c>
      <c r="AG113">
        <v>20.880742570653407</v>
      </c>
      <c r="AH113">
        <v>5.6434529347442881</v>
      </c>
      <c r="AI113">
        <v>2.3486622452780157</v>
      </c>
      <c r="AK113">
        <v>56.096171968775941</v>
      </c>
    </row>
    <row r="114" spans="1:37" x14ac:dyDescent="0.2">
      <c r="A114">
        <v>113</v>
      </c>
      <c r="B114">
        <v>748</v>
      </c>
      <c r="C114">
        <v>225</v>
      </c>
      <c r="D114">
        <v>0.34974342652891699</v>
      </c>
      <c r="E114">
        <v>170.06259766669737</v>
      </c>
      <c r="F114">
        <v>49.882468673927612</v>
      </c>
      <c r="G114">
        <v>70.247720586410679</v>
      </c>
      <c r="H114">
        <v>65.624359183672766</v>
      </c>
      <c r="J114">
        <v>63.451426553443014</v>
      </c>
      <c r="L114">
        <v>4.2326858233338678</v>
      </c>
      <c r="M114">
        <v>13.355150101494333</v>
      </c>
      <c r="N114">
        <v>2.411277894824158</v>
      </c>
      <c r="O114">
        <v>18.826026383494636</v>
      </c>
      <c r="P114">
        <v>8.5008906606413532</v>
      </c>
      <c r="R114">
        <v>11.878365855472085</v>
      </c>
      <c r="S114">
        <v>39.975355727056275</v>
      </c>
      <c r="U114">
        <v>0.97482776286561368</v>
      </c>
      <c r="V114">
        <v>46.895027755716931</v>
      </c>
      <c r="W114">
        <v>21.186010037440287</v>
      </c>
      <c r="X114">
        <v>43.964428173780568</v>
      </c>
      <c r="Y114">
        <v>5.5615992652814672</v>
      </c>
      <c r="Z114">
        <v>23.490964232637001</v>
      </c>
      <c r="AA114">
        <v>3.2950206720156419</v>
      </c>
      <c r="AB114">
        <v>33.253931822992477</v>
      </c>
      <c r="AD114">
        <v>3.5924032204450325</v>
      </c>
      <c r="AE114">
        <v>9.6161238106663909</v>
      </c>
      <c r="AF114">
        <v>12.989434671502933</v>
      </c>
      <c r="AG114">
        <v>18.617703165009935</v>
      </c>
      <c r="AH114">
        <v>2.2398318082144129</v>
      </c>
      <c r="AI114">
        <v>2.3502931710920496</v>
      </c>
      <c r="AK114">
        <v>53.938672241097464</v>
      </c>
    </row>
    <row r="115" spans="1:37" x14ac:dyDescent="0.2">
      <c r="A115">
        <v>114</v>
      </c>
      <c r="B115">
        <v>747</v>
      </c>
      <c r="C115">
        <v>225</v>
      </c>
      <c r="D115">
        <v>0.34903739646130499</v>
      </c>
      <c r="E115">
        <v>169.76429843726152</v>
      </c>
      <c r="F115">
        <v>46.451880529527692</v>
      </c>
      <c r="G115">
        <v>69.891978680292226</v>
      </c>
      <c r="H115">
        <v>65.266320689245205</v>
      </c>
      <c r="J115">
        <v>56.405573644453632</v>
      </c>
      <c r="L115">
        <v>2.2736039273163007</v>
      </c>
      <c r="M115">
        <v>13.194633908504908</v>
      </c>
      <c r="N115">
        <v>2.4132472080170331</v>
      </c>
      <c r="O115">
        <v>9.4565921089160376</v>
      </c>
      <c r="P115">
        <v>7.8129161128659197</v>
      </c>
      <c r="R115">
        <v>9.4888229338122638</v>
      </c>
      <c r="S115">
        <v>35.122403324827616</v>
      </c>
      <c r="U115">
        <v>0.96155836668972994</v>
      </c>
      <c r="V115">
        <v>46.740802001430787</v>
      </c>
      <c r="W115">
        <v>20.942795784044083</v>
      </c>
      <c r="X115">
        <v>43.962230215070328</v>
      </c>
      <c r="Y115">
        <v>4.0039581689444708</v>
      </c>
      <c r="Z115">
        <v>19.664228284571731</v>
      </c>
      <c r="AA115">
        <v>1.0946707747938345</v>
      </c>
      <c r="AB115">
        <v>31.415978178734967</v>
      </c>
      <c r="AD115">
        <v>1.4261478363514333</v>
      </c>
      <c r="AE115">
        <v>7.7012898652455899</v>
      </c>
      <c r="AF115">
        <v>12.827791986068382</v>
      </c>
      <c r="AG115">
        <v>16.76484237853283</v>
      </c>
      <c r="AI115">
        <v>2.3519700907485017</v>
      </c>
      <c r="AK115">
        <v>49.238345572724157</v>
      </c>
    </row>
    <row r="116" spans="1:37" x14ac:dyDescent="0.2">
      <c r="A116">
        <v>115</v>
      </c>
      <c r="B116">
        <v>746</v>
      </c>
      <c r="C116">
        <v>225</v>
      </c>
      <c r="D116">
        <v>0.34832998086640898</v>
      </c>
      <c r="E116">
        <v>170.05775116914899</v>
      </c>
      <c r="F116">
        <v>46.301488133426659</v>
      </c>
      <c r="G116">
        <v>70.014955416647808</v>
      </c>
      <c r="H116">
        <v>65.38701406206664</v>
      </c>
      <c r="J116">
        <v>46.949476579689829</v>
      </c>
      <c r="L116">
        <v>1.6183564746502088</v>
      </c>
      <c r="M116">
        <v>12.801216762787949</v>
      </c>
      <c r="N116">
        <v>2.4152486504474528</v>
      </c>
      <c r="O116">
        <v>5.8175494259695499</v>
      </c>
      <c r="P116">
        <v>8.0824189281139009</v>
      </c>
      <c r="R116">
        <v>8.6344114177192797</v>
      </c>
      <c r="S116">
        <v>33.510278263112141</v>
      </c>
      <c r="U116">
        <v>0.94485874476768239</v>
      </c>
      <c r="V116">
        <v>47.14987110407808</v>
      </c>
      <c r="W116">
        <v>20.468688491193465</v>
      </c>
      <c r="X116">
        <v>43.95024730822395</v>
      </c>
      <c r="Y116">
        <v>3.4700529930936934</v>
      </c>
      <c r="Z116">
        <v>17.555424812333399</v>
      </c>
      <c r="AB116">
        <v>30.49581962772606</v>
      </c>
      <c r="AE116">
        <v>6.4469204085158553</v>
      </c>
      <c r="AF116">
        <v>12.433280836897803</v>
      </c>
      <c r="AG116">
        <v>15.829811389963458</v>
      </c>
      <c r="AI116">
        <v>2.3536782921827273</v>
      </c>
      <c r="AK116">
        <v>42.845366135945717</v>
      </c>
    </row>
    <row r="117" spans="1:37" x14ac:dyDescent="0.2">
      <c r="A117">
        <v>116</v>
      </c>
      <c r="B117">
        <v>745</v>
      </c>
      <c r="C117">
        <v>225</v>
      </c>
      <c r="D117">
        <v>0.347621175661739</v>
      </c>
      <c r="E117">
        <v>170.24609482644152</v>
      </c>
      <c r="F117">
        <v>46.861430440183867</v>
      </c>
      <c r="G117">
        <v>69.992057263334715</v>
      </c>
      <c r="H117">
        <v>65.361845791203422</v>
      </c>
      <c r="J117">
        <v>40.954993029068923</v>
      </c>
      <c r="L117">
        <v>1.6342235145122794</v>
      </c>
      <c r="M117">
        <v>12.320027605536909</v>
      </c>
      <c r="N117">
        <v>2.417239937771094</v>
      </c>
      <c r="O117">
        <v>5.812399177466423</v>
      </c>
      <c r="P117">
        <v>8.0601697810533519</v>
      </c>
      <c r="R117">
        <v>8.249925972516559</v>
      </c>
      <c r="S117">
        <v>33.940896543610016</v>
      </c>
      <c r="U117">
        <v>0.92498715496491168</v>
      </c>
      <c r="V117">
        <v>47.772526010415184</v>
      </c>
      <c r="W117">
        <v>19.908883487988327</v>
      </c>
      <c r="X117">
        <v>43.929396344151492</v>
      </c>
      <c r="Y117">
        <v>3.2440400526387343</v>
      </c>
      <c r="Z117">
        <v>17.749540677040919</v>
      </c>
      <c r="AB117">
        <v>31.045194422933118</v>
      </c>
      <c r="AE117">
        <v>6.5507415996712073</v>
      </c>
      <c r="AF117">
        <v>11.950987886562839</v>
      </c>
      <c r="AG117">
        <v>16.364306174028282</v>
      </c>
      <c r="AI117">
        <v>2.3553754892105756</v>
      </c>
      <c r="AK117">
        <v>38.722982507020419</v>
      </c>
    </row>
    <row r="118" spans="1:37" x14ac:dyDescent="0.2">
      <c r="A118">
        <v>117</v>
      </c>
      <c r="B118">
        <v>757</v>
      </c>
      <c r="C118">
        <v>210</v>
      </c>
      <c r="D118">
        <v>0.37205309906324402</v>
      </c>
      <c r="E118">
        <v>164.12238241340222</v>
      </c>
      <c r="F118">
        <v>65.586424667260516</v>
      </c>
      <c r="G118">
        <v>72.677531482869838</v>
      </c>
      <c r="H118">
        <v>68.074742233716492</v>
      </c>
      <c r="J118">
        <v>69.324868379879334</v>
      </c>
      <c r="L118">
        <v>8.4334049934422382</v>
      </c>
      <c r="M118">
        <v>13.864081724801636</v>
      </c>
      <c r="N118">
        <v>2.3410100964879956</v>
      </c>
      <c r="O118">
        <v>35.35778932597556</v>
      </c>
      <c r="P118">
        <v>13.012027934610243</v>
      </c>
      <c r="Q118">
        <v>0.18240437701492845</v>
      </c>
      <c r="R118">
        <v>18.644627413779578</v>
      </c>
      <c r="S118">
        <v>50.346429676808455</v>
      </c>
      <c r="U118">
        <v>1.4942646349810991</v>
      </c>
      <c r="V118">
        <v>47.815274015528871</v>
      </c>
      <c r="W118">
        <v>23.414880097097718</v>
      </c>
      <c r="X118">
        <v>44.405230176853784</v>
      </c>
      <c r="Y118">
        <v>9.9938882784481358</v>
      </c>
      <c r="Z118">
        <v>33.896665397986069</v>
      </c>
      <c r="AA118">
        <v>7.5977863508596712</v>
      </c>
      <c r="AB118">
        <v>37.946089599352405</v>
      </c>
      <c r="AC118">
        <v>2.1523993446598182E-3</v>
      </c>
      <c r="AD118">
        <v>9.6119307791610531</v>
      </c>
      <c r="AE118">
        <v>14.148540281688451</v>
      </c>
      <c r="AF118">
        <v>13.502232215969748</v>
      </c>
      <c r="AG118">
        <v>23.456396059990698</v>
      </c>
      <c r="AH118">
        <v>8.8730439373727616</v>
      </c>
      <c r="AI118">
        <v>2.2807584390628026</v>
      </c>
      <c r="AK118">
        <v>57.513775162737005</v>
      </c>
    </row>
    <row r="119" spans="1:37" x14ac:dyDescent="0.2">
      <c r="A119">
        <v>118</v>
      </c>
      <c r="B119">
        <v>756</v>
      </c>
      <c r="C119">
        <v>210</v>
      </c>
      <c r="D119">
        <v>0.371374921051355</v>
      </c>
      <c r="E119">
        <v>164.00402103217496</v>
      </c>
      <c r="F119">
        <v>65.217756785795231</v>
      </c>
      <c r="G119">
        <v>72.616005756082671</v>
      </c>
      <c r="H119">
        <v>68.010795743868414</v>
      </c>
      <c r="J119">
        <v>69.23759570670029</v>
      </c>
      <c r="L119">
        <v>8.3489831290892962</v>
      </c>
      <c r="M119">
        <v>13.796854239265969</v>
      </c>
      <c r="N119">
        <v>2.3406185795186842</v>
      </c>
      <c r="O119">
        <v>34.96923555235302</v>
      </c>
      <c r="P119">
        <v>12.910048588108383</v>
      </c>
      <c r="Q119">
        <v>0.11626414032861235</v>
      </c>
      <c r="R119">
        <v>18.431263937409998</v>
      </c>
      <c r="S119">
        <v>49.894859509415831</v>
      </c>
      <c r="U119">
        <v>1.4137427372590132</v>
      </c>
      <c r="V119">
        <v>47.705893627911635</v>
      </c>
      <c r="W119">
        <v>23.210967616114125</v>
      </c>
      <c r="X119">
        <v>44.202398463409111</v>
      </c>
      <c r="Y119">
        <v>9.9038789138448386</v>
      </c>
      <c r="Z119">
        <v>33.695185067485355</v>
      </c>
      <c r="AA119">
        <v>7.5108787171690858</v>
      </c>
      <c r="AB119">
        <v>37.793483035425261</v>
      </c>
      <c r="AD119">
        <v>9.4979304336819563</v>
      </c>
      <c r="AE119">
        <v>14.057939090849604</v>
      </c>
      <c r="AF119">
        <v>13.431512321329599</v>
      </c>
      <c r="AG119">
        <v>23.286518346217299</v>
      </c>
      <c r="AH119">
        <v>8.7407054328499125</v>
      </c>
      <c r="AI119">
        <v>2.2800827495501665</v>
      </c>
      <c r="AK119">
        <v>57.499385479294808</v>
      </c>
    </row>
    <row r="120" spans="1:37" x14ac:dyDescent="0.2">
      <c r="A120">
        <v>119</v>
      </c>
      <c r="B120">
        <v>755</v>
      </c>
      <c r="C120">
        <v>210</v>
      </c>
      <c r="D120">
        <v>0.37069542381948001</v>
      </c>
      <c r="E120">
        <v>163.88019574430717</v>
      </c>
      <c r="F120">
        <v>64.830880075102812</v>
      </c>
      <c r="G120">
        <v>72.551793168546027</v>
      </c>
      <c r="H120">
        <v>67.94417543044905</v>
      </c>
      <c r="J120">
        <v>69.140319126583748</v>
      </c>
      <c r="L120">
        <v>8.2618432909951824</v>
      </c>
      <c r="M120">
        <v>13.722161309971774</v>
      </c>
      <c r="N120">
        <v>2.3425980729724287</v>
      </c>
      <c r="O120">
        <v>34.57412718271059</v>
      </c>
      <c r="P120">
        <v>12.80507427072747</v>
      </c>
      <c r="Q120">
        <v>4.4796433056837379E-2</v>
      </c>
      <c r="R120">
        <v>18.206091180332525</v>
      </c>
      <c r="S120">
        <v>49.40635607510103</v>
      </c>
      <c r="U120">
        <v>1.3266171902213078</v>
      </c>
      <c r="V120">
        <v>47.584437374169099</v>
      </c>
      <c r="W120">
        <v>22.993028413617228</v>
      </c>
      <c r="X120">
        <v>43.977294511599084</v>
      </c>
      <c r="Y120">
        <v>9.8100752064550569</v>
      </c>
      <c r="Z120">
        <v>33.483451198739523</v>
      </c>
      <c r="AA120">
        <v>7.4212757876767501</v>
      </c>
      <c r="AB120">
        <v>37.627691778749067</v>
      </c>
      <c r="AD120">
        <v>9.3771899734228175</v>
      </c>
      <c r="AE120">
        <v>13.96336857513921</v>
      </c>
      <c r="AF120">
        <v>13.355698305768813</v>
      </c>
      <c r="AG120">
        <v>23.105829471465039</v>
      </c>
      <c r="AH120">
        <v>8.5998370032509222</v>
      </c>
      <c r="AI120">
        <v>2.2817772395574027</v>
      </c>
      <c r="AK120">
        <v>57.481361972488578</v>
      </c>
    </row>
    <row r="121" spans="1:37" x14ac:dyDescent="0.2">
      <c r="A121">
        <v>120</v>
      </c>
      <c r="B121">
        <v>754</v>
      </c>
      <c r="C121">
        <v>210</v>
      </c>
      <c r="D121">
        <v>0.37001460351457899</v>
      </c>
      <c r="E121">
        <v>163.71603781576084</v>
      </c>
      <c r="F121">
        <v>64.177478199407133</v>
      </c>
      <c r="G121">
        <v>72.441538928377994</v>
      </c>
      <c r="H121">
        <v>67.831526522414848</v>
      </c>
      <c r="J121">
        <v>68.9962819326811</v>
      </c>
      <c r="L121">
        <v>8.0984060601869459</v>
      </c>
      <c r="M121">
        <v>13.68455419829797</v>
      </c>
      <c r="N121">
        <v>2.3445746532957261</v>
      </c>
      <c r="O121">
        <v>33.875911706563031</v>
      </c>
      <c r="P121">
        <v>12.608021497869073</v>
      </c>
      <c r="R121">
        <v>17.92981088704386</v>
      </c>
      <c r="S121">
        <v>48.994249081472077</v>
      </c>
      <c r="U121">
        <v>1.2632544065823832</v>
      </c>
      <c r="V121">
        <v>47.534796963883778</v>
      </c>
      <c r="W121">
        <v>22.772429703365489</v>
      </c>
      <c r="X121">
        <v>43.826091360404973</v>
      </c>
      <c r="Y121">
        <v>9.6260361498777431</v>
      </c>
      <c r="Z121">
        <v>33.130783912072239</v>
      </c>
      <c r="AA121">
        <v>7.2509457537285193</v>
      </c>
      <c r="AB121">
        <v>37.509205096760368</v>
      </c>
      <c r="AD121">
        <v>9.1703264152709103</v>
      </c>
      <c r="AE121">
        <v>13.821062058291055</v>
      </c>
      <c r="AF121">
        <v>13.316967512725073</v>
      </c>
      <c r="AG121">
        <v>22.972444785548213</v>
      </c>
      <c r="AH121">
        <v>8.3294791692434309</v>
      </c>
      <c r="AI121">
        <v>2.2834679836928102</v>
      </c>
      <c r="AK121">
        <v>57.400449081052216</v>
      </c>
    </row>
    <row r="122" spans="1:37" x14ac:dyDescent="0.2">
      <c r="A122">
        <v>121</v>
      </c>
      <c r="B122">
        <v>753</v>
      </c>
      <c r="C122">
        <v>210</v>
      </c>
      <c r="D122">
        <v>0.36933245626858002</v>
      </c>
      <c r="E122">
        <v>163.48197894335553</v>
      </c>
      <c r="F122">
        <v>63.052903566643508</v>
      </c>
      <c r="G122">
        <v>72.249590741318286</v>
      </c>
      <c r="H122">
        <v>67.637196746385285</v>
      </c>
      <c r="J122">
        <v>68.751497411829391</v>
      </c>
      <c r="L122">
        <v>7.7971244137102982</v>
      </c>
      <c r="M122">
        <v>13.709070429288149</v>
      </c>
      <c r="N122">
        <v>2.3465459862451907</v>
      </c>
      <c r="O122">
        <v>32.640084223473416</v>
      </c>
      <c r="P122">
        <v>12.24758336955907</v>
      </c>
      <c r="R122">
        <v>17.547022516478826</v>
      </c>
      <c r="S122">
        <v>48.655438593598618</v>
      </c>
      <c r="U122">
        <v>1.2419805745200376</v>
      </c>
      <c r="V122">
        <v>47.589813753473905</v>
      </c>
      <c r="W122">
        <v>22.549258739344719</v>
      </c>
      <c r="X122">
        <v>43.804923156907535</v>
      </c>
      <c r="Y122">
        <v>9.2817965747636553</v>
      </c>
      <c r="Z122">
        <v>32.525405908093866</v>
      </c>
      <c r="AA122">
        <v>6.9365412922046161</v>
      </c>
      <c r="AB122">
        <v>37.443834081517835</v>
      </c>
      <c r="AD122">
        <v>8.8087267558389168</v>
      </c>
      <c r="AE122">
        <v>13.592470074421383</v>
      </c>
      <c r="AF122">
        <v>13.340355138620746</v>
      </c>
      <c r="AG122">
        <v>22.892173052233716</v>
      </c>
      <c r="AH122">
        <v>7.8282212087575989</v>
      </c>
      <c r="AI122">
        <v>2.2851526458730596</v>
      </c>
      <c r="AK122">
        <v>57.20586965334428</v>
      </c>
    </row>
    <row r="123" spans="1:37" x14ac:dyDescent="0.2">
      <c r="A123">
        <v>122</v>
      </c>
      <c r="B123">
        <v>752</v>
      </c>
      <c r="C123">
        <v>210</v>
      </c>
      <c r="D123">
        <v>0.36864897819831499</v>
      </c>
      <c r="E123">
        <v>162.9382607291744</v>
      </c>
      <c r="F123">
        <v>59.619226881299312</v>
      </c>
      <c r="G123">
        <v>71.72445932577736</v>
      </c>
      <c r="H123">
        <v>67.109696841690223</v>
      </c>
      <c r="J123">
        <v>67.416432815026909</v>
      </c>
      <c r="L123">
        <v>6.8558174860730619</v>
      </c>
      <c r="M123">
        <v>13.711621487069007</v>
      </c>
      <c r="N123">
        <v>2.3485017663447976</v>
      </c>
      <c r="O123">
        <v>29.069523550048334</v>
      </c>
      <c r="P123">
        <v>11.220771039986017</v>
      </c>
      <c r="R123">
        <v>16.205377891751457</v>
      </c>
      <c r="S123">
        <v>46.748659301365649</v>
      </c>
      <c r="U123">
        <v>1.2333449202314464</v>
      </c>
      <c r="V123">
        <v>47.464966069944523</v>
      </c>
      <c r="W123">
        <v>22.344553261322318</v>
      </c>
      <c r="X123">
        <v>43.819519203504477</v>
      </c>
      <c r="Y123">
        <v>8.2671517372274295</v>
      </c>
      <c r="Z123">
        <v>30.318402568081588</v>
      </c>
      <c r="AA123">
        <v>5.9758031490851575</v>
      </c>
      <c r="AB123">
        <v>36.576251529575167</v>
      </c>
      <c r="AD123">
        <v>7.5250708643211581</v>
      </c>
      <c r="AE123">
        <v>12.673668548030204</v>
      </c>
      <c r="AF123">
        <v>13.341762367743915</v>
      </c>
      <c r="AG123">
        <v>22.009676768568887</v>
      </c>
      <c r="AH123">
        <v>6.3050465509949882</v>
      </c>
      <c r="AI123">
        <v>2.2868209187835777</v>
      </c>
      <c r="AK123">
        <v>56.321739732729398</v>
      </c>
    </row>
    <row r="124" spans="1:37" x14ac:dyDescent="0.2">
      <c r="A124">
        <v>123</v>
      </c>
      <c r="B124">
        <v>751</v>
      </c>
      <c r="C124">
        <v>210</v>
      </c>
      <c r="D124">
        <v>0.36796416540546001</v>
      </c>
      <c r="E124">
        <v>161.8144557226191</v>
      </c>
      <c r="F124">
        <v>51.805116588068572</v>
      </c>
      <c r="G124">
        <v>70.575510801277161</v>
      </c>
      <c r="H124">
        <v>65.958392948812843</v>
      </c>
      <c r="J124">
        <v>64.008167878032282</v>
      </c>
      <c r="L124">
        <v>4.7014344629321716</v>
      </c>
      <c r="M124">
        <v>13.640977369165112</v>
      </c>
      <c r="N124">
        <v>2.3504260832458077</v>
      </c>
      <c r="O124">
        <v>21.102003962993784</v>
      </c>
      <c r="P124">
        <v>8.9463008607582122</v>
      </c>
      <c r="R124">
        <v>13.030153887413919</v>
      </c>
      <c r="S124">
        <v>41.940729868486812</v>
      </c>
      <c r="U124">
        <v>1.2324483054889761</v>
      </c>
      <c r="V124">
        <v>47.026323179898519</v>
      </c>
      <c r="W124">
        <v>22.182068517972834</v>
      </c>
      <c r="X124">
        <v>43.853459356655776</v>
      </c>
      <c r="Y124">
        <v>5.9933367827927038</v>
      </c>
      <c r="Z124">
        <v>24.986860876018444</v>
      </c>
      <c r="AA124">
        <v>3.7932462214723346</v>
      </c>
      <c r="AB124">
        <v>34.197887312658438</v>
      </c>
      <c r="AD124">
        <v>4.4352954451402899</v>
      </c>
      <c r="AE124">
        <v>10.406114255481757</v>
      </c>
      <c r="AF124">
        <v>13.269943292920159</v>
      </c>
      <c r="AG124">
        <v>19.616369901920045</v>
      </c>
      <c r="AH124">
        <v>2.8231313845041135</v>
      </c>
      <c r="AI124">
        <v>2.2884568902359153</v>
      </c>
      <c r="AK124">
        <v>54.109460146137643</v>
      </c>
    </row>
    <row r="125" spans="1:37" x14ac:dyDescent="0.2">
      <c r="A125">
        <v>124</v>
      </c>
      <c r="B125">
        <v>750</v>
      </c>
      <c r="C125">
        <v>210</v>
      </c>
      <c r="D125">
        <v>0.36727801397644499</v>
      </c>
      <c r="E125">
        <v>160.91472252628733</v>
      </c>
      <c r="F125">
        <v>45.574544587013449</v>
      </c>
      <c r="G125">
        <v>69.656476160705282</v>
      </c>
      <c r="H125">
        <v>65.037016081642093</v>
      </c>
      <c r="J125">
        <v>61.312232609106402</v>
      </c>
      <c r="L125">
        <v>2.9748752643449081</v>
      </c>
      <c r="M125">
        <v>13.565944375978612</v>
      </c>
      <c r="N125">
        <v>2.3523599401064206</v>
      </c>
      <c r="O125">
        <v>14.734803648960455</v>
      </c>
      <c r="P125">
        <v>7.1316758437842216</v>
      </c>
      <c r="R125">
        <v>10.469099770862901</v>
      </c>
      <c r="S125">
        <v>38.170164908040626</v>
      </c>
      <c r="U125">
        <v>1.2235361538316605</v>
      </c>
      <c r="V125">
        <v>46.704058979479207</v>
      </c>
      <c r="W125">
        <v>22.020496918817869</v>
      </c>
      <c r="X125">
        <v>43.864529146007392</v>
      </c>
      <c r="Y125">
        <v>4.1794870081623072</v>
      </c>
      <c r="Z125">
        <v>20.68557466417219</v>
      </c>
      <c r="AA125">
        <v>2.048663650286966</v>
      </c>
      <c r="AB125">
        <v>32.332290861584326</v>
      </c>
      <c r="AD125">
        <v>1.9293418190242138</v>
      </c>
      <c r="AE125">
        <v>8.5841868749064272</v>
      </c>
      <c r="AF125">
        <v>13.193745223368664</v>
      </c>
      <c r="AG125">
        <v>17.735842892268515</v>
      </c>
      <c r="AH125">
        <v>1.1006805484199472E-2</v>
      </c>
      <c r="AI125">
        <v>2.2901015615482105</v>
      </c>
      <c r="AK125">
        <v>52.349647378457846</v>
      </c>
    </row>
    <row r="126" spans="1:37" x14ac:dyDescent="0.2">
      <c r="A126">
        <v>125</v>
      </c>
      <c r="B126">
        <v>749</v>
      </c>
      <c r="C126">
        <v>210</v>
      </c>
      <c r="D126">
        <v>0.36659051998239101</v>
      </c>
      <c r="E126">
        <v>161.5778243153666</v>
      </c>
      <c r="F126">
        <v>46.703314510370511</v>
      </c>
      <c r="G126">
        <v>70.155074657139309</v>
      </c>
      <c r="H126">
        <v>65.533285514297376</v>
      </c>
      <c r="J126">
        <v>49.473458403352097</v>
      </c>
      <c r="L126">
        <v>1.5921510780294266</v>
      </c>
      <c r="M126">
        <v>13.21875663489598</v>
      </c>
      <c r="N126">
        <v>2.3543859867564341</v>
      </c>
      <c r="O126">
        <v>6.1512447173473666</v>
      </c>
      <c r="P126">
        <v>8.1524171680857798</v>
      </c>
      <c r="R126">
        <v>9.1954970167726131</v>
      </c>
      <c r="S126">
        <v>33.944695395965226</v>
      </c>
      <c r="U126">
        <v>1.22365618545153</v>
      </c>
      <c r="V126">
        <v>46.898764688848338</v>
      </c>
      <c r="W126">
        <v>21.580539894439518</v>
      </c>
      <c r="X126">
        <v>43.901411309245859</v>
      </c>
      <c r="Y126">
        <v>3.4970797411796481</v>
      </c>
      <c r="Z126">
        <v>17.975670216712782</v>
      </c>
      <c r="AB126">
        <v>30.650347280757344</v>
      </c>
      <c r="AD126">
        <v>0.54686741835866348</v>
      </c>
      <c r="AE126">
        <v>6.7428405974017354</v>
      </c>
      <c r="AF126">
        <v>12.845484941983038</v>
      </c>
      <c r="AG126">
        <v>16.039063499877308</v>
      </c>
      <c r="AI126">
        <v>2.2918375807110158</v>
      </c>
      <c r="AK126">
        <v>44.426851236485106</v>
      </c>
    </row>
    <row r="127" spans="1:37" x14ac:dyDescent="0.2">
      <c r="A127">
        <v>126</v>
      </c>
      <c r="B127">
        <v>748</v>
      </c>
      <c r="C127">
        <v>210</v>
      </c>
      <c r="D127">
        <v>0.36590167947901903</v>
      </c>
      <c r="E127">
        <v>161.80456228995641</v>
      </c>
      <c r="F127">
        <v>47.11938248310905</v>
      </c>
      <c r="G127">
        <v>70.165014961296649</v>
      </c>
      <c r="H127">
        <v>65.540909938581706</v>
      </c>
      <c r="J127">
        <v>42.341243734029881</v>
      </c>
      <c r="L127">
        <v>1.6112111533464959</v>
      </c>
      <c r="M127">
        <v>12.736837240119518</v>
      </c>
      <c r="N127">
        <v>2.3563805745039259</v>
      </c>
      <c r="O127">
        <v>6.0911298892703396</v>
      </c>
      <c r="P127">
        <v>8.1958185495113458</v>
      </c>
      <c r="R127">
        <v>8.8360086908310151</v>
      </c>
      <c r="S127">
        <v>34.278611208439457</v>
      </c>
      <c r="U127">
        <v>1.2087625870939636</v>
      </c>
      <c r="V127">
        <v>47.500981308186844</v>
      </c>
      <c r="W127">
        <v>21.015756022736493</v>
      </c>
      <c r="X127">
        <v>43.895467073908165</v>
      </c>
      <c r="Y127">
        <v>3.2851476187229878</v>
      </c>
      <c r="Z127">
        <v>17.627527909842318</v>
      </c>
      <c r="AB127">
        <v>30.842574372688617</v>
      </c>
      <c r="AE127">
        <v>6.5275504009891439</v>
      </c>
      <c r="AF127">
        <v>12.362461899960319</v>
      </c>
      <c r="AG127">
        <v>16.216425884612217</v>
      </c>
      <c r="AI127">
        <v>2.2935412971918825</v>
      </c>
      <c r="AK127">
        <v>39.559031041665179</v>
      </c>
    </row>
    <row r="128" spans="1:37" x14ac:dyDescent="0.2">
      <c r="A128">
        <v>127</v>
      </c>
      <c r="B128">
        <v>747</v>
      </c>
      <c r="C128">
        <v>210</v>
      </c>
      <c r="D128">
        <v>0.36521148850659502</v>
      </c>
      <c r="E128">
        <v>161.97473578025136</v>
      </c>
      <c r="F128">
        <v>47.63024152994403</v>
      </c>
      <c r="G128">
        <v>70.142714152714888</v>
      </c>
      <c r="H128">
        <v>65.516306455156027</v>
      </c>
      <c r="J128">
        <v>38.312712126888101</v>
      </c>
      <c r="L128">
        <v>1.625358311234675</v>
      </c>
      <c r="M128">
        <v>12.293679088915518</v>
      </c>
      <c r="N128">
        <v>2.3583721722827833</v>
      </c>
      <c r="O128">
        <v>6.0760792260326175</v>
      </c>
      <c r="P128">
        <v>8.1747426392376514</v>
      </c>
      <c r="R128">
        <v>8.4780079463429843</v>
      </c>
      <c r="S128">
        <v>34.660928549794271</v>
      </c>
      <c r="U128">
        <v>1.1888987905533603</v>
      </c>
      <c r="V128">
        <v>48.069465601047774</v>
      </c>
      <c r="W128">
        <v>20.49287343642343</v>
      </c>
      <c r="X128">
        <v>43.875453696966531</v>
      </c>
      <c r="Y128">
        <v>3.0804573167052363</v>
      </c>
      <c r="Z128">
        <v>17.795789922642935</v>
      </c>
      <c r="AB128">
        <v>31.336806583425574</v>
      </c>
      <c r="AE128">
        <v>6.6169024414195583</v>
      </c>
      <c r="AF128">
        <v>11.91819746919851</v>
      </c>
      <c r="AG128">
        <v>16.695792967519566</v>
      </c>
      <c r="AI128">
        <v>2.2952411780848707</v>
      </c>
      <c r="AK128">
        <v>36.761176955557609</v>
      </c>
    </row>
    <row r="129" spans="1:37" x14ac:dyDescent="0.2">
      <c r="A129">
        <v>128</v>
      </c>
      <c r="B129">
        <v>759</v>
      </c>
      <c r="C129">
        <v>195</v>
      </c>
      <c r="D129">
        <v>0.38939156130407598</v>
      </c>
      <c r="E129">
        <v>155.55435679219769</v>
      </c>
      <c r="F129">
        <v>65.859575045310109</v>
      </c>
      <c r="G129">
        <v>72.782962094584761</v>
      </c>
      <c r="H129">
        <v>68.184380637104439</v>
      </c>
      <c r="J129">
        <v>69.164231849865203</v>
      </c>
      <c r="L129">
        <v>8.5084819808583543</v>
      </c>
      <c r="M129">
        <v>13.933963065661565</v>
      </c>
      <c r="N129">
        <v>2.2962575909170218</v>
      </c>
      <c r="O129">
        <v>36.182441018728653</v>
      </c>
      <c r="P129">
        <v>13.050532595281545</v>
      </c>
      <c r="Q129">
        <v>2.0139582881288746E-2</v>
      </c>
      <c r="R129">
        <v>18.991935250505556</v>
      </c>
      <c r="S129">
        <v>50.762591337765137</v>
      </c>
      <c r="U129">
        <v>1.5799583476381687</v>
      </c>
      <c r="V129">
        <v>47.619010603763421</v>
      </c>
      <c r="W129">
        <v>24.13251173582778</v>
      </c>
      <c r="X129">
        <v>43.724550220182721</v>
      </c>
      <c r="Y129">
        <v>10.01733074389548</v>
      </c>
      <c r="Z129">
        <v>34.214724279658398</v>
      </c>
      <c r="AA129">
        <v>7.6953769253615905</v>
      </c>
      <c r="AB129">
        <v>38.188044125932578</v>
      </c>
      <c r="AC129">
        <v>1.6304892681738372E-2</v>
      </c>
      <c r="AD129">
        <v>9.7789940594364797</v>
      </c>
      <c r="AE129">
        <v>14.418734016059787</v>
      </c>
      <c r="AF129">
        <v>13.579827972016227</v>
      </c>
      <c r="AG129">
        <v>23.75211761439342</v>
      </c>
      <c r="AH129">
        <v>8.7817599876674457</v>
      </c>
      <c r="AI129">
        <v>2.2347313312567665</v>
      </c>
      <c r="AK129">
        <v>57.277370510801781</v>
      </c>
    </row>
    <row r="130" spans="1:37" x14ac:dyDescent="0.2">
      <c r="A130">
        <v>129</v>
      </c>
      <c r="B130">
        <v>758</v>
      </c>
      <c r="C130">
        <v>195</v>
      </c>
      <c r="D130">
        <v>0.38873151335887302</v>
      </c>
      <c r="E130">
        <v>155.44695980594659</v>
      </c>
      <c r="F130">
        <v>65.455325248275102</v>
      </c>
      <c r="G130">
        <v>72.712325963483252</v>
      </c>
      <c r="H130">
        <v>68.111291628777579</v>
      </c>
      <c r="J130">
        <v>69.113154070520835</v>
      </c>
      <c r="L130">
        <v>8.399323936347427</v>
      </c>
      <c r="M130">
        <v>13.931400278969274</v>
      </c>
      <c r="N130">
        <v>2.2822318761535763</v>
      </c>
      <c r="O130">
        <v>35.668977645335367</v>
      </c>
      <c r="P130">
        <v>12.916677027131735</v>
      </c>
      <c r="R130">
        <v>18.821947531845069</v>
      </c>
      <c r="S130">
        <v>50.573831958933525</v>
      </c>
      <c r="U130">
        <v>1.5514283189897418</v>
      </c>
      <c r="V130">
        <v>47.621227297346657</v>
      </c>
      <c r="W130">
        <v>24.009209335107357</v>
      </c>
      <c r="X130">
        <v>43.695476325856184</v>
      </c>
      <c r="Y130">
        <v>9.9009427764145919</v>
      </c>
      <c r="Z130">
        <v>33.99674917779388</v>
      </c>
      <c r="AA130">
        <v>7.5810987607160492</v>
      </c>
      <c r="AB130">
        <v>38.139577896806017</v>
      </c>
      <c r="AC130">
        <v>2.9822779070389529E-4</v>
      </c>
      <c r="AD130">
        <v>9.6577180823877704</v>
      </c>
      <c r="AE130">
        <v>14.325287527619517</v>
      </c>
      <c r="AF130">
        <v>13.560135858850948</v>
      </c>
      <c r="AG130">
        <v>23.672760742459047</v>
      </c>
      <c r="AH130">
        <v>8.6294191251368861</v>
      </c>
      <c r="AI130">
        <v>2.2204237768906943</v>
      </c>
      <c r="AK130">
        <v>57.25181684989586</v>
      </c>
    </row>
    <row r="131" spans="1:37" x14ac:dyDescent="0.2">
      <c r="A131">
        <v>130</v>
      </c>
      <c r="B131">
        <v>757</v>
      </c>
      <c r="C131">
        <v>195</v>
      </c>
      <c r="D131">
        <v>0.388070183953793</v>
      </c>
      <c r="E131">
        <v>155.22187383199474</v>
      </c>
      <c r="F131">
        <v>64.385183732213832</v>
      </c>
      <c r="G131">
        <v>72.529510599065645</v>
      </c>
      <c r="H131">
        <v>67.926036384177465</v>
      </c>
      <c r="J131">
        <v>68.887967368656192</v>
      </c>
      <c r="L131">
        <v>8.1136983952756019</v>
      </c>
      <c r="M131">
        <v>13.953477995979206</v>
      </c>
      <c r="N131">
        <v>2.2836947352961428</v>
      </c>
      <c r="O131">
        <v>34.489197997124037</v>
      </c>
      <c r="P131">
        <v>12.573959259309198</v>
      </c>
      <c r="R131">
        <v>18.458516034342381</v>
      </c>
      <c r="S131">
        <v>50.258504785300239</v>
      </c>
      <c r="U131">
        <v>1.5286533938017808</v>
      </c>
      <c r="V131">
        <v>47.676715849172723</v>
      </c>
      <c r="W131">
        <v>23.787768455979066</v>
      </c>
      <c r="X131">
        <v>43.670955637452835</v>
      </c>
      <c r="Y131">
        <v>9.574276221684654</v>
      </c>
      <c r="Z131">
        <v>33.420978556875582</v>
      </c>
      <c r="AA131">
        <v>7.2826779765345782</v>
      </c>
      <c r="AB131">
        <v>38.081866212928738</v>
      </c>
      <c r="AD131">
        <v>9.3151547034189264</v>
      </c>
      <c r="AE131">
        <v>14.10688103457599</v>
      </c>
      <c r="AF131">
        <v>13.580573128145813</v>
      </c>
      <c r="AG131">
        <v>23.599649499218277</v>
      </c>
      <c r="AH131">
        <v>8.1550632144236541</v>
      </c>
      <c r="AI131">
        <v>2.2216039692047773</v>
      </c>
      <c r="AK131">
        <v>57.071584936262227</v>
      </c>
    </row>
    <row r="132" spans="1:37" x14ac:dyDescent="0.2">
      <c r="A132">
        <v>131</v>
      </c>
      <c r="B132">
        <v>756</v>
      </c>
      <c r="C132">
        <v>195</v>
      </c>
      <c r="D132">
        <v>0.38740756935335302</v>
      </c>
      <c r="E132">
        <v>154.98586327268723</v>
      </c>
      <c r="F132">
        <v>63.231457826522323</v>
      </c>
      <c r="G132">
        <v>72.332005726603626</v>
      </c>
      <c r="H132">
        <v>67.726104649334516</v>
      </c>
      <c r="J132">
        <v>68.618595371383421</v>
      </c>
      <c r="L132">
        <v>7.8002917454268577</v>
      </c>
      <c r="M132">
        <v>13.979586263455056</v>
      </c>
      <c r="N132">
        <v>2.2856674093147249</v>
      </c>
      <c r="O132">
        <v>33.215057678995059</v>
      </c>
      <c r="P132">
        <v>12.202380005926004</v>
      </c>
      <c r="R132">
        <v>18.05274804630923</v>
      </c>
      <c r="S132">
        <v>49.861023170888032</v>
      </c>
      <c r="U132">
        <v>1.5115133663704263</v>
      </c>
      <c r="V132">
        <v>47.716286023728799</v>
      </c>
      <c r="W132">
        <v>23.566095814940752</v>
      </c>
      <c r="X132">
        <v>43.662685905696989</v>
      </c>
      <c r="Y132">
        <v>9.2189327864313491</v>
      </c>
      <c r="Z132">
        <v>32.794456577272868</v>
      </c>
      <c r="AA132">
        <v>6.9576196392424974</v>
      </c>
      <c r="AB132">
        <v>37.986833655284094</v>
      </c>
      <c r="AD132">
        <v>8.9410593220945991</v>
      </c>
      <c r="AE132">
        <v>13.86978137276625</v>
      </c>
      <c r="AF132">
        <v>13.605551073221184</v>
      </c>
      <c r="AG132">
        <v>23.489729712519861</v>
      </c>
      <c r="AH132">
        <v>7.6372901558555686</v>
      </c>
      <c r="AI132">
        <v>2.2232931473303559</v>
      </c>
      <c r="AK132">
        <v>56.868069161794267</v>
      </c>
    </row>
    <row r="133" spans="1:37" x14ac:dyDescent="0.2">
      <c r="A133">
        <v>132</v>
      </c>
      <c r="B133">
        <v>755</v>
      </c>
      <c r="C133">
        <v>195</v>
      </c>
      <c r="D133">
        <v>0.38674366580751801</v>
      </c>
      <c r="E133">
        <v>154.43506269274363</v>
      </c>
      <c r="F133">
        <v>59.719730504496866</v>
      </c>
      <c r="G133">
        <v>71.793210732297609</v>
      </c>
      <c r="H133">
        <v>67.184895831246024</v>
      </c>
      <c r="J133">
        <v>67.218535495872004</v>
      </c>
      <c r="L133">
        <v>6.8298217905773528</v>
      </c>
      <c r="M133">
        <v>13.982547180238484</v>
      </c>
      <c r="N133">
        <v>2.2876242854453781</v>
      </c>
      <c r="O133">
        <v>29.551704480626949</v>
      </c>
      <c r="P133">
        <v>11.148212449277203</v>
      </c>
      <c r="R133">
        <v>16.654633301839596</v>
      </c>
      <c r="S133">
        <v>47.802008949111539</v>
      </c>
      <c r="U133">
        <v>1.5093963975615938</v>
      </c>
      <c r="V133">
        <v>47.552244178561935</v>
      </c>
      <c r="W133">
        <v>23.362905190557825</v>
      </c>
      <c r="X133">
        <v>43.696841575248136</v>
      </c>
      <c r="Y133">
        <v>8.1768838436559701</v>
      </c>
      <c r="Z133">
        <v>30.536651626995184</v>
      </c>
      <c r="AA133">
        <v>5.9701965374457648</v>
      </c>
      <c r="AB133">
        <v>37.043574951083009</v>
      </c>
      <c r="AD133">
        <v>7.6269152856885913</v>
      </c>
      <c r="AE133">
        <v>12.928155421744457</v>
      </c>
      <c r="AF133">
        <v>13.607366185751669</v>
      </c>
      <c r="AG133">
        <v>22.53157050272387</v>
      </c>
      <c r="AH133">
        <v>6.0740500879232853</v>
      </c>
      <c r="AI133">
        <v>2.2249656966649387</v>
      </c>
      <c r="AK133">
        <v>55.95863008172077</v>
      </c>
    </row>
    <row r="134" spans="1:37" x14ac:dyDescent="0.2">
      <c r="A134">
        <v>133</v>
      </c>
      <c r="B134">
        <v>754</v>
      </c>
      <c r="C134">
        <v>195</v>
      </c>
      <c r="D134">
        <v>0.38607846955167302</v>
      </c>
      <c r="E134">
        <v>153.35783996675968</v>
      </c>
      <c r="F134">
        <v>52.218926475164857</v>
      </c>
      <c r="G134">
        <v>70.685499810555029</v>
      </c>
      <c r="H134">
        <v>66.074784145158731</v>
      </c>
      <c r="J134">
        <v>63.910838503961891</v>
      </c>
      <c r="L134">
        <v>4.7509980920178929</v>
      </c>
      <c r="M134">
        <v>13.915854140776046</v>
      </c>
      <c r="N134">
        <v>2.2895529120200653</v>
      </c>
      <c r="O134">
        <v>21.880544741276058</v>
      </c>
      <c r="P134">
        <v>8.9561925492328509</v>
      </c>
      <c r="R134">
        <v>13.572896782537912</v>
      </c>
      <c r="S134">
        <v>43.041555111650425</v>
      </c>
      <c r="U134">
        <v>1.5155372771892024</v>
      </c>
      <c r="V134">
        <v>47.081336653171711</v>
      </c>
      <c r="W134">
        <v>23.197934298402981</v>
      </c>
      <c r="X134">
        <v>43.751667950711884</v>
      </c>
      <c r="Y134">
        <v>5.986261770643404</v>
      </c>
      <c r="Z134">
        <v>25.437730632772499</v>
      </c>
      <c r="AA134">
        <v>3.8677773942408677</v>
      </c>
      <c r="AB134">
        <v>34.695676166285132</v>
      </c>
      <c r="AD134">
        <v>4.6692329684596992</v>
      </c>
      <c r="AE134">
        <v>10.757094430133128</v>
      </c>
      <c r="AF134">
        <v>13.539499414127942</v>
      </c>
      <c r="AG134">
        <v>20.168745490054437</v>
      </c>
      <c r="AH134">
        <v>2.7259979979479696</v>
      </c>
      <c r="AI134">
        <v>2.2266091637021734</v>
      </c>
      <c r="AK134">
        <v>53.83580747816724</v>
      </c>
    </row>
    <row r="135" spans="1:37" x14ac:dyDescent="0.2">
      <c r="A135">
        <v>134</v>
      </c>
      <c r="B135">
        <v>753</v>
      </c>
      <c r="C135">
        <v>195</v>
      </c>
      <c r="D135">
        <v>0.38541197680651201</v>
      </c>
      <c r="E135">
        <v>152.84968916905302</v>
      </c>
      <c r="F135">
        <v>47.692750479131618</v>
      </c>
      <c r="G135">
        <v>70.122275184896708</v>
      </c>
      <c r="H135">
        <v>65.509171835472259</v>
      </c>
      <c r="J135">
        <v>58.451442396783122</v>
      </c>
      <c r="L135">
        <v>2.9229003941733134</v>
      </c>
      <c r="M135">
        <v>13.802066328570779</v>
      </c>
      <c r="N135">
        <v>2.2915112427089421</v>
      </c>
      <c r="O135">
        <v>13.794473903431454</v>
      </c>
      <c r="P135">
        <v>7.8531827292933905</v>
      </c>
      <c r="R135">
        <v>11.130930432387615</v>
      </c>
      <c r="S135">
        <v>38.417853853138567</v>
      </c>
      <c r="U135">
        <v>1.5226587432737351</v>
      </c>
      <c r="V135">
        <v>46.74707452329671</v>
      </c>
      <c r="W135">
        <v>22.985409835059254</v>
      </c>
      <c r="X135">
        <v>43.809419281917428</v>
      </c>
      <c r="Y135">
        <v>4.3701075668460172</v>
      </c>
      <c r="Z135">
        <v>21.317669510793362</v>
      </c>
      <c r="AA135">
        <v>1.8810736933316512</v>
      </c>
      <c r="AB135">
        <v>32.59555068426819</v>
      </c>
      <c r="AD135">
        <v>2.3318698221812735</v>
      </c>
      <c r="AE135">
        <v>8.7889923805635295</v>
      </c>
      <c r="AF135">
        <v>13.424567901145355</v>
      </c>
      <c r="AG135">
        <v>18.053726017508961</v>
      </c>
      <c r="AI135">
        <v>2.2282815002723888</v>
      </c>
      <c r="AK135">
        <v>50.263534296509015</v>
      </c>
    </row>
    <row r="136" spans="1:37" x14ac:dyDescent="0.2">
      <c r="A136">
        <v>135</v>
      </c>
      <c r="B136">
        <v>752</v>
      </c>
      <c r="C136">
        <v>195</v>
      </c>
      <c r="D136">
        <v>0.38474418377798603</v>
      </c>
      <c r="E136">
        <v>153.13938899299785</v>
      </c>
      <c r="F136">
        <v>47.316789113301461</v>
      </c>
      <c r="G136">
        <v>70.281614625314873</v>
      </c>
      <c r="H136">
        <v>65.666136693098736</v>
      </c>
      <c r="J136">
        <v>50.048953673122099</v>
      </c>
      <c r="L136">
        <v>1.5679637238283721</v>
      </c>
      <c r="M136">
        <v>13.528492695119763</v>
      </c>
      <c r="N136">
        <v>2.2935154312885606</v>
      </c>
      <c r="O136">
        <v>6.5605655248324268</v>
      </c>
      <c r="P136">
        <v>8.1953547060678549</v>
      </c>
      <c r="R136">
        <v>9.6609877317780963</v>
      </c>
      <c r="S136">
        <v>34.537276141840827</v>
      </c>
      <c r="U136">
        <v>1.5251915067800921</v>
      </c>
      <c r="V136">
        <v>46.792799521346332</v>
      </c>
      <c r="W136">
        <v>22.61614635271544</v>
      </c>
      <c r="X136">
        <v>43.854009898569259</v>
      </c>
      <c r="Y136">
        <v>3.4613885531714397</v>
      </c>
      <c r="Z136">
        <v>18.683380313415562</v>
      </c>
      <c r="AB136">
        <v>31.080292862534833</v>
      </c>
      <c r="AD136">
        <v>0.91052702142993502</v>
      </c>
      <c r="AE136">
        <v>7.2076128341162233</v>
      </c>
      <c r="AF136">
        <v>13.149896757715766</v>
      </c>
      <c r="AG136">
        <v>16.523622602338044</v>
      </c>
      <c r="AI136">
        <v>2.2299988583133565</v>
      </c>
      <c r="AK136">
        <v>44.663099281802928</v>
      </c>
    </row>
    <row r="137" spans="1:37" x14ac:dyDescent="0.2">
      <c r="A137">
        <v>136</v>
      </c>
      <c r="B137">
        <v>751</v>
      </c>
      <c r="C137">
        <v>195</v>
      </c>
      <c r="D137">
        <v>0.38407508665723</v>
      </c>
      <c r="E137">
        <v>153.40585410410321</v>
      </c>
      <c r="F137">
        <v>47.482813530411484</v>
      </c>
      <c r="G137">
        <v>70.338084576740087</v>
      </c>
      <c r="H137">
        <v>65.720245183929961</v>
      </c>
      <c r="J137">
        <v>42.877063314492901</v>
      </c>
      <c r="L137">
        <v>1.5906109959906898</v>
      </c>
      <c r="M137">
        <v>13.069719041515436</v>
      </c>
      <c r="N137">
        <v>2.2955137934493091</v>
      </c>
      <c r="O137">
        <v>6.4237218279393966</v>
      </c>
      <c r="P137">
        <v>8.3317897080220664</v>
      </c>
      <c r="R137">
        <v>9.3573580029785415</v>
      </c>
      <c r="S137">
        <v>34.744971165176665</v>
      </c>
      <c r="U137">
        <v>1.5148244397245179</v>
      </c>
      <c r="V137">
        <v>47.344609660608114</v>
      </c>
      <c r="W137">
        <v>22.070298114748731</v>
      </c>
      <c r="X137">
        <v>43.861752809474226</v>
      </c>
      <c r="Y137">
        <v>3.2856421629493124</v>
      </c>
      <c r="Z137">
        <v>17.540273026292557</v>
      </c>
      <c r="AB137">
        <v>30.744918840609799</v>
      </c>
      <c r="AE137">
        <v>6.5233016146820866</v>
      </c>
      <c r="AF137">
        <v>12.690020106269893</v>
      </c>
      <c r="AG137">
        <v>16.173399705745119</v>
      </c>
      <c r="AI137">
        <v>2.2317095516758694</v>
      </c>
      <c r="AK137">
        <v>39.788756940325889</v>
      </c>
    </row>
    <row r="138" spans="1:37" x14ac:dyDescent="0.2">
      <c r="A138">
        <v>137</v>
      </c>
      <c r="B138">
        <v>750</v>
      </c>
      <c r="C138">
        <v>195</v>
      </c>
      <c r="D138">
        <v>0.38340468162048602</v>
      </c>
      <c r="E138">
        <v>153.5795795385236</v>
      </c>
      <c r="F138">
        <v>48.003784426433413</v>
      </c>
      <c r="G138">
        <v>70.315466022858558</v>
      </c>
      <c r="H138">
        <v>65.695278312653457</v>
      </c>
      <c r="J138">
        <v>38.6476484140222</v>
      </c>
      <c r="L138">
        <v>1.6045190353666257</v>
      </c>
      <c r="M138">
        <v>12.622784193396393</v>
      </c>
      <c r="N138">
        <v>2.2975067066476123</v>
      </c>
      <c r="O138">
        <v>6.4055434787245549</v>
      </c>
      <c r="P138">
        <v>8.310050102960135</v>
      </c>
      <c r="R138">
        <v>8.9932630116811438</v>
      </c>
      <c r="S138">
        <v>35.101104724554212</v>
      </c>
      <c r="U138">
        <v>1.4967290891900944</v>
      </c>
      <c r="V138">
        <v>47.909184021981602</v>
      </c>
      <c r="W138">
        <v>21.541315242189157</v>
      </c>
      <c r="X138">
        <v>43.847512291104124</v>
      </c>
      <c r="Y138">
        <v>3.0743886213765399</v>
      </c>
      <c r="Z138">
        <v>17.715479448475605</v>
      </c>
      <c r="AB138">
        <v>31.231817323013981</v>
      </c>
      <c r="AE138">
        <v>6.6166856081899148</v>
      </c>
      <c r="AF138">
        <v>12.241977155563564</v>
      </c>
      <c r="AG138">
        <v>16.645446415714062</v>
      </c>
      <c r="AI138">
        <v>2.2334139559762924</v>
      </c>
      <c r="AK138">
        <v>36.861171331100337</v>
      </c>
    </row>
    <row r="139" spans="1:37" x14ac:dyDescent="0.2">
      <c r="A139">
        <v>138</v>
      </c>
      <c r="B139">
        <v>765</v>
      </c>
      <c r="C139">
        <v>180</v>
      </c>
      <c r="D139">
        <v>0.409218802677841</v>
      </c>
      <c r="E139">
        <v>147.37974745303057</v>
      </c>
      <c r="F139">
        <v>67.349858379657078</v>
      </c>
      <c r="G139">
        <v>73.100325136691907</v>
      </c>
      <c r="H139">
        <v>68.51610042031912</v>
      </c>
      <c r="J139">
        <v>69.235514766104856</v>
      </c>
      <c r="L139">
        <v>8.8767413560210144</v>
      </c>
      <c r="M139">
        <v>14.178832414598752</v>
      </c>
      <c r="N139">
        <v>2.2764991777436943</v>
      </c>
      <c r="O139">
        <v>38.48518260259079</v>
      </c>
      <c r="P139">
        <v>13.452340333679656</v>
      </c>
      <c r="Q139">
        <v>4.1045317405946566E-2</v>
      </c>
      <c r="R139">
        <v>20.028701396413862</v>
      </c>
      <c r="S139">
        <v>52.542431382335209</v>
      </c>
      <c r="U139">
        <v>1.9219632226810082</v>
      </c>
      <c r="V139">
        <v>47.697484186778865</v>
      </c>
      <c r="W139">
        <v>25.527017263170734</v>
      </c>
      <c r="X139">
        <v>43.54628520379206</v>
      </c>
      <c r="Y139">
        <v>10.347444595351957</v>
      </c>
      <c r="Z139">
        <v>35.214862726699884</v>
      </c>
      <c r="AA139">
        <v>8.0967454820536293</v>
      </c>
      <c r="AB139">
        <v>38.886645013901713</v>
      </c>
      <c r="AC139">
        <v>6.3389282601899216E-2</v>
      </c>
      <c r="AD139">
        <v>10.316431837399243</v>
      </c>
      <c r="AE139">
        <v>15.008488637898004</v>
      </c>
      <c r="AF139">
        <v>13.869847527811247</v>
      </c>
      <c r="AG139">
        <v>24.596828745286967</v>
      </c>
      <c r="AH139">
        <v>9.1116302316098761</v>
      </c>
      <c r="AI139">
        <v>2.2148237327506202</v>
      </c>
      <c r="AK139">
        <v>57.041731459691292</v>
      </c>
    </row>
    <row r="140" spans="1:37" x14ac:dyDescent="0.2">
      <c r="A140">
        <v>139</v>
      </c>
      <c r="B140">
        <v>764</v>
      </c>
      <c r="C140">
        <v>180</v>
      </c>
      <c r="D140">
        <v>0.40858169020874802</v>
      </c>
      <c r="E140">
        <v>147.27651545948328</v>
      </c>
      <c r="F140">
        <v>67.008838555140585</v>
      </c>
      <c r="G140">
        <v>73.041484228450358</v>
      </c>
      <c r="H140">
        <v>68.45472297557771</v>
      </c>
      <c r="J140">
        <v>69.178621104576521</v>
      </c>
      <c r="L140">
        <v>8.7909150715206792</v>
      </c>
      <c r="M140">
        <v>14.146787478175561</v>
      </c>
      <c r="N140">
        <v>2.2674241321001984</v>
      </c>
      <c r="O140">
        <v>38.071755625527537</v>
      </c>
      <c r="P140">
        <v>13.346974420665974</v>
      </c>
      <c r="R140">
        <v>19.85381825610143</v>
      </c>
      <c r="S140">
        <v>52.247169416553561</v>
      </c>
      <c r="U140">
        <v>1.8712203510944247</v>
      </c>
      <c r="V140">
        <v>47.64792142964837</v>
      </c>
      <c r="W140">
        <v>25.375396624889685</v>
      </c>
      <c r="X140">
        <v>43.44413292431463</v>
      </c>
      <c r="Y140">
        <v>10.25742204758239</v>
      </c>
      <c r="Z140">
        <v>35.029034882585009</v>
      </c>
      <c r="AA140">
        <v>8.0075821090815378</v>
      </c>
      <c r="AB140">
        <v>38.792524273600968</v>
      </c>
      <c r="AC140">
        <v>5.2331110226115037E-2</v>
      </c>
      <c r="AD140">
        <v>10.214603967881047</v>
      </c>
      <c r="AE140">
        <v>14.92474754397781</v>
      </c>
      <c r="AF140">
        <v>13.825620088270806</v>
      </c>
      <c r="AG140">
        <v>24.476772826613217</v>
      </c>
      <c r="AH140">
        <v>8.9906929215903073</v>
      </c>
      <c r="AI140">
        <v>2.2054724489239823</v>
      </c>
      <c r="AK140">
        <v>57.031303974635073</v>
      </c>
    </row>
    <row r="141" spans="1:37" x14ac:dyDescent="0.2">
      <c r="A141">
        <v>140</v>
      </c>
      <c r="B141">
        <v>763</v>
      </c>
      <c r="C141">
        <v>180</v>
      </c>
      <c r="D141">
        <v>0.40794334797085602</v>
      </c>
      <c r="E141">
        <v>147.16690206332041</v>
      </c>
      <c r="F141">
        <v>66.553152762429946</v>
      </c>
      <c r="G141">
        <v>72.960950044673297</v>
      </c>
      <c r="H141">
        <v>68.371665130058673</v>
      </c>
      <c r="J141">
        <v>69.130960708402753</v>
      </c>
      <c r="L141">
        <v>8.6626206529764946</v>
      </c>
      <c r="M141">
        <v>14.169666472366393</v>
      </c>
      <c r="N141">
        <v>2.2494182976256147</v>
      </c>
      <c r="O141">
        <v>37.472783626908992</v>
      </c>
      <c r="P141">
        <v>13.189298724610351</v>
      </c>
      <c r="R141">
        <v>19.689117139515172</v>
      </c>
      <c r="S141">
        <v>52.148823457941724</v>
      </c>
      <c r="U141">
        <v>1.8628986620514316</v>
      </c>
      <c r="V141">
        <v>47.695282834747701</v>
      </c>
      <c r="W141">
        <v>25.275142676452347</v>
      </c>
      <c r="X141">
        <v>43.481405286664838</v>
      </c>
      <c r="Y141">
        <v>10.119233404209806</v>
      </c>
      <c r="Z141">
        <v>34.782697059018069</v>
      </c>
      <c r="AA141">
        <v>7.8727062444867553</v>
      </c>
      <c r="AB141">
        <v>38.781194741737167</v>
      </c>
      <c r="AC141">
        <v>3.2342295241428072E-2</v>
      </c>
      <c r="AD141">
        <v>10.077667779074694</v>
      </c>
      <c r="AE141">
        <v>14.822038057612259</v>
      </c>
      <c r="AF141">
        <v>13.827386065735654</v>
      </c>
      <c r="AG141">
        <v>24.430579802106426</v>
      </c>
      <c r="AH141">
        <v>8.8124293253055814</v>
      </c>
      <c r="AI141">
        <v>2.1871895600634184</v>
      </c>
      <c r="AK141">
        <v>56.99307527545384</v>
      </c>
    </row>
    <row r="142" spans="1:37" x14ac:dyDescent="0.2">
      <c r="A142">
        <v>141</v>
      </c>
      <c r="B142">
        <v>762</v>
      </c>
      <c r="C142">
        <v>180</v>
      </c>
      <c r="D142">
        <v>0.40730377240013699</v>
      </c>
      <c r="E142">
        <v>147.0578505174972</v>
      </c>
      <c r="F142">
        <v>66.098364288151657</v>
      </c>
      <c r="G142">
        <v>72.88038854129546</v>
      </c>
      <c r="H142">
        <v>68.288592860214209</v>
      </c>
      <c r="J142">
        <v>69.081704296537566</v>
      </c>
      <c r="L142">
        <v>8.5337174560930755</v>
      </c>
      <c r="M142">
        <v>14.192857004540121</v>
      </c>
      <c r="N142">
        <v>2.2313293229017837</v>
      </c>
      <c r="O142">
        <v>36.873345158602689</v>
      </c>
      <c r="P142">
        <v>13.031492828194292</v>
      </c>
      <c r="R142">
        <v>19.522724840293641</v>
      </c>
      <c r="S142">
        <v>52.044810224452746</v>
      </c>
      <c r="U142">
        <v>1.8552468404475135</v>
      </c>
      <c r="V142">
        <v>47.740523279240229</v>
      </c>
      <c r="W142">
        <v>25.176001898487154</v>
      </c>
      <c r="X142">
        <v>43.520895768650355</v>
      </c>
      <c r="Y142">
        <v>9.9808687339991682</v>
      </c>
      <c r="Z142">
        <v>34.536337165542662</v>
      </c>
      <c r="AA142">
        <v>7.7375565822688008</v>
      </c>
      <c r="AB142">
        <v>38.766698354896228</v>
      </c>
      <c r="AC142">
        <v>1.2270485788696607E-2</v>
      </c>
      <c r="AD142">
        <v>9.9405001229256662</v>
      </c>
      <c r="AE142">
        <v>14.719343764057504</v>
      </c>
      <c r="AF142">
        <v>13.829380721666324</v>
      </c>
      <c r="AG142">
        <v>24.381139262717973</v>
      </c>
      <c r="AH142">
        <v>8.633874318364736</v>
      </c>
      <c r="AI142">
        <v>2.1688227129141997</v>
      </c>
      <c r="AK142">
        <v>56.954806174989891</v>
      </c>
    </row>
    <row r="143" spans="1:37" x14ac:dyDescent="0.2">
      <c r="A143">
        <v>142</v>
      </c>
      <c r="B143">
        <v>761</v>
      </c>
      <c r="C143">
        <v>180</v>
      </c>
      <c r="D143">
        <v>0.40666295991877599</v>
      </c>
      <c r="E143">
        <v>146.90453918673671</v>
      </c>
      <c r="F143">
        <v>65.405037507739763</v>
      </c>
      <c r="G143">
        <v>72.759923930320923</v>
      </c>
      <c r="H143">
        <v>68.165630398606439</v>
      </c>
      <c r="J143">
        <v>68.9605994297861</v>
      </c>
      <c r="L143">
        <v>8.3429470109908141</v>
      </c>
      <c r="M143">
        <v>14.215750869626955</v>
      </c>
      <c r="N143">
        <v>2.2208271667271529</v>
      </c>
      <c r="O143">
        <v>36.0466790795561</v>
      </c>
      <c r="P143">
        <v>12.801475136510353</v>
      </c>
      <c r="R143">
        <v>19.276382254814187</v>
      </c>
      <c r="S143">
        <v>51.846621953274422</v>
      </c>
      <c r="U143">
        <v>1.8426566282168251</v>
      </c>
      <c r="V143">
        <v>47.785625350806122</v>
      </c>
      <c r="W143">
        <v>25.029856398185309</v>
      </c>
      <c r="X143">
        <v>43.538642799712846</v>
      </c>
      <c r="Y143">
        <v>9.768926117861799</v>
      </c>
      <c r="Z143">
        <v>34.161046650330597</v>
      </c>
      <c r="AA143">
        <v>7.5384693296816625</v>
      </c>
      <c r="AB143">
        <v>38.728825155447545</v>
      </c>
      <c r="AD143">
        <v>9.7230644400835686</v>
      </c>
      <c r="AE143">
        <v>14.571159725101552</v>
      </c>
      <c r="AF143">
        <v>13.83866581531445</v>
      </c>
      <c r="AG143">
        <v>24.315911215418076</v>
      </c>
      <c r="AH143">
        <v>8.3398075502283096</v>
      </c>
      <c r="AI143">
        <v>2.1580418644389048</v>
      </c>
      <c r="AK143">
        <v>56.861231064806795</v>
      </c>
    </row>
    <row r="144" spans="1:37" x14ac:dyDescent="0.2">
      <c r="A144">
        <v>143</v>
      </c>
      <c r="B144">
        <v>760</v>
      </c>
      <c r="C144">
        <v>180</v>
      </c>
      <c r="D144">
        <v>0.40602090693510101</v>
      </c>
      <c r="E144">
        <v>146.67338073525244</v>
      </c>
      <c r="F144">
        <v>64.278755810463949</v>
      </c>
      <c r="G144">
        <v>72.566772371097741</v>
      </c>
      <c r="H144">
        <v>67.969993925181498</v>
      </c>
      <c r="J144">
        <v>68.698874862525969</v>
      </c>
      <c r="L144">
        <v>8.0369956123142146</v>
      </c>
      <c r="M144">
        <v>14.240347648317305</v>
      </c>
      <c r="N144">
        <v>2.2228020916002427</v>
      </c>
      <c r="O144">
        <v>34.799659711562093</v>
      </c>
      <c r="P144">
        <v>12.438568253106947</v>
      </c>
      <c r="R144">
        <v>18.877912131341155</v>
      </c>
      <c r="S144">
        <v>51.451837305917273</v>
      </c>
      <c r="U144">
        <v>1.825065103040757</v>
      </c>
      <c r="V144">
        <v>47.822450010800068</v>
      </c>
      <c r="W144">
        <v>24.807622520933919</v>
      </c>
      <c r="X144">
        <v>43.529708246107575</v>
      </c>
      <c r="Y144">
        <v>9.4220928015633216</v>
      </c>
      <c r="Z144">
        <v>33.548762073068787</v>
      </c>
      <c r="AA144">
        <v>7.2212208651044643</v>
      </c>
      <c r="AB144">
        <v>38.633069156665428</v>
      </c>
      <c r="AD144">
        <v>9.3583643837435488</v>
      </c>
      <c r="AE144">
        <v>14.338814967852322</v>
      </c>
      <c r="AF144">
        <v>13.86213119540427</v>
      </c>
      <c r="AG144">
        <v>24.205279941799642</v>
      </c>
      <c r="AH144">
        <v>7.8350012179224038</v>
      </c>
      <c r="AI144">
        <v>2.1597372752977395</v>
      </c>
      <c r="AK144">
        <v>56.665114990838916</v>
      </c>
    </row>
    <row r="145" spans="1:37" x14ac:dyDescent="0.2">
      <c r="A145">
        <v>144</v>
      </c>
      <c r="B145">
        <v>759</v>
      </c>
      <c r="C145">
        <v>180</v>
      </c>
      <c r="D145">
        <v>0.40537760984353299</v>
      </c>
      <c r="E145">
        <v>146.43057528212694</v>
      </c>
      <c r="F145">
        <v>63.054647765886891</v>
      </c>
      <c r="G145">
        <v>72.356881355270573</v>
      </c>
      <c r="H145">
        <v>67.757630952221163</v>
      </c>
      <c r="J145">
        <v>68.37989256693524</v>
      </c>
      <c r="L145">
        <v>7.6981896579029998</v>
      </c>
      <c r="M145">
        <v>14.269236484841288</v>
      </c>
      <c r="N145">
        <v>2.2247756086200052</v>
      </c>
      <c r="O145">
        <v>33.440995217135963</v>
      </c>
      <c r="P145">
        <v>12.042188694787045</v>
      </c>
      <c r="R145">
        <v>18.427998739101373</v>
      </c>
      <c r="S145">
        <v>50.946739717323034</v>
      </c>
      <c r="U145">
        <v>1.8145758108635384</v>
      </c>
      <c r="V145">
        <v>47.836525550986039</v>
      </c>
      <c r="W145">
        <v>24.588636640788057</v>
      </c>
      <c r="X145">
        <v>43.541834951753657</v>
      </c>
      <c r="Y145">
        <v>9.0420454449557912</v>
      </c>
      <c r="Z145">
        <v>32.873741669356427</v>
      </c>
      <c r="AA145">
        <v>6.8723382876207175</v>
      </c>
      <c r="AB145">
        <v>38.484276667184503</v>
      </c>
      <c r="AD145">
        <v>8.9554118399117311</v>
      </c>
      <c r="AE145">
        <v>14.082152295773854</v>
      </c>
      <c r="AF145">
        <v>13.889887522814965</v>
      </c>
      <c r="AG145">
        <v>24.04161326743645</v>
      </c>
      <c r="AH145">
        <v>7.2802414555455153</v>
      </c>
      <c r="AI145">
        <v>2.1614304547533201</v>
      </c>
      <c r="AK145">
        <v>56.440363489761125</v>
      </c>
    </row>
    <row r="146" spans="1:37" x14ac:dyDescent="0.2">
      <c r="A146">
        <v>145</v>
      </c>
      <c r="B146">
        <v>758</v>
      </c>
      <c r="C146">
        <v>180</v>
      </c>
      <c r="D146">
        <v>0.40473306502448703</v>
      </c>
      <c r="E146">
        <v>145.61602874863536</v>
      </c>
      <c r="F146">
        <v>57.531463162618145</v>
      </c>
      <c r="G146">
        <v>71.52671742014968</v>
      </c>
      <c r="H146">
        <v>66.92500803771344</v>
      </c>
      <c r="J146">
        <v>65.980111539892619</v>
      </c>
      <c r="L146">
        <v>6.1608047064358251</v>
      </c>
      <c r="M146">
        <v>14.244611474606518</v>
      </c>
      <c r="N146">
        <v>2.2267207954299861</v>
      </c>
      <c r="O146">
        <v>27.734858965459583</v>
      </c>
      <c r="P146">
        <v>10.405242636285145</v>
      </c>
      <c r="R146">
        <v>16.155382317313293</v>
      </c>
      <c r="S146">
        <v>47.36515930072887</v>
      </c>
      <c r="U146">
        <v>1.8262295408585527</v>
      </c>
      <c r="V146">
        <v>47.464181397293096</v>
      </c>
      <c r="W146">
        <v>24.401913472576357</v>
      </c>
      <c r="X146">
        <v>43.614969702118962</v>
      </c>
      <c r="Y146">
        <v>7.4128591654679532</v>
      </c>
      <c r="Z146">
        <v>29.215254371794003</v>
      </c>
      <c r="AA146">
        <v>5.3166364878898316</v>
      </c>
      <c r="AB146">
        <v>36.760867847260393</v>
      </c>
      <c r="AD146">
        <v>6.8329154127167255</v>
      </c>
      <c r="AE146">
        <v>12.530763856799346</v>
      </c>
      <c r="AF146">
        <v>13.864101976155238</v>
      </c>
      <c r="AG146">
        <v>22.303304436082549</v>
      </c>
      <c r="AH146">
        <v>4.8199054932106815</v>
      </c>
      <c r="AI146">
        <v>2.1630944786111117</v>
      </c>
      <c r="AK146">
        <v>54.921682257034</v>
      </c>
    </row>
    <row r="147" spans="1:37" x14ac:dyDescent="0.2">
      <c r="A147">
        <v>146</v>
      </c>
      <c r="B147">
        <v>757</v>
      </c>
      <c r="C147">
        <v>180</v>
      </c>
      <c r="D147">
        <v>0.40408726884434598</v>
      </c>
      <c r="E147">
        <v>144.65036779261126</v>
      </c>
      <c r="F147">
        <v>50.809937330616329</v>
      </c>
      <c r="G147">
        <v>70.529382326064862</v>
      </c>
      <c r="H147">
        <v>65.925226962704912</v>
      </c>
      <c r="J147">
        <v>62.996707647312782</v>
      </c>
      <c r="L147">
        <v>4.2873721880877929</v>
      </c>
      <c r="M147">
        <v>14.179133712060592</v>
      </c>
      <c r="N147">
        <v>2.2286561877202185</v>
      </c>
      <c r="O147">
        <v>20.837632459396541</v>
      </c>
      <c r="P147">
        <v>8.4339521564910669</v>
      </c>
      <c r="R147">
        <v>13.360963721735699</v>
      </c>
      <c r="S147">
        <v>43.011077690488783</v>
      </c>
      <c r="U147">
        <v>1.833907419031626</v>
      </c>
      <c r="V147">
        <v>47.012471977032362</v>
      </c>
      <c r="W147">
        <v>24.23520253337972</v>
      </c>
      <c r="X147">
        <v>43.674949666417874</v>
      </c>
      <c r="Y147">
        <v>5.443468345975921</v>
      </c>
      <c r="Z147">
        <v>24.645379175313732</v>
      </c>
      <c r="AA147">
        <v>3.4257789822533522</v>
      </c>
      <c r="AB147">
        <v>34.618857034835571</v>
      </c>
      <c r="AD147">
        <v>4.1762942899745017</v>
      </c>
      <c r="AE147">
        <v>10.584789281845101</v>
      </c>
      <c r="AF147">
        <v>13.797454191137271</v>
      </c>
      <c r="AG147">
        <v>20.146386327246965</v>
      </c>
      <c r="AH147">
        <v>1.8047116835156907</v>
      </c>
      <c r="AI147">
        <v>2.1647478807232985</v>
      </c>
      <c r="AK147">
        <v>53.021890849678904</v>
      </c>
    </row>
    <row r="148" spans="1:37" x14ac:dyDescent="0.2">
      <c r="A148">
        <v>147</v>
      </c>
      <c r="B148">
        <v>756</v>
      </c>
      <c r="C148">
        <v>180</v>
      </c>
      <c r="D148">
        <v>0.40344021765534699</v>
      </c>
      <c r="E148">
        <v>144.52065373651465</v>
      </c>
      <c r="F148">
        <v>48.150141777626395</v>
      </c>
      <c r="G148">
        <v>70.312341464105316</v>
      </c>
      <c r="H148">
        <v>65.70575313904348</v>
      </c>
      <c r="J148">
        <v>55.932109626175283</v>
      </c>
      <c r="L148">
        <v>2.5249670343150137</v>
      </c>
      <c r="M148">
        <v>14.029373723616663</v>
      </c>
      <c r="N148">
        <v>2.230636647717644</v>
      </c>
      <c r="O148">
        <v>12.118682647781013</v>
      </c>
      <c r="P148">
        <v>8.0233029224099361</v>
      </c>
      <c r="R148">
        <v>11.206821827679663</v>
      </c>
      <c r="S148">
        <v>38.026001224227123</v>
      </c>
      <c r="U148">
        <v>1.8548998401635692</v>
      </c>
      <c r="V148">
        <v>46.691120687945151</v>
      </c>
      <c r="W148">
        <v>23.975399313905392</v>
      </c>
      <c r="X148">
        <v>43.773272405140936</v>
      </c>
      <c r="Y148">
        <v>4.1064785845790572</v>
      </c>
      <c r="Z148">
        <v>21.072372510486019</v>
      </c>
      <c r="AA148">
        <v>1.4194420387038917</v>
      </c>
      <c r="AB148">
        <v>32.514952310036477</v>
      </c>
      <c r="AD148">
        <v>2.1951010903766797</v>
      </c>
      <c r="AE148">
        <v>8.6876715048982387</v>
      </c>
      <c r="AF148">
        <v>13.646569561988047</v>
      </c>
      <c r="AG148">
        <v>18.027621889177542</v>
      </c>
      <c r="AI148">
        <v>2.1664455214781579</v>
      </c>
      <c r="AK148">
        <v>48.404835150133017</v>
      </c>
    </row>
    <row r="149" spans="1:37" x14ac:dyDescent="0.2">
      <c r="A149">
        <v>148</v>
      </c>
      <c r="B149">
        <v>755</v>
      </c>
      <c r="C149">
        <v>180</v>
      </c>
      <c r="D149">
        <v>0.40279190779555302</v>
      </c>
      <c r="E149">
        <v>144.8139428188673</v>
      </c>
      <c r="F149">
        <v>47.809444071108395</v>
      </c>
      <c r="G149">
        <v>70.460835946726746</v>
      </c>
      <c r="H149">
        <v>65.851827699983161</v>
      </c>
      <c r="J149">
        <v>48.273450169729855</v>
      </c>
      <c r="L149">
        <v>1.5523593563079376</v>
      </c>
      <c r="M149">
        <v>13.731058418380167</v>
      </c>
      <c r="N149">
        <v>2.2326410005047994</v>
      </c>
      <c r="O149">
        <v>6.9505878922263351</v>
      </c>
      <c r="P149">
        <v>8.3437560066981025</v>
      </c>
      <c r="R149">
        <v>10.087987262062208</v>
      </c>
      <c r="S149">
        <v>35.171302126761631</v>
      </c>
      <c r="U149">
        <v>1.8592330875284235</v>
      </c>
      <c r="V149">
        <v>46.81079224167226</v>
      </c>
      <c r="W149">
        <v>23.578605106012429</v>
      </c>
      <c r="X149">
        <v>43.823815298352436</v>
      </c>
      <c r="Y149">
        <v>3.4021863976439475</v>
      </c>
      <c r="Z149">
        <v>18.537937366308903</v>
      </c>
      <c r="AB149">
        <v>31.070330311196695</v>
      </c>
      <c r="AD149">
        <v>0.85063858182027097</v>
      </c>
      <c r="AE149">
        <v>7.1669845976109023</v>
      </c>
      <c r="AF149">
        <v>13.34715382849185</v>
      </c>
      <c r="AG149">
        <v>16.568166591203372</v>
      </c>
      <c r="AI149">
        <v>2.1681662241197963</v>
      </c>
      <c r="AK149">
        <v>43.297409883629676</v>
      </c>
    </row>
    <row r="150" spans="1:37" x14ac:dyDescent="0.2">
      <c r="A150">
        <v>149</v>
      </c>
      <c r="B150">
        <v>754</v>
      </c>
      <c r="C150">
        <v>180</v>
      </c>
      <c r="D150">
        <v>0.402142335588766</v>
      </c>
      <c r="E150">
        <v>145.06838309553908</v>
      </c>
      <c r="F150">
        <v>47.998223388919989</v>
      </c>
      <c r="G150">
        <v>70.511003366366737</v>
      </c>
      <c r="H150">
        <v>65.899588258799412</v>
      </c>
      <c r="J150">
        <v>42.045716745701299</v>
      </c>
      <c r="L150">
        <v>1.5731309738309356</v>
      </c>
      <c r="M150">
        <v>13.285816769280073</v>
      </c>
      <c r="N150">
        <v>2.2346398853113203</v>
      </c>
      <c r="O150">
        <v>6.8205551076153714</v>
      </c>
      <c r="P150">
        <v>8.4675572561849677</v>
      </c>
      <c r="R150">
        <v>9.7853439940963725</v>
      </c>
      <c r="S150">
        <v>35.351771466290856</v>
      </c>
      <c r="U150">
        <v>1.8496681559805286</v>
      </c>
      <c r="V150">
        <v>47.338244460277657</v>
      </c>
      <c r="W150">
        <v>23.04432842360076</v>
      </c>
      <c r="X150">
        <v>43.834640497448824</v>
      </c>
      <c r="Y150">
        <v>3.225379849753415</v>
      </c>
      <c r="Z150">
        <v>17.506516453751477</v>
      </c>
      <c r="AB150">
        <v>30.77943382316835</v>
      </c>
      <c r="AE150">
        <v>6.5484575390060318</v>
      </c>
      <c r="AF150">
        <v>12.900806608419787</v>
      </c>
      <c r="AG150">
        <v>16.262433863339314</v>
      </c>
      <c r="AI150">
        <v>2.1698806260391863</v>
      </c>
      <c r="AK150">
        <v>39.060045273851763</v>
      </c>
    </row>
    <row r="151" spans="1:37" x14ac:dyDescent="0.2">
      <c r="A151">
        <v>150</v>
      </c>
      <c r="B151">
        <v>753</v>
      </c>
      <c r="C151">
        <v>180</v>
      </c>
      <c r="D151">
        <v>0.401491497344444</v>
      </c>
      <c r="E151">
        <v>145.23831837075161</v>
      </c>
      <c r="F151">
        <v>48.509659543764229</v>
      </c>
      <c r="G151">
        <v>70.488273113887544</v>
      </c>
      <c r="H151">
        <v>65.874464227234256</v>
      </c>
      <c r="J151">
        <v>38.143445024596033</v>
      </c>
      <c r="L151">
        <v>1.5863826871885029</v>
      </c>
      <c r="M151">
        <v>12.848073091219245</v>
      </c>
      <c r="N151">
        <v>2.2366339728192632</v>
      </c>
      <c r="O151">
        <v>6.7970346682472025</v>
      </c>
      <c r="P151">
        <v>8.4455661460666391</v>
      </c>
      <c r="R151">
        <v>9.4260927194819804</v>
      </c>
      <c r="S151">
        <v>35.682105371925125</v>
      </c>
      <c r="U151">
        <v>1.8322546868033402</v>
      </c>
      <c r="V151">
        <v>47.886027532495454</v>
      </c>
      <c r="W151">
        <v>22.522751668365846</v>
      </c>
      <c r="X151">
        <v>43.823139429876754</v>
      </c>
      <c r="Y151">
        <v>3.0164493714547311</v>
      </c>
      <c r="Z151">
        <v>17.678703204948008</v>
      </c>
      <c r="AB151">
        <v>31.248316409707375</v>
      </c>
      <c r="AE151">
        <v>6.6402929879527193</v>
      </c>
      <c r="AF151">
        <v>12.461952892978362</v>
      </c>
      <c r="AG151">
        <v>16.716477945973697</v>
      </c>
      <c r="AI151">
        <v>2.1715893960789052</v>
      </c>
      <c r="AK151">
        <v>36.356481302672236</v>
      </c>
    </row>
    <row r="152" spans="1:37" x14ac:dyDescent="0.2">
      <c r="A152">
        <v>151</v>
      </c>
      <c r="B152">
        <v>771</v>
      </c>
      <c r="C152">
        <v>165</v>
      </c>
      <c r="D152">
        <v>0.42881817746492201</v>
      </c>
      <c r="E152">
        <v>139.18549351492399</v>
      </c>
      <c r="F152">
        <v>68.788840286786382</v>
      </c>
      <c r="G152">
        <v>73.414632512335743</v>
      </c>
      <c r="H152">
        <v>68.84530445502287</v>
      </c>
      <c r="J152">
        <v>69.310448860625968</v>
      </c>
      <c r="L152">
        <v>9.2304237653838843</v>
      </c>
      <c r="M152">
        <v>14.415859289681864</v>
      </c>
      <c r="N152">
        <v>2.25182587584673</v>
      </c>
      <c r="O152">
        <v>40.793220651372181</v>
      </c>
      <c r="P152">
        <v>13.84346167433319</v>
      </c>
      <c r="Q152">
        <v>3.7011717378398472E-2</v>
      </c>
      <c r="R152">
        <v>21.035145799114751</v>
      </c>
      <c r="S152">
        <v>54.311923611574066</v>
      </c>
      <c r="U152">
        <v>2.2760799895032151</v>
      </c>
      <c r="V152">
        <v>47.74925478718783</v>
      </c>
      <c r="W152">
        <v>26.953049115626253</v>
      </c>
      <c r="X152">
        <v>43.3086221053454</v>
      </c>
      <c r="Y152">
        <v>10.667234069828455</v>
      </c>
      <c r="Z152">
        <v>36.213624553354165</v>
      </c>
      <c r="AA152">
        <v>8.4844186998140945</v>
      </c>
      <c r="AB152">
        <v>39.587472034087703</v>
      </c>
      <c r="AC152">
        <v>0.10558019826031785</v>
      </c>
      <c r="AD152">
        <v>10.845737689412715</v>
      </c>
      <c r="AE152">
        <v>15.604173123027898</v>
      </c>
      <c r="AF152">
        <v>14.147149053850631</v>
      </c>
      <c r="AG152">
        <v>25.438695709437408</v>
      </c>
      <c r="AH152">
        <v>9.4317439149738842</v>
      </c>
      <c r="AI152">
        <v>2.1899854092194611</v>
      </c>
      <c r="AK152">
        <v>56.790785293148915</v>
      </c>
    </row>
    <row r="153" spans="1:37" x14ac:dyDescent="0.2">
      <c r="A153">
        <v>152</v>
      </c>
      <c r="B153">
        <v>770</v>
      </c>
      <c r="C153">
        <v>165</v>
      </c>
      <c r="D153">
        <v>0.428203518190098</v>
      </c>
      <c r="E153">
        <v>139.08213907223234</v>
      </c>
      <c r="F153">
        <v>68.438808467009025</v>
      </c>
      <c r="G153">
        <v>73.353951090771659</v>
      </c>
      <c r="H153">
        <v>68.782003557880827</v>
      </c>
      <c r="J153">
        <v>69.252932922676521</v>
      </c>
      <c r="L153">
        <v>9.1414234332536388</v>
      </c>
      <c r="M153">
        <v>14.388464678254302</v>
      </c>
      <c r="N153">
        <v>2.2421735273666537</v>
      </c>
      <c r="O153">
        <v>40.363699816008875</v>
      </c>
      <c r="P153">
        <v>13.733786812084148</v>
      </c>
      <c r="R153">
        <v>20.861745888655964</v>
      </c>
      <c r="S153">
        <v>54.033188051637204</v>
      </c>
      <c r="U153">
        <v>2.2293646619575793</v>
      </c>
      <c r="V153">
        <v>47.708548373797015</v>
      </c>
      <c r="W153">
        <v>26.804870323319275</v>
      </c>
      <c r="X153">
        <v>43.219527671372958</v>
      </c>
      <c r="Y153">
        <v>10.573376337579692</v>
      </c>
      <c r="Z153">
        <v>36.022311213884755</v>
      </c>
      <c r="AA153">
        <v>8.391639241575227</v>
      </c>
      <c r="AB153">
        <v>39.499922837220673</v>
      </c>
      <c r="AC153">
        <v>9.3942530561643062E-2</v>
      </c>
      <c r="AD153">
        <v>10.741565076921036</v>
      </c>
      <c r="AE153">
        <v>15.518432459716339</v>
      </c>
      <c r="AF153">
        <v>14.106990945195733</v>
      </c>
      <c r="AG153">
        <v>25.324639034236132</v>
      </c>
      <c r="AH153">
        <v>9.3061766948746119</v>
      </c>
      <c r="AI153">
        <v>2.1800623578836067</v>
      </c>
      <c r="AK153">
        <v>56.777678391113035</v>
      </c>
    </row>
    <row r="154" spans="1:37" x14ac:dyDescent="0.2">
      <c r="A154">
        <v>153</v>
      </c>
      <c r="B154">
        <v>769</v>
      </c>
      <c r="C154">
        <v>165</v>
      </c>
      <c r="D154">
        <v>0.42758767931679997</v>
      </c>
      <c r="E154">
        <v>138.97355594765096</v>
      </c>
      <c r="F154">
        <v>67.98759688557351</v>
      </c>
      <c r="G154">
        <v>73.274105556519444</v>
      </c>
      <c r="H154">
        <v>68.699551301945206</v>
      </c>
      <c r="J154">
        <v>69.20489756008503</v>
      </c>
      <c r="L154">
        <v>9.0149073002484474</v>
      </c>
      <c r="M154">
        <v>14.410241383501651</v>
      </c>
      <c r="N154">
        <v>2.2245144924658149</v>
      </c>
      <c r="O154">
        <v>39.769298709107183</v>
      </c>
      <c r="P154">
        <v>13.577784460876039</v>
      </c>
      <c r="R154">
        <v>20.697923266537366</v>
      </c>
      <c r="S154">
        <v>53.93119886990997</v>
      </c>
      <c r="U154">
        <v>2.2208180548996905</v>
      </c>
      <c r="V154">
        <v>47.754619213719273</v>
      </c>
      <c r="W154">
        <v>26.702564440708894</v>
      </c>
      <c r="X154">
        <v>43.255956964708105</v>
      </c>
      <c r="Y154">
        <v>10.436898494832922</v>
      </c>
      <c r="Z154">
        <v>35.776735729287296</v>
      </c>
      <c r="AA154">
        <v>8.2585415984061328</v>
      </c>
      <c r="AB154">
        <v>39.485956321793445</v>
      </c>
      <c r="AC154">
        <v>7.4298325307716656E-2</v>
      </c>
      <c r="AD154">
        <v>10.606096592095291</v>
      </c>
      <c r="AE154">
        <v>15.415468651319273</v>
      </c>
      <c r="AF154">
        <v>14.10799771283469</v>
      </c>
      <c r="AG154">
        <v>25.276160794293556</v>
      </c>
      <c r="AH154">
        <v>9.1301325939172546</v>
      </c>
      <c r="AI154">
        <v>2.1621318149330824</v>
      </c>
      <c r="AK154">
        <v>56.740586014861329</v>
      </c>
    </row>
    <row r="155" spans="1:37" x14ac:dyDescent="0.2">
      <c r="A155">
        <v>154</v>
      </c>
      <c r="B155">
        <v>768</v>
      </c>
      <c r="C155">
        <v>165</v>
      </c>
      <c r="D155">
        <v>0.42697065744609403</v>
      </c>
      <c r="E155">
        <v>138.86551161868675</v>
      </c>
      <c r="F155">
        <v>67.537313127485959</v>
      </c>
      <c r="G155">
        <v>73.194244895630021</v>
      </c>
      <c r="H155">
        <v>68.617096693550209</v>
      </c>
      <c r="J155">
        <v>69.155414992156736</v>
      </c>
      <c r="L155">
        <v>8.8878351467520798</v>
      </c>
      <c r="M155">
        <v>14.432303466888699</v>
      </c>
      <c r="N155">
        <v>2.2067826182990538</v>
      </c>
      <c r="O155">
        <v>39.174561563285309</v>
      </c>
      <c r="P155">
        <v>13.421686461832756</v>
      </c>
      <c r="R155">
        <v>20.532533344651632</v>
      </c>
      <c r="S155">
        <v>53.823915522418119</v>
      </c>
      <c r="U155">
        <v>2.2128902285907284</v>
      </c>
      <c r="V155">
        <v>47.798702751480917</v>
      </c>
      <c r="W155">
        <v>26.601286905517622</v>
      </c>
      <c r="X155">
        <v>43.294452332472027</v>
      </c>
      <c r="Y155">
        <v>10.300277862089604</v>
      </c>
      <c r="Z155">
        <v>35.531185955506665</v>
      </c>
      <c r="AA155">
        <v>8.1251284453512991</v>
      </c>
      <c r="AB155">
        <v>39.469027069349849</v>
      </c>
      <c r="AC155">
        <v>5.4581429213678208E-2</v>
      </c>
      <c r="AD155">
        <v>10.470422451759442</v>
      </c>
      <c r="AE155">
        <v>15.312539645483486</v>
      </c>
      <c r="AF155">
        <v>14.10921727082175</v>
      </c>
      <c r="AG155">
        <v>25.224649423985092</v>
      </c>
      <c r="AH155">
        <v>8.9538295051182875</v>
      </c>
      <c r="AI155">
        <v>2.1441276256895363</v>
      </c>
      <c r="AK155">
        <v>56.703490571838898</v>
      </c>
    </row>
    <row r="156" spans="1:37" x14ac:dyDescent="0.2">
      <c r="A156">
        <v>155</v>
      </c>
      <c r="B156">
        <v>767</v>
      </c>
      <c r="C156">
        <v>165</v>
      </c>
      <c r="D156">
        <v>0.42635244916598902</v>
      </c>
      <c r="E156">
        <v>138.75801362593299</v>
      </c>
      <c r="F156">
        <v>67.088006793921977</v>
      </c>
      <c r="G156">
        <v>73.114384202959229</v>
      </c>
      <c r="H156">
        <v>68.534654847873597</v>
      </c>
      <c r="J156">
        <v>69.104465719464443</v>
      </c>
      <c r="L156">
        <v>8.7602412036496542</v>
      </c>
      <c r="M156">
        <v>14.45462975551709</v>
      </c>
      <c r="N156">
        <v>2.1889786971646039</v>
      </c>
      <c r="O156">
        <v>38.579572619165575</v>
      </c>
      <c r="P156">
        <v>13.265523818889795</v>
      </c>
      <c r="R156">
        <v>20.365622931271972</v>
      </c>
      <c r="S156">
        <v>53.711237012057488</v>
      </c>
      <c r="U156">
        <v>2.2055634176779071</v>
      </c>
      <c r="V156">
        <v>47.840771712632176</v>
      </c>
      <c r="W156">
        <v>26.501041500666759</v>
      </c>
      <c r="X156">
        <v>43.334961035034908</v>
      </c>
      <c r="Y156">
        <v>10.163542518613115</v>
      </c>
      <c r="Z156">
        <v>35.285662475417965</v>
      </c>
      <c r="AA156">
        <v>7.9915028866748328</v>
      </c>
      <c r="AB156">
        <v>39.449067659226785</v>
      </c>
      <c r="AC156">
        <v>3.4792634137710936E-2</v>
      </c>
      <c r="AD156">
        <v>10.334550557048653</v>
      </c>
      <c r="AE156">
        <v>15.209633063066404</v>
      </c>
      <c r="AF156">
        <v>14.110629244006189</v>
      </c>
      <c r="AG156">
        <v>25.170038300637437</v>
      </c>
      <c r="AH156">
        <v>8.7773076671422015</v>
      </c>
      <c r="AI156">
        <v>2.1260505806166123</v>
      </c>
      <c r="AK156">
        <v>56.666397468614484</v>
      </c>
    </row>
    <row r="157" spans="1:37" x14ac:dyDescent="0.2">
      <c r="A157">
        <v>156</v>
      </c>
      <c r="B157">
        <v>766</v>
      </c>
      <c r="C157">
        <v>165</v>
      </c>
      <c r="D157">
        <v>0.42573305105134501</v>
      </c>
      <c r="E157">
        <v>138.65106914825844</v>
      </c>
      <c r="F157">
        <v>66.639726149147535</v>
      </c>
      <c r="G157">
        <v>73.03453863785181</v>
      </c>
      <c r="H157">
        <v>68.452240944620669</v>
      </c>
      <c r="J157">
        <v>69.052032869814155</v>
      </c>
      <c r="L157">
        <v>8.6321599061946443</v>
      </c>
      <c r="M157">
        <v>14.477198335774331</v>
      </c>
      <c r="N157">
        <v>2.1711034992433005</v>
      </c>
      <c r="O157">
        <v>37.984416185892293</v>
      </c>
      <c r="P157">
        <v>13.109327642904306</v>
      </c>
      <c r="R157">
        <v>20.197239403932077</v>
      </c>
      <c r="S157">
        <v>53.59307380399185</v>
      </c>
      <c r="U157">
        <v>2.1988190591919023</v>
      </c>
      <c r="V157">
        <v>47.88080248597381</v>
      </c>
      <c r="W157">
        <v>26.401831578129492</v>
      </c>
      <c r="X157">
        <v>43.377427973882497</v>
      </c>
      <c r="Y157">
        <v>10.026720681461811</v>
      </c>
      <c r="Z157">
        <v>35.040164644892883</v>
      </c>
      <c r="AA157">
        <v>7.857688632356556</v>
      </c>
      <c r="AB157">
        <v>39.42601633143758</v>
      </c>
      <c r="AC157">
        <v>1.4932709820251059E-2</v>
      </c>
      <c r="AD157">
        <v>10.198488248548298</v>
      </c>
      <c r="AE157">
        <v>15.106735762121975</v>
      </c>
      <c r="AF157">
        <v>14.112212494417042</v>
      </c>
      <c r="AG157">
        <v>25.112266440156201</v>
      </c>
      <c r="AH157">
        <v>8.6006074479332746</v>
      </c>
      <c r="AI157">
        <v>2.1079014480605576</v>
      </c>
      <c r="AK157">
        <v>56.629311721831655</v>
      </c>
    </row>
    <row r="158" spans="1:37" x14ac:dyDescent="0.2">
      <c r="A158">
        <v>157</v>
      </c>
      <c r="B158">
        <v>765</v>
      </c>
      <c r="C158">
        <v>165</v>
      </c>
      <c r="D158">
        <v>0.42511245966382499</v>
      </c>
      <c r="E158">
        <v>138.51609056586264</v>
      </c>
      <c r="F158">
        <v>66.038109095358678</v>
      </c>
      <c r="G158">
        <v>72.928941668644896</v>
      </c>
      <c r="H158">
        <v>68.34408847252827</v>
      </c>
      <c r="J158">
        <v>68.951469869171802</v>
      </c>
      <c r="L158">
        <v>8.4636167231085491</v>
      </c>
      <c r="M158">
        <v>14.499922328081068</v>
      </c>
      <c r="N158">
        <v>2.1579425034671118</v>
      </c>
      <c r="O158">
        <v>37.24171472724754</v>
      </c>
      <c r="P158">
        <v>12.90635037153117</v>
      </c>
      <c r="R158">
        <v>19.97569325414776</v>
      </c>
      <c r="S158">
        <v>53.408238885529471</v>
      </c>
      <c r="U158">
        <v>2.189546648125535</v>
      </c>
      <c r="V158">
        <v>47.91868160893619</v>
      </c>
      <c r="W158">
        <v>26.273559448776123</v>
      </c>
      <c r="X158">
        <v>43.408104148119122</v>
      </c>
      <c r="Y158">
        <v>9.8422481411954852</v>
      </c>
      <c r="Z158">
        <v>34.711373562198673</v>
      </c>
      <c r="AA158">
        <v>7.6823843226661772</v>
      </c>
      <c r="AB158">
        <v>39.384564492816182</v>
      </c>
      <c r="AD158">
        <v>10.010527412619881</v>
      </c>
      <c r="AE158">
        <v>14.974389491392071</v>
      </c>
      <c r="AF158">
        <v>14.11866562688229</v>
      </c>
      <c r="AG158">
        <v>25.040810734036661</v>
      </c>
      <c r="AH158">
        <v>8.3493258999373339</v>
      </c>
      <c r="AI158">
        <v>2.0944657051185174</v>
      </c>
      <c r="AK158">
        <v>56.556419736142367</v>
      </c>
    </row>
    <row r="159" spans="1:37" x14ac:dyDescent="0.2">
      <c r="A159">
        <v>158</v>
      </c>
      <c r="B159">
        <v>764</v>
      </c>
      <c r="C159">
        <v>165</v>
      </c>
      <c r="D159">
        <v>0.424490671551851</v>
      </c>
      <c r="E159">
        <v>138.28611545024071</v>
      </c>
      <c r="F159">
        <v>64.907552120571651</v>
      </c>
      <c r="G159">
        <v>72.734586990562164</v>
      </c>
      <c r="H159">
        <v>68.147191147259335</v>
      </c>
      <c r="J159">
        <v>68.678257350359104</v>
      </c>
      <c r="L159">
        <v>8.1541834956219059</v>
      </c>
      <c r="M159">
        <v>14.524685821960301</v>
      </c>
      <c r="N159">
        <v>2.1599192237091693</v>
      </c>
      <c r="O159">
        <v>35.984885970058578</v>
      </c>
      <c r="P159">
        <v>12.541002931198085</v>
      </c>
      <c r="R159">
        <v>19.567391293642057</v>
      </c>
      <c r="S159">
        <v>52.978968691657471</v>
      </c>
      <c r="U159">
        <v>2.1741670565775024</v>
      </c>
      <c r="V159">
        <v>47.945008162332712</v>
      </c>
      <c r="W159">
        <v>26.052109127473258</v>
      </c>
      <c r="X159">
        <v>43.40644473324263</v>
      </c>
      <c r="Y159">
        <v>9.4929287256196933</v>
      </c>
      <c r="Z159">
        <v>34.093141821171159</v>
      </c>
      <c r="AA159">
        <v>7.3624496757692981</v>
      </c>
      <c r="AB159">
        <v>39.270263341085823</v>
      </c>
      <c r="AD159">
        <v>9.6428853728807375</v>
      </c>
      <c r="AE159">
        <v>14.739087452207462</v>
      </c>
      <c r="AF159">
        <v>14.142296250281337</v>
      </c>
      <c r="AG159">
        <v>24.911645899623682</v>
      </c>
      <c r="AH159">
        <v>7.8410007157224939</v>
      </c>
      <c r="AI159">
        <v>2.0961668638278708</v>
      </c>
      <c r="AK159">
        <v>56.358357520882144</v>
      </c>
    </row>
    <row r="160" spans="1:37" x14ac:dyDescent="0.2">
      <c r="A160">
        <v>159</v>
      </c>
      <c r="B160">
        <v>763</v>
      </c>
      <c r="C160">
        <v>165</v>
      </c>
      <c r="D160">
        <v>0.42386768325049901</v>
      </c>
      <c r="E160">
        <v>138.04443456791739</v>
      </c>
      <c r="F160">
        <v>63.677992132955389</v>
      </c>
      <c r="G160">
        <v>72.523413889426052</v>
      </c>
      <c r="H160">
        <v>67.933488275115621</v>
      </c>
      <c r="J160">
        <v>68.346284400198513</v>
      </c>
      <c r="L160">
        <v>7.8116805687924424</v>
      </c>
      <c r="M160">
        <v>14.553369670615849</v>
      </c>
      <c r="N160">
        <v>2.1618945397980438</v>
      </c>
      <c r="O160">
        <v>34.615512471410575</v>
      </c>
      <c r="P160">
        <v>12.142024795546432</v>
      </c>
      <c r="R160">
        <v>19.106957404652533</v>
      </c>
      <c r="S160">
        <v>52.435171211667949</v>
      </c>
      <c r="U160">
        <v>2.165721581623671</v>
      </c>
      <c r="V160">
        <v>47.947564902263785</v>
      </c>
      <c r="W160">
        <v>25.833909197767262</v>
      </c>
      <c r="X160">
        <v>43.425348072578672</v>
      </c>
      <c r="Y160">
        <v>9.1101924914270462</v>
      </c>
      <c r="Z160">
        <v>33.410852788181089</v>
      </c>
      <c r="AA160">
        <v>7.0107492270943474</v>
      </c>
      <c r="AB160">
        <v>39.100504902181058</v>
      </c>
      <c r="AD160">
        <v>9.2363236123144716</v>
      </c>
      <c r="AE160">
        <v>14.47864537217969</v>
      </c>
      <c r="AF160">
        <v>14.169846103146153</v>
      </c>
      <c r="AG160">
        <v>24.727024848444206</v>
      </c>
      <c r="AH160">
        <v>7.2823835965574384</v>
      </c>
      <c r="AI160">
        <v>2.097865802181202</v>
      </c>
      <c r="AK160">
        <v>56.131190708095311</v>
      </c>
    </row>
    <row r="161" spans="1:37" x14ac:dyDescent="0.2">
      <c r="A161">
        <v>160</v>
      </c>
      <c r="B161">
        <v>762</v>
      </c>
      <c r="C161">
        <v>165</v>
      </c>
      <c r="D161">
        <v>0.42324349128146099</v>
      </c>
      <c r="E161">
        <v>137.48113754484595</v>
      </c>
      <c r="F161">
        <v>60.016712932655281</v>
      </c>
      <c r="G161">
        <v>71.958636540035883</v>
      </c>
      <c r="H161">
        <v>67.366194051414425</v>
      </c>
      <c r="J161">
        <v>66.812913156280771</v>
      </c>
      <c r="L161">
        <v>6.7851384648003732</v>
      </c>
      <c r="M161">
        <v>14.555073790588965</v>
      </c>
      <c r="N161">
        <v>2.1638536387580789</v>
      </c>
      <c r="O161">
        <v>30.774068985511558</v>
      </c>
      <c r="P161">
        <v>11.035829523433044</v>
      </c>
      <c r="R161">
        <v>17.597859213477456</v>
      </c>
      <c r="S161">
        <v>50.056536929734818</v>
      </c>
      <c r="U161">
        <v>2.1758936831462936</v>
      </c>
      <c r="V161">
        <v>47.700277115433273</v>
      </c>
      <c r="W161">
        <v>25.6340754563536</v>
      </c>
      <c r="X161">
        <v>43.496447240330568</v>
      </c>
      <c r="Y161">
        <v>8.0158078963533868</v>
      </c>
      <c r="Z161">
        <v>31.053856657115745</v>
      </c>
      <c r="AA161">
        <v>5.9718519494353242</v>
      </c>
      <c r="AB161">
        <v>37.996733674231521</v>
      </c>
      <c r="AD161">
        <v>7.8640888038671788</v>
      </c>
      <c r="AE161">
        <v>13.490554870606754</v>
      </c>
      <c r="AF161">
        <v>14.1704002945525</v>
      </c>
      <c r="AG161">
        <v>23.608377271435277</v>
      </c>
      <c r="AH161">
        <v>5.6427419364334117</v>
      </c>
      <c r="AI161">
        <v>2.0995477053664033</v>
      </c>
      <c r="AK161">
        <v>55.171848093018035</v>
      </c>
    </row>
    <row r="162" spans="1:37" x14ac:dyDescent="0.2">
      <c r="A162">
        <v>161</v>
      </c>
      <c r="B162">
        <v>761</v>
      </c>
      <c r="C162">
        <v>165</v>
      </c>
      <c r="D162">
        <v>0.42261809215297602</v>
      </c>
      <c r="E162">
        <v>136.50924538556745</v>
      </c>
      <c r="F162">
        <v>53.237050358367782</v>
      </c>
      <c r="G162">
        <v>70.94870759135155</v>
      </c>
      <c r="H162">
        <v>66.35376114567319</v>
      </c>
      <c r="J162">
        <v>63.761365200003901</v>
      </c>
      <c r="L162">
        <v>4.8883138646440889</v>
      </c>
      <c r="M162">
        <v>14.495018854268443</v>
      </c>
      <c r="N162">
        <v>2.165791146549402</v>
      </c>
      <c r="O162">
        <v>23.797777355599113</v>
      </c>
      <c r="P162">
        <v>9.0393170610250611</v>
      </c>
      <c r="R162">
        <v>14.754256952034442</v>
      </c>
      <c r="S162">
        <v>45.492845364109442</v>
      </c>
      <c r="U162">
        <v>2.1923236501040146</v>
      </c>
      <c r="V162">
        <v>47.186206601393046</v>
      </c>
      <c r="W162">
        <v>25.464101465479818</v>
      </c>
      <c r="X162">
        <v>43.58221482113165</v>
      </c>
      <c r="Y162">
        <v>6.022025514655482</v>
      </c>
      <c r="Z162">
        <v>26.479644804420388</v>
      </c>
      <c r="AA162">
        <v>4.0590246157154031</v>
      </c>
      <c r="AB162">
        <v>35.75810430867768</v>
      </c>
      <c r="AD162">
        <v>5.2082895760276759</v>
      </c>
      <c r="AE162">
        <v>11.536762547713945</v>
      </c>
      <c r="AF162">
        <v>14.109174128372631</v>
      </c>
      <c r="AG162">
        <v>21.354852451800888</v>
      </c>
      <c r="AH162">
        <v>2.6072475158202697</v>
      </c>
      <c r="AI162">
        <v>2.1012071975073838</v>
      </c>
      <c r="AK162">
        <v>53.256743229455424</v>
      </c>
    </row>
    <row r="163" spans="1:37" x14ac:dyDescent="0.2">
      <c r="A163">
        <v>162</v>
      </c>
      <c r="B163">
        <v>760</v>
      </c>
      <c r="C163">
        <v>165</v>
      </c>
      <c r="D163">
        <v>0.42199148235977502</v>
      </c>
      <c r="E163">
        <v>135.69266491137017</v>
      </c>
      <c r="F163">
        <v>47.567271349582285</v>
      </c>
      <c r="G163">
        <v>70.103042478840194</v>
      </c>
      <c r="H163">
        <v>65.505605013956185</v>
      </c>
      <c r="J163">
        <v>61.242096015112331</v>
      </c>
      <c r="L163">
        <v>3.2994716895245002</v>
      </c>
      <c r="M163">
        <v>14.42804840899011</v>
      </c>
      <c r="N163">
        <v>2.1677359016191922</v>
      </c>
      <c r="O163">
        <v>17.957802714860115</v>
      </c>
      <c r="P163">
        <v>7.3713471400597408</v>
      </c>
      <c r="R163">
        <v>12.368914094005289</v>
      </c>
      <c r="S163">
        <v>41.793158310185419</v>
      </c>
      <c r="U163">
        <v>2.1964428088957875</v>
      </c>
      <c r="V163">
        <v>46.797790489990419</v>
      </c>
      <c r="W163">
        <v>25.296493763349424</v>
      </c>
      <c r="X163">
        <v>43.632781928242089</v>
      </c>
      <c r="Y163">
        <v>4.3562122270982764</v>
      </c>
      <c r="Z163">
        <v>22.608695458512429</v>
      </c>
      <c r="AA163">
        <v>2.4583461401482927</v>
      </c>
      <c r="AB163">
        <v>33.942251297813449</v>
      </c>
      <c r="AD163">
        <v>2.9511261224018654</v>
      </c>
      <c r="AE163">
        <v>9.8894176864249239</v>
      </c>
      <c r="AF163">
        <v>14.041039995924745</v>
      </c>
      <c r="AG163">
        <v>19.524113726101174</v>
      </c>
      <c r="AH163">
        <v>4.4713165609546905E-2</v>
      </c>
      <c r="AI163">
        <v>2.1028731152134723</v>
      </c>
      <c r="AK163">
        <v>51.657675148985462</v>
      </c>
    </row>
    <row r="164" spans="1:37" x14ac:dyDescent="0.2">
      <c r="A164">
        <v>163</v>
      </c>
      <c r="B164">
        <v>759</v>
      </c>
      <c r="C164">
        <v>165</v>
      </c>
      <c r="D164">
        <v>0.42136365838299</v>
      </c>
      <c r="E164">
        <v>136.28496389240797</v>
      </c>
      <c r="F164">
        <v>48.608220185124942</v>
      </c>
      <c r="G164">
        <v>70.544966367801635</v>
      </c>
      <c r="H164">
        <v>65.945050842202249</v>
      </c>
      <c r="J164">
        <v>51.603630759951393</v>
      </c>
      <c r="L164">
        <v>1.6493503756579886</v>
      </c>
      <c r="M164">
        <v>14.183295575653746</v>
      </c>
      <c r="N164">
        <v>2.1697569444078213</v>
      </c>
      <c r="O164">
        <v>8.2390211260945723</v>
      </c>
      <c r="P164">
        <v>8.2786391539922093</v>
      </c>
      <c r="R164">
        <v>10.761029229041252</v>
      </c>
      <c r="S164">
        <v>36.303292684092874</v>
      </c>
      <c r="U164">
        <v>2.2325273673178114</v>
      </c>
      <c r="V164">
        <v>46.601404860264935</v>
      </c>
      <c r="W164">
        <v>24.929075734318346</v>
      </c>
      <c r="X164">
        <v>43.775230782372027</v>
      </c>
      <c r="Y164">
        <v>3.4844245083608851</v>
      </c>
      <c r="Z164">
        <v>20.307973017254021</v>
      </c>
      <c r="AA164">
        <v>0.43400990083152285</v>
      </c>
      <c r="AB164">
        <v>32.097434308469602</v>
      </c>
      <c r="AD164">
        <v>1.7488450708929986</v>
      </c>
      <c r="AE164">
        <v>8.2721154176830414</v>
      </c>
      <c r="AF164">
        <v>13.79520006409747</v>
      </c>
      <c r="AG164">
        <v>17.664489807447943</v>
      </c>
      <c r="AI164">
        <v>2.104614497088241</v>
      </c>
      <c r="AK164">
        <v>45.332082823326012</v>
      </c>
    </row>
    <row r="165" spans="1:37" x14ac:dyDescent="0.2">
      <c r="A165">
        <v>164</v>
      </c>
      <c r="B165">
        <v>758</v>
      </c>
      <c r="C165">
        <v>165</v>
      </c>
      <c r="D165">
        <v>0.42073461669010398</v>
      </c>
      <c r="E165">
        <v>136.60689408676899</v>
      </c>
      <c r="F165">
        <v>48.286292063995191</v>
      </c>
      <c r="G165">
        <v>70.682338348442329</v>
      </c>
      <c r="H165">
        <v>66.079957741294152</v>
      </c>
      <c r="J165">
        <v>44.592286041562879</v>
      </c>
      <c r="L165">
        <v>1.5439343449239131</v>
      </c>
      <c r="M165">
        <v>13.798451272204828</v>
      </c>
      <c r="N165">
        <v>2.1717619901632332</v>
      </c>
      <c r="O165">
        <v>7.3539608823625162</v>
      </c>
      <c r="P165">
        <v>8.5768190209594692</v>
      </c>
      <c r="R165">
        <v>10.440287681400751</v>
      </c>
      <c r="S165">
        <v>35.869480351384389</v>
      </c>
      <c r="U165">
        <v>2.2331317809703393</v>
      </c>
      <c r="V165">
        <v>46.981803542726176</v>
      </c>
      <c r="W165">
        <v>24.446619787350876</v>
      </c>
      <c r="X165">
        <v>43.815920961140421</v>
      </c>
      <c r="Y165">
        <v>3.2923772329047556</v>
      </c>
      <c r="Z165">
        <v>17.753475967553698</v>
      </c>
      <c r="AB165">
        <v>30.761978222197694</v>
      </c>
      <c r="AD165">
        <v>0.46103537854369891</v>
      </c>
      <c r="AE165">
        <v>6.7463546922798381</v>
      </c>
      <c r="AF165">
        <v>13.409252971644447</v>
      </c>
      <c r="AG165">
        <v>16.314213298496384</v>
      </c>
      <c r="AI165">
        <v>2.1063390565420179</v>
      </c>
      <c r="AK165">
        <v>40.618599499865581</v>
      </c>
    </row>
    <row r="166" spans="1:37" x14ac:dyDescent="0.2">
      <c r="A166">
        <v>165</v>
      </c>
      <c r="B166">
        <v>757</v>
      </c>
      <c r="C166">
        <v>165</v>
      </c>
      <c r="D166">
        <v>0.42010435373489502</v>
      </c>
      <c r="E166">
        <v>136.8075612652288</v>
      </c>
      <c r="F166">
        <v>48.703400206784643</v>
      </c>
      <c r="G166">
        <v>70.683613851654911</v>
      </c>
      <c r="H166">
        <v>66.078781162842276</v>
      </c>
      <c r="J166">
        <v>39.840862361027625</v>
      </c>
      <c r="L166">
        <v>1.5591987834637804</v>
      </c>
      <c r="M166">
        <v>13.357158304354714</v>
      </c>
      <c r="N166">
        <v>2.1737590883188971</v>
      </c>
      <c r="O166">
        <v>7.2924191676469938</v>
      </c>
      <c r="P166">
        <v>8.6028056747200186</v>
      </c>
      <c r="R166">
        <v>10.095417423114407</v>
      </c>
      <c r="S166">
        <v>36.116990307097652</v>
      </c>
      <c r="U166">
        <v>2.2204321454692426</v>
      </c>
      <c r="V166">
        <v>47.51349367978176</v>
      </c>
      <c r="W166">
        <v>23.916843276687665</v>
      </c>
      <c r="X166">
        <v>43.81861107506483</v>
      </c>
      <c r="Y166">
        <v>3.0879839423582971</v>
      </c>
      <c r="Z166">
        <v>17.539561635376607</v>
      </c>
      <c r="AB166">
        <v>30.970715247661413</v>
      </c>
      <c r="AE166">
        <v>6.6104547667079716</v>
      </c>
      <c r="AF166">
        <v>12.966849579283664</v>
      </c>
      <c r="AG166">
        <v>16.508124463219488</v>
      </c>
      <c r="AI166">
        <v>2.1080548411699569</v>
      </c>
      <c r="AK166">
        <v>37.360251903175531</v>
      </c>
    </row>
    <row r="167" spans="1:37" x14ac:dyDescent="0.2">
      <c r="A167">
        <v>166</v>
      </c>
      <c r="B167">
        <v>778</v>
      </c>
      <c r="C167">
        <v>150</v>
      </c>
      <c r="D167">
        <v>0.44878514008467002</v>
      </c>
      <c r="E167">
        <v>131.06725972595152</v>
      </c>
      <c r="F167">
        <v>70.474516972576211</v>
      </c>
      <c r="G167">
        <v>73.778615482766668</v>
      </c>
      <c r="H167">
        <v>69.227434085179141</v>
      </c>
      <c r="J167">
        <v>69.449395572616439</v>
      </c>
      <c r="L167">
        <v>9.6411363122656919</v>
      </c>
      <c r="M167">
        <v>14.687728533948407</v>
      </c>
      <c r="N167">
        <v>2.2277669269759177</v>
      </c>
      <c r="O167">
        <v>43.476753986204812</v>
      </c>
      <c r="P167">
        <v>14.313599859796467</v>
      </c>
      <c r="Q167">
        <v>5.0536388452489388E-2</v>
      </c>
      <c r="R167">
        <v>22.179803897059177</v>
      </c>
      <c r="S167">
        <v>56.410483690774555</v>
      </c>
      <c r="U167">
        <v>2.7043619495053126</v>
      </c>
      <c r="V167">
        <v>47.839598128207925</v>
      </c>
      <c r="W167">
        <v>28.582674439000773</v>
      </c>
      <c r="X167">
        <v>43.129102604025917</v>
      </c>
      <c r="Y167">
        <v>11.05216119288691</v>
      </c>
      <c r="Z167">
        <v>37.382924585825847</v>
      </c>
      <c r="AA167">
        <v>8.9327046686820388</v>
      </c>
      <c r="AB167">
        <v>40.405778766236104</v>
      </c>
      <c r="AC167">
        <v>0.15039474663650301</v>
      </c>
      <c r="AD167">
        <v>11.457048625150616</v>
      </c>
      <c r="AE167">
        <v>16.286877678788269</v>
      </c>
      <c r="AF167">
        <v>14.4630608562736</v>
      </c>
      <c r="AG167">
        <v>26.415352522911071</v>
      </c>
      <c r="AH167">
        <v>9.8464450916634263</v>
      </c>
      <c r="AI167">
        <v>2.1660104727885887</v>
      </c>
      <c r="AK167">
        <v>56.523964510521921</v>
      </c>
    </row>
    <row r="168" spans="1:37" x14ac:dyDescent="0.2">
      <c r="A168">
        <v>167</v>
      </c>
      <c r="B168">
        <v>777</v>
      </c>
      <c r="C168">
        <v>150</v>
      </c>
      <c r="D168">
        <v>0.44819359139171</v>
      </c>
      <c r="E168">
        <v>130.9662149983717</v>
      </c>
      <c r="F168">
        <v>70.161592977333981</v>
      </c>
      <c r="G168">
        <v>73.724763912627267</v>
      </c>
      <c r="H168">
        <v>69.170868197708188</v>
      </c>
      <c r="J168">
        <v>69.385855263633346</v>
      </c>
      <c r="L168">
        <v>9.5658072403500416</v>
      </c>
      <c r="M168">
        <v>14.642577393421305</v>
      </c>
      <c r="N168">
        <v>2.2211935814942612</v>
      </c>
      <c r="O168">
        <v>43.105922662408744</v>
      </c>
      <c r="P168">
        <v>14.220606641442297</v>
      </c>
      <c r="Q168">
        <v>1.8413761183931144E-3</v>
      </c>
      <c r="R168">
        <v>22.00288406540799</v>
      </c>
      <c r="S168">
        <v>56.065529287392977</v>
      </c>
      <c r="U168">
        <v>2.6444492532486037</v>
      </c>
      <c r="V168">
        <v>47.767474480807508</v>
      </c>
      <c r="W168">
        <v>28.417170439472763</v>
      </c>
      <c r="X168">
        <v>42.996161080527081</v>
      </c>
      <c r="Y168">
        <v>10.973768729086643</v>
      </c>
      <c r="Z168">
        <v>37.210932433984645</v>
      </c>
      <c r="AA168">
        <v>8.8546561507295625</v>
      </c>
      <c r="AB168">
        <v>40.290356516066538</v>
      </c>
      <c r="AC168">
        <v>0.14183372168486541</v>
      </c>
      <c r="AD168">
        <v>11.364904950702913</v>
      </c>
      <c r="AE168">
        <v>16.207074478142314</v>
      </c>
      <c r="AF168">
        <v>14.408221470124522</v>
      </c>
      <c r="AG168">
        <v>26.276504602952198</v>
      </c>
      <c r="AH168">
        <v>9.7390124750873639</v>
      </c>
      <c r="AI168">
        <v>2.1591726861531995</v>
      </c>
      <c r="AK168">
        <v>56.518789826585049</v>
      </c>
    </row>
    <row r="169" spans="1:37" x14ac:dyDescent="0.2">
      <c r="A169">
        <v>168</v>
      </c>
      <c r="B169">
        <v>776</v>
      </c>
      <c r="C169">
        <v>150</v>
      </c>
      <c r="D169">
        <v>0.447600915026452</v>
      </c>
      <c r="E169">
        <v>130.85862654280561</v>
      </c>
      <c r="F169">
        <v>69.717280840587748</v>
      </c>
      <c r="G169">
        <v>73.646116462140256</v>
      </c>
      <c r="H169">
        <v>69.089519044307906</v>
      </c>
      <c r="J169">
        <v>69.33714600573002</v>
      </c>
      <c r="L169">
        <v>9.4422765538266162</v>
      </c>
      <c r="M169">
        <v>14.661759907055746</v>
      </c>
      <c r="N169">
        <v>2.2041395512978634</v>
      </c>
      <c r="O169">
        <v>42.520572304997003</v>
      </c>
      <c r="P169">
        <v>14.067548247166938</v>
      </c>
      <c r="R169">
        <v>21.840032533696181</v>
      </c>
      <c r="S169">
        <v>55.955936734671823</v>
      </c>
      <c r="U169">
        <v>2.634468460461501</v>
      </c>
      <c r="V169">
        <v>47.810260973261343</v>
      </c>
      <c r="W169">
        <v>28.311108417011091</v>
      </c>
      <c r="X169">
        <v>43.027590894130476</v>
      </c>
      <c r="Y169">
        <v>10.840203601819724</v>
      </c>
      <c r="Z169">
        <v>36.967599573162644</v>
      </c>
      <c r="AA169">
        <v>8.7243654775134711</v>
      </c>
      <c r="AB169">
        <v>40.272380775664764</v>
      </c>
      <c r="AC169">
        <v>0.12279216395643024</v>
      </c>
      <c r="AD169">
        <v>11.231956695706565</v>
      </c>
      <c r="AE169">
        <v>16.104313345501314</v>
      </c>
      <c r="AF169">
        <v>14.407235265368563</v>
      </c>
      <c r="AG169">
        <v>26.224624909053592</v>
      </c>
      <c r="AH169">
        <v>9.5666729001579043</v>
      </c>
      <c r="AI169">
        <v>2.1418534224314936</v>
      </c>
      <c r="AK169">
        <v>56.483330216130319</v>
      </c>
    </row>
    <row r="170" spans="1:37" x14ac:dyDescent="0.2">
      <c r="A170">
        <v>169</v>
      </c>
      <c r="B170">
        <v>775</v>
      </c>
      <c r="C170">
        <v>150</v>
      </c>
      <c r="D170">
        <v>0.44700710776129698</v>
      </c>
      <c r="E170">
        <v>130.75140431738882</v>
      </c>
      <c r="F170">
        <v>69.2710270533901</v>
      </c>
      <c r="G170">
        <v>73.566919466176699</v>
      </c>
      <c r="H170">
        <v>69.007632979862549</v>
      </c>
      <c r="J170">
        <v>69.287466638489178</v>
      </c>
      <c r="L170">
        <v>9.3171820405676087</v>
      </c>
      <c r="M170">
        <v>14.682609916949975</v>
      </c>
      <c r="N170">
        <v>2.1867937052056456</v>
      </c>
      <c r="O170">
        <v>41.930298999290265</v>
      </c>
      <c r="P170">
        <v>13.913106236984298</v>
      </c>
      <c r="R170">
        <v>21.676038593640179</v>
      </c>
      <c r="S170">
        <v>55.846618342050576</v>
      </c>
      <c r="U170">
        <v>2.6261471553365321</v>
      </c>
      <c r="V170">
        <v>47.853724010005038</v>
      </c>
      <c r="W170">
        <v>28.207282574402686</v>
      </c>
      <c r="X170">
        <v>43.064525578123884</v>
      </c>
      <c r="Y170">
        <v>10.70531516734691</v>
      </c>
      <c r="Z170">
        <v>36.722773250625515</v>
      </c>
      <c r="AA170">
        <v>8.5928016843385411</v>
      </c>
      <c r="AB170">
        <v>40.253807850425432</v>
      </c>
      <c r="AC170">
        <v>0.10345894183146594</v>
      </c>
      <c r="AD170">
        <v>11.097934143759931</v>
      </c>
      <c r="AE170">
        <v>16.001104084211985</v>
      </c>
      <c r="AF170">
        <v>14.407624958273921</v>
      </c>
      <c r="AG170">
        <v>26.171858620980792</v>
      </c>
      <c r="AH170">
        <v>9.3926763752781284</v>
      </c>
      <c r="AI170">
        <v>2.124241548612344</v>
      </c>
      <c r="AK170">
        <v>56.447235796853981</v>
      </c>
    </row>
    <row r="171" spans="1:37" x14ac:dyDescent="0.2">
      <c r="A171">
        <v>170</v>
      </c>
      <c r="B171">
        <v>774</v>
      </c>
      <c r="C171">
        <v>150</v>
      </c>
      <c r="D171">
        <v>0.44641216635630598</v>
      </c>
      <c r="E171">
        <v>130.644702898433</v>
      </c>
      <c r="F171">
        <v>68.825758309034811</v>
      </c>
      <c r="G171">
        <v>73.487728220251554</v>
      </c>
      <c r="H171">
        <v>68.92576531993754</v>
      </c>
      <c r="J171">
        <v>69.236467848949445</v>
      </c>
      <c r="L171">
        <v>9.1916033246130873</v>
      </c>
      <c r="M171">
        <v>14.703706443287762</v>
      </c>
      <c r="N171">
        <v>2.1693853296511545</v>
      </c>
      <c r="O171">
        <v>41.339865280211725</v>
      </c>
      <c r="P171">
        <v>13.758620509867148</v>
      </c>
      <c r="R171">
        <v>21.510624833001039</v>
      </c>
      <c r="S171">
        <v>55.732297922408385</v>
      </c>
      <c r="U171">
        <v>2.6183832334243635</v>
      </c>
      <c r="V171">
        <v>47.895311368124545</v>
      </c>
      <c r="W171">
        <v>28.104406638512554</v>
      </c>
      <c r="X171">
        <v>43.103345974369894</v>
      </c>
      <c r="Y171">
        <v>10.570332864515493</v>
      </c>
      <c r="Z171">
        <v>36.478017080565792</v>
      </c>
      <c r="AA171">
        <v>8.4609736086273255</v>
      </c>
      <c r="AB171">
        <v>40.23242474665895</v>
      </c>
      <c r="AC171">
        <v>8.4063341305681313E-2</v>
      </c>
      <c r="AD171">
        <v>10.963734932812844</v>
      </c>
      <c r="AE171">
        <v>15.897939746264369</v>
      </c>
      <c r="AF171">
        <v>14.408198860821045</v>
      </c>
      <c r="AG171">
        <v>26.116222037047184</v>
      </c>
      <c r="AH171">
        <v>9.2184749879628818</v>
      </c>
      <c r="AI171">
        <v>2.1065663492985505</v>
      </c>
      <c r="AK171">
        <v>56.41117575937983</v>
      </c>
    </row>
    <row r="172" spans="1:37" x14ac:dyDescent="0.2">
      <c r="A172">
        <v>171</v>
      </c>
      <c r="B172">
        <v>773</v>
      </c>
      <c r="C172">
        <v>150</v>
      </c>
      <c r="D172">
        <v>0.44581608755914398</v>
      </c>
      <c r="E172">
        <v>130.5385278070766</v>
      </c>
      <c r="F172">
        <v>68.381518270361639</v>
      </c>
      <c r="G172">
        <v>73.408556268416874</v>
      </c>
      <c r="H172">
        <v>68.843929628675866</v>
      </c>
      <c r="J172">
        <v>69.184137046932307</v>
      </c>
      <c r="L172">
        <v>9.0655726053196712</v>
      </c>
      <c r="M172">
        <v>14.725030057516511</v>
      </c>
      <c r="N172">
        <v>2.1519154580597211</v>
      </c>
      <c r="O172">
        <v>40.749348653852508</v>
      </c>
      <c r="P172">
        <v>13.604119208920121</v>
      </c>
      <c r="R172">
        <v>21.343837058421276</v>
      </c>
      <c r="S172">
        <v>55.612901886560387</v>
      </c>
      <c r="U172">
        <v>2.6111593107923126</v>
      </c>
      <c r="V172">
        <v>47.935004039657862</v>
      </c>
      <c r="W172">
        <v>28.002481599839108</v>
      </c>
      <c r="X172">
        <v>43.144000220990485</v>
      </c>
      <c r="Y172">
        <v>10.435282167829003</v>
      </c>
      <c r="Z172">
        <v>36.233333669530815</v>
      </c>
      <c r="AA172">
        <v>8.3289819232970395</v>
      </c>
      <c r="AB172">
        <v>40.208180961030138</v>
      </c>
      <c r="AC172">
        <v>6.4606395365871011E-2</v>
      </c>
      <c r="AD172">
        <v>10.829367482537311</v>
      </c>
      <c r="AE172">
        <v>15.794810223835057</v>
      </c>
      <c r="AF172">
        <v>14.408938583257338</v>
      </c>
      <c r="AG172">
        <v>26.057665692932712</v>
      </c>
      <c r="AH172">
        <v>9.0441055001242763</v>
      </c>
      <c r="AI172">
        <v>2.08882885608458</v>
      </c>
      <c r="AK172">
        <v>56.37515523338233</v>
      </c>
    </row>
    <row r="173" spans="1:37" x14ac:dyDescent="0.2">
      <c r="A173">
        <v>172</v>
      </c>
      <c r="B173">
        <v>772</v>
      </c>
      <c r="C173">
        <v>150</v>
      </c>
      <c r="D173">
        <v>0.44521886810505501</v>
      </c>
      <c r="E173">
        <v>130.43288419938568</v>
      </c>
      <c r="F173">
        <v>67.938349239438011</v>
      </c>
      <c r="G173">
        <v>73.329417132454637</v>
      </c>
      <c r="H173">
        <v>68.762139447985859</v>
      </c>
      <c r="J173">
        <v>69.130464100704231</v>
      </c>
      <c r="L173">
        <v>8.9391219807516098</v>
      </c>
      <c r="M173">
        <v>14.746560816302294</v>
      </c>
      <c r="N173">
        <v>2.1343851107606513</v>
      </c>
      <c r="O173">
        <v>40.158826307956005</v>
      </c>
      <c r="P173">
        <v>13.449630419661379</v>
      </c>
      <c r="R173">
        <v>21.175721407981527</v>
      </c>
      <c r="S173">
        <v>55.488367197818633</v>
      </c>
      <c r="U173">
        <v>2.6044573996678784</v>
      </c>
      <c r="V173">
        <v>47.972786326955195</v>
      </c>
      <c r="W173">
        <v>27.90150799169804</v>
      </c>
      <c r="X173">
        <v>43.186434667469797</v>
      </c>
      <c r="Y173">
        <v>10.300188534263954</v>
      </c>
      <c r="Z173">
        <v>35.988724663529027</v>
      </c>
      <c r="AA173">
        <v>8.196848497900028</v>
      </c>
      <c r="AB173">
        <v>40.181031333856353</v>
      </c>
      <c r="AC173">
        <v>4.5089123902105878E-2</v>
      </c>
      <c r="AD173">
        <v>10.694839737407731</v>
      </c>
      <c r="AE173">
        <v>15.691704871391996</v>
      </c>
      <c r="AF173">
        <v>14.409825207967273</v>
      </c>
      <c r="AG173">
        <v>25.996145454883848</v>
      </c>
      <c r="AH173">
        <v>8.8696046014476568</v>
      </c>
      <c r="AI173">
        <v>2.071030087467594</v>
      </c>
      <c r="AK173">
        <v>56.33917902675838</v>
      </c>
    </row>
    <row r="174" spans="1:37" x14ac:dyDescent="0.2">
      <c r="A174">
        <v>173</v>
      </c>
      <c r="B174">
        <v>771</v>
      </c>
      <c r="C174">
        <v>150</v>
      </c>
      <c r="D174">
        <v>0.44462050471675502</v>
      </c>
      <c r="E174">
        <v>130.32777687412224</v>
      </c>
      <c r="F174">
        <v>67.496292016108697</v>
      </c>
      <c r="G174">
        <v>73.250324272580627</v>
      </c>
      <c r="H174">
        <v>68.680408258251575</v>
      </c>
      <c r="J174">
        <v>69.075441178543059</v>
      </c>
      <c r="L174">
        <v>8.8122833045292719</v>
      </c>
      <c r="M174">
        <v>14.768278307123904</v>
      </c>
      <c r="N174">
        <v>2.1167952815396269</v>
      </c>
      <c r="O174">
        <v>39.568374826191565</v>
      </c>
      <c r="P174">
        <v>13.295182078002588</v>
      </c>
      <c r="R174">
        <v>21.006324087912468</v>
      </c>
      <c r="S174">
        <v>55.358640986213707</v>
      </c>
      <c r="U174">
        <v>2.5982589778466676</v>
      </c>
      <c r="V174">
        <v>48.008645668910553</v>
      </c>
      <c r="W174">
        <v>27.801485967561245</v>
      </c>
      <c r="X174">
        <v>43.230594091596927</v>
      </c>
      <c r="Y174">
        <v>10.165077320479137</v>
      </c>
      <c r="Z174">
        <v>35.74419067134631</v>
      </c>
      <c r="AA174">
        <v>8.0646681157562483</v>
      </c>
      <c r="AB174">
        <v>40.150935867260742</v>
      </c>
      <c r="AC174">
        <v>2.5512520261064951E-2</v>
      </c>
      <c r="AD174">
        <v>10.560159110380386</v>
      </c>
      <c r="AE174">
        <v>15.588612493462978</v>
      </c>
      <c r="AF174">
        <v>14.410839321613272</v>
      </c>
      <c r="AG174">
        <v>25.931622324434382</v>
      </c>
      <c r="AH174">
        <v>8.6950088025242209</v>
      </c>
      <c r="AI174">
        <v>2.0531710354010135</v>
      </c>
      <c r="AK174">
        <v>56.303251576609064</v>
      </c>
    </row>
    <row r="175" spans="1:37" x14ac:dyDescent="0.2">
      <c r="A175">
        <v>174</v>
      </c>
      <c r="B175">
        <v>770</v>
      </c>
      <c r="C175">
        <v>150</v>
      </c>
      <c r="D175">
        <v>0.44402099410439499</v>
      </c>
      <c r="E175">
        <v>130.22321028191564</v>
      </c>
      <c r="F175">
        <v>67.055385778505993</v>
      </c>
      <c r="G175">
        <v>73.171291052793336</v>
      </c>
      <c r="H175">
        <v>68.598749443675587</v>
      </c>
      <c r="J175">
        <v>69.01906258509014</v>
      </c>
      <c r="L175">
        <v>8.6850880749439714</v>
      </c>
      <c r="M175">
        <v>14.790161688596104</v>
      </c>
      <c r="N175">
        <v>2.0991469253856421</v>
      </c>
      <c r="O175">
        <v>38.978069936001859</v>
      </c>
      <c r="P175">
        <v>13.140801888674847</v>
      </c>
      <c r="R175">
        <v>20.835691126338222</v>
      </c>
      <c r="S175">
        <v>55.223680114667204</v>
      </c>
      <c r="U175">
        <v>2.5925450524559586</v>
      </c>
      <c r="V175">
        <v>48.042572454810113</v>
      </c>
      <c r="W175">
        <v>27.702415375791251</v>
      </c>
      <c r="X175">
        <v>43.276421895135329</v>
      </c>
      <c r="Y175">
        <v>10.029973709384192</v>
      </c>
      <c r="Z175">
        <v>35.49973119866582</v>
      </c>
      <c r="AA175">
        <v>7.9323117815253861</v>
      </c>
      <c r="AB175">
        <v>40.117859518279388</v>
      </c>
      <c r="AC175">
        <v>5.8775389929735218E-3</v>
      </c>
      <c r="AD175">
        <v>10.425332433119147</v>
      </c>
      <c r="AE175">
        <v>15.485521335272352</v>
      </c>
      <c r="AF175">
        <v>14.411961043212058</v>
      </c>
      <c r="AG175">
        <v>25.864062219249359</v>
      </c>
      <c r="AH175">
        <v>8.5203543354659814</v>
      </c>
      <c r="AI175">
        <v>2.0352526530415718</v>
      </c>
      <c r="AK175">
        <v>56.267376905961981</v>
      </c>
    </row>
    <row r="176" spans="1:37" x14ac:dyDescent="0.2">
      <c r="A176">
        <v>175</v>
      </c>
      <c r="B176">
        <v>769</v>
      </c>
      <c r="C176">
        <v>150</v>
      </c>
      <c r="D176">
        <v>0.44342033296550898</v>
      </c>
      <c r="E176">
        <v>130.03476347127176</v>
      </c>
      <c r="F176">
        <v>66.150581903930231</v>
      </c>
      <c r="G176">
        <v>73.014429712063958</v>
      </c>
      <c r="H176">
        <v>68.439275263473249</v>
      </c>
      <c r="J176">
        <v>68.813422303949693</v>
      </c>
      <c r="L176">
        <v>8.434749233835996</v>
      </c>
      <c r="M176">
        <v>14.813422760238733</v>
      </c>
      <c r="N176">
        <v>2.0950391354475317</v>
      </c>
      <c r="O176">
        <v>37.93808921869352</v>
      </c>
      <c r="P176">
        <v>12.844313444579621</v>
      </c>
      <c r="R176">
        <v>20.502115843379816</v>
      </c>
      <c r="S176">
        <v>54.877850588895633</v>
      </c>
      <c r="U176">
        <v>2.5805984074313479</v>
      </c>
      <c r="V176">
        <v>48.067304952312071</v>
      </c>
      <c r="W176">
        <v>27.51899595799582</v>
      </c>
      <c r="X176">
        <v>43.291297528040928</v>
      </c>
      <c r="Y176">
        <v>9.7504420403923735</v>
      </c>
      <c r="Z176">
        <v>35.002585822797045</v>
      </c>
      <c r="AA176">
        <v>7.6735567851974045</v>
      </c>
      <c r="AB176">
        <v>40.02349792978989</v>
      </c>
      <c r="AD176">
        <v>10.133624650311633</v>
      </c>
      <c r="AE176">
        <v>15.29268974413106</v>
      </c>
      <c r="AF176">
        <v>14.428001270857132</v>
      </c>
      <c r="AG176">
        <v>25.748759881012184</v>
      </c>
      <c r="AH176">
        <v>8.1207360128379449</v>
      </c>
      <c r="AI176">
        <v>2.0308740317043297</v>
      </c>
      <c r="AK176">
        <v>56.122473834344277</v>
      </c>
    </row>
    <row r="177" spans="1:37" x14ac:dyDescent="0.2">
      <c r="A177">
        <v>176</v>
      </c>
      <c r="B177">
        <v>768</v>
      </c>
      <c r="C177">
        <v>150</v>
      </c>
      <c r="D177">
        <v>0.442818517984921</v>
      </c>
      <c r="E177">
        <v>129.80063089097632</v>
      </c>
      <c r="F177">
        <v>64.969102159182711</v>
      </c>
      <c r="G177">
        <v>72.810931227921259</v>
      </c>
      <c r="H177">
        <v>68.233176715455699</v>
      </c>
      <c r="J177">
        <v>68.499722295963409</v>
      </c>
      <c r="L177">
        <v>8.1061621030893338</v>
      </c>
      <c r="M177">
        <v>14.840114723821031</v>
      </c>
      <c r="N177">
        <v>2.0970170212992798</v>
      </c>
      <c r="O177">
        <v>36.618086673562999</v>
      </c>
      <c r="P177">
        <v>12.460643832215728</v>
      </c>
      <c r="R177">
        <v>20.058987393320223</v>
      </c>
      <c r="S177">
        <v>54.356223007374794</v>
      </c>
      <c r="U177">
        <v>2.5708374650930561</v>
      </c>
      <c r="V177">
        <v>48.07095774031697</v>
      </c>
      <c r="W177">
        <v>27.300095466509049</v>
      </c>
      <c r="X177">
        <v>43.307026405682841</v>
      </c>
      <c r="Y177">
        <v>9.3828497100172061</v>
      </c>
      <c r="Z177">
        <v>34.347884421307327</v>
      </c>
      <c r="AA177">
        <v>7.3359972603557546</v>
      </c>
      <c r="AB177">
        <v>39.862351195212987</v>
      </c>
      <c r="AD177">
        <v>9.7446366582600081</v>
      </c>
      <c r="AE177">
        <v>15.042287407653873</v>
      </c>
      <c r="AF177">
        <v>14.453558321326927</v>
      </c>
      <c r="AG177">
        <v>25.572760518393292</v>
      </c>
      <c r="AH177">
        <v>7.5851793272793806</v>
      </c>
      <c r="AI177">
        <v>2.0325802791296135</v>
      </c>
      <c r="AK177">
        <v>55.908566198452462</v>
      </c>
    </row>
    <row r="178" spans="1:37" x14ac:dyDescent="0.2">
      <c r="A178">
        <v>177</v>
      </c>
      <c r="B178">
        <v>767</v>
      </c>
      <c r="C178">
        <v>150</v>
      </c>
      <c r="D178">
        <v>0.44221554583473799</v>
      </c>
      <c r="E178">
        <v>129.54904015956589</v>
      </c>
      <c r="F178">
        <v>63.641862651644445</v>
      </c>
      <c r="G178">
        <v>72.583459504220514</v>
      </c>
      <c r="H178">
        <v>68.003117723800585</v>
      </c>
      <c r="J178">
        <v>68.09985411658927</v>
      </c>
      <c r="L178">
        <v>7.7306491466114311</v>
      </c>
      <c r="M178">
        <v>14.870542919672653</v>
      </c>
      <c r="N178">
        <v>2.0989930935225498</v>
      </c>
      <c r="O178">
        <v>35.136080619191965</v>
      </c>
      <c r="P178">
        <v>12.029033391804147</v>
      </c>
      <c r="R178">
        <v>19.541417426258903</v>
      </c>
      <c r="S178">
        <v>53.668472490793846</v>
      </c>
      <c r="U178">
        <v>2.5693047429567573</v>
      </c>
      <c r="V178">
        <v>48.040767296946726</v>
      </c>
      <c r="W178">
        <v>27.084757864559123</v>
      </c>
      <c r="X178">
        <v>43.347075318025006</v>
      </c>
      <c r="Y178">
        <v>8.9674806565671865</v>
      </c>
      <c r="Z178">
        <v>33.597094358027036</v>
      </c>
      <c r="AA178">
        <v>6.9526286705619276</v>
      </c>
      <c r="AB178">
        <v>39.619766410607909</v>
      </c>
      <c r="AD178">
        <v>9.2981294407559894</v>
      </c>
      <c r="AE178">
        <v>14.752958433450551</v>
      </c>
      <c r="AF178">
        <v>14.48285005098251</v>
      </c>
      <c r="AG178">
        <v>25.315323743726172</v>
      </c>
      <c r="AH178">
        <v>6.9776733210993944</v>
      </c>
      <c r="AI178">
        <v>2.0342839040649636</v>
      </c>
      <c r="AK178">
        <v>55.651346844066026</v>
      </c>
    </row>
    <row r="179" spans="1:37" x14ac:dyDescent="0.2">
      <c r="A179">
        <v>178</v>
      </c>
      <c r="B179">
        <v>766</v>
      </c>
      <c r="C179">
        <v>150</v>
      </c>
      <c r="D179">
        <v>0.44161141317423203</v>
      </c>
      <c r="E179">
        <v>128.82274432170627</v>
      </c>
      <c r="F179">
        <v>58.714233904454794</v>
      </c>
      <c r="G179">
        <v>71.8341968744338</v>
      </c>
      <c r="H179">
        <v>67.251280642341015</v>
      </c>
      <c r="J179">
        <v>65.90769626157909</v>
      </c>
      <c r="L179">
        <v>6.3428849911076579</v>
      </c>
      <c r="M179">
        <v>14.851335477385762</v>
      </c>
      <c r="N179">
        <v>2.1009454537297594</v>
      </c>
      <c r="O179">
        <v>30.00193908093333</v>
      </c>
      <c r="P179">
        <v>10.553824913891727</v>
      </c>
      <c r="R179">
        <v>17.462451855187062</v>
      </c>
      <c r="S179">
        <v>50.234565590286905</v>
      </c>
      <c r="U179">
        <v>2.5903982267458296</v>
      </c>
      <c r="V179">
        <v>47.630749790824702</v>
      </c>
      <c r="W179">
        <v>26.89555523940874</v>
      </c>
      <c r="X179">
        <v>43.449035060786876</v>
      </c>
      <c r="Y179">
        <v>7.5010460056661961</v>
      </c>
      <c r="Z179">
        <v>30.362210833338107</v>
      </c>
      <c r="AA179">
        <v>5.5530221941289053</v>
      </c>
      <c r="AB179">
        <v>37.976250467072546</v>
      </c>
      <c r="AD179">
        <v>7.4210474505920638</v>
      </c>
      <c r="AE179">
        <v>13.378064021607399</v>
      </c>
      <c r="AF179">
        <v>14.462482696487523</v>
      </c>
      <c r="AG179">
        <v>23.656934555431409</v>
      </c>
      <c r="AH179">
        <v>4.7718047914139561</v>
      </c>
      <c r="AI179">
        <v>2.0359630062878593</v>
      </c>
      <c r="AK179">
        <v>54.30436022785036</v>
      </c>
    </row>
    <row r="180" spans="1:37" x14ac:dyDescent="0.2">
      <c r="A180">
        <v>179</v>
      </c>
      <c r="B180">
        <v>765</v>
      </c>
      <c r="C180">
        <v>150</v>
      </c>
      <c r="D180">
        <v>0.44100611664981298</v>
      </c>
      <c r="E180">
        <v>127.94073978407287</v>
      </c>
      <c r="F180">
        <v>52.566052747103555</v>
      </c>
      <c r="G180">
        <v>70.914205753405966</v>
      </c>
      <c r="H180">
        <v>66.328727906320637</v>
      </c>
      <c r="J180">
        <v>63.123333833889163</v>
      </c>
      <c r="L180">
        <v>4.6149827375920722</v>
      </c>
      <c r="M180">
        <v>14.792134245414609</v>
      </c>
      <c r="N180">
        <v>2.1028887232919633</v>
      </c>
      <c r="O180">
        <v>23.654604648960792</v>
      </c>
      <c r="P180">
        <v>8.737157871586561</v>
      </c>
      <c r="R180">
        <v>14.858535480749643</v>
      </c>
      <c r="S180">
        <v>46.01402898742186</v>
      </c>
      <c r="U180">
        <v>2.6069641669703856</v>
      </c>
      <c r="V180">
        <v>47.136698528134467</v>
      </c>
      <c r="W180">
        <v>26.723804176971544</v>
      </c>
      <c r="X180">
        <v>43.535881288100384</v>
      </c>
      <c r="Y180">
        <v>5.6875155831103115</v>
      </c>
      <c r="Z180">
        <v>26.218719909970261</v>
      </c>
      <c r="AA180">
        <v>3.8127586314248911</v>
      </c>
      <c r="AB180">
        <v>35.911051590082543</v>
      </c>
      <c r="AD180">
        <v>5.0134500086768989</v>
      </c>
      <c r="AE180">
        <v>11.606231670812942</v>
      </c>
      <c r="AF180">
        <v>14.402112733143801</v>
      </c>
      <c r="AG180">
        <v>21.576855806086726</v>
      </c>
      <c r="AH180">
        <v>2.0097080443800803</v>
      </c>
      <c r="AI180">
        <v>2.0376322053345333</v>
      </c>
      <c r="AK180">
        <v>52.570784692482192</v>
      </c>
    </row>
    <row r="181" spans="1:37" x14ac:dyDescent="0.2">
      <c r="A181">
        <v>180</v>
      </c>
      <c r="B181">
        <v>764</v>
      </c>
      <c r="C181">
        <v>150</v>
      </c>
      <c r="D181">
        <v>0.44039965289495597</v>
      </c>
      <c r="E181">
        <v>127.70091564116083</v>
      </c>
      <c r="F181">
        <v>49.458034582110756</v>
      </c>
      <c r="G181">
        <v>70.591872582229954</v>
      </c>
      <c r="H181">
        <v>66.003845977272547</v>
      </c>
      <c r="J181">
        <v>57.427720750070876</v>
      </c>
      <c r="L181">
        <v>3.0560541193896134</v>
      </c>
      <c r="M181">
        <v>14.678913554713684</v>
      </c>
      <c r="N181">
        <v>2.104864406519722</v>
      </c>
      <c r="O181">
        <v>16.284058132711937</v>
      </c>
      <c r="P181">
        <v>8.1158466734956871</v>
      </c>
      <c r="R181">
        <v>12.813899825591646</v>
      </c>
      <c r="S181">
        <v>41.42824298762234</v>
      </c>
      <c r="U181">
        <v>2.6407430686039528</v>
      </c>
      <c r="V181">
        <v>46.698846561196483</v>
      </c>
      <c r="W181">
        <v>26.486288020935021</v>
      </c>
      <c r="X181">
        <v>43.672382913926633</v>
      </c>
      <c r="Y181">
        <v>4.414911913767182</v>
      </c>
      <c r="Z181">
        <v>22.726990413113199</v>
      </c>
      <c r="AA181">
        <v>2.0731051721197438</v>
      </c>
      <c r="AB181">
        <v>33.742314297537156</v>
      </c>
      <c r="AD181">
        <v>3.0799917185030674</v>
      </c>
      <c r="AE181">
        <v>9.7971562324146575</v>
      </c>
      <c r="AF181">
        <v>14.287756001699899</v>
      </c>
      <c r="AG181">
        <v>19.393273523648787</v>
      </c>
      <c r="AI181">
        <v>2.0393330036801416</v>
      </c>
      <c r="AK181">
        <v>48.918425848606162</v>
      </c>
    </row>
    <row r="182" spans="1:37" x14ac:dyDescent="0.2">
      <c r="A182">
        <v>181</v>
      </c>
      <c r="B182">
        <v>763</v>
      </c>
      <c r="C182">
        <v>150</v>
      </c>
      <c r="D182">
        <v>0.43979201853014099</v>
      </c>
      <c r="E182">
        <v>127.94359799284759</v>
      </c>
      <c r="F182">
        <v>49.19252138101443</v>
      </c>
      <c r="G182">
        <v>70.718665087857573</v>
      </c>
      <c r="H182">
        <v>66.128102602626953</v>
      </c>
      <c r="J182">
        <v>50.940017468707609</v>
      </c>
      <c r="L182">
        <v>1.6115710036227429</v>
      </c>
      <c r="M182">
        <v>14.468827064521463</v>
      </c>
      <c r="N182">
        <v>2.1068687909276069</v>
      </c>
      <c r="O182">
        <v>8.7889876178096618</v>
      </c>
      <c r="P182">
        <v>8.3928230832096595</v>
      </c>
      <c r="R182">
        <v>11.22590608755964</v>
      </c>
      <c r="S182">
        <v>37.049397822331578</v>
      </c>
      <c r="U182">
        <v>2.6596419706912142</v>
      </c>
      <c r="V182">
        <v>46.541204037932602</v>
      </c>
      <c r="W182">
        <v>26.163389834565688</v>
      </c>
      <c r="X182">
        <v>43.766194859155462</v>
      </c>
      <c r="Y182">
        <v>3.429781663512439</v>
      </c>
      <c r="Z182">
        <v>20.635509258769165</v>
      </c>
      <c r="AA182">
        <v>0.41102870697649635</v>
      </c>
      <c r="AB182">
        <v>32.334457451695179</v>
      </c>
      <c r="AD182">
        <v>1.9185032322965432</v>
      </c>
      <c r="AE182">
        <v>8.5181316919291952</v>
      </c>
      <c r="AF182">
        <v>14.076562454408215</v>
      </c>
      <c r="AG182">
        <v>17.970602863655245</v>
      </c>
      <c r="AI182">
        <v>2.0410616870029208</v>
      </c>
      <c r="AK182">
        <v>44.661017003482328</v>
      </c>
    </row>
    <row r="183" spans="1:37" x14ac:dyDescent="0.2">
      <c r="A183">
        <v>182</v>
      </c>
      <c r="B183">
        <v>762</v>
      </c>
      <c r="C183">
        <v>150</v>
      </c>
      <c r="D183">
        <v>0.439183210162781</v>
      </c>
      <c r="E183">
        <v>128.25447171009557</v>
      </c>
      <c r="F183">
        <v>48.886129662621002</v>
      </c>
      <c r="G183">
        <v>70.84778910331714</v>
      </c>
      <c r="H183">
        <v>66.254703635930625</v>
      </c>
      <c r="J183">
        <v>44.389960085847214</v>
      </c>
      <c r="L183">
        <v>1.5202037255531504</v>
      </c>
      <c r="M183">
        <v>14.095204739531585</v>
      </c>
      <c r="N183">
        <v>2.1088746096614308</v>
      </c>
      <c r="O183">
        <v>7.9965955329326279</v>
      </c>
      <c r="P183">
        <v>8.6744715221629924</v>
      </c>
      <c r="R183">
        <v>10.915812823088352</v>
      </c>
      <c r="S183">
        <v>36.613317261383777</v>
      </c>
      <c r="U183">
        <v>2.6627873222013081</v>
      </c>
      <c r="V183">
        <v>46.893034749582753</v>
      </c>
      <c r="W183">
        <v>25.688473307804841</v>
      </c>
      <c r="X183">
        <v>43.814915547338032</v>
      </c>
      <c r="Y183">
        <v>3.2432164046559735</v>
      </c>
      <c r="Z183">
        <v>18.193316435113484</v>
      </c>
      <c r="AB183">
        <v>31.030470071335859</v>
      </c>
      <c r="AD183">
        <v>0.68722609649700761</v>
      </c>
      <c r="AE183">
        <v>7.054841830369444</v>
      </c>
      <c r="AF183">
        <v>13.701834794617668</v>
      </c>
      <c r="AG183">
        <v>16.651805583815143</v>
      </c>
      <c r="AI183">
        <v>2.0427909866123488</v>
      </c>
      <c r="AK183">
        <v>40.265956286886848</v>
      </c>
    </row>
    <row r="184" spans="1:37" x14ac:dyDescent="0.2">
      <c r="A184">
        <v>183</v>
      </c>
      <c r="B184">
        <v>761</v>
      </c>
      <c r="C184">
        <v>150</v>
      </c>
      <c r="D184">
        <v>0.43857322438717999</v>
      </c>
      <c r="E184">
        <v>128.47440883670868</v>
      </c>
      <c r="F184">
        <v>49.137232387955933</v>
      </c>
      <c r="G184">
        <v>70.878864579174973</v>
      </c>
      <c r="H184">
        <v>66.283269048307403</v>
      </c>
      <c r="J184">
        <v>39.922537562023059</v>
      </c>
      <c r="L184">
        <v>1.5370472655991581</v>
      </c>
      <c r="M184">
        <v>13.677884589907327</v>
      </c>
      <c r="N184">
        <v>2.1108748931457733</v>
      </c>
      <c r="O184">
        <v>7.8858132447222742</v>
      </c>
      <c r="P184">
        <v>8.7600249442037708</v>
      </c>
      <c r="R184">
        <v>10.614820239904276</v>
      </c>
      <c r="S184">
        <v>36.790344318110606</v>
      </c>
      <c r="U184">
        <v>2.6513187579120672</v>
      </c>
      <c r="V184">
        <v>47.388131138696451</v>
      </c>
      <c r="W184">
        <v>25.180091913917504</v>
      </c>
      <c r="X184">
        <v>43.821852383087595</v>
      </c>
      <c r="Y184">
        <v>3.0640446107971688</v>
      </c>
      <c r="Z184">
        <v>17.48134451505209</v>
      </c>
      <c r="AB184">
        <v>30.91065951553157</v>
      </c>
      <c r="AE184">
        <v>6.6250695780145579</v>
      </c>
      <c r="AF184">
        <v>13.283404068440372</v>
      </c>
      <c r="AG184">
        <v>16.51718207942746</v>
      </c>
      <c r="AI184">
        <v>2.0445139310967853</v>
      </c>
      <c r="AK184">
        <v>37.209063908706568</v>
      </c>
    </row>
    <row r="185" spans="1:37" x14ac:dyDescent="0.2">
      <c r="A185">
        <v>184</v>
      </c>
      <c r="B185">
        <v>785</v>
      </c>
      <c r="C185">
        <v>135</v>
      </c>
      <c r="D185">
        <v>0.46848792704248099</v>
      </c>
      <c r="E185">
        <v>122.91689148592684</v>
      </c>
      <c r="F185">
        <v>72.075136811918071</v>
      </c>
      <c r="G185">
        <v>74.137319417255668</v>
      </c>
      <c r="H185">
        <v>69.604991467203689</v>
      </c>
      <c r="J185">
        <v>69.590501201636712</v>
      </c>
      <c r="L185">
        <v>10.028483228509439</v>
      </c>
      <c r="M185">
        <v>14.946280996729264</v>
      </c>
      <c r="N185">
        <v>2.1960249667023799</v>
      </c>
      <c r="O185">
        <v>46.167733276721407</v>
      </c>
      <c r="P185">
        <v>14.765931165466217</v>
      </c>
      <c r="Q185">
        <v>2.422743185947351E-2</v>
      </c>
      <c r="R185">
        <v>23.2748629470079</v>
      </c>
      <c r="S185">
        <v>58.490266655239139</v>
      </c>
      <c r="U185">
        <v>3.1492745156874493</v>
      </c>
      <c r="V185">
        <v>47.887105922918728</v>
      </c>
      <c r="W185">
        <v>30.261972109399782</v>
      </c>
      <c r="X185">
        <v>42.853711208457717</v>
      </c>
      <c r="Y185">
        <v>11.420196307037719</v>
      </c>
      <c r="Z185">
        <v>38.551030717250605</v>
      </c>
      <c r="AA185">
        <v>9.3587307615216488</v>
      </c>
      <c r="AB185">
        <v>41.226836722325601</v>
      </c>
      <c r="AC185">
        <v>0.18755267764888955</v>
      </c>
      <c r="AD185">
        <v>12.05319965399843</v>
      </c>
      <c r="AE185">
        <v>16.978769521460404</v>
      </c>
      <c r="AF185">
        <v>14.758017759390158</v>
      </c>
      <c r="AG185">
        <v>27.386911386037966</v>
      </c>
      <c r="AH185">
        <v>10.244796917507495</v>
      </c>
      <c r="AI185">
        <v>2.1343259819096909</v>
      </c>
      <c r="AK185">
        <v>56.230668465786671</v>
      </c>
    </row>
    <row r="186" spans="1:37" x14ac:dyDescent="0.2">
      <c r="A186">
        <v>185</v>
      </c>
      <c r="B186">
        <v>784</v>
      </c>
      <c r="C186">
        <v>135</v>
      </c>
      <c r="D186">
        <v>0.467918932980182</v>
      </c>
      <c r="E186">
        <v>122.8130118926041</v>
      </c>
      <c r="F186">
        <v>71.695490127170643</v>
      </c>
      <c r="G186">
        <v>74.070729273198836</v>
      </c>
      <c r="H186">
        <v>69.535593122970056</v>
      </c>
      <c r="J186">
        <v>69.533002888733904</v>
      </c>
      <c r="L186">
        <v>9.9289494565258707</v>
      </c>
      <c r="M186">
        <v>14.934230369812221</v>
      </c>
      <c r="N186">
        <v>2.184253692426529</v>
      </c>
      <c r="O186">
        <v>45.685981254669528</v>
      </c>
      <c r="P186">
        <v>14.642206903417971</v>
      </c>
      <c r="R186">
        <v>23.105968684022088</v>
      </c>
      <c r="S186">
        <v>58.266213957368336</v>
      </c>
      <c r="U186">
        <v>3.1157037991564875</v>
      </c>
      <c r="V186">
        <v>47.874848504064268</v>
      </c>
      <c r="W186">
        <v>30.12581722790997</v>
      </c>
      <c r="X186">
        <v>42.806866663972386</v>
      </c>
      <c r="Y186">
        <v>11.313756482028319</v>
      </c>
      <c r="Z186">
        <v>38.341799928100954</v>
      </c>
      <c r="AA186">
        <v>9.2542427055674921</v>
      </c>
      <c r="AB186">
        <v>41.160984984921825</v>
      </c>
      <c r="AC186">
        <v>0.17379134220459647</v>
      </c>
      <c r="AD186">
        <v>11.941054959075997</v>
      </c>
      <c r="AE186">
        <v>16.886620217768591</v>
      </c>
      <c r="AF186">
        <v>14.731077417595992</v>
      </c>
      <c r="AG186">
        <v>27.292439126818234</v>
      </c>
      <c r="AH186">
        <v>10.10446690114548</v>
      </c>
      <c r="AI186">
        <v>2.1222964385402587</v>
      </c>
      <c r="AK186">
        <v>56.209616520508256</v>
      </c>
    </row>
    <row r="187" spans="1:37" x14ac:dyDescent="0.2">
      <c r="A187">
        <v>186</v>
      </c>
      <c r="B187">
        <v>783</v>
      </c>
      <c r="C187">
        <v>135</v>
      </c>
      <c r="D187">
        <v>0.46734886143066801</v>
      </c>
      <c r="E187">
        <v>122.70652832697277</v>
      </c>
      <c r="F187">
        <v>71.252867057662414</v>
      </c>
      <c r="G187">
        <v>73.992136608074631</v>
      </c>
      <c r="H187">
        <v>69.454204734476505</v>
      </c>
      <c r="J187">
        <v>69.482705647128256</v>
      </c>
      <c r="L187">
        <v>9.8058294000637485</v>
      </c>
      <c r="M187">
        <v>14.953862096373101</v>
      </c>
      <c r="N187">
        <v>2.1672993526185538</v>
      </c>
      <c r="O187">
        <v>45.099674707722599</v>
      </c>
      <c r="P187">
        <v>14.489301652671461</v>
      </c>
      <c r="R187">
        <v>22.943377394468214</v>
      </c>
      <c r="S187">
        <v>58.154821321366441</v>
      </c>
      <c r="U187">
        <v>3.1070611433589175</v>
      </c>
      <c r="V187">
        <v>47.917772502452912</v>
      </c>
      <c r="W187">
        <v>30.0192575434051</v>
      </c>
      <c r="X187">
        <v>42.842167500100636</v>
      </c>
      <c r="Y187">
        <v>11.180520094281571</v>
      </c>
      <c r="Z187">
        <v>38.097555137440203</v>
      </c>
      <c r="AA187">
        <v>9.1243222736448217</v>
      </c>
      <c r="AB187">
        <v>41.14087086949062</v>
      </c>
      <c r="AC187">
        <v>0.15484709622330523</v>
      </c>
      <c r="AD187">
        <v>11.808832823573955</v>
      </c>
      <c r="AE187">
        <v>16.783070107625914</v>
      </c>
      <c r="AF187">
        <v>14.730636542191942</v>
      </c>
      <c r="AG187">
        <v>27.238523786660775</v>
      </c>
      <c r="AH187">
        <v>9.9327617358435667</v>
      </c>
      <c r="AI187">
        <v>2.1050830500603559</v>
      </c>
      <c r="AK187">
        <v>56.174281313782622</v>
      </c>
    </row>
    <row r="188" spans="1:37" x14ac:dyDescent="0.2">
      <c r="A188">
        <v>187</v>
      </c>
      <c r="B188">
        <v>782</v>
      </c>
      <c r="C188">
        <v>135</v>
      </c>
      <c r="D188">
        <v>0.466777709330429</v>
      </c>
      <c r="E188">
        <v>122.60054198376511</v>
      </c>
      <c r="F188">
        <v>70.811233108691596</v>
      </c>
      <c r="G188">
        <v>73.913554700441765</v>
      </c>
      <c r="H188">
        <v>69.372839600029508</v>
      </c>
      <c r="J188">
        <v>69.431223888020853</v>
      </c>
      <c r="L188">
        <v>9.6822577563984549</v>
      </c>
      <c r="M188">
        <v>14.97372328589169</v>
      </c>
      <c r="N188">
        <v>2.1502911177341906</v>
      </c>
      <c r="O188">
        <v>44.513289249488992</v>
      </c>
      <c r="P188">
        <v>14.336371161847316</v>
      </c>
      <c r="R188">
        <v>22.779455585128893</v>
      </c>
      <c r="S188">
        <v>58.038790832947782</v>
      </c>
      <c r="U188">
        <v>3.098934570338066</v>
      </c>
      <c r="V188">
        <v>47.958950934771813</v>
      </c>
      <c r="W188">
        <v>29.913572101693298</v>
      </c>
      <c r="X188">
        <v>42.879236144333866</v>
      </c>
      <c r="Y188">
        <v>11.047208481758128</v>
      </c>
      <c r="Z188">
        <v>37.853417379964291</v>
      </c>
      <c r="AA188">
        <v>8.9943148188011115</v>
      </c>
      <c r="AB188">
        <v>41.118149667625147</v>
      </c>
      <c r="AC188">
        <v>0.13584910972535977</v>
      </c>
      <c r="AD188">
        <v>11.676451749303192</v>
      </c>
      <c r="AE188">
        <v>16.679584101779735</v>
      </c>
      <c r="AF188">
        <v>14.730371418383186</v>
      </c>
      <c r="AG188">
        <v>27.181949833049465</v>
      </c>
      <c r="AH188">
        <v>9.7608605608112349</v>
      </c>
      <c r="AI188">
        <v>2.0878149851002115</v>
      </c>
      <c r="AK188">
        <v>56.139008879651378</v>
      </c>
    </row>
    <row r="189" spans="1:37" x14ac:dyDescent="0.2">
      <c r="A189">
        <v>188</v>
      </c>
      <c r="B189">
        <v>781</v>
      </c>
      <c r="C189">
        <v>135</v>
      </c>
      <c r="D189">
        <v>0.46620547360432502</v>
      </c>
      <c r="E189">
        <v>122.49505703932667</v>
      </c>
      <c r="F189">
        <v>70.370627644151398</v>
      </c>
      <c r="G189">
        <v>73.83499565522105</v>
      </c>
      <c r="H189">
        <v>69.291509844338165</v>
      </c>
      <c r="J189">
        <v>69.378548071172418</v>
      </c>
      <c r="L189">
        <v>9.5582645920060649</v>
      </c>
      <c r="M189">
        <v>14.993796705676116</v>
      </c>
      <c r="N189">
        <v>2.1332301857965326</v>
      </c>
      <c r="O189">
        <v>43.926895854035479</v>
      </c>
      <c r="P189">
        <v>14.183440859921697</v>
      </c>
      <c r="R189">
        <v>22.614247127558016</v>
      </c>
      <c r="S189">
        <v>57.918061015123577</v>
      </c>
      <c r="U189">
        <v>3.0913078696719847</v>
      </c>
      <c r="V189">
        <v>47.998368235984906</v>
      </c>
      <c r="W189">
        <v>29.808760239305549</v>
      </c>
      <c r="X189">
        <v>42.918024049583806</v>
      </c>
      <c r="Y189">
        <v>10.913844610309834</v>
      </c>
      <c r="Z189">
        <v>37.60939156337998</v>
      </c>
      <c r="AA189">
        <v>8.8640860994070323</v>
      </c>
      <c r="AB189">
        <v>41.092779599621721</v>
      </c>
      <c r="AC189">
        <v>0.1167985802977603</v>
      </c>
      <c r="AD189">
        <v>11.543920844302418</v>
      </c>
      <c r="AE189">
        <v>16.576154472037334</v>
      </c>
      <c r="AF189">
        <v>14.73026601677735</v>
      </c>
      <c r="AG189">
        <v>27.122676689752868</v>
      </c>
      <c r="AH189">
        <v>9.5887968969432276</v>
      </c>
      <c r="AI189">
        <v>2.070493439856826</v>
      </c>
      <c r="AK189">
        <v>56.103804266737839</v>
      </c>
    </row>
    <row r="190" spans="1:37" x14ac:dyDescent="0.2">
      <c r="A190">
        <v>189</v>
      </c>
      <c r="B190">
        <v>780</v>
      </c>
      <c r="C190">
        <v>135</v>
      </c>
      <c r="D190">
        <v>0.46563215116555001</v>
      </c>
      <c r="E190">
        <v>122.39007731324146</v>
      </c>
      <c r="F190">
        <v>69.931088818204998</v>
      </c>
      <c r="G190">
        <v>73.756471531830499</v>
      </c>
      <c r="H190">
        <v>69.210227546641832</v>
      </c>
      <c r="J190">
        <v>69.324671034407473</v>
      </c>
      <c r="L190">
        <v>9.4338798314115149</v>
      </c>
      <c r="M190">
        <v>15.014064738225764</v>
      </c>
      <c r="N190">
        <v>2.1161177580242709</v>
      </c>
      <c r="O190">
        <v>43.34056516299168</v>
      </c>
      <c r="P190">
        <v>14.030536088109917</v>
      </c>
      <c r="R190">
        <v>22.447796265514768</v>
      </c>
      <c r="S190">
        <v>57.792580237658342</v>
      </c>
      <c r="U190">
        <v>3.0841643214785157</v>
      </c>
      <c r="V190">
        <v>48.036011929019494</v>
      </c>
      <c r="W190">
        <v>29.704820778085086</v>
      </c>
      <c r="X190">
        <v>42.958481153660109</v>
      </c>
      <c r="Y190">
        <v>10.780451395077419</v>
      </c>
      <c r="Z190">
        <v>37.365481895783702</v>
      </c>
      <c r="AA190">
        <v>8.7337360620019826</v>
      </c>
      <c r="AB190">
        <v>41.064723949650372</v>
      </c>
      <c r="AC190">
        <v>9.7696708721943457E-2</v>
      </c>
      <c r="AD190">
        <v>11.411248846792835</v>
      </c>
      <c r="AE190">
        <v>16.472773124005993</v>
      </c>
      <c r="AF190">
        <v>14.730303926385449</v>
      </c>
      <c r="AG190">
        <v>27.060668847623077</v>
      </c>
      <c r="AH190">
        <v>9.4166041498093751</v>
      </c>
      <c r="AI190">
        <v>2.0531196137214045</v>
      </c>
      <c r="AK190">
        <v>56.068672298825412</v>
      </c>
    </row>
    <row r="191" spans="1:37" x14ac:dyDescent="0.2">
      <c r="A191">
        <v>190</v>
      </c>
      <c r="B191">
        <v>779</v>
      </c>
      <c r="C191">
        <v>135</v>
      </c>
      <c r="D191">
        <v>0.46505773891555402</v>
      </c>
      <c r="E191">
        <v>122.28560627454674</v>
      </c>
      <c r="F191">
        <v>69.492653451424729</v>
      </c>
      <c r="G191">
        <v>73.67799430774852</v>
      </c>
      <c r="H191">
        <v>69.129004704282636</v>
      </c>
      <c r="J191">
        <v>69.26958786311593</v>
      </c>
      <c r="L191">
        <v>9.3091331372860875</v>
      </c>
      <c r="M191">
        <v>15.034509428310313</v>
      </c>
      <c r="N191">
        <v>2.0989550275796933</v>
      </c>
      <c r="O191">
        <v>42.754367227552336</v>
      </c>
      <c r="P191">
        <v>13.877682015756594</v>
      </c>
      <c r="R191">
        <v>22.280147388030386</v>
      </c>
      <c r="S191">
        <v>57.662306393003611</v>
      </c>
      <c r="U191">
        <v>3.0774867625408269</v>
      </c>
      <c r="V191">
        <v>48.07187247967083</v>
      </c>
      <c r="W191">
        <v>29.601752087684922</v>
      </c>
      <c r="X191">
        <v>43.000556081070101</v>
      </c>
      <c r="Y191">
        <v>10.647051624721096</v>
      </c>
      <c r="Z191">
        <v>37.12169182567991</v>
      </c>
      <c r="AA191">
        <v>8.603284705367944</v>
      </c>
      <c r="AB191">
        <v>41.033950915770667</v>
      </c>
      <c r="AC191">
        <v>7.8544687723754864E-2</v>
      </c>
      <c r="AD191">
        <v>11.278444078052377</v>
      </c>
      <c r="AE191">
        <v>16.36943159264559</v>
      </c>
      <c r="AF191">
        <v>14.730468390441244</v>
      </c>
      <c r="AG191">
        <v>26.995895703368152</v>
      </c>
      <c r="AH191">
        <v>9.2443155114229167</v>
      </c>
      <c r="AI191">
        <v>2.0356946980287458</v>
      </c>
      <c r="AK191">
        <v>56.033617536211459</v>
      </c>
    </row>
    <row r="192" spans="1:37" x14ac:dyDescent="0.2">
      <c r="A192">
        <v>191</v>
      </c>
      <c r="B192">
        <v>778</v>
      </c>
      <c r="C192">
        <v>135</v>
      </c>
      <c r="D192">
        <v>0.464482233743996</v>
      </c>
      <c r="E192">
        <v>122.18164705013626</v>
      </c>
      <c r="F192">
        <v>69.055356927693992</v>
      </c>
      <c r="G192">
        <v>73.599575846105594</v>
      </c>
      <c r="H192">
        <v>69.047853200288742</v>
      </c>
      <c r="J192">
        <v>69.213295754145847</v>
      </c>
      <c r="L192">
        <v>9.1840538155135292</v>
      </c>
      <c r="M192">
        <v>15.055112526154485</v>
      </c>
      <c r="N192">
        <v>2.081743169384318</v>
      </c>
      <c r="O192">
        <v>42.168371278855432</v>
      </c>
      <c r="P192">
        <v>13.724903565321116</v>
      </c>
      <c r="R192">
        <v>22.111344817164422</v>
      </c>
      <c r="S192">
        <v>57.527206526856546</v>
      </c>
      <c r="U192">
        <v>3.0712576481206275</v>
      </c>
      <c r="V192">
        <v>48.105943140122058</v>
      </c>
      <c r="W192">
        <v>29.499552146064577</v>
      </c>
      <c r="X192">
        <v>43.044196335331293</v>
      </c>
      <c r="Y192">
        <v>10.513667893795295</v>
      </c>
      <c r="Z192">
        <v>36.878023990914443</v>
      </c>
      <c r="AA192">
        <v>8.4728264577242154</v>
      </c>
      <c r="AB192">
        <v>41.000433435486229</v>
      </c>
      <c r="AC192">
        <v>5.9343691787806921E-2</v>
      </c>
      <c r="AD192">
        <v>11.145514400913646</v>
      </c>
      <c r="AE192">
        <v>16.266121039933292</v>
      </c>
      <c r="AF192">
        <v>14.730742339406369</v>
      </c>
      <c r="AG192">
        <v>26.928331374912784</v>
      </c>
      <c r="AH192">
        <v>9.0719638771551487</v>
      </c>
      <c r="AI192">
        <v>2.0182198658720671</v>
      </c>
      <c r="AK192">
        <v>55.998644242462774</v>
      </c>
    </row>
    <row r="193" spans="1:37" x14ac:dyDescent="0.2">
      <c r="A193">
        <v>192</v>
      </c>
      <c r="B193">
        <v>777</v>
      </c>
      <c r="C193">
        <v>135</v>
      </c>
      <c r="D193">
        <v>0.46390563252868899</v>
      </c>
      <c r="E193">
        <v>122.07820243387498</v>
      </c>
      <c r="F193">
        <v>68.619233107718813</v>
      </c>
      <c r="G193">
        <v>73.521227866891095</v>
      </c>
      <c r="H193">
        <v>68.966784774586827</v>
      </c>
      <c r="J193">
        <v>69.155793876740987</v>
      </c>
      <c r="L193">
        <v>9.0586707375967013</v>
      </c>
      <c r="M193">
        <v>15.075855526825984</v>
      </c>
      <c r="N193">
        <v>2.0644833308475814</v>
      </c>
      <c r="O193">
        <v>41.58264552476497</v>
      </c>
      <c r="P193">
        <v>13.572225345531724</v>
      </c>
      <c r="R193">
        <v>21.941432611240927</v>
      </c>
      <c r="S193">
        <v>57.387256436301982</v>
      </c>
      <c r="U193">
        <v>3.065459109413843</v>
      </c>
      <c r="V193">
        <v>48.138219785094506</v>
      </c>
      <c r="W193">
        <v>29.398218597949242</v>
      </c>
      <c r="X193">
        <v>43.089348470239877</v>
      </c>
      <c r="Y193">
        <v>10.380322542412923</v>
      </c>
      <c r="Z193">
        <v>36.634480176631214</v>
      </c>
      <c r="AA193">
        <v>8.3422271250052145</v>
      </c>
      <c r="AB193">
        <v>40.964148994451456</v>
      </c>
      <c r="AC193">
        <v>4.0094867885464146E-2</v>
      </c>
      <c r="AD193">
        <v>11.012467183824841</v>
      </c>
      <c r="AE193">
        <v>16.162832255076733</v>
      </c>
      <c r="AF193">
        <v>14.731108421084212</v>
      </c>
      <c r="AG193">
        <v>26.85795450083798</v>
      </c>
      <c r="AH193">
        <v>8.8995817462417772</v>
      </c>
      <c r="AI193">
        <v>2.0006962628320344</v>
      </c>
      <c r="AK193">
        <v>55.963756355483156</v>
      </c>
    </row>
    <row r="194" spans="1:37" x14ac:dyDescent="0.2">
      <c r="A194">
        <v>193</v>
      </c>
      <c r="B194">
        <v>776</v>
      </c>
      <c r="C194">
        <v>135</v>
      </c>
      <c r="D194">
        <v>0.46332793213554102</v>
      </c>
      <c r="E194">
        <v>121.9752748963364</v>
      </c>
      <c r="F194">
        <v>68.184314265149354</v>
      </c>
      <c r="G194">
        <v>73.442961922822434</v>
      </c>
      <c r="H194">
        <v>68.885810999870216</v>
      </c>
      <c r="J194">
        <v>69.097083235696843</v>
      </c>
      <c r="L194">
        <v>8.9330122793490077</v>
      </c>
      <c r="M194">
        <v>15.096719703477911</v>
      </c>
      <c r="N194">
        <v>2.0471766242488481</v>
      </c>
      <c r="O194">
        <v>40.997256983006835</v>
      </c>
      <c r="P194">
        <v>13.419671595500809</v>
      </c>
      <c r="R194">
        <v>21.770454386473709</v>
      </c>
      <c r="S194">
        <v>57.242440243590302</v>
      </c>
      <c r="U194">
        <v>3.060073003884872</v>
      </c>
      <c r="V194">
        <v>48.168700742185671</v>
      </c>
      <c r="W194">
        <v>29.29774880674562</v>
      </c>
      <c r="X194">
        <v>43.135958266609926</v>
      </c>
      <c r="Y194">
        <v>10.247037605767034</v>
      </c>
      <c r="Z194">
        <v>36.391061286112937</v>
      </c>
      <c r="AA194">
        <v>8.2115857882292467</v>
      </c>
      <c r="AB194">
        <v>40.925079423606924</v>
      </c>
      <c r="AC194">
        <v>2.0799327859302021E-2</v>
      </c>
      <c r="AD194">
        <v>10.879309272696176</v>
      </c>
      <c r="AE194">
        <v>16.059555658797734</v>
      </c>
      <c r="AF194">
        <v>14.731549026248018</v>
      </c>
      <c r="AG194">
        <v>26.784748029898182</v>
      </c>
      <c r="AH194">
        <v>8.7272011825194244</v>
      </c>
      <c r="AI194">
        <v>1.9831249993585478</v>
      </c>
      <c r="AK194">
        <v>55.928957465311584</v>
      </c>
    </row>
    <row r="195" spans="1:37" x14ac:dyDescent="0.2">
      <c r="A195">
        <v>194</v>
      </c>
      <c r="B195">
        <v>775</v>
      </c>
      <c r="C195">
        <v>135</v>
      </c>
      <c r="D195">
        <v>0.46274912941850099</v>
      </c>
      <c r="E195">
        <v>121.8728665949436</v>
      </c>
      <c r="F195">
        <v>67.750631040387958</v>
      </c>
      <c r="G195">
        <v>73.364789378880445</v>
      </c>
      <c r="H195">
        <v>68.804943261131569</v>
      </c>
      <c r="J195">
        <v>69.037166540214017</v>
      </c>
      <c r="L195">
        <v>8.8071062718069726</v>
      </c>
      <c r="M195">
        <v>15.117686137267492</v>
      </c>
      <c r="N195">
        <v>2.0298241204273557</v>
      </c>
      <c r="O195">
        <v>40.41227134223017</v>
      </c>
      <c r="P195">
        <v>13.267266137481942</v>
      </c>
      <c r="R195">
        <v>21.598453158711877</v>
      </c>
      <c r="S195">
        <v>57.092749965090952</v>
      </c>
      <c r="U195">
        <v>3.055080960417361</v>
      </c>
      <c r="V195">
        <v>48.197386624349846</v>
      </c>
      <c r="W195">
        <v>29.198139901817594</v>
      </c>
      <c r="X195">
        <v>43.183970828681737</v>
      </c>
      <c r="Y195">
        <v>10.113834771381045</v>
      </c>
      <c r="Z195">
        <v>36.147767321773735</v>
      </c>
      <c r="AA195">
        <v>8.0809216371270445</v>
      </c>
      <c r="AB195">
        <v>40.883210693562468</v>
      </c>
      <c r="AC195">
        <v>1.4581421095548617E-3</v>
      </c>
      <c r="AD195">
        <v>10.746046969050672</v>
      </c>
      <c r="AE195">
        <v>15.956281310850056</v>
      </c>
      <c r="AF195">
        <v>14.732046312244114</v>
      </c>
      <c r="AG195">
        <v>26.708699009096051</v>
      </c>
      <c r="AH195">
        <v>8.5548537566205916</v>
      </c>
      <c r="AI195">
        <v>1.9655071444605614</v>
      </c>
      <c r="AK195">
        <v>55.894250797826871</v>
      </c>
    </row>
    <row r="196" spans="1:37" x14ac:dyDescent="0.2">
      <c r="A196">
        <v>195</v>
      </c>
      <c r="B196">
        <v>774</v>
      </c>
      <c r="C196">
        <v>135</v>
      </c>
      <c r="D196">
        <v>0.46216922121950399</v>
      </c>
      <c r="E196">
        <v>121.657521944157</v>
      </c>
      <c r="F196">
        <v>66.682905857120119</v>
      </c>
      <c r="G196">
        <v>73.180112419389474</v>
      </c>
      <c r="H196">
        <v>68.617583762747529</v>
      </c>
      <c r="J196">
        <v>68.765680658073151</v>
      </c>
      <c r="L196">
        <v>8.5108582015088796</v>
      </c>
      <c r="M196">
        <v>15.141737881706431</v>
      </c>
      <c r="N196">
        <v>2.0301341353122697</v>
      </c>
      <c r="O196">
        <v>39.207242714154731</v>
      </c>
      <c r="P196">
        <v>12.919521677569083</v>
      </c>
      <c r="R196">
        <v>21.198154122977183</v>
      </c>
      <c r="S196">
        <v>56.632601161813177</v>
      </c>
      <c r="U196">
        <v>3.0439412348030119</v>
      </c>
      <c r="V196">
        <v>48.20649126806552</v>
      </c>
      <c r="W196">
        <v>28.988414083754638</v>
      </c>
      <c r="X196">
        <v>43.197754569010144</v>
      </c>
      <c r="Y196">
        <v>9.7823017319158936</v>
      </c>
      <c r="Z196">
        <v>35.557151154842373</v>
      </c>
      <c r="AA196">
        <v>7.7760873349861503</v>
      </c>
      <c r="AB196">
        <v>40.744701037010245</v>
      </c>
      <c r="AD196">
        <v>10.397498668396988</v>
      </c>
      <c r="AE196">
        <v>15.729019591894815</v>
      </c>
      <c r="AF196">
        <v>14.753291653877559</v>
      </c>
      <c r="AG196">
        <v>26.553673992620812</v>
      </c>
      <c r="AH196">
        <v>8.074830260077011</v>
      </c>
      <c r="AI196">
        <v>1.9655510122366102</v>
      </c>
      <c r="AK196">
        <v>55.709347622086376</v>
      </c>
    </row>
    <row r="197" spans="1:37" x14ac:dyDescent="0.2">
      <c r="A197">
        <v>196</v>
      </c>
      <c r="B197">
        <v>773</v>
      </c>
      <c r="C197">
        <v>135</v>
      </c>
      <c r="D197">
        <v>0.46158820436839998</v>
      </c>
      <c r="E197">
        <v>121.42124312894398</v>
      </c>
      <c r="F197">
        <v>65.467166503006766</v>
      </c>
      <c r="G197">
        <v>72.970535844127468</v>
      </c>
      <c r="H197">
        <v>68.405337324585588</v>
      </c>
      <c r="J197">
        <v>68.420578239387652</v>
      </c>
      <c r="L197">
        <v>8.1692811157392065</v>
      </c>
      <c r="M197">
        <v>15.169031034870407</v>
      </c>
      <c r="N197">
        <v>2.0321135598062341</v>
      </c>
      <c r="O197">
        <v>37.843893485403292</v>
      </c>
      <c r="P197">
        <v>12.523654727792218</v>
      </c>
      <c r="R197">
        <v>20.729589174654755</v>
      </c>
      <c r="S197">
        <v>56.036482720406134</v>
      </c>
      <c r="U197">
        <v>3.0381356308563356</v>
      </c>
      <c r="V197">
        <v>48.191416924991408</v>
      </c>
      <c r="W197">
        <v>28.771253257685451</v>
      </c>
      <c r="X197">
        <v>43.225860661283726</v>
      </c>
      <c r="Y197">
        <v>9.4024876311766885</v>
      </c>
      <c r="Z197">
        <v>34.876058778633883</v>
      </c>
      <c r="AA197">
        <v>7.4264382103255047</v>
      </c>
      <c r="AB197">
        <v>40.544890438252892</v>
      </c>
      <c r="AD197">
        <v>9.9937943002926239</v>
      </c>
      <c r="AE197">
        <v>15.466965709145649</v>
      </c>
      <c r="AF197">
        <v>14.77944804550029</v>
      </c>
      <c r="AG197">
        <v>26.339019861267445</v>
      </c>
      <c r="AH197">
        <v>7.5212417772778615</v>
      </c>
      <c r="AI197">
        <v>1.9672634917583585</v>
      </c>
      <c r="AK197">
        <v>55.48416620655459</v>
      </c>
    </row>
    <row r="198" spans="1:37" x14ac:dyDescent="0.2">
      <c r="A198">
        <v>197</v>
      </c>
      <c r="B198">
        <v>772</v>
      </c>
      <c r="C198">
        <v>135</v>
      </c>
      <c r="D198">
        <v>0.46100607568291702</v>
      </c>
      <c r="E198">
        <v>121.16343448538558</v>
      </c>
      <c r="F198">
        <v>64.072289149228652</v>
      </c>
      <c r="G198">
        <v>72.731994209255518</v>
      </c>
      <c r="H198">
        <v>68.164138522934124</v>
      </c>
      <c r="J198">
        <v>67.96940051847956</v>
      </c>
      <c r="L198">
        <v>7.7709872695871018</v>
      </c>
      <c r="M198">
        <v>15.199475130840305</v>
      </c>
      <c r="N198">
        <v>2.0340908951618224</v>
      </c>
      <c r="O198">
        <v>36.283752117620622</v>
      </c>
      <c r="P198">
        <v>12.069862923358206</v>
      </c>
      <c r="R198">
        <v>20.170518999784836</v>
      </c>
      <c r="S198">
        <v>55.236636922545557</v>
      </c>
      <c r="U198">
        <v>3.0411747785170706</v>
      </c>
      <c r="V198">
        <v>48.135132779561054</v>
      </c>
      <c r="W198">
        <v>28.55782768867822</v>
      </c>
      <c r="X198">
        <v>43.280046969424028</v>
      </c>
      <c r="Y198">
        <v>8.9648377589415755</v>
      </c>
      <c r="Z198">
        <v>34.075780983236172</v>
      </c>
      <c r="AA198">
        <v>7.0212648932686568</v>
      </c>
      <c r="AB198">
        <v>40.244509409777422</v>
      </c>
      <c r="AD198">
        <v>9.5193854323303668</v>
      </c>
      <c r="AE198">
        <v>15.155726461161395</v>
      </c>
      <c r="AF198">
        <v>14.808753527835909</v>
      </c>
      <c r="AG198">
        <v>26.023795634376384</v>
      </c>
      <c r="AH198">
        <v>6.8805418308105768</v>
      </c>
      <c r="AI198">
        <v>1.9689730824465845</v>
      </c>
      <c r="AK198">
        <v>55.205359556275496</v>
      </c>
    </row>
    <row r="199" spans="1:37" x14ac:dyDescent="0.2">
      <c r="A199">
        <v>198</v>
      </c>
      <c r="B199">
        <v>771</v>
      </c>
      <c r="C199">
        <v>135</v>
      </c>
      <c r="D199">
        <v>0.46042283196858502</v>
      </c>
      <c r="E199">
        <v>120.50662853944573</v>
      </c>
      <c r="F199">
        <v>59.6356072613438</v>
      </c>
      <c r="G199">
        <v>72.051549880364078</v>
      </c>
      <c r="H199">
        <v>67.481049743550926</v>
      </c>
      <c r="J199">
        <v>65.979842661966629</v>
      </c>
      <c r="L199">
        <v>6.5137099623320323</v>
      </c>
      <c r="M199">
        <v>15.185349147986255</v>
      </c>
      <c r="N199">
        <v>2.0360479316779809</v>
      </c>
      <c r="O199">
        <v>31.632836096819343</v>
      </c>
      <c r="P199">
        <v>10.73225280743946</v>
      </c>
      <c r="R199">
        <v>18.276063338214481</v>
      </c>
      <c r="S199">
        <v>52.034094207899678</v>
      </c>
      <c r="U199">
        <v>3.0651696334795386</v>
      </c>
      <c r="V199">
        <v>47.730590553219258</v>
      </c>
      <c r="W199">
        <v>28.36621071824262</v>
      </c>
      <c r="X199">
        <v>43.391327213475002</v>
      </c>
      <c r="Y199">
        <v>7.6368990480994015</v>
      </c>
      <c r="Z199">
        <v>31.183438511438041</v>
      </c>
      <c r="AA199">
        <v>5.7549253388315851</v>
      </c>
      <c r="AB199">
        <v>38.720360624441241</v>
      </c>
      <c r="AD199">
        <v>7.8427680263244204</v>
      </c>
      <c r="AE199">
        <v>13.926419554636466</v>
      </c>
      <c r="AF199">
        <v>14.793468874950626</v>
      </c>
      <c r="AG199">
        <v>24.484785780727901</v>
      </c>
      <c r="AH199">
        <v>4.8883946754953751</v>
      </c>
      <c r="AI199">
        <v>1.9706615727676244</v>
      </c>
      <c r="AK199">
        <v>54.002835586464123</v>
      </c>
    </row>
    <row r="200" spans="1:37" x14ac:dyDescent="0.2">
      <c r="A200">
        <v>199</v>
      </c>
      <c r="B200">
        <v>770</v>
      </c>
      <c r="C200">
        <v>135</v>
      </c>
      <c r="D200">
        <v>0.45983847001869499</v>
      </c>
      <c r="E200">
        <v>119.6691988946925</v>
      </c>
      <c r="F200">
        <v>53.796271810470323</v>
      </c>
      <c r="G200">
        <v>71.173774536494875</v>
      </c>
      <c r="H200">
        <v>66.600642685681834</v>
      </c>
      <c r="J200">
        <v>63.307070617221498</v>
      </c>
      <c r="L200">
        <v>4.8658874651783659</v>
      </c>
      <c r="M200">
        <v>15.129224049841618</v>
      </c>
      <c r="N200">
        <v>2.0379949797261157</v>
      </c>
      <c r="O200">
        <v>25.584122701133325</v>
      </c>
      <c r="P200">
        <v>8.9999780702385852</v>
      </c>
      <c r="R200">
        <v>15.779118040469969</v>
      </c>
      <c r="S200">
        <v>47.899642432805216</v>
      </c>
      <c r="U200">
        <v>3.0853876615991855</v>
      </c>
      <c r="V200">
        <v>47.21937700221617</v>
      </c>
      <c r="W200">
        <v>28.191664803674904</v>
      </c>
      <c r="X200">
        <v>43.489186784713119</v>
      </c>
      <c r="Y200">
        <v>5.9084390573880361</v>
      </c>
      <c r="Z200">
        <v>27.268473516971493</v>
      </c>
      <c r="AA200">
        <v>4.0969188744903366</v>
      </c>
      <c r="AB200">
        <v>36.702938947833907</v>
      </c>
      <c r="AD200">
        <v>5.5714953512660186</v>
      </c>
      <c r="AE200">
        <v>12.247713066006083</v>
      </c>
      <c r="AF200">
        <v>14.736175366162287</v>
      </c>
      <c r="AG200">
        <v>22.452495481923261</v>
      </c>
      <c r="AH200">
        <v>2.2639433533596582</v>
      </c>
      <c r="AI200">
        <v>1.9723392712607397</v>
      </c>
      <c r="AK200">
        <v>52.359425951514488</v>
      </c>
    </row>
    <row r="201" spans="1:37" x14ac:dyDescent="0.2">
      <c r="A201">
        <v>200</v>
      </c>
      <c r="B201">
        <v>769</v>
      </c>
      <c r="C201">
        <v>135</v>
      </c>
      <c r="D201">
        <v>0.45925298661421299</v>
      </c>
      <c r="E201">
        <v>119.30274159806027</v>
      </c>
      <c r="F201">
        <v>50.207871900368659</v>
      </c>
      <c r="G201">
        <v>70.736630925837474</v>
      </c>
      <c r="H201">
        <v>66.160880117761934</v>
      </c>
      <c r="J201">
        <v>58.737083996901113</v>
      </c>
      <c r="L201">
        <v>3.4109637424329193</v>
      </c>
      <c r="M201">
        <v>15.038593913297266</v>
      </c>
      <c r="N201">
        <v>2.0399651414419822</v>
      </c>
      <c r="O201">
        <v>19.111080221664896</v>
      </c>
      <c r="P201">
        <v>8.1489973320854041</v>
      </c>
      <c r="R201">
        <v>13.763412090292652</v>
      </c>
      <c r="S201">
        <v>43.67984025853648</v>
      </c>
      <c r="U201">
        <v>3.1184254588765401</v>
      </c>
      <c r="V201">
        <v>46.748938228195577</v>
      </c>
      <c r="W201">
        <v>27.973916066723113</v>
      </c>
      <c r="X201">
        <v>43.624135141365592</v>
      </c>
      <c r="Y201">
        <v>4.6258616981037655</v>
      </c>
      <c r="Z201">
        <v>23.865562463807546</v>
      </c>
      <c r="AA201">
        <v>2.5156794846038681</v>
      </c>
      <c r="AB201">
        <v>34.623217135747261</v>
      </c>
      <c r="AD201">
        <v>3.6717652192904109</v>
      </c>
      <c r="AE201">
        <v>10.556049526555119</v>
      </c>
      <c r="AF201">
        <v>14.644400185922821</v>
      </c>
      <c r="AG201">
        <v>20.357930601547515</v>
      </c>
      <c r="AI201">
        <v>1.9740392782279124</v>
      </c>
      <c r="AK201">
        <v>49.467609340019628</v>
      </c>
    </row>
    <row r="202" spans="1:37" x14ac:dyDescent="0.2">
      <c r="A202">
        <v>201</v>
      </c>
      <c r="B202">
        <v>768</v>
      </c>
      <c r="C202">
        <v>135</v>
      </c>
      <c r="D202">
        <v>0.45866637852374798</v>
      </c>
      <c r="E202">
        <v>119.55350784134762</v>
      </c>
      <c r="F202">
        <v>49.835668158895281</v>
      </c>
      <c r="G202">
        <v>70.868593527919415</v>
      </c>
      <c r="H202">
        <v>66.290236539600215</v>
      </c>
      <c r="J202">
        <v>52.13489684433781</v>
      </c>
      <c r="L202">
        <v>2.0301852110255059</v>
      </c>
      <c r="M202">
        <v>14.84967690137923</v>
      </c>
      <c r="N202">
        <v>2.041970250671219</v>
      </c>
      <c r="O202">
        <v>11.754306900107766</v>
      </c>
      <c r="P202">
        <v>8.4362714077471921</v>
      </c>
      <c r="R202">
        <v>12.22051197632919</v>
      </c>
      <c r="S202">
        <v>39.229369864948524</v>
      </c>
      <c r="U202">
        <v>3.1504137957787588</v>
      </c>
      <c r="V202">
        <v>46.495282319862575</v>
      </c>
      <c r="W202">
        <v>27.659840557943383</v>
      </c>
      <c r="X202">
        <v>43.756179274999738</v>
      </c>
      <c r="Y202">
        <v>3.7118442712803632</v>
      </c>
      <c r="Z202">
        <v>21.573279575769487</v>
      </c>
      <c r="AA202">
        <v>0.90347457003931053</v>
      </c>
      <c r="AB202">
        <v>32.95013977137657</v>
      </c>
      <c r="AD202">
        <v>2.4331573642026303</v>
      </c>
      <c r="AE202">
        <v>9.1387400443905573</v>
      </c>
      <c r="AF202">
        <v>14.454373336538865</v>
      </c>
      <c r="AG202">
        <v>18.670047562316569</v>
      </c>
      <c r="AI202">
        <v>1.9757734256811224</v>
      </c>
      <c r="AK202">
        <v>45.176846733304778</v>
      </c>
    </row>
    <row r="203" spans="1:37" x14ac:dyDescent="0.2">
      <c r="A203">
        <v>202</v>
      </c>
      <c r="B203">
        <v>767</v>
      </c>
      <c r="C203">
        <v>135</v>
      </c>
      <c r="D203">
        <v>0.45807864250348701</v>
      </c>
      <c r="E203">
        <v>119.82479726756064</v>
      </c>
      <c r="F203">
        <v>49.567247059531454</v>
      </c>
      <c r="G203">
        <v>70.987850676059637</v>
      </c>
      <c r="H203">
        <v>66.40690030483799</v>
      </c>
      <c r="J203">
        <v>46.150132207949909</v>
      </c>
      <c r="L203">
        <v>1.487122190646587</v>
      </c>
      <c r="M203">
        <v>14.547494076363137</v>
      </c>
      <c r="N203">
        <v>2.0439767778253377</v>
      </c>
      <c r="O203">
        <v>8.8617054139430156</v>
      </c>
      <c r="P203">
        <v>8.6981434562062088</v>
      </c>
      <c r="R203">
        <v>11.489131880504699</v>
      </c>
      <c r="S203">
        <v>37.477877956537469</v>
      </c>
      <c r="U203">
        <v>3.1593048019475449</v>
      </c>
      <c r="V203">
        <v>46.648088592254965</v>
      </c>
      <c r="W203">
        <v>27.249983757611009</v>
      </c>
      <c r="X203">
        <v>43.821961835357428</v>
      </c>
      <c r="Y203">
        <v>3.2400024559703295</v>
      </c>
      <c r="Z203">
        <v>19.395455450982801</v>
      </c>
      <c r="AB203">
        <v>31.677396991024096</v>
      </c>
      <c r="AD203">
        <v>1.2966558430570121</v>
      </c>
      <c r="AE203">
        <v>7.8222738362327302</v>
      </c>
      <c r="AF203">
        <v>14.15108235614696</v>
      </c>
      <c r="AG203">
        <v>17.382502976637376</v>
      </c>
      <c r="AI203">
        <v>1.9775081821978753</v>
      </c>
      <c r="AK203">
        <v>41.197831088851331</v>
      </c>
    </row>
    <row r="204" spans="1:37" x14ac:dyDescent="0.2">
      <c r="A204">
        <v>203</v>
      </c>
      <c r="B204">
        <v>766</v>
      </c>
      <c r="C204">
        <v>135</v>
      </c>
      <c r="D204">
        <v>0.45748977529712298</v>
      </c>
      <c r="E204">
        <v>120.08876446398945</v>
      </c>
      <c r="F204">
        <v>49.507345351643337</v>
      </c>
      <c r="G204">
        <v>71.073993083541893</v>
      </c>
      <c r="H204">
        <v>66.490462147119132</v>
      </c>
      <c r="J204">
        <v>41.393801448675219</v>
      </c>
      <c r="L204">
        <v>1.507528849411643</v>
      </c>
      <c r="M204">
        <v>14.162769939816879</v>
      </c>
      <c r="N204">
        <v>2.0459820060033262</v>
      </c>
      <c r="O204">
        <v>8.6696052323997215</v>
      </c>
      <c r="P204">
        <v>8.8937922091188604</v>
      </c>
      <c r="R204">
        <v>11.257434351570511</v>
      </c>
      <c r="S204">
        <v>37.508442418708249</v>
      </c>
      <c r="U204">
        <v>3.1528817612240299</v>
      </c>
      <c r="V204">
        <v>47.077925311051942</v>
      </c>
      <c r="W204">
        <v>26.768691394088084</v>
      </c>
      <c r="X204">
        <v>43.843910926374853</v>
      </c>
      <c r="Y204">
        <v>3.1016424850781634</v>
      </c>
      <c r="Z204">
        <v>17.734422540839674</v>
      </c>
      <c r="AB204">
        <v>30.923280980461115</v>
      </c>
      <c r="AD204">
        <v>0.44163176862522813</v>
      </c>
      <c r="AE204">
        <v>6.8283117407369529</v>
      </c>
      <c r="AF204">
        <v>13.765249034873861</v>
      </c>
      <c r="AG204">
        <v>16.613586319090842</v>
      </c>
      <c r="AI204">
        <v>1.979240829041871</v>
      </c>
      <c r="AK204">
        <v>37.972360492096414</v>
      </c>
    </row>
    <row r="205" spans="1:37" x14ac:dyDescent="0.2">
      <c r="A205">
        <v>204</v>
      </c>
      <c r="B205">
        <v>765</v>
      </c>
      <c r="C205">
        <v>135</v>
      </c>
      <c r="D205">
        <v>0.45689977363579698</v>
      </c>
      <c r="E205">
        <v>120.26906893623227</v>
      </c>
      <c r="F205">
        <v>49.886789642534161</v>
      </c>
      <c r="G205">
        <v>71.073420065741445</v>
      </c>
      <c r="H205">
        <v>66.487321402219521</v>
      </c>
      <c r="J205">
        <v>37.924349103615327</v>
      </c>
      <c r="L205">
        <v>1.5207680380539932</v>
      </c>
      <c r="M205">
        <v>13.755539644209987</v>
      </c>
      <c r="N205">
        <v>2.0479820343325241</v>
      </c>
      <c r="O205">
        <v>8.5978393560714252</v>
      </c>
      <c r="P205">
        <v>8.916012418414498</v>
      </c>
      <c r="R205">
        <v>10.936401516925141</v>
      </c>
      <c r="S205">
        <v>37.732726401474729</v>
      </c>
      <c r="U205">
        <v>3.1382964633806973</v>
      </c>
      <c r="V205">
        <v>47.57078458024472</v>
      </c>
      <c r="W205">
        <v>26.270700907902668</v>
      </c>
      <c r="X205">
        <v>43.842638080063054</v>
      </c>
      <c r="Y205">
        <v>2.9109615138821097</v>
      </c>
      <c r="Z205">
        <v>17.534319558493735</v>
      </c>
      <c r="AB205">
        <v>31.116619036371191</v>
      </c>
      <c r="AE205">
        <v>6.7011711794552493</v>
      </c>
      <c r="AF205">
        <v>13.356904629792268</v>
      </c>
      <c r="AG205">
        <v>16.79212099121748</v>
      </c>
      <c r="AI205">
        <v>1.9809674635060925</v>
      </c>
      <c r="AK205">
        <v>35.577896030899275</v>
      </c>
    </row>
    <row r="206" spans="1:37" x14ac:dyDescent="0.2">
      <c r="A206">
        <v>205</v>
      </c>
      <c r="B206">
        <v>794</v>
      </c>
      <c r="C206">
        <v>120</v>
      </c>
      <c r="D206">
        <v>0.489022630370612</v>
      </c>
      <c r="E206">
        <v>114.92748874603063</v>
      </c>
      <c r="F206">
        <v>74.193632669571514</v>
      </c>
      <c r="G206">
        <v>74.597467904407196</v>
      </c>
      <c r="H206">
        <v>70.090532823872877</v>
      </c>
      <c r="J206">
        <v>69.870199122657823</v>
      </c>
      <c r="L206">
        <v>10.536654104969442</v>
      </c>
      <c r="M206">
        <v>15.278287250491216</v>
      </c>
      <c r="N206">
        <v>2.1672012379061152</v>
      </c>
      <c r="O206">
        <v>49.616691692460591</v>
      </c>
      <c r="P206">
        <v>15.382172110939633</v>
      </c>
      <c r="Q206">
        <v>4.3663427979883623E-2</v>
      </c>
      <c r="R206">
        <v>24.6606161671602</v>
      </c>
      <c r="S206">
        <v>61.243824006307634</v>
      </c>
      <c r="U206">
        <v>3.7331971997581244</v>
      </c>
      <c r="V206">
        <v>48.024069171144426</v>
      </c>
      <c r="W206">
        <v>32.341168389157666</v>
      </c>
      <c r="X206">
        <v>42.720970668333663</v>
      </c>
      <c r="Y206">
        <v>11.923781746605179</v>
      </c>
      <c r="Z206">
        <v>40.062691876019528</v>
      </c>
      <c r="AA206">
        <v>9.9125187468818758</v>
      </c>
      <c r="AB206">
        <v>42.283275170967272</v>
      </c>
      <c r="AC206">
        <v>0.23164087884034518</v>
      </c>
      <c r="AD206">
        <v>12.805761312985521</v>
      </c>
      <c r="AE206">
        <v>17.842161385044452</v>
      </c>
      <c r="AF206">
        <v>15.135634368774248</v>
      </c>
      <c r="AG206">
        <v>28.630299802061181</v>
      </c>
      <c r="AH206">
        <v>10.837727645663509</v>
      </c>
      <c r="AI206">
        <v>2.106035918824952</v>
      </c>
      <c r="AK206">
        <v>55.916774497190531</v>
      </c>
    </row>
    <row r="207" spans="1:37" x14ac:dyDescent="0.2">
      <c r="A207">
        <v>206</v>
      </c>
      <c r="B207">
        <v>793</v>
      </c>
      <c r="C207">
        <v>120</v>
      </c>
      <c r="D207">
        <v>0.488477700136005</v>
      </c>
      <c r="E207">
        <v>114.8264566925031</v>
      </c>
      <c r="F207">
        <v>73.868697808803716</v>
      </c>
      <c r="G207">
        <v>74.541023187474494</v>
      </c>
      <c r="H207">
        <v>70.031162346185326</v>
      </c>
      <c r="J207">
        <v>69.802831590297018</v>
      </c>
      <c r="L207">
        <v>10.457262328904108</v>
      </c>
      <c r="M207">
        <v>15.23919244150783</v>
      </c>
      <c r="N207">
        <v>2.1600521200261911</v>
      </c>
      <c r="O207">
        <v>49.223030363044003</v>
      </c>
      <c r="P207">
        <v>15.283292087386144</v>
      </c>
      <c r="R207">
        <v>24.485708092367116</v>
      </c>
      <c r="S207">
        <v>60.918731775217125</v>
      </c>
      <c r="U207">
        <v>3.6793696961970439</v>
      </c>
      <c r="V207">
        <v>47.963861915897262</v>
      </c>
      <c r="W207">
        <v>32.178908914927263</v>
      </c>
      <c r="X207">
        <v>42.606085964198343</v>
      </c>
      <c r="Y207">
        <v>11.840294841668799</v>
      </c>
      <c r="Z207">
        <v>39.88305390743443</v>
      </c>
      <c r="AA207">
        <v>9.8298659782472679</v>
      </c>
      <c r="AB207">
        <v>42.175886160533935</v>
      </c>
      <c r="AC207">
        <v>0.22249897937103111</v>
      </c>
      <c r="AD207">
        <v>12.712401237360123</v>
      </c>
      <c r="AE207">
        <v>17.759453841950041</v>
      </c>
      <c r="AF207">
        <v>15.086268392118624</v>
      </c>
      <c r="AG207">
        <v>28.498911134097504</v>
      </c>
      <c r="AH207">
        <v>10.724123075486963</v>
      </c>
      <c r="AI207">
        <v>2.0986361426671403</v>
      </c>
      <c r="AK207">
        <v>55.907007757389032</v>
      </c>
    </row>
    <row r="208" spans="1:37" x14ac:dyDescent="0.2">
      <c r="A208">
        <v>207</v>
      </c>
      <c r="B208">
        <v>792</v>
      </c>
      <c r="C208">
        <v>120</v>
      </c>
      <c r="D208">
        <v>0.48793174670234402</v>
      </c>
      <c r="E208">
        <v>114.72072560982119</v>
      </c>
      <c r="F208">
        <v>73.429383442105916</v>
      </c>
      <c r="G208">
        <v>74.462951025772981</v>
      </c>
      <c r="H208">
        <v>69.95017672588412</v>
      </c>
      <c r="J208">
        <v>69.751076217997493</v>
      </c>
      <c r="L208">
        <v>10.335957263142678</v>
      </c>
      <c r="M208">
        <v>15.257682591940165</v>
      </c>
      <c r="N208">
        <v>2.1434726831384308</v>
      </c>
      <c r="O208">
        <v>48.639934911887757</v>
      </c>
      <c r="P208">
        <v>15.131733785353397</v>
      </c>
      <c r="R208">
        <v>24.324140184728922</v>
      </c>
      <c r="S208">
        <v>60.804036479796501</v>
      </c>
      <c r="U208">
        <v>3.6706842252002034</v>
      </c>
      <c r="V208">
        <v>48.005905222183792</v>
      </c>
      <c r="W208">
        <v>32.069638236076557</v>
      </c>
      <c r="X208">
        <v>42.640170832737446</v>
      </c>
      <c r="Y208">
        <v>11.708559032276373</v>
      </c>
      <c r="Z208">
        <v>39.639211102518701</v>
      </c>
      <c r="AA208">
        <v>9.7015182307810459</v>
      </c>
      <c r="AB208">
        <v>42.153700117133859</v>
      </c>
      <c r="AC208">
        <v>0.20392691979858368</v>
      </c>
      <c r="AD208">
        <v>12.582243128849488</v>
      </c>
      <c r="AE208">
        <v>17.655502010071647</v>
      </c>
      <c r="AF208">
        <v>15.085057191066209</v>
      </c>
      <c r="AG208">
        <v>28.443297428643341</v>
      </c>
      <c r="AH208">
        <v>10.554618213938527</v>
      </c>
      <c r="AI208">
        <v>2.0818052843222237</v>
      </c>
      <c r="AK208">
        <v>55.872128868002498</v>
      </c>
    </row>
    <row r="209" spans="1:37" x14ac:dyDescent="0.2">
      <c r="A209">
        <v>208</v>
      </c>
      <c r="B209">
        <v>791</v>
      </c>
      <c r="C209">
        <v>120</v>
      </c>
      <c r="D209">
        <v>0.48738476718508</v>
      </c>
      <c r="E209">
        <v>114.61547136437488</v>
      </c>
      <c r="F209">
        <v>72.991070496790996</v>
      </c>
      <c r="G209">
        <v>74.384896989579701</v>
      </c>
      <c r="H209">
        <v>69.86922155266295</v>
      </c>
      <c r="J209">
        <v>69.698256419555435</v>
      </c>
      <c r="L209">
        <v>10.214235826607547</v>
      </c>
      <c r="M209">
        <v>15.276381544306997</v>
      </c>
      <c r="N209">
        <v>2.1268475463054854</v>
      </c>
      <c r="O209">
        <v>48.056851711465939</v>
      </c>
      <c r="P209">
        <v>14.980172985002907</v>
      </c>
      <c r="R209">
        <v>24.161330748382227</v>
      </c>
      <c r="S209">
        <v>60.685021514692458</v>
      </c>
      <c r="U209">
        <v>3.6624719253477807</v>
      </c>
      <c r="V209">
        <v>48.046319755016441</v>
      </c>
      <c r="W209">
        <v>31.961172102193395</v>
      </c>
      <c r="X209">
        <v>42.67590338465768</v>
      </c>
      <c r="Y209">
        <v>11.576770506316915</v>
      </c>
      <c r="Z209">
        <v>39.395508254243936</v>
      </c>
      <c r="AA209">
        <v>9.5730352813800934</v>
      </c>
      <c r="AB209">
        <v>42.129082245935052</v>
      </c>
      <c r="AC209">
        <v>0.18530931875282122</v>
      </c>
      <c r="AD209">
        <v>12.451941819784405</v>
      </c>
      <c r="AE209">
        <v>17.551629107335113</v>
      </c>
      <c r="AF209">
        <v>15.084009232359701</v>
      </c>
      <c r="AG209">
        <v>28.385208515210554</v>
      </c>
      <c r="AH209">
        <v>10.384929080355674</v>
      </c>
      <c r="AI209">
        <v>2.0649279610336309</v>
      </c>
      <c r="AK209">
        <v>55.837339179639756</v>
      </c>
    </row>
    <row r="210" spans="1:37" x14ac:dyDescent="0.2">
      <c r="A210">
        <v>209</v>
      </c>
      <c r="B210">
        <v>790</v>
      </c>
      <c r="C210">
        <v>120</v>
      </c>
      <c r="D210">
        <v>0.486836758688802</v>
      </c>
      <c r="E210">
        <v>114.51069694996768</v>
      </c>
      <c r="F210">
        <v>72.553794143608499</v>
      </c>
      <c r="G210">
        <v>74.306871907881856</v>
      </c>
      <c r="H210">
        <v>69.788307674962482</v>
      </c>
      <c r="J210">
        <v>69.644365429102649</v>
      </c>
      <c r="L210">
        <v>10.092126119085052</v>
      </c>
      <c r="M210">
        <v>15.295273902152552</v>
      </c>
      <c r="N210">
        <v>2.1101780081309567</v>
      </c>
      <c r="O210">
        <v>47.473845605938052</v>
      </c>
      <c r="P210">
        <v>14.828632663511497</v>
      </c>
      <c r="R210">
        <v>23.997321725121562</v>
      </c>
      <c r="S210">
        <v>60.561637077529895</v>
      </c>
      <c r="U210">
        <v>3.6547175783955446</v>
      </c>
      <c r="V210">
        <v>48.085093299351712</v>
      </c>
      <c r="W210">
        <v>31.85350855967279</v>
      </c>
      <c r="X210">
        <v>42.713237918560438</v>
      </c>
      <c r="Y210">
        <v>11.444949968714965</v>
      </c>
      <c r="Z210">
        <v>39.151951742906931</v>
      </c>
      <c r="AA210">
        <v>9.4445119627787282</v>
      </c>
      <c r="AB210">
        <v>42.101998814920726</v>
      </c>
      <c r="AC210">
        <v>0.16664747440381469</v>
      </c>
      <c r="AD210">
        <v>12.321506889446763</v>
      </c>
      <c r="AE210">
        <v>17.447829204969686</v>
      </c>
      <c r="AF210">
        <v>15.083110423316707</v>
      </c>
      <c r="AG210">
        <v>28.324611965686099</v>
      </c>
      <c r="AH210">
        <v>10.215086341985371</v>
      </c>
      <c r="AI210">
        <v>2.0480054695852754</v>
      </c>
      <c r="AK210">
        <v>55.802643509868581</v>
      </c>
    </row>
    <row r="211" spans="1:37" x14ac:dyDescent="0.2">
      <c r="A211">
        <v>210</v>
      </c>
      <c r="B211">
        <v>789</v>
      </c>
      <c r="C211">
        <v>120</v>
      </c>
      <c r="D211">
        <v>0.48628771830721002</v>
      </c>
      <c r="E211">
        <v>114.40640502259487</v>
      </c>
      <c r="F211">
        <v>72.117588446391707</v>
      </c>
      <c r="G211">
        <v>74.22888654256711</v>
      </c>
      <c r="H211">
        <v>69.707445874160683</v>
      </c>
      <c r="J211">
        <v>69.589398700405198</v>
      </c>
      <c r="L211">
        <v>9.9696560398883989</v>
      </c>
      <c r="M211">
        <v>15.314343990138154</v>
      </c>
      <c r="N211">
        <v>2.0934653773768468</v>
      </c>
      <c r="O211">
        <v>46.890981043273982</v>
      </c>
      <c r="P211">
        <v>14.677135674075297</v>
      </c>
      <c r="R211">
        <v>23.832155388325148</v>
      </c>
      <c r="S211">
        <v>60.433842372917269</v>
      </c>
      <c r="U211">
        <v>3.6474055482706289</v>
      </c>
      <c r="V211">
        <v>48.12221645219077</v>
      </c>
      <c r="W211">
        <v>31.746645137438424</v>
      </c>
      <c r="X211">
        <v>42.752127488712986</v>
      </c>
      <c r="Y211">
        <v>11.31311803620183</v>
      </c>
      <c r="Z211">
        <v>38.90854741568954</v>
      </c>
      <c r="AA211">
        <v>9.3158087020756497</v>
      </c>
      <c r="AB211">
        <v>42.072420778124894</v>
      </c>
      <c r="AC211">
        <v>0.14794269507980343</v>
      </c>
      <c r="AD211">
        <v>12.190947573829799</v>
      </c>
      <c r="AE211">
        <v>17.344096123794092</v>
      </c>
      <c r="AF211">
        <v>15.082346402547085</v>
      </c>
      <c r="AG211">
        <v>28.261480048180573</v>
      </c>
      <c r="AH211">
        <v>10.045120501172606</v>
      </c>
      <c r="AI211">
        <v>2.031039116918425</v>
      </c>
      <c r="AK211">
        <v>55.768046510267119</v>
      </c>
    </row>
    <row r="212" spans="1:37" x14ac:dyDescent="0.2">
      <c r="A212">
        <v>211</v>
      </c>
      <c r="B212">
        <v>788</v>
      </c>
      <c r="C212">
        <v>120</v>
      </c>
      <c r="D212">
        <v>0.48573764312303003</v>
      </c>
      <c r="E212">
        <v>114.30259790707639</v>
      </c>
      <c r="F212">
        <v>71.682486259501147</v>
      </c>
      <c r="G212">
        <v>74.150951556410462</v>
      </c>
      <c r="H212">
        <v>69.626646832558151</v>
      </c>
      <c r="J212">
        <v>69.533353795113797</v>
      </c>
      <c r="L212">
        <v>9.8468531923972726</v>
      </c>
      <c r="M212">
        <v>15.333575898764074</v>
      </c>
      <c r="N212">
        <v>2.0767109635148269</v>
      </c>
      <c r="O212">
        <v>46.30832185064375</v>
      </c>
      <c r="P212">
        <v>14.525704672425373</v>
      </c>
      <c r="R212">
        <v>23.665874148499494</v>
      </c>
      <c r="S212">
        <v>60.301605322241031</v>
      </c>
      <c r="U212">
        <v>3.6405198417754558</v>
      </c>
      <c r="V212">
        <v>48.157682496504442</v>
      </c>
      <c r="W212">
        <v>31.640578899045348</v>
      </c>
      <c r="X212">
        <v>42.792524091273457</v>
      </c>
      <c r="Y212">
        <v>11.181295171126147</v>
      </c>
      <c r="Z212">
        <v>38.665300538422557</v>
      </c>
      <c r="AA212">
        <v>9.1870255061700732</v>
      </c>
      <c r="AB212">
        <v>42.040323640507012</v>
      </c>
      <c r="AC212">
        <v>0.12919628981834524</v>
      </c>
      <c r="AD212">
        <v>12.060272729375038</v>
      </c>
      <c r="AE212">
        <v>17.240423433328974</v>
      </c>
      <c r="AF212">
        <v>15.08170257521839</v>
      </c>
      <c r="AG212">
        <v>28.195789582458804</v>
      </c>
      <c r="AH212">
        <v>9.8750618097603287</v>
      </c>
      <c r="AI212">
        <v>2.0140302106833157</v>
      </c>
      <c r="AK212">
        <v>55.733552636614121</v>
      </c>
    </row>
    <row r="213" spans="1:37" x14ac:dyDescent="0.2">
      <c r="A213">
        <v>212</v>
      </c>
      <c r="B213">
        <v>787</v>
      </c>
      <c r="C213">
        <v>120</v>
      </c>
      <c r="D213">
        <v>0.48518653020799002</v>
      </c>
      <c r="E213">
        <v>114.19927760514503</v>
      </c>
      <c r="F213">
        <v>71.248519140491211</v>
      </c>
      <c r="G213">
        <v>74.073077484146879</v>
      </c>
      <c r="H213">
        <v>69.545921104453228</v>
      </c>
      <c r="J213">
        <v>69.476230264862153</v>
      </c>
      <c r="L213">
        <v>9.7237448058801856</v>
      </c>
      <c r="M213">
        <v>15.352953526124477</v>
      </c>
      <c r="N213">
        <v>2.0599160679929902</v>
      </c>
      <c r="O213">
        <v>45.725931031417318</v>
      </c>
      <c r="P213">
        <v>14.374362050248877</v>
      </c>
      <c r="R213">
        <v>23.498520370450777</v>
      </c>
      <c r="S213">
        <v>60.164902233727368</v>
      </c>
      <c r="U213">
        <v>3.6340441661356424</v>
      </c>
      <c r="V213">
        <v>48.19148726516574</v>
      </c>
      <c r="W213">
        <v>31.535306493859263</v>
      </c>
      <c r="X213">
        <v>42.834378842065149</v>
      </c>
      <c r="Y213">
        <v>11.049501621399283</v>
      </c>
      <c r="Z213">
        <v>38.422215754301291</v>
      </c>
      <c r="AA213">
        <v>9.0581805332729353</v>
      </c>
      <c r="AB213">
        <v>42.005687301654902</v>
      </c>
      <c r="AC213">
        <v>0.11040955963330464</v>
      </c>
      <c r="AD213">
        <v>11.929490800728701</v>
      </c>
      <c r="AE213">
        <v>17.13680445254198</v>
      </c>
      <c r="AF213">
        <v>15.081164146079905</v>
      </c>
      <c r="AG213">
        <v>28.127521774904583</v>
      </c>
      <c r="AH213">
        <v>9.7049401911167212</v>
      </c>
      <c r="AI213">
        <v>1.9969800505059085</v>
      </c>
      <c r="AK213">
        <v>55.699166122642403</v>
      </c>
    </row>
    <row r="214" spans="1:37" x14ac:dyDescent="0.2">
      <c r="A214">
        <v>213</v>
      </c>
      <c r="B214">
        <v>786</v>
      </c>
      <c r="C214">
        <v>120</v>
      </c>
      <c r="D214">
        <v>0.48463437662276798</v>
      </c>
      <c r="E214">
        <v>114.09644580459808</v>
      </c>
      <c r="F214">
        <v>70.815717277545431</v>
      </c>
      <c r="G214">
        <v>73.995274706618815</v>
      </c>
      <c r="H214">
        <v>69.465279090289442</v>
      </c>
      <c r="J214">
        <v>69.41802953012197</v>
      </c>
      <c r="L214">
        <v>9.6003576704248843</v>
      </c>
      <c r="M214">
        <v>15.372460616692086</v>
      </c>
      <c r="N214">
        <v>2.0430819763076213</v>
      </c>
      <c r="O214">
        <v>45.143870584140338</v>
      </c>
      <c r="P214">
        <v>14.223129875551328</v>
      </c>
      <c r="R214">
        <v>23.330136203656124</v>
      </c>
      <c r="S214">
        <v>60.023717442849652</v>
      </c>
      <c r="U214">
        <v>3.6279619830479017</v>
      </c>
      <c r="V214">
        <v>48.223628998367069</v>
      </c>
      <c r="W214">
        <v>31.430824206645006</v>
      </c>
      <c r="X214">
        <v>42.877642141066055</v>
      </c>
      <c r="Y214">
        <v>10.917757366639051</v>
      </c>
      <c r="Z214">
        <v>38.179297049749486</v>
      </c>
      <c r="AA214">
        <v>8.9292917553186122</v>
      </c>
      <c r="AB214">
        <v>41.968495883581994</v>
      </c>
      <c r="AC214">
        <v>9.1583789586271128E-2</v>
      </c>
      <c r="AD214">
        <v>11.798609792780221</v>
      </c>
      <c r="AE214">
        <v>17.033232252382902</v>
      </c>
      <c r="AF214">
        <v>15.080716150321756</v>
      </c>
      <c r="AG214">
        <v>28.056662038393803</v>
      </c>
      <c r="AH214">
        <v>9.5347851718410546</v>
      </c>
      <c r="AI214">
        <v>1.9798899200595403</v>
      </c>
      <c r="AK214">
        <v>55.664890957544614</v>
      </c>
    </row>
    <row r="215" spans="1:37" x14ac:dyDescent="0.2">
      <c r="A215">
        <v>214</v>
      </c>
      <c r="B215">
        <v>785</v>
      </c>
      <c r="C215">
        <v>120</v>
      </c>
      <c r="D215">
        <v>0.48408117941691098</v>
      </c>
      <c r="E215">
        <v>113.994103889116</v>
      </c>
      <c r="F215">
        <v>70.384109433840919</v>
      </c>
      <c r="G215">
        <v>73.917553428525537</v>
      </c>
      <c r="H215">
        <v>69.384731014402092</v>
      </c>
      <c r="J215">
        <v>69.358754758501249</v>
      </c>
      <c r="L215">
        <v>9.4767180835857801</v>
      </c>
      <c r="M215">
        <v>15.39208079565817</v>
      </c>
      <c r="N215">
        <v>2.0262099511817224</v>
      </c>
      <c r="O215">
        <v>44.562201348537471</v>
      </c>
      <c r="P215">
        <v>14.072029841335386</v>
      </c>
      <c r="R215">
        <v>23.160763427090572</v>
      </c>
      <c r="S215">
        <v>59.878042928681474</v>
      </c>
      <c r="U215">
        <v>3.6222565576629964</v>
      </c>
      <c r="V215">
        <v>48.254108195419143</v>
      </c>
      <c r="W215">
        <v>31.327128003358773</v>
      </c>
      <c r="X215">
        <v>42.92226382386945</v>
      </c>
      <c r="Y215">
        <v>10.786082071750107</v>
      </c>
      <c r="Z215">
        <v>37.936547729443305</v>
      </c>
      <c r="AA215">
        <v>8.8004490753779603</v>
      </c>
      <c r="AB215">
        <v>41.928737546347378</v>
      </c>
      <c r="AC215">
        <v>7.2720241964970372E-2</v>
      </c>
      <c r="AD215">
        <v>11.667637248212795</v>
      </c>
      <c r="AE215">
        <v>16.929699660912966</v>
      </c>
      <c r="AF215">
        <v>15.080343481088279</v>
      </c>
      <c r="AG215">
        <v>27.98319980108926</v>
      </c>
      <c r="AH215">
        <v>9.3646258129269278</v>
      </c>
      <c r="AI215">
        <v>1.9627610802438005</v>
      </c>
      <c r="AK215">
        <v>55.630730868026674</v>
      </c>
    </row>
    <row r="216" spans="1:37" x14ac:dyDescent="0.2">
      <c r="A216">
        <v>215</v>
      </c>
      <c r="B216">
        <v>784</v>
      </c>
      <c r="C216">
        <v>120</v>
      </c>
      <c r="D216">
        <v>0.48352693562881199</v>
      </c>
      <c r="E216">
        <v>113.89225294814274</v>
      </c>
      <c r="F216">
        <v>69.953722905507504</v>
      </c>
      <c r="G216">
        <v>73.839923659186084</v>
      </c>
      <c r="H216">
        <v>69.30428690578529</v>
      </c>
      <c r="J216">
        <v>69.298410745312225</v>
      </c>
      <c r="L216">
        <v>9.352851806343141</v>
      </c>
      <c r="M216">
        <v>15.411797600040559</v>
      </c>
      <c r="N216">
        <v>2.0093012267058317</v>
      </c>
      <c r="O216">
        <v>43.980982874393746</v>
      </c>
      <c r="P216">
        <v>13.921083221267354</v>
      </c>
      <c r="R216">
        <v>22.990443309479087</v>
      </c>
      <c r="S216">
        <v>59.727877919676217</v>
      </c>
      <c r="U216">
        <v>3.6169110032818295</v>
      </c>
      <c r="V216">
        <v>48.282927465969301</v>
      </c>
      <c r="W216">
        <v>31.224213573571109</v>
      </c>
      <c r="X216">
        <v>42.968193296325722</v>
      </c>
      <c r="Y216">
        <v>10.654495046750856</v>
      </c>
      <c r="Z216">
        <v>37.69397039949375</v>
      </c>
      <c r="AA216">
        <v>8.6715210794560118</v>
      </c>
      <c r="AB216">
        <v>41.886404298361924</v>
      </c>
      <c r="AC216">
        <v>5.3820150425012502E-2</v>
      </c>
      <c r="AD216">
        <v>11.536580230003075</v>
      </c>
      <c r="AE216">
        <v>16.826199270931539</v>
      </c>
      <c r="AF216">
        <v>15.080030914732941</v>
      </c>
      <c r="AG216">
        <v>27.907128310892052</v>
      </c>
      <c r="AH216">
        <v>9.1944906665489086</v>
      </c>
      <c r="AI216">
        <v>1.9455947633246493</v>
      </c>
      <c r="AK216">
        <v>55.596689304377009</v>
      </c>
    </row>
    <row r="217" spans="1:37" x14ac:dyDescent="0.2">
      <c r="A217">
        <v>216</v>
      </c>
      <c r="B217">
        <v>783</v>
      </c>
      <c r="C217">
        <v>120</v>
      </c>
      <c r="D217">
        <v>0.48297164228566197</v>
      </c>
      <c r="E217">
        <v>113.7908937871042</v>
      </c>
      <c r="F217">
        <v>69.524583495842251</v>
      </c>
      <c r="G217">
        <v>73.762395196657025</v>
      </c>
      <c r="H217">
        <v>69.22395658220664</v>
      </c>
      <c r="J217">
        <v>69.237003799685098</v>
      </c>
      <c r="L217">
        <v>9.2287840284994704</v>
      </c>
      <c r="M217">
        <v>15.431594506137886</v>
      </c>
      <c r="N217">
        <v>1.9923570037816427</v>
      </c>
      <c r="O217">
        <v>43.400273316445237</v>
      </c>
      <c r="P217">
        <v>13.770310833356968</v>
      </c>
      <c r="R217">
        <v>22.819216486721249</v>
      </c>
      <c r="S217">
        <v>59.573228496594567</v>
      </c>
      <c r="U217">
        <v>3.6119083208015406</v>
      </c>
      <c r="V217">
        <v>48.31009138290014</v>
      </c>
      <c r="W217">
        <v>31.122076367656224</v>
      </c>
      <c r="X217">
        <v>43.015379655226781</v>
      </c>
      <c r="Y217">
        <v>10.523015213764989</v>
      </c>
      <c r="Z217">
        <v>37.451566959903474</v>
      </c>
      <c r="AA217">
        <v>8.5426019068271852</v>
      </c>
      <c r="AB217">
        <v>41.841491805308564</v>
      </c>
      <c r="AC217">
        <v>3.4884715432115798E-2</v>
      </c>
      <c r="AD217">
        <v>11.405445309626586</v>
      </c>
      <c r="AE217">
        <v>16.722723450509015</v>
      </c>
      <c r="AF217">
        <v>15.079763133709539</v>
      </c>
      <c r="AG217">
        <v>27.82844443980164</v>
      </c>
      <c r="AH217">
        <v>9.0244077330150922</v>
      </c>
      <c r="AI217">
        <v>1.9283921683792034</v>
      </c>
      <c r="AK217">
        <v>55.562769431846277</v>
      </c>
    </row>
    <row r="218" spans="1:37" x14ac:dyDescent="0.2">
      <c r="A218">
        <v>217</v>
      </c>
      <c r="B218">
        <v>782</v>
      </c>
      <c r="C218">
        <v>120</v>
      </c>
      <c r="D218">
        <v>0.48241529640335601</v>
      </c>
      <c r="E218">
        <v>113.69002693678559</v>
      </c>
      <c r="F218">
        <v>69.096715502858117</v>
      </c>
      <c r="G218">
        <v>73.684977614843859</v>
      </c>
      <c r="H218">
        <v>69.143749637320269</v>
      </c>
      <c r="J218">
        <v>69.174541638013622</v>
      </c>
      <c r="L218">
        <v>9.104539342384939</v>
      </c>
      <c r="M218">
        <v>15.451454953216363</v>
      </c>
      <c r="N218">
        <v>1.9753784467959028</v>
      </c>
      <c r="O218">
        <v>42.820129353988918</v>
      </c>
      <c r="P218">
        <v>13.619733010852649</v>
      </c>
      <c r="R218">
        <v>22.647122855961911</v>
      </c>
      <c r="S218">
        <v>59.414107200404509</v>
      </c>
      <c r="U218">
        <v>3.6072314329102726</v>
      </c>
      <c r="V218">
        <v>48.335606338854468</v>
      </c>
      <c r="W218">
        <v>31.020711628208623</v>
      </c>
      <c r="X218">
        <v>43.063771790609245</v>
      </c>
      <c r="Y218">
        <v>10.391661080483624</v>
      </c>
      <c r="Z218">
        <v>37.209338606847183</v>
      </c>
      <c r="AA218">
        <v>8.4137083791986367</v>
      </c>
      <c r="AB218">
        <v>41.79399920288666</v>
      </c>
      <c r="AC218">
        <v>1.5915100937285123E-2</v>
      </c>
      <c r="AD218">
        <v>11.274238561097825</v>
      </c>
      <c r="AE218">
        <v>16.619264357099194</v>
      </c>
      <c r="AF218">
        <v>15.079524746939757</v>
      </c>
      <c r="AG218">
        <v>27.74714849333677</v>
      </c>
      <c r="AH218">
        <v>8.8544044094498453</v>
      </c>
      <c r="AI218">
        <v>1.9111544579680029</v>
      </c>
      <c r="AK218">
        <v>55.52897412666033</v>
      </c>
    </row>
    <row r="219" spans="1:37" x14ac:dyDescent="0.2">
      <c r="A219">
        <v>218</v>
      </c>
      <c r="B219">
        <v>781</v>
      </c>
      <c r="C219">
        <v>120</v>
      </c>
      <c r="D219">
        <v>0.48185789498648202</v>
      </c>
      <c r="E219">
        <v>113.57131346456396</v>
      </c>
      <c r="F219">
        <v>68.567564123076338</v>
      </c>
      <c r="G219">
        <v>73.590453891178825</v>
      </c>
      <c r="H219">
        <v>69.046449068345822</v>
      </c>
      <c r="J219">
        <v>69.077144925785049</v>
      </c>
      <c r="L219">
        <v>8.9526602865247558</v>
      </c>
      <c r="M219">
        <v>15.471858444664274</v>
      </c>
      <c r="N219">
        <v>1.9612363373448964</v>
      </c>
      <c r="O219">
        <v>42.140352777966889</v>
      </c>
      <c r="P219">
        <v>13.437786511327097</v>
      </c>
      <c r="R219">
        <v>22.437401093217538</v>
      </c>
      <c r="S219">
        <v>59.200929566601019</v>
      </c>
      <c r="U219">
        <v>3.6017794930782254</v>
      </c>
      <c r="V219">
        <v>48.356501388325768</v>
      </c>
      <c r="W219">
        <v>30.901969759516813</v>
      </c>
      <c r="X219">
        <v>43.107556944087854</v>
      </c>
      <c r="Y219">
        <v>10.228378470833299</v>
      </c>
      <c r="Z219">
        <v>36.911325191089198</v>
      </c>
      <c r="AA219">
        <v>8.2567179943881488</v>
      </c>
      <c r="AB219">
        <v>41.72872296094971</v>
      </c>
      <c r="AD219">
        <v>11.108301546505412</v>
      </c>
      <c r="AE219">
        <v>16.495854528392897</v>
      </c>
      <c r="AF219">
        <v>15.082666044685508</v>
      </c>
      <c r="AG219">
        <v>27.650907728397776</v>
      </c>
      <c r="AH219">
        <v>8.6348966991600626</v>
      </c>
      <c r="AI219">
        <v>1.8967524118615904</v>
      </c>
      <c r="AK219">
        <v>55.471129667429317</v>
      </c>
    </row>
    <row r="220" spans="1:37" x14ac:dyDescent="0.2">
      <c r="A220">
        <v>219</v>
      </c>
      <c r="B220">
        <v>780</v>
      </c>
      <c r="C220">
        <v>120</v>
      </c>
      <c r="D220">
        <v>0.48129943502824801</v>
      </c>
      <c r="E220">
        <v>113.34506316815541</v>
      </c>
      <c r="F220">
        <v>67.421446657082726</v>
      </c>
      <c r="G220">
        <v>73.392165541710469</v>
      </c>
      <c r="H220">
        <v>68.845396411154084</v>
      </c>
      <c r="J220">
        <v>68.763265529069614</v>
      </c>
      <c r="L220">
        <v>8.6324011349012189</v>
      </c>
      <c r="M220">
        <v>15.49657481162494</v>
      </c>
      <c r="N220">
        <v>1.9632188483445514</v>
      </c>
      <c r="O220">
        <v>40.850495811706175</v>
      </c>
      <c r="P220">
        <v>13.064442560957255</v>
      </c>
      <c r="R220">
        <v>21.998180821910683</v>
      </c>
      <c r="S220">
        <v>58.654956523903543</v>
      </c>
      <c r="U220">
        <v>3.5933619321757377</v>
      </c>
      <c r="V220">
        <v>48.348847220385075</v>
      </c>
      <c r="W220">
        <v>30.683194671471067</v>
      </c>
      <c r="X220">
        <v>43.128366956962687</v>
      </c>
      <c r="Y220">
        <v>9.8709705437190784</v>
      </c>
      <c r="Z220">
        <v>36.272082286059479</v>
      </c>
      <c r="AA220">
        <v>7.9283201301463855</v>
      </c>
      <c r="AB220">
        <v>41.551373797801389</v>
      </c>
      <c r="AD220">
        <v>10.731292890317338</v>
      </c>
      <c r="AE220">
        <v>16.249590746870382</v>
      </c>
      <c r="AF220">
        <v>15.106245036298393</v>
      </c>
      <c r="AG220">
        <v>27.45872104166753</v>
      </c>
      <c r="AH220">
        <v>8.1155967671759495</v>
      </c>
      <c r="AI220">
        <v>1.8984742011487559</v>
      </c>
      <c r="AK220">
        <v>55.265334846507827</v>
      </c>
    </row>
    <row r="221" spans="1:37" x14ac:dyDescent="0.2">
      <c r="A221">
        <v>220</v>
      </c>
      <c r="B221">
        <v>779</v>
      </c>
      <c r="C221">
        <v>120</v>
      </c>
      <c r="D221">
        <v>0.48073991351043299</v>
      </c>
      <c r="E221">
        <v>113.10660573102082</v>
      </c>
      <c r="F221">
        <v>66.170735224296067</v>
      </c>
      <c r="G221">
        <v>73.176550006980676</v>
      </c>
      <c r="H221">
        <v>68.627029126149267</v>
      </c>
      <c r="J221">
        <v>68.385532581092704</v>
      </c>
      <c r="L221">
        <v>8.2779902466643396</v>
      </c>
      <c r="M221">
        <v>15.523994767151651</v>
      </c>
      <c r="N221">
        <v>1.9651999316973636</v>
      </c>
      <c r="O221">
        <v>39.443528454980445</v>
      </c>
      <c r="P221">
        <v>12.656450013955121</v>
      </c>
      <c r="R221">
        <v>21.504180860655534</v>
      </c>
      <c r="S221">
        <v>57.982347945491981</v>
      </c>
      <c r="U221">
        <v>3.5912631112951625</v>
      </c>
      <c r="V221">
        <v>48.314900665533933</v>
      </c>
      <c r="W221">
        <v>30.467615759637429</v>
      </c>
      <c r="X221">
        <v>43.167936804184521</v>
      </c>
      <c r="Y221">
        <v>9.4789901907726311</v>
      </c>
      <c r="Z221">
        <v>35.563741109573435</v>
      </c>
      <c r="AA221">
        <v>7.5666636953485282</v>
      </c>
      <c r="AB221">
        <v>41.311613345291761</v>
      </c>
      <c r="AD221">
        <v>10.313047778860026</v>
      </c>
      <c r="AE221">
        <v>15.975125510818209</v>
      </c>
      <c r="AF221">
        <v>15.132526392035635</v>
      </c>
      <c r="AG221">
        <v>27.204124022383731</v>
      </c>
      <c r="AH221">
        <v>7.5442264046309191</v>
      </c>
      <c r="AI221">
        <v>1.9001937759038086</v>
      </c>
      <c r="AK221">
        <v>55.028337306998736</v>
      </c>
    </row>
    <row r="222" spans="1:37" x14ac:dyDescent="0.2">
      <c r="A222">
        <v>221</v>
      </c>
      <c r="B222">
        <v>778</v>
      </c>
      <c r="C222">
        <v>120</v>
      </c>
      <c r="D222">
        <v>0.48017932740332298</v>
      </c>
      <c r="E222">
        <v>112.84271374731526</v>
      </c>
      <c r="F222">
        <v>64.708859452075743</v>
      </c>
      <c r="G222">
        <v>72.927252837491011</v>
      </c>
      <c r="H222">
        <v>68.374992783732509</v>
      </c>
      <c r="J222">
        <v>67.882618838878003</v>
      </c>
      <c r="L222">
        <v>7.85749322165774</v>
      </c>
      <c r="M222">
        <v>15.553724052999511</v>
      </c>
      <c r="N222">
        <v>1.967178659916061</v>
      </c>
      <c r="O222">
        <v>37.806748098305746</v>
      </c>
      <c r="P222">
        <v>12.181099065118957</v>
      </c>
      <c r="R222">
        <v>20.904258942086305</v>
      </c>
      <c r="S222">
        <v>57.070355248142796</v>
      </c>
      <c r="U222">
        <v>3.598390427384031</v>
      </c>
      <c r="V222">
        <v>48.232863038615577</v>
      </c>
      <c r="W222">
        <v>30.255905739823987</v>
      </c>
      <c r="X222">
        <v>43.234646284306336</v>
      </c>
      <c r="Y222">
        <v>9.0196444749836591</v>
      </c>
      <c r="Z222">
        <v>34.714052733683836</v>
      </c>
      <c r="AA222">
        <v>7.1402426913239614</v>
      </c>
      <c r="AB222">
        <v>40.953048985335812</v>
      </c>
      <c r="AD222">
        <v>9.8118278026610426</v>
      </c>
      <c r="AE222">
        <v>15.641408433873556</v>
      </c>
      <c r="AF222">
        <v>15.16111493148164</v>
      </c>
      <c r="AG222">
        <v>26.830723130475988</v>
      </c>
      <c r="AH222">
        <v>6.871411874158091</v>
      </c>
      <c r="AI222">
        <v>1.9019102068117559</v>
      </c>
      <c r="AK222">
        <v>54.727699997461471</v>
      </c>
    </row>
    <row r="223" spans="1:37" x14ac:dyDescent="0.2">
      <c r="A223">
        <v>222</v>
      </c>
      <c r="B223">
        <v>777</v>
      </c>
      <c r="C223">
        <v>120</v>
      </c>
      <c r="D223">
        <v>0.47961767366567098</v>
      </c>
      <c r="E223">
        <v>112.29511313106343</v>
      </c>
      <c r="F223">
        <v>61.066667508251449</v>
      </c>
      <c r="G223">
        <v>72.359622421608478</v>
      </c>
      <c r="H223">
        <v>67.804635792206682</v>
      </c>
      <c r="J223">
        <v>66.251618845956017</v>
      </c>
      <c r="L223">
        <v>6.8168928246805667</v>
      </c>
      <c r="M223">
        <v>15.550331316280287</v>
      </c>
      <c r="N223">
        <v>1.9691422592137395</v>
      </c>
      <c r="O223">
        <v>33.946620264512568</v>
      </c>
      <c r="P223">
        <v>11.069073738734767</v>
      </c>
      <c r="R223">
        <v>19.330461259232717</v>
      </c>
      <c r="S223">
        <v>54.346218184436864</v>
      </c>
      <c r="U223">
        <v>3.6238150285958017</v>
      </c>
      <c r="V223">
        <v>47.871293415709175</v>
      </c>
      <c r="W223">
        <v>30.059898473318714</v>
      </c>
      <c r="X223">
        <v>43.351391616068696</v>
      </c>
      <c r="Y223">
        <v>7.9189831581016117</v>
      </c>
      <c r="Z223">
        <v>32.370718743989279</v>
      </c>
      <c r="AA223">
        <v>6.0931251552499601</v>
      </c>
      <c r="AB223">
        <v>39.67389768380329</v>
      </c>
      <c r="AD223">
        <v>8.4564275149446235</v>
      </c>
      <c r="AE223">
        <v>14.649816209306127</v>
      </c>
      <c r="AF223">
        <v>15.156566533287268</v>
      </c>
      <c r="AG223">
        <v>25.536722563542451</v>
      </c>
      <c r="AH223">
        <v>5.22734654474539</v>
      </c>
      <c r="AI223">
        <v>1.9036107182564601</v>
      </c>
      <c r="AK223">
        <v>53.762543504484071</v>
      </c>
    </row>
    <row r="224" spans="1:37" x14ac:dyDescent="0.2">
      <c r="A224">
        <v>223</v>
      </c>
      <c r="B224">
        <v>776</v>
      </c>
      <c r="C224">
        <v>120</v>
      </c>
      <c r="D224">
        <v>0.47905494924462999</v>
      </c>
      <c r="E224">
        <v>111.5014015045746</v>
      </c>
      <c r="F224">
        <v>55.531599514886686</v>
      </c>
      <c r="G224">
        <v>71.523406522145123</v>
      </c>
      <c r="H224">
        <v>66.965705934360713</v>
      </c>
      <c r="J224">
        <v>63.687267574582044</v>
      </c>
      <c r="L224">
        <v>5.248556890518346</v>
      </c>
      <c r="M224">
        <v>15.49757358004117</v>
      </c>
      <c r="N224">
        <v>1.9710928512479982</v>
      </c>
      <c r="O224">
        <v>28.191812002089968</v>
      </c>
      <c r="P224">
        <v>9.4198717034870096</v>
      </c>
      <c r="R224">
        <v>16.938902696159779</v>
      </c>
      <c r="S224">
        <v>50.287641068688494</v>
      </c>
      <c r="U224">
        <v>3.6476974931178989</v>
      </c>
      <c r="V224">
        <v>47.341168925867734</v>
      </c>
      <c r="W224">
        <v>29.882144864553577</v>
      </c>
      <c r="X224">
        <v>43.460040450485863</v>
      </c>
      <c r="Y224">
        <v>6.2743928241837175</v>
      </c>
      <c r="Z224">
        <v>28.683210866225373</v>
      </c>
      <c r="AA224">
        <v>4.5163581630750267</v>
      </c>
      <c r="AB224">
        <v>37.699502304861156</v>
      </c>
      <c r="AD224">
        <v>6.3251806521438567</v>
      </c>
      <c r="AE224">
        <v>13.063346153736932</v>
      </c>
      <c r="AF224">
        <v>15.102640347497051</v>
      </c>
      <c r="AG224">
        <v>23.547467312942754</v>
      </c>
      <c r="AH224">
        <v>2.7398165339660454</v>
      </c>
      <c r="AI224">
        <v>1.9052974300664023</v>
      </c>
      <c r="AK224">
        <v>52.208575310002161</v>
      </c>
    </row>
    <row r="225" spans="1:37" x14ac:dyDescent="0.2">
      <c r="A225">
        <v>224</v>
      </c>
      <c r="B225">
        <v>775</v>
      </c>
      <c r="C225">
        <v>120</v>
      </c>
      <c r="D225">
        <v>0.478491151075708</v>
      </c>
      <c r="E225">
        <v>110.79469203311662</v>
      </c>
      <c r="F225">
        <v>50.623694861678587</v>
      </c>
      <c r="G225">
        <v>70.781981687030978</v>
      </c>
      <c r="H225">
        <v>66.221579778135506</v>
      </c>
      <c r="J225">
        <v>61.448088884359663</v>
      </c>
      <c r="L225">
        <v>3.8587521894371095</v>
      </c>
      <c r="M225">
        <v>15.437997273329753</v>
      </c>
      <c r="N225">
        <v>1.9730479952859512</v>
      </c>
      <c r="O225">
        <v>23.088415416037279</v>
      </c>
      <c r="P225">
        <v>7.9602636359545258</v>
      </c>
      <c r="R225">
        <v>14.823821175939555</v>
      </c>
      <c r="S225">
        <v>46.8251509846395</v>
      </c>
      <c r="U225">
        <v>3.6605285930316898</v>
      </c>
      <c r="V225">
        <v>46.915330526849765</v>
      </c>
      <c r="W225">
        <v>29.70739371252234</v>
      </c>
      <c r="X225">
        <v>43.537086471889282</v>
      </c>
      <c r="Y225">
        <v>4.8185240279463679</v>
      </c>
      <c r="Z225">
        <v>25.377354129194504</v>
      </c>
      <c r="AA225">
        <v>3.1191430628202359</v>
      </c>
      <c r="AB225">
        <v>36.014266987783898</v>
      </c>
      <c r="AD225">
        <v>4.4047913090002213</v>
      </c>
      <c r="AE225">
        <v>11.645646534828705</v>
      </c>
      <c r="AF225">
        <v>15.041900367776607</v>
      </c>
      <c r="AG225">
        <v>21.847379082771283</v>
      </c>
      <c r="AH225">
        <v>0.51952781737538678</v>
      </c>
      <c r="AI225">
        <v>1.9069878996784153</v>
      </c>
      <c r="AK225">
        <v>50.831220233376229</v>
      </c>
    </row>
    <row r="226" spans="1:37" x14ac:dyDescent="0.2">
      <c r="A226">
        <v>225</v>
      </c>
      <c r="B226">
        <v>774</v>
      </c>
      <c r="C226">
        <v>120</v>
      </c>
      <c r="D226">
        <v>0.47792627608270499</v>
      </c>
      <c r="E226">
        <v>111.16586801572159</v>
      </c>
      <c r="F226">
        <v>50.57115186245106</v>
      </c>
      <c r="G226">
        <v>71.018424392443947</v>
      </c>
      <c r="H226">
        <v>66.455333819761748</v>
      </c>
      <c r="J226">
        <v>54.044354982486055</v>
      </c>
      <c r="L226">
        <v>2.5861079372904969</v>
      </c>
      <c r="M226">
        <v>15.273646885107842</v>
      </c>
      <c r="N226">
        <v>1.9750581517854009</v>
      </c>
      <c r="O226">
        <v>15.680975775149422</v>
      </c>
      <c r="P226">
        <v>8.4564529704709344</v>
      </c>
      <c r="R226">
        <v>13.408218824144404</v>
      </c>
      <c r="S226">
        <v>42.06945805221482</v>
      </c>
      <c r="U226">
        <v>3.720055933912279</v>
      </c>
      <c r="V226">
        <v>46.487856706829291</v>
      </c>
      <c r="W226">
        <v>29.392909724599267</v>
      </c>
      <c r="X226">
        <v>43.748820229450814</v>
      </c>
      <c r="Y226">
        <v>4.0859318213618376</v>
      </c>
      <c r="Z226">
        <v>22.87863263954744</v>
      </c>
      <c r="AA226">
        <v>1.5634038470928935</v>
      </c>
      <c r="AB226">
        <v>33.850464979144576</v>
      </c>
      <c r="AD226">
        <v>3.1313878494972398</v>
      </c>
      <c r="AE226">
        <v>9.9938186896173331</v>
      </c>
      <c r="AF226">
        <v>14.876441548909268</v>
      </c>
      <c r="AG226">
        <v>19.668781585627737</v>
      </c>
      <c r="AI226">
        <v>1.9087325857193211</v>
      </c>
      <c r="AK226">
        <v>46.092252345600258</v>
      </c>
    </row>
    <row r="227" spans="1:37" x14ac:dyDescent="0.2">
      <c r="A227">
        <v>226</v>
      </c>
      <c r="B227">
        <v>773</v>
      </c>
      <c r="C227">
        <v>120</v>
      </c>
      <c r="D227">
        <v>0.47736032117765198</v>
      </c>
      <c r="E227">
        <v>111.37341814200444</v>
      </c>
      <c r="F227">
        <v>50.431298017551143</v>
      </c>
      <c r="G227">
        <v>71.116529872005671</v>
      </c>
      <c r="H227">
        <v>66.550763312951062</v>
      </c>
      <c r="J227">
        <v>49.088708596150596</v>
      </c>
      <c r="L227">
        <v>1.3977198496441088</v>
      </c>
      <c r="M227">
        <v>15.066840256847776</v>
      </c>
      <c r="N227">
        <v>1.9770648660917021</v>
      </c>
      <c r="O227">
        <v>9.7317670547104296</v>
      </c>
      <c r="P227">
        <v>8.675971741199664</v>
      </c>
      <c r="R227">
        <v>12.058270108639901</v>
      </c>
      <c r="S227">
        <v>38.483666147892819</v>
      </c>
      <c r="U227">
        <v>3.7338737355512528</v>
      </c>
      <c r="V227">
        <v>46.379940034447635</v>
      </c>
      <c r="W227">
        <v>29.071990026294596</v>
      </c>
      <c r="X227">
        <v>43.829044342282245</v>
      </c>
      <c r="Y227">
        <v>3.2099713455247647</v>
      </c>
      <c r="Z227">
        <v>21.258724235171904</v>
      </c>
      <c r="AA227">
        <v>0.22294042458986951</v>
      </c>
      <c r="AB227">
        <v>32.761562780535144</v>
      </c>
      <c r="AD227">
        <v>2.2155172770198814</v>
      </c>
      <c r="AE227">
        <v>8.9969439182871795</v>
      </c>
      <c r="AF227">
        <v>14.668523283086456</v>
      </c>
      <c r="AG227">
        <v>18.565082874039224</v>
      </c>
      <c r="AI227">
        <v>1.91047303170396</v>
      </c>
      <c r="AK227">
        <v>42.845324605174469</v>
      </c>
    </row>
    <row r="228" spans="1:37" x14ac:dyDescent="0.2">
      <c r="A228">
        <v>227</v>
      </c>
      <c r="B228">
        <v>772</v>
      </c>
      <c r="C228">
        <v>120</v>
      </c>
      <c r="D228">
        <v>0.47679328326077502</v>
      </c>
      <c r="E228">
        <v>111.66642033856877</v>
      </c>
      <c r="F228">
        <v>50.153675154404198</v>
      </c>
      <c r="G228">
        <v>71.228203663168344</v>
      </c>
      <c r="H228">
        <v>66.659773815282023</v>
      </c>
      <c r="J228">
        <v>43.433329863333348</v>
      </c>
      <c r="L228">
        <v>1.4704858592814818</v>
      </c>
      <c r="M228">
        <v>14.699412618666289</v>
      </c>
      <c r="N228">
        <v>1.9790733039483797</v>
      </c>
      <c r="O228">
        <v>9.7418990458280206</v>
      </c>
      <c r="P228">
        <v>8.9226362104196451</v>
      </c>
      <c r="R228">
        <v>11.899352289405952</v>
      </c>
      <c r="S228">
        <v>38.45154151651127</v>
      </c>
      <c r="U228">
        <v>3.7393418452882408</v>
      </c>
      <c r="V228">
        <v>46.733845297823073</v>
      </c>
      <c r="W228">
        <v>28.597101406732449</v>
      </c>
      <c r="X228">
        <v>43.885460245151549</v>
      </c>
      <c r="Y228">
        <v>3.1255057953877232</v>
      </c>
      <c r="Z228">
        <v>19.025302598584425</v>
      </c>
      <c r="AB228">
        <v>31.551888296081753</v>
      </c>
      <c r="AD228">
        <v>1.101870552399965</v>
      </c>
      <c r="AE228">
        <v>7.6506812217468481</v>
      </c>
      <c r="AF228">
        <v>14.299985971558574</v>
      </c>
      <c r="AG228">
        <v>17.340616023476038</v>
      </c>
      <c r="AI228">
        <v>1.9122144015438292</v>
      </c>
      <c r="AK228">
        <v>39.055665803398121</v>
      </c>
    </row>
    <row r="229" spans="1:37" x14ac:dyDescent="0.2">
      <c r="A229">
        <v>228</v>
      </c>
      <c r="B229">
        <v>771</v>
      </c>
      <c r="C229">
        <v>120</v>
      </c>
      <c r="D229">
        <v>0.47622515922041903</v>
      </c>
      <c r="E229">
        <v>111.89808621124682</v>
      </c>
      <c r="F229">
        <v>50.194802746904962</v>
      </c>
      <c r="G229">
        <v>71.291688644144457</v>
      </c>
      <c r="H229">
        <v>66.720608225134896</v>
      </c>
      <c r="J229">
        <v>39.674447751352972</v>
      </c>
      <c r="L229">
        <v>1.4878972346333539</v>
      </c>
      <c r="M229">
        <v>14.326250124391963</v>
      </c>
      <c r="N229">
        <v>1.9810792478336803</v>
      </c>
      <c r="O229">
        <v>9.5764083450533715</v>
      </c>
      <c r="P229">
        <v>9.0729279387306363</v>
      </c>
      <c r="R229">
        <v>11.658181995998698</v>
      </c>
      <c r="S229">
        <v>38.532996975078888</v>
      </c>
      <c r="U229">
        <v>3.7289978276489197</v>
      </c>
      <c r="V229">
        <v>47.165519082827039</v>
      </c>
      <c r="W229">
        <v>28.128066947714245</v>
      </c>
      <c r="X229">
        <v>43.89657539106031</v>
      </c>
      <c r="Y229">
        <v>2.9785511045253004</v>
      </c>
      <c r="Z229">
        <v>17.757505801350902</v>
      </c>
      <c r="AB229">
        <v>31.047455284237927</v>
      </c>
      <c r="AD229">
        <v>0.43457753232624924</v>
      </c>
      <c r="AE229">
        <v>6.8904066330636944</v>
      </c>
      <c r="AF229">
        <v>13.925711556029004</v>
      </c>
      <c r="AG229">
        <v>16.821390580493293</v>
      </c>
      <c r="AI229">
        <v>1.9139524758843323</v>
      </c>
      <c r="AK229">
        <v>36.490550804456817</v>
      </c>
    </row>
    <row r="230" spans="1:37" x14ac:dyDescent="0.2">
      <c r="A230">
        <v>229</v>
      </c>
      <c r="B230">
        <v>804</v>
      </c>
      <c r="C230">
        <v>105</v>
      </c>
      <c r="D230">
        <v>0.50973448451933401</v>
      </c>
      <c r="E230">
        <v>106.98780894642931</v>
      </c>
      <c r="F230">
        <v>76.489958631912216</v>
      </c>
      <c r="G230">
        <v>75.103984838382047</v>
      </c>
      <c r="H230">
        <v>70.626606033007789</v>
      </c>
      <c r="J230">
        <v>70.236236116172222</v>
      </c>
      <c r="L230">
        <v>11.082883921604429</v>
      </c>
      <c r="M230">
        <v>15.634395535432173</v>
      </c>
      <c r="N230">
        <v>2.1318628698242299</v>
      </c>
      <c r="O230">
        <v>53.467363650411045</v>
      </c>
      <c r="P230">
        <v>16.064210605287318</v>
      </c>
      <c r="Q230">
        <v>4.6845034966175106E-2</v>
      </c>
      <c r="R230">
        <v>26.144500759873665</v>
      </c>
      <c r="S230">
        <v>64.33400029360169</v>
      </c>
      <c r="U230">
        <v>4.4010844427624152</v>
      </c>
      <c r="V230">
        <v>48.164914924527551</v>
      </c>
      <c r="W230">
        <v>34.681774372062513</v>
      </c>
      <c r="X230">
        <v>42.567172725160439</v>
      </c>
      <c r="Y230">
        <v>12.479547331691114</v>
      </c>
      <c r="Z230">
        <v>41.745913013406245</v>
      </c>
      <c r="AA230">
        <v>10.508859468118979</v>
      </c>
      <c r="AB230">
        <v>43.460744822334092</v>
      </c>
      <c r="AC230">
        <v>0.27124737978220764</v>
      </c>
      <c r="AD230">
        <v>13.55251524789322</v>
      </c>
      <c r="AE230">
        <v>18.799619200113455</v>
      </c>
      <c r="AF230">
        <v>15.534019060561219</v>
      </c>
      <c r="AG230">
        <v>30.004883244788964</v>
      </c>
      <c r="AH230">
        <v>11.513044889818541</v>
      </c>
      <c r="AI230">
        <v>2.0714215484847718</v>
      </c>
      <c r="AK230">
        <v>55.570952396361186</v>
      </c>
    </row>
    <row r="231" spans="1:37" x14ac:dyDescent="0.2">
      <c r="A231">
        <v>230</v>
      </c>
      <c r="B231">
        <v>803</v>
      </c>
      <c r="C231">
        <v>105</v>
      </c>
      <c r="D231">
        <v>0.50921386423825798</v>
      </c>
      <c r="E231">
        <v>106.88740653907895</v>
      </c>
      <c r="F231">
        <v>76.174937846856864</v>
      </c>
      <c r="G231">
        <v>75.049241861349969</v>
      </c>
      <c r="H231">
        <v>70.568809167530929</v>
      </c>
      <c r="J231">
        <v>70.163809532704477</v>
      </c>
      <c r="L231">
        <v>11.007293665149545</v>
      </c>
      <c r="M231">
        <v>15.590132772251634</v>
      </c>
      <c r="N231">
        <v>2.1257710812326405</v>
      </c>
      <c r="O231">
        <v>53.088486464246373</v>
      </c>
      <c r="P231">
        <v>15.96971760820934</v>
      </c>
      <c r="R231">
        <v>25.968435722639569</v>
      </c>
      <c r="S231">
        <v>63.987984232323704</v>
      </c>
      <c r="U231">
        <v>4.3442633768632319</v>
      </c>
      <c r="V231">
        <v>48.095980434398015</v>
      </c>
      <c r="W231">
        <v>34.513356888196824</v>
      </c>
      <c r="X231">
        <v>42.440214643098621</v>
      </c>
      <c r="Y231">
        <v>12.400257282180371</v>
      </c>
      <c r="Z231">
        <v>41.571429638346991</v>
      </c>
      <c r="AA231">
        <v>10.430367351833127</v>
      </c>
      <c r="AB231">
        <v>43.345016899236072</v>
      </c>
      <c r="AC231">
        <v>0.26315989091439401</v>
      </c>
      <c r="AD231">
        <v>13.465428184273449</v>
      </c>
      <c r="AE231">
        <v>18.718455579440334</v>
      </c>
      <c r="AF231">
        <v>15.480539113895986</v>
      </c>
      <c r="AG231">
        <v>29.86620986544224</v>
      </c>
      <c r="AH231">
        <v>11.404210333843087</v>
      </c>
      <c r="AI231">
        <v>2.0650873101928156</v>
      </c>
      <c r="AK231">
        <v>55.562087742126579</v>
      </c>
    </row>
    <row r="232" spans="1:37" x14ac:dyDescent="0.2">
      <c r="A232">
        <v>231</v>
      </c>
      <c r="B232">
        <v>802</v>
      </c>
      <c r="C232">
        <v>105</v>
      </c>
      <c r="D232">
        <v>0.50869227549644302</v>
      </c>
      <c r="E232">
        <v>106.78254015885703</v>
      </c>
      <c r="F232">
        <v>75.738706160789562</v>
      </c>
      <c r="G232">
        <v>74.971583057163471</v>
      </c>
      <c r="H232">
        <v>70.488108586293833</v>
      </c>
      <c r="J232">
        <v>70.109358007300145</v>
      </c>
      <c r="L232">
        <v>10.887483377721232</v>
      </c>
      <c r="M232">
        <v>15.607641240679561</v>
      </c>
      <c r="N232">
        <v>2.1095291582401199</v>
      </c>
      <c r="O232">
        <v>52.507607473119883</v>
      </c>
      <c r="P232">
        <v>15.819249548028344</v>
      </c>
      <c r="R232">
        <v>25.807123543780218</v>
      </c>
      <c r="S232">
        <v>63.867608798272286</v>
      </c>
      <c r="U232">
        <v>4.3360434209563712</v>
      </c>
      <c r="V232">
        <v>48.136399933539408</v>
      </c>
      <c r="W232">
        <v>34.401591540344512</v>
      </c>
      <c r="X232">
        <v>42.473988944586075</v>
      </c>
      <c r="Y232">
        <v>12.269802693115929</v>
      </c>
      <c r="Z232">
        <v>41.327785237834384</v>
      </c>
      <c r="AA232">
        <v>10.303359324542399</v>
      </c>
      <c r="AB232">
        <v>43.319618987217837</v>
      </c>
      <c r="AC232">
        <v>0.24492243086190996</v>
      </c>
      <c r="AD232">
        <v>13.337336975734752</v>
      </c>
      <c r="AE232">
        <v>18.614051206662893</v>
      </c>
      <c r="AF232">
        <v>15.47868035228133</v>
      </c>
      <c r="AG232">
        <v>29.807718625312202</v>
      </c>
      <c r="AH232">
        <v>11.236737345077858</v>
      </c>
      <c r="AI232">
        <v>2.0486021924650353</v>
      </c>
      <c r="AK232">
        <v>55.527311652945386</v>
      </c>
    </row>
    <row r="233" spans="1:37" x14ac:dyDescent="0.2">
      <c r="A233">
        <v>232</v>
      </c>
      <c r="B233">
        <v>801</v>
      </c>
      <c r="C233">
        <v>105</v>
      </c>
      <c r="D233">
        <v>0.50816971558907198</v>
      </c>
      <c r="E233">
        <v>106.67813375339298</v>
      </c>
      <c r="F233">
        <v>75.303505679707712</v>
      </c>
      <c r="G233">
        <v>74.893954586257195</v>
      </c>
      <c r="H233">
        <v>70.407450468788824</v>
      </c>
      <c r="J233">
        <v>70.053946390687457</v>
      </c>
      <c r="L233">
        <v>10.767301515665428</v>
      </c>
      <c r="M233">
        <v>15.625330898594246</v>
      </c>
      <c r="N233">
        <v>2.0932498246109343</v>
      </c>
      <c r="O233">
        <v>51.926858213377116</v>
      </c>
      <c r="P233">
        <v>15.668811489380564</v>
      </c>
      <c r="R233">
        <v>25.644669543851762</v>
      </c>
      <c r="S233">
        <v>63.743175993066004</v>
      </c>
      <c r="U233">
        <v>4.3282484654221172</v>
      </c>
      <c r="V233">
        <v>48.1752917821794</v>
      </c>
      <c r="W233">
        <v>34.290565605713041</v>
      </c>
      <c r="X233">
        <v>42.509277115327144</v>
      </c>
      <c r="Y233">
        <v>12.139326669874418</v>
      </c>
      <c r="Z233">
        <v>41.084314038453456</v>
      </c>
      <c r="AA233">
        <v>10.176249475152167</v>
      </c>
      <c r="AB233">
        <v>43.291930787123334</v>
      </c>
      <c r="AC233">
        <v>0.22664772296003041</v>
      </c>
      <c r="AD233">
        <v>13.20920379913075</v>
      </c>
      <c r="AE233">
        <v>18.509736336933791</v>
      </c>
      <c r="AF233">
        <v>15.476965462406181</v>
      </c>
      <c r="AG233">
        <v>29.7469019541291</v>
      </c>
      <c r="AH233">
        <v>11.069101054821097</v>
      </c>
      <c r="AI233">
        <v>2.0320789172554385</v>
      </c>
      <c r="AK233">
        <v>55.492650585494964</v>
      </c>
    </row>
    <row r="234" spans="1:37" x14ac:dyDescent="0.2">
      <c r="A234">
        <v>233</v>
      </c>
      <c r="B234">
        <v>800</v>
      </c>
      <c r="C234">
        <v>105</v>
      </c>
      <c r="D234">
        <v>0.50764618180124099</v>
      </c>
      <c r="E234">
        <v>106.57418916290069</v>
      </c>
      <c r="F234">
        <v>74.86936728256542</v>
      </c>
      <c r="G234">
        <v>74.816366128243132</v>
      </c>
      <c r="H234">
        <v>70.326844513720914</v>
      </c>
      <c r="J234">
        <v>69.997571206361755</v>
      </c>
      <c r="L234">
        <v>10.64677434137726</v>
      </c>
      <c r="M234">
        <v>15.643187829111604</v>
      </c>
      <c r="N234">
        <v>2.0769344453970375</v>
      </c>
      <c r="O234">
        <v>51.346297774703658</v>
      </c>
      <c r="P234">
        <v>15.518424176596486</v>
      </c>
      <c r="R234">
        <v>25.481113996727288</v>
      </c>
      <c r="S234">
        <v>63.614650009535872</v>
      </c>
      <c r="U234">
        <v>4.3208640054021794</v>
      </c>
      <c r="V234">
        <v>48.212647868373075</v>
      </c>
      <c r="W234">
        <v>34.180275908122873</v>
      </c>
      <c r="X234">
        <v>42.546035515951161</v>
      </c>
      <c r="Y234">
        <v>12.008847867680245</v>
      </c>
      <c r="Z234">
        <v>40.841023212978826</v>
      </c>
      <c r="AA234">
        <v>10.049054676159241</v>
      </c>
      <c r="AB234">
        <v>43.26192748771777</v>
      </c>
      <c r="AC234">
        <v>0.20833713183043842</v>
      </c>
      <c r="AD234">
        <v>13.081041184657536</v>
      </c>
      <c r="AE234">
        <v>18.405506373008244</v>
      </c>
      <c r="AF234">
        <v>15.475381897495376</v>
      </c>
      <c r="AG234">
        <v>29.683736410850194</v>
      </c>
      <c r="AH234">
        <v>10.901329630585334</v>
      </c>
      <c r="AI234">
        <v>2.0155188478046733</v>
      </c>
      <c r="AK234">
        <v>55.458109024465124</v>
      </c>
    </row>
    <row r="235" spans="1:37" x14ac:dyDescent="0.2">
      <c r="A235">
        <v>234</v>
      </c>
      <c r="B235">
        <v>799</v>
      </c>
      <c r="C235">
        <v>105</v>
      </c>
      <c r="D235">
        <v>0.50712167140791897</v>
      </c>
      <c r="E235">
        <v>106.47070791648041</v>
      </c>
      <c r="F235">
        <v>74.43632078223952</v>
      </c>
      <c r="G235">
        <v>74.738827265831048</v>
      </c>
      <c r="H235">
        <v>70.246300322926942</v>
      </c>
      <c r="J235">
        <v>69.94023097340245</v>
      </c>
      <c r="L235">
        <v>10.525927826113358</v>
      </c>
      <c r="M235">
        <v>15.661197939420019</v>
      </c>
      <c r="N235">
        <v>2.0605843944627904</v>
      </c>
      <c r="O235">
        <v>50.765984691783025</v>
      </c>
      <c r="P235">
        <v>15.368108169066184</v>
      </c>
      <c r="R235">
        <v>25.31649736479455</v>
      </c>
      <c r="S235">
        <v>63.482003093824524</v>
      </c>
      <c r="U235">
        <v>4.3138752236734232</v>
      </c>
      <c r="V235">
        <v>48.248462564532872</v>
      </c>
      <c r="W235">
        <v>34.070718795980781</v>
      </c>
      <c r="X235">
        <v>42.584219583023042</v>
      </c>
      <c r="Y235">
        <v>11.878384794765445</v>
      </c>
      <c r="Z235">
        <v>40.597919492212355</v>
      </c>
      <c r="AA235">
        <v>9.9217917323002336</v>
      </c>
      <c r="AB235">
        <v>43.229588512010231</v>
      </c>
      <c r="AC235">
        <v>0.18999203090710756</v>
      </c>
      <c r="AD235">
        <v>12.952861471632808</v>
      </c>
      <c r="AE235">
        <v>18.301356546777065</v>
      </c>
      <c r="AF235">
        <v>15.473916943668867</v>
      </c>
      <c r="AG235">
        <v>29.618202797502747</v>
      </c>
      <c r="AH235">
        <v>10.733450995798256</v>
      </c>
      <c r="AI235">
        <v>1.9989233561645141</v>
      </c>
      <c r="AK235">
        <v>55.423691316242369</v>
      </c>
    </row>
    <row r="236" spans="1:37" x14ac:dyDescent="0.2">
      <c r="A236">
        <v>235</v>
      </c>
      <c r="B236">
        <v>798</v>
      </c>
      <c r="C236">
        <v>105</v>
      </c>
      <c r="D236">
        <v>0.50659618167390597</v>
      </c>
      <c r="E236">
        <v>106.36769124003537</v>
      </c>
      <c r="F236">
        <v>74.00439484628194</v>
      </c>
      <c r="G236">
        <v>74.661347458160236</v>
      </c>
      <c r="H236">
        <v>70.165827374712322</v>
      </c>
      <c r="J236">
        <v>69.881926104940476</v>
      </c>
      <c r="L236">
        <v>10.404787580127476</v>
      </c>
      <c r="M236">
        <v>15.67934700116505</v>
      </c>
      <c r="N236">
        <v>2.0442010465561467</v>
      </c>
      <c r="O236">
        <v>50.185976756800649</v>
      </c>
      <c r="P236">
        <v>15.217883779981351</v>
      </c>
      <c r="R236">
        <v>25.150860135758045</v>
      </c>
      <c r="S236">
        <v>63.345215261938748</v>
      </c>
      <c r="U236">
        <v>4.3072670449089117</v>
      </c>
      <c r="V236">
        <v>48.282732611907385</v>
      </c>
      <c r="W236">
        <v>33.961890187355792</v>
      </c>
      <c r="X236">
        <v>42.62378399619611</v>
      </c>
      <c r="Y236">
        <v>11.747955757189388</v>
      </c>
      <c r="Z236">
        <v>40.355009126762972</v>
      </c>
      <c r="AA236">
        <v>9.7945503084250305</v>
      </c>
      <c r="AB236">
        <v>43.194897381965362</v>
      </c>
      <c r="AC236">
        <v>0.1716137945074874</v>
      </c>
      <c r="AD236">
        <v>12.824676771601014</v>
      </c>
      <c r="AE236">
        <v>18.197281920055506</v>
      </c>
      <c r="AF236">
        <v>15.472557752400881</v>
      </c>
      <c r="AG236">
        <v>29.550286015970631</v>
      </c>
      <c r="AH236">
        <v>10.565492758736195</v>
      </c>
      <c r="AI236">
        <v>1.9822938152698621</v>
      </c>
      <c r="AK236">
        <v>55.389401646634603</v>
      </c>
    </row>
    <row r="237" spans="1:37" x14ac:dyDescent="0.2">
      <c r="A237">
        <v>236</v>
      </c>
      <c r="B237">
        <v>797</v>
      </c>
      <c r="C237">
        <v>105</v>
      </c>
      <c r="D237">
        <v>0.50606970985375799</v>
      </c>
      <c r="E237">
        <v>106.26514006501345</v>
      </c>
      <c r="F237">
        <v>73.573616931684285</v>
      </c>
      <c r="G237">
        <v>74.583936017121189</v>
      </c>
      <c r="H237">
        <v>70.085435000165361</v>
      </c>
      <c r="J237">
        <v>69.822658801436944</v>
      </c>
      <c r="L237">
        <v>10.283378794539262</v>
      </c>
      <c r="M237">
        <v>15.697620686930037</v>
      </c>
      <c r="N237">
        <v>2.0277857701548139</v>
      </c>
      <c r="O237">
        <v>49.606330853921705</v>
      </c>
      <c r="P237">
        <v>15.067771021816139</v>
      </c>
      <c r="R237">
        <v>24.984242669222663</v>
      </c>
      <c r="S237">
        <v>63.204273980960302</v>
      </c>
      <c r="U237">
        <v>4.3010241861700846</v>
      </c>
      <c r="V237">
        <v>48.315456995340682</v>
      </c>
      <c r="W237">
        <v>33.853785613131926</v>
      </c>
      <c r="X237">
        <v>42.664682832479905</v>
      </c>
      <c r="Y237">
        <v>11.617578809666988</v>
      </c>
      <c r="Z237">
        <v>40.112297855997866</v>
      </c>
      <c r="AA237">
        <v>9.6671962654247618</v>
      </c>
      <c r="AB237">
        <v>43.15784156523069</v>
      </c>
      <c r="AC237">
        <v>0.1532037906781997</v>
      </c>
      <c r="AD237">
        <v>12.696498935976063</v>
      </c>
      <c r="AE237">
        <v>18.093277387210048</v>
      </c>
      <c r="AF237">
        <v>15.471291369841911</v>
      </c>
      <c r="AG237">
        <v>29.479974907563069</v>
      </c>
      <c r="AH237">
        <v>10.397482148792585</v>
      </c>
      <c r="AI237">
        <v>1.9656315917840921</v>
      </c>
      <c r="AK237">
        <v>55.355244021645781</v>
      </c>
    </row>
    <row r="238" spans="1:37" x14ac:dyDescent="0.2">
      <c r="A238">
        <v>237</v>
      </c>
      <c r="B238">
        <v>796</v>
      </c>
      <c r="C238">
        <v>105</v>
      </c>
      <c r="D238">
        <v>0.50554225319178703</v>
      </c>
      <c r="E238">
        <v>106.1630550380857</v>
      </c>
      <c r="F238">
        <v>73.144013230187554</v>
      </c>
      <c r="G238">
        <v>74.506602085939718</v>
      </c>
      <c r="H238">
        <v>70.005132361748835</v>
      </c>
      <c r="J238">
        <v>69.762432941852452</v>
      </c>
      <c r="L238">
        <v>10.161726191471338</v>
      </c>
      <c r="M238">
        <v>15.716004605248932</v>
      </c>
      <c r="N238">
        <v>2.011339920818124</v>
      </c>
      <c r="O238">
        <v>49.027102808945848</v>
      </c>
      <c r="P238">
        <v>14.917789556852515</v>
      </c>
      <c r="R238">
        <v>24.81668505530158</v>
      </c>
      <c r="S238">
        <v>63.059173831393259</v>
      </c>
      <c r="U238">
        <v>4.2951312051624777</v>
      </c>
      <c r="V238">
        <v>48.346636815287944</v>
      </c>
      <c r="W238">
        <v>33.746400259771256</v>
      </c>
      <c r="X238">
        <v>42.706869714965244</v>
      </c>
      <c r="Y238">
        <v>11.487271710874889</v>
      </c>
      <c r="Z238">
        <v>39.86979088162505</v>
      </c>
      <c r="AA238">
        <v>9.5398238392376289</v>
      </c>
      <c r="AB238">
        <v>43.118412310868791</v>
      </c>
      <c r="AC238">
        <v>0.13476337454725804</v>
      </c>
      <c r="AD238">
        <v>12.568339526897853</v>
      </c>
      <c r="AE238">
        <v>17.989337678647598</v>
      </c>
      <c r="AF238">
        <v>15.470104765190985</v>
      </c>
      <c r="AG238">
        <v>29.4072620821069</v>
      </c>
      <c r="AH238">
        <v>10.229445958383264</v>
      </c>
      <c r="AI238">
        <v>1.9489380394518543</v>
      </c>
      <c r="AK238">
        <v>55.321222250879778</v>
      </c>
    </row>
    <row r="239" spans="1:37" x14ac:dyDescent="0.2">
      <c r="A239">
        <v>238</v>
      </c>
      <c r="B239">
        <v>795</v>
      </c>
      <c r="C239">
        <v>105</v>
      </c>
      <c r="D239">
        <v>0.50501380892196901</v>
      </c>
      <c r="E239">
        <v>106.06143653122932</v>
      </c>
      <c r="F239">
        <v>72.715608628188932</v>
      </c>
      <c r="G239">
        <v>74.429354620937389</v>
      </c>
      <c r="H239">
        <v>69.924928435055676</v>
      </c>
      <c r="J239">
        <v>69.701253974232472</v>
      </c>
      <c r="L239">
        <v>10.039853983073687</v>
      </c>
      <c r="M239">
        <v>15.734484331232393</v>
      </c>
      <c r="N239">
        <v>1.9948648355399601</v>
      </c>
      <c r="O239">
        <v>48.448347263141919</v>
      </c>
      <c r="P239">
        <v>14.767958655054203</v>
      </c>
      <c r="R239">
        <v>24.648226985291032</v>
      </c>
      <c r="S239">
        <v>62.909916148774293</v>
      </c>
      <c r="U239">
        <v>4.2895725437419552</v>
      </c>
      <c r="V239">
        <v>48.376275154695811</v>
      </c>
      <c r="W239">
        <v>33.639729008374196</v>
      </c>
      <c r="X239">
        <v>42.750297941697184</v>
      </c>
      <c r="Y239">
        <v>11.357051885327033</v>
      </c>
      <c r="Z239">
        <v>39.627492849361182</v>
      </c>
      <c r="AA239">
        <v>9.4124490899814255</v>
      </c>
      <c r="AB239">
        <v>43.076604474908265</v>
      </c>
      <c r="AC239">
        <v>0.11629388267699317</v>
      </c>
      <c r="AD239">
        <v>12.440209793220468</v>
      </c>
      <c r="AE239">
        <v>17.885457366569547</v>
      </c>
      <c r="AF239">
        <v>15.468984855664203</v>
      </c>
      <c r="AG239">
        <v>29.332143737842099</v>
      </c>
      <c r="AH239">
        <v>10.061410493606809</v>
      </c>
      <c r="AI239">
        <v>1.932214493451418</v>
      </c>
      <c r="AK239">
        <v>55.28733993464899</v>
      </c>
    </row>
    <row r="240" spans="1:37" x14ac:dyDescent="0.2">
      <c r="A240">
        <v>239</v>
      </c>
      <c r="B240">
        <v>794</v>
      </c>
      <c r="C240">
        <v>105</v>
      </c>
      <c r="D240">
        <v>0.50448437426791004</v>
      </c>
      <c r="E240">
        <v>105.96028465199205</v>
      </c>
      <c r="F240">
        <v>72.28842667580416</v>
      </c>
      <c r="G240">
        <v>74.352202375453217</v>
      </c>
      <c r="H240">
        <v>69.844831992732608</v>
      </c>
      <c r="J240">
        <v>69.63912880783063</v>
      </c>
      <c r="L240">
        <v>9.9177858366718059</v>
      </c>
      <c r="M240">
        <v>15.753045435536549</v>
      </c>
      <c r="N240">
        <v>1.9783618276729298</v>
      </c>
      <c r="O240">
        <v>47.870117562263722</v>
      </c>
      <c r="P240">
        <v>14.618297156832881</v>
      </c>
      <c r="R240">
        <v>24.478907635403893</v>
      </c>
      <c r="S240">
        <v>62.756508659925949</v>
      </c>
      <c r="U240">
        <v>4.2843325687212452</v>
      </c>
      <c r="V240">
        <v>48.404376947235143</v>
      </c>
      <c r="W240">
        <v>33.533766472394738</v>
      </c>
      <c r="X240">
        <v>42.794920621131325</v>
      </c>
      <c r="Y240">
        <v>11.226936389590792</v>
      </c>
      <c r="Z240">
        <v>39.385407835541656</v>
      </c>
      <c r="AA240">
        <v>9.2851621893750629</v>
      </c>
      <c r="AB240">
        <v>43.032416342355603</v>
      </c>
      <c r="AC240">
        <v>9.7796627987530374E-2</v>
      </c>
      <c r="AD240">
        <v>12.312120649837865</v>
      </c>
      <c r="AE240">
        <v>17.781630871904195</v>
      </c>
      <c r="AF240">
        <v>15.467918530398753</v>
      </c>
      <c r="AG240">
        <v>29.254619478361221</v>
      </c>
      <c r="AH240">
        <v>9.893401526988816</v>
      </c>
      <c r="AI240">
        <v>1.9154622653181481</v>
      </c>
      <c r="AK240">
        <v>55.253600453667389</v>
      </c>
    </row>
    <row r="241" spans="1:37" x14ac:dyDescent="0.2">
      <c r="A241">
        <v>240</v>
      </c>
      <c r="B241">
        <v>793</v>
      </c>
      <c r="C241">
        <v>105</v>
      </c>
      <c r="D241">
        <v>0.503953946442809</v>
      </c>
      <c r="E241">
        <v>105.85959925398606</v>
      </c>
      <c r="F241">
        <v>71.862489570484939</v>
      </c>
      <c r="G241">
        <v>74.275153886861901</v>
      </c>
      <c r="H241">
        <v>69.764851591498385</v>
      </c>
      <c r="J241">
        <v>69.576065708922428</v>
      </c>
      <c r="L241">
        <v>9.7955448477795688</v>
      </c>
      <c r="M241">
        <v>15.771673509169265</v>
      </c>
      <c r="N241">
        <v>1.9618321830177439</v>
      </c>
      <c r="O241">
        <v>47.292465669725097</v>
      </c>
      <c r="P241">
        <v>14.468823443174145</v>
      </c>
      <c r="R241">
        <v>24.308765564248954</v>
      </c>
      <c r="S241">
        <v>62.598965112939524</v>
      </c>
      <c r="U241">
        <v>4.2793956075262773</v>
      </c>
      <c r="V241">
        <v>48.430948845108453</v>
      </c>
      <c r="W241">
        <v>33.428507030326919</v>
      </c>
      <c r="X241">
        <v>42.840690764418973</v>
      </c>
      <c r="Y241">
        <v>11.096941885099897</v>
      </c>
      <c r="Z241">
        <v>39.143539341975853</v>
      </c>
      <c r="AA241">
        <v>9.1578252662902813</v>
      </c>
      <c r="AB241">
        <v>42.985849446438309</v>
      </c>
      <c r="AC241">
        <v>7.9272895847446248E-2</v>
      </c>
      <c r="AD241">
        <v>12.184082662257241</v>
      </c>
      <c r="AE241">
        <v>17.677852473680044</v>
      </c>
      <c r="AF241">
        <v>15.466892671338288</v>
      </c>
      <c r="AG241">
        <v>29.174692127943274</v>
      </c>
      <c r="AH241">
        <v>9.7254442655628086</v>
      </c>
      <c r="AI241">
        <v>1.8986826390356282</v>
      </c>
      <c r="AK241">
        <v>55.220006963035132</v>
      </c>
    </row>
    <row r="242" spans="1:37" x14ac:dyDescent="0.2">
      <c r="A242">
        <v>241</v>
      </c>
      <c r="B242">
        <v>792</v>
      </c>
      <c r="C242">
        <v>105</v>
      </c>
      <c r="D242">
        <v>0.50342252264939402</v>
      </c>
      <c r="E242">
        <v>105.75937994686342</v>
      </c>
      <c r="F242">
        <v>71.437818150240659</v>
      </c>
      <c r="G242">
        <v>74.198217465897812</v>
      </c>
      <c r="H242">
        <v>69.684995561467744</v>
      </c>
      <c r="J242">
        <v>69.512074201702319</v>
      </c>
      <c r="L242">
        <v>9.6731535190553775</v>
      </c>
      <c r="M242">
        <v>15.790354185667017</v>
      </c>
      <c r="N242">
        <v>1.9452771567366949</v>
      </c>
      <c r="O242">
        <v>46.715442097761375</v>
      </c>
      <c r="P242">
        <v>14.319555411200071</v>
      </c>
      <c r="R242">
        <v>24.137838623807617</v>
      </c>
      <c r="S242">
        <v>62.43730491168624</v>
      </c>
      <c r="U242">
        <v>4.2747459800439263</v>
      </c>
      <c r="V242">
        <v>48.455999090382313</v>
      </c>
      <c r="W242">
        <v>33.323944854888644</v>
      </c>
      <c r="X242">
        <v>42.887561391159601</v>
      </c>
      <c r="Y242">
        <v>10.967084615815336</v>
      </c>
      <c r="Z242">
        <v>38.901890297394573</v>
      </c>
      <c r="AA242">
        <v>9.0305326346088552</v>
      </c>
      <c r="AB242">
        <v>42.936908390500406</v>
      </c>
      <c r="AC242">
        <v>6.072394098631817E-2</v>
      </c>
      <c r="AD242">
        <v>12.05610603527075</v>
      </c>
      <c r="AE242">
        <v>17.574116320516097</v>
      </c>
      <c r="AF242">
        <v>15.465894172332487</v>
      </c>
      <c r="AG242">
        <v>29.092367550362837</v>
      </c>
      <c r="AH242">
        <v>9.5575633181189747</v>
      </c>
      <c r="AI242">
        <v>1.8818768679479767</v>
      </c>
      <c r="AK242">
        <v>55.186562389305834</v>
      </c>
    </row>
    <row r="243" spans="1:37" x14ac:dyDescent="0.2">
      <c r="A243">
        <v>242</v>
      </c>
      <c r="B243">
        <v>791</v>
      </c>
      <c r="C243">
        <v>105</v>
      </c>
      <c r="D243">
        <v>0.502890100079881</v>
      </c>
      <c r="E243">
        <v>105.65962610590961</v>
      </c>
      <c r="F243">
        <v>71.014431895946345</v>
      </c>
      <c r="G243">
        <v>74.121401188014588</v>
      </c>
      <c r="H243">
        <v>69.605271997510968</v>
      </c>
      <c r="J243">
        <v>69.447164975967496</v>
      </c>
      <c r="L243">
        <v>9.5506337447011465</v>
      </c>
      <c r="M243">
        <v>15.809073161376533</v>
      </c>
      <c r="N243">
        <v>1.9286979711354815</v>
      </c>
      <c r="O243">
        <v>46.139095854702269</v>
      </c>
      <c r="P243">
        <v>14.170510454670804</v>
      </c>
      <c r="R243">
        <v>23.966163884338958</v>
      </c>
      <c r="S243">
        <v>62.271552761278897</v>
      </c>
      <c r="U243">
        <v>4.2703680269961932</v>
      </c>
      <c r="V243">
        <v>48.47953739226115</v>
      </c>
      <c r="W243">
        <v>33.220073938383884</v>
      </c>
      <c r="X243">
        <v>42.935485611990529</v>
      </c>
      <c r="Y243">
        <v>10.837380390276104</v>
      </c>
      <c r="Z243">
        <v>38.660463064892291</v>
      </c>
      <c r="AA243">
        <v>8.9032990592556303</v>
      </c>
      <c r="AB243">
        <v>42.885600675583177</v>
      </c>
      <c r="AC243">
        <v>4.2150985276663014E-2</v>
      </c>
      <c r="AD243">
        <v>11.928200605347801</v>
      </c>
      <c r="AE243">
        <v>17.470416444096127</v>
      </c>
      <c r="AF243">
        <v>15.464909957195403</v>
      </c>
      <c r="AG243">
        <v>29.007654474246788</v>
      </c>
      <c r="AH243">
        <v>9.3897826657640682</v>
      </c>
      <c r="AI243">
        <v>1.8650461725414371</v>
      </c>
      <c r="AK243">
        <v>55.153269430918662</v>
      </c>
    </row>
    <row r="244" spans="1:37" x14ac:dyDescent="0.2">
      <c r="A244">
        <v>243</v>
      </c>
      <c r="B244">
        <v>790</v>
      </c>
      <c r="C244">
        <v>105</v>
      </c>
      <c r="D244">
        <v>0.50235667591591204</v>
      </c>
      <c r="E244">
        <v>105.56033688105668</v>
      </c>
      <c r="F244">
        <v>70.592348946046968</v>
      </c>
      <c r="G244">
        <v>74.04471288741874</v>
      </c>
      <c r="H244">
        <v>69.525688753287582</v>
      </c>
      <c r="J244">
        <v>69.381349803138605</v>
      </c>
      <c r="L244">
        <v>9.4280068016926304</v>
      </c>
      <c r="M244">
        <v>15.827816211960171</v>
      </c>
      <c r="N244">
        <v>1.9120958146808948</v>
      </c>
      <c r="O244">
        <v>45.563474414532536</v>
      </c>
      <c r="P244">
        <v>14.021705451066898</v>
      </c>
      <c r="R244">
        <v>23.793777573244217</v>
      </c>
      <c r="S244">
        <v>62.101738324366742</v>
      </c>
      <c r="U244">
        <v>4.266246133081709</v>
      </c>
      <c r="V244">
        <v>48.501574808853945</v>
      </c>
      <c r="W244">
        <v>33.116888111750932</v>
      </c>
      <c r="X244">
        <v>42.984416697550309</v>
      </c>
      <c r="Y244">
        <v>10.707844569565163</v>
      </c>
      <c r="Z244">
        <v>38.419259457950332</v>
      </c>
      <c r="AA244">
        <v>8.776138935166804</v>
      </c>
      <c r="AB244">
        <v>42.831936534756849</v>
      </c>
      <c r="AC244">
        <v>2.3555216752090449E-2</v>
      </c>
      <c r="AD244">
        <v>11.800375838171105</v>
      </c>
      <c r="AE244">
        <v>17.366746775700939</v>
      </c>
      <c r="AF244">
        <v>15.463926995226883</v>
      </c>
      <c r="AG244">
        <v>28.920564326435102</v>
      </c>
      <c r="AH244">
        <v>9.2221256579168482</v>
      </c>
      <c r="AI244">
        <v>1.8481917394634615</v>
      </c>
      <c r="AK244">
        <v>55.120130562982574</v>
      </c>
    </row>
    <row r="245" spans="1:37" x14ac:dyDescent="0.2">
      <c r="A245">
        <v>244</v>
      </c>
      <c r="B245">
        <v>789</v>
      </c>
      <c r="C245">
        <v>105</v>
      </c>
      <c r="D245">
        <v>0.50182224732853298</v>
      </c>
      <c r="E245">
        <v>105.4615112046871</v>
      </c>
      <c r="F245">
        <v>70.171586116916217</v>
      </c>
      <c r="G245">
        <v>73.968160152491009</v>
      </c>
      <c r="H245">
        <v>69.44625343666813</v>
      </c>
      <c r="J245">
        <v>69.314641461353872</v>
      </c>
      <c r="L245">
        <v>9.3052933451227577</v>
      </c>
      <c r="M245">
        <v>15.846569207818138</v>
      </c>
      <c r="N245">
        <v>1.8954718417948797</v>
      </c>
      <c r="O245">
        <v>44.988623698856465</v>
      </c>
      <c r="P245">
        <v>13.873156752233236</v>
      </c>
      <c r="R245">
        <v>23.620715027053549</v>
      </c>
      <c r="S245">
        <v>61.927895898963605</v>
      </c>
      <c r="U245">
        <v>4.2623647472773207</v>
      </c>
      <c r="V245">
        <v>48.522123637974353</v>
      </c>
      <c r="W245">
        <v>33.014381059609278</v>
      </c>
      <c r="X245">
        <v>43.0343081367228</v>
      </c>
      <c r="Y245">
        <v>10.578492058406436</v>
      </c>
      <c r="Z245">
        <v>38.178280762134897</v>
      </c>
      <c r="AA245">
        <v>8.6490662777355762</v>
      </c>
      <c r="AB245">
        <v>42.775928779230512</v>
      </c>
      <c r="AC245">
        <v>4.937789400665667E-3</v>
      </c>
      <c r="AD245">
        <v>11.672640829313938</v>
      </c>
      <c r="AE245">
        <v>17.263101165115714</v>
      </c>
      <c r="AF245">
        <v>15.462932316433871</v>
      </c>
      <c r="AG245">
        <v>28.831111077871412</v>
      </c>
      <c r="AH245">
        <v>9.0546149841737567</v>
      </c>
      <c r="AI245">
        <v>1.8313147213151433</v>
      </c>
      <c r="AK245">
        <v>55.087148044870283</v>
      </c>
    </row>
    <row r="246" spans="1:37" x14ac:dyDescent="0.2">
      <c r="A246">
        <v>245</v>
      </c>
      <c r="B246">
        <v>788</v>
      </c>
      <c r="C246">
        <v>105</v>
      </c>
      <c r="D246">
        <v>0.50128681147811704</v>
      </c>
      <c r="E246">
        <v>105.27376378733621</v>
      </c>
      <c r="F246">
        <v>69.241942044046198</v>
      </c>
      <c r="G246">
        <v>73.805938296897182</v>
      </c>
      <c r="H246">
        <v>69.281161380844495</v>
      </c>
      <c r="J246">
        <v>69.070300861026894</v>
      </c>
      <c r="L246">
        <v>9.0437855239349876</v>
      </c>
      <c r="M246">
        <v>15.868841519588495</v>
      </c>
      <c r="N246">
        <v>1.8922985548034479</v>
      </c>
      <c r="O246">
        <v>43.910633614030587</v>
      </c>
      <c r="P246">
        <v>13.566727508537099</v>
      </c>
      <c r="R246">
        <v>23.258228726186037</v>
      </c>
      <c r="S246">
        <v>61.479325830725301</v>
      </c>
      <c r="U246">
        <v>4.2556476983326084</v>
      </c>
      <c r="V246">
        <v>48.519025069299744</v>
      </c>
      <c r="W246">
        <v>32.827701087464852</v>
      </c>
      <c r="X246">
        <v>43.064595223482051</v>
      </c>
      <c r="Y246">
        <v>10.288878881124978</v>
      </c>
      <c r="Z246">
        <v>37.656735941335334</v>
      </c>
      <c r="AA246">
        <v>8.3806967379932029</v>
      </c>
      <c r="AB246">
        <v>42.627882293944538</v>
      </c>
      <c r="AD246">
        <v>11.370952964119233</v>
      </c>
      <c r="AE246">
        <v>17.058517853184483</v>
      </c>
      <c r="AF246">
        <v>15.478907798977335</v>
      </c>
      <c r="AG246">
        <v>28.663072121156851</v>
      </c>
      <c r="AH246">
        <v>8.6402781259998811</v>
      </c>
      <c r="AI246">
        <v>1.8278876186011759</v>
      </c>
      <c r="AK246">
        <v>54.932742476432637</v>
      </c>
    </row>
    <row r="247" spans="1:37" x14ac:dyDescent="0.2">
      <c r="A247">
        <v>246</v>
      </c>
      <c r="B247">
        <v>787</v>
      </c>
      <c r="C247">
        <v>105</v>
      </c>
      <c r="D247">
        <v>0.50075036551431296</v>
      </c>
      <c r="E247">
        <v>105.0435178075269</v>
      </c>
      <c r="F247">
        <v>68.044432026454203</v>
      </c>
      <c r="G247">
        <v>73.598751145413914</v>
      </c>
      <c r="H247">
        <v>69.07111643015763</v>
      </c>
      <c r="J247">
        <v>68.712903754596951</v>
      </c>
      <c r="L247">
        <v>8.7050670374377557</v>
      </c>
      <c r="M247">
        <v>15.894429841891519</v>
      </c>
      <c r="N247">
        <v>1.8942825823464313</v>
      </c>
      <c r="O247">
        <v>42.55789880307114</v>
      </c>
      <c r="P247">
        <v>13.175532018945434</v>
      </c>
      <c r="R247">
        <v>22.784632573996618</v>
      </c>
      <c r="S247">
        <v>60.835225973392831</v>
      </c>
      <c r="U247">
        <v>4.2524305922675953</v>
      </c>
      <c r="V247">
        <v>48.488092734635323</v>
      </c>
      <c r="W247">
        <v>32.611187781987695</v>
      </c>
      <c r="X247">
        <v>43.100982957207357</v>
      </c>
      <c r="Y247">
        <v>9.9136458197464492</v>
      </c>
      <c r="Z247">
        <v>36.979680683972028</v>
      </c>
      <c r="AA247">
        <v>8.0348332396808253</v>
      </c>
      <c r="AB247">
        <v>42.400064258575497</v>
      </c>
      <c r="AD247">
        <v>10.974785717223186</v>
      </c>
      <c r="AE247">
        <v>16.79564102224202</v>
      </c>
      <c r="AF247">
        <v>15.503356771324759</v>
      </c>
      <c r="AG247">
        <v>28.420421269955359</v>
      </c>
      <c r="AH247">
        <v>8.0949114315949462</v>
      </c>
      <c r="AI247">
        <v>1.8296170581390265</v>
      </c>
      <c r="AK247">
        <v>54.710089082400366</v>
      </c>
    </row>
    <row r="248" spans="1:37" x14ac:dyDescent="0.2">
      <c r="A248">
        <v>247</v>
      </c>
      <c r="B248">
        <v>786</v>
      </c>
      <c r="C248">
        <v>105</v>
      </c>
      <c r="D248">
        <v>0.50021290657603101</v>
      </c>
      <c r="E248">
        <v>104.79650346091159</v>
      </c>
      <c r="F248">
        <v>66.705109357153717</v>
      </c>
      <c r="G248">
        <v>73.368661298428407</v>
      </c>
      <c r="H248">
        <v>68.838181204593951</v>
      </c>
      <c r="J248">
        <v>68.269760709816509</v>
      </c>
      <c r="L248">
        <v>8.3213585719006922</v>
      </c>
      <c r="M248">
        <v>15.922115589194355</v>
      </c>
      <c r="N248">
        <v>1.8962648429675792</v>
      </c>
      <c r="O248">
        <v>41.049256313742539</v>
      </c>
      <c r="P248">
        <v>12.73853642360065</v>
      </c>
      <c r="R248">
        <v>22.238528448095085</v>
      </c>
      <c r="S248">
        <v>60.023891854979723</v>
      </c>
      <c r="U248">
        <v>4.2562269331464835</v>
      </c>
      <c r="V248">
        <v>48.423160446556082</v>
      </c>
      <c r="W248">
        <v>32.398061018184805</v>
      </c>
      <c r="X248">
        <v>43.15813168840085</v>
      </c>
      <c r="Y248">
        <v>9.4926066715114157</v>
      </c>
      <c r="Z248">
        <v>36.208058070364963</v>
      </c>
      <c r="AA248">
        <v>7.6448681887342538</v>
      </c>
      <c r="AB248">
        <v>42.089212934779532</v>
      </c>
      <c r="AD248">
        <v>10.524864083449861</v>
      </c>
      <c r="AE248">
        <v>16.493193907637263</v>
      </c>
      <c r="AF248">
        <v>15.529901571706633</v>
      </c>
      <c r="AG248">
        <v>28.094737709832621</v>
      </c>
      <c r="AH248">
        <v>7.4806090893266211</v>
      </c>
      <c r="AI248">
        <v>1.8313439566494962</v>
      </c>
      <c r="AK248">
        <v>54.444722695887144</v>
      </c>
    </row>
    <row r="249" spans="1:37" x14ac:dyDescent="0.2">
      <c r="A249">
        <v>248</v>
      </c>
      <c r="B249">
        <v>785</v>
      </c>
      <c r="C249">
        <v>105</v>
      </c>
      <c r="D249">
        <v>0.49967443179133703</v>
      </c>
      <c r="E249">
        <v>104.51180633630199</v>
      </c>
      <c r="F249">
        <v>65.055662128426093</v>
      </c>
      <c r="G249">
        <v>73.090135923444052</v>
      </c>
      <c r="H249">
        <v>68.556822891293777</v>
      </c>
      <c r="J249">
        <v>67.644012554862741</v>
      </c>
      <c r="L249">
        <v>7.8426704026088334</v>
      </c>
      <c r="M249">
        <v>15.950160131019194</v>
      </c>
      <c r="N249">
        <v>1.8982439102150512</v>
      </c>
      <c r="O249">
        <v>39.20818047208175</v>
      </c>
      <c r="P249">
        <v>12.204673651940352</v>
      </c>
      <c r="R249">
        <v>21.538940113596105</v>
      </c>
      <c r="S249">
        <v>58.868693975452764</v>
      </c>
      <c r="U249">
        <v>4.270769129238551</v>
      </c>
      <c r="V249">
        <v>48.29017667679279</v>
      </c>
      <c r="W249">
        <v>32.189268214394097</v>
      </c>
      <c r="X249">
        <v>43.246654433408345</v>
      </c>
      <c r="Y249">
        <v>8.9744796549230479</v>
      </c>
      <c r="Z249">
        <v>35.227337116833546</v>
      </c>
      <c r="AA249">
        <v>7.1612534615749759</v>
      </c>
      <c r="AB249">
        <v>41.606688941100678</v>
      </c>
      <c r="AD249">
        <v>9.9584063312085789</v>
      </c>
      <c r="AE249">
        <v>16.10129474620684</v>
      </c>
      <c r="AF249">
        <v>15.556802148423619</v>
      </c>
      <c r="AG249">
        <v>27.597380638261569</v>
      </c>
      <c r="AH249">
        <v>6.7201260979250366</v>
      </c>
      <c r="AI249">
        <v>1.8330668858575647</v>
      </c>
      <c r="AK249">
        <v>54.084990277636855</v>
      </c>
    </row>
    <row r="250" spans="1:37" x14ac:dyDescent="0.2">
      <c r="A250">
        <v>249</v>
      </c>
      <c r="B250">
        <v>784</v>
      </c>
      <c r="C250">
        <v>105</v>
      </c>
      <c r="D250">
        <v>0.49913493827744299</v>
      </c>
      <c r="E250">
        <v>103.95857914717394</v>
      </c>
      <c r="F250">
        <v>61.330368414428044</v>
      </c>
      <c r="G250">
        <v>72.508970923911548</v>
      </c>
      <c r="H250">
        <v>67.972837413383417</v>
      </c>
      <c r="J250">
        <v>65.929143278339211</v>
      </c>
      <c r="L250">
        <v>6.7726690870075146</v>
      </c>
      <c r="M250">
        <v>15.940403141202991</v>
      </c>
      <c r="N250">
        <v>1.9002080982597043</v>
      </c>
      <c r="O250">
        <v>35.252238335893658</v>
      </c>
      <c r="P250">
        <v>11.065523845980382</v>
      </c>
      <c r="R250">
        <v>19.902545315172812</v>
      </c>
      <c r="S250">
        <v>55.946575088312166</v>
      </c>
      <c r="U250">
        <v>4.3008949339614251</v>
      </c>
      <c r="V250">
        <v>47.876104297919667</v>
      </c>
      <c r="W250">
        <v>31.995140943571332</v>
      </c>
      <c r="X250">
        <v>43.376547861993103</v>
      </c>
      <c r="Y250">
        <v>7.8461440525632407</v>
      </c>
      <c r="Z250">
        <v>32.824082267163114</v>
      </c>
      <c r="AA250">
        <v>6.0862742781257841</v>
      </c>
      <c r="AB250">
        <v>40.225931805162524</v>
      </c>
      <c r="AD250">
        <v>8.6146812913999842</v>
      </c>
      <c r="AE250">
        <v>15.078551818153704</v>
      </c>
      <c r="AF250">
        <v>15.545886494729663</v>
      </c>
      <c r="AG250">
        <v>26.201777902436923</v>
      </c>
      <c r="AH250">
        <v>5.0355519480354651</v>
      </c>
      <c r="AI250">
        <v>1.8347741581095114</v>
      </c>
      <c r="AK250">
        <v>53.088274693012302</v>
      </c>
    </row>
    <row r="251" spans="1:37" x14ac:dyDescent="0.2">
      <c r="A251">
        <v>250</v>
      </c>
      <c r="B251">
        <v>783</v>
      </c>
      <c r="C251">
        <v>105</v>
      </c>
      <c r="D251">
        <v>0.498594423140655</v>
      </c>
      <c r="E251">
        <v>103.23277889224994</v>
      </c>
      <c r="F251">
        <v>56.276354383052748</v>
      </c>
      <c r="G251">
        <v>71.741325811195452</v>
      </c>
      <c r="H251">
        <v>67.202384301936988</v>
      </c>
      <c r="J251">
        <v>63.56806424181061</v>
      </c>
      <c r="L251">
        <v>5.3349782042178706</v>
      </c>
      <c r="M251">
        <v>15.888937264836512</v>
      </c>
      <c r="N251">
        <v>1.9021630518227495</v>
      </c>
      <c r="O251">
        <v>29.976196233248832</v>
      </c>
      <c r="P251">
        <v>9.5534116941630156</v>
      </c>
      <c r="R251">
        <v>17.697383318532108</v>
      </c>
      <c r="S251">
        <v>52.14373348005951</v>
      </c>
      <c r="U251">
        <v>4.3247840150763972</v>
      </c>
      <c r="V251">
        <v>47.360145041923715</v>
      </c>
      <c r="W251">
        <v>31.81483082054147</v>
      </c>
      <c r="X251">
        <v>43.48504064808693</v>
      </c>
      <c r="Y251">
        <v>6.3392349739920784</v>
      </c>
      <c r="Z251">
        <v>29.470693379948852</v>
      </c>
      <c r="AA251">
        <v>4.6419542976931556</v>
      </c>
      <c r="AB251">
        <v>38.381848041279305</v>
      </c>
      <c r="AD251">
        <v>6.6896869670418084</v>
      </c>
      <c r="AE251">
        <v>13.631687441994321</v>
      </c>
      <c r="AF251">
        <v>15.493252905690337</v>
      </c>
      <c r="AG251">
        <v>24.342841666807672</v>
      </c>
      <c r="AH251">
        <v>2.7609231835852741</v>
      </c>
      <c r="AI251">
        <v>1.836471416301737</v>
      </c>
      <c r="AK251">
        <v>51.673786962627496</v>
      </c>
    </row>
    <row r="252" spans="1:37" x14ac:dyDescent="0.2">
      <c r="A252">
        <v>251</v>
      </c>
      <c r="B252">
        <v>782</v>
      </c>
      <c r="C252">
        <v>105</v>
      </c>
      <c r="D252">
        <v>0.49805288347628701</v>
      </c>
      <c r="E252">
        <v>102.57377326707591</v>
      </c>
      <c r="F252">
        <v>51.704689906590339</v>
      </c>
      <c r="G252">
        <v>71.047162519464791</v>
      </c>
      <c r="H252">
        <v>66.505425510874545</v>
      </c>
      <c r="J252">
        <v>61.464735863163277</v>
      </c>
      <c r="L252">
        <v>4.0359254658269563</v>
      </c>
      <c r="M252">
        <v>15.831245865975855</v>
      </c>
      <c r="N252">
        <v>1.9041217758197431</v>
      </c>
      <c r="O252">
        <v>25.203861549869494</v>
      </c>
      <c r="P252">
        <v>8.1882740907998102</v>
      </c>
      <c r="R252">
        <v>15.709963537136188</v>
      </c>
      <c r="S252">
        <v>48.834812121932131</v>
      </c>
      <c r="U252">
        <v>4.3390306862601955</v>
      </c>
      <c r="V252">
        <v>46.935334461211269</v>
      </c>
      <c r="W252">
        <v>31.637465135078109</v>
      </c>
      <c r="X252">
        <v>43.565947035842626</v>
      </c>
      <c r="Y252">
        <v>4.9784280049149752</v>
      </c>
      <c r="Z252">
        <v>26.40573507110533</v>
      </c>
      <c r="AA252">
        <v>3.3365754119613849</v>
      </c>
      <c r="AB252">
        <v>36.776663951321574</v>
      </c>
      <c r="AD252">
        <v>4.9170196885132862</v>
      </c>
      <c r="AE252">
        <v>12.313124258084109</v>
      </c>
      <c r="AF252">
        <v>15.434397755544623</v>
      </c>
      <c r="AG252">
        <v>22.722811243594879</v>
      </c>
      <c r="AH252">
        <v>0.69147124155480211</v>
      </c>
      <c r="AI252">
        <v>1.8381716635237075</v>
      </c>
      <c r="AK252">
        <v>50.39422853572767</v>
      </c>
    </row>
    <row r="253" spans="1:37" x14ac:dyDescent="0.2">
      <c r="A253">
        <v>252</v>
      </c>
      <c r="B253">
        <v>781</v>
      </c>
      <c r="C253">
        <v>105</v>
      </c>
      <c r="D253">
        <v>0.49751031636863902</v>
      </c>
      <c r="E253">
        <v>102.85845434356577</v>
      </c>
      <c r="F253">
        <v>51.333853711648565</v>
      </c>
      <c r="G253">
        <v>71.207351633609562</v>
      </c>
      <c r="H253">
        <v>66.662831644870167</v>
      </c>
      <c r="J253">
        <v>55.000025032906933</v>
      </c>
      <c r="L253">
        <v>2.9035402847308798</v>
      </c>
      <c r="M253">
        <v>15.691541828264366</v>
      </c>
      <c r="N253">
        <v>1.9061288536270657</v>
      </c>
      <c r="O253">
        <v>18.699202368811228</v>
      </c>
      <c r="P253">
        <v>8.5318968101554358</v>
      </c>
      <c r="R253">
        <v>14.380079650180388</v>
      </c>
      <c r="S253">
        <v>44.456239378764032</v>
      </c>
      <c r="U253">
        <v>4.4004619163406957</v>
      </c>
      <c r="V253">
        <v>46.465583506776404</v>
      </c>
      <c r="W253">
        <v>31.341337657567685</v>
      </c>
      <c r="X253">
        <v>43.78328928439042</v>
      </c>
      <c r="Y253">
        <v>4.2933812311570492</v>
      </c>
      <c r="Z253">
        <v>23.996451175494116</v>
      </c>
      <c r="AA253">
        <v>1.9611011347633176</v>
      </c>
      <c r="AB253">
        <v>34.647985572966114</v>
      </c>
      <c r="AD253">
        <v>3.7023502161369879</v>
      </c>
      <c r="AE253">
        <v>10.744855899202175</v>
      </c>
      <c r="AF253">
        <v>15.293578516590397</v>
      </c>
      <c r="AG253">
        <v>20.579337259299614</v>
      </c>
      <c r="AI253">
        <v>1.839919481326062</v>
      </c>
      <c r="AK253">
        <v>46.298291735750702</v>
      </c>
    </row>
    <row r="254" spans="1:37" x14ac:dyDescent="0.2">
      <c r="A254">
        <v>253</v>
      </c>
      <c r="B254">
        <v>780</v>
      </c>
      <c r="C254">
        <v>105</v>
      </c>
      <c r="D254">
        <v>0.49696671889094501</v>
      </c>
      <c r="E254">
        <v>103.06653303935126</v>
      </c>
      <c r="F254">
        <v>51.12533057424212</v>
      </c>
      <c r="G254">
        <v>71.306627110154778</v>
      </c>
      <c r="H254">
        <v>66.75933668027487</v>
      </c>
      <c r="J254">
        <v>50.092376200763994</v>
      </c>
      <c r="L254">
        <v>1.7828889983511871</v>
      </c>
      <c r="M254">
        <v>15.502697668820732</v>
      </c>
      <c r="N254">
        <v>1.9081372885758048</v>
      </c>
      <c r="O254">
        <v>12.969046973132347</v>
      </c>
      <c r="P254">
        <v>8.753700789782064</v>
      </c>
      <c r="R254">
        <v>13.088150374977346</v>
      </c>
      <c r="S254">
        <v>40.89742272641697</v>
      </c>
      <c r="U254">
        <v>4.4224874106159806</v>
      </c>
      <c r="V254">
        <v>46.295806883440356</v>
      </c>
      <c r="W254">
        <v>31.028990458594507</v>
      </c>
      <c r="X254">
        <v>43.887036508109908</v>
      </c>
      <c r="Y254">
        <v>3.4843436031019088</v>
      </c>
      <c r="Z254">
        <v>22.276694477664595</v>
      </c>
      <c r="AA254">
        <v>0.6833922286519446</v>
      </c>
      <c r="AB254">
        <v>33.405496749124552</v>
      </c>
      <c r="AD254">
        <v>2.7576272198053338</v>
      </c>
      <c r="AE254">
        <v>9.6748374011588805</v>
      </c>
      <c r="AF254">
        <v>15.10362071456945</v>
      </c>
      <c r="AG254">
        <v>19.322056565630042</v>
      </c>
      <c r="AI254">
        <v>1.8416678712127488</v>
      </c>
      <c r="AK254">
        <v>43.111045651142582</v>
      </c>
    </row>
    <row r="255" spans="1:37" x14ac:dyDescent="0.2">
      <c r="A255">
        <v>254</v>
      </c>
      <c r="B255">
        <v>779</v>
      </c>
      <c r="C255">
        <v>105</v>
      </c>
      <c r="D255">
        <v>0.49642208810530802</v>
      </c>
      <c r="E255">
        <v>103.31621713078874</v>
      </c>
      <c r="F255">
        <v>50.896934154850157</v>
      </c>
      <c r="G255">
        <v>71.406946174307322</v>
      </c>
      <c r="H255">
        <v>66.85689786215552</v>
      </c>
      <c r="J255">
        <v>45.071700000998412</v>
      </c>
      <c r="L255">
        <v>1.433573583400048</v>
      </c>
      <c r="M255">
        <v>15.207276624368847</v>
      </c>
      <c r="N255">
        <v>1.9101472405753273</v>
      </c>
      <c r="O255">
        <v>11.059062135196216</v>
      </c>
      <c r="P255">
        <v>8.9776006612282604</v>
      </c>
      <c r="R255">
        <v>12.53610001627427</v>
      </c>
      <c r="S255">
        <v>39.661534357072306</v>
      </c>
      <c r="U255">
        <v>4.4319915208313612</v>
      </c>
      <c r="V255">
        <v>46.462300383963701</v>
      </c>
      <c r="W255">
        <v>30.620332831021329</v>
      </c>
      <c r="X255">
        <v>43.954880853475252</v>
      </c>
      <c r="Y255">
        <v>3.1262259892834856</v>
      </c>
      <c r="Z255">
        <v>20.345304150235627</v>
      </c>
      <c r="AB255">
        <v>32.265183085626987</v>
      </c>
      <c r="AD255">
        <v>1.760153259845048</v>
      </c>
      <c r="AE255">
        <v>8.4985948475054514</v>
      </c>
      <c r="AF255">
        <v>14.807087751418567</v>
      </c>
      <c r="AG255">
        <v>18.166954933810079</v>
      </c>
      <c r="AI255">
        <v>1.8434169912649492</v>
      </c>
      <c r="AK255">
        <v>39.778944202575005</v>
      </c>
    </row>
    <row r="256" spans="1:37" x14ac:dyDescent="0.2">
      <c r="A256">
        <v>255</v>
      </c>
      <c r="B256">
        <v>778</v>
      </c>
      <c r="C256">
        <v>105</v>
      </c>
      <c r="D256">
        <v>0.49587642106264601</v>
      </c>
      <c r="E256">
        <v>103.55825228585225</v>
      </c>
      <c r="F256">
        <v>50.844236366584852</v>
      </c>
      <c r="G256">
        <v>71.481587699200901</v>
      </c>
      <c r="H256">
        <v>66.928794083545398</v>
      </c>
      <c r="J256">
        <v>40.966693246968994</v>
      </c>
      <c r="L256">
        <v>1.4512164870128255</v>
      </c>
      <c r="M256">
        <v>14.847560017301111</v>
      </c>
      <c r="N256">
        <v>1.9121564537977458</v>
      </c>
      <c r="O256">
        <v>10.87852963967557</v>
      </c>
      <c r="P256">
        <v>9.1501519362175312</v>
      </c>
      <c r="R256">
        <v>12.307483107980671</v>
      </c>
      <c r="S256">
        <v>39.644713966028384</v>
      </c>
      <c r="U256">
        <v>4.4275969425908341</v>
      </c>
      <c r="V256">
        <v>46.847383056684585</v>
      </c>
      <c r="W256">
        <v>30.158070869286767</v>
      </c>
      <c r="X256">
        <v>43.982864252908939</v>
      </c>
      <c r="Y256">
        <v>2.9870528393293005</v>
      </c>
      <c r="Z256">
        <v>18.838638776529397</v>
      </c>
      <c r="AB256">
        <v>31.558684376765342</v>
      </c>
      <c r="AD256">
        <v>0.98360346977399649</v>
      </c>
      <c r="AE256">
        <v>7.5903766787774005</v>
      </c>
      <c r="AF256">
        <v>14.446258699015692</v>
      </c>
      <c r="AG256">
        <v>17.445669907803676</v>
      </c>
      <c r="AI256">
        <v>1.8451645838270554</v>
      </c>
      <c r="AK256">
        <v>37.001988957730234</v>
      </c>
    </row>
    <row r="257" spans="1:37" x14ac:dyDescent="0.2">
      <c r="A257">
        <v>256</v>
      </c>
      <c r="B257">
        <v>777</v>
      </c>
      <c r="C257">
        <v>105</v>
      </c>
      <c r="D257">
        <v>0.49532971480264998</v>
      </c>
      <c r="E257">
        <v>103.76184615334638</v>
      </c>
      <c r="F257">
        <v>50.94983643270163</v>
      </c>
      <c r="G257">
        <v>71.527521735083269</v>
      </c>
      <c r="H257">
        <v>66.971995414629063</v>
      </c>
      <c r="J257">
        <v>37.997700631350625</v>
      </c>
      <c r="L257">
        <v>1.4661585729120417</v>
      </c>
      <c r="M257">
        <v>14.489083613757849</v>
      </c>
      <c r="N257">
        <v>1.9141637285289195</v>
      </c>
      <c r="O257">
        <v>10.731162975939025</v>
      </c>
      <c r="P257">
        <v>9.2652935368743279</v>
      </c>
      <c r="R257">
        <v>12.063377415151701</v>
      </c>
      <c r="S257">
        <v>39.759859587378479</v>
      </c>
      <c r="U257">
        <v>4.4141872819450363</v>
      </c>
      <c r="V257">
        <v>47.273259123543191</v>
      </c>
      <c r="W257">
        <v>29.703772168207497</v>
      </c>
      <c r="X257">
        <v>43.985108911443056</v>
      </c>
      <c r="Y257">
        <v>2.8372512623369017</v>
      </c>
      <c r="Z257">
        <v>17.862938344400028</v>
      </c>
      <c r="AB257">
        <v>31.23488220624213</v>
      </c>
      <c r="AD257">
        <v>0.45747118413297888</v>
      </c>
      <c r="AE257">
        <v>7.0034590403189725</v>
      </c>
      <c r="AF257">
        <v>14.086668129113942</v>
      </c>
      <c r="AG257">
        <v>17.107081877117771</v>
      </c>
      <c r="AI257">
        <v>1.8469094473558085</v>
      </c>
      <c r="AK257">
        <v>34.961875023562577</v>
      </c>
    </row>
    <row r="258" spans="1:37" x14ac:dyDescent="0.2">
      <c r="A258">
        <v>257</v>
      </c>
      <c r="B258">
        <v>815</v>
      </c>
      <c r="C258">
        <v>90</v>
      </c>
      <c r="D258">
        <v>0.53056150346919295</v>
      </c>
      <c r="E258">
        <v>99.085786214066005</v>
      </c>
      <c r="F258">
        <v>78.931385045027341</v>
      </c>
      <c r="G258">
        <v>75.655474015355452</v>
      </c>
      <c r="H258">
        <v>71.212179987178516</v>
      </c>
      <c r="J258">
        <v>70.706670987680582</v>
      </c>
      <c r="L258">
        <v>11.658252742316362</v>
      </c>
      <c r="M258">
        <v>16.009565699061067</v>
      </c>
      <c r="N258">
        <v>2.0865110520860384</v>
      </c>
      <c r="O258">
        <v>57.745855420635358</v>
      </c>
      <c r="P258">
        <v>16.805954877840062</v>
      </c>
      <c r="Q258">
        <v>1.7839567930963824E-2</v>
      </c>
      <c r="R258">
        <v>27.707836061865283</v>
      </c>
      <c r="S258">
        <v>67.779489565677267</v>
      </c>
      <c r="U258">
        <v>5.1601735538736326</v>
      </c>
      <c r="V258">
        <v>48.293718341383631</v>
      </c>
      <c r="W258">
        <v>37.324984848971397</v>
      </c>
      <c r="X258">
        <v>42.355863568885042</v>
      </c>
      <c r="Y258">
        <v>13.081650485567096</v>
      </c>
      <c r="Z258">
        <v>43.60015798112736</v>
      </c>
      <c r="AA258">
        <v>11.139367012179587</v>
      </c>
      <c r="AB258">
        <v>44.760039933601917</v>
      </c>
      <c r="AC258">
        <v>0.30288266020759191</v>
      </c>
      <c r="AD258">
        <v>14.370875212276784</v>
      </c>
      <c r="AE258">
        <v>19.8534302417339</v>
      </c>
      <c r="AF258">
        <v>15.944638885830337</v>
      </c>
      <c r="AG258">
        <v>31.507961328479208</v>
      </c>
      <c r="AH258">
        <v>12.265070141322465</v>
      </c>
      <c r="AI258">
        <v>2.0269613348331972</v>
      </c>
      <c r="AK258">
        <v>55.185830239742998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9118-287D-4C06-A890-32B0BB8A8B6C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15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2025-06-09T22:17:46Z</dcterms:created>
  <dcterms:modified xsi:type="dcterms:W3CDTF">2025-06-09T22:19:52Z</dcterms:modified>
</cp:coreProperties>
</file>