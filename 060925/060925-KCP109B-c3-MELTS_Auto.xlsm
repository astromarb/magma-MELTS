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016E79E5-5192-459C-90FD-6F36276E5A6B}" xr6:coauthVersionLast="47" xr6:coauthVersionMax="47" xr10:uidLastSave="{00000000-0000-0000-0000-000000000000}"/>
  <bookViews>
    <workbookView xWindow="28680" yWindow="4920" windowWidth="29040" windowHeight="15720" activeTab="1" xr2:uid="{0785BD0B-D819-422A-B889-8F265F11B802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B1" i="18"/>
  <c r="C2" i="14"/>
  <c r="E3" i="14"/>
  <c r="G4" i="14"/>
  <c r="I5" i="14"/>
  <c r="C8" i="14"/>
  <c r="E9" i="14"/>
  <c r="G10" i="14"/>
  <c r="I11" i="14"/>
  <c r="F3" i="14"/>
  <c r="J5" i="14"/>
  <c r="F9" i="14"/>
  <c r="H10" i="14"/>
  <c r="E2" i="14"/>
  <c r="I4" i="14"/>
  <c r="C7" i="14"/>
  <c r="G9" i="14"/>
  <c r="K11" i="14"/>
  <c r="G8" i="14"/>
  <c r="H2" i="14"/>
  <c r="F7" i="14"/>
  <c r="J9" i="14"/>
  <c r="K9" i="14"/>
  <c r="D5" i="14"/>
  <c r="J8" i="14"/>
  <c r="C10" i="14"/>
  <c r="J7" i="14"/>
  <c r="E4" i="14"/>
  <c r="G11" i="14"/>
  <c r="D9" i="14"/>
  <c r="D2" i="14"/>
  <c r="H4" i="14"/>
  <c r="D8" i="14"/>
  <c r="J11" i="14"/>
  <c r="G3" i="14"/>
  <c r="E8" i="14"/>
  <c r="I10" i="14"/>
  <c r="K4" i="14"/>
  <c r="I9" i="14"/>
  <c r="L10" i="14"/>
  <c r="C5" i="14"/>
  <c r="I8" i="14"/>
  <c r="J2" i="14"/>
  <c r="K2" i="14"/>
  <c r="I7" i="14"/>
  <c r="F5" i="14"/>
  <c r="F11" i="14"/>
  <c r="K7" i="14"/>
  <c r="F4" i="14"/>
  <c r="F10" i="14"/>
  <c r="K5" i="14"/>
  <c r="D11" i="14"/>
  <c r="L2" i="14"/>
  <c r="D10" i="14"/>
  <c r="E10" i="14"/>
  <c r="H5" i="14"/>
  <c r="F2" i="14"/>
  <c r="H3" i="14"/>
  <c r="J4" i="14"/>
  <c r="L5" i="14"/>
  <c r="D7" i="14"/>
  <c r="F8" i="14"/>
  <c r="H9" i="14"/>
  <c r="J10" i="14"/>
  <c r="L11" i="14"/>
  <c r="G2" i="14"/>
  <c r="I3" i="14"/>
  <c r="E7" i="14"/>
  <c r="K10" i="14"/>
  <c r="L4" i="14"/>
  <c r="H8" i="14"/>
  <c r="I2" i="14"/>
  <c r="G7" i="14"/>
  <c r="C11" i="14"/>
  <c r="L9" i="14"/>
  <c r="E5" i="14"/>
  <c r="E11" i="14"/>
  <c r="G5" i="14"/>
  <c r="C9" i="14"/>
  <c r="C3" i="14"/>
  <c r="L7" i="14"/>
  <c r="H7" i="14"/>
  <c r="C4" i="14"/>
  <c r="D4" i="14"/>
  <c r="L8" i="14"/>
  <c r="D3" i="14"/>
  <c r="H11" i="14"/>
  <c r="K8" i="14"/>
  <c r="B11" i="14"/>
  <c r="B10" i="14"/>
  <c r="B9" i="14"/>
  <c r="B8" i="14"/>
  <c r="B7" i="14"/>
  <c r="B6" i="14"/>
  <c r="B5" i="14"/>
  <c r="B4" i="14"/>
  <c r="B3" i="14"/>
  <c r="B2" i="14"/>
  <c r="K4" i="18" l="1"/>
  <c r="L4" i="18"/>
  <c r="H3" i="18"/>
  <c r="L3" i="18"/>
  <c r="C2" i="18"/>
  <c r="L2" i="18"/>
  <c r="G3" i="18"/>
  <c r="H4" i="18"/>
  <c r="E3" i="18"/>
  <c r="H2" i="18"/>
  <c r="F4" i="18"/>
  <c r="D3" i="18"/>
  <c r="K3" i="18"/>
  <c r="I3" i="18"/>
  <c r="I4" i="18"/>
  <c r="I2" i="18"/>
  <c r="E4" i="18"/>
  <c r="D4" i="18"/>
  <c r="D2" i="18"/>
  <c r="J3" i="18"/>
  <c r="J4" i="18"/>
  <c r="K2" i="18"/>
  <c r="J2" i="18"/>
  <c r="F3" i="18"/>
  <c r="G4" i="18"/>
  <c r="G2" i="18"/>
  <c r="C3" i="18"/>
  <c r="F2" i="18"/>
  <c r="E2" i="18"/>
  <c r="C4" i="18"/>
  <c r="B4" i="18"/>
  <c r="B3" i="18"/>
  <c r="B2" i="18"/>
  <c r="J7" i="18" l="1"/>
  <c r="J6" i="18"/>
  <c r="L6" i="18"/>
  <c r="L7" i="18"/>
  <c r="E7" i="18"/>
  <c r="E6" i="18"/>
  <c r="C7" i="18"/>
  <c r="C6" i="18"/>
  <c r="K6" i="18"/>
  <c r="K7" i="18"/>
  <c r="D7" i="18"/>
  <c r="D6" i="18"/>
  <c r="H7" i="18"/>
  <c r="H6" i="18"/>
  <c r="F6" i="18"/>
  <c r="F7" i="18"/>
  <c r="G6" i="18"/>
  <c r="G7" i="18"/>
  <c r="I7" i="18"/>
  <c r="I6" i="18"/>
  <c r="B6" i="18"/>
  <c r="B7" i="18"/>
  <c r="N7" i="18" l="1"/>
  <c r="O7" i="18" s="1"/>
  <c r="N6" i="18"/>
  <c r="P7" i="18"/>
  <c r="O6" i="18"/>
  <c r="P6" i="18"/>
  <c r="R6" i="18" a="1"/>
  <c r="R7" i="18" a="1"/>
  <c r="R7" i="18" l="1"/>
  <c r="S7" i="18"/>
  <c r="T7" i="18"/>
  <c r="B14" i="18" s="1"/>
  <c r="T6" i="18"/>
  <c r="R6" i="18"/>
  <c r="S6" i="18"/>
  <c r="B9" i="18"/>
  <c r="C9" i="18" l="1"/>
  <c r="F9" i="18"/>
  <c r="D9" i="18"/>
  <c r="E9" i="18"/>
  <c r="K9" i="18"/>
  <c r="G9" i="18"/>
  <c r="H9" i="18"/>
  <c r="J9" i="18"/>
  <c r="I9" i="18"/>
  <c r="L9" i="18"/>
  <c r="C14" i="18"/>
  <c r="E10" i="18"/>
  <c r="H10" i="18"/>
  <c r="L10" i="18"/>
  <c r="C10" i="18"/>
  <c r="D10" i="18"/>
  <c r="F10" i="18"/>
  <c r="G10" i="18"/>
  <c r="I10" i="18"/>
  <c r="J10" i="18"/>
  <c r="K10" i="18"/>
  <c r="B13" i="18"/>
  <c r="C13" i="18" s="1"/>
  <c r="B10" i="18"/>
</calcChain>
</file>

<file path=xl/sharedStrings.xml><?xml version="1.0" encoding="utf-8"?>
<sst xmlns="http://schemas.openxmlformats.org/spreadsheetml/2006/main" count="729" uniqueCount="152">
  <si>
    <t xml:space="preserve"> </t>
  </si>
  <si>
    <t>060925-KCP109B-c3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</si>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</sst>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Phase_Data!$B$2:$L$2</c:f>
              <c:numCache>
                <c:formatCode>General</c:formatCode>
                <c:ptCount val="11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758</c:v>
                </c:pt>
                <c:pt idx="6">
                  <c:v>765</c:v>
                </c:pt>
                <c:pt idx="7">
                  <c:v>773</c:v>
                </c:pt>
                <c:pt idx="8">
                  <c:v>783</c:v>
                </c:pt>
                <c:pt idx="9">
                  <c:v>794</c:v>
                </c:pt>
                <c:pt idx="10">
                  <c:v>807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1-4F09-8679-FCA0F92EEE2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Phase_Data!$B$3:$L$3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743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51-4F09-8679-FCA0F92EEE2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Phase_Data!$B$4:$L$4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741</c:v>
                </c:pt>
                <c:pt idx="3">
                  <c:v>744</c:v>
                </c:pt>
                <c:pt idx="4">
                  <c:v>748</c:v>
                </c:pt>
                <c:pt idx="5">
                  <c:v>751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51-4F09-8679-FCA0F92EEE2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Phase_Data!$B$5:$L$5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743</c:v>
                </c:pt>
                <c:pt idx="4">
                  <c:v>747</c:v>
                </c:pt>
                <c:pt idx="5">
                  <c:v>751</c:v>
                </c:pt>
                <c:pt idx="6">
                  <c:v>755</c:v>
                </c:pt>
                <c:pt idx="7">
                  <c:v>759</c:v>
                </c:pt>
                <c:pt idx="8">
                  <c:v>765</c:v>
                </c:pt>
                <c:pt idx="9">
                  <c:v>772</c:v>
                </c:pt>
                <c:pt idx="10">
                  <c:v>781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51-4F09-8679-FCA0F92EEE2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Phase_Data!$B$6:$L$6</c:f>
              <c:numCache>
                <c:formatCode>General</c:formatCode>
                <c:ptCount val="11"/>
                <c:pt idx="0">
                  <c:v>735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51-4F09-8679-FCA0F92EEE2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Phase_Data!$B$7:$L$7</c:f>
              <c:numCache>
                <c:formatCode>General</c:formatCode>
                <c:ptCount val="11"/>
                <c:pt idx="0">
                  <c:v>738</c:v>
                </c:pt>
                <c:pt idx="1">
                  <c:v>741</c:v>
                </c:pt>
                <c:pt idx="2">
                  <c:v>743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781</c:v>
                </c:pt>
                <c:pt idx="9">
                  <c:v>793</c:v>
                </c:pt>
                <c:pt idx="10">
                  <c:v>806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51-4F09-8679-FCA0F92EEE2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Phase_Data!$B$8:$L$8</c:f>
              <c:numCache>
                <c:formatCode>General</c:formatCode>
                <c:ptCount val="11"/>
                <c:pt idx="0">
                  <c:v>736</c:v>
                </c:pt>
                <c:pt idx="1">
                  <c:v>740</c:v>
                </c:pt>
                <c:pt idx="2">
                  <c:v>743</c:v>
                </c:pt>
                <c:pt idx="3">
                  <c:v>746</c:v>
                </c:pt>
                <c:pt idx="4">
                  <c:v>750</c:v>
                </c:pt>
                <c:pt idx="5">
                  <c:v>754</c:v>
                </c:pt>
                <c:pt idx="6">
                  <c:v>758</c:v>
                </c:pt>
                <c:pt idx="7">
                  <c:v>763</c:v>
                </c:pt>
                <c:pt idx="8">
                  <c:v>769</c:v>
                </c:pt>
                <c:pt idx="9">
                  <c:v>777</c:v>
                </c:pt>
                <c:pt idx="10">
                  <c:v>787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51-4F09-8679-FCA0F92EEE2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Phase_Data!$B$9:$L$9</c:f>
              <c:numCache>
                <c:formatCode>General</c:formatCode>
                <c:ptCount val="1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757</c:v>
                </c:pt>
                <c:pt idx="6">
                  <c:v>761</c:v>
                </c:pt>
                <c:pt idx="7">
                  <c:v>766</c:v>
                </c:pt>
                <c:pt idx="8">
                  <c:v>773</c:v>
                </c:pt>
                <c:pt idx="9">
                  <c:v>781</c:v>
                </c:pt>
                <c:pt idx="10">
                  <c:v>791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51-4F09-8679-FCA0F92EEE24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Phase_Data!$B$10:$L$10</c:f>
              <c:numCache>
                <c:formatCode>General</c:formatCode>
                <c:ptCount val="11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758</c:v>
                </c:pt>
                <c:pt idx="6">
                  <c:v>765</c:v>
                </c:pt>
                <c:pt idx="7">
                  <c:v>773</c:v>
                </c:pt>
                <c:pt idx="8">
                  <c:v>783</c:v>
                </c:pt>
                <c:pt idx="9">
                  <c:v>794</c:v>
                </c:pt>
                <c:pt idx="10">
                  <c:v>807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51-4F09-8679-FCA0F92EE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423823"/>
        <c:axId val="2040422863"/>
      </c:scatterChart>
      <c:valAx>
        <c:axId val="2040423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40422863"/>
        <c:crosses val="autoZero"/>
        <c:crossBetween val="midCat"/>
      </c:valAx>
      <c:valAx>
        <c:axId val="2040422863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4042382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757</c:v>
                </c:pt>
                <c:pt idx="6">
                  <c:v>761</c:v>
                </c:pt>
                <c:pt idx="7">
                  <c:v>766</c:v>
                </c:pt>
                <c:pt idx="8">
                  <c:v>773</c:v>
                </c:pt>
                <c:pt idx="9">
                  <c:v>781</c:v>
                </c:pt>
                <c:pt idx="1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8-4A40-87BA-3D978C71D17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738</c:v>
                </c:pt>
                <c:pt idx="1">
                  <c:v>741</c:v>
                </c:pt>
                <c:pt idx="2">
                  <c:v>743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781</c:v>
                </c:pt>
                <c:pt idx="9">
                  <c:v>793</c:v>
                </c:pt>
                <c:pt idx="1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8-4A40-87BA-3D978C71D17E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P_Calc!$B$4:$L$4</c:f>
              <c:numCache>
                <c:formatCode>General</c:formatCode>
                <c:ptCount val="11"/>
                <c:pt idx="0">
                  <c:v>736</c:v>
                </c:pt>
                <c:pt idx="1">
                  <c:v>740</c:v>
                </c:pt>
                <c:pt idx="2">
                  <c:v>743</c:v>
                </c:pt>
                <c:pt idx="3">
                  <c:v>746</c:v>
                </c:pt>
                <c:pt idx="4">
                  <c:v>750</c:v>
                </c:pt>
                <c:pt idx="5">
                  <c:v>754</c:v>
                </c:pt>
                <c:pt idx="6">
                  <c:v>758</c:v>
                </c:pt>
                <c:pt idx="7">
                  <c:v>763</c:v>
                </c:pt>
                <c:pt idx="8">
                  <c:v>769</c:v>
                </c:pt>
                <c:pt idx="9">
                  <c:v>777</c:v>
                </c:pt>
                <c:pt idx="10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78-4A40-87BA-3D978C71D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82495"/>
        <c:axId val="75179615"/>
      </c:scatterChart>
      <c:valAx>
        <c:axId val="751824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5179615"/>
        <c:crosses val="autoZero"/>
        <c:crossBetween val="midCat"/>
      </c:valAx>
      <c:valAx>
        <c:axId val="7517961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518249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757</c:v>
                </c:pt>
                <c:pt idx="6">
                  <c:v>761</c:v>
                </c:pt>
                <c:pt idx="7">
                  <c:v>766</c:v>
                </c:pt>
                <c:pt idx="8">
                  <c:v>773</c:v>
                </c:pt>
                <c:pt idx="9">
                  <c:v>781</c:v>
                </c:pt>
                <c:pt idx="1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4-47D7-976D-FB707C9C302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738</c:v>
                </c:pt>
                <c:pt idx="1">
                  <c:v>741</c:v>
                </c:pt>
                <c:pt idx="2">
                  <c:v>743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781</c:v>
                </c:pt>
                <c:pt idx="9">
                  <c:v>793</c:v>
                </c:pt>
                <c:pt idx="1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4-47D7-976D-FB707C9C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335951"/>
        <c:axId val="2046628863"/>
      </c:scatterChart>
      <c:valAx>
        <c:axId val="204733595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46628863"/>
        <c:crosses val="autoZero"/>
        <c:crossBetween val="midCat"/>
      </c:valAx>
      <c:valAx>
        <c:axId val="204662886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4733595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P_Calc!$B$6:$L$6</c:f>
              <c:numCache>
                <c:formatCode>General</c:formatCode>
                <c:ptCount val="11"/>
                <c:pt idx="0">
                  <c:v>20</c:v>
                </c:pt>
                <c:pt idx="1">
                  <c:v>16</c:v>
                </c:pt>
                <c:pt idx="2">
                  <c:v>13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6</c:v>
                </c:pt>
                <c:pt idx="7">
                  <c:v>9</c:v>
                </c:pt>
                <c:pt idx="8">
                  <c:v>12</c:v>
                </c:pt>
                <c:pt idx="9">
                  <c:v>16</c:v>
                </c:pt>
                <c:pt idx="10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80-420C-971B-9490008F39CB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P_Calc!$B$9:$L$9</c:f>
              <c:numCache>
                <c:formatCode>General</c:formatCode>
                <c:ptCount val="11"/>
                <c:pt idx="0">
                  <c:v>40.657142857134488</c:v>
                </c:pt>
                <c:pt idx="1">
                  <c:v>27.59999999999377</c:v>
                </c:pt>
                <c:pt idx="2">
                  <c:v>17.399999999995345</c:v>
                </c:pt>
                <c:pt idx="3">
                  <c:v>10.05714285713924</c:v>
                </c:pt>
                <c:pt idx="4">
                  <c:v>5.5714285714254572</c:v>
                </c:pt>
                <c:pt idx="5">
                  <c:v>3.9428571428539954</c:v>
                </c:pt>
                <c:pt idx="6">
                  <c:v>5.1714285714248263</c:v>
                </c:pt>
                <c:pt idx="7">
                  <c:v>9.2571428571379784</c:v>
                </c:pt>
                <c:pt idx="8">
                  <c:v>16.199999999993452</c:v>
                </c:pt>
                <c:pt idx="9">
                  <c:v>25.999999999991232</c:v>
                </c:pt>
                <c:pt idx="10">
                  <c:v>38.657142857131333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80-420C-971B-9490008F39CB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198.59999999999752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3.9358571428539619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80-420C-971B-9490008F3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16559"/>
        <c:axId val="2047335951"/>
      </c:scatterChart>
      <c:valAx>
        <c:axId val="41121655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47335951"/>
        <c:crosses val="autoZero"/>
        <c:crossBetween val="midCat"/>
      </c:valAx>
      <c:valAx>
        <c:axId val="204733595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1121655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P_Calc!$B$7:$L$7</c:f>
              <c:numCache>
                <c:formatCode>General</c:formatCode>
                <c:ptCount val="11"/>
                <c:pt idx="0">
                  <c:v>18</c:v>
                </c:pt>
                <c:pt idx="1">
                  <c:v>15</c:v>
                </c:pt>
                <c:pt idx="2">
                  <c:v>13</c:v>
                </c:pt>
                <c:pt idx="3">
                  <c:v>10</c:v>
                </c:pt>
                <c:pt idx="4">
                  <c:v>5</c:v>
                </c:pt>
                <c:pt idx="5">
                  <c:v>1</c:v>
                </c:pt>
                <c:pt idx="6">
                  <c:v>3</c:v>
                </c:pt>
                <c:pt idx="7">
                  <c:v>6</c:v>
                </c:pt>
                <c:pt idx="8">
                  <c:v>8</c:v>
                </c:pt>
                <c:pt idx="9">
                  <c:v>12</c:v>
                </c:pt>
                <c:pt idx="1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5-4441-A2D2-ED8CB216E34E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P_Calc!$B$10:$L$10</c:f>
              <c:numCache>
                <c:formatCode>General</c:formatCode>
                <c:ptCount val="11"/>
                <c:pt idx="0">
                  <c:v>46.142857142859725</c:v>
                </c:pt>
                <c:pt idx="1">
                  <c:v>31.000000000003865</c:v>
                </c:pt>
                <c:pt idx="2">
                  <c:v>19.000000000004604</c:v>
                </c:pt>
                <c:pt idx="3">
                  <c:v>10.142857142861999</c:v>
                </c:pt>
                <c:pt idx="4">
                  <c:v>4.4285714285759923</c:v>
                </c:pt>
                <c:pt idx="5">
                  <c:v>1.8571428571466129</c:v>
                </c:pt>
                <c:pt idx="6">
                  <c:v>2.4285714285738607</c:v>
                </c:pt>
                <c:pt idx="7">
                  <c:v>6.1428571428577357</c:v>
                </c:pt>
                <c:pt idx="8">
                  <c:v>12.999999999998238</c:v>
                </c:pt>
                <c:pt idx="9">
                  <c:v>22.999999999995367</c:v>
                </c:pt>
                <c:pt idx="10">
                  <c:v>36.142857142849124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75-4441-A2D2-ED8CB216E34E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193.63636363635584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1.6980519480553653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75-4441-A2D2-ED8CB216E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45567"/>
        <c:axId val="459443167"/>
      </c:scatterChart>
      <c:valAx>
        <c:axId val="45944556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59443167"/>
        <c:crosses val="autoZero"/>
        <c:crossBetween val="midCat"/>
      </c:valAx>
      <c:valAx>
        <c:axId val="45944316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5944556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7D89FEE-772F-4C3F-B32B-7881460C5D1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3BEE80-6B5C-C1C6-0FE7-DF076FC51EA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DF3545-3FD0-5C14-3EC0-5EBB7738B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0543A2-E10E-9A9B-B530-D80094E786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4A52A6-FA63-3536-CE0A-C5F1E0C24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2B66964-A171-7808-9909-537CDB23FF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AFDC2-DE9A-4AD4-B1CD-F08705B57F1E}">
  <dimension ref="A1:T14"/>
  <sheetViews>
    <sheetView tabSelected="1" workbookViewId="0"/>
  </sheetViews>
  <sheetFormatPr defaultRowHeight="15" x14ac:dyDescent="0.2"/>
  <sheetData>
    <row r="1" spans="1:20" x14ac:dyDescent="0.2">
      <c r="A1" t="s">
        <v>137</v>
      </c>
      <c r="B1">
        <f>Phase_Data!B1</f>
        <v>300</v>
      </c>
      <c r="C1">
        <f>Phase_Data!C1</f>
        <v>280</v>
      </c>
      <c r="D1">
        <f>Phase_Data!D1</f>
        <v>260</v>
      </c>
      <c r="E1">
        <f>Phase_Data!E1</f>
        <v>240</v>
      </c>
      <c r="F1">
        <f>Phase_Data!F1</f>
        <v>220</v>
      </c>
      <c r="G1">
        <f>Phase_Data!G1</f>
        <v>200</v>
      </c>
      <c r="H1">
        <f>Phase_Data!H1</f>
        <v>180</v>
      </c>
      <c r="I1">
        <f>Phase_Data!I1</f>
        <v>160</v>
      </c>
      <c r="J1">
        <f>Phase_Data!J1</f>
        <v>140</v>
      </c>
      <c r="K1">
        <f>Phase_Data!K1</f>
        <v>120</v>
      </c>
      <c r="L1">
        <f>Phase_Data!L1</f>
        <v>100</v>
      </c>
      <c r="N1" t="s">
        <v>144</v>
      </c>
      <c r="O1" t="s">
        <v>145</v>
      </c>
      <c r="P1" t="s">
        <v>146</v>
      </c>
      <c r="R1" t="s">
        <v>147</v>
      </c>
      <c r="S1" t="s">
        <v>148</v>
      </c>
      <c r="T1" t="s">
        <v>149</v>
      </c>
    </row>
    <row r="2" spans="1:20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756</v>
      </c>
      <c r="G2">
        <f ca="1">IFERROR(VLOOKUP($A2,Phase_Data!$1:$1048576,COLUMN(),0),"-")</f>
        <v>757</v>
      </c>
      <c r="H2">
        <f ca="1">IFERROR(VLOOKUP($A2,Phase_Data!$1:$1048576,COLUMN(),0),"-")</f>
        <v>761</v>
      </c>
      <c r="I2">
        <f ca="1">IFERROR(VLOOKUP($A2,Phase_Data!$1:$1048576,COLUMN(),0),"-")</f>
        <v>766</v>
      </c>
      <c r="J2">
        <f ca="1">IFERROR(VLOOKUP($A2,Phase_Data!$1:$1048576,COLUMN(),0),"-")</f>
        <v>773</v>
      </c>
      <c r="K2">
        <f ca="1">IFERROR(VLOOKUP($A2,Phase_Data!$1:$1048576,COLUMN(),0),"-")</f>
        <v>781</v>
      </c>
      <c r="L2">
        <f ca="1">IFERROR(VLOOKUP($A2,Phase_Data!$1:$1048576,COLUMN(),0),"-")</f>
        <v>791</v>
      </c>
    </row>
    <row r="3" spans="1:20" x14ac:dyDescent="0.2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741</v>
      </c>
      <c r="D3">
        <f ca="1">IFERROR(VLOOKUP($A3,Phase_Data!$1:$1048576,COLUMN(),0),"-")</f>
        <v>743</v>
      </c>
      <c r="E3">
        <f ca="1">IFERROR(VLOOKUP($A3,Phase_Data!$1:$1048576,COLUMN(),0),"-")</f>
        <v>746</v>
      </c>
      <c r="F3">
        <f ca="1">IFERROR(VLOOKUP($A3,Phase_Data!$1:$1048576,COLUMN(),0),"-")</f>
        <v>751</v>
      </c>
      <c r="G3">
        <f ca="1">IFERROR(VLOOKUP($A3,Phase_Data!$1:$1048576,COLUMN(),0),"-")</f>
        <v>756</v>
      </c>
      <c r="H3">
        <f ca="1">IFERROR(VLOOKUP($A3,Phase_Data!$1:$1048576,COLUMN(),0),"-")</f>
        <v>764</v>
      </c>
      <c r="I3">
        <f ca="1">IFERROR(VLOOKUP($A3,Phase_Data!$1:$1048576,COLUMN(),0),"-")</f>
        <v>772</v>
      </c>
      <c r="J3">
        <f ca="1">IFERROR(VLOOKUP($A3,Phase_Data!$1:$1048576,COLUMN(),0),"-")</f>
        <v>781</v>
      </c>
      <c r="K3">
        <f ca="1">IFERROR(VLOOKUP($A3,Phase_Data!$1:$1048576,COLUMN(),0),"-")</f>
        <v>793</v>
      </c>
      <c r="L3">
        <f ca="1">IFERROR(VLOOKUP($A3,Phase_Data!$1:$1048576,COLUMN(),0),"-")</f>
        <v>806</v>
      </c>
    </row>
    <row r="4" spans="1:20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740</v>
      </c>
      <c r="D4">
        <f ca="1">IFERROR(VLOOKUP($A4,Phase_Data!$1:$1048576,COLUMN(),0),"-")</f>
        <v>743</v>
      </c>
      <c r="E4">
        <f ca="1">IFERROR(VLOOKUP($A4,Phase_Data!$1:$1048576,COLUMN(),0),"-")</f>
        <v>746</v>
      </c>
      <c r="F4">
        <f ca="1">IFERROR(VLOOKUP($A4,Phase_Data!$1:$1048576,COLUMN(),0),"-")</f>
        <v>750</v>
      </c>
      <c r="G4">
        <f ca="1">IFERROR(VLOOKUP($A4,Phase_Data!$1:$1048576,COLUMN(),0),"-")</f>
        <v>754</v>
      </c>
      <c r="H4">
        <f ca="1">IFERROR(VLOOKUP($A4,Phase_Data!$1:$1048576,COLUMN(),0),"-")</f>
        <v>758</v>
      </c>
      <c r="I4">
        <f ca="1">IFERROR(VLOOKUP($A4,Phase_Data!$1:$1048576,COLUMN(),0),"-")</f>
        <v>763</v>
      </c>
      <c r="J4">
        <f ca="1">IFERROR(VLOOKUP($A4,Phase_Data!$1:$1048576,COLUMN(),0),"-")</f>
        <v>769</v>
      </c>
      <c r="K4">
        <f ca="1">IFERROR(VLOOKUP($A4,Phase_Data!$1:$1048576,COLUMN(),0),"-")</f>
        <v>777</v>
      </c>
      <c r="L4">
        <f ca="1">IFERROR(VLOOKUP($A4,Phase_Data!$1:$1048576,COLUMN(),0),"-")</f>
        <v>787</v>
      </c>
    </row>
    <row r="6" spans="1:20" x14ac:dyDescent="0.2">
      <c r="A6" t="s">
        <v>138</v>
      </c>
      <c r="B6">
        <f ca="1">IF(AND(B2&lt;&gt;0,B3&lt;&gt;0,B4&lt;&gt;0),MAX(B2:B4)-MIN(B2:B4),"-")</f>
        <v>20</v>
      </c>
      <c r="C6">
        <f t="shared" ref="C6:L6" ca="1" si="0">IF(AND(C2&lt;&gt;0,C3&lt;&gt;0,C4&lt;&gt;0),MAX(C2:C4)-MIN(C2:C4),"-")</f>
        <v>16</v>
      </c>
      <c r="D6">
        <f t="shared" ca="1" si="0"/>
        <v>13</v>
      </c>
      <c r="E6">
        <f t="shared" ca="1" si="0"/>
        <v>10</v>
      </c>
      <c r="F6">
        <f t="shared" ca="1" si="0"/>
        <v>6</v>
      </c>
      <c r="G6">
        <f t="shared" ca="1" si="0"/>
        <v>3</v>
      </c>
      <c r="H6">
        <f t="shared" ca="1" si="0"/>
        <v>6</v>
      </c>
      <c r="I6">
        <f t="shared" ca="1" si="0"/>
        <v>9</v>
      </c>
      <c r="J6">
        <f t="shared" ca="1" si="0"/>
        <v>12</v>
      </c>
      <c r="K6">
        <f t="shared" ca="1" si="0"/>
        <v>16</v>
      </c>
      <c r="L6">
        <f t="shared" ca="1" si="0"/>
        <v>19</v>
      </c>
      <c r="N6">
        <f ca="1">MIN(B6:L6)</f>
        <v>3</v>
      </c>
      <c r="O6">
        <f ca="1">IF(N6&lt;=5,INDEX(B$1:L$1,1,MATCH(N6,B6:L6,0)),"-")</f>
        <v>200</v>
      </c>
      <c r="P6">
        <f ca="1">IF(N6&lt;=5,MATCH(N6,B6:L6,0),"-")</f>
        <v>6</v>
      </c>
      <c r="R6">
        <f t="array" aca="1" ref="R6:T6" ca="1">IF(P6="-","-",TRANSPOSE(MMULT(MINVERSE(MMULT(TRANSPOSE(generate_matrix(TRANSPOSE(INDEX(B$1:L$1,1,MAX(P6-2,1)):INDEX(B$1:L$1,1,MIN(P6+2,COUNT(B$1:L$1)))))),generate_matrix(TRANSPOSE(INDEX(B$1:L$1,1,MAX(P6-2,1)):INDEX(B$1:L$1,1,MIN(P6+2,COUNT(B$1:L$1))))))),MMULT(TRANSPOSE(generate_matrix(TRANSPOSE(INDEX(B$1:L$1,1,MAX(P6-2,1)):INDEX(B$1:L$1,1,MIN(P6+2,COUNT(B$1:L$1)))))),TRANSPOSE(INDEX(B6:L6,1,MAX(P6-2,1)):INDEX(B6:L6,1,MIN(P6+2,COUNT(B$1:L$1))))))))</f>
        <v>144.79999999996653</v>
      </c>
      <c r="S6">
        <f ca="1"/>
        <v>-1.4185714285711413</v>
      </c>
      <c r="T6">
        <f ca="1"/>
        <v>3.5714285714278926E-3</v>
      </c>
    </row>
    <row r="7" spans="1:20" x14ac:dyDescent="0.2">
      <c r="A7" t="s">
        <v>139</v>
      </c>
      <c r="B7">
        <f ca="1">IF(AND(MAX(B2:B4)&lt;&gt;0,LARGE(B2:B4,2)&lt;&gt;0),MAX(B2:B4)-LARGE(B2:B4,2),"-")</f>
        <v>18</v>
      </c>
      <c r="C7">
        <f t="shared" ref="C7:L7" ca="1" si="1">IF(AND(MAX(C2:C4)&lt;&gt;0,LARGE(C2:C4,2)&lt;&gt;0),MAX(C2:C4)-LARGE(C2:C4,2),"-")</f>
        <v>15</v>
      </c>
      <c r="D7">
        <f t="shared" ca="1" si="1"/>
        <v>13</v>
      </c>
      <c r="E7">
        <f t="shared" ca="1" si="1"/>
        <v>10</v>
      </c>
      <c r="F7">
        <f t="shared" ca="1" si="1"/>
        <v>5</v>
      </c>
      <c r="G7">
        <f t="shared" ca="1" si="1"/>
        <v>1</v>
      </c>
      <c r="H7">
        <f t="shared" ca="1" si="1"/>
        <v>3</v>
      </c>
      <c r="I7">
        <f t="shared" ca="1" si="1"/>
        <v>6</v>
      </c>
      <c r="J7">
        <f t="shared" ca="1" si="1"/>
        <v>8</v>
      </c>
      <c r="K7">
        <f t="shared" ca="1" si="1"/>
        <v>12</v>
      </c>
      <c r="L7">
        <f t="shared" ca="1" si="1"/>
        <v>15</v>
      </c>
      <c r="N7">
        <f ca="1">MIN(B7:L7)</f>
        <v>1</v>
      </c>
      <c r="O7">
        <f ca="1">IF(N7&lt;=5,INDEX(B$1:L$1,1,MATCH(N7,B7:L7,0)),"-")</f>
        <v>200</v>
      </c>
      <c r="P7">
        <f ca="1">IF(N7&lt;=5,MATCH(N7,B7:L7,0),"-")</f>
        <v>6</v>
      </c>
      <c r="R7">
        <f t="array" aca="1" ref="R7:T7" ca="1">IF(P7="-","-",TRANSPOSE(MMULT(MINVERSE(MMULT(TRANSPOSE(generate_matrix(TRANSPOSE(INDEX(B$1:L$1,1,MAX(P7-2,1)):INDEX(B$1:L$1,1,MIN(P7+2,COUNT(B$1:L$1)))))),generate_matrix(TRANSPOSE(INDEX(B$1:L$1,1,MAX(P7-2,1)):INDEX(B$1:L$1,1,MIN(P7+2,COUNT(B$1:L$1))))))),MMULT(TRANSPOSE(generate_matrix(TRANSPOSE(INDEX(B$1:L$1,1,MAX(P7-2,1)):INDEX(B$1:L$1,1,MIN(P7+2,COUNT(B$1:L$1)))))),TRANSPOSE(INDEX(B7:L7,1,MAX(P7-2,1)):INDEX(B7:L7,1,MIN(P7+2,COUNT(B$1:L$1))))))))</f>
        <v>148.99999999996726</v>
      </c>
      <c r="S7">
        <f ca="1"/>
        <v>-1.5214285714282596</v>
      </c>
      <c r="T7">
        <f ca="1"/>
        <v>3.9285714285707818E-3</v>
      </c>
    </row>
    <row r="9" spans="1:20" x14ac:dyDescent="0.2">
      <c r="A9" t="s">
        <v>140</v>
      </c>
      <c r="B9">
        <f ca="1">IFERROR(IF($T6&gt;0,$T6*B$1^2+$S6*B$1+$R6,"-"),"-")</f>
        <v>40.657142857134488</v>
      </c>
      <c r="C9">
        <f ca="1">IFERROR(IF($T6&gt;0,$T6*C$1^2+$S6*C$1+$R6,"-"),"-")</f>
        <v>27.59999999999377</v>
      </c>
      <c r="D9">
        <f ca="1">IFERROR(IF($T6&gt;0,$T6*D$1^2+$S6*D$1+$R6,"-"),"-")</f>
        <v>17.399999999995345</v>
      </c>
      <c r="E9">
        <f ca="1">IFERROR(IF($T6&gt;0,$T6*E$1^2+$S6*E$1+$R6,"-"),"-")</f>
        <v>10.05714285713924</v>
      </c>
      <c r="F9">
        <f ca="1">IFERROR(IF($T6&gt;0,$T6*F$1^2+$S6*F$1+$R6,"-"),"-")</f>
        <v>5.5714285714254572</v>
      </c>
      <c r="G9">
        <f ca="1">IFERROR(IF($T6&gt;0,$T6*G$1^2+$S6*G$1+$R6,"-"),"-")</f>
        <v>3.9428571428539954</v>
      </c>
      <c r="H9">
        <f ca="1">IFERROR(IF($T6&gt;0,$T6*H$1^2+$S6*H$1+$R6,"-"),"-")</f>
        <v>5.1714285714248263</v>
      </c>
      <c r="I9">
        <f ca="1">IFERROR(IF($T6&gt;0,$T6*I$1^2+$S6*I$1+$R6,"-"),"-")</f>
        <v>9.2571428571379784</v>
      </c>
      <c r="J9">
        <f ca="1">IFERROR(IF($T6&gt;0,$T6*J$1^2+$S6*J$1+$R6,"-"),"-")</f>
        <v>16.199999999993452</v>
      </c>
      <c r="K9">
        <f ca="1">IFERROR(IF($T6&gt;0,$T6*K$1^2+$S6*K$1+$R6,"-"),"-")</f>
        <v>25.999999999991232</v>
      </c>
      <c r="L9">
        <f ca="1">IFERROR(IF($T6&gt;0,$T6*L$1^2+$S6*L$1+$R6,"-"),"-")</f>
        <v>38.657142857131333</v>
      </c>
    </row>
    <row r="10" spans="1:20" x14ac:dyDescent="0.2">
      <c r="A10" t="s">
        <v>141</v>
      </c>
      <c r="B10">
        <f ca="1">IFERROR(IF($T7&gt;0,$T7*B$1^2+$S7*B$1+$R7,"-"),"-")</f>
        <v>46.142857142859725</v>
      </c>
      <c r="C10">
        <f ca="1">IFERROR(IF($T7&gt;0,$T7*C$1^2+$S7*C$1+$R7,"-"),"-")</f>
        <v>31.000000000003865</v>
      </c>
      <c r="D10">
        <f ca="1">IFERROR(IF($T7&gt;0,$T7*D$1^2+$S7*D$1+$R7,"-"),"-")</f>
        <v>19.000000000004604</v>
      </c>
      <c r="E10">
        <f ca="1">IFERROR(IF($T7&gt;0,$T7*E$1^2+$S7*E$1+$R7,"-"),"-")</f>
        <v>10.142857142861999</v>
      </c>
      <c r="F10">
        <f ca="1">IFERROR(IF($T7&gt;0,$T7*F$1^2+$S7*F$1+$R7,"-"),"-")</f>
        <v>4.4285714285759923</v>
      </c>
      <c r="G10">
        <f ca="1">IFERROR(IF($T7&gt;0,$T7*G$1^2+$S7*G$1+$R7,"-"),"-")</f>
        <v>1.8571428571466129</v>
      </c>
      <c r="H10">
        <f ca="1">IFERROR(IF($T7&gt;0,$T7*H$1^2+$S7*H$1+$R7,"-"),"-")</f>
        <v>2.4285714285738607</v>
      </c>
      <c r="I10">
        <f ca="1">IFERROR(IF($T7&gt;0,$T7*I$1^2+$S7*I$1+$R7,"-"),"-")</f>
        <v>6.1428571428577357</v>
      </c>
      <c r="J10">
        <f ca="1">IFERROR(IF($T7&gt;0,$T7*J$1^2+$S7*J$1+$R7,"-"),"-")</f>
        <v>12.999999999998238</v>
      </c>
      <c r="K10">
        <f ca="1">IFERROR(IF($T7&gt;0,$T7*K$1^2+$S7*K$1+$R7,"-"),"-")</f>
        <v>22.999999999995367</v>
      </c>
      <c r="L10">
        <f ca="1">IFERROR(IF($T7&gt;0,$T7*L$1^2+$S7*L$1+$R7,"-"),"-")</f>
        <v>36.142857142849124</v>
      </c>
    </row>
    <row r="12" spans="1:20" x14ac:dyDescent="0.2">
      <c r="B12" t="s">
        <v>150</v>
      </c>
      <c r="C12" t="s">
        <v>151</v>
      </c>
    </row>
    <row r="13" spans="1:20" x14ac:dyDescent="0.2">
      <c r="A13" t="s">
        <v>142</v>
      </c>
      <c r="B13" s="2">
        <f ca="1">IFERROR(IF($N6&lt;=5,IF($T6&gt;0,-$S6/(2*$T6),"-"),"-"),"-")</f>
        <v>198.59999999999752</v>
      </c>
      <c r="C13" s="2">
        <f ca="1">IFERROR(IF($T6&gt;0,$T6*B13^2+$S6*B13+$R6,"-"),"-")</f>
        <v>3.9358571428539619</v>
      </c>
    </row>
    <row r="14" spans="1:20" x14ac:dyDescent="0.2">
      <c r="A14" t="s">
        <v>143</v>
      </c>
      <c r="B14" s="2">
        <f ca="1">IFERROR(IF($N7&lt;=5,IF($T7&gt;0,-$S7/(2*$T7),"-"),"-"),"-")</f>
        <v>193.63636363635584</v>
      </c>
      <c r="C14" s="2">
        <f ca="1">IFERROR(IF($T7&gt;0,$T7*B14^2+$S7*B14+$R7,"-"),"-")</f>
        <v>1.6980519480553653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48A4-CDBB-41BE-A5FB-435A6D9F2C0D}">
  <sheetPr codeName="Sheet2"/>
  <dimension ref="A1:L11"/>
  <sheetViews>
    <sheetView workbookViewId="0"/>
  </sheetViews>
  <sheetFormatPr defaultRowHeight="15" x14ac:dyDescent="0.2"/>
  <sheetData>
    <row r="1" spans="1:12" x14ac:dyDescent="0.2">
      <c r="A1">
        <v>300</v>
      </c>
      <c r="B1">
        <v>300</v>
      </c>
      <c r="C1">
        <v>280</v>
      </c>
      <c r="D1">
        <v>260</v>
      </c>
      <c r="E1">
        <v>240</v>
      </c>
      <c r="F1">
        <v>220</v>
      </c>
      <c r="G1">
        <v>200</v>
      </c>
      <c r="H1">
        <v>180</v>
      </c>
      <c r="I1">
        <v>160</v>
      </c>
      <c r="J1">
        <v>140</v>
      </c>
      <c r="K1">
        <v>120</v>
      </c>
      <c r="L1">
        <v>100</v>
      </c>
    </row>
    <row r="2" spans="1:12" x14ac:dyDescent="0.2">
      <c r="A2" t="s">
        <v>134</v>
      </c>
      <c r="B2">
        <f ca="1">_xlfn.IFNA(INDEX(INDIRECT("'"&amp;$A2&amp;"'!$B:$B"),MATCH(B$1,INDIRECT("'"&amp;$A2&amp;"'!$c:$c"),0)),"")</f>
        <v>757</v>
      </c>
      <c r="C2">
        <f t="shared" ref="C2:L11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757</v>
      </c>
      <c r="G2">
        <f t="shared" ca="1" si="0"/>
        <v>758</v>
      </c>
      <c r="H2">
        <f t="shared" ca="1" si="0"/>
        <v>765</v>
      </c>
      <c r="I2">
        <f t="shared" ca="1" si="0"/>
        <v>773</v>
      </c>
      <c r="J2">
        <f t="shared" ca="1" si="0"/>
        <v>783</v>
      </c>
      <c r="K2">
        <f t="shared" ca="1" si="0"/>
        <v>794</v>
      </c>
      <c r="L2">
        <f t="shared" ca="1" si="0"/>
        <v>807</v>
      </c>
    </row>
    <row r="3" spans="1:1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737</v>
      </c>
      <c r="D3">
        <f t="shared" ca="1" si="0"/>
        <v>740</v>
      </c>
      <c r="E3">
        <f t="shared" ca="1" si="0"/>
        <v>743</v>
      </c>
      <c r="F3">
        <f t="shared" ca="1" si="0"/>
        <v>746</v>
      </c>
      <c r="G3">
        <f t="shared" ca="1" si="0"/>
        <v>750</v>
      </c>
      <c r="H3">
        <f t="shared" ca="1" si="0"/>
        <v>754</v>
      </c>
      <c r="I3">
        <f t="shared" ca="1" si="0"/>
        <v>758</v>
      </c>
    </row>
    <row r="4" spans="1:1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737</v>
      </c>
      <c r="D4">
        <f t="shared" ca="1" si="0"/>
        <v>741</v>
      </c>
      <c r="E4">
        <f t="shared" ca="1" si="0"/>
        <v>744</v>
      </c>
      <c r="F4">
        <f t="shared" ca="1" si="0"/>
        <v>748</v>
      </c>
      <c r="G4">
        <f t="shared" ca="1" si="0"/>
        <v>751</v>
      </c>
      <c r="H4">
        <f t="shared" ca="1" si="0"/>
        <v>756</v>
      </c>
      <c r="I4">
        <f t="shared" ca="1" si="0"/>
        <v>761</v>
      </c>
      <c r="J4">
        <f t="shared" ca="1" si="0"/>
        <v>767</v>
      </c>
      <c r="K4">
        <f t="shared" ca="1" si="0"/>
        <v>774</v>
      </c>
      <c r="L4">
        <f t="shared" ca="1" si="0"/>
        <v>784</v>
      </c>
    </row>
    <row r="5" spans="1:1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737</v>
      </c>
      <c r="D5">
        <f t="shared" ca="1" si="0"/>
        <v>740</v>
      </c>
      <c r="E5">
        <f t="shared" ca="1" si="0"/>
        <v>743</v>
      </c>
      <c r="F5">
        <f t="shared" ca="1" si="0"/>
        <v>747</v>
      </c>
      <c r="G5">
        <f t="shared" ca="1" si="0"/>
        <v>751</v>
      </c>
      <c r="H5">
        <f t="shared" ca="1" si="0"/>
        <v>755</v>
      </c>
      <c r="I5">
        <f t="shared" ca="1" si="0"/>
        <v>759</v>
      </c>
      <c r="J5">
        <f t="shared" ca="1" si="0"/>
        <v>765</v>
      </c>
      <c r="K5">
        <f t="shared" ca="1" si="0"/>
        <v>772</v>
      </c>
      <c r="L5">
        <f t="shared" ca="1" si="0"/>
        <v>781</v>
      </c>
    </row>
    <row r="6" spans="1:12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2" x14ac:dyDescent="0.2">
      <c r="A7" t="s">
        <v>135</v>
      </c>
      <c r="B7">
        <f ca="1">_xlfn.IFNA(INDEX(INDIRECT("'"&amp;$A7&amp;"'!$B:$B"),MATCH(B$1,INDIRECT("'"&amp;$A7&amp;"'!$c:$c"),0)),"")</f>
        <v>738</v>
      </c>
      <c r="C7">
        <f t="shared" ca="1" si="0"/>
        <v>741</v>
      </c>
      <c r="D7">
        <f t="shared" ca="1" si="0"/>
        <v>743</v>
      </c>
      <c r="E7">
        <f t="shared" ca="1" si="0"/>
        <v>746</v>
      </c>
      <c r="F7">
        <f t="shared" ca="1" si="0"/>
        <v>751</v>
      </c>
      <c r="G7">
        <f t="shared" ca="1" si="0"/>
        <v>756</v>
      </c>
      <c r="H7">
        <f t="shared" ca="1" si="0"/>
        <v>764</v>
      </c>
      <c r="I7">
        <f t="shared" ca="1" si="0"/>
        <v>772</v>
      </c>
      <c r="J7">
        <f t="shared" ca="1" si="0"/>
        <v>781</v>
      </c>
      <c r="K7">
        <f t="shared" ca="1" si="0"/>
        <v>793</v>
      </c>
      <c r="L7">
        <f t="shared" ca="1" si="0"/>
        <v>806</v>
      </c>
    </row>
    <row r="8" spans="1:12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740</v>
      </c>
      <c r="D8">
        <f t="shared" ca="1" si="0"/>
        <v>743</v>
      </c>
      <c r="E8">
        <f t="shared" ca="1" si="0"/>
        <v>746</v>
      </c>
      <c r="F8">
        <f t="shared" ca="1" si="0"/>
        <v>750</v>
      </c>
      <c r="G8">
        <f t="shared" ca="1" si="0"/>
        <v>754</v>
      </c>
      <c r="H8">
        <f t="shared" ca="1" si="0"/>
        <v>758</v>
      </c>
      <c r="I8">
        <f t="shared" ca="1" si="0"/>
        <v>763</v>
      </c>
      <c r="J8">
        <f t="shared" ca="1" si="0"/>
        <v>769</v>
      </c>
      <c r="K8">
        <f t="shared" ca="1" si="0"/>
        <v>777</v>
      </c>
      <c r="L8">
        <f t="shared" ca="1" si="0"/>
        <v>787</v>
      </c>
    </row>
    <row r="9" spans="1:12" x14ac:dyDescent="0.2">
      <c r="A9" t="s">
        <v>96</v>
      </c>
      <c r="B9">
        <f ca="1">_xlfn.IFNA(INDEX(INDIRECT("'"&amp;$A9&amp;"'!$B:$B"),MATCH(B$1,INDIRECT("'"&amp;$A9&amp;"'!$c:$c"),0)),"")</f>
        <v>756</v>
      </c>
      <c r="C9">
        <f t="shared" ca="1" si="0"/>
        <v>756</v>
      </c>
      <c r="D9">
        <f t="shared" ca="1" si="0"/>
        <v>756</v>
      </c>
      <c r="E9">
        <f t="shared" ca="1" si="0"/>
        <v>756</v>
      </c>
      <c r="F9">
        <f t="shared" ca="1" si="0"/>
        <v>756</v>
      </c>
      <c r="G9">
        <f t="shared" ca="1" si="0"/>
        <v>757</v>
      </c>
      <c r="H9">
        <f t="shared" ca="1" si="0"/>
        <v>761</v>
      </c>
      <c r="I9">
        <f t="shared" ca="1" si="0"/>
        <v>766</v>
      </c>
      <c r="J9">
        <f t="shared" ca="1" si="0"/>
        <v>773</v>
      </c>
      <c r="K9">
        <f t="shared" ca="1" si="0"/>
        <v>781</v>
      </c>
      <c r="L9">
        <f t="shared" ca="1" si="0"/>
        <v>791</v>
      </c>
    </row>
    <row r="10" spans="1:12" x14ac:dyDescent="0.2">
      <c r="A10" t="s">
        <v>71</v>
      </c>
      <c r="B10">
        <f ca="1">_xlfn.IFNA(INDEX(INDIRECT("'"&amp;$A10&amp;"'!$B:$B"),MATCH(B$1,INDIRECT("'"&amp;$A10&amp;"'!$c:$c"),0)),"")</f>
        <v>757</v>
      </c>
      <c r="C10">
        <f t="shared" ca="1" si="0"/>
        <v>757</v>
      </c>
      <c r="D10">
        <f t="shared" ca="1" si="0"/>
        <v>757</v>
      </c>
      <c r="E10">
        <f t="shared" ca="1" si="0"/>
        <v>757</v>
      </c>
      <c r="F10">
        <f t="shared" ca="1" si="0"/>
        <v>757</v>
      </c>
      <c r="G10">
        <f t="shared" ca="1" si="0"/>
        <v>758</v>
      </c>
      <c r="H10">
        <f t="shared" ca="1" si="0"/>
        <v>765</v>
      </c>
      <c r="I10">
        <f t="shared" ca="1" si="0"/>
        <v>773</v>
      </c>
      <c r="J10">
        <f t="shared" ca="1" si="0"/>
        <v>783</v>
      </c>
      <c r="K10">
        <f t="shared" ca="1" si="0"/>
        <v>794</v>
      </c>
      <c r="L10">
        <f t="shared" ca="1" si="0"/>
        <v>807</v>
      </c>
    </row>
    <row r="11" spans="1:12" x14ac:dyDescent="0.2">
      <c r="A11" t="s">
        <v>84</v>
      </c>
      <c r="B11">
        <f ca="1">_xlfn.IFNA(INDEX(INDIRECT("'"&amp;$A11&amp;"'!$B:$B"),MATCH(B$1,INDIRECT("'"&amp;$A11&amp;"'!$c:$c"),0)),"")</f>
        <v>738</v>
      </c>
      <c r="C11">
        <f t="shared" ca="1" si="0"/>
        <v>741</v>
      </c>
      <c r="D11">
        <f t="shared" ca="1" si="0"/>
        <v>743</v>
      </c>
      <c r="E11">
        <f t="shared" ca="1" si="0"/>
        <v>746</v>
      </c>
      <c r="F11">
        <f t="shared" ca="1" si="0"/>
        <v>751</v>
      </c>
      <c r="G11">
        <f t="shared" ca="1" si="0"/>
        <v>756</v>
      </c>
      <c r="H11">
        <f t="shared" ca="1" si="0"/>
        <v>764</v>
      </c>
      <c r="I11">
        <f t="shared" ca="1" si="0"/>
        <v>772</v>
      </c>
      <c r="J11">
        <f t="shared" ca="1" si="0"/>
        <v>781</v>
      </c>
      <c r="K11">
        <f t="shared" ca="1" si="0"/>
        <v>793</v>
      </c>
      <c r="L11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F999-4281-441C-872F-1A54EC7272BE}">
  <sheetPr codeName="Sheet3"/>
  <dimension ref="A1:Q20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300</v>
      </c>
      <c r="D2">
        <v>0.27595058971994302</v>
      </c>
      <c r="E2">
        <v>109.681685023245</v>
      </c>
      <c r="F2">
        <v>2.0037102835048302</v>
      </c>
      <c r="G2">
        <v>-1815.358339039748</v>
      </c>
      <c r="H2">
        <v>-1492.980829688325</v>
      </c>
      <c r="I2">
        <v>312.94434544305102</v>
      </c>
      <c r="J2">
        <v>157.99316604757701</v>
      </c>
      <c r="K2">
        <v>54.739293363007398</v>
      </c>
      <c r="L2">
        <v>0.88399759860764748</v>
      </c>
      <c r="M2">
        <v>-0.88384832755660225</v>
      </c>
      <c r="N2">
        <v>48.382304403756798</v>
      </c>
      <c r="O2">
        <v>48.382300477501097</v>
      </c>
      <c r="P2">
        <v>48.382296590030002</v>
      </c>
      <c r="Q2" t="s">
        <v>51</v>
      </c>
    </row>
    <row r="3" spans="1:17" x14ac:dyDescent="0.2">
      <c r="A3">
        <v>2</v>
      </c>
      <c r="B3">
        <v>756</v>
      </c>
      <c r="C3">
        <v>300</v>
      </c>
      <c r="D3">
        <v>0.27517903123937498</v>
      </c>
      <c r="E3">
        <v>109.68171372480499</v>
      </c>
      <c r="F3">
        <v>2.0042557213029202</v>
      </c>
      <c r="G3">
        <v>-1815.0459448307558</v>
      </c>
      <c r="H3">
        <v>-1493.1685242275664</v>
      </c>
      <c r="I3">
        <v>312.76250733577399</v>
      </c>
      <c r="J3">
        <v>157.99421491329699</v>
      </c>
      <c r="K3">
        <v>54.7244109416851</v>
      </c>
      <c r="L3">
        <v>0.88255096076718964</v>
      </c>
      <c r="M3">
        <v>-0.88240138627400999</v>
      </c>
      <c r="N3">
        <v>48.289967484009502</v>
      </c>
      <c r="O3">
        <v>48.2899635137112</v>
      </c>
      <c r="P3">
        <v>48.289959620401198</v>
      </c>
      <c r="Q3" t="s">
        <v>51</v>
      </c>
    </row>
    <row r="4" spans="1:17" x14ac:dyDescent="0.2">
      <c r="A4">
        <v>3</v>
      </c>
      <c r="B4">
        <v>755</v>
      </c>
      <c r="C4">
        <v>300</v>
      </c>
      <c r="D4">
        <v>0.27440597189125798</v>
      </c>
      <c r="E4">
        <v>109.681743710294</v>
      </c>
      <c r="F4">
        <v>2.00480603669694</v>
      </c>
      <c r="G4">
        <v>-1814.7337601778299</v>
      </c>
      <c r="H4">
        <v>-1493.3639866004469</v>
      </c>
      <c r="I4">
        <v>312.57296553375897</v>
      </c>
      <c r="J4">
        <v>157.997635769185</v>
      </c>
      <c r="K4">
        <v>54.709404153133399</v>
      </c>
      <c r="L4">
        <v>0.88070067325549095</v>
      </c>
      <c r="M4">
        <v>-0.88055069671382513</v>
      </c>
      <c r="N4">
        <v>48.175475957635001</v>
      </c>
      <c r="O4">
        <v>48.175471940439103</v>
      </c>
      <c r="P4">
        <v>48.175468038771001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109.68177381237101</v>
      </c>
      <c r="F5">
        <v>2.0053577770225002</v>
      </c>
      <c r="G5">
        <v>-1814.4217669072552</v>
      </c>
      <c r="H5">
        <v>-1493.5592720310678</v>
      </c>
      <c r="I5">
        <v>312.38341321069498</v>
      </c>
      <c r="J5">
        <v>158.000985610621</v>
      </c>
      <c r="K5">
        <v>54.694366795347399</v>
      </c>
      <c r="L5">
        <v>0.87886036959917591</v>
      </c>
      <c r="M5">
        <v>-0.87870999558222895</v>
      </c>
      <c r="N5">
        <v>48.061559383388101</v>
      </c>
      <c r="O5">
        <v>48.061555319139202</v>
      </c>
      <c r="P5">
        <v>48.061551409263402</v>
      </c>
      <c r="Q5" t="s">
        <v>51</v>
      </c>
    </row>
    <row r="6" spans="1:17" x14ac:dyDescent="0.2">
      <c r="A6">
        <v>5</v>
      </c>
      <c r="B6">
        <v>753</v>
      </c>
      <c r="C6">
        <v>300</v>
      </c>
      <c r="D6">
        <v>0.27285533304097898</v>
      </c>
      <c r="E6">
        <v>109.681804031529</v>
      </c>
      <c r="F6">
        <v>2.0059109319514699</v>
      </c>
      <c r="G6">
        <v>-1814.1099650380152</v>
      </c>
      <c r="H6">
        <v>-1493.7543819988589</v>
      </c>
      <c r="I6">
        <v>312.19384891291202</v>
      </c>
      <c r="J6">
        <v>158.00426427683399</v>
      </c>
      <c r="K6">
        <v>54.679299207379998</v>
      </c>
      <c r="L6">
        <v>0.8770299620868941</v>
      </c>
      <c r="M6">
        <v>-0.87687919514413382</v>
      </c>
      <c r="N6">
        <v>47.948212979919901</v>
      </c>
      <c r="O6">
        <v>47.948208868465301</v>
      </c>
      <c r="P6">
        <v>47.948204950531498</v>
      </c>
      <c r="Q6" t="s">
        <v>51</v>
      </c>
    </row>
    <row r="7" spans="1:17" x14ac:dyDescent="0.2">
      <c r="A7">
        <v>6</v>
      </c>
      <c r="B7">
        <v>752</v>
      </c>
      <c r="C7">
        <v>300</v>
      </c>
      <c r="D7">
        <v>0.27207774472028401</v>
      </c>
      <c r="E7">
        <v>109.681834368396</v>
      </c>
      <c r="F7">
        <v>2.0064654912773099</v>
      </c>
      <c r="G7">
        <v>-1813.7983545927357</v>
      </c>
      <c r="H7">
        <v>-1493.949317968448</v>
      </c>
      <c r="I7">
        <v>312.00427119905203</v>
      </c>
      <c r="J7">
        <v>158.00747160157599</v>
      </c>
      <c r="K7">
        <v>54.664201724483</v>
      </c>
      <c r="L7">
        <v>0.87520936401097649</v>
      </c>
      <c r="M7">
        <v>-0.87505820866843853</v>
      </c>
      <c r="N7">
        <v>47.835432018430502</v>
      </c>
      <c r="O7">
        <v>47.835427859619998</v>
      </c>
      <c r="P7">
        <v>47.835423933777498</v>
      </c>
      <c r="Q7" t="s">
        <v>51</v>
      </c>
    </row>
    <row r="8" spans="1:17" x14ac:dyDescent="0.2">
      <c r="A8">
        <v>7</v>
      </c>
      <c r="B8">
        <v>751</v>
      </c>
      <c r="C8">
        <v>300</v>
      </c>
      <c r="D8">
        <v>0.27129863789483999</v>
      </c>
      <c r="E8">
        <v>109.68186482343199</v>
      </c>
      <c r="F8">
        <v>2.0070214449137498</v>
      </c>
      <c r="G8">
        <v>-1813.4869355926744</v>
      </c>
      <c r="H8">
        <v>-1494.1440813850763</v>
      </c>
      <c r="I8">
        <v>311.81467863972301</v>
      </c>
      <c r="J8">
        <v>158.010607412589</v>
      </c>
      <c r="K8">
        <v>54.649074677996502</v>
      </c>
      <c r="L8">
        <v>0.87339848967908984</v>
      </c>
      <c r="M8">
        <v>-0.87324695043968659</v>
      </c>
      <c r="N8">
        <v>47.723211823228198</v>
      </c>
      <c r="O8">
        <v>47.723207616914202</v>
      </c>
      <c r="P8">
        <v>47.723203683311503</v>
      </c>
      <c r="Q8" t="s">
        <v>51</v>
      </c>
    </row>
    <row r="9" spans="1:17" x14ac:dyDescent="0.2">
      <c r="A9">
        <v>8</v>
      </c>
      <c r="B9">
        <v>750</v>
      </c>
      <c r="C9">
        <v>300</v>
      </c>
      <c r="D9">
        <v>0.270518008112205</v>
      </c>
      <c r="E9">
        <v>109.681895397299</v>
      </c>
      <c r="F9">
        <v>2.0075787828903202</v>
      </c>
      <c r="G9">
        <v>-1813.1757080638956</v>
      </c>
      <c r="H9">
        <v>-1494.3386736812747</v>
      </c>
      <c r="I9">
        <v>311.62506981705599</v>
      </c>
      <c r="J9">
        <v>158.013671532676</v>
      </c>
      <c r="K9">
        <v>54.633918395665702</v>
      </c>
      <c r="L9">
        <v>0.8715972543385182</v>
      </c>
      <c r="M9">
        <v>-0.87144533568232119</v>
      </c>
      <c r="N9">
        <v>47.611547767882797</v>
      </c>
      <c r="O9">
        <v>47.611543513920502</v>
      </c>
      <c r="P9">
        <v>47.611539572705603</v>
      </c>
      <c r="Q9" t="s">
        <v>51</v>
      </c>
    </row>
    <row r="10" spans="1:17" x14ac:dyDescent="0.2">
      <c r="A10">
        <v>9</v>
      </c>
      <c r="B10">
        <v>749</v>
      </c>
      <c r="C10">
        <v>300</v>
      </c>
      <c r="D10">
        <v>0.26973585090251001</v>
      </c>
      <c r="E10">
        <v>109.681926090462</v>
      </c>
      <c r="F10">
        <v>2.0081374953535298</v>
      </c>
      <c r="G10">
        <v>-1812.8646720305787</v>
      </c>
      <c r="H10">
        <v>-1494.5330962702594</v>
      </c>
      <c r="I10">
        <v>311.43544332468201</v>
      </c>
      <c r="J10">
        <v>158.016663778718</v>
      </c>
      <c r="K10">
        <v>54.618733201410002</v>
      </c>
      <c r="L10">
        <v>0.86980557422001792</v>
      </c>
      <c r="M10">
        <v>-0.86965328060455593</v>
      </c>
      <c r="N10">
        <v>47.5004352774409</v>
      </c>
      <c r="O10">
        <v>47.500430975687998</v>
      </c>
      <c r="P10">
        <v>47.500427027008399</v>
      </c>
      <c r="Q10" t="s">
        <v>51</v>
      </c>
    </row>
    <row r="11" spans="1:17" x14ac:dyDescent="0.2">
      <c r="A11">
        <v>10</v>
      </c>
      <c r="B11">
        <v>748</v>
      </c>
      <c r="C11">
        <v>300</v>
      </c>
      <c r="D11">
        <v>0.26895216177838999</v>
      </c>
      <c r="E11">
        <v>109.681956903529</v>
      </c>
      <c r="F11">
        <v>2.0086975725661702</v>
      </c>
      <c r="G11">
        <v>-1812.5538275207089</v>
      </c>
      <c r="H11">
        <v>-1494.7273505518608</v>
      </c>
      <c r="I11">
        <v>311.24579776755701</v>
      </c>
      <c r="J11">
        <v>158.01958396241801</v>
      </c>
      <c r="K11">
        <v>54.6035194155222</v>
      </c>
      <c r="L11">
        <v>0.86802336648387768</v>
      </c>
      <c r="M11">
        <v>-0.86787070234441799</v>
      </c>
      <c r="N11">
        <v>47.3898698256668</v>
      </c>
      <c r="O11">
        <v>47.389865475983697</v>
      </c>
      <c r="P11">
        <v>47.389861519986297</v>
      </c>
      <c r="Q11" t="s">
        <v>51</v>
      </c>
    </row>
    <row r="12" spans="1:17" x14ac:dyDescent="0.2">
      <c r="A12">
        <v>11</v>
      </c>
      <c r="B12">
        <v>747</v>
      </c>
      <c r="C12">
        <v>300</v>
      </c>
      <c r="D12">
        <v>0.26816693623486898</v>
      </c>
      <c r="E12">
        <v>109.681987837101</v>
      </c>
      <c r="F12">
        <v>2.0092590049068302</v>
      </c>
      <c r="G12">
        <v>-1812.2431745634656</v>
      </c>
      <c r="H12">
        <v>-1494.9214379099212</v>
      </c>
      <c r="I12">
        <v>311.05613176200302</v>
      </c>
      <c r="J12">
        <v>158.02243188987501</v>
      </c>
      <c r="K12">
        <v>54.588277354609502</v>
      </c>
      <c r="L12">
        <v>0.86625054923690215</v>
      </c>
      <c r="M12">
        <v>-0.86609751898673804</v>
      </c>
      <c r="N12">
        <v>47.279846935935403</v>
      </c>
      <c r="O12">
        <v>47.2798425381852</v>
      </c>
      <c r="P12">
        <v>47.2798385750161</v>
      </c>
      <c r="Q12" t="s">
        <v>51</v>
      </c>
    </row>
    <row r="13" spans="1:17" x14ac:dyDescent="0.2">
      <c r="A13">
        <v>12</v>
      </c>
      <c r="B13">
        <v>746</v>
      </c>
      <c r="C13">
        <v>300</v>
      </c>
      <c r="D13">
        <v>0.26738016974930101</v>
      </c>
      <c r="E13">
        <v>109.682018891742</v>
      </c>
      <c r="F13">
        <v>2.00982178286554</v>
      </c>
      <c r="G13">
        <v>-1811.9327131888817</v>
      </c>
      <c r="H13">
        <v>-1495.1153597125701</v>
      </c>
      <c r="I13">
        <v>310.86644393516298</v>
      </c>
      <c r="J13">
        <v>158.025207361897</v>
      </c>
      <c r="K13">
        <v>54.573007331705199</v>
      </c>
      <c r="L13">
        <v>0.86448704149735922</v>
      </c>
      <c r="M13">
        <v>-0.864333649528083</v>
      </c>
      <c r="N13">
        <v>47.170362179429098</v>
      </c>
      <c r="O13">
        <v>47.170357733477601</v>
      </c>
      <c r="P13">
        <v>47.170353763282598</v>
      </c>
      <c r="Q13" t="s">
        <v>51</v>
      </c>
    </row>
    <row r="14" spans="1:17" x14ac:dyDescent="0.2">
      <c r="A14">
        <v>13</v>
      </c>
      <c r="B14">
        <v>745</v>
      </c>
      <c r="C14">
        <v>300</v>
      </c>
      <c r="D14">
        <v>0.26659185778126798</v>
      </c>
      <c r="E14">
        <v>109.682050068018</v>
      </c>
      <c r="F14">
        <v>2.0103858970481698</v>
      </c>
      <c r="G14">
        <v>-1811.622443428339</v>
      </c>
      <c r="H14">
        <v>-1495.3091173127932</v>
      </c>
      <c r="I14">
        <v>310.67673292498</v>
      </c>
      <c r="J14">
        <v>158.02791017375</v>
      </c>
      <c r="K14">
        <v>54.557709656172896</v>
      </c>
      <c r="L14">
        <v>0.86273276319200376</v>
      </c>
      <c r="M14">
        <v>-0.86257901387378477</v>
      </c>
      <c r="N14">
        <v>47.061411174907597</v>
      </c>
      <c r="O14">
        <v>47.0614066806233</v>
      </c>
      <c r="P14">
        <v>47.0614027035475</v>
      </c>
      <c r="Q14" t="s">
        <v>51</v>
      </c>
    </row>
    <row r="15" spans="1:17" x14ac:dyDescent="0.2">
      <c r="A15">
        <v>14</v>
      </c>
      <c r="B15">
        <v>744</v>
      </c>
      <c r="C15">
        <v>300</v>
      </c>
      <c r="D15">
        <v>0.26580199577250502</v>
      </c>
      <c r="E15">
        <v>109.682081366427</v>
      </c>
      <c r="F15">
        <v>2.0109513381694799</v>
      </c>
      <c r="G15">
        <v>-1811.3123653134583</v>
      </c>
      <c r="H15">
        <v>-1495.5027120475388</v>
      </c>
      <c r="I15">
        <v>310.48699738004302</v>
      </c>
      <c r="J15">
        <v>158.03054011536</v>
      </c>
      <c r="K15">
        <v>54.542384633866</v>
      </c>
      <c r="L15">
        <v>0.86098763514465937</v>
      </c>
      <c r="M15">
        <v>-0.86083353282651121</v>
      </c>
      <c r="N15">
        <v>46.952989588235603</v>
      </c>
      <c r="O15">
        <v>46.952985045489598</v>
      </c>
      <c r="P15">
        <v>46.952981061677598</v>
      </c>
      <c r="Q15" t="s">
        <v>51</v>
      </c>
    </row>
    <row r="16" spans="1:17" x14ac:dyDescent="0.2">
      <c r="A16">
        <v>15</v>
      </c>
      <c r="B16">
        <v>743</v>
      </c>
      <c r="C16">
        <v>300</v>
      </c>
      <c r="D16">
        <v>0.265010579146782</v>
      </c>
      <c r="E16">
        <v>109.682112787617</v>
      </c>
      <c r="F16">
        <v>2.0115180970593198</v>
      </c>
      <c r="G16">
        <v>-1811.002478879672</v>
      </c>
      <c r="H16">
        <v>-1495.6961452413489</v>
      </c>
      <c r="I16">
        <v>310.29723595957</v>
      </c>
      <c r="J16">
        <v>158.033096971367</v>
      </c>
      <c r="K16">
        <v>54.527032567076503</v>
      </c>
      <c r="L16">
        <v>0.859251579053951</v>
      </c>
      <c r="M16">
        <v>-0.85909712806400107</v>
      </c>
      <c r="N16">
        <v>46.845093131136402</v>
      </c>
      <c r="O16">
        <v>46.845088539802703</v>
      </c>
      <c r="P16">
        <v>46.8450845493985</v>
      </c>
      <c r="Q16" t="s">
        <v>51</v>
      </c>
    </row>
    <row r="17" spans="1:17" x14ac:dyDescent="0.2">
      <c r="A17">
        <v>16</v>
      </c>
      <c r="B17">
        <v>742</v>
      </c>
      <c r="C17">
        <v>300</v>
      </c>
      <c r="D17">
        <v>0.264217603309855</v>
      </c>
      <c r="E17">
        <v>109.68214433214</v>
      </c>
      <c r="F17">
        <v>2.0120861646574699</v>
      </c>
      <c r="G17">
        <v>-1810.6927841621873</v>
      </c>
      <c r="H17">
        <v>-1495.8894182025986</v>
      </c>
      <c r="I17">
        <v>310.10744733319899</v>
      </c>
      <c r="J17">
        <v>158.03558052087399</v>
      </c>
      <c r="K17">
        <v>54.511653754555603</v>
      </c>
      <c r="L17">
        <v>0.85752451750165881</v>
      </c>
      <c r="M17">
        <v>-0.85736972214741325</v>
      </c>
      <c r="N17">
        <v>46.737717561678799</v>
      </c>
      <c r="O17">
        <v>46.7377129216339</v>
      </c>
      <c r="P17">
        <v>46.737708924780897</v>
      </c>
      <c r="Q17" t="s">
        <v>51</v>
      </c>
    </row>
    <row r="18" spans="1:17" x14ac:dyDescent="0.2">
      <c r="A18">
        <v>17</v>
      </c>
      <c r="B18">
        <v>741</v>
      </c>
      <c r="C18">
        <v>300</v>
      </c>
      <c r="D18">
        <v>0.26342306364936202</v>
      </c>
      <c r="E18">
        <v>109.682176000621</v>
      </c>
      <c r="F18">
        <v>2.0126555320119</v>
      </c>
      <c r="G18">
        <v>-1810.3832811987236</v>
      </c>
      <c r="H18">
        <v>-1496.0825322265271</v>
      </c>
      <c r="I18">
        <v>309.91763018075102</v>
      </c>
      <c r="J18">
        <v>158.03799053790601</v>
      </c>
      <c r="K18">
        <v>54.496248491653198</v>
      </c>
      <c r="L18">
        <v>0.85580637391574499</v>
      </c>
      <c r="M18">
        <v>-0.85565123848434432</v>
      </c>
      <c r="N18">
        <v>46.630858682390901</v>
      </c>
      <c r="O18">
        <v>46.630853993514201</v>
      </c>
      <c r="P18">
        <v>46.630849990355401</v>
      </c>
      <c r="Q18" t="s">
        <v>51</v>
      </c>
    </row>
    <row r="19" spans="1:17" x14ac:dyDescent="0.2">
      <c r="A19">
        <v>18</v>
      </c>
      <c r="B19">
        <v>740</v>
      </c>
      <c r="C19">
        <v>300</v>
      </c>
      <c r="D19">
        <v>0.26262695553471999</v>
      </c>
      <c r="E19">
        <v>109.682207793581</v>
      </c>
      <c r="F19">
        <v>2.0132261902824302</v>
      </c>
      <c r="G19">
        <v>-1810.0739700266013</v>
      </c>
      <c r="H19">
        <v>-1496.2754885927088</v>
      </c>
      <c r="I19">
        <v>309.72778319189098</v>
      </c>
      <c r="J19">
        <v>158.04032679087999</v>
      </c>
      <c r="K19">
        <v>54.480817070134599</v>
      </c>
      <c r="L19">
        <v>0.85409707257386736</v>
      </c>
      <c r="M19">
        <v>-0.8539416013323462</v>
      </c>
      <c r="N19">
        <v>46.524512340306401</v>
      </c>
      <c r="O19">
        <v>46.524507602480099</v>
      </c>
      <c r="P19">
        <v>46.524503593157696</v>
      </c>
      <c r="Q19" t="s">
        <v>51</v>
      </c>
    </row>
    <row r="20" spans="1:17" x14ac:dyDescent="0.2">
      <c r="A20">
        <v>19</v>
      </c>
      <c r="B20">
        <v>739</v>
      </c>
      <c r="C20">
        <v>300</v>
      </c>
      <c r="D20">
        <v>0.261829274317047</v>
      </c>
      <c r="E20">
        <v>109.682239711647</v>
      </c>
      <c r="F20">
        <v>2.0137981307364101</v>
      </c>
      <c r="G20">
        <v>-1809.7648506861779</v>
      </c>
      <c r="H20">
        <v>-1496.468288568243</v>
      </c>
      <c r="I20">
        <v>309.53790506643099</v>
      </c>
      <c r="J20">
        <v>158.042589043097</v>
      </c>
      <c r="K20">
        <v>54.465359778409798</v>
      </c>
      <c r="L20">
        <v>0.85239653858748865</v>
      </c>
      <c r="M20">
        <v>-0.85224073578302684</v>
      </c>
      <c r="N20">
        <v>46.418674426305799</v>
      </c>
      <c r="O20">
        <v>46.418669639414802</v>
      </c>
      <c r="P20">
        <v>46.418665624070698</v>
      </c>
      <c r="Q20" t="s">
        <v>51</v>
      </c>
    </row>
    <row r="21" spans="1:17" x14ac:dyDescent="0.2">
      <c r="A21">
        <v>20</v>
      </c>
      <c r="B21">
        <v>738</v>
      </c>
      <c r="C21">
        <v>300</v>
      </c>
      <c r="D21">
        <v>0.26103001532908299</v>
      </c>
      <c r="E21">
        <v>109.68226142751701</v>
      </c>
      <c r="F21">
        <v>2.0117988949915002</v>
      </c>
      <c r="G21">
        <v>-1809.4559994823526</v>
      </c>
      <c r="H21">
        <v>-1497.264210538272</v>
      </c>
      <c r="I21">
        <v>308.75156995272602</v>
      </c>
      <c r="J21">
        <v>158.043325923407</v>
      </c>
      <c r="K21">
        <v>54.519495810728401</v>
      </c>
      <c r="L21">
        <v>0.81821926367374465</v>
      </c>
      <c r="M21">
        <v>-0.81805399249279698</v>
      </c>
      <c r="N21">
        <v>44.6010301618997</v>
      </c>
      <c r="O21">
        <v>44.601025079924099</v>
      </c>
      <c r="P21">
        <v>44.601020831758802</v>
      </c>
      <c r="Q21" t="s">
        <v>51</v>
      </c>
    </row>
    <row r="22" spans="1:17" x14ac:dyDescent="0.2">
      <c r="A22">
        <v>21</v>
      </c>
      <c r="B22">
        <v>737</v>
      </c>
      <c r="C22">
        <v>300</v>
      </c>
      <c r="D22">
        <v>0.260229173885068</v>
      </c>
      <c r="E22">
        <v>109.68227927184201</v>
      </c>
      <c r="F22">
        <v>2.0086815601049999</v>
      </c>
      <c r="G22">
        <v>-1809.1480170366224</v>
      </c>
      <c r="H22">
        <v>-1498.2622382837239</v>
      </c>
      <c r="I22">
        <v>307.76451024946499</v>
      </c>
      <c r="J22">
        <v>158.062402340608</v>
      </c>
      <c r="K22">
        <v>54.604115181954697</v>
      </c>
      <c r="L22">
        <v>0.77311332666217392</v>
      </c>
      <c r="M22">
        <v>-0.77293520823527329</v>
      </c>
      <c r="N22">
        <v>42.206668139104998</v>
      </c>
      <c r="O22">
        <v>42.206662670069903</v>
      </c>
      <c r="P22">
        <v>42.206658104041303</v>
      </c>
      <c r="Q22" t="s">
        <v>51</v>
      </c>
    </row>
    <row r="23" spans="1:17" x14ac:dyDescent="0.2">
      <c r="A23">
        <v>22</v>
      </c>
      <c r="B23">
        <v>736</v>
      </c>
      <c r="C23">
        <v>300</v>
      </c>
      <c r="D23">
        <v>0.25942674528068399</v>
      </c>
      <c r="E23">
        <v>109.682265955067</v>
      </c>
      <c r="F23">
        <v>1.9902670961578099</v>
      </c>
      <c r="G23">
        <v>-1808.8417208736109</v>
      </c>
      <c r="H23">
        <v>-1501.8039534650393</v>
      </c>
      <c r="I23">
        <v>304.25715816920001</v>
      </c>
      <c r="J23">
        <v>158.37096317981801</v>
      </c>
      <c r="K23">
        <v>55.109319832904603</v>
      </c>
      <c r="L23">
        <v>0.59609289960038281</v>
      </c>
      <c r="M23">
        <v>-0.5958583081521609</v>
      </c>
      <c r="N23">
        <v>32.838962724076303</v>
      </c>
      <c r="O23">
        <v>32.838955705005098</v>
      </c>
      <c r="P23">
        <v>32.838949706235198</v>
      </c>
      <c r="Q23" t="s">
        <v>51</v>
      </c>
    </row>
    <row r="24" spans="1:17" x14ac:dyDescent="0.2">
      <c r="A24">
        <v>23</v>
      </c>
      <c r="B24">
        <v>735</v>
      </c>
      <c r="C24">
        <v>300</v>
      </c>
      <c r="D24">
        <v>0.25862272479293502</v>
      </c>
      <c r="E24">
        <v>109.68223800369</v>
      </c>
      <c r="F24">
        <v>1.97786942768992</v>
      </c>
      <c r="G24">
        <v>-1808.538471772559</v>
      </c>
      <c r="H24">
        <v>-1504.5790482259579</v>
      </c>
      <c r="I24">
        <v>301.50606500905798</v>
      </c>
      <c r="J24">
        <v>158.734476974589</v>
      </c>
      <c r="K24">
        <v>55.454741586149403</v>
      </c>
      <c r="L24">
        <v>0.46605908614392927</v>
      </c>
      <c r="M24">
        <v>-0.46578497392930623</v>
      </c>
      <c r="N24">
        <v>25.831878595606501</v>
      </c>
      <c r="O24">
        <v>25.831870431894099</v>
      </c>
      <c r="P24">
        <v>25.831863416965099</v>
      </c>
      <c r="Q24" t="s">
        <v>51</v>
      </c>
    </row>
    <row r="25" spans="1:17" x14ac:dyDescent="0.2">
      <c r="A25">
        <v>24</v>
      </c>
      <c r="B25">
        <v>734</v>
      </c>
      <c r="C25">
        <v>300</v>
      </c>
      <c r="D25">
        <v>0.25781710768008598</v>
      </c>
      <c r="E25">
        <v>109.68945024273</v>
      </c>
      <c r="F25">
        <v>1.94495969065801</v>
      </c>
      <c r="G25">
        <v>-1808.3588745488751</v>
      </c>
      <c r="H25">
        <v>-1511.7434172099659</v>
      </c>
      <c r="I25">
        <v>294.51508557538602</v>
      </c>
      <c r="J25">
        <v>159.513218502667</v>
      </c>
      <c r="K25">
        <v>56.396773038324802</v>
      </c>
      <c r="L25">
        <v>0.13790712855400239</v>
      </c>
      <c r="M25">
        <v>-0.13753205019765327</v>
      </c>
      <c r="N25">
        <v>7.7589842336190298</v>
      </c>
      <c r="O25">
        <v>7.7589731332459602</v>
      </c>
      <c r="P25">
        <v>7.7589634543806598</v>
      </c>
      <c r="Q25" t="s">
        <v>51</v>
      </c>
    </row>
    <row r="26" spans="1:17" x14ac:dyDescent="0.2">
      <c r="A26">
        <v>25</v>
      </c>
      <c r="B26">
        <v>733</v>
      </c>
      <c r="C26">
        <v>300</v>
      </c>
      <c r="D26">
        <v>0.257009889181535</v>
      </c>
      <c r="E26">
        <v>109.68995111298899</v>
      </c>
      <c r="F26">
        <v>1.9403985105736099</v>
      </c>
      <c r="G26">
        <v>-1808.073297082758</v>
      </c>
      <c r="H26">
        <v>-1513.1488806828629</v>
      </c>
      <c r="I26">
        <v>293.12734340228502</v>
      </c>
      <c r="J26">
        <v>159.69795141687601</v>
      </c>
      <c r="K26">
        <v>56.5295997266889</v>
      </c>
      <c r="L26">
        <v>8.1665689978366318E-2</v>
      </c>
      <c r="M26">
        <v>-8.1274302436813217E-2</v>
      </c>
      <c r="N26">
        <v>4.5971382798221399</v>
      </c>
      <c r="O26">
        <v>4.5971266317479298</v>
      </c>
      <c r="P26">
        <v>4.5971165220034402</v>
      </c>
      <c r="Q26" t="s">
        <v>51</v>
      </c>
    </row>
    <row r="27" spans="1:17" x14ac:dyDescent="0.2">
      <c r="A27">
        <v>26</v>
      </c>
      <c r="B27">
        <v>757</v>
      </c>
      <c r="C27">
        <v>280</v>
      </c>
      <c r="D27">
        <v>0.29730670290734501</v>
      </c>
      <c r="E27">
        <v>109.681837379112</v>
      </c>
      <c r="F27">
        <v>1.97958711524633</v>
      </c>
      <c r="G27">
        <v>-1816.4621425677092</v>
      </c>
      <c r="H27">
        <v>-1493.774954871423</v>
      </c>
      <c r="I27">
        <v>313.24514932247502</v>
      </c>
      <c r="J27">
        <v>158.64312114975499</v>
      </c>
      <c r="K27">
        <v>55.406421134168497</v>
      </c>
      <c r="L27">
        <v>0.87028322632741562</v>
      </c>
      <c r="M27">
        <v>-0.87010525108078562</v>
      </c>
      <c r="N27">
        <v>48.210779195860901</v>
      </c>
      <c r="O27">
        <v>48.2107747125904</v>
      </c>
      <c r="P27">
        <v>48.210769568665398</v>
      </c>
      <c r="Q27" t="s">
        <v>51</v>
      </c>
    </row>
    <row r="28" spans="1:17" x14ac:dyDescent="0.2">
      <c r="A28">
        <v>27</v>
      </c>
      <c r="B28">
        <v>756</v>
      </c>
      <c r="C28">
        <v>280</v>
      </c>
      <c r="D28">
        <v>0.29655589564203599</v>
      </c>
      <c r="E28">
        <v>109.68186511021899</v>
      </c>
      <c r="F28">
        <v>1.9801500266047201</v>
      </c>
      <c r="G28">
        <v>-1816.1494266734057</v>
      </c>
      <c r="H28">
        <v>-1493.9542736896715</v>
      </c>
      <c r="I28">
        <v>313.07142785846497</v>
      </c>
      <c r="J28">
        <v>158.64287347944199</v>
      </c>
      <c r="K28">
        <v>55.390684360561501</v>
      </c>
      <c r="L28">
        <v>0.86931564843886122</v>
      </c>
      <c r="M28">
        <v>-0.86913747765606286</v>
      </c>
      <c r="N28">
        <v>48.143479374067603</v>
      </c>
      <c r="O28">
        <v>48.143474837715402</v>
      </c>
      <c r="P28">
        <v>48.143469690432397</v>
      </c>
      <c r="Q28" t="s">
        <v>51</v>
      </c>
    </row>
    <row r="29" spans="1:17" x14ac:dyDescent="0.2">
      <c r="A29">
        <v>28</v>
      </c>
      <c r="B29">
        <v>755</v>
      </c>
      <c r="C29">
        <v>280</v>
      </c>
      <c r="D29">
        <v>0.29580362787530801</v>
      </c>
      <c r="E29">
        <v>109.681895344113</v>
      </c>
      <c r="F29">
        <v>1.98071940273322</v>
      </c>
      <c r="G29">
        <v>-1815.8369370635796</v>
      </c>
      <c r="H29">
        <v>-1494.1491010829352</v>
      </c>
      <c r="I29">
        <v>312.88250727965601</v>
      </c>
      <c r="J29">
        <v>158.64731586340099</v>
      </c>
      <c r="K29">
        <v>55.374777059669398</v>
      </c>
      <c r="L29">
        <v>0.86753901673589817</v>
      </c>
      <c r="M29">
        <v>-0.86736043699684984</v>
      </c>
      <c r="N29">
        <v>48.0312506286648</v>
      </c>
      <c r="O29">
        <v>48.031246033537499</v>
      </c>
      <c r="P29">
        <v>48.031240876804901</v>
      </c>
      <c r="Q29" t="s">
        <v>51</v>
      </c>
    </row>
    <row r="30" spans="1:17" x14ac:dyDescent="0.2">
      <c r="A30">
        <v>29</v>
      </c>
      <c r="B30">
        <v>754</v>
      </c>
      <c r="C30">
        <v>280</v>
      </c>
      <c r="D30">
        <v>0.29504989534147702</v>
      </c>
      <c r="E30">
        <v>109.68192569546601</v>
      </c>
      <c r="F30">
        <v>1.98129022407538</v>
      </c>
      <c r="G30">
        <v>-1815.5246382340972</v>
      </c>
      <c r="H30">
        <v>-1494.343759704218</v>
      </c>
      <c r="I30">
        <v>312.69356885375902</v>
      </c>
      <c r="J30">
        <v>158.65169707657901</v>
      </c>
      <c r="K30">
        <v>55.358838580375902</v>
      </c>
      <c r="L30">
        <v>0.86577184670434892</v>
      </c>
      <c r="M30">
        <v>-0.8655928627417766</v>
      </c>
      <c r="N30">
        <v>47.919575433327303</v>
      </c>
      <c r="O30">
        <v>47.919570779198999</v>
      </c>
      <c r="P30">
        <v>47.919565613193697</v>
      </c>
      <c r="Q30" t="s">
        <v>51</v>
      </c>
    </row>
    <row r="31" spans="1:17" x14ac:dyDescent="0.2">
      <c r="A31">
        <v>30</v>
      </c>
      <c r="B31">
        <v>753</v>
      </c>
      <c r="C31">
        <v>280</v>
      </c>
      <c r="D31">
        <v>0.29429469375822398</v>
      </c>
      <c r="E31">
        <v>109.681956164889</v>
      </c>
      <c r="F31">
        <v>1.98186247885127</v>
      </c>
      <c r="G31">
        <v>-1815.2125302131687</v>
      </c>
      <c r="H31">
        <v>-1494.5382509430792</v>
      </c>
      <c r="I31">
        <v>312.50461120224702</v>
      </c>
      <c r="J31">
        <v>158.65601691149101</v>
      </c>
      <c r="K31">
        <v>55.342869313748899</v>
      </c>
      <c r="L31">
        <v>0.86401405573685575</v>
      </c>
      <c r="M31">
        <v>-0.86383467226034139</v>
      </c>
      <c r="N31">
        <v>47.808449266029299</v>
      </c>
      <c r="O31">
        <v>47.8084445526774</v>
      </c>
      <c r="P31">
        <v>47.808439377575802</v>
      </c>
      <c r="Q31" t="s">
        <v>51</v>
      </c>
    </row>
    <row r="32" spans="1:17" x14ac:dyDescent="0.2">
      <c r="A32">
        <v>31</v>
      </c>
      <c r="B32">
        <v>752</v>
      </c>
      <c r="C32">
        <v>280</v>
      </c>
      <c r="D32">
        <v>0.29353801882651298</v>
      </c>
      <c r="E32">
        <v>109.68198675293699</v>
      </c>
      <c r="F32">
        <v>1.98243615538504</v>
      </c>
      <c r="G32">
        <v>-1814.9006130294458</v>
      </c>
      <c r="H32">
        <v>-1494.7325761724057</v>
      </c>
      <c r="I32">
        <v>312.31563295790198</v>
      </c>
      <c r="J32">
        <v>158.66027515618799</v>
      </c>
      <c r="K32">
        <v>55.3268696472268</v>
      </c>
      <c r="L32">
        <v>0.86226556216111694</v>
      </c>
      <c r="M32">
        <v>-0.86208578385736556</v>
      </c>
      <c r="N32">
        <v>47.6978676541423</v>
      </c>
      <c r="O32">
        <v>47.697862881347604</v>
      </c>
      <c r="P32">
        <v>47.697857697325603</v>
      </c>
      <c r="Q32" t="s">
        <v>51</v>
      </c>
    </row>
    <row r="33" spans="1:17" x14ac:dyDescent="0.2">
      <c r="A33">
        <v>32</v>
      </c>
      <c r="B33">
        <v>751</v>
      </c>
      <c r="C33">
        <v>280</v>
      </c>
      <c r="D33">
        <v>0.29277986623053498</v>
      </c>
      <c r="E33">
        <v>109.682017460198</v>
      </c>
      <c r="F33">
        <v>1.9830112421059101</v>
      </c>
      <c r="G33">
        <v>-1814.5888867134274</v>
      </c>
      <c r="H33">
        <v>-1494.926736750371</v>
      </c>
      <c r="I33">
        <v>312.126632764335</v>
      </c>
      <c r="J33">
        <v>158.66447159445201</v>
      </c>
      <c r="K33">
        <v>55.3108399646378</v>
      </c>
      <c r="L33">
        <v>0.86052628520143615</v>
      </c>
      <c r="M33">
        <v>-0.86034611673453554</v>
      </c>
      <c r="N33">
        <v>47.587826172343497</v>
      </c>
      <c r="O33">
        <v>47.587821339889999</v>
      </c>
      <c r="P33">
        <v>47.5878161471231</v>
      </c>
      <c r="Q33" t="s">
        <v>51</v>
      </c>
    </row>
    <row r="34" spans="1:17" x14ac:dyDescent="0.2">
      <c r="A34">
        <v>33</v>
      </c>
      <c r="B34">
        <v>750</v>
      </c>
      <c r="C34">
        <v>280</v>
      </c>
      <c r="D34">
        <v>0.292020231637589</v>
      </c>
      <c r="E34">
        <v>109.682048287174</v>
      </c>
      <c r="F34">
        <v>1.9835877275429401</v>
      </c>
      <c r="G34">
        <v>-1814.277351295651</v>
      </c>
      <c r="H34">
        <v>-1495.1207340184503</v>
      </c>
      <c r="I34">
        <v>311.93760927620599</v>
      </c>
      <c r="J34">
        <v>158.668606005691</v>
      </c>
      <c r="K34">
        <v>55.294780646297298</v>
      </c>
      <c r="L34">
        <v>0.85879614499535362</v>
      </c>
      <c r="M34">
        <v>-0.85861559100703144</v>
      </c>
      <c r="N34">
        <v>47.478320443638303</v>
      </c>
      <c r="O34">
        <v>47.478315551313599</v>
      </c>
      <c r="P34">
        <v>47.478310349976503</v>
      </c>
      <c r="Q34" t="s">
        <v>51</v>
      </c>
    </row>
    <row r="35" spans="1:17" x14ac:dyDescent="0.2">
      <c r="A35">
        <v>34</v>
      </c>
      <c r="B35">
        <v>749</v>
      </c>
      <c r="C35">
        <v>280</v>
      </c>
      <c r="D35">
        <v>0.291259110698039</v>
      </c>
      <c r="E35">
        <v>109.682079234488</v>
      </c>
      <c r="F35">
        <v>1.98416560033038</v>
      </c>
      <c r="G35">
        <v>-1813.966006809884</v>
      </c>
      <c r="H35">
        <v>-1495.3145693046877</v>
      </c>
      <c r="I35">
        <v>311.74856115920801</v>
      </c>
      <c r="J35">
        <v>158.67267816500001</v>
      </c>
      <c r="K35">
        <v>55.2786920689609</v>
      </c>
      <c r="L35">
        <v>0.85707506257219779</v>
      </c>
      <c r="M35">
        <v>-0.85689412768208095</v>
      </c>
      <c r="N35">
        <v>47.369346138150803</v>
      </c>
      <c r="O35">
        <v>47.369341185745803</v>
      </c>
      <c r="P35">
        <v>47.369335976012898</v>
      </c>
      <c r="Q35" t="s">
        <v>51</v>
      </c>
    </row>
    <row r="36" spans="1:17" x14ac:dyDescent="0.2">
      <c r="A36">
        <v>35</v>
      </c>
      <c r="B36">
        <v>748</v>
      </c>
      <c r="C36">
        <v>280</v>
      </c>
      <c r="D36">
        <v>0.29049649904519698</v>
      </c>
      <c r="E36">
        <v>109.682110302659</v>
      </c>
      <c r="F36">
        <v>1.98474484919824</v>
      </c>
      <c r="G36">
        <v>-1813.6548532895799</v>
      </c>
      <c r="H36">
        <v>-1495.5082439209912</v>
      </c>
      <c r="I36">
        <v>311.55948708929901</v>
      </c>
      <c r="J36">
        <v>158.67668784338099</v>
      </c>
      <c r="K36">
        <v>55.262574605983801</v>
      </c>
      <c r="L36">
        <v>0.85536295982422728</v>
      </c>
      <c r="M36">
        <v>-0.85518164863008161</v>
      </c>
      <c r="N36">
        <v>47.260898971681002</v>
      </c>
      <c r="O36">
        <v>47.260893958990003</v>
      </c>
      <c r="P36">
        <v>47.260888741034996</v>
      </c>
      <c r="Q36" t="s">
        <v>51</v>
      </c>
    </row>
    <row r="37" spans="1:17" x14ac:dyDescent="0.2">
      <c r="A37">
        <v>36</v>
      </c>
      <c r="B37">
        <v>747</v>
      </c>
      <c r="C37">
        <v>280</v>
      </c>
      <c r="D37">
        <v>0.28973239229525299</v>
      </c>
      <c r="E37">
        <v>109.68214149232401</v>
      </c>
      <c r="F37">
        <v>1.9853254629801</v>
      </c>
      <c r="G37">
        <v>-1813.3438907713921</v>
      </c>
      <c r="H37">
        <v>-1495.701759166081</v>
      </c>
      <c r="I37">
        <v>311.37038575330399</v>
      </c>
      <c r="J37">
        <v>158.680634807507</v>
      </c>
      <c r="K37">
        <v>55.246428627215899</v>
      </c>
      <c r="L37">
        <v>0.85365975951916473</v>
      </c>
      <c r="M37">
        <v>-0.85347807659714758</v>
      </c>
      <c r="N37">
        <v>47.152974706325097</v>
      </c>
      <c r="O37">
        <v>47.152969633145901</v>
      </c>
      <c r="P37">
        <v>47.152964407142001</v>
      </c>
      <c r="Q37" t="s">
        <v>51</v>
      </c>
    </row>
    <row r="38" spans="1:17" x14ac:dyDescent="0.2">
      <c r="A38">
        <v>37</v>
      </c>
      <c r="B38">
        <v>746</v>
      </c>
      <c r="C38">
        <v>280</v>
      </c>
      <c r="D38">
        <v>0.288966786047197</v>
      </c>
      <c r="E38">
        <v>109.68217280399401</v>
      </c>
      <c r="F38">
        <v>1.985907430603</v>
      </c>
      <c r="G38">
        <v>-1813.0331192912524</v>
      </c>
      <c r="H38">
        <v>-1495.8951163225333</v>
      </c>
      <c r="I38">
        <v>311.18125584802499</v>
      </c>
      <c r="J38">
        <v>158.68451881998601</v>
      </c>
      <c r="K38">
        <v>55.230254499168701</v>
      </c>
      <c r="L38">
        <v>0.85196538526677545</v>
      </c>
      <c r="M38">
        <v>-0.85178333517166893</v>
      </c>
      <c r="N38">
        <v>47.045569148784502</v>
      </c>
      <c r="O38">
        <v>47.045564014918398</v>
      </c>
      <c r="P38">
        <v>47.045558781038302</v>
      </c>
      <c r="Q38" t="s">
        <v>51</v>
      </c>
    </row>
    <row r="39" spans="1:17" x14ac:dyDescent="0.2">
      <c r="A39">
        <v>38</v>
      </c>
      <c r="B39">
        <v>745</v>
      </c>
      <c r="C39">
        <v>280</v>
      </c>
      <c r="D39">
        <v>0.28819967588272899</v>
      </c>
      <c r="E39">
        <v>109.682204238268</v>
      </c>
      <c r="F39">
        <v>1.98649074109456</v>
      </c>
      <c r="G39">
        <v>-1812.7225388878246</v>
      </c>
      <c r="H39">
        <v>-1496.0883166598421</v>
      </c>
      <c r="I39">
        <v>310.99209608067099</v>
      </c>
      <c r="J39">
        <v>158.688339639209</v>
      </c>
      <c r="K39">
        <v>55.214052584928098</v>
      </c>
      <c r="L39">
        <v>0.85027976152193863</v>
      </c>
      <c r="M39">
        <v>-0.85009734878739063</v>
      </c>
      <c r="N39">
        <v>46.938678150477699</v>
      </c>
      <c r="O39">
        <v>46.938672955729402</v>
      </c>
      <c r="P39">
        <v>46.938667714145303</v>
      </c>
      <c r="Q39" t="s">
        <v>51</v>
      </c>
    </row>
    <row r="40" spans="1:17" x14ac:dyDescent="0.2">
      <c r="A40">
        <v>39</v>
      </c>
      <c r="B40">
        <v>744</v>
      </c>
      <c r="C40">
        <v>280</v>
      </c>
      <c r="D40">
        <v>0.28743105736617303</v>
      </c>
      <c r="E40">
        <v>109.682235795727</v>
      </c>
      <c r="F40">
        <v>1.9870753835752499</v>
      </c>
      <c r="G40">
        <v>-1812.4121496007601</v>
      </c>
      <c r="H40">
        <v>-1496.2813614330933</v>
      </c>
      <c r="I40">
        <v>310.80290516850101</v>
      </c>
      <c r="J40">
        <v>158.692097019584</v>
      </c>
      <c r="K40">
        <v>55.197823244320404</v>
      </c>
      <c r="L40">
        <v>0.8486028135669984</v>
      </c>
      <c r="M40">
        <v>-0.84842004270575144</v>
      </c>
      <c r="N40">
        <v>46.832297606718697</v>
      </c>
      <c r="O40">
        <v>46.832292350896402</v>
      </c>
      <c r="P40">
        <v>46.832287101779997</v>
      </c>
      <c r="Q40" t="s">
        <v>51</v>
      </c>
    </row>
    <row r="41" spans="1:17" x14ac:dyDescent="0.2">
      <c r="A41">
        <v>40</v>
      </c>
      <c r="B41">
        <v>743</v>
      </c>
      <c r="C41">
        <v>280</v>
      </c>
      <c r="D41">
        <v>0.28666092604438298</v>
      </c>
      <c r="E41">
        <v>109.682267476928</v>
      </c>
      <c r="F41">
        <v>1.9876613472625</v>
      </c>
      <c r="G41">
        <v>-1812.1019514705836</v>
      </c>
      <c r="H41">
        <v>-1496.4742518830833</v>
      </c>
      <c r="I41">
        <v>310.61368183864499</v>
      </c>
      <c r="J41">
        <v>158.695790711309</v>
      </c>
      <c r="K41">
        <v>55.181566833800602</v>
      </c>
      <c r="L41">
        <v>0.84693446750418611</v>
      </c>
      <c r="M41">
        <v>-0.84675134300830923</v>
      </c>
      <c r="N41">
        <v>46.726423456217901</v>
      </c>
      <c r="O41">
        <v>46.7264181391335</v>
      </c>
      <c r="P41">
        <v>46.726412882655701</v>
      </c>
      <c r="Q41" t="s">
        <v>51</v>
      </c>
    </row>
    <row r="42" spans="1:17" x14ac:dyDescent="0.2">
      <c r="A42">
        <v>41</v>
      </c>
      <c r="B42">
        <v>742</v>
      </c>
      <c r="C42">
        <v>280</v>
      </c>
      <c r="D42">
        <v>0.28588927744668102</v>
      </c>
      <c r="E42">
        <v>109.682299282513</v>
      </c>
      <c r="F42">
        <v>1.9882486214642701</v>
      </c>
      <c r="G42">
        <v>-1811.7919445404984</v>
      </c>
      <c r="H42">
        <v>-1496.666989238194</v>
      </c>
      <c r="I42">
        <v>310.42442482807701</v>
      </c>
      <c r="J42">
        <v>158.699420460863</v>
      </c>
      <c r="K42">
        <v>55.1652837066909</v>
      </c>
      <c r="L42">
        <v>0.84527465023260906</v>
      </c>
      <c r="M42">
        <v>-0.84509117657371435</v>
      </c>
      <c r="N42">
        <v>46.621051680025701</v>
      </c>
      <c r="O42">
        <v>46.621046301494303</v>
      </c>
      <c r="P42">
        <v>46.621041037825798</v>
      </c>
      <c r="Q42" t="s">
        <v>51</v>
      </c>
    </row>
    <row r="43" spans="1:17" x14ac:dyDescent="0.2">
      <c r="A43">
        <v>42</v>
      </c>
      <c r="B43">
        <v>741</v>
      </c>
      <c r="C43">
        <v>280</v>
      </c>
      <c r="D43">
        <v>0.28511610708475299</v>
      </c>
      <c r="E43">
        <v>109.68232863071999</v>
      </c>
      <c r="F43">
        <v>1.9881465365275901</v>
      </c>
      <c r="G43">
        <v>-1811.482101067744</v>
      </c>
      <c r="H43">
        <v>-1497.0166048268513</v>
      </c>
      <c r="I43">
        <v>310.08029800707499</v>
      </c>
      <c r="J43">
        <v>158.70064612290099</v>
      </c>
      <c r="K43">
        <v>55.168131028353002</v>
      </c>
      <c r="L43">
        <v>0.83519581406232624</v>
      </c>
      <c r="M43">
        <v>-0.83500946795409359</v>
      </c>
      <c r="N43">
        <v>46.067287073144598</v>
      </c>
      <c r="O43">
        <v>46.067281566940203</v>
      </c>
      <c r="P43">
        <v>46.0672762259249</v>
      </c>
      <c r="Q43" t="s">
        <v>51</v>
      </c>
    </row>
    <row r="44" spans="1:17" x14ac:dyDescent="0.2">
      <c r="A44">
        <v>43</v>
      </c>
      <c r="B44">
        <v>740</v>
      </c>
      <c r="C44">
        <v>280</v>
      </c>
      <c r="D44">
        <v>0.28434141045255101</v>
      </c>
      <c r="E44">
        <v>109.68234005522299</v>
      </c>
      <c r="F44">
        <v>1.9812055506313599</v>
      </c>
      <c r="G44">
        <v>-1811.1727850423688</v>
      </c>
      <c r="H44">
        <v>-1498.6923315880529</v>
      </c>
      <c r="I44">
        <v>308.42739982511199</v>
      </c>
      <c r="J44">
        <v>158.744798171285</v>
      </c>
      <c r="K44">
        <v>55.361413670717099</v>
      </c>
      <c r="L44">
        <v>0.75476922900619348</v>
      </c>
      <c r="M44">
        <v>-0.75455741594222481</v>
      </c>
      <c r="N44">
        <v>41.7749264502595</v>
      </c>
      <c r="O44">
        <v>41.774920227807101</v>
      </c>
      <c r="P44">
        <v>41.774914174858701</v>
      </c>
      <c r="Q44" t="s">
        <v>51</v>
      </c>
    </row>
    <row r="45" spans="1:17" x14ac:dyDescent="0.2">
      <c r="A45">
        <v>44</v>
      </c>
      <c r="B45">
        <v>739</v>
      </c>
      <c r="C45">
        <v>280</v>
      </c>
      <c r="D45">
        <v>0.28356518302623301</v>
      </c>
      <c r="E45">
        <v>109.682318558641</v>
      </c>
      <c r="F45">
        <v>1.9614372985223301</v>
      </c>
      <c r="G45">
        <v>-1810.8660619914253</v>
      </c>
      <c r="H45">
        <v>-1502.5309467085842</v>
      </c>
      <c r="I45">
        <v>304.637375445999</v>
      </c>
      <c r="J45">
        <v>158.98702585709299</v>
      </c>
      <c r="K45">
        <v>55.919360073998398</v>
      </c>
      <c r="L45">
        <v>0.56420970085567945</v>
      </c>
      <c r="M45">
        <v>-0.56393400950239991</v>
      </c>
      <c r="N45">
        <v>31.536867331488899</v>
      </c>
      <c r="O45">
        <v>31.536859374420601</v>
      </c>
      <c r="P45">
        <v>31.53685150003</v>
      </c>
      <c r="Q45" t="s">
        <v>51</v>
      </c>
    </row>
    <row r="46" spans="1:17" x14ac:dyDescent="0.2">
      <c r="A46">
        <v>45</v>
      </c>
      <c r="B46">
        <v>738</v>
      </c>
      <c r="C46">
        <v>280</v>
      </c>
      <c r="D46">
        <v>0.28278742026405701</v>
      </c>
      <c r="E46">
        <v>109.682295378083</v>
      </c>
      <c r="F46">
        <v>1.9497167120094401</v>
      </c>
      <c r="G46">
        <v>-1810.562321817458</v>
      </c>
      <c r="H46">
        <v>-1504.9554165549152</v>
      </c>
      <c r="I46">
        <v>302.24103881374299</v>
      </c>
      <c r="J46">
        <v>159.16107867887601</v>
      </c>
      <c r="K46">
        <v>56.255503531608497</v>
      </c>
      <c r="L46">
        <v>0.44882958699019387</v>
      </c>
      <c r="M46">
        <v>-0.44851524904242601</v>
      </c>
      <c r="N46">
        <v>25.233779834184801</v>
      </c>
      <c r="O46">
        <v>25.233770775102201</v>
      </c>
      <c r="P46">
        <v>25.233761783817901</v>
      </c>
      <c r="Q46" t="s">
        <v>51</v>
      </c>
    </row>
    <row r="47" spans="1:17" x14ac:dyDescent="0.2">
      <c r="A47">
        <v>46</v>
      </c>
      <c r="B47">
        <v>737</v>
      </c>
      <c r="C47">
        <v>280</v>
      </c>
      <c r="D47">
        <v>0.28200811760629901</v>
      </c>
      <c r="E47">
        <v>109.68986002074701</v>
      </c>
      <c r="F47">
        <v>1.9162810182017</v>
      </c>
      <c r="G47">
        <v>-1810.3877383131564</v>
      </c>
      <c r="H47">
        <v>-1511.6195644332129</v>
      </c>
      <c r="I47">
        <v>295.77165324084302</v>
      </c>
      <c r="J47">
        <v>159.55186959538401</v>
      </c>
      <c r="K47">
        <v>57.241009527758699</v>
      </c>
      <c r="L47">
        <v>0.13824718469384881</v>
      </c>
      <c r="M47">
        <v>-0.13782754647205192</v>
      </c>
      <c r="N47">
        <v>7.8925328773962304</v>
      </c>
      <c r="O47">
        <v>7.8925208383057202</v>
      </c>
      <c r="P47">
        <v>7.8925087213320602</v>
      </c>
      <c r="Q47" t="s">
        <v>51</v>
      </c>
    </row>
    <row r="48" spans="1:17" x14ac:dyDescent="0.2">
      <c r="A48">
        <v>47</v>
      </c>
      <c r="B48">
        <v>736</v>
      </c>
      <c r="C48">
        <v>280</v>
      </c>
      <c r="D48">
        <v>0.281227270475152</v>
      </c>
      <c r="E48">
        <v>109.690289345624</v>
      </c>
      <c r="F48">
        <v>1.9109586341450799</v>
      </c>
      <c r="G48">
        <v>-1810.0997026999182</v>
      </c>
      <c r="H48">
        <v>-1512.9549781709168</v>
      </c>
      <c r="I48">
        <v>294.45627453973401</v>
      </c>
      <c r="J48">
        <v>159.66307519600599</v>
      </c>
      <c r="K48">
        <v>57.400661315045603</v>
      </c>
      <c r="L48">
        <v>8.269962158341726E-2</v>
      </c>
      <c r="M48">
        <v>-8.2261348591463973E-2</v>
      </c>
      <c r="N48">
        <v>4.7251412017474399</v>
      </c>
      <c r="O48">
        <v>4.7251285515376198</v>
      </c>
      <c r="P48">
        <v>4.7251158782872196</v>
      </c>
      <c r="Q48" t="s">
        <v>51</v>
      </c>
    </row>
    <row r="49" spans="1:17" x14ac:dyDescent="0.2">
      <c r="A49">
        <v>48</v>
      </c>
      <c r="B49">
        <v>757</v>
      </c>
      <c r="C49">
        <v>260</v>
      </c>
      <c r="D49">
        <v>0.318662816094747</v>
      </c>
      <c r="E49">
        <v>109.681990798084</v>
      </c>
      <c r="F49">
        <v>1.9533997162951999</v>
      </c>
      <c r="G49">
        <v>-1817.5800272488</v>
      </c>
      <c r="H49">
        <v>-1494.5588838493297</v>
      </c>
      <c r="I49">
        <v>313.569514680726</v>
      </c>
      <c r="J49">
        <v>159.30010119587399</v>
      </c>
      <c r="K49">
        <v>56.149281625834597</v>
      </c>
      <c r="L49">
        <v>0.85581715106789258</v>
      </c>
      <c r="M49">
        <v>-0.85560509547517782</v>
      </c>
      <c r="N49">
        <v>48.043351631444303</v>
      </c>
      <c r="O49">
        <v>48.043346734615298</v>
      </c>
      <c r="P49">
        <v>48.0433398872309</v>
      </c>
      <c r="Q49" t="s">
        <v>51</v>
      </c>
    </row>
    <row r="50" spans="1:17" x14ac:dyDescent="0.2">
      <c r="A50">
        <v>49</v>
      </c>
      <c r="B50">
        <v>756</v>
      </c>
      <c r="C50">
        <v>260</v>
      </c>
      <c r="D50">
        <v>0.317932760044698</v>
      </c>
      <c r="E50">
        <v>109.68201796574</v>
      </c>
      <c r="F50">
        <v>1.95399009683016</v>
      </c>
      <c r="G50">
        <v>-1817.2669757466672</v>
      </c>
      <c r="H50">
        <v>-1494.7330182402704</v>
      </c>
      <c r="I50">
        <v>313.40081886865698</v>
      </c>
      <c r="J50">
        <v>159.299745566626</v>
      </c>
      <c r="K50">
        <v>56.132330529039102</v>
      </c>
      <c r="L50">
        <v>0.85516970757067146</v>
      </c>
      <c r="M50">
        <v>-0.85495753471072478</v>
      </c>
      <c r="N50">
        <v>47.992496013485798</v>
      </c>
      <c r="O50">
        <v>47.992491049359202</v>
      </c>
      <c r="P50">
        <v>47.992484200482103</v>
      </c>
      <c r="Q50" t="s">
        <v>51</v>
      </c>
    </row>
    <row r="51" spans="1:17" x14ac:dyDescent="0.2">
      <c r="A51">
        <v>50</v>
      </c>
      <c r="B51">
        <v>755</v>
      </c>
      <c r="C51">
        <v>260</v>
      </c>
      <c r="D51">
        <v>0.31720128385935797</v>
      </c>
      <c r="E51">
        <v>109.682048434579</v>
      </c>
      <c r="F51">
        <v>1.9545848577454401</v>
      </c>
      <c r="G51">
        <v>-1816.9541604833594</v>
      </c>
      <c r="H51">
        <v>-1494.9271873649716</v>
      </c>
      <c r="I51">
        <v>313.212541889009</v>
      </c>
      <c r="J51">
        <v>159.305369237457</v>
      </c>
      <c r="K51">
        <v>56.1152656022795</v>
      </c>
      <c r="L51">
        <v>0.85347375055920283</v>
      </c>
      <c r="M51">
        <v>-0.85326116219347614</v>
      </c>
      <c r="N51">
        <v>47.882713236134599</v>
      </c>
      <c r="O51">
        <v>47.8827081973986</v>
      </c>
      <c r="P51">
        <v>47.8827013374937</v>
      </c>
      <c r="Q51" t="s">
        <v>51</v>
      </c>
    </row>
    <row r="52" spans="1:17" x14ac:dyDescent="0.2">
      <c r="A52">
        <v>51</v>
      </c>
      <c r="B52">
        <v>754</v>
      </c>
      <c r="C52">
        <v>260</v>
      </c>
      <c r="D52">
        <v>0.31646838339093702</v>
      </c>
      <c r="E52">
        <v>109.68207902182699</v>
      </c>
      <c r="F52">
        <v>1.95518112468906</v>
      </c>
      <c r="G52">
        <v>-1816.6415353778279</v>
      </c>
      <c r="H52">
        <v>-1495.1211969809476</v>
      </c>
      <c r="I52">
        <v>313.024238695289</v>
      </c>
      <c r="J52">
        <v>159.31094103976901</v>
      </c>
      <c r="K52">
        <v>56.098167907216201</v>
      </c>
      <c r="L52">
        <v>0.8517867136941123</v>
      </c>
      <c r="M52">
        <v>-0.85157371479671462</v>
      </c>
      <c r="N52">
        <v>47.773461081378898</v>
      </c>
      <c r="O52">
        <v>47.773455967696599</v>
      </c>
      <c r="P52">
        <v>47.7734490969763</v>
      </c>
      <c r="Q52" t="s">
        <v>51</v>
      </c>
    </row>
    <row r="53" spans="1:17" x14ac:dyDescent="0.2">
      <c r="A53">
        <v>52</v>
      </c>
      <c r="B53">
        <v>753</v>
      </c>
      <c r="C53">
        <v>260</v>
      </c>
      <c r="D53">
        <v>0.31573405447546998</v>
      </c>
      <c r="E53">
        <v>109.682109728016</v>
      </c>
      <c r="F53">
        <v>1.95577888462023</v>
      </c>
      <c r="G53">
        <v>-1816.3291004653461</v>
      </c>
      <c r="H53">
        <v>-1495.3150483860964</v>
      </c>
      <c r="I53">
        <v>312.83590798069901</v>
      </c>
      <c r="J53">
        <v>159.31646068256001</v>
      </c>
      <c r="K53">
        <v>56.081037887528801</v>
      </c>
      <c r="L53">
        <v>0.85010851964149836</v>
      </c>
      <c r="M53">
        <v>-0.8498951151651114</v>
      </c>
      <c r="N53">
        <v>47.664735296749399</v>
      </c>
      <c r="O53">
        <v>47.6647301077885</v>
      </c>
      <c r="P53">
        <v>47.664723226464702</v>
      </c>
      <c r="Q53" t="s">
        <v>51</v>
      </c>
    </row>
    <row r="54" spans="1:17" x14ac:dyDescent="0.2">
      <c r="A54">
        <v>53</v>
      </c>
      <c r="B54">
        <v>752</v>
      </c>
      <c r="C54">
        <v>260</v>
      </c>
      <c r="D54">
        <v>0.31499829293274201</v>
      </c>
      <c r="E54">
        <v>109.68214055375</v>
      </c>
      <c r="F54">
        <v>1.95637812459171</v>
      </c>
      <c r="G54">
        <v>-1816.016855783605</v>
      </c>
      <c r="H54">
        <v>-1495.5087428644576</v>
      </c>
      <c r="I54">
        <v>312.64754844921202</v>
      </c>
      <c r="J54">
        <v>159.321927871079</v>
      </c>
      <c r="K54">
        <v>56.063875983401999</v>
      </c>
      <c r="L54">
        <v>0.84843909193047617</v>
      </c>
      <c r="M54">
        <v>-0.84822528680658638</v>
      </c>
      <c r="N54">
        <v>47.5565316757978</v>
      </c>
      <c r="O54">
        <v>47.556526411230202</v>
      </c>
      <c r="P54">
        <v>47.556519519514303</v>
      </c>
      <c r="Q54" t="s">
        <v>51</v>
      </c>
    </row>
    <row r="55" spans="1:17" x14ac:dyDescent="0.2">
      <c r="A55">
        <v>54</v>
      </c>
      <c r="B55">
        <v>751</v>
      </c>
      <c r="C55">
        <v>260</v>
      </c>
      <c r="D55">
        <v>0.31426109456622597</v>
      </c>
      <c r="E55">
        <v>109.682171499585</v>
      </c>
      <c r="F55">
        <v>1.95697883174795</v>
      </c>
      <c r="G55">
        <v>-1815.7048013708304</v>
      </c>
      <c r="H55">
        <v>-1495.702281685237</v>
      </c>
      <c r="I55">
        <v>312.45915881474798</v>
      </c>
      <c r="J55">
        <v>159.327342306877</v>
      </c>
      <c r="K55">
        <v>56.0466826315226</v>
      </c>
      <c r="L55">
        <v>0.84677835491687292</v>
      </c>
      <c r="M55">
        <v>-0.84656415405599361</v>
      </c>
      <c r="N55">
        <v>47.448846056077798</v>
      </c>
      <c r="O55">
        <v>47.448840715579898</v>
      </c>
      <c r="P55">
        <v>47.448833813683201</v>
      </c>
      <c r="Q55" t="s">
        <v>51</v>
      </c>
    </row>
    <row r="56" spans="1:17" x14ac:dyDescent="0.2">
      <c r="A56">
        <v>55</v>
      </c>
      <c r="B56">
        <v>750</v>
      </c>
      <c r="C56">
        <v>260</v>
      </c>
      <c r="D56">
        <v>0.313522455162978</v>
      </c>
      <c r="E56">
        <v>109.682202566041</v>
      </c>
      <c r="F56">
        <v>1.95758099332183</v>
      </c>
      <c r="G56">
        <v>-1815.3929372659366</v>
      </c>
      <c r="H56">
        <v>-1495.8956661026168</v>
      </c>
      <c r="I56">
        <v>312.27073780154899</v>
      </c>
      <c r="J56">
        <v>159.33270368781101</v>
      </c>
      <c r="K56">
        <v>56.029458265183202</v>
      </c>
      <c r="L56">
        <v>0.8451262337969021</v>
      </c>
      <c r="M56">
        <v>-0.8449116420887921</v>
      </c>
      <c r="N56">
        <v>47.341674320019003</v>
      </c>
      <c r="O56">
        <v>47.341668903271596</v>
      </c>
      <c r="P56">
        <v>47.341661991404798</v>
      </c>
      <c r="Q56" t="s">
        <v>51</v>
      </c>
    </row>
    <row r="57" spans="1:17" x14ac:dyDescent="0.2">
      <c r="A57">
        <v>56</v>
      </c>
      <c r="B57">
        <v>749</v>
      </c>
      <c r="C57">
        <v>260</v>
      </c>
      <c r="D57">
        <v>0.312782370493568</v>
      </c>
      <c r="E57">
        <v>109.68223375372401</v>
      </c>
      <c r="F57">
        <v>1.95818459663806</v>
      </c>
      <c r="G57">
        <v>-1815.0812635105065</v>
      </c>
      <c r="H57">
        <v>-1496.0888973580834</v>
      </c>
      <c r="I57">
        <v>312.08228414389401</v>
      </c>
      <c r="J57">
        <v>159.33801170815201</v>
      </c>
      <c r="K57">
        <v>56.012203314250002</v>
      </c>
      <c r="L57">
        <v>0.84348265457799632</v>
      </c>
      <c r="M57">
        <v>-0.84326767689187854</v>
      </c>
      <c r="N57">
        <v>47.235012393283199</v>
      </c>
      <c r="O57">
        <v>47.235006899971502</v>
      </c>
      <c r="P57">
        <v>47.234999978345002</v>
      </c>
      <c r="Q57" t="s">
        <v>51</v>
      </c>
    </row>
    <row r="58" spans="1:17" x14ac:dyDescent="0.2">
      <c r="A58">
        <v>57</v>
      </c>
      <c r="B58">
        <v>748</v>
      </c>
      <c r="C58">
        <v>260</v>
      </c>
      <c r="D58">
        <v>0.31204083631200402</v>
      </c>
      <c r="E58">
        <v>109.68226506318</v>
      </c>
      <c r="F58">
        <v>1.9587896291098501</v>
      </c>
      <c r="G58">
        <v>-1814.7697801464103</v>
      </c>
      <c r="H58">
        <v>-1496.2819766785758</v>
      </c>
      <c r="I58">
        <v>311.893796585627</v>
      </c>
      <c r="J58">
        <v>159.34326605855799</v>
      </c>
      <c r="K58">
        <v>55.994918205189798</v>
      </c>
      <c r="L58">
        <v>0.84184754406439433</v>
      </c>
      <c r="M58">
        <v>-0.84163218524916206</v>
      </c>
      <c r="N58">
        <v>47.128856243996701</v>
      </c>
      <c r="O58">
        <v>47.128850673810497</v>
      </c>
      <c r="P58">
        <v>47.128843742634302</v>
      </c>
      <c r="Q58" t="s">
        <v>51</v>
      </c>
    </row>
    <row r="59" spans="1:17" x14ac:dyDescent="0.2">
      <c r="A59">
        <v>58</v>
      </c>
      <c r="B59">
        <v>747</v>
      </c>
      <c r="C59">
        <v>260</v>
      </c>
      <c r="D59">
        <v>0.31129784835563601</v>
      </c>
      <c r="E59">
        <v>109.682296494992</v>
      </c>
      <c r="F59">
        <v>1.9593960782341699</v>
      </c>
      <c r="G59">
        <v>-1814.458487217365</v>
      </c>
      <c r="H59">
        <v>-1496.4749052776283</v>
      </c>
      <c r="I59">
        <v>311.70527388061703</v>
      </c>
      <c r="J59">
        <v>159.34846642628199</v>
      </c>
      <c r="K59">
        <v>55.977603361255703</v>
      </c>
      <c r="L59">
        <v>0.84022082986362145</v>
      </c>
      <c r="M59">
        <v>-0.84000509474804441</v>
      </c>
      <c r="N59">
        <v>47.023201883288003</v>
      </c>
      <c r="O59">
        <v>47.023196235921603</v>
      </c>
      <c r="P59">
        <v>47.023189295405302</v>
      </c>
      <c r="Q59" t="s">
        <v>51</v>
      </c>
    </row>
    <row r="60" spans="1:17" x14ac:dyDescent="0.2">
      <c r="A60">
        <v>59</v>
      </c>
      <c r="B60">
        <v>746</v>
      </c>
      <c r="C60">
        <v>260</v>
      </c>
      <c r="D60">
        <v>0.31055340234509199</v>
      </c>
      <c r="E60">
        <v>109.682328049719</v>
      </c>
      <c r="F60">
        <v>1.9600039315960001</v>
      </c>
      <c r="G60">
        <v>-1814.1473847679231</v>
      </c>
      <c r="H60">
        <v>-1496.6676843549776</v>
      </c>
      <c r="I60">
        <v>311.516714792193</v>
      </c>
      <c r="J60">
        <v>159.35361249498001</v>
      </c>
      <c r="K60">
        <v>55.960259202340602</v>
      </c>
      <c r="L60">
        <v>0.83860244036462672</v>
      </c>
      <c r="M60">
        <v>-0.83838633375755411</v>
      </c>
      <c r="N60">
        <v>46.918045363954597</v>
      </c>
      <c r="O60">
        <v>46.918039639106802</v>
      </c>
      <c r="P60">
        <v>46.9180326894597</v>
      </c>
      <c r="Q60" t="s">
        <v>51</v>
      </c>
    </row>
    <row r="61" spans="1:17" x14ac:dyDescent="0.2">
      <c r="A61">
        <v>60</v>
      </c>
      <c r="B61">
        <v>745</v>
      </c>
      <c r="C61">
        <v>260</v>
      </c>
      <c r="D61">
        <v>0.309807493984187</v>
      </c>
      <c r="E61">
        <v>109.68235972795701</v>
      </c>
      <c r="F61">
        <v>1.96061317686408</v>
      </c>
      <c r="G61">
        <v>-1813.836472844511</v>
      </c>
      <c r="H61">
        <v>-1496.8603150975018</v>
      </c>
      <c r="I61">
        <v>311.32811809329701</v>
      </c>
      <c r="J61">
        <v>159.35870394494199</v>
      </c>
      <c r="K61">
        <v>55.942886145134402</v>
      </c>
      <c r="L61">
        <v>0.83699230473210362</v>
      </c>
      <c r="M61">
        <v>-0.83677583142266065</v>
      </c>
      <c r="N61">
        <v>46.813382780293097</v>
      </c>
      <c r="O61">
        <v>46.813376977667403</v>
      </c>
      <c r="P61">
        <v>46.813370019098201</v>
      </c>
      <c r="Q61" t="s">
        <v>51</v>
      </c>
    </row>
    <row r="62" spans="1:17" x14ac:dyDescent="0.2">
      <c r="A62">
        <v>61</v>
      </c>
      <c r="B62">
        <v>744</v>
      </c>
      <c r="C62">
        <v>260</v>
      </c>
      <c r="D62">
        <v>0.30906011895984098</v>
      </c>
      <c r="E62">
        <v>109.68239153032501</v>
      </c>
      <c r="F62">
        <v>1.96122380178842</v>
      </c>
      <c r="G62">
        <v>-1813.5257514950968</v>
      </c>
      <c r="H62">
        <v>-1497.0527986794373</v>
      </c>
      <c r="I62">
        <v>311.13948256598201</v>
      </c>
      <c r="J62">
        <v>159.36374045328299</v>
      </c>
      <c r="K62">
        <v>55.925484603188302</v>
      </c>
      <c r="L62">
        <v>0.83539035287685537</v>
      </c>
      <c r="M62">
        <v>-0.83517351763462833</v>
      </c>
      <c r="N62">
        <v>46.709210266508499</v>
      </c>
      <c r="O62">
        <v>46.709204385813003</v>
      </c>
      <c r="P62">
        <v>46.709197418530401</v>
      </c>
      <c r="Q62" t="s">
        <v>51</v>
      </c>
    </row>
    <row r="63" spans="1:17" x14ac:dyDescent="0.2">
      <c r="A63">
        <v>62</v>
      </c>
      <c r="B63">
        <v>743</v>
      </c>
      <c r="C63">
        <v>260</v>
      </c>
      <c r="D63">
        <v>0.30831127294198801</v>
      </c>
      <c r="E63">
        <v>109.682391883094</v>
      </c>
      <c r="F63">
        <v>1.9470563326046999</v>
      </c>
      <c r="G63">
        <v>-1813.2154882515933</v>
      </c>
      <c r="H63">
        <v>-1499.9221011373563</v>
      </c>
      <c r="I63">
        <v>308.31722084166501</v>
      </c>
      <c r="J63">
        <v>159.444662839438</v>
      </c>
      <c r="K63">
        <v>56.332418351946302</v>
      </c>
      <c r="L63">
        <v>0.69401412161071918</v>
      </c>
      <c r="M63">
        <v>-0.69374782174595107</v>
      </c>
      <c r="N63">
        <v>39.082614695263203</v>
      </c>
      <c r="O63">
        <v>39.082607546834303</v>
      </c>
      <c r="P63">
        <v>39.082599005322599</v>
      </c>
      <c r="Q63" t="s">
        <v>51</v>
      </c>
    </row>
    <row r="64" spans="1:17" x14ac:dyDescent="0.2">
      <c r="A64">
        <v>63</v>
      </c>
      <c r="B64">
        <v>742</v>
      </c>
      <c r="C64">
        <v>260</v>
      </c>
      <c r="D64">
        <v>0.30756095158350699</v>
      </c>
      <c r="E64">
        <v>109.682367877459</v>
      </c>
      <c r="F64">
        <v>1.9297739859196501</v>
      </c>
      <c r="G64">
        <v>-1812.908600713653</v>
      </c>
      <c r="H64">
        <v>-1503.3459354673357</v>
      </c>
      <c r="I64">
        <v>304.94659281383099</v>
      </c>
      <c r="J64">
        <v>159.57825305911899</v>
      </c>
      <c r="K64">
        <v>56.836898350658203</v>
      </c>
      <c r="L64">
        <v>0.52692224881313987</v>
      </c>
      <c r="M64">
        <v>-0.52659685708190818</v>
      </c>
      <c r="N64">
        <v>29.932733730060001</v>
      </c>
      <c r="O64">
        <v>29.932725037830402</v>
      </c>
      <c r="P64">
        <v>29.932714583793299</v>
      </c>
      <c r="Q64" t="s">
        <v>51</v>
      </c>
    </row>
    <row r="65" spans="1:17" x14ac:dyDescent="0.2">
      <c r="A65">
        <v>64</v>
      </c>
      <c r="B65">
        <v>741</v>
      </c>
      <c r="C65">
        <v>260</v>
      </c>
      <c r="D65">
        <v>0.30680915052014102</v>
      </c>
      <c r="E65">
        <v>109.688465370298</v>
      </c>
      <c r="F65">
        <v>1.90455285195545</v>
      </c>
      <c r="G65">
        <v>-1812.7047365661915</v>
      </c>
      <c r="H65">
        <v>-1508.4189305574967</v>
      </c>
      <c r="I65">
        <v>300.04507832328898</v>
      </c>
      <c r="J65">
        <v>159.744302366819</v>
      </c>
      <c r="K65">
        <v>57.592765282243697</v>
      </c>
      <c r="L65">
        <v>0.28946543104730615</v>
      </c>
      <c r="M65">
        <v>-0.28905556021424927</v>
      </c>
      <c r="N65">
        <v>16.650811883259699</v>
      </c>
      <c r="O65">
        <v>16.650800937970601</v>
      </c>
      <c r="P65">
        <v>16.650787685276999</v>
      </c>
      <c r="Q65" t="s">
        <v>51</v>
      </c>
    </row>
    <row r="66" spans="1:17" x14ac:dyDescent="0.2">
      <c r="A66">
        <v>65</v>
      </c>
      <c r="B66">
        <v>740</v>
      </c>
      <c r="C66">
        <v>260</v>
      </c>
      <c r="D66">
        <v>0.30605586537038199</v>
      </c>
      <c r="E66">
        <v>109.690441521895</v>
      </c>
      <c r="F66">
        <v>1.8870111337273101</v>
      </c>
      <c r="G66">
        <v>-1812.4389282911663</v>
      </c>
      <c r="H66">
        <v>-1512.134899673812</v>
      </c>
      <c r="I66">
        <v>296.41187926221102</v>
      </c>
      <c r="J66">
        <v>159.86305074004301</v>
      </c>
      <c r="K66">
        <v>58.129196781806797</v>
      </c>
      <c r="L66">
        <v>0.12115987012191404</v>
      </c>
      <c r="M66">
        <v>-0.12069013009571616</v>
      </c>
      <c r="N66">
        <v>7.0194264232193904</v>
      </c>
      <c r="O66">
        <v>7.0194137916358796</v>
      </c>
      <c r="P66">
        <v>7.0193985154943999</v>
      </c>
      <c r="Q66" t="s">
        <v>51</v>
      </c>
    </row>
    <row r="67" spans="1:17" x14ac:dyDescent="0.2">
      <c r="A67">
        <v>66</v>
      </c>
      <c r="B67">
        <v>739</v>
      </c>
      <c r="C67">
        <v>260</v>
      </c>
      <c r="D67">
        <v>0.30530109173541498</v>
      </c>
      <c r="E67">
        <v>109.69071837888499</v>
      </c>
      <c r="F67">
        <v>1.88302032603092</v>
      </c>
      <c r="G67">
        <v>-1812.1476358320867</v>
      </c>
      <c r="H67">
        <v>-1513.2424813189346</v>
      </c>
      <c r="I67">
        <v>295.32285041653398</v>
      </c>
      <c r="J67">
        <v>159.92711871776899</v>
      </c>
      <c r="K67">
        <v>58.252540805065799</v>
      </c>
      <c r="L67">
        <v>7.6826358429626221E-2</v>
      </c>
      <c r="M67">
        <v>-7.6341067302314519E-2</v>
      </c>
      <c r="N67">
        <v>4.4509917866312696</v>
      </c>
      <c r="O67">
        <v>4.4509786180667801</v>
      </c>
      <c r="P67">
        <v>4.4509628176862996</v>
      </c>
      <c r="Q67" t="s">
        <v>51</v>
      </c>
    </row>
    <row r="68" spans="1:17" x14ac:dyDescent="0.2">
      <c r="A68">
        <v>67</v>
      </c>
      <c r="B68">
        <v>757</v>
      </c>
      <c r="C68">
        <v>240</v>
      </c>
      <c r="D68">
        <v>0.340018929282145</v>
      </c>
      <c r="E68">
        <v>109.682145482713</v>
      </c>
      <c r="F68">
        <v>1.92442535291494</v>
      </c>
      <c r="G68">
        <v>-1818.7137638108236</v>
      </c>
      <c r="H68">
        <v>-1495.3270736200484</v>
      </c>
      <c r="I68">
        <v>313.92454288402502</v>
      </c>
      <c r="J68">
        <v>159.96735670341701</v>
      </c>
      <c r="K68">
        <v>56.994751870513902</v>
      </c>
      <c r="L68">
        <v>0.8402342553465334</v>
      </c>
      <c r="M68">
        <v>-0.8399809026952475</v>
      </c>
      <c r="N68">
        <v>47.876752766205598</v>
      </c>
      <c r="O68">
        <v>47.876747821216803</v>
      </c>
      <c r="P68">
        <v>47.876738618986103</v>
      </c>
      <c r="Q68" t="s">
        <v>51</v>
      </c>
    </row>
    <row r="69" spans="1:17" x14ac:dyDescent="0.2">
      <c r="A69">
        <v>68</v>
      </c>
      <c r="B69">
        <v>756</v>
      </c>
      <c r="C69">
        <v>240</v>
      </c>
      <c r="D69">
        <v>0.33930962444735902</v>
      </c>
      <c r="E69">
        <v>109.682172758378</v>
      </c>
      <c r="F69">
        <v>1.9250537083680599</v>
      </c>
      <c r="G69">
        <v>-1818.4003591819567</v>
      </c>
      <c r="H69">
        <v>-1495.5005266392616</v>
      </c>
      <c r="I69">
        <v>313.75651072784802</v>
      </c>
      <c r="J69">
        <v>159.96855524826199</v>
      </c>
      <c r="K69">
        <v>56.976162421650102</v>
      </c>
      <c r="L69">
        <v>0.83967829091816837</v>
      </c>
      <c r="M69">
        <v>-0.83942483803349277</v>
      </c>
      <c r="N69">
        <v>47.829451017071001</v>
      </c>
      <c r="O69">
        <v>47.829445983223899</v>
      </c>
      <c r="P69">
        <v>47.8294367791163</v>
      </c>
      <c r="Q69" t="s">
        <v>51</v>
      </c>
    </row>
    <row r="70" spans="1:17" x14ac:dyDescent="0.2">
      <c r="A70">
        <v>69</v>
      </c>
      <c r="B70">
        <v>755</v>
      </c>
      <c r="C70">
        <v>240</v>
      </c>
      <c r="D70">
        <v>0.338598939843407</v>
      </c>
      <c r="E70">
        <v>109.68220344838301</v>
      </c>
      <c r="F70">
        <v>1.9256813461872</v>
      </c>
      <c r="G70">
        <v>-1818.0871917232773</v>
      </c>
      <c r="H70">
        <v>-1495.6939932276657</v>
      </c>
      <c r="I70">
        <v>313.568920116382</v>
      </c>
      <c r="J70">
        <v>159.97563919310599</v>
      </c>
      <c r="K70">
        <v>56.957608103516698</v>
      </c>
      <c r="L70">
        <v>0.83807177475767602</v>
      </c>
      <c r="M70">
        <v>-0.83781789772221127</v>
      </c>
      <c r="N70">
        <v>47.7223469644888</v>
      </c>
      <c r="O70">
        <v>47.722341834845302</v>
      </c>
      <c r="P70">
        <v>47.722332617186801</v>
      </c>
      <c r="Q70" t="s">
        <v>51</v>
      </c>
    </row>
    <row r="71" spans="1:17" x14ac:dyDescent="0.2">
      <c r="A71">
        <v>70</v>
      </c>
      <c r="B71">
        <v>754</v>
      </c>
      <c r="C71">
        <v>240</v>
      </c>
      <c r="D71">
        <v>0.33788687144039198</v>
      </c>
      <c r="E71">
        <v>109.682234257644</v>
      </c>
      <c r="F71">
        <v>1.92631059395971</v>
      </c>
      <c r="G71">
        <v>-1817.7742137559624</v>
      </c>
      <c r="H71">
        <v>-1495.8873107252807</v>
      </c>
      <c r="I71">
        <v>313.38129383999001</v>
      </c>
      <c r="J71">
        <v>159.98268107631199</v>
      </c>
      <c r="K71">
        <v>56.9390183501935</v>
      </c>
      <c r="L71">
        <v>0.83647361134108622</v>
      </c>
      <c r="M71">
        <v>-0.8362193154644828</v>
      </c>
      <c r="N71">
        <v>47.615748750862899</v>
      </c>
      <c r="O71">
        <v>47.6157435249022</v>
      </c>
      <c r="P71">
        <v>47.615734293950297</v>
      </c>
      <c r="Q71" t="s">
        <v>51</v>
      </c>
    </row>
    <row r="72" spans="1:17" x14ac:dyDescent="0.2">
      <c r="A72">
        <v>71</v>
      </c>
      <c r="B72">
        <v>753</v>
      </c>
      <c r="C72">
        <v>240</v>
      </c>
      <c r="D72">
        <v>0.33717341519271199</v>
      </c>
      <c r="E72">
        <v>109.682265186666</v>
      </c>
      <c r="F72">
        <v>1.92694143752887</v>
      </c>
      <c r="G72">
        <v>-1817.461425324215</v>
      </c>
      <c r="H72">
        <v>-1496.0804803383533</v>
      </c>
      <c r="I72">
        <v>313.193630662239</v>
      </c>
      <c r="J72">
        <v>159.98968048378401</v>
      </c>
      <c r="K72">
        <v>56.920393661430801</v>
      </c>
      <c r="L72">
        <v>0.83488372881996764</v>
      </c>
      <c r="M72">
        <v>-0.834629019393894</v>
      </c>
      <c r="N72">
        <v>47.509652407041898</v>
      </c>
      <c r="O72">
        <v>47.509647084248599</v>
      </c>
      <c r="P72">
        <v>47.509637840261099</v>
      </c>
      <c r="Q72" t="s">
        <v>51</v>
      </c>
    </row>
    <row r="73" spans="1:17" x14ac:dyDescent="0.2">
      <c r="A73">
        <v>72</v>
      </c>
      <c r="B73">
        <v>752</v>
      </c>
      <c r="C73">
        <v>240</v>
      </c>
      <c r="D73">
        <v>0.33645856703896998</v>
      </c>
      <c r="E73">
        <v>109.68229623603899</v>
      </c>
      <c r="F73">
        <v>1.92757386281785</v>
      </c>
      <c r="G73">
        <v>-1817.148826474878</v>
      </c>
      <c r="H73">
        <v>-1496.2735032614537</v>
      </c>
      <c r="I73">
        <v>313.00592935583398</v>
      </c>
      <c r="J73">
        <v>159.996636997949</v>
      </c>
      <c r="K73">
        <v>56.901734533637502</v>
      </c>
      <c r="L73">
        <v>0.83330205608740981</v>
      </c>
      <c r="M73">
        <v>-0.83304693838573074</v>
      </c>
      <c r="N73">
        <v>47.4040540037158</v>
      </c>
      <c r="O73">
        <v>47.404048583580099</v>
      </c>
      <c r="P73">
        <v>47.404039326814697</v>
      </c>
      <c r="Q73" t="s">
        <v>51</v>
      </c>
    </row>
    <row r="74" spans="1:17" x14ac:dyDescent="0.2">
      <c r="A74">
        <v>73</v>
      </c>
      <c r="B74">
        <v>751</v>
      </c>
      <c r="C74">
        <v>240</v>
      </c>
      <c r="D74">
        <v>0.33574232290192102</v>
      </c>
      <c r="E74">
        <v>109.682327406341</v>
      </c>
      <c r="F74">
        <v>1.92820785583051</v>
      </c>
      <c r="G74">
        <v>-1816.8364172558195</v>
      </c>
      <c r="H74">
        <v>-1496.466380675294</v>
      </c>
      <c r="I74">
        <v>312.81818870321803</v>
      </c>
      <c r="J74">
        <v>160.003550197294</v>
      </c>
      <c r="K74">
        <v>56.883041459811203</v>
      </c>
      <c r="L74">
        <v>0.83172852282025789</v>
      </c>
      <c r="M74">
        <v>-0.83147300209922781</v>
      </c>
      <c r="N74">
        <v>47.298949653784298</v>
      </c>
      <c r="O74">
        <v>47.298944135801797</v>
      </c>
      <c r="P74">
        <v>47.298934866516298</v>
      </c>
      <c r="Q74" t="s">
        <v>51</v>
      </c>
    </row>
    <row r="75" spans="1:17" x14ac:dyDescent="0.2">
      <c r="A75">
        <v>74</v>
      </c>
      <c r="B75">
        <v>750</v>
      </c>
      <c r="C75">
        <v>240</v>
      </c>
      <c r="D75">
        <v>0.335024678688366</v>
      </c>
      <c r="E75">
        <v>109.682358698107</v>
      </c>
      <c r="F75">
        <v>1.9288434026485901</v>
      </c>
      <c r="G75">
        <v>-1816.5241977154294</v>
      </c>
      <c r="H75">
        <v>-1496.6591137469327</v>
      </c>
      <c r="I75">
        <v>312.630407495925</v>
      </c>
      <c r="J75">
        <v>160.01041965660201</v>
      </c>
      <c r="K75">
        <v>56.864314929608298</v>
      </c>
      <c r="L75">
        <v>0.83016305944240509</v>
      </c>
      <c r="M75">
        <v>-0.82990714094084539</v>
      </c>
      <c r="N75">
        <v>47.1943355103447</v>
      </c>
      <c r="O75">
        <v>47.194329894017002</v>
      </c>
      <c r="P75">
        <v>47.194320612468999</v>
      </c>
      <c r="Q75" t="s">
        <v>51</v>
      </c>
    </row>
    <row r="76" spans="1:17" x14ac:dyDescent="0.2">
      <c r="A76">
        <v>75</v>
      </c>
      <c r="B76">
        <v>749</v>
      </c>
      <c r="C76">
        <v>240</v>
      </c>
      <c r="D76">
        <v>0.33430563028909699</v>
      </c>
      <c r="E76">
        <v>109.682390111906</v>
      </c>
      <c r="F76">
        <v>1.9294804894301101</v>
      </c>
      <c r="G76">
        <v>-1816.2121679038416</v>
      </c>
      <c r="H76">
        <v>-1496.8517036309099</v>
      </c>
      <c r="I76">
        <v>312.44258453471099</v>
      </c>
      <c r="J76">
        <v>160.017244947086</v>
      </c>
      <c r="K76">
        <v>56.845555429431599</v>
      </c>
      <c r="L76">
        <v>0.82860559711949933</v>
      </c>
      <c r="M76">
        <v>-0.82834928605897251</v>
      </c>
      <c r="N76">
        <v>47.090207766483701</v>
      </c>
      <c r="O76">
        <v>47.090202051317902</v>
      </c>
      <c r="P76">
        <v>47.090192757765202</v>
      </c>
      <c r="Q76" t="s">
        <v>51</v>
      </c>
    </row>
    <row r="77" spans="1:17" x14ac:dyDescent="0.2">
      <c r="A77">
        <v>76</v>
      </c>
      <c r="B77">
        <v>748</v>
      </c>
      <c r="C77">
        <v>240</v>
      </c>
      <c r="D77">
        <v>0.33358517357881101</v>
      </c>
      <c r="E77">
        <v>109.682421648287</v>
      </c>
      <c r="F77">
        <v>1.93011910240993</v>
      </c>
      <c r="G77">
        <v>-1815.9003278720311</v>
      </c>
      <c r="H77">
        <v>-1497.0441514686804</v>
      </c>
      <c r="I77">
        <v>312.25471862926901</v>
      </c>
      <c r="J77">
        <v>160.02402563632</v>
      </c>
      <c r="K77">
        <v>56.826763442389797</v>
      </c>
      <c r="L77">
        <v>0.82705606774799878</v>
      </c>
      <c r="M77">
        <v>-0.82679936933297704</v>
      </c>
      <c r="N77">
        <v>46.986562654639201</v>
      </c>
      <c r="O77">
        <v>46.986556840148303</v>
      </c>
      <c r="P77">
        <v>46.986547534848597</v>
      </c>
      <c r="Q77" t="s">
        <v>51</v>
      </c>
    </row>
    <row r="78" spans="1:17" x14ac:dyDescent="0.2">
      <c r="A78">
        <v>77</v>
      </c>
      <c r="B78">
        <v>747</v>
      </c>
      <c r="C78">
        <v>240</v>
      </c>
      <c r="D78">
        <v>0.33286330441601902</v>
      </c>
      <c r="E78">
        <v>109.68245330786</v>
      </c>
      <c r="F78">
        <v>1.93075922789573</v>
      </c>
      <c r="G78">
        <v>-1815.5886776732073</v>
      </c>
      <c r="H78">
        <v>-1497.2364583898786</v>
      </c>
      <c r="I78">
        <v>312.066808598401</v>
      </c>
      <c r="J78">
        <v>160.03076128849401</v>
      </c>
      <c r="K78">
        <v>56.807939448462101</v>
      </c>
      <c r="L78">
        <v>0.82551440394847098</v>
      </c>
      <c r="M78">
        <v>-0.82525732336650037</v>
      </c>
      <c r="N78">
        <v>46.883396446373197</v>
      </c>
      <c r="O78">
        <v>46.883390532076199</v>
      </c>
      <c r="P78">
        <v>46.883381215287102</v>
      </c>
      <c r="Q78" t="s">
        <v>51</v>
      </c>
    </row>
    <row r="79" spans="1:17" x14ac:dyDescent="0.2">
      <c r="A79">
        <v>78</v>
      </c>
      <c r="B79">
        <v>746</v>
      </c>
      <c r="C79">
        <v>240</v>
      </c>
      <c r="D79">
        <v>0.33214001864298798</v>
      </c>
      <c r="E79">
        <v>109.682436172986</v>
      </c>
      <c r="F79">
        <v>1.90794803273504</v>
      </c>
      <c r="G79">
        <v>-1815.2784478731485</v>
      </c>
      <c r="H79">
        <v>-1501.4798328337417</v>
      </c>
      <c r="I79">
        <v>307.90581249654701</v>
      </c>
      <c r="J79">
        <v>160.095561631284</v>
      </c>
      <c r="K79">
        <v>57.487119298399698</v>
      </c>
      <c r="L79">
        <v>0.61550153950029451</v>
      </c>
      <c r="M79">
        <v>-0.61516464564448259</v>
      </c>
      <c r="N79">
        <v>35.366976205670703</v>
      </c>
      <c r="O79">
        <v>35.3669685332626</v>
      </c>
      <c r="P79">
        <v>35.366956305885701</v>
      </c>
      <c r="Q79" t="s">
        <v>51</v>
      </c>
    </row>
    <row r="80" spans="1:17" x14ac:dyDescent="0.2">
      <c r="A80">
        <v>79</v>
      </c>
      <c r="B80">
        <v>745</v>
      </c>
      <c r="C80">
        <v>240</v>
      </c>
      <c r="D80">
        <v>0.33141531208564601</v>
      </c>
      <c r="E80">
        <v>109.682410811146</v>
      </c>
      <c r="F80">
        <v>1.8937547416425</v>
      </c>
      <c r="G80">
        <v>-1814.9716316545839</v>
      </c>
      <c r="H80">
        <v>-1504.3360848801285</v>
      </c>
      <c r="I80">
        <v>305.10210008270002</v>
      </c>
      <c r="J80">
        <v>160.14150987679599</v>
      </c>
      <c r="K80">
        <v>57.917959701590597</v>
      </c>
      <c r="L80">
        <v>0.47935283882474577</v>
      </c>
      <c r="M80">
        <v>-0.47896474579642029</v>
      </c>
      <c r="N80">
        <v>27.744049494919299</v>
      </c>
      <c r="O80">
        <v>27.744040603527399</v>
      </c>
      <c r="P80">
        <v>27.7440264760064</v>
      </c>
      <c r="Q80" t="s">
        <v>51</v>
      </c>
    </row>
    <row r="81" spans="1:17" x14ac:dyDescent="0.2">
      <c r="A81">
        <v>80</v>
      </c>
      <c r="B81">
        <v>744</v>
      </c>
      <c r="C81">
        <v>240</v>
      </c>
      <c r="D81">
        <v>0.33068918055350899</v>
      </c>
      <c r="E81">
        <v>109.690471096431</v>
      </c>
      <c r="F81">
        <v>1.8665305846975599</v>
      </c>
      <c r="G81">
        <v>-1814.8004489292248</v>
      </c>
      <c r="H81">
        <v>-1509.8163536158952</v>
      </c>
      <c r="I81">
        <v>299.84694659341</v>
      </c>
      <c r="J81">
        <v>160.16119694748701</v>
      </c>
      <c r="K81">
        <v>58.7670365520448</v>
      </c>
      <c r="L81">
        <v>0.22781872988888646</v>
      </c>
      <c r="M81">
        <v>-0.22733545461759547</v>
      </c>
      <c r="N81">
        <v>13.3640903471961</v>
      </c>
      <c r="O81">
        <v>13.364079194803001</v>
      </c>
      <c r="P81">
        <v>13.3640614487039</v>
      </c>
      <c r="Q81" t="s">
        <v>51</v>
      </c>
    </row>
    <row r="82" spans="1:17" x14ac:dyDescent="0.2">
      <c r="A82">
        <v>81</v>
      </c>
      <c r="B82">
        <v>743</v>
      </c>
      <c r="C82">
        <v>240</v>
      </c>
      <c r="D82">
        <v>0.32996161983958999</v>
      </c>
      <c r="E82">
        <v>109.690954670919</v>
      </c>
      <c r="F82">
        <v>1.85370848762421</v>
      </c>
      <c r="G82">
        <v>-1814.5102280769568</v>
      </c>
      <c r="H82">
        <v>-1512.6314861892936</v>
      </c>
      <c r="I82">
        <v>297.08656062785201</v>
      </c>
      <c r="J82">
        <v>160.17311773017201</v>
      </c>
      <c r="K82">
        <v>59.173788868768497</v>
      </c>
      <c r="L82">
        <v>0.1033526774520747</v>
      </c>
      <c r="M82">
        <v>-0.10282250180121869</v>
      </c>
      <c r="N82">
        <v>6.0890865654177002</v>
      </c>
      <c r="O82">
        <v>6.0890741740761403</v>
      </c>
      <c r="P82">
        <v>6.0890546134927401</v>
      </c>
      <c r="Q82" t="s">
        <v>51</v>
      </c>
    </row>
    <row r="83" spans="1:17" x14ac:dyDescent="0.2">
      <c r="A83">
        <v>82</v>
      </c>
      <c r="B83">
        <v>742</v>
      </c>
      <c r="C83">
        <v>240</v>
      </c>
      <c r="D83">
        <v>0.32923262572033701</v>
      </c>
      <c r="E83">
        <v>109.691116356915</v>
      </c>
      <c r="F83">
        <v>1.8509397263620999</v>
      </c>
      <c r="G83">
        <v>-1814.2162525482011</v>
      </c>
      <c r="H83">
        <v>-1513.512861662301</v>
      </c>
      <c r="I83">
        <v>296.221547116176</v>
      </c>
      <c r="J83">
        <v>160.20816482203401</v>
      </c>
      <c r="K83">
        <v>59.262392391623401</v>
      </c>
      <c r="L83">
        <v>6.9991919949075318E-2</v>
      </c>
      <c r="M83">
        <v>-6.9449409244447591E-2</v>
      </c>
      <c r="N83">
        <v>4.1205322872681203</v>
      </c>
      <c r="O83">
        <v>4.12051943960914</v>
      </c>
      <c r="P83">
        <v>4.1204994044705101</v>
      </c>
      <c r="Q83" t="s">
        <v>51</v>
      </c>
    </row>
    <row r="84" spans="1:17" x14ac:dyDescent="0.2">
      <c r="A84">
        <v>83</v>
      </c>
      <c r="B84">
        <v>757</v>
      </c>
      <c r="C84">
        <v>220</v>
      </c>
      <c r="D84">
        <v>0.36137504246954599</v>
      </c>
      <c r="E84">
        <v>109.68230166758001</v>
      </c>
      <c r="F84">
        <v>1.8916619323321999</v>
      </c>
      <c r="G84">
        <v>-1819.8657742164544</v>
      </c>
      <c r="H84">
        <v>-1496.0724698927781</v>
      </c>
      <c r="I84">
        <v>314.31943460163598</v>
      </c>
      <c r="J84">
        <v>160.64386378857299</v>
      </c>
      <c r="K84">
        <v>57.981978594005</v>
      </c>
      <c r="L84">
        <v>0.8230504723351596</v>
      </c>
      <c r="M84">
        <v>-0.8227460522199036</v>
      </c>
      <c r="N84">
        <v>47.707399514885402</v>
      </c>
      <c r="O84">
        <v>47.7073953206881</v>
      </c>
      <c r="P84">
        <v>47.707382800044797</v>
      </c>
      <c r="Q84" t="s">
        <v>51</v>
      </c>
    </row>
    <row r="85" spans="1:17" x14ac:dyDescent="0.2">
      <c r="A85">
        <v>84</v>
      </c>
      <c r="B85">
        <v>756</v>
      </c>
      <c r="C85">
        <v>220</v>
      </c>
      <c r="D85">
        <v>0.36068648885002402</v>
      </c>
      <c r="E85">
        <v>109.682330074012</v>
      </c>
      <c r="F85">
        <v>1.89233638011266</v>
      </c>
      <c r="G85">
        <v>-1819.5519960155316</v>
      </c>
      <c r="H85">
        <v>-1496.2513384664305</v>
      </c>
      <c r="I85">
        <v>314.14616169731403</v>
      </c>
      <c r="J85">
        <v>160.64884226052399</v>
      </c>
      <c r="K85">
        <v>57.961328243069701</v>
      </c>
      <c r="L85">
        <v>0.82227199945456875</v>
      </c>
      <c r="M85">
        <v>-0.82196738384571122</v>
      </c>
      <c r="N85">
        <v>47.6452713713566</v>
      </c>
      <c r="O85">
        <v>47.645267057861098</v>
      </c>
      <c r="P85">
        <v>47.645254529315899</v>
      </c>
      <c r="Q85" t="s">
        <v>51</v>
      </c>
    </row>
    <row r="86" spans="1:17" x14ac:dyDescent="0.2">
      <c r="A86">
        <v>85</v>
      </c>
      <c r="B86">
        <v>755</v>
      </c>
      <c r="C86">
        <v>220</v>
      </c>
      <c r="D86">
        <v>0.35999659582745702</v>
      </c>
      <c r="E86">
        <v>109.68236097038201</v>
      </c>
      <c r="F86">
        <v>1.8930059757180799</v>
      </c>
      <c r="G86">
        <v>-1819.2384421332251</v>
      </c>
      <c r="H86">
        <v>-1496.4440336712323</v>
      </c>
      <c r="I86">
        <v>313.95932410379902</v>
      </c>
      <c r="J86">
        <v>160.65781937889901</v>
      </c>
      <c r="K86">
        <v>57.940842436472401</v>
      </c>
      <c r="L86">
        <v>0.82076587871236206</v>
      </c>
      <c r="M86">
        <v>-0.82046082329542758</v>
      </c>
      <c r="N86">
        <v>47.541138225226703</v>
      </c>
      <c r="O86">
        <v>47.541133788140002</v>
      </c>
      <c r="P86">
        <v>47.541121241704403</v>
      </c>
      <c r="Q86" t="s">
        <v>51</v>
      </c>
    </row>
    <row r="87" spans="1:17" x14ac:dyDescent="0.2">
      <c r="A87">
        <v>86</v>
      </c>
      <c r="B87">
        <v>754</v>
      </c>
      <c r="C87">
        <v>220</v>
      </c>
      <c r="D87">
        <v>0.35930535948985198</v>
      </c>
      <c r="E87">
        <v>109.68239198675801</v>
      </c>
      <c r="F87">
        <v>1.89367733659435</v>
      </c>
      <c r="G87">
        <v>-1818.9250770082124</v>
      </c>
      <c r="H87">
        <v>-1496.6365914721432</v>
      </c>
      <c r="I87">
        <v>313.77244022276301</v>
      </c>
      <c r="J87">
        <v>160.666766507913</v>
      </c>
      <c r="K87">
        <v>57.9203171877286</v>
      </c>
      <c r="L87">
        <v>0.81926751355495075</v>
      </c>
      <c r="M87">
        <v>-0.81896202407536156</v>
      </c>
      <c r="N87">
        <v>47.437483971556397</v>
      </c>
      <c r="O87">
        <v>47.437479410041497</v>
      </c>
      <c r="P87">
        <v>47.437466846027</v>
      </c>
      <c r="Q87" t="s">
        <v>51</v>
      </c>
    </row>
    <row r="88" spans="1:17" x14ac:dyDescent="0.2">
      <c r="A88">
        <v>87</v>
      </c>
      <c r="B88">
        <v>753</v>
      </c>
      <c r="C88">
        <v>220</v>
      </c>
      <c r="D88">
        <v>0.35861277590995699</v>
      </c>
      <c r="E88">
        <v>109.682423123669</v>
      </c>
      <c r="F88">
        <v>1.89435044764125</v>
      </c>
      <c r="G88">
        <v>-1818.6119006957106</v>
      </c>
      <c r="H88">
        <v>-1496.8290129859224</v>
      </c>
      <c r="I88">
        <v>313.58550888462997</v>
      </c>
      <c r="J88">
        <v>160.67568306891999</v>
      </c>
      <c r="K88">
        <v>57.8997530579624</v>
      </c>
      <c r="L88">
        <v>0.8177768377732626</v>
      </c>
      <c r="M88">
        <v>-0.81747091996468768</v>
      </c>
      <c r="N88">
        <v>47.334304934973702</v>
      </c>
      <c r="O88">
        <v>47.334300248199902</v>
      </c>
      <c r="P88">
        <v>47.334287666919103</v>
      </c>
      <c r="Q88" t="s">
        <v>51</v>
      </c>
    </row>
    <row r="89" spans="1:17" x14ac:dyDescent="0.2">
      <c r="A89">
        <v>88</v>
      </c>
      <c r="B89">
        <v>752</v>
      </c>
      <c r="C89">
        <v>220</v>
      </c>
      <c r="D89">
        <v>0.35791884114519901</v>
      </c>
      <c r="E89">
        <v>109.682454381691</v>
      </c>
      <c r="F89">
        <v>1.8950252938244201</v>
      </c>
      <c r="G89">
        <v>-1818.2989132528755</v>
      </c>
      <c r="H89">
        <v>-1497.0212993176012</v>
      </c>
      <c r="I89">
        <v>313.39852892859801</v>
      </c>
      <c r="J89">
        <v>160.684568478307</v>
      </c>
      <c r="K89">
        <v>57.879150605075701</v>
      </c>
      <c r="L89">
        <v>0.8162937858540793</v>
      </c>
      <c r="M89">
        <v>-0.81598744543859647</v>
      </c>
      <c r="N89">
        <v>47.231597478050297</v>
      </c>
      <c r="O89">
        <v>47.231592665193403</v>
      </c>
      <c r="P89">
        <v>47.231580066959403</v>
      </c>
      <c r="Q89" t="s">
        <v>51</v>
      </c>
    </row>
    <row r="90" spans="1:17" x14ac:dyDescent="0.2">
      <c r="A90">
        <v>89</v>
      </c>
      <c r="B90">
        <v>751</v>
      </c>
      <c r="C90">
        <v>220</v>
      </c>
      <c r="D90">
        <v>0.35722355123761301</v>
      </c>
      <c r="E90">
        <v>109.682486312178</v>
      </c>
      <c r="F90">
        <v>1.8928351372618299</v>
      </c>
      <c r="G90">
        <v>-1817.9863056852062</v>
      </c>
      <c r="H90">
        <v>-1497.5976141653239</v>
      </c>
      <c r="I90">
        <v>312.83666484398901</v>
      </c>
      <c r="J90">
        <v>160.71468358514301</v>
      </c>
      <c r="K90">
        <v>57.946138125290801</v>
      </c>
      <c r="L90">
        <v>0.79576915504300305</v>
      </c>
      <c r="M90">
        <v>-0.79545353694341436</v>
      </c>
      <c r="N90">
        <v>46.096481902975498</v>
      </c>
      <c r="O90">
        <v>46.096476841917102</v>
      </c>
      <c r="P90">
        <v>46.096463856354397</v>
      </c>
      <c r="Q90" t="s">
        <v>51</v>
      </c>
    </row>
    <row r="91" spans="1:17" x14ac:dyDescent="0.2">
      <c r="A91">
        <v>90</v>
      </c>
      <c r="B91">
        <v>750</v>
      </c>
      <c r="C91">
        <v>220</v>
      </c>
      <c r="D91">
        <v>0.356526902213751</v>
      </c>
      <c r="E91">
        <v>109.682495026767</v>
      </c>
      <c r="F91">
        <v>1.88062209861692</v>
      </c>
      <c r="G91">
        <v>-1817.6742449482786</v>
      </c>
      <c r="H91">
        <v>-1499.8993050610798</v>
      </c>
      <c r="I91">
        <v>310.58823473519999</v>
      </c>
      <c r="J91">
        <v>160.70687202883201</v>
      </c>
      <c r="K91">
        <v>58.322453568652101</v>
      </c>
      <c r="L91">
        <v>0.68623179015596192</v>
      </c>
      <c r="M91">
        <v>-0.68587115216054084</v>
      </c>
      <c r="N91">
        <v>40.0051463445607</v>
      </c>
      <c r="O91">
        <v>40.005140503158501</v>
      </c>
      <c r="P91">
        <v>40.005125637302498</v>
      </c>
      <c r="Q91" t="s">
        <v>51</v>
      </c>
    </row>
    <row r="92" spans="1:17" x14ac:dyDescent="0.2">
      <c r="A92">
        <v>91</v>
      </c>
      <c r="B92">
        <v>749</v>
      </c>
      <c r="C92">
        <v>220</v>
      </c>
      <c r="D92">
        <v>0.35582889008462698</v>
      </c>
      <c r="E92">
        <v>109.682469191116</v>
      </c>
      <c r="F92">
        <v>1.8626016965768799</v>
      </c>
      <c r="G92">
        <v>-1817.3650342880157</v>
      </c>
      <c r="H92">
        <v>-1503.3085187253339</v>
      </c>
      <c r="I92">
        <v>307.25488178900002</v>
      </c>
      <c r="J92">
        <v>160.666261044679</v>
      </c>
      <c r="K92">
        <v>58.886701001450099</v>
      </c>
      <c r="L92">
        <v>0.52207327333884646</v>
      </c>
      <c r="M92">
        <v>-0.52164621292663993</v>
      </c>
      <c r="N92">
        <v>30.722137654682999</v>
      </c>
      <c r="O92">
        <v>30.722130662761298</v>
      </c>
      <c r="P92">
        <v>30.722112980620199</v>
      </c>
      <c r="Q92" t="s">
        <v>51</v>
      </c>
    </row>
    <row r="93" spans="1:17" x14ac:dyDescent="0.2">
      <c r="A93">
        <v>92</v>
      </c>
      <c r="B93">
        <v>748</v>
      </c>
      <c r="C93">
        <v>220</v>
      </c>
      <c r="D93">
        <v>0.355129510845618</v>
      </c>
      <c r="E93">
        <v>109.6878015513</v>
      </c>
      <c r="F93">
        <v>1.83879616216057</v>
      </c>
      <c r="G93">
        <v>-1817.1461949276495</v>
      </c>
      <c r="H93">
        <v>-1507.9484873420313</v>
      </c>
      <c r="I93">
        <v>302.79845040558098</v>
      </c>
      <c r="J93">
        <v>160.569460462905</v>
      </c>
      <c r="K93">
        <v>59.651963501173398</v>
      </c>
      <c r="L93">
        <v>0.30833946567611648</v>
      </c>
      <c r="M93">
        <v>-0.30782570754710825</v>
      </c>
      <c r="N93">
        <v>18.3673955623841</v>
      </c>
      <c r="O93">
        <v>18.367387024655201</v>
      </c>
      <c r="P93">
        <v>18.367365578653899</v>
      </c>
      <c r="Q93" t="s">
        <v>51</v>
      </c>
    </row>
    <row r="94" spans="1:17" x14ac:dyDescent="0.2">
      <c r="A94">
        <v>93</v>
      </c>
      <c r="B94">
        <v>747</v>
      </c>
      <c r="C94">
        <v>220</v>
      </c>
      <c r="D94">
        <v>0.35442876047640198</v>
      </c>
      <c r="E94">
        <v>109.691218051555</v>
      </c>
      <c r="F94">
        <v>1.82106145142756</v>
      </c>
      <c r="G94">
        <v>-1816.9008755680361</v>
      </c>
      <c r="H94">
        <v>-1511.6092277271284</v>
      </c>
      <c r="I94">
        <v>299.26702224635301</v>
      </c>
      <c r="J94">
        <v>160.48099952219999</v>
      </c>
      <c r="K94">
        <v>60.234770202601801</v>
      </c>
      <c r="L94">
        <v>0.14604869634374926</v>
      </c>
      <c r="M94">
        <v>-0.14546919297818986</v>
      </c>
      <c r="N94">
        <v>8.7679630269577107</v>
      </c>
      <c r="O94">
        <v>8.7679531999924407</v>
      </c>
      <c r="P94">
        <v>8.7679288360978003</v>
      </c>
      <c r="Q94" t="s">
        <v>51</v>
      </c>
    </row>
    <row r="95" spans="1:17" x14ac:dyDescent="0.2">
      <c r="A95">
        <v>94</v>
      </c>
      <c r="B95">
        <v>746</v>
      </c>
      <c r="C95">
        <v>220</v>
      </c>
      <c r="D95">
        <v>0.35372663494088302</v>
      </c>
      <c r="E95">
        <v>109.691404740198</v>
      </c>
      <c r="F95">
        <v>1.8150229574015999</v>
      </c>
      <c r="G95">
        <v>-1816.6055234445403</v>
      </c>
      <c r="H95">
        <v>-1513.1119525203828</v>
      </c>
      <c r="I95">
        <v>297.79662961338101</v>
      </c>
      <c r="J95">
        <v>160.46507241545299</v>
      </c>
      <c r="K95">
        <v>60.435271241545699</v>
      </c>
      <c r="L95">
        <v>8.4287475638212192E-2</v>
      </c>
      <c r="M95">
        <v>-8.3683212970471654E-2</v>
      </c>
      <c r="N95">
        <v>5.0633226390327399</v>
      </c>
      <c r="O95">
        <v>5.0633121706774498</v>
      </c>
      <c r="P95">
        <v>5.0632866986084002</v>
      </c>
      <c r="Q95" t="s">
        <v>51</v>
      </c>
    </row>
    <row r="96" spans="1:17" x14ac:dyDescent="0.2">
      <c r="A96">
        <v>95</v>
      </c>
      <c r="B96">
        <v>745</v>
      </c>
      <c r="C96">
        <v>220</v>
      </c>
      <c r="D96">
        <v>0.35302313018710402</v>
      </c>
      <c r="E96">
        <v>109.69148550659</v>
      </c>
      <c r="F96">
        <v>1.8134138101713</v>
      </c>
      <c r="G96">
        <v>-1816.3093916504756</v>
      </c>
      <c r="H96">
        <v>-1513.7715621022314</v>
      </c>
      <c r="I96">
        <v>297.15050800023698</v>
      </c>
      <c r="J96">
        <v>160.48711543264699</v>
      </c>
      <c r="K96">
        <v>60.488943500562101</v>
      </c>
      <c r="L96">
        <v>6.1522101190671682E-2</v>
      </c>
      <c r="M96">
        <v>-6.0908895901992562E-2</v>
      </c>
      <c r="N96">
        <v>3.69029809728967</v>
      </c>
      <c r="O96">
        <v>3.69028724824354</v>
      </c>
      <c r="P96">
        <v>3.6902613783657401</v>
      </c>
      <c r="Q96" t="s">
        <v>51</v>
      </c>
    </row>
    <row r="97" spans="1:17" x14ac:dyDescent="0.2">
      <c r="A97">
        <v>96</v>
      </c>
      <c r="B97">
        <v>758</v>
      </c>
      <c r="C97">
        <v>200</v>
      </c>
      <c r="D97">
        <v>0.383397662803666</v>
      </c>
      <c r="E97">
        <v>109.68243412501</v>
      </c>
      <c r="F97">
        <v>1.85293491169389</v>
      </c>
      <c r="G97">
        <v>-1821.3538797831375</v>
      </c>
      <c r="H97">
        <v>-1496.6240974563577</v>
      </c>
      <c r="I97">
        <v>314.92297600737101</v>
      </c>
      <c r="J97">
        <v>161.316957708525</v>
      </c>
      <c r="K97">
        <v>59.193894741149698</v>
      </c>
      <c r="L97">
        <v>0.80340792443737652</v>
      </c>
      <c r="M97">
        <v>-0.80303899706165571</v>
      </c>
      <c r="N97">
        <v>47.5389838423146</v>
      </c>
      <c r="O97">
        <v>47.538982167135501</v>
      </c>
      <c r="P97">
        <v>47.538964880538899</v>
      </c>
      <c r="Q97" t="s">
        <v>51</v>
      </c>
    </row>
    <row r="98" spans="1:17" x14ac:dyDescent="0.2">
      <c r="A98">
        <v>97</v>
      </c>
      <c r="B98">
        <v>757</v>
      </c>
      <c r="C98">
        <v>200</v>
      </c>
      <c r="D98">
        <v>0.38273115565694399</v>
      </c>
      <c r="E98">
        <v>109.682459702459</v>
      </c>
      <c r="F98">
        <v>1.8536833073239301</v>
      </c>
      <c r="G98">
        <v>-1821.0394477156935</v>
      </c>
      <c r="H98">
        <v>-1496.7862613443672</v>
      </c>
      <c r="I98">
        <v>314.76603531542702</v>
      </c>
      <c r="J98">
        <v>161.320070445032</v>
      </c>
      <c r="K98">
        <v>59.170009930553803</v>
      </c>
      <c r="L98">
        <v>0.80358042380041506</v>
      </c>
      <c r="M98">
        <v>-0.80321160551915149</v>
      </c>
      <c r="N98">
        <v>47.5300050866269</v>
      </c>
      <c r="O98">
        <v>47.530003259195603</v>
      </c>
      <c r="P98">
        <v>47.529985974307898</v>
      </c>
      <c r="Q98" t="s">
        <v>51</v>
      </c>
    </row>
    <row r="99" spans="1:17" x14ac:dyDescent="0.2">
      <c r="A99">
        <v>98</v>
      </c>
      <c r="B99">
        <v>756</v>
      </c>
      <c r="C99">
        <v>200</v>
      </c>
      <c r="D99">
        <v>0.38206335325268598</v>
      </c>
      <c r="E99">
        <v>109.68249121269599</v>
      </c>
      <c r="F99">
        <v>1.8518226925575401</v>
      </c>
      <c r="G99">
        <v>-1820.725426510455</v>
      </c>
      <c r="H99">
        <v>-1497.3093706485074</v>
      </c>
      <c r="I99">
        <v>314.25853938774799</v>
      </c>
      <c r="J99">
        <v>161.33704273194499</v>
      </c>
      <c r="K99">
        <v>59.229477883335903</v>
      </c>
      <c r="L99">
        <v>0.7859720639229969</v>
      </c>
      <c r="M99">
        <v>-0.78559459602868675</v>
      </c>
      <c r="N99">
        <v>46.534410579332999</v>
      </c>
      <c r="O99">
        <v>46.534408567705803</v>
      </c>
      <c r="P99">
        <v>46.534390861899702</v>
      </c>
      <c r="Q99" t="s">
        <v>51</v>
      </c>
    </row>
    <row r="100" spans="1:17" x14ac:dyDescent="0.2">
      <c r="A100">
        <v>99</v>
      </c>
      <c r="B100">
        <v>755</v>
      </c>
      <c r="C100">
        <v>200</v>
      </c>
      <c r="D100">
        <v>0.38139425181150599</v>
      </c>
      <c r="E100">
        <v>109.682522190163</v>
      </c>
      <c r="F100">
        <v>1.8494844987567101</v>
      </c>
      <c r="G100">
        <v>-1820.4119513610776</v>
      </c>
      <c r="H100">
        <v>-1497.8984719106929</v>
      </c>
      <c r="I100">
        <v>313.68641570292601</v>
      </c>
      <c r="J100">
        <v>161.35739427727901</v>
      </c>
      <c r="K100">
        <v>59.3043749563166</v>
      </c>
      <c r="L100">
        <v>0.76503678492217209</v>
      </c>
      <c r="M100">
        <v>-0.76464907124958614</v>
      </c>
      <c r="N100">
        <v>45.351192058688802</v>
      </c>
      <c r="O100">
        <v>45.351189849364999</v>
      </c>
      <c r="P100">
        <v>45.351171644431197</v>
      </c>
      <c r="Q100" t="s">
        <v>51</v>
      </c>
    </row>
    <row r="101" spans="1:17" x14ac:dyDescent="0.2">
      <c r="A101">
        <v>100</v>
      </c>
      <c r="B101">
        <v>754</v>
      </c>
      <c r="C101">
        <v>200</v>
      </c>
      <c r="D101">
        <v>0.38072384753930699</v>
      </c>
      <c r="E101">
        <v>109.68253758523799</v>
      </c>
      <c r="F101">
        <v>1.8403805386946701</v>
      </c>
      <c r="G101">
        <v>-1820.0989554973871</v>
      </c>
      <c r="H101">
        <v>-1499.5863068400743</v>
      </c>
      <c r="I101">
        <v>312.04415690014599</v>
      </c>
      <c r="J101">
        <v>161.32274933231301</v>
      </c>
      <c r="K101">
        <v>59.597749095430402</v>
      </c>
      <c r="L101">
        <v>0.68776517117083313</v>
      </c>
      <c r="M101">
        <v>-0.68734267831360329</v>
      </c>
      <c r="N101">
        <v>40.968610948004198</v>
      </c>
      <c r="O101">
        <v>40.968608415556602</v>
      </c>
      <c r="P101">
        <v>40.968588524821499</v>
      </c>
      <c r="Q101" t="s">
        <v>51</v>
      </c>
    </row>
    <row r="102" spans="1:17" x14ac:dyDescent="0.2">
      <c r="A102">
        <v>101</v>
      </c>
      <c r="B102">
        <v>753</v>
      </c>
      <c r="C102">
        <v>200</v>
      </c>
      <c r="D102">
        <v>0.380052136627202</v>
      </c>
      <c r="E102">
        <v>109.682511901949</v>
      </c>
      <c r="F102">
        <v>1.82128564687568</v>
      </c>
      <c r="G102">
        <v>-1819.7882821897874</v>
      </c>
      <c r="H102">
        <v>-1502.9993295522743</v>
      </c>
      <c r="I102">
        <v>308.720052440274</v>
      </c>
      <c r="J102">
        <v>161.18722352139301</v>
      </c>
      <c r="K102">
        <v>60.2225752396959</v>
      </c>
      <c r="L102">
        <v>0.52450569690297311</v>
      </c>
      <c r="M102">
        <v>-0.52401150502726734</v>
      </c>
      <c r="N102">
        <v>31.562655167517502</v>
      </c>
      <c r="O102">
        <v>31.562652086259099</v>
      </c>
      <c r="P102">
        <v>31.562628675183699</v>
      </c>
      <c r="Q102" t="s">
        <v>51</v>
      </c>
    </row>
    <row r="103" spans="1:17" x14ac:dyDescent="0.2">
      <c r="A103">
        <v>102</v>
      </c>
      <c r="B103">
        <v>752</v>
      </c>
      <c r="C103">
        <v>200</v>
      </c>
      <c r="D103">
        <v>0.37937911525142798</v>
      </c>
      <c r="E103">
        <v>109.682486294629</v>
      </c>
      <c r="F103">
        <v>1.80978193997523</v>
      </c>
      <c r="G103">
        <v>-1819.4802991043516</v>
      </c>
      <c r="H103">
        <v>-1505.234551154568</v>
      </c>
      <c r="I103">
        <v>306.54077231904301</v>
      </c>
      <c r="J103">
        <v>161.112329999351</v>
      </c>
      <c r="K103">
        <v>60.605360166280803</v>
      </c>
      <c r="L103">
        <v>0.42234897178216951</v>
      </c>
      <c r="M103">
        <v>-0.42181006539956017</v>
      </c>
      <c r="N103">
        <v>25.5697823164227</v>
      </c>
      <c r="O103">
        <v>25.569778775407599</v>
      </c>
      <c r="P103">
        <v>25.569753129930699</v>
      </c>
      <c r="Q103" t="s">
        <v>51</v>
      </c>
    </row>
    <row r="104" spans="1:17" x14ac:dyDescent="0.2">
      <c r="A104">
        <v>103</v>
      </c>
      <c r="B104">
        <v>751</v>
      </c>
      <c r="C104">
        <v>200</v>
      </c>
      <c r="D104">
        <v>0.378704779573308</v>
      </c>
      <c r="E104">
        <v>109.69145936787601</v>
      </c>
      <c r="F104">
        <v>1.7798283487687101</v>
      </c>
      <c r="G104">
        <v>-1819.3237229328606</v>
      </c>
      <c r="H104">
        <v>-1510.9136774944379</v>
      </c>
      <c r="I104">
        <v>301.14297275225601</v>
      </c>
      <c r="J104">
        <v>160.79032956684</v>
      </c>
      <c r="K104">
        <v>61.630358592591897</v>
      </c>
      <c r="L104">
        <v>0.16988570671388797</v>
      </c>
      <c r="M104">
        <v>-0.16923572862501779</v>
      </c>
      <c r="N104">
        <v>10.4371765579608</v>
      </c>
      <c r="O104">
        <v>10.4371720957023</v>
      </c>
      <c r="P104">
        <v>10.4371407634855</v>
      </c>
      <c r="Q104" t="s">
        <v>51</v>
      </c>
    </row>
    <row r="105" spans="1:17" x14ac:dyDescent="0.2">
      <c r="A105">
        <v>104</v>
      </c>
      <c r="B105">
        <v>750</v>
      </c>
      <c r="C105">
        <v>200</v>
      </c>
      <c r="D105">
        <v>0.37802912573913899</v>
      </c>
      <c r="E105">
        <v>109.69172751098699</v>
      </c>
      <c r="F105">
        <v>1.77168429291616</v>
      </c>
      <c r="G105">
        <v>-1819.0279750995358</v>
      </c>
      <c r="H105">
        <v>-1512.7476080504337</v>
      </c>
      <c r="I105">
        <v>299.35611192308897</v>
      </c>
      <c r="J105">
        <v>160.707334067772</v>
      </c>
      <c r="K105">
        <v>61.913811591362098</v>
      </c>
      <c r="L105">
        <v>9.3640124267357794E-2</v>
      </c>
      <c r="M105">
        <v>-9.2956880514027021E-2</v>
      </c>
      <c r="N105">
        <v>5.76280985002224</v>
      </c>
      <c r="O105">
        <v>5.7628048903865299</v>
      </c>
      <c r="P105">
        <v>5.7627718206135903</v>
      </c>
      <c r="Q105" t="s">
        <v>51</v>
      </c>
    </row>
    <row r="106" spans="1:17" x14ac:dyDescent="0.2">
      <c r="A106">
        <v>105</v>
      </c>
      <c r="B106">
        <v>749</v>
      </c>
      <c r="C106">
        <v>200</v>
      </c>
      <c r="D106">
        <v>0.37735214988015597</v>
      </c>
      <c r="E106">
        <v>109.69178899174101</v>
      </c>
      <c r="F106">
        <v>1.7693973164052199</v>
      </c>
      <c r="G106">
        <v>-1818.7300389821323</v>
      </c>
      <c r="H106">
        <v>-1513.5265297331612</v>
      </c>
      <c r="I106">
        <v>298.595569617222</v>
      </c>
      <c r="J106">
        <v>160.704441274342</v>
      </c>
      <c r="K106">
        <v>61.993871006086401</v>
      </c>
      <c r="L106">
        <v>6.576855043259501E-2</v>
      </c>
      <c r="M106">
        <v>-6.5073312739738431E-2</v>
      </c>
      <c r="N106">
        <v>4.0417642211550397</v>
      </c>
      <c r="O106">
        <v>4.0417588892961804</v>
      </c>
      <c r="P106">
        <v>4.0417251897808004</v>
      </c>
      <c r="Q106" t="s">
        <v>51</v>
      </c>
    </row>
    <row r="107" spans="1:17" x14ac:dyDescent="0.2">
      <c r="A107">
        <v>106</v>
      </c>
      <c r="B107">
        <v>765</v>
      </c>
      <c r="C107">
        <v>180</v>
      </c>
      <c r="D107">
        <v>0.409218802677841</v>
      </c>
      <c r="E107">
        <v>109.682416916897</v>
      </c>
      <c r="F107">
        <v>1.80177829842625</v>
      </c>
      <c r="G107">
        <v>-1824.7636539391697</v>
      </c>
      <c r="H107">
        <v>-1496.1561333169559</v>
      </c>
      <c r="I107">
        <v>316.53494084675799</v>
      </c>
      <c r="J107">
        <v>161.91409357672501</v>
      </c>
      <c r="K107">
        <v>60.874535459050797</v>
      </c>
      <c r="L107">
        <v>0.77904155952151855</v>
      </c>
      <c r="M107">
        <v>-0.77858953557842947</v>
      </c>
      <c r="N107">
        <v>47.401869807983303</v>
      </c>
      <c r="O107">
        <v>47.401874936974799</v>
      </c>
      <c r="P107">
        <v>47.401850732818403</v>
      </c>
      <c r="Q107" t="s">
        <v>51</v>
      </c>
    </row>
    <row r="108" spans="1:17" x14ac:dyDescent="0.2">
      <c r="A108">
        <v>107</v>
      </c>
      <c r="B108">
        <v>764</v>
      </c>
      <c r="C108">
        <v>180</v>
      </c>
      <c r="D108">
        <v>0.40858169020874802</v>
      </c>
      <c r="E108">
        <v>109.68244069532</v>
      </c>
      <c r="F108">
        <v>1.8024240659589501</v>
      </c>
      <c r="G108">
        <v>-1824.4475824212627</v>
      </c>
      <c r="H108">
        <v>-1496.3351784352324</v>
      </c>
      <c r="I108">
        <v>316.362759548074</v>
      </c>
      <c r="J108">
        <v>161.91828676202999</v>
      </c>
      <c r="K108">
        <v>60.852738690528803</v>
      </c>
      <c r="L108">
        <v>0.77850891543574219</v>
      </c>
      <c r="M108">
        <v>-0.77805648590348919</v>
      </c>
      <c r="N108">
        <v>47.352451988706498</v>
      </c>
      <c r="O108">
        <v>47.352456941846498</v>
      </c>
      <c r="P108">
        <v>47.352432704885501</v>
      </c>
      <c r="Q108" t="s">
        <v>51</v>
      </c>
    </row>
    <row r="109" spans="1:17" x14ac:dyDescent="0.2">
      <c r="A109">
        <v>108</v>
      </c>
      <c r="B109">
        <v>763</v>
      </c>
      <c r="C109">
        <v>180</v>
      </c>
      <c r="D109">
        <v>0.40794334797085602</v>
      </c>
      <c r="E109">
        <v>109.682459539779</v>
      </c>
      <c r="F109">
        <v>1.8023016893253001</v>
      </c>
      <c r="G109">
        <v>-1824.1316429085277</v>
      </c>
      <c r="H109">
        <v>-1496.5839947851309</v>
      </c>
      <c r="I109">
        <v>316.123050755409</v>
      </c>
      <c r="J109">
        <v>161.911728338616</v>
      </c>
      <c r="K109">
        <v>60.856881059041697</v>
      </c>
      <c r="L109">
        <v>0.77474548217912032</v>
      </c>
      <c r="M109">
        <v>-0.77429067264604667</v>
      </c>
      <c r="N109">
        <v>47.126515773829198</v>
      </c>
      <c r="O109">
        <v>47.126520575367799</v>
      </c>
      <c r="P109">
        <v>47.126496193453903</v>
      </c>
      <c r="Q109" t="s">
        <v>51</v>
      </c>
    </row>
    <row r="110" spans="1:17" x14ac:dyDescent="0.2">
      <c r="A110">
        <v>109</v>
      </c>
      <c r="B110">
        <v>762</v>
      </c>
      <c r="C110">
        <v>180</v>
      </c>
      <c r="D110">
        <v>0.40730377240013699</v>
      </c>
      <c r="E110">
        <v>109.68247834148301</v>
      </c>
      <c r="F110">
        <v>1.8021834597925499</v>
      </c>
      <c r="G110">
        <v>-1823.8159425284734</v>
      </c>
      <c r="H110">
        <v>-1496.8328835406328</v>
      </c>
      <c r="I110">
        <v>315.883039928416</v>
      </c>
      <c r="J110">
        <v>161.90595727064999</v>
      </c>
      <c r="K110">
        <v>60.860883915841299</v>
      </c>
      <c r="L110">
        <v>0.77096946516710951</v>
      </c>
      <c r="M110">
        <v>-0.77051227551304224</v>
      </c>
      <c r="N110">
        <v>46.899674855004299</v>
      </c>
      <c r="O110">
        <v>46.899679501561003</v>
      </c>
      <c r="P110">
        <v>46.899654974528801</v>
      </c>
      <c r="Q110" t="s">
        <v>51</v>
      </c>
    </row>
    <row r="111" spans="1:17" x14ac:dyDescent="0.2">
      <c r="A111">
        <v>110</v>
      </c>
      <c r="B111">
        <v>761</v>
      </c>
      <c r="C111">
        <v>180</v>
      </c>
      <c r="D111">
        <v>0.40666295991877599</v>
      </c>
      <c r="E111">
        <v>109.682501663454</v>
      </c>
      <c r="F111">
        <v>1.80126061895281</v>
      </c>
      <c r="G111">
        <v>-1823.5005773572807</v>
      </c>
      <c r="H111">
        <v>-1497.1992939290649</v>
      </c>
      <c r="I111">
        <v>315.52927004283299</v>
      </c>
      <c r="J111">
        <v>161.90519714388401</v>
      </c>
      <c r="K111">
        <v>60.892077753423202</v>
      </c>
      <c r="L111">
        <v>0.76138568487283542</v>
      </c>
      <c r="M111">
        <v>-0.76092310847839262</v>
      </c>
      <c r="N111">
        <v>46.339860830913601</v>
      </c>
      <c r="O111">
        <v>46.339865353779999</v>
      </c>
      <c r="P111">
        <v>46.3398405128696</v>
      </c>
      <c r="Q111" t="s">
        <v>51</v>
      </c>
    </row>
    <row r="112" spans="1:17" x14ac:dyDescent="0.2">
      <c r="A112">
        <v>111</v>
      </c>
      <c r="B112">
        <v>760</v>
      </c>
      <c r="C112">
        <v>180</v>
      </c>
      <c r="D112">
        <v>0.40602090693510101</v>
      </c>
      <c r="E112">
        <v>109.68253197262899</v>
      </c>
      <c r="F112">
        <v>1.79889471764209</v>
      </c>
      <c r="G112">
        <v>-1823.1858140953111</v>
      </c>
      <c r="H112">
        <v>-1497.7757449865044</v>
      </c>
      <c r="I112">
        <v>314.97213574535698</v>
      </c>
      <c r="J112">
        <v>161.912558859835</v>
      </c>
      <c r="K112">
        <v>60.972179692870498</v>
      </c>
      <c r="L112">
        <v>0.74138684253680132</v>
      </c>
      <c r="M112">
        <v>-0.74091350797734346</v>
      </c>
      <c r="N112">
        <v>45.180907538930299</v>
      </c>
      <c r="O112">
        <v>45.180911992511902</v>
      </c>
      <c r="P112">
        <v>45.180886535046</v>
      </c>
      <c r="Q112" t="s">
        <v>51</v>
      </c>
    </row>
    <row r="113" spans="1:17" x14ac:dyDescent="0.2">
      <c r="A113">
        <v>112</v>
      </c>
      <c r="B113">
        <v>759</v>
      </c>
      <c r="C113">
        <v>180</v>
      </c>
      <c r="D113">
        <v>0.40537760984353299</v>
      </c>
      <c r="E113">
        <v>109.68256131314899</v>
      </c>
      <c r="F113">
        <v>1.79622786532683</v>
      </c>
      <c r="G113">
        <v>-1822.8716111577057</v>
      </c>
      <c r="H113">
        <v>-1498.395879070491</v>
      </c>
      <c r="I113">
        <v>314.37215071757203</v>
      </c>
      <c r="J113">
        <v>161.92037974357299</v>
      </c>
      <c r="K113">
        <v>61.062721178302098</v>
      </c>
      <c r="L113">
        <v>0.71911127211606163</v>
      </c>
      <c r="M113">
        <v>-0.71862607431351855</v>
      </c>
      <c r="N113">
        <v>43.887197801376402</v>
      </c>
      <c r="O113">
        <v>43.887202187963702</v>
      </c>
      <c r="P113">
        <v>43.887176049534801</v>
      </c>
      <c r="Q113" t="s">
        <v>51</v>
      </c>
    </row>
    <row r="114" spans="1:17" x14ac:dyDescent="0.2">
      <c r="A114">
        <v>113</v>
      </c>
      <c r="B114">
        <v>758</v>
      </c>
      <c r="C114">
        <v>180</v>
      </c>
      <c r="D114">
        <v>0.40473306502448703</v>
      </c>
      <c r="E114">
        <v>109.682556238411</v>
      </c>
      <c r="F114">
        <v>1.7801659345135801</v>
      </c>
      <c r="G114">
        <v>-1822.5581214334504</v>
      </c>
      <c r="H114">
        <v>-1501.0604785952014</v>
      </c>
      <c r="I114">
        <v>311.78934854556201</v>
      </c>
      <c r="J114">
        <v>161.745694408579</v>
      </c>
      <c r="K114">
        <v>61.6136698899262</v>
      </c>
      <c r="L114">
        <v>0.59379391164381334</v>
      </c>
      <c r="M114">
        <v>-0.59324796679502789</v>
      </c>
      <c r="N114">
        <v>36.558892283037402</v>
      </c>
      <c r="O114">
        <v>36.558897092289897</v>
      </c>
      <c r="P114">
        <v>36.5588674941039</v>
      </c>
      <c r="Q114" t="s">
        <v>51</v>
      </c>
    </row>
    <row r="115" spans="1:17" x14ac:dyDescent="0.2">
      <c r="A115">
        <v>114</v>
      </c>
      <c r="B115">
        <v>757</v>
      </c>
      <c r="C115">
        <v>180</v>
      </c>
      <c r="D115">
        <v>0.40408726884434598</v>
      </c>
      <c r="E115">
        <v>109.682531408377</v>
      </c>
      <c r="F115">
        <v>1.76448558779785</v>
      </c>
      <c r="G115">
        <v>-1822.2473256286298</v>
      </c>
      <c r="H115">
        <v>-1503.769394806337</v>
      </c>
      <c r="I115">
        <v>309.16113114090001</v>
      </c>
      <c r="J115">
        <v>161.55815681594001</v>
      </c>
      <c r="K115">
        <v>62.161194269240902</v>
      </c>
      <c r="L115">
        <v>0.4685070570945028</v>
      </c>
      <c r="M115">
        <v>-0.46790094253360892</v>
      </c>
      <c r="N115">
        <v>29.092765008147602</v>
      </c>
      <c r="O115">
        <v>29.092770190788901</v>
      </c>
      <c r="P115">
        <v>29.092737103283799</v>
      </c>
      <c r="Q115" t="s">
        <v>51</v>
      </c>
    </row>
    <row r="116" spans="1:17" x14ac:dyDescent="0.2">
      <c r="A116">
        <v>115</v>
      </c>
      <c r="B116">
        <v>756</v>
      </c>
      <c r="C116">
        <v>180</v>
      </c>
      <c r="D116">
        <v>0.40344021765534699</v>
      </c>
      <c r="E116">
        <v>109.688947554192</v>
      </c>
      <c r="F116">
        <v>1.7385750596896601</v>
      </c>
      <c r="G116">
        <v>-1822.0444732777573</v>
      </c>
      <c r="H116">
        <v>-1508.3271297168671</v>
      </c>
      <c r="I116">
        <v>304.836536731791</v>
      </c>
      <c r="J116">
        <v>161.17256878069</v>
      </c>
      <c r="K116">
        <v>63.091292459798602</v>
      </c>
      <c r="L116">
        <v>0.26625433169689278</v>
      </c>
      <c r="M116">
        <v>-0.26555093747022707</v>
      </c>
      <c r="N116">
        <v>16.762727774792101</v>
      </c>
      <c r="O116">
        <v>16.7627336563339</v>
      </c>
      <c r="P116">
        <v>16.762694787653899</v>
      </c>
      <c r="Q116" t="s">
        <v>51</v>
      </c>
    </row>
    <row r="117" spans="1:17" x14ac:dyDescent="0.2">
      <c r="A117">
        <v>116</v>
      </c>
      <c r="B117">
        <v>755</v>
      </c>
      <c r="C117">
        <v>180</v>
      </c>
      <c r="D117">
        <v>0.40279190779555302</v>
      </c>
      <c r="E117">
        <v>109.69196054807701</v>
      </c>
      <c r="F117">
        <v>1.7234683581539001</v>
      </c>
      <c r="G117">
        <v>-1821.7901411366083</v>
      </c>
      <c r="H117">
        <v>-1511.2253028819944</v>
      </c>
      <c r="I117">
        <v>302.06729932191502</v>
      </c>
      <c r="J117">
        <v>160.929130318082</v>
      </c>
      <c r="K117">
        <v>63.646054207559899</v>
      </c>
      <c r="L117">
        <v>0.14353995312733908</v>
      </c>
      <c r="M117">
        <v>-0.14277769486585143</v>
      </c>
      <c r="N117">
        <v>9.09679920561336</v>
      </c>
      <c r="O117">
        <v>9.0968053501530193</v>
      </c>
      <c r="P117">
        <v>9.0967628949555408</v>
      </c>
      <c r="Q117" t="s">
        <v>51</v>
      </c>
    </row>
    <row r="118" spans="1:17" x14ac:dyDescent="0.2">
      <c r="A118">
        <v>117</v>
      </c>
      <c r="B118">
        <v>754</v>
      </c>
      <c r="C118">
        <v>180</v>
      </c>
      <c r="D118">
        <v>0.402142335588766</v>
      </c>
      <c r="E118">
        <v>109.69207505122</v>
      </c>
      <c r="F118">
        <v>1.7171332774328301</v>
      </c>
      <c r="G118">
        <v>-1821.4907263498444</v>
      </c>
      <c r="H118">
        <v>-1512.667507112026</v>
      </c>
      <c r="I118">
        <v>300.66601715815301</v>
      </c>
      <c r="J118">
        <v>160.82967303824901</v>
      </c>
      <c r="K118">
        <v>63.880932536124398</v>
      </c>
      <c r="L118">
        <v>8.629608099916812E-2</v>
      </c>
      <c r="M118">
        <v>-8.5506478984934284E-2</v>
      </c>
      <c r="N118">
        <v>5.4721485741220901</v>
      </c>
      <c r="O118">
        <v>5.47215464063233</v>
      </c>
      <c r="P118">
        <v>5.4721104948459596</v>
      </c>
      <c r="Q118" t="s">
        <v>51</v>
      </c>
    </row>
    <row r="119" spans="1:17" x14ac:dyDescent="0.2">
      <c r="A119">
        <v>118</v>
      </c>
      <c r="B119">
        <v>753</v>
      </c>
      <c r="C119">
        <v>180</v>
      </c>
      <c r="D119">
        <v>0.401491497344444</v>
      </c>
      <c r="E119">
        <v>109.692098003414</v>
      </c>
      <c r="F119">
        <v>1.7151632576518501</v>
      </c>
      <c r="G119">
        <v>-1821.1908085069283</v>
      </c>
      <c r="H119">
        <v>-1513.3712694050469</v>
      </c>
      <c r="I119">
        <v>299.98101048617298</v>
      </c>
      <c r="J119">
        <v>160.814731144207</v>
      </c>
      <c r="K119">
        <v>63.954318933806803</v>
      </c>
      <c r="L119">
        <v>6.2296267824315896E-2</v>
      </c>
      <c r="M119">
        <v>-6.1495274128637277E-2</v>
      </c>
      <c r="N119">
        <v>3.94293324144444</v>
      </c>
      <c r="O119">
        <v>3.94293906281121</v>
      </c>
      <c r="P119">
        <v>3.9428942042158899</v>
      </c>
      <c r="Q119" t="s">
        <v>51</v>
      </c>
    </row>
    <row r="120" spans="1:17" x14ac:dyDescent="0.2">
      <c r="A120">
        <v>119</v>
      </c>
      <c r="B120">
        <v>773</v>
      </c>
      <c r="C120">
        <v>160</v>
      </c>
      <c r="D120">
        <v>0.43530134301964502</v>
      </c>
      <c r="E120">
        <v>109.68238015022899</v>
      </c>
      <c r="F120">
        <v>1.73804064636056</v>
      </c>
      <c r="G120">
        <v>-1828.5414419679505</v>
      </c>
      <c r="H120">
        <v>-1495.4587234046548</v>
      </c>
      <c r="I120">
        <v>318.39233171919199</v>
      </c>
      <c r="J120">
        <v>162.354409276198</v>
      </c>
      <c r="K120">
        <v>63.106913166791003</v>
      </c>
      <c r="L120">
        <v>0.74909601385618563</v>
      </c>
      <c r="M120">
        <v>-0.74853758368556633</v>
      </c>
      <c r="N120">
        <v>47.246024375613601</v>
      </c>
      <c r="O120">
        <v>47.246042280315201</v>
      </c>
      <c r="P120">
        <v>47.246007941230701</v>
      </c>
      <c r="Q120" t="s">
        <v>51</v>
      </c>
    </row>
    <row r="121" spans="1:17" x14ac:dyDescent="0.2">
      <c r="A121">
        <v>120</v>
      </c>
      <c r="B121">
        <v>772</v>
      </c>
      <c r="C121">
        <v>160</v>
      </c>
      <c r="D121">
        <v>0.43469406305315</v>
      </c>
      <c r="E121">
        <v>109.682401914696</v>
      </c>
      <c r="F121">
        <v>1.7385553480123199</v>
      </c>
      <c r="G121">
        <v>-1828.2234859113255</v>
      </c>
      <c r="H121">
        <v>-1495.6565255075261</v>
      </c>
      <c r="I121">
        <v>318.203498786561</v>
      </c>
      <c r="J121">
        <v>162.35737302516401</v>
      </c>
      <c r="K121">
        <v>63.088242798882</v>
      </c>
      <c r="L121">
        <v>0.74780997307286479</v>
      </c>
      <c r="M121">
        <v>-0.74725044547164887</v>
      </c>
      <c r="N121">
        <v>47.150841053361702</v>
      </c>
      <c r="O121">
        <v>47.150858810240102</v>
      </c>
      <c r="P121">
        <v>47.150824382196298</v>
      </c>
      <c r="Q121" t="s">
        <v>51</v>
      </c>
    </row>
    <row r="122" spans="1:17" x14ac:dyDescent="0.2">
      <c r="A122">
        <v>121</v>
      </c>
      <c r="B122">
        <v>771</v>
      </c>
      <c r="C122">
        <v>160</v>
      </c>
      <c r="D122">
        <v>0.43408561988220001</v>
      </c>
      <c r="E122">
        <v>109.682420210148</v>
      </c>
      <c r="F122">
        <v>1.73852307417968</v>
      </c>
      <c r="G122">
        <v>-1827.9056945928967</v>
      </c>
      <c r="H122">
        <v>-1495.9018811322371</v>
      </c>
      <c r="I122">
        <v>317.96892824005403</v>
      </c>
      <c r="J122">
        <v>162.34974815726599</v>
      </c>
      <c r="K122">
        <v>63.089424488600301</v>
      </c>
      <c r="L122">
        <v>0.7443781799681255</v>
      </c>
      <c r="M122">
        <v>-0.74381613092528842</v>
      </c>
      <c r="N122">
        <v>46.935073135903899</v>
      </c>
      <c r="O122">
        <v>46.935090792862702</v>
      </c>
      <c r="P122">
        <v>46.935056180111502</v>
      </c>
      <c r="Q122" t="s">
        <v>51</v>
      </c>
    </row>
    <row r="123" spans="1:17" x14ac:dyDescent="0.2">
      <c r="A123">
        <v>122</v>
      </c>
      <c r="B123">
        <v>770</v>
      </c>
      <c r="C123">
        <v>160</v>
      </c>
      <c r="D123">
        <v>0.43347601016152998</v>
      </c>
      <c r="E123">
        <v>109.682438475193</v>
      </c>
      <c r="F123">
        <v>1.7384954953577101</v>
      </c>
      <c r="G123">
        <v>-1827.5881374303756</v>
      </c>
      <c r="H123">
        <v>-1496.1472347484596</v>
      </c>
      <c r="I123">
        <v>317.73413437953002</v>
      </c>
      <c r="J123">
        <v>162.34285545524801</v>
      </c>
      <c r="K123">
        <v>63.090435821132402</v>
      </c>
      <c r="L123">
        <v>0.74093762740588009</v>
      </c>
      <c r="M123">
        <v>-0.74037305651297791</v>
      </c>
      <c r="N123">
        <v>46.718618122879498</v>
      </c>
      <c r="O123">
        <v>46.718635676008098</v>
      </c>
      <c r="P123">
        <v>46.718600878138297</v>
      </c>
      <c r="Q123" t="s">
        <v>51</v>
      </c>
    </row>
    <row r="124" spans="1:17" x14ac:dyDescent="0.2">
      <c r="A124">
        <v>123</v>
      </c>
      <c r="B124">
        <v>769</v>
      </c>
      <c r="C124">
        <v>160</v>
      </c>
      <c r="D124">
        <v>0.43286523053303499</v>
      </c>
      <c r="E124">
        <v>109.68245671086601</v>
      </c>
      <c r="F124">
        <v>1.73847310603029</v>
      </c>
      <c r="G124">
        <v>-1827.2708146473972</v>
      </c>
      <c r="H124">
        <v>-1496.392551051842</v>
      </c>
      <c r="I124">
        <v>317.49915064490801</v>
      </c>
      <c r="J124">
        <v>162.336698448737</v>
      </c>
      <c r="K124">
        <v>63.091258835357898</v>
      </c>
      <c r="L124">
        <v>0.73748985492465902</v>
      </c>
      <c r="M124">
        <v>-0.73692276312770588</v>
      </c>
      <c r="N124">
        <v>46.501561706728403</v>
      </c>
      <c r="O124">
        <v>46.501579152021897</v>
      </c>
      <c r="P124">
        <v>46.501544168713799</v>
      </c>
      <c r="Q124" t="s">
        <v>51</v>
      </c>
    </row>
    <row r="125" spans="1:17" x14ac:dyDescent="0.2">
      <c r="A125">
        <v>124</v>
      </c>
      <c r="B125">
        <v>768</v>
      </c>
      <c r="C125">
        <v>160</v>
      </c>
      <c r="D125">
        <v>0.43225327762570398</v>
      </c>
      <c r="E125">
        <v>109.68247491823701</v>
      </c>
      <c r="F125">
        <v>1.7384563856136299</v>
      </c>
      <c r="G125">
        <v>-1826.9537264351211</v>
      </c>
      <c r="H125">
        <v>-1496.6377956450881</v>
      </c>
      <c r="I125">
        <v>317.264009702343</v>
      </c>
      <c r="J125">
        <v>162.331280226628</v>
      </c>
      <c r="K125">
        <v>63.091876118319703</v>
      </c>
      <c r="L125">
        <v>0.73403635659001942</v>
      </c>
      <c r="M125">
        <v>-0.73346674616212282</v>
      </c>
      <c r="N125">
        <v>46.283987373235902</v>
      </c>
      <c r="O125">
        <v>46.284004706597599</v>
      </c>
      <c r="P125">
        <v>46.2839695376218</v>
      </c>
      <c r="Q125" t="s">
        <v>51</v>
      </c>
    </row>
    <row r="126" spans="1:17" x14ac:dyDescent="0.2">
      <c r="A126">
        <v>125</v>
      </c>
      <c r="B126">
        <v>767</v>
      </c>
      <c r="C126">
        <v>160</v>
      </c>
      <c r="D126">
        <v>0.43164014805557099</v>
      </c>
      <c r="E126">
        <v>109.682493098278</v>
      </c>
      <c r="F126">
        <v>1.73844579674828</v>
      </c>
      <c r="G126">
        <v>-1826.6368729509072</v>
      </c>
      <c r="H126">
        <v>-1496.8829351982349</v>
      </c>
      <c r="I126">
        <v>317.02874328517498</v>
      </c>
      <c r="J126">
        <v>162.32660345853901</v>
      </c>
      <c r="K126">
        <v>63.092270868286903</v>
      </c>
      <c r="L126">
        <v>0.73057857315871488</v>
      </c>
      <c r="M126">
        <v>-0.73000644766752976</v>
      </c>
      <c r="N126">
        <v>46.065975941485299</v>
      </c>
      <c r="O126">
        <v>46.065993158729803</v>
      </c>
      <c r="P126">
        <v>46.065957803945402</v>
      </c>
      <c r="Q126" t="s">
        <v>51</v>
      </c>
    </row>
    <row r="127" spans="1:17" x14ac:dyDescent="0.2">
      <c r="A127">
        <v>126</v>
      </c>
      <c r="B127">
        <v>766</v>
      </c>
      <c r="C127">
        <v>160</v>
      </c>
      <c r="D127">
        <v>0.43102583842564002</v>
      </c>
      <c r="E127">
        <v>109.682518690886</v>
      </c>
      <c r="F127">
        <v>1.7368744510070699</v>
      </c>
      <c r="G127">
        <v>-1826.3204390153633</v>
      </c>
      <c r="H127">
        <v>-1497.332942403307</v>
      </c>
      <c r="I127">
        <v>316.59631450298502</v>
      </c>
      <c r="J127">
        <v>162.32006021251701</v>
      </c>
      <c r="K127">
        <v>63.149365014432</v>
      </c>
      <c r="L127">
        <v>0.71712774713045269</v>
      </c>
      <c r="M127">
        <v>-0.71654741966365587</v>
      </c>
      <c r="N127">
        <v>45.257830726786601</v>
      </c>
      <c r="O127">
        <v>45.257848010756099</v>
      </c>
      <c r="P127">
        <v>45.257812093466796</v>
      </c>
      <c r="Q127" t="s">
        <v>51</v>
      </c>
    </row>
    <row r="128" spans="1:17" x14ac:dyDescent="0.2">
      <c r="A128">
        <v>127</v>
      </c>
      <c r="B128">
        <v>765</v>
      </c>
      <c r="C128">
        <v>160</v>
      </c>
      <c r="D128">
        <v>0.43041034532582101</v>
      </c>
      <c r="E128">
        <v>109.682547634306</v>
      </c>
      <c r="F128">
        <v>1.73426366366718</v>
      </c>
      <c r="G128">
        <v>-1826.0045900179007</v>
      </c>
      <c r="H128">
        <v>-1497.9200716631208</v>
      </c>
      <c r="I128">
        <v>316.03155721610301</v>
      </c>
      <c r="J128">
        <v>162.31150911267801</v>
      </c>
      <c r="K128">
        <v>63.244447734306803</v>
      </c>
      <c r="L128">
        <v>0.69692441132448413</v>
      </c>
      <c r="M128">
        <v>-0.69633208617736764</v>
      </c>
      <c r="N128">
        <v>44.047617422515302</v>
      </c>
      <c r="O128">
        <v>44.047634889405501</v>
      </c>
      <c r="P128">
        <v>44.047598155644899</v>
      </c>
      <c r="Q128" t="s">
        <v>51</v>
      </c>
    </row>
    <row r="129" spans="1:17" x14ac:dyDescent="0.2">
      <c r="A129">
        <v>128</v>
      </c>
      <c r="B129">
        <v>764</v>
      </c>
      <c r="C129">
        <v>160</v>
      </c>
      <c r="D129">
        <v>0.42979366533288699</v>
      </c>
      <c r="E129">
        <v>109.682575212548</v>
      </c>
      <c r="F129">
        <v>1.7312087563118801</v>
      </c>
      <c r="G129">
        <v>-1825.6893085748097</v>
      </c>
      <c r="H129">
        <v>-1498.5664405379432</v>
      </c>
      <c r="I129">
        <v>315.40915095956302</v>
      </c>
      <c r="J129">
        <v>162.29906342011</v>
      </c>
      <c r="K129">
        <v>63.356065415364696</v>
      </c>
      <c r="L129">
        <v>0.67367752699714145</v>
      </c>
      <c r="M129">
        <v>-0.67307158808026613</v>
      </c>
      <c r="N129">
        <v>42.651834370395399</v>
      </c>
      <c r="O129">
        <v>42.651852062586897</v>
      </c>
      <c r="P129">
        <v>42.651814401177703</v>
      </c>
      <c r="Q129" t="s">
        <v>51</v>
      </c>
    </row>
    <row r="130" spans="1:17" x14ac:dyDescent="0.2">
      <c r="A130">
        <v>129</v>
      </c>
      <c r="B130">
        <v>763</v>
      </c>
      <c r="C130">
        <v>160</v>
      </c>
      <c r="D130">
        <v>0.42917579501038</v>
      </c>
      <c r="E130">
        <v>109.682566284438</v>
      </c>
      <c r="F130">
        <v>1.7141658962916599</v>
      </c>
      <c r="G130">
        <v>-1825.3747842626917</v>
      </c>
      <c r="H130">
        <v>-1501.1698397073606</v>
      </c>
      <c r="I130">
        <v>312.89784705429702</v>
      </c>
      <c r="J130">
        <v>162.022184282463</v>
      </c>
      <c r="K130">
        <v>63.985969223702298</v>
      </c>
      <c r="L130">
        <v>0.55355817811532171</v>
      </c>
      <c r="M130">
        <v>-0.55288818270689322</v>
      </c>
      <c r="N130">
        <v>35.386726222238799</v>
      </c>
      <c r="O130">
        <v>35.386745745309298</v>
      </c>
      <c r="P130">
        <v>35.386703757078998</v>
      </c>
      <c r="Q130" t="s">
        <v>51</v>
      </c>
    </row>
    <row r="131" spans="1:17" x14ac:dyDescent="0.2">
      <c r="A131">
        <v>130</v>
      </c>
      <c r="B131">
        <v>762</v>
      </c>
      <c r="C131">
        <v>160</v>
      </c>
      <c r="D131">
        <v>0.428556730908567</v>
      </c>
      <c r="E131">
        <v>109.68254277937901</v>
      </c>
      <c r="F131">
        <v>1.6990428325748299</v>
      </c>
      <c r="G131">
        <v>-1825.0627430483298</v>
      </c>
      <c r="H131">
        <v>-1503.6005679552015</v>
      </c>
      <c r="I131">
        <v>310.55086509966799</v>
      </c>
      <c r="J131">
        <v>161.76030302936999</v>
      </c>
      <c r="K131">
        <v>64.555490112723902</v>
      </c>
      <c r="L131">
        <v>0.44413596584522913</v>
      </c>
      <c r="M131">
        <v>-0.44340801883053527</v>
      </c>
      <c r="N131">
        <v>28.6349515442956</v>
      </c>
      <c r="O131">
        <v>28.6349726854008</v>
      </c>
      <c r="P131">
        <v>28.634926704868299</v>
      </c>
      <c r="Q131" t="s">
        <v>51</v>
      </c>
    </row>
    <row r="132" spans="1:17" x14ac:dyDescent="0.2">
      <c r="A132">
        <v>131</v>
      </c>
      <c r="B132">
        <v>761</v>
      </c>
      <c r="C132">
        <v>160</v>
      </c>
      <c r="D132">
        <v>0.42793646956437897</v>
      </c>
      <c r="E132">
        <v>109.688786072445</v>
      </c>
      <c r="F132">
        <v>1.6730931351134399</v>
      </c>
      <c r="G132">
        <v>-1824.8556148946702</v>
      </c>
      <c r="H132">
        <v>-1507.8287446585293</v>
      </c>
      <c r="I132">
        <v>306.56297247242901</v>
      </c>
      <c r="J132">
        <v>161.23015921926401</v>
      </c>
      <c r="K132">
        <v>65.560478236621194</v>
      </c>
      <c r="L132">
        <v>0.26121669158411259</v>
      </c>
      <c r="M132">
        <v>-0.26039185074358023</v>
      </c>
      <c r="N132">
        <v>17.0834824729431</v>
      </c>
      <c r="O132">
        <v>17.083506503961701</v>
      </c>
      <c r="P132">
        <v>17.083453682175001</v>
      </c>
      <c r="Q132" t="s">
        <v>51</v>
      </c>
    </row>
    <row r="133" spans="1:17" x14ac:dyDescent="0.2">
      <c r="A133">
        <v>132</v>
      </c>
      <c r="B133">
        <v>760</v>
      </c>
      <c r="C133">
        <v>160</v>
      </c>
      <c r="D133">
        <v>0.427315007501331</v>
      </c>
      <c r="E133">
        <v>109.692565953906</v>
      </c>
      <c r="F133">
        <v>1.65926094009525</v>
      </c>
      <c r="G133">
        <v>-1824.6119549812945</v>
      </c>
      <c r="H133">
        <v>-1510.3349236988622</v>
      </c>
      <c r="I133">
        <v>304.198465117691</v>
      </c>
      <c r="J133">
        <v>160.93414350329101</v>
      </c>
      <c r="K133">
        <v>66.109291976468</v>
      </c>
      <c r="L133">
        <v>0.15903043799366834</v>
      </c>
      <c r="M133">
        <v>-0.1581515346860303</v>
      </c>
      <c r="N133">
        <v>10.4682130785135</v>
      </c>
      <c r="O133">
        <v>10.468238574041701</v>
      </c>
      <c r="P133">
        <v>10.468181832097899</v>
      </c>
      <c r="Q133" t="s">
        <v>51</v>
      </c>
    </row>
    <row r="134" spans="1:17" x14ac:dyDescent="0.2">
      <c r="A134">
        <v>133</v>
      </c>
      <c r="B134">
        <v>759</v>
      </c>
      <c r="C134">
        <v>160</v>
      </c>
      <c r="D134">
        <v>0.42669234122947503</v>
      </c>
      <c r="E134">
        <v>109.692399700713</v>
      </c>
      <c r="F134">
        <v>1.6507274583092599</v>
      </c>
      <c r="G134">
        <v>-1824.306077050994</v>
      </c>
      <c r="H134">
        <v>-1512.0297389309103</v>
      </c>
      <c r="I134">
        <v>302.555062098679</v>
      </c>
      <c r="J134">
        <v>160.73702719037701</v>
      </c>
      <c r="K134">
        <v>66.450945096088105</v>
      </c>
      <c r="L134">
        <v>9.179503827052371E-2</v>
      </c>
      <c r="M134">
        <v>-9.0880534552985684E-2</v>
      </c>
      <c r="N134">
        <v>6.0525804588491399</v>
      </c>
      <c r="O134">
        <v>6.0526067798378396</v>
      </c>
      <c r="P134">
        <v>6.0525474180662604</v>
      </c>
      <c r="Q134" t="s">
        <v>51</v>
      </c>
    </row>
    <row r="135" spans="1:17" x14ac:dyDescent="0.2">
      <c r="A135">
        <v>134</v>
      </c>
      <c r="B135">
        <v>758</v>
      </c>
      <c r="C135">
        <v>160</v>
      </c>
      <c r="D135">
        <v>0.426068467245311</v>
      </c>
      <c r="E135">
        <v>109.692386744866</v>
      </c>
      <c r="F135">
        <v>1.6480546132574301</v>
      </c>
      <c r="G135">
        <v>-1824.0037318314753</v>
      </c>
      <c r="H135">
        <v>-1512.819272940947</v>
      </c>
      <c r="I135">
        <v>301.78968324472203</v>
      </c>
      <c r="J135">
        <v>160.68621500061201</v>
      </c>
      <c r="K135">
        <v>66.558708590399903</v>
      </c>
      <c r="L135">
        <v>6.4660144798304134E-2</v>
      </c>
      <c r="M135">
        <v>-6.3731219564730851E-2</v>
      </c>
      <c r="N135">
        <v>4.2555519182695898</v>
      </c>
      <c r="O135">
        <v>4.2555783421515399</v>
      </c>
      <c r="P135">
        <v>4.2555179013588598</v>
      </c>
      <c r="Q135" t="s">
        <v>51</v>
      </c>
    </row>
    <row r="136" spans="1:17" x14ac:dyDescent="0.2">
      <c r="A136">
        <v>135</v>
      </c>
      <c r="B136">
        <v>783</v>
      </c>
      <c r="C136">
        <v>140</v>
      </c>
      <c r="D136">
        <v>0.462141267812338</v>
      </c>
      <c r="E136">
        <v>109.682302692495</v>
      </c>
      <c r="F136">
        <v>1.65579459347665</v>
      </c>
      <c r="G136">
        <v>-1833.0271431140629</v>
      </c>
      <c r="H136">
        <v>-1494.3524456906057</v>
      </c>
      <c r="I136">
        <v>320.67255520134597</v>
      </c>
      <c r="J136">
        <v>162.51548220940899</v>
      </c>
      <c r="K136">
        <v>66.241491018639607</v>
      </c>
      <c r="L136">
        <v>0.71103878732339509</v>
      </c>
      <c r="M136">
        <v>-0.71034455535203311</v>
      </c>
      <c r="N136">
        <v>47.066561951090002</v>
      </c>
      <c r="O136">
        <v>47.066601416958697</v>
      </c>
      <c r="P136">
        <v>47.066551709467298</v>
      </c>
      <c r="Q136" t="s">
        <v>51</v>
      </c>
    </row>
    <row r="137" spans="1:17" x14ac:dyDescent="0.2">
      <c r="A137">
        <v>136</v>
      </c>
      <c r="B137">
        <v>782</v>
      </c>
      <c r="C137">
        <v>140</v>
      </c>
      <c r="D137">
        <v>0.46156518030611998</v>
      </c>
      <c r="E137">
        <v>109.682326202082</v>
      </c>
      <c r="F137">
        <v>1.6568028769279699</v>
      </c>
      <c r="G137">
        <v>-1832.7069281189488</v>
      </c>
      <c r="H137">
        <v>-1494.5153580365804</v>
      </c>
      <c r="I137">
        <v>320.51859141387399</v>
      </c>
      <c r="J137">
        <v>162.53030760809</v>
      </c>
      <c r="K137">
        <v>66.201192507254603</v>
      </c>
      <c r="L137">
        <v>0.71138051529304247</v>
      </c>
      <c r="M137">
        <v>-0.71068603670627539</v>
      </c>
      <c r="N137">
        <v>47.060514163926001</v>
      </c>
      <c r="O137">
        <v>47.060553495902802</v>
      </c>
      <c r="P137">
        <v>47.060503757059799</v>
      </c>
      <c r="Q137" t="s">
        <v>51</v>
      </c>
    </row>
    <row r="138" spans="1:17" x14ac:dyDescent="0.2">
      <c r="A138">
        <v>137</v>
      </c>
      <c r="B138">
        <v>781</v>
      </c>
      <c r="C138">
        <v>140</v>
      </c>
      <c r="D138">
        <v>0.460987999810274</v>
      </c>
      <c r="E138">
        <v>109.68234446563</v>
      </c>
      <c r="F138">
        <v>1.65695305366349</v>
      </c>
      <c r="G138">
        <v>-1832.3868115809341</v>
      </c>
      <c r="H138">
        <v>-1494.7490360880063</v>
      </c>
      <c r="I138">
        <v>320.29731071453699</v>
      </c>
      <c r="J138">
        <v>162.522740360901</v>
      </c>
      <c r="K138">
        <v>66.195203432664997</v>
      </c>
      <c r="L138">
        <v>0.70865399889477976</v>
      </c>
      <c r="M138">
        <v>-0.70795706212729725</v>
      </c>
      <c r="N138">
        <v>46.875628606857603</v>
      </c>
      <c r="O138">
        <v>46.875667945966299</v>
      </c>
      <c r="P138">
        <v>46.875617996134302</v>
      </c>
      <c r="Q138" t="s">
        <v>51</v>
      </c>
    </row>
    <row r="139" spans="1:17" x14ac:dyDescent="0.2">
      <c r="A139">
        <v>138</v>
      </c>
      <c r="B139">
        <v>780</v>
      </c>
      <c r="C139">
        <v>140</v>
      </c>
      <c r="D139">
        <v>0.46040972321132001</v>
      </c>
      <c r="E139">
        <v>109.682362100228</v>
      </c>
      <c r="F139">
        <v>1.6570091345828299</v>
      </c>
      <c r="G139">
        <v>-1832.0669134289988</v>
      </c>
      <c r="H139">
        <v>-1494.9908009340757</v>
      </c>
      <c r="I139">
        <v>320.06813992316802</v>
      </c>
      <c r="J139">
        <v>162.513247618918</v>
      </c>
      <c r="K139">
        <v>66.192973720595305</v>
      </c>
      <c r="L139">
        <v>0.70556874287761173</v>
      </c>
      <c r="M139">
        <v>-0.70486909107815798</v>
      </c>
      <c r="N139">
        <v>46.669668785184399</v>
      </c>
      <c r="O139">
        <v>46.669708144595099</v>
      </c>
      <c r="P139">
        <v>46.669657962383504</v>
      </c>
      <c r="Q139" t="s">
        <v>51</v>
      </c>
    </row>
    <row r="140" spans="1:17" x14ac:dyDescent="0.2">
      <c r="A140">
        <v>139</v>
      </c>
      <c r="B140">
        <v>779</v>
      </c>
      <c r="C140">
        <v>140</v>
      </c>
      <c r="D140">
        <v>0.45983034738392797</v>
      </c>
      <c r="E140">
        <v>109.682379715655</v>
      </c>
      <c r="F140">
        <v>1.6570705230715601</v>
      </c>
      <c r="G140">
        <v>-1831.747244175961</v>
      </c>
      <c r="H140">
        <v>-1495.2324862103121</v>
      </c>
      <c r="I140">
        <v>319.83882670048501</v>
      </c>
      <c r="J140">
        <v>162.504451309269</v>
      </c>
      <c r="K140">
        <v>66.190532140024501</v>
      </c>
      <c r="L140">
        <v>0.70247844061772313</v>
      </c>
      <c r="M140">
        <v>-0.70177607227595773</v>
      </c>
      <c r="N140">
        <v>46.463239693438503</v>
      </c>
      <c r="O140">
        <v>46.463279069636798</v>
      </c>
      <c r="P140">
        <v>46.4632286543319</v>
      </c>
      <c r="Q140" t="s">
        <v>51</v>
      </c>
    </row>
    <row r="141" spans="1:17" x14ac:dyDescent="0.2">
      <c r="A141">
        <v>140</v>
      </c>
      <c r="B141">
        <v>778</v>
      </c>
      <c r="C141">
        <v>140</v>
      </c>
      <c r="D141">
        <v>0.45924986919088701</v>
      </c>
      <c r="E141">
        <v>109.682397313302</v>
      </c>
      <c r="F141">
        <v>1.6571376692515101</v>
      </c>
      <c r="G141">
        <v>-1831.4278039725864</v>
      </c>
      <c r="H141">
        <v>-1495.4740612582568</v>
      </c>
      <c r="I141">
        <v>319.60939994344398</v>
      </c>
      <c r="J141">
        <v>162.496357221041</v>
      </c>
      <c r="K141">
        <v>66.187860760441396</v>
      </c>
      <c r="L141">
        <v>0.69938442110954013</v>
      </c>
      <c r="M141">
        <v>-0.69867933593071829</v>
      </c>
      <c r="N141">
        <v>46.2564188259772</v>
      </c>
      <c r="O141">
        <v>46.256458215306601</v>
      </c>
      <c r="P141">
        <v>46.256407566287599</v>
      </c>
      <c r="Q141" t="s">
        <v>51</v>
      </c>
    </row>
    <row r="142" spans="1:17" x14ac:dyDescent="0.2">
      <c r="A142">
        <v>141</v>
      </c>
      <c r="B142">
        <v>777</v>
      </c>
      <c r="C142">
        <v>140</v>
      </c>
      <c r="D142">
        <v>0.45866828548302802</v>
      </c>
      <c r="E142">
        <v>109.682414894597</v>
      </c>
      <c r="F142">
        <v>1.65721100869228</v>
      </c>
      <c r="G142">
        <v>-1831.1085929418061</v>
      </c>
      <c r="H142">
        <v>-1495.7154962961963</v>
      </c>
      <c r="I142">
        <v>319.37988779782501</v>
      </c>
      <c r="J142">
        <v>162.48897076010499</v>
      </c>
      <c r="K142">
        <v>66.184942242900306</v>
      </c>
      <c r="L142">
        <v>0.69628797423442823</v>
      </c>
      <c r="M142">
        <v>-0.69558017311345</v>
      </c>
      <c r="N142">
        <v>46.049281712387</v>
      </c>
      <c r="O142">
        <v>46.049321111050602</v>
      </c>
      <c r="P142">
        <v>46.0492702277879</v>
      </c>
      <c r="Q142" t="s">
        <v>51</v>
      </c>
    </row>
    <row r="143" spans="1:17" x14ac:dyDescent="0.2">
      <c r="A143">
        <v>142</v>
      </c>
      <c r="B143">
        <v>776</v>
      </c>
      <c r="C143">
        <v>140</v>
      </c>
      <c r="D143">
        <v>0.45808559309917701</v>
      </c>
      <c r="E143">
        <v>109.682432460947</v>
      </c>
      <c r="F143">
        <v>1.6572909611169999</v>
      </c>
      <c r="G143">
        <v>-1830.7896111784478</v>
      </c>
      <c r="H143">
        <v>-1495.9567625323277</v>
      </c>
      <c r="I143">
        <v>319.150317546564</v>
      </c>
      <c r="J143">
        <v>162.482296960871</v>
      </c>
      <c r="K143">
        <v>66.1817598926758</v>
      </c>
      <c r="L143">
        <v>0.69319034549039171</v>
      </c>
      <c r="M143">
        <v>-0.69247983048193029</v>
      </c>
      <c r="N143">
        <v>45.841901593787803</v>
      </c>
      <c r="O143">
        <v>45.841940997850401</v>
      </c>
      <c r="P143">
        <v>45.841889879903597</v>
      </c>
      <c r="Q143" t="s">
        <v>51</v>
      </c>
    </row>
    <row r="144" spans="1:17" x14ac:dyDescent="0.2">
      <c r="A144">
        <v>143</v>
      </c>
      <c r="B144">
        <v>775</v>
      </c>
      <c r="C144">
        <v>140</v>
      </c>
      <c r="D144">
        <v>0.45750178886609999</v>
      </c>
      <c r="E144">
        <v>109.68245001373</v>
      </c>
      <c r="F144">
        <v>1.65737792934164</v>
      </c>
      <c r="G144">
        <v>-1830.4708587500531</v>
      </c>
      <c r="H144">
        <v>-1496.1978322626971</v>
      </c>
      <c r="I144">
        <v>318.92071551298898</v>
      </c>
      <c r="J144">
        <v>162.476340502098</v>
      </c>
      <c r="K144">
        <v>66.178297702624306</v>
      </c>
      <c r="L144">
        <v>0.69009273149337558</v>
      </c>
      <c r="M144">
        <v>-0.68937950577865637</v>
      </c>
      <c r="N144">
        <v>45.634349142637802</v>
      </c>
      <c r="O144">
        <v>45.634388548028497</v>
      </c>
      <c r="P144">
        <v>45.634337195044097</v>
      </c>
      <c r="Q144" t="s">
        <v>51</v>
      </c>
    </row>
    <row r="145" spans="1:17" x14ac:dyDescent="0.2">
      <c r="A145">
        <v>144</v>
      </c>
      <c r="B145">
        <v>774</v>
      </c>
      <c r="C145">
        <v>140</v>
      </c>
      <c r="D145">
        <v>0.45691686959843703</v>
      </c>
      <c r="E145">
        <v>109.682467554347</v>
      </c>
      <c r="F145">
        <v>1.6574722984472401</v>
      </c>
      <c r="G145">
        <v>-1830.1523356988071</v>
      </c>
      <c r="H145">
        <v>-1496.4386789523878</v>
      </c>
      <c r="I145">
        <v>318.69110698056897</v>
      </c>
      <c r="J145">
        <v>162.471105727272</v>
      </c>
      <c r="K145">
        <v>66.174540387251298</v>
      </c>
      <c r="L145">
        <v>0.68699627632123195</v>
      </c>
      <c r="M145">
        <v>-0.68628034417205264</v>
      </c>
      <c r="N145">
        <v>45.4266922310102</v>
      </c>
      <c r="O145">
        <v>45.426731633524497</v>
      </c>
      <c r="P145">
        <v>45.426680045233297</v>
      </c>
      <c r="Q145" t="s">
        <v>51</v>
      </c>
    </row>
    <row r="146" spans="1:17" x14ac:dyDescent="0.2">
      <c r="A146">
        <v>145</v>
      </c>
      <c r="B146">
        <v>773</v>
      </c>
      <c r="C146">
        <v>140</v>
      </c>
      <c r="D146">
        <v>0.456330832098647</v>
      </c>
      <c r="E146">
        <v>109.682485896991</v>
      </c>
      <c r="F146">
        <v>1.6573811971136601</v>
      </c>
      <c r="G146">
        <v>-1829.8340560900863</v>
      </c>
      <c r="H146">
        <v>-1496.7018708831067</v>
      </c>
      <c r="I146">
        <v>318.43993638680502</v>
      </c>
      <c r="J146">
        <v>162.46489426736201</v>
      </c>
      <c r="K146">
        <v>66.178188872906105</v>
      </c>
      <c r="L146">
        <v>0.68282555412309687</v>
      </c>
      <c r="M146">
        <v>-0.68210624606188464</v>
      </c>
      <c r="N146">
        <v>45.152993349949398</v>
      </c>
      <c r="O146">
        <v>45.153032786635599</v>
      </c>
      <c r="P146">
        <v>45.152980909097401</v>
      </c>
      <c r="Q146" t="s">
        <v>51</v>
      </c>
    </row>
    <row r="147" spans="1:17" x14ac:dyDescent="0.2">
      <c r="A147">
        <v>146</v>
      </c>
      <c r="B147">
        <v>772</v>
      </c>
      <c r="C147">
        <v>140</v>
      </c>
      <c r="D147">
        <v>0.45574367315696301</v>
      </c>
      <c r="E147">
        <v>109.682514124088</v>
      </c>
      <c r="F147">
        <v>1.6547359298286</v>
      </c>
      <c r="G147">
        <v>-1829.5163398463721</v>
      </c>
      <c r="H147">
        <v>-1497.2650104441625</v>
      </c>
      <c r="I147">
        <v>317.90188364018201</v>
      </c>
      <c r="J147">
        <v>162.436203315493</v>
      </c>
      <c r="K147">
        <v>66.283998641069601</v>
      </c>
      <c r="L147">
        <v>0.6643236649986991</v>
      </c>
      <c r="M147">
        <v>-0.66359202792622851</v>
      </c>
      <c r="N147">
        <v>43.9981735825627</v>
      </c>
      <c r="O147">
        <v>43.998213597161403</v>
      </c>
      <c r="P147">
        <v>43.998160714540198</v>
      </c>
      <c r="Q147" t="s">
        <v>51</v>
      </c>
    </row>
    <row r="148" spans="1:17" x14ac:dyDescent="0.2">
      <c r="A148">
        <v>147</v>
      </c>
      <c r="B148">
        <v>771</v>
      </c>
      <c r="C148">
        <v>140</v>
      </c>
      <c r="D148">
        <v>0.45515538955130802</v>
      </c>
      <c r="E148">
        <v>109.68254131489201</v>
      </c>
      <c r="F148">
        <v>1.65175955739431</v>
      </c>
      <c r="G148">
        <v>-1829.1991624094869</v>
      </c>
      <c r="H148">
        <v>-1497.8689269266185</v>
      </c>
      <c r="I148">
        <v>317.32427041091398</v>
      </c>
      <c r="J148">
        <v>162.40264198848399</v>
      </c>
      <c r="K148">
        <v>66.403454924104693</v>
      </c>
      <c r="L148">
        <v>0.64377840362033656</v>
      </c>
      <c r="M148">
        <v>-0.64303324187345967</v>
      </c>
      <c r="N148">
        <v>42.712495074251201</v>
      </c>
      <c r="O148">
        <v>42.712535733385899</v>
      </c>
      <c r="P148">
        <v>42.7124817452288</v>
      </c>
      <c r="Q148" t="s">
        <v>51</v>
      </c>
    </row>
    <row r="149" spans="1:17" x14ac:dyDescent="0.2">
      <c r="A149">
        <v>148</v>
      </c>
      <c r="B149">
        <v>770</v>
      </c>
      <c r="C149">
        <v>140</v>
      </c>
      <c r="D149">
        <v>0.45456597804726301</v>
      </c>
      <c r="E149">
        <v>109.682566382209</v>
      </c>
      <c r="F149">
        <v>1.64805567194099</v>
      </c>
      <c r="G149">
        <v>-1828.8825638731125</v>
      </c>
      <c r="H149">
        <v>-1498.5608463673666</v>
      </c>
      <c r="I149">
        <v>316.66175655281398</v>
      </c>
      <c r="J149">
        <v>162.35575453734799</v>
      </c>
      <c r="K149">
        <v>66.552707077565699</v>
      </c>
      <c r="L149">
        <v>0.61882569844817137</v>
      </c>
      <c r="M149">
        <v>-0.61806444682134065</v>
      </c>
      <c r="N149">
        <v>41.147002982726903</v>
      </c>
      <c r="O149">
        <v>41.147044436427798</v>
      </c>
      <c r="P149">
        <v>41.146989130571498</v>
      </c>
      <c r="Q149" t="s">
        <v>51</v>
      </c>
    </row>
    <row r="150" spans="1:17" x14ac:dyDescent="0.2">
      <c r="A150">
        <v>149</v>
      </c>
      <c r="B150">
        <v>769</v>
      </c>
      <c r="C150">
        <v>140</v>
      </c>
      <c r="D150">
        <v>0.45397543539797802</v>
      </c>
      <c r="E150">
        <v>109.682552972068</v>
      </c>
      <c r="F150">
        <v>1.62996256696775</v>
      </c>
      <c r="G150">
        <v>-1828.5667951718988</v>
      </c>
      <c r="H150">
        <v>-1501.0865120468698</v>
      </c>
      <c r="I150">
        <v>314.23947288394203</v>
      </c>
      <c r="J150">
        <v>161.9507921663</v>
      </c>
      <c r="K150">
        <v>67.2914551504781</v>
      </c>
      <c r="L150">
        <v>0.50569751435197641</v>
      </c>
      <c r="M150">
        <v>-0.50486975045058924</v>
      </c>
      <c r="N150">
        <v>33.987816996922703</v>
      </c>
      <c r="O150">
        <v>33.987862336552801</v>
      </c>
      <c r="P150">
        <v>33.987801590799201</v>
      </c>
      <c r="Q150" t="s">
        <v>51</v>
      </c>
    </row>
    <row r="151" spans="1:17" x14ac:dyDescent="0.2">
      <c r="A151">
        <v>150</v>
      </c>
      <c r="B151">
        <v>768</v>
      </c>
      <c r="C151">
        <v>140</v>
      </c>
      <c r="D151">
        <v>0.45338375834414102</v>
      </c>
      <c r="E151">
        <v>109.68253120659401</v>
      </c>
      <c r="F151">
        <v>1.6156262544829501</v>
      </c>
      <c r="G151">
        <v>-1828.2532750497144</v>
      </c>
      <c r="H151">
        <v>-1503.2212930335807</v>
      </c>
      <c r="I151">
        <v>312.190067178427</v>
      </c>
      <c r="J151">
        <v>161.614995571066</v>
      </c>
      <c r="K151">
        <v>67.888554609863206</v>
      </c>
      <c r="L151">
        <v>0.4133724175421325</v>
      </c>
      <c r="M151">
        <v>-0.41249051798914282</v>
      </c>
      <c r="N151">
        <v>28.018811289579101</v>
      </c>
      <c r="O151">
        <v>28.018859781489301</v>
      </c>
      <c r="P151">
        <v>28.018794514296602</v>
      </c>
      <c r="Q151" t="s">
        <v>51</v>
      </c>
    </row>
    <row r="152" spans="1:17" x14ac:dyDescent="0.2">
      <c r="A152">
        <v>151</v>
      </c>
      <c r="B152">
        <v>767</v>
      </c>
      <c r="C152">
        <v>140</v>
      </c>
      <c r="D152">
        <v>0.45279094361390498</v>
      </c>
      <c r="E152">
        <v>109.688483132063</v>
      </c>
      <c r="F152">
        <v>1.5901364529895301</v>
      </c>
      <c r="G152">
        <v>-1828.0396604316993</v>
      </c>
      <c r="H152">
        <v>-1507.0421886801432</v>
      </c>
      <c r="I152">
        <v>308.611978921961</v>
      </c>
      <c r="J152">
        <v>160.93642732588</v>
      </c>
      <c r="K152">
        <v>68.980547503230696</v>
      </c>
      <c r="L152">
        <v>0.2541368710600248</v>
      </c>
      <c r="M152">
        <v>-0.25316179953563162</v>
      </c>
      <c r="N152">
        <v>17.480508086577601</v>
      </c>
      <c r="O152">
        <v>17.480562272061398</v>
      </c>
      <c r="P152">
        <v>17.4804890237866</v>
      </c>
      <c r="Q152" t="s">
        <v>51</v>
      </c>
    </row>
    <row r="153" spans="1:17" x14ac:dyDescent="0.2">
      <c r="A153">
        <v>152</v>
      </c>
      <c r="B153">
        <v>766</v>
      </c>
      <c r="C153">
        <v>140</v>
      </c>
      <c r="D153">
        <v>0.45219698792282498</v>
      </c>
      <c r="E153">
        <v>109.692359807934</v>
      </c>
      <c r="F153">
        <v>1.57540605249754</v>
      </c>
      <c r="G153">
        <v>-1827.7955193497062</v>
      </c>
      <c r="H153">
        <v>-1509.4869061085124</v>
      </c>
      <c r="I153">
        <v>306.32174789104801</v>
      </c>
      <c r="J153">
        <v>160.52182593605301</v>
      </c>
      <c r="K153">
        <v>69.6279918653577</v>
      </c>
      <c r="L153">
        <v>0.15803244939061284</v>
      </c>
      <c r="M153">
        <v>-0.15700106478374148</v>
      </c>
      <c r="N153">
        <v>10.950052868365599</v>
      </c>
      <c r="O153">
        <v>10.950110436531601</v>
      </c>
      <c r="P153">
        <v>10.9500322330739</v>
      </c>
      <c r="Q153" t="s">
        <v>51</v>
      </c>
    </row>
    <row r="154" spans="1:17" x14ac:dyDescent="0.2">
      <c r="A154">
        <v>153</v>
      </c>
      <c r="B154">
        <v>765</v>
      </c>
      <c r="C154">
        <v>140</v>
      </c>
      <c r="D154">
        <v>0.45160188797380102</v>
      </c>
      <c r="E154">
        <v>109.692732612629</v>
      </c>
      <c r="F154">
        <v>1.5664748123550101</v>
      </c>
      <c r="G154">
        <v>-1827.4961442048145</v>
      </c>
      <c r="H154">
        <v>-1511.1227100802612</v>
      </c>
      <c r="I154">
        <v>304.75297037591298</v>
      </c>
      <c r="J154">
        <v>160.25352415001501</v>
      </c>
      <c r="K154">
        <v>70.025213139379701</v>
      </c>
      <c r="L154">
        <v>9.5910685962711809E-2</v>
      </c>
      <c r="M154">
        <v>-9.4842729348912219E-2</v>
      </c>
      <c r="N154">
        <v>6.6604768889918899</v>
      </c>
      <c r="O154">
        <v>6.6605365517106101</v>
      </c>
      <c r="P154">
        <v>6.6604550805698501</v>
      </c>
      <c r="Q154" t="s">
        <v>51</v>
      </c>
    </row>
    <row r="155" spans="1:17" x14ac:dyDescent="0.2">
      <c r="A155">
        <v>154</v>
      </c>
      <c r="B155">
        <v>764</v>
      </c>
      <c r="C155">
        <v>140</v>
      </c>
      <c r="D155">
        <v>0.45100564045702202</v>
      </c>
      <c r="E155">
        <v>109.692657037801</v>
      </c>
      <c r="F155">
        <v>1.5632755058964201</v>
      </c>
      <c r="G155">
        <v>-1827.1905907960129</v>
      </c>
      <c r="H155">
        <v>-1511.9400238967212</v>
      </c>
      <c r="I155">
        <v>303.96425955032902</v>
      </c>
      <c r="J155">
        <v>160.16217495491199</v>
      </c>
      <c r="K155">
        <v>70.168474222270902</v>
      </c>
      <c r="L155">
        <v>6.8428884848325891E-2</v>
      </c>
      <c r="M155">
        <v>-6.7344450232236286E-2</v>
      </c>
      <c r="N155">
        <v>4.7448401817666603</v>
      </c>
      <c r="O155">
        <v>4.74490060449605</v>
      </c>
      <c r="P155">
        <v>4.7448176431639499</v>
      </c>
      <c r="Q155" t="s">
        <v>51</v>
      </c>
    </row>
    <row r="156" spans="1:17" x14ac:dyDescent="0.2">
      <c r="A156">
        <v>155</v>
      </c>
      <c r="B156">
        <v>794</v>
      </c>
      <c r="C156">
        <v>120</v>
      </c>
      <c r="D156">
        <v>0.489022630370612</v>
      </c>
      <c r="E156">
        <v>109.682212390713</v>
      </c>
      <c r="F156">
        <v>1.5493858976389601</v>
      </c>
      <c r="G156">
        <v>-1837.934503322198</v>
      </c>
      <c r="H156">
        <v>-1492.9852117286421</v>
      </c>
      <c r="I156">
        <v>323.24708999645497</v>
      </c>
      <c r="J156">
        <v>162.29796253122501</v>
      </c>
      <c r="K156">
        <v>70.790764623488997</v>
      </c>
      <c r="L156">
        <v>0.662306235981585</v>
      </c>
      <c r="M156">
        <v>-0.66143880696762813</v>
      </c>
      <c r="N156">
        <v>46.843086498040698</v>
      </c>
      <c r="O156">
        <v>46.843159472802498</v>
      </c>
      <c r="P156">
        <v>46.843084632086899</v>
      </c>
      <c r="Q156" t="s">
        <v>51</v>
      </c>
    </row>
    <row r="157" spans="1:17" x14ac:dyDescent="0.2">
      <c r="A157">
        <v>156</v>
      </c>
      <c r="B157">
        <v>793</v>
      </c>
      <c r="C157">
        <v>120</v>
      </c>
      <c r="D157">
        <v>0.488477700136005</v>
      </c>
      <c r="E157">
        <v>109.682234462575</v>
      </c>
      <c r="F157">
        <v>1.55037077760193</v>
      </c>
      <c r="G157">
        <v>-1837.611690361153</v>
      </c>
      <c r="H157">
        <v>-1493.1551951307397</v>
      </c>
      <c r="I157">
        <v>323.08806141311499</v>
      </c>
      <c r="J157">
        <v>162.311470524149</v>
      </c>
      <c r="K157">
        <v>70.745808710499801</v>
      </c>
      <c r="L157">
        <v>0.66239224285451881</v>
      </c>
      <c r="M157">
        <v>-0.66152406810848652</v>
      </c>
      <c r="N157">
        <v>46.819350965737101</v>
      </c>
      <c r="O157">
        <v>46.819423937165503</v>
      </c>
      <c r="P157">
        <v>46.819349037973801</v>
      </c>
      <c r="Q157" t="s">
        <v>51</v>
      </c>
    </row>
    <row r="158" spans="1:17" x14ac:dyDescent="0.2">
      <c r="A158">
        <v>157</v>
      </c>
      <c r="B158">
        <v>792</v>
      </c>
      <c r="C158">
        <v>120</v>
      </c>
      <c r="D158">
        <v>0.48793174670234402</v>
      </c>
      <c r="E158">
        <v>109.68225130879701</v>
      </c>
      <c r="F158">
        <v>1.55049773252506</v>
      </c>
      <c r="G158">
        <v>-1837.2889861556127</v>
      </c>
      <c r="H158">
        <v>-1493.3934146335494</v>
      </c>
      <c r="I158">
        <v>322.864784647188</v>
      </c>
      <c r="J158">
        <v>162.29687348916201</v>
      </c>
      <c r="K158">
        <v>70.740026901022503</v>
      </c>
      <c r="L158">
        <v>0.65967823852312657</v>
      </c>
      <c r="M158">
        <v>-0.65880714678216479</v>
      </c>
      <c r="N158">
        <v>46.623356819377797</v>
      </c>
      <c r="O158">
        <v>46.623430004829999</v>
      </c>
      <c r="P158">
        <v>46.623354823215401</v>
      </c>
      <c r="Q158" t="s">
        <v>51</v>
      </c>
    </row>
    <row r="159" spans="1:17" x14ac:dyDescent="0.2">
      <c r="A159">
        <v>158</v>
      </c>
      <c r="B159">
        <v>791</v>
      </c>
      <c r="C159">
        <v>120</v>
      </c>
      <c r="D159">
        <v>0.48738476718508</v>
      </c>
      <c r="E159">
        <v>109.68226814366599</v>
      </c>
      <c r="F159">
        <v>1.5506299158065</v>
      </c>
      <c r="G159">
        <v>-1836.9665050599392</v>
      </c>
      <c r="H159">
        <v>-1493.631513945036</v>
      </c>
      <c r="I159">
        <v>322.64141086249498</v>
      </c>
      <c r="J159">
        <v>162.282919178036</v>
      </c>
      <c r="K159">
        <v>70.734007531783703</v>
      </c>
      <c r="L159">
        <v>0.65696095793907472</v>
      </c>
      <c r="M159">
        <v>-0.65608694440182636</v>
      </c>
      <c r="N159">
        <v>46.427005878491201</v>
      </c>
      <c r="O159">
        <v>46.427079276392703</v>
      </c>
      <c r="P159">
        <v>46.4270038113429</v>
      </c>
      <c r="Q159" t="s">
        <v>51</v>
      </c>
    </row>
    <row r="160" spans="1:17" x14ac:dyDescent="0.2">
      <c r="A160">
        <v>159</v>
      </c>
      <c r="B160">
        <v>790</v>
      </c>
      <c r="C160">
        <v>120</v>
      </c>
      <c r="D160">
        <v>0.486836758688802</v>
      </c>
      <c r="E160">
        <v>109.682284968822</v>
      </c>
      <c r="F160">
        <v>1.5507677453755699</v>
      </c>
      <c r="G160">
        <v>-1836.6442471853632</v>
      </c>
      <c r="H160">
        <v>-1493.8694659402709</v>
      </c>
      <c r="I160">
        <v>322.41796539843602</v>
      </c>
      <c r="J160">
        <v>162.269615982631</v>
      </c>
      <c r="K160">
        <v>70.727731664459</v>
      </c>
      <c r="L160">
        <v>0.65424154727091821</v>
      </c>
      <c r="M160">
        <v>-0.6533646081883846</v>
      </c>
      <c r="N160">
        <v>46.2303688783159</v>
      </c>
      <c r="O160">
        <v>46.230442486933804</v>
      </c>
      <c r="P160">
        <v>46.230366737534297</v>
      </c>
      <c r="Q160" t="s">
        <v>51</v>
      </c>
    </row>
    <row r="161" spans="1:17" x14ac:dyDescent="0.2">
      <c r="A161">
        <v>160</v>
      </c>
      <c r="B161">
        <v>789</v>
      </c>
      <c r="C161">
        <v>120</v>
      </c>
      <c r="D161">
        <v>0.48628771830721002</v>
      </c>
      <c r="E161">
        <v>109.68230178589801</v>
      </c>
      <c r="F161">
        <v>1.55091162688702</v>
      </c>
      <c r="G161">
        <v>-1836.3222126179942</v>
      </c>
      <c r="H161">
        <v>-1494.1072442348693</v>
      </c>
      <c r="I161">
        <v>322.194472969081</v>
      </c>
      <c r="J161">
        <v>162.25697195442399</v>
      </c>
      <c r="K161">
        <v>70.721180939272301</v>
      </c>
      <c r="L161">
        <v>0.65152112345102797</v>
      </c>
      <c r="M161">
        <v>-0.65064125610569024</v>
      </c>
      <c r="N161">
        <v>46.033515043362499</v>
      </c>
      <c r="O161">
        <v>46.033588860807001</v>
      </c>
      <c r="P161">
        <v>46.033512826238699</v>
      </c>
      <c r="Q161" t="s">
        <v>51</v>
      </c>
    </row>
    <row r="162" spans="1:17" x14ac:dyDescent="0.2">
      <c r="A162">
        <v>161</v>
      </c>
      <c r="B162">
        <v>788</v>
      </c>
      <c r="C162">
        <v>120</v>
      </c>
      <c r="D162">
        <v>0.48573764312303003</v>
      </c>
      <c r="E162">
        <v>109.682318596526</v>
      </c>
      <c r="F162">
        <v>1.5510619525535101</v>
      </c>
      <c r="G162">
        <v>-1836.0004014195436</v>
      </c>
      <c r="H162">
        <v>-1494.3448232783583</v>
      </c>
      <c r="I162">
        <v>321.97095757293403</v>
      </c>
      <c r="J162">
        <v>162.24499480272701</v>
      </c>
      <c r="K162">
        <v>70.714337629104406</v>
      </c>
      <c r="L162">
        <v>0.64880077005302172</v>
      </c>
      <c r="M162">
        <v>-0.64791797273461005</v>
      </c>
      <c r="N162">
        <v>45.836511821162802</v>
      </c>
      <c r="O162">
        <v>45.836585845388598</v>
      </c>
      <c r="P162">
        <v>45.836509524925503</v>
      </c>
      <c r="Q162" t="s">
        <v>51</v>
      </c>
    </row>
    <row r="163" spans="1:17" x14ac:dyDescent="0.2">
      <c r="A163">
        <v>162</v>
      </c>
      <c r="B163">
        <v>787</v>
      </c>
      <c r="C163">
        <v>120</v>
      </c>
      <c r="D163">
        <v>0.48518653020799002</v>
      </c>
      <c r="E163">
        <v>109.682335402372</v>
      </c>
      <c r="F163">
        <v>1.55121910016161</v>
      </c>
      <c r="G163">
        <v>-1835.6788136286559</v>
      </c>
      <c r="H163">
        <v>-1494.5821784357356</v>
      </c>
      <c r="I163">
        <v>321.74744241389499</v>
      </c>
      <c r="J163">
        <v>162.233691896984</v>
      </c>
      <c r="K163">
        <v>70.707184685222501</v>
      </c>
      <c r="L163">
        <v>0.64608153371282429</v>
      </c>
      <c r="M163">
        <v>-0.64519580569116164</v>
      </c>
      <c r="N163">
        <v>45.639424648076599</v>
      </c>
      <c r="O163">
        <v>45.639498876884304</v>
      </c>
      <c r="P163">
        <v>45.639422269891</v>
      </c>
      <c r="Q163" t="s">
        <v>51</v>
      </c>
    </row>
    <row r="164" spans="1:17" x14ac:dyDescent="0.2">
      <c r="A164">
        <v>163</v>
      </c>
      <c r="B164">
        <v>786</v>
      </c>
      <c r="C164">
        <v>120</v>
      </c>
      <c r="D164">
        <v>0.48463437662276798</v>
      </c>
      <c r="E164">
        <v>109.682352205089</v>
      </c>
      <c r="F164">
        <v>1.55138343226695</v>
      </c>
      <c r="G164">
        <v>-1835.3574492610596</v>
      </c>
      <c r="H164">
        <v>-1494.8192860557047</v>
      </c>
      <c r="I164">
        <v>321.52394983324803</v>
      </c>
      <c r="J164">
        <v>162.22307027284899</v>
      </c>
      <c r="K164">
        <v>70.699705774745993</v>
      </c>
      <c r="L164">
        <v>0.64336442109932679</v>
      </c>
      <c r="M164">
        <v>-0.64247576259468109</v>
      </c>
      <c r="N164">
        <v>45.442316747852502</v>
      </c>
      <c r="O164">
        <v>45.442391178891</v>
      </c>
      <c r="P164">
        <v>45.442314284819297</v>
      </c>
      <c r="Q164" t="s">
        <v>51</v>
      </c>
    </row>
    <row r="165" spans="1:17" x14ac:dyDescent="0.2">
      <c r="A165">
        <v>164</v>
      </c>
      <c r="B165">
        <v>785</v>
      </c>
      <c r="C165">
        <v>120</v>
      </c>
      <c r="D165">
        <v>0.48408117941691098</v>
      </c>
      <c r="E165">
        <v>109.682369006295</v>
      </c>
      <c r="F165">
        <v>1.5515552955832601</v>
      </c>
      <c r="G165">
        <v>-1835.036308309984</v>
      </c>
      <c r="H165">
        <v>-1495.0561235251837</v>
      </c>
      <c r="I165">
        <v>321.300501254464</v>
      </c>
      <c r="J165">
        <v>162.213136642748</v>
      </c>
      <c r="K165">
        <v>70.691885309226294</v>
      </c>
      <c r="L165">
        <v>0.64065039650859723</v>
      </c>
      <c r="M165">
        <v>-0.639758808660019</v>
      </c>
      <c r="N165">
        <v>45.245248967975101</v>
      </c>
      <c r="O165">
        <v>45.245323598743603</v>
      </c>
      <c r="P165">
        <v>45.245246417129898</v>
      </c>
      <c r="Q165" t="s">
        <v>51</v>
      </c>
    </row>
    <row r="166" spans="1:17" x14ac:dyDescent="0.2">
      <c r="A166">
        <v>165</v>
      </c>
      <c r="B166">
        <v>784</v>
      </c>
      <c r="C166">
        <v>120</v>
      </c>
      <c r="D166">
        <v>0.48352693562881199</v>
      </c>
      <c r="E166">
        <v>109.68238580761999</v>
      </c>
      <c r="F166">
        <v>1.5517350205359901</v>
      </c>
      <c r="G166">
        <v>-1834.7153907479305</v>
      </c>
      <c r="H166">
        <v>-1495.2926693127226</v>
      </c>
      <c r="I166">
        <v>321.07711713948299</v>
      </c>
      <c r="J166">
        <v>162.20389741041399</v>
      </c>
      <c r="K166">
        <v>70.683708465723797</v>
      </c>
      <c r="L166">
        <v>0.63794038001653197</v>
      </c>
      <c r="M166">
        <v>-0.63704586484859371</v>
      </c>
      <c r="N166">
        <v>45.048279650278502</v>
      </c>
      <c r="O166">
        <v>45.048354478129198</v>
      </c>
      <c r="P166">
        <v>45.048277008590603</v>
      </c>
      <c r="Q166" t="s">
        <v>51</v>
      </c>
    </row>
    <row r="167" spans="1:17" x14ac:dyDescent="0.2">
      <c r="A167">
        <v>166</v>
      </c>
      <c r="B167">
        <v>783</v>
      </c>
      <c r="C167">
        <v>120</v>
      </c>
      <c r="D167">
        <v>0.48297164228566197</v>
      </c>
      <c r="E167">
        <v>109.682402610642</v>
      </c>
      <c r="F167">
        <v>1.55192292100292</v>
      </c>
      <c r="G167">
        <v>-1834.394696526587</v>
      </c>
      <c r="H167">
        <v>-1495.5289029974119</v>
      </c>
      <c r="I167">
        <v>320.853816956711</v>
      </c>
      <c r="J167">
        <v>162.19535868897401</v>
      </c>
      <c r="K167">
        <v>70.675161199217499</v>
      </c>
      <c r="L167">
        <v>0.63523524623826744</v>
      </c>
      <c r="M167">
        <v>-0.63433780662667605</v>
      </c>
      <c r="N167">
        <v>44.851464538681697</v>
      </c>
      <c r="O167">
        <v>44.851539560821998</v>
      </c>
      <c r="P167">
        <v>44.851461803053198</v>
      </c>
      <c r="Q167" t="s">
        <v>51</v>
      </c>
    </row>
    <row r="168" spans="1:17" x14ac:dyDescent="0.2">
      <c r="A168">
        <v>167</v>
      </c>
      <c r="B168">
        <v>782</v>
      </c>
      <c r="C168">
        <v>120</v>
      </c>
      <c r="D168">
        <v>0.48241529640335601</v>
      </c>
      <c r="E168">
        <v>109.68241941692099</v>
      </c>
      <c r="F168">
        <v>1.5521192942088</v>
      </c>
      <c r="G168">
        <v>-1834.0742255784176</v>
      </c>
      <c r="H168">
        <v>-1495.7648052867632</v>
      </c>
      <c r="I168">
        <v>320.63061916087901</v>
      </c>
      <c r="J168">
        <v>162.18752632329</v>
      </c>
      <c r="K168">
        <v>70.666230247998996</v>
      </c>
      <c r="L168">
        <v>0.63253582366568994</v>
      </c>
      <c r="M168">
        <v>-0.63163546330218157</v>
      </c>
      <c r="N168">
        <v>44.654856723250298</v>
      </c>
      <c r="O168">
        <v>44.654931936745598</v>
      </c>
      <c r="P168">
        <v>44.654853890515099</v>
      </c>
      <c r="Q168" t="s">
        <v>51</v>
      </c>
    </row>
    <row r="169" spans="1:17" x14ac:dyDescent="0.2">
      <c r="A169">
        <v>168</v>
      </c>
      <c r="B169">
        <v>781</v>
      </c>
      <c r="C169">
        <v>120</v>
      </c>
      <c r="D169">
        <v>0.48185789498648202</v>
      </c>
      <c r="E169">
        <v>109.68243780961301</v>
      </c>
      <c r="F169">
        <v>1.55188606098389</v>
      </c>
      <c r="G169">
        <v>-1833.7540069385211</v>
      </c>
      <c r="H169">
        <v>-1496.0465205905421</v>
      </c>
      <c r="I169">
        <v>320.36378458240199</v>
      </c>
      <c r="J169">
        <v>162.173204009941</v>
      </c>
      <c r="K169">
        <v>70.676862539814493</v>
      </c>
      <c r="L169">
        <v>0.62772410263968359</v>
      </c>
      <c r="M169">
        <v>-0.62681937444376534</v>
      </c>
      <c r="N169">
        <v>44.321244335684703</v>
      </c>
      <c r="O169">
        <v>44.321319878622397</v>
      </c>
      <c r="P169">
        <v>44.321241397970802</v>
      </c>
      <c r="Q169" t="s">
        <v>51</v>
      </c>
    </row>
    <row r="170" spans="1:17" x14ac:dyDescent="0.2">
      <c r="A170">
        <v>169</v>
      </c>
      <c r="B170">
        <v>780</v>
      </c>
      <c r="C170">
        <v>120</v>
      </c>
      <c r="D170">
        <v>0.48129943502824801</v>
      </c>
      <c r="E170">
        <v>109.68246465476101</v>
      </c>
      <c r="F170">
        <v>1.5490549198474901</v>
      </c>
      <c r="G170">
        <v>-1833.434339781189</v>
      </c>
      <c r="H170">
        <v>-1496.6033208254432</v>
      </c>
      <c r="I170">
        <v>319.83580696052002</v>
      </c>
      <c r="J170">
        <v>162.11572000384399</v>
      </c>
      <c r="K170">
        <v>70.806052935527603</v>
      </c>
      <c r="L170">
        <v>0.6102479370283086</v>
      </c>
      <c r="M170">
        <v>-0.60933019514239206</v>
      </c>
      <c r="N170">
        <v>43.164159162719301</v>
      </c>
      <c r="O170">
        <v>43.164235874692302</v>
      </c>
      <c r="P170">
        <v>43.164156087765697</v>
      </c>
      <c r="Q170" t="s">
        <v>51</v>
      </c>
    </row>
    <row r="171" spans="1:17" x14ac:dyDescent="0.2">
      <c r="A171">
        <v>170</v>
      </c>
      <c r="B171">
        <v>779</v>
      </c>
      <c r="C171">
        <v>120</v>
      </c>
      <c r="D171">
        <v>0.48073991351043299</v>
      </c>
      <c r="E171">
        <v>109.68249037755901</v>
      </c>
      <c r="F171">
        <v>1.54585564241368</v>
      </c>
      <c r="G171">
        <v>-1833.115200102867</v>
      </c>
      <c r="H171">
        <v>-1497.2015076333876</v>
      </c>
      <c r="I171">
        <v>319.26799822554898</v>
      </c>
      <c r="J171">
        <v>162.04937791069699</v>
      </c>
      <c r="K171">
        <v>70.9526086189409</v>
      </c>
      <c r="L171">
        <v>0.5907820479797502</v>
      </c>
      <c r="M171">
        <v>-0.58985001691025507</v>
      </c>
      <c r="N171">
        <v>41.871597833995402</v>
      </c>
      <c r="O171">
        <v>41.871675839582302</v>
      </c>
      <c r="P171">
        <v>41.871594611574899</v>
      </c>
      <c r="Q171" t="s">
        <v>51</v>
      </c>
    </row>
    <row r="172" spans="1:17" x14ac:dyDescent="0.2">
      <c r="A172">
        <v>171</v>
      </c>
      <c r="B172">
        <v>778</v>
      </c>
      <c r="C172">
        <v>120</v>
      </c>
      <c r="D172">
        <v>0.48017932740332298</v>
      </c>
      <c r="E172">
        <v>109.6825138681</v>
      </c>
      <c r="F172">
        <v>1.5418798725365199</v>
      </c>
      <c r="G172">
        <v>-1832.7966270609315</v>
      </c>
      <c r="H172">
        <v>-1497.8856738570648</v>
      </c>
      <c r="I172">
        <v>318.61786576802001</v>
      </c>
      <c r="J172">
        <v>161.96249772246099</v>
      </c>
      <c r="K172">
        <v>71.135576656606304</v>
      </c>
      <c r="L172">
        <v>0.56719139831792309</v>
      </c>
      <c r="M172">
        <v>-0.56624245172401266</v>
      </c>
      <c r="N172">
        <v>40.3005573733845</v>
      </c>
      <c r="O172">
        <v>40.300636930879499</v>
      </c>
      <c r="P172">
        <v>40.300553987574801</v>
      </c>
      <c r="Q172" t="s">
        <v>51</v>
      </c>
    </row>
    <row r="173" spans="1:17" x14ac:dyDescent="0.2">
      <c r="A173">
        <v>172</v>
      </c>
      <c r="B173">
        <v>777</v>
      </c>
      <c r="C173">
        <v>120</v>
      </c>
      <c r="D173">
        <v>0.47961767366567098</v>
      </c>
      <c r="E173">
        <v>109.682517245868</v>
      </c>
      <c r="F173">
        <v>1.52994424362296</v>
      </c>
      <c r="G173">
        <v>-1832.4786162332757</v>
      </c>
      <c r="H173">
        <v>-1499.4821850471301</v>
      </c>
      <c r="I173">
        <v>317.09838709690001</v>
      </c>
      <c r="J173">
        <v>161.63023126935201</v>
      </c>
      <c r="K173">
        <v>71.690532320403705</v>
      </c>
      <c r="L173">
        <v>0.5012385109868297</v>
      </c>
      <c r="M173">
        <v>-0.50024607798721477</v>
      </c>
      <c r="N173">
        <v>35.884534336876598</v>
      </c>
      <c r="O173">
        <v>35.884618075647097</v>
      </c>
      <c r="P173">
        <v>35.884530676329703</v>
      </c>
      <c r="Q173" t="s">
        <v>51</v>
      </c>
    </row>
    <row r="174" spans="1:17" x14ac:dyDescent="0.2">
      <c r="A174">
        <v>173</v>
      </c>
      <c r="B174">
        <v>776</v>
      </c>
      <c r="C174">
        <v>120</v>
      </c>
      <c r="D174">
        <v>0.47905494924462999</v>
      </c>
      <c r="E174">
        <v>109.68249823723799</v>
      </c>
      <c r="F174">
        <v>1.5140064496872001</v>
      </c>
      <c r="G174">
        <v>-1832.1622631727535</v>
      </c>
      <c r="H174">
        <v>-1501.6074128284906</v>
      </c>
      <c r="I174">
        <v>315.07371810130201</v>
      </c>
      <c r="J174">
        <v>161.14871697826601</v>
      </c>
      <c r="K174">
        <v>72.445198803412694</v>
      </c>
      <c r="L174">
        <v>0.41255542995703781</v>
      </c>
      <c r="M174">
        <v>-0.41150560450557711</v>
      </c>
      <c r="N174">
        <v>29.834658113951001</v>
      </c>
      <c r="O174">
        <v>29.834747488622501</v>
      </c>
      <c r="P174">
        <v>29.834654103168202</v>
      </c>
      <c r="Q174" t="s">
        <v>51</v>
      </c>
    </row>
    <row r="175" spans="1:17" x14ac:dyDescent="0.2">
      <c r="A175">
        <v>174</v>
      </c>
      <c r="B175">
        <v>775</v>
      </c>
      <c r="C175">
        <v>120</v>
      </c>
      <c r="D175">
        <v>0.478491151075708</v>
      </c>
      <c r="E175">
        <v>109.682477990175</v>
      </c>
      <c r="F175">
        <v>1.50275227471183</v>
      </c>
      <c r="G175">
        <v>-1831.8476660829263</v>
      </c>
      <c r="H175">
        <v>-1503.2385500353621</v>
      </c>
      <c r="I175">
        <v>313.51818086580198</v>
      </c>
      <c r="J175">
        <v>160.798060174136</v>
      </c>
      <c r="K175">
        <v>72.987730470219105</v>
      </c>
      <c r="L175">
        <v>0.347594030213842</v>
      </c>
      <c r="M175">
        <v>-0.34650194622098623</v>
      </c>
      <c r="N175">
        <v>25.314489311778001</v>
      </c>
      <c r="O175">
        <v>25.314582860170201</v>
      </c>
      <c r="P175">
        <v>25.314484992748799</v>
      </c>
      <c r="Q175" t="s">
        <v>51</v>
      </c>
    </row>
    <row r="176" spans="1:17" x14ac:dyDescent="0.2">
      <c r="A176">
        <v>175</v>
      </c>
      <c r="B176">
        <v>774</v>
      </c>
      <c r="C176">
        <v>120</v>
      </c>
      <c r="D176">
        <v>0.47792627608270499</v>
      </c>
      <c r="E176">
        <v>109.69022953312999</v>
      </c>
      <c r="F176">
        <v>1.47481212144568</v>
      </c>
      <c r="G176">
        <v>-1831.6628352146915</v>
      </c>
      <c r="H176">
        <v>-1507.1534941315824</v>
      </c>
      <c r="I176">
        <v>309.902923471517</v>
      </c>
      <c r="J176">
        <v>159.82379562307099</v>
      </c>
      <c r="K176">
        <v>74.375730940973199</v>
      </c>
      <c r="L176">
        <v>0.19543981151192966</v>
      </c>
      <c r="M176">
        <v>-0.19424974064333461</v>
      </c>
      <c r="N176">
        <v>14.4741423430661</v>
      </c>
      <c r="O176">
        <v>14.4742460233233</v>
      </c>
      <c r="P176">
        <v>14.4741374388996</v>
      </c>
      <c r="Q176" t="s">
        <v>51</v>
      </c>
    </row>
    <row r="177" spans="1:17" x14ac:dyDescent="0.2">
      <c r="A177">
        <v>176</v>
      </c>
      <c r="B177">
        <v>773</v>
      </c>
      <c r="C177">
        <v>120</v>
      </c>
      <c r="D177">
        <v>0.47736032117765198</v>
      </c>
      <c r="E177">
        <v>109.692971112835</v>
      </c>
      <c r="F177">
        <v>1.46407695881082</v>
      </c>
      <c r="G177">
        <v>-1831.3985538597483</v>
      </c>
      <c r="H177">
        <v>-1508.9126156225805</v>
      </c>
      <c r="I177">
        <v>308.265232635313</v>
      </c>
      <c r="J177">
        <v>159.43015498149001</v>
      </c>
      <c r="K177">
        <v>74.922954324704094</v>
      </c>
      <c r="L177">
        <v>0.13215305639012143</v>
      </c>
      <c r="M177">
        <v>-0.13092175102277442</v>
      </c>
      <c r="N177">
        <v>9.8367801185853203</v>
      </c>
      <c r="O177">
        <v>9.8368880519066106</v>
      </c>
      <c r="P177">
        <v>9.8367748604719605</v>
      </c>
      <c r="Q177" t="s">
        <v>51</v>
      </c>
    </row>
    <row r="178" spans="1:17" x14ac:dyDescent="0.2">
      <c r="A178">
        <v>177</v>
      </c>
      <c r="B178">
        <v>772</v>
      </c>
      <c r="C178">
        <v>120</v>
      </c>
      <c r="D178">
        <v>0.47679328326077502</v>
      </c>
      <c r="E178">
        <v>109.693036533724</v>
      </c>
      <c r="F178">
        <v>1.45639532537712</v>
      </c>
      <c r="G178">
        <v>-1831.0920957190563</v>
      </c>
      <c r="H178">
        <v>-1510.2733642823434</v>
      </c>
      <c r="I178">
        <v>306.96516444260402</v>
      </c>
      <c r="J178">
        <v>159.128477604452</v>
      </c>
      <c r="K178">
        <v>75.318174002872496</v>
      </c>
      <c r="L178">
        <v>8.4338735095309592E-2</v>
      </c>
      <c r="M178">
        <v>-8.307599785907431E-2</v>
      </c>
      <c r="N178">
        <v>6.2856599928667798</v>
      </c>
      <c r="O178">
        <v>6.2857711436395203</v>
      </c>
      <c r="P178">
        <v>6.2856544116131099</v>
      </c>
      <c r="Q178" t="s">
        <v>51</v>
      </c>
    </row>
    <row r="179" spans="1:17" x14ac:dyDescent="0.2">
      <c r="A179">
        <v>178</v>
      </c>
      <c r="B179">
        <v>771</v>
      </c>
      <c r="C179">
        <v>120</v>
      </c>
      <c r="D179">
        <v>0.47622515922041903</v>
      </c>
      <c r="E179">
        <v>109.692951565852</v>
      </c>
      <c r="F179">
        <v>1.4535770825726499</v>
      </c>
      <c r="G179">
        <v>-1830.7841175586755</v>
      </c>
      <c r="H179">
        <v>-1510.9929855476832</v>
      </c>
      <c r="I179">
        <v>306.27507902206997</v>
      </c>
      <c r="J179">
        <v>159.01563552328099</v>
      </c>
      <c r="K179">
        <v>75.464144888490793</v>
      </c>
      <c r="L179">
        <v>6.2221794113213873E-2</v>
      </c>
      <c r="M179">
        <v>-6.0943944618568065E-2</v>
      </c>
      <c r="N179">
        <v>4.6279452194945101</v>
      </c>
      <c r="O179">
        <v>4.62805781206327</v>
      </c>
      <c r="P179">
        <v>4.6279393861063802</v>
      </c>
      <c r="Q179" t="s">
        <v>51</v>
      </c>
    </row>
    <row r="180" spans="1:17" x14ac:dyDescent="0.2">
      <c r="A180">
        <v>179</v>
      </c>
      <c r="B180">
        <v>807</v>
      </c>
      <c r="C180">
        <v>100</v>
      </c>
      <c r="D180">
        <v>0.516382446882378</v>
      </c>
      <c r="E180">
        <v>109.682090737111</v>
      </c>
      <c r="F180">
        <v>1.4097620938100901</v>
      </c>
      <c r="G180">
        <v>-1843.635154489069</v>
      </c>
      <c r="H180">
        <v>-1491.1850144765244</v>
      </c>
      <c r="I180">
        <v>326.30118114312199</v>
      </c>
      <c r="J180">
        <v>161.61652196217699</v>
      </c>
      <c r="K180">
        <v>77.801844168386793</v>
      </c>
      <c r="L180">
        <v>0.59918547436661462</v>
      </c>
      <c r="M180">
        <v>-0.59809511933225001</v>
      </c>
      <c r="N180">
        <v>46.564945736707699</v>
      </c>
      <c r="O180">
        <v>46.565071771018999</v>
      </c>
      <c r="P180">
        <v>46.564950835261101</v>
      </c>
      <c r="Q180" t="s">
        <v>51</v>
      </c>
    </row>
    <row r="181" spans="1:17" x14ac:dyDescent="0.2">
      <c r="A181">
        <v>180</v>
      </c>
      <c r="B181">
        <v>806</v>
      </c>
      <c r="C181">
        <v>100</v>
      </c>
      <c r="D181">
        <v>0.51586943427697896</v>
      </c>
      <c r="E181">
        <v>109.68210841689201</v>
      </c>
      <c r="F181">
        <v>1.4102341436784001</v>
      </c>
      <c r="G181">
        <v>-1843.3092302401565</v>
      </c>
      <c r="H181">
        <v>-1491.3965585044455</v>
      </c>
      <c r="I181">
        <v>326.10550852170098</v>
      </c>
      <c r="J181">
        <v>161.60606960018799</v>
      </c>
      <c r="K181">
        <v>77.775813972849505</v>
      </c>
      <c r="L181">
        <v>0.59773100941407686</v>
      </c>
      <c r="M181">
        <v>-0.596638313465081</v>
      </c>
      <c r="N181">
        <v>46.4360794240174</v>
      </c>
      <c r="O181">
        <v>46.436205786711398</v>
      </c>
      <c r="P181">
        <v>46.436084618415101</v>
      </c>
      <c r="Q181" t="s">
        <v>51</v>
      </c>
    </row>
    <row r="182" spans="1:17" x14ac:dyDescent="0.2">
      <c r="A182">
        <v>181</v>
      </c>
      <c r="B182">
        <v>805</v>
      </c>
      <c r="C182">
        <v>100</v>
      </c>
      <c r="D182">
        <v>0.51535547001808601</v>
      </c>
      <c r="E182">
        <v>109.682124257731</v>
      </c>
      <c r="F182">
        <v>1.41041703357245</v>
      </c>
      <c r="G182">
        <v>-1842.9834896528898</v>
      </c>
      <c r="H182">
        <v>-1491.6311933759578</v>
      </c>
      <c r="I182">
        <v>325.88822938861</v>
      </c>
      <c r="J182">
        <v>161.58406403654499</v>
      </c>
      <c r="K182">
        <v>77.765739952754998</v>
      </c>
      <c r="L182">
        <v>0.59540226871153445</v>
      </c>
      <c r="M182">
        <v>-0.59430650674410457</v>
      </c>
      <c r="N182">
        <v>46.248767654482101</v>
      </c>
      <c r="O182">
        <v>46.248894453748001</v>
      </c>
      <c r="P182">
        <v>46.248772949329897</v>
      </c>
      <c r="Q182" t="s">
        <v>51</v>
      </c>
    </row>
    <row r="183" spans="1:17" x14ac:dyDescent="0.2">
      <c r="A183">
        <v>182</v>
      </c>
      <c r="B183">
        <v>804</v>
      </c>
      <c r="C183">
        <v>100</v>
      </c>
      <c r="D183">
        <v>0.514840551455232</v>
      </c>
      <c r="E183">
        <v>109.682140095639</v>
      </c>
      <c r="F183">
        <v>1.4106054064447999</v>
      </c>
      <c r="G183">
        <v>-1842.6579662739773</v>
      </c>
      <c r="H183">
        <v>-1491.8656245971395</v>
      </c>
      <c r="I183">
        <v>325.67093753575102</v>
      </c>
      <c r="J183">
        <v>161.56262852883</v>
      </c>
      <c r="K183">
        <v>77.7553663090481</v>
      </c>
      <c r="L183">
        <v>0.59307332694486636</v>
      </c>
      <c r="M183">
        <v>-0.59197449273975378</v>
      </c>
      <c r="N183">
        <v>46.061309028499998</v>
      </c>
      <c r="O183">
        <v>46.061436265088297</v>
      </c>
      <c r="P183">
        <v>46.061314423729399</v>
      </c>
      <c r="Q183" t="s">
        <v>51</v>
      </c>
    </row>
    <row r="184" spans="1:17" x14ac:dyDescent="0.2">
      <c r="A184">
        <v>183</v>
      </c>
      <c r="B184">
        <v>803</v>
      </c>
      <c r="C184">
        <v>100</v>
      </c>
      <c r="D184">
        <v>0.51432467592807896</v>
      </c>
      <c r="E184">
        <v>109.682155932371</v>
      </c>
      <c r="F184">
        <v>1.4107996200244299</v>
      </c>
      <c r="G184">
        <v>-1842.3326601342676</v>
      </c>
      <c r="H184">
        <v>-1492.0998292568047</v>
      </c>
      <c r="I184">
        <v>325.45365424239901</v>
      </c>
      <c r="J184">
        <v>161.541772614721</v>
      </c>
      <c r="K184">
        <v>77.744673570631605</v>
      </c>
      <c r="L184">
        <v>0.59074510054526874</v>
      </c>
      <c r="M184">
        <v>-0.58964318871083166</v>
      </c>
      <c r="N184">
        <v>45.873765445573</v>
      </c>
      <c r="O184">
        <v>45.873893120091502</v>
      </c>
      <c r="P184">
        <v>45.8737709410834</v>
      </c>
      <c r="Q184" t="s">
        <v>51</v>
      </c>
    </row>
    <row r="185" spans="1:17" x14ac:dyDescent="0.2">
      <c r="A185">
        <v>184</v>
      </c>
      <c r="B185">
        <v>802</v>
      </c>
      <c r="C185">
        <v>100</v>
      </c>
      <c r="D185">
        <v>0.51380784076640695</v>
      </c>
      <c r="E185">
        <v>109.68217176972099</v>
      </c>
      <c r="F185">
        <v>1.41100002038109</v>
      </c>
      <c r="G185">
        <v>-1842.0075712443249</v>
      </c>
      <c r="H185">
        <v>-1492.3337852183065</v>
      </c>
      <c r="I185">
        <v>325.23640012782602</v>
      </c>
      <c r="J185">
        <v>161.521505516319</v>
      </c>
      <c r="K185">
        <v>77.733642937933396</v>
      </c>
      <c r="L185">
        <v>0.58841847867538843</v>
      </c>
      <c r="M185">
        <v>-0.5873134846257142</v>
      </c>
      <c r="N185">
        <v>45.686197220797403</v>
      </c>
      <c r="O185">
        <v>45.686325333713803</v>
      </c>
      <c r="P185">
        <v>45.686202816455001</v>
      </c>
      <c r="Q185" t="s">
        <v>51</v>
      </c>
    </row>
    <row r="186" spans="1:17" x14ac:dyDescent="0.2">
      <c r="A186">
        <v>185</v>
      </c>
      <c r="B186">
        <v>801</v>
      </c>
      <c r="C186">
        <v>100</v>
      </c>
      <c r="D186">
        <v>0.51329004329004402</v>
      </c>
      <c r="E186">
        <v>109.68218760947499</v>
      </c>
      <c r="F186">
        <v>1.4112069411558299</v>
      </c>
      <c r="G186">
        <v>-1841.6826995942956</v>
      </c>
      <c r="H186">
        <v>-1492.5674711789964</v>
      </c>
      <c r="I186">
        <v>325.01919509276797</v>
      </c>
      <c r="J186">
        <v>161.50183613433401</v>
      </c>
      <c r="K186">
        <v>77.722256325950895</v>
      </c>
      <c r="L186">
        <v>0.58609432072597722</v>
      </c>
      <c r="M186">
        <v>-0.58498624065680538</v>
      </c>
      <c r="N186">
        <v>45.4986629058834</v>
      </c>
      <c r="O186">
        <v>45.498791457527801</v>
      </c>
      <c r="P186">
        <v>45.4986686015204</v>
      </c>
      <c r="Q186" t="s">
        <v>51</v>
      </c>
    </row>
    <row r="187" spans="1:17" x14ac:dyDescent="0.2">
      <c r="A187">
        <v>186</v>
      </c>
      <c r="B187">
        <v>800</v>
      </c>
      <c r="C187">
        <v>100</v>
      </c>
      <c r="D187">
        <v>0.51277128080883805</v>
      </c>
      <c r="E187">
        <v>109.68220345342201</v>
      </c>
      <c r="F187">
        <v>1.4114207029355501</v>
      </c>
      <c r="G187">
        <v>-1841.3580451548728</v>
      </c>
      <c r="H187">
        <v>-1492.8008667208649</v>
      </c>
      <c r="I187">
        <v>324.80205826978698</v>
      </c>
      <c r="J187">
        <v>161.482773046049</v>
      </c>
      <c r="K187">
        <v>77.710496399337003</v>
      </c>
      <c r="L187">
        <v>0.58377345420831528</v>
      </c>
      <c r="M187">
        <v>-0.58266228507109363</v>
      </c>
      <c r="N187">
        <v>45.311219135711802</v>
      </c>
      <c r="O187">
        <v>45.311348126279299</v>
      </c>
      <c r="P187">
        <v>45.311224931124997</v>
      </c>
      <c r="Q187" t="s">
        <v>51</v>
      </c>
    </row>
    <row r="188" spans="1:17" x14ac:dyDescent="0.2">
      <c r="A188">
        <v>187</v>
      </c>
      <c r="B188">
        <v>799</v>
      </c>
      <c r="C188">
        <v>100</v>
      </c>
      <c r="D188">
        <v>0.51225155062258299</v>
      </c>
      <c r="E188">
        <v>109.682219303339</v>
      </c>
      <c r="F188">
        <v>1.4116416127779701</v>
      </c>
      <c r="G188">
        <v>-1841.0336078777952</v>
      </c>
      <c r="H188">
        <v>-1493.033952349916</v>
      </c>
      <c r="I188">
        <v>324.58500798344102</v>
      </c>
      <c r="J188">
        <v>161.46432450755</v>
      </c>
      <c r="K188">
        <v>77.698346599102607</v>
      </c>
      <c r="L188">
        <v>0.58145667308545856</v>
      </c>
      <c r="M188">
        <v>-0.58034241255989527</v>
      </c>
      <c r="N188">
        <v>45.1239205036862</v>
      </c>
      <c r="O188">
        <v>45.124049933240499</v>
      </c>
      <c r="P188">
        <v>45.123926398636499</v>
      </c>
      <c r="Q188" t="s">
        <v>51</v>
      </c>
    </row>
    <row r="189" spans="1:17" x14ac:dyDescent="0.2">
      <c r="A189">
        <v>188</v>
      </c>
      <c r="B189">
        <v>798</v>
      </c>
      <c r="C189">
        <v>100</v>
      </c>
      <c r="D189">
        <v>0.51173085002101004</v>
      </c>
      <c r="E189">
        <v>109.682235161012</v>
      </c>
      <c r="F189">
        <v>1.41186996384849</v>
      </c>
      <c r="G189">
        <v>-1840.7093876970825</v>
      </c>
      <c r="H189">
        <v>-1493.2667095280872</v>
      </c>
      <c r="I189">
        <v>324.36806171786998</v>
      </c>
      <c r="J189">
        <v>161.44649845892201</v>
      </c>
      <c r="K189">
        <v>77.685791163117202</v>
      </c>
      <c r="L189">
        <v>0.57914473643805675</v>
      </c>
      <c r="M189">
        <v>-0.57802738290343636</v>
      </c>
      <c r="N189">
        <v>44.936819459197203</v>
      </c>
      <c r="O189">
        <v>44.936949327673702</v>
      </c>
      <c r="P189">
        <v>44.936825453408602</v>
      </c>
      <c r="Q189" t="s">
        <v>51</v>
      </c>
    </row>
    <row r="190" spans="1:17" x14ac:dyDescent="0.2">
      <c r="A190">
        <v>189</v>
      </c>
      <c r="B190">
        <v>797</v>
      </c>
      <c r="C190">
        <v>100</v>
      </c>
      <c r="D190">
        <v>0.511209176283699</v>
      </c>
      <c r="E190">
        <v>109.68225102818801</v>
      </c>
      <c r="F190">
        <v>1.41210603520706</v>
      </c>
      <c r="G190">
        <v>-1840.3853845290598</v>
      </c>
      <c r="H190">
        <v>-1493.4991206936431</v>
      </c>
      <c r="I190">
        <v>324.15123609384199</v>
      </c>
      <c r="J190">
        <v>161.42930253332401</v>
      </c>
      <c r="K190">
        <v>77.672815138209501</v>
      </c>
      <c r="L190">
        <v>0.57683836756919071</v>
      </c>
      <c r="M190">
        <v>-0.57571792007482192</v>
      </c>
      <c r="N190">
        <v>44.749966234176199</v>
      </c>
      <c r="O190">
        <v>44.750096541385297</v>
      </c>
      <c r="P190">
        <v>44.749972327334604</v>
      </c>
      <c r="Q190" t="s">
        <v>51</v>
      </c>
    </row>
    <row r="191" spans="1:17" x14ac:dyDescent="0.2">
      <c r="A191">
        <v>190</v>
      </c>
      <c r="B191">
        <v>796</v>
      </c>
      <c r="C191">
        <v>100</v>
      </c>
      <c r="D191">
        <v>0.51068652668007097</v>
      </c>
      <c r="E191">
        <v>109.682266906584</v>
      </c>
      <c r="F191">
        <v>1.4123500916962399</v>
      </c>
      <c r="G191">
        <v>-1840.0615982733834</v>
      </c>
      <c r="H191">
        <v>-1493.7311692741318</v>
      </c>
      <c r="I191">
        <v>323.93454685355698</v>
      </c>
      <c r="J191">
        <v>161.412744069382</v>
      </c>
      <c r="K191">
        <v>77.659404386666694</v>
      </c>
      <c r="L191">
        <v>0.57453825345102483</v>
      </c>
      <c r="M191">
        <v>-0.57341471168607772</v>
      </c>
      <c r="N191">
        <v>44.563408792939299</v>
      </c>
      <c r="O191">
        <v>44.563539538570097</v>
      </c>
      <c r="P191">
        <v>44.563414984691697</v>
      </c>
      <c r="Q191" t="s">
        <v>51</v>
      </c>
    </row>
    <row r="192" spans="1:17" x14ac:dyDescent="0.2">
      <c r="A192">
        <v>191</v>
      </c>
      <c r="B192">
        <v>795</v>
      </c>
      <c r="C192">
        <v>100</v>
      </c>
      <c r="D192">
        <v>0.51016289846931695</v>
      </c>
      <c r="E192">
        <v>109.682282797892</v>
      </c>
      <c r="F192">
        <v>1.4126023839559301</v>
      </c>
      <c r="G192">
        <v>-1839.7380288139725</v>
      </c>
      <c r="H192">
        <v>-1493.9628396907576</v>
      </c>
      <c r="I192">
        <v>323.71800885331498</v>
      </c>
      <c r="J192">
        <v>161.39683012657801</v>
      </c>
      <c r="K192">
        <v>77.645545585681205</v>
      </c>
      <c r="L192">
        <v>0.57224504454512104</v>
      </c>
      <c r="M192">
        <v>-0.57111840880816844</v>
      </c>
      <c r="N192">
        <v>44.377192807073001</v>
      </c>
      <c r="O192">
        <v>44.377323990697001</v>
      </c>
      <c r="P192">
        <v>44.377199097026697</v>
      </c>
      <c r="Q192" t="s">
        <v>51</v>
      </c>
    </row>
    <row r="193" spans="1:17" x14ac:dyDescent="0.2">
      <c r="A193">
        <v>192</v>
      </c>
      <c r="B193">
        <v>794</v>
      </c>
      <c r="C193">
        <v>100</v>
      </c>
      <c r="D193">
        <v>0.50963828890034402</v>
      </c>
      <c r="E193">
        <v>109.682298703795</v>
      </c>
      <c r="F193">
        <v>1.41286314853175</v>
      </c>
      <c r="G193">
        <v>-1839.4146760202377</v>
      </c>
      <c r="H193">
        <v>-1494.194117355476</v>
      </c>
      <c r="I193">
        <v>323.50163606323798</v>
      </c>
      <c r="J193">
        <v>161.38156750359701</v>
      </c>
      <c r="K193">
        <v>77.631226221574906</v>
      </c>
      <c r="L193">
        <v>0.56995935494631822</v>
      </c>
      <c r="M193">
        <v>-0.56882962611482735</v>
      </c>
      <c r="N193">
        <v>44.191361652630199</v>
      </c>
      <c r="O193">
        <v>44.191493273704999</v>
      </c>
      <c r="P193">
        <v>44.191368040351698</v>
      </c>
      <c r="Q193" t="s">
        <v>51</v>
      </c>
    </row>
    <row r="194" spans="1:17" x14ac:dyDescent="0.2">
      <c r="A194">
        <v>193</v>
      </c>
      <c r="B194">
        <v>793</v>
      </c>
      <c r="C194">
        <v>100</v>
      </c>
      <c r="D194">
        <v>0.50911269521174396</v>
      </c>
      <c r="E194">
        <v>109.682314625939</v>
      </c>
      <c r="F194">
        <v>1.4131326080878699</v>
      </c>
      <c r="G194">
        <v>-1839.0915397474289</v>
      </c>
      <c r="H194">
        <v>-1494.4249886594816</v>
      </c>
      <c r="I194">
        <v>323.28544157424102</v>
      </c>
      <c r="J194">
        <v>161.36696275962501</v>
      </c>
      <c r="K194">
        <v>77.6164345781756</v>
      </c>
      <c r="L194">
        <v>0.56768176287264172</v>
      </c>
      <c r="M194">
        <v>-0.5665489423726876</v>
      </c>
      <c r="N194">
        <v>44.005956431114498</v>
      </c>
      <c r="O194">
        <v>44.006088488987302</v>
      </c>
      <c r="P194">
        <v>44.005962916128802</v>
      </c>
      <c r="Q194" t="s">
        <v>51</v>
      </c>
    </row>
    <row r="195" spans="1:17" x14ac:dyDescent="0.2">
      <c r="A195">
        <v>194</v>
      </c>
      <c r="B195">
        <v>792</v>
      </c>
      <c r="C195">
        <v>100</v>
      </c>
      <c r="D195">
        <v>0.50858611463174297</v>
      </c>
      <c r="E195">
        <v>109.68233056593201</v>
      </c>
      <c r="F195">
        <v>1.41341097168872</v>
      </c>
      <c r="G195">
        <v>-1838.7686198375513</v>
      </c>
      <c r="H195">
        <v>-1494.655440956336</v>
      </c>
      <c r="I195">
        <v>323.0694376106</v>
      </c>
      <c r="J195">
        <v>161.35302223802401</v>
      </c>
      <c r="K195">
        <v>77.601159721354705</v>
      </c>
      <c r="L195">
        <v>0.56541281141884336</v>
      </c>
      <c r="M195">
        <v>-0.56427690119523644</v>
      </c>
      <c r="N195">
        <v>43.821016009074803</v>
      </c>
      <c r="O195">
        <v>43.821148502985899</v>
      </c>
      <c r="P195">
        <v>43.821022590864203</v>
      </c>
      <c r="Q195" t="s">
        <v>51</v>
      </c>
    </row>
    <row r="196" spans="1:17" x14ac:dyDescent="0.2">
      <c r="A196">
        <v>195</v>
      </c>
      <c r="B196">
        <v>791</v>
      </c>
      <c r="C196">
        <v>100</v>
      </c>
      <c r="D196">
        <v>0.50805854437814801</v>
      </c>
      <c r="E196">
        <v>109.682352469788</v>
      </c>
      <c r="F196">
        <v>1.41178551789866</v>
      </c>
      <c r="G196">
        <v>-1838.446066768691</v>
      </c>
      <c r="H196">
        <v>-1495.0726554372047</v>
      </c>
      <c r="I196">
        <v>322.677894692309</v>
      </c>
      <c r="J196">
        <v>161.29229310658801</v>
      </c>
      <c r="K196">
        <v>77.690521031156607</v>
      </c>
      <c r="L196">
        <v>0.55510597473604373</v>
      </c>
      <c r="M196">
        <v>-0.55396101604957737</v>
      </c>
      <c r="N196">
        <v>43.070232150998301</v>
      </c>
      <c r="O196">
        <v>43.070365947751299</v>
      </c>
      <c r="P196">
        <v>43.070238874843298</v>
      </c>
      <c r="Q196" t="s">
        <v>51</v>
      </c>
    </row>
    <row r="197" spans="1:17" x14ac:dyDescent="0.2">
      <c r="A197">
        <v>196</v>
      </c>
      <c r="B197">
        <v>790</v>
      </c>
      <c r="C197">
        <v>100</v>
      </c>
      <c r="D197">
        <v>0.507529981658283</v>
      </c>
      <c r="E197">
        <v>109.68237740658201</v>
      </c>
      <c r="F197">
        <v>1.4087334272523799</v>
      </c>
      <c r="G197">
        <v>-1838.124053025467</v>
      </c>
      <c r="H197">
        <v>-1495.6315013872552</v>
      </c>
      <c r="I197">
        <v>322.15292350644398</v>
      </c>
      <c r="J197">
        <v>161.194349651137</v>
      </c>
      <c r="K197">
        <v>77.858859089124493</v>
      </c>
      <c r="L197">
        <v>0.53866494324313174</v>
      </c>
      <c r="M197">
        <v>-0.53750643593823644</v>
      </c>
      <c r="N197">
        <v>41.882748014594497</v>
      </c>
      <c r="O197">
        <v>41.882883775696698</v>
      </c>
      <c r="P197">
        <v>41.882754916318902</v>
      </c>
      <c r="Q197" t="s">
        <v>51</v>
      </c>
    </row>
    <row r="198" spans="1:17" x14ac:dyDescent="0.2">
      <c r="A198">
        <v>197</v>
      </c>
      <c r="B198">
        <v>789</v>
      </c>
      <c r="C198">
        <v>100</v>
      </c>
      <c r="D198">
        <v>0.50700042366897302</v>
      </c>
      <c r="E198">
        <v>109.682400941881</v>
      </c>
      <c r="F198">
        <v>1.40521644959548</v>
      </c>
      <c r="G198">
        <v>-1837.8025620790854</v>
      </c>
      <c r="H198">
        <v>-1496.2391034123482</v>
      </c>
      <c r="I198">
        <v>321.58155963941101</v>
      </c>
      <c r="J198">
        <v>161.08023928712601</v>
      </c>
      <c r="K198">
        <v>78.053741096935696</v>
      </c>
      <c r="L198">
        <v>0.52004308900225937</v>
      </c>
      <c r="M198">
        <v>-0.51886952067962178</v>
      </c>
      <c r="N198">
        <v>40.533269271323803</v>
      </c>
      <c r="O198">
        <v>40.533407227812297</v>
      </c>
      <c r="P198">
        <v>40.533276364543902</v>
      </c>
      <c r="Q198" t="s">
        <v>51</v>
      </c>
    </row>
    <row r="199" spans="1:17" x14ac:dyDescent="0.2">
      <c r="A199">
        <v>198</v>
      </c>
      <c r="B199">
        <v>788</v>
      </c>
      <c r="C199">
        <v>100</v>
      </c>
      <c r="D199">
        <v>0.50646986759647905</v>
      </c>
      <c r="E199">
        <v>109.682421638997</v>
      </c>
      <c r="F199">
        <v>1.4007269156947699</v>
      </c>
      <c r="G199">
        <v>-1837.4816373486001</v>
      </c>
      <c r="H199">
        <v>-1496.9479431596505</v>
      </c>
      <c r="I199">
        <v>320.91426266812499</v>
      </c>
      <c r="J199">
        <v>160.93101331939801</v>
      </c>
      <c r="K199">
        <v>78.303929488349993</v>
      </c>
      <c r="L199">
        <v>0.49691328461503337</v>
      </c>
      <c r="M199">
        <v>-0.49572155223723885</v>
      </c>
      <c r="N199">
        <v>38.851071083962502</v>
      </c>
      <c r="O199">
        <v>38.851211706294499</v>
      </c>
      <c r="P199">
        <v>38.851078395496401</v>
      </c>
      <c r="Q199" t="s">
        <v>51</v>
      </c>
    </row>
    <row r="200" spans="1:17" x14ac:dyDescent="0.2">
      <c r="A200">
        <v>199</v>
      </c>
      <c r="B200">
        <v>787</v>
      </c>
      <c r="C200">
        <v>100</v>
      </c>
      <c r="D200">
        <v>0.50593831061642502</v>
      </c>
      <c r="E200">
        <v>109.682431540583</v>
      </c>
      <c r="F200">
        <v>1.39241582094292</v>
      </c>
      <c r="G200">
        <v>-1837.1613199497265</v>
      </c>
      <c r="H200">
        <v>-1498.0628472929861</v>
      </c>
      <c r="I200">
        <v>319.86330866904302</v>
      </c>
      <c r="J200">
        <v>160.63556354929599</v>
      </c>
      <c r="K200">
        <v>78.7713195231497</v>
      </c>
      <c r="L200">
        <v>0.45605707534099543</v>
      </c>
      <c r="M200">
        <v>-0.45483510849839365</v>
      </c>
      <c r="N200">
        <v>35.8630892284515</v>
      </c>
      <c r="O200">
        <v>35.8632343374586</v>
      </c>
      <c r="P200">
        <v>35.863096858857801</v>
      </c>
      <c r="Q200" t="s">
        <v>51</v>
      </c>
    </row>
    <row r="201" spans="1:17" x14ac:dyDescent="0.2">
      <c r="A201">
        <v>200</v>
      </c>
      <c r="B201">
        <v>786</v>
      </c>
      <c r="C201">
        <v>100</v>
      </c>
      <c r="D201">
        <v>0.50540574989378495</v>
      </c>
      <c r="E201">
        <v>109.682415589771</v>
      </c>
      <c r="F201">
        <v>1.37716943820497</v>
      </c>
      <c r="G201">
        <v>-1836.8421299319577</v>
      </c>
      <c r="H201">
        <v>-1499.9766368856169</v>
      </c>
      <c r="I201">
        <v>318.05726678173897</v>
      </c>
      <c r="J201">
        <v>160.045882325279</v>
      </c>
      <c r="K201">
        <v>79.643370341366705</v>
      </c>
      <c r="L201">
        <v>0.38212841588846325</v>
      </c>
      <c r="M201">
        <v>-0.38085400032504552</v>
      </c>
      <c r="N201">
        <v>30.369451035639798</v>
      </c>
      <c r="O201">
        <v>30.369604063815999</v>
      </c>
      <c r="P201">
        <v>30.369459175254701</v>
      </c>
      <c r="Q201" t="s">
        <v>51</v>
      </c>
    </row>
    <row r="202" spans="1:17" x14ac:dyDescent="0.2">
      <c r="A202">
        <v>201</v>
      </c>
      <c r="B202">
        <v>785</v>
      </c>
      <c r="C202">
        <v>100</v>
      </c>
      <c r="D202">
        <v>0.50487218258281097</v>
      </c>
      <c r="E202">
        <v>109.68239800726801</v>
      </c>
      <c r="F202">
        <v>1.3658854022448399</v>
      </c>
      <c r="G202">
        <v>-1836.5245314587778</v>
      </c>
      <c r="H202">
        <v>-1501.5079320529044</v>
      </c>
      <c r="I202">
        <v>316.61073825532299</v>
      </c>
      <c r="J202">
        <v>159.59187625446799</v>
      </c>
      <c r="K202">
        <v>80.301317978070898</v>
      </c>
      <c r="L202">
        <v>0.32564108255173857</v>
      </c>
      <c r="M202">
        <v>-0.32432627822017879</v>
      </c>
      <c r="N202">
        <v>26.0821860020298</v>
      </c>
      <c r="O202">
        <v>26.082345233030001</v>
      </c>
      <c r="P202">
        <v>26.0821945629806</v>
      </c>
      <c r="Q202" t="s">
        <v>51</v>
      </c>
    </row>
    <row r="203" spans="1:17" x14ac:dyDescent="0.2">
      <c r="A203">
        <v>202</v>
      </c>
      <c r="B203">
        <v>784</v>
      </c>
      <c r="C203">
        <v>100</v>
      </c>
      <c r="D203">
        <v>0.50433760582698905</v>
      </c>
      <c r="E203">
        <v>109.687362979</v>
      </c>
      <c r="F203">
        <v>1.3448063415475799</v>
      </c>
      <c r="G203">
        <v>-1836.2901415703948</v>
      </c>
      <c r="H203">
        <v>-1504.3191551308125</v>
      </c>
      <c r="I203">
        <v>314.02960055398802</v>
      </c>
      <c r="J203">
        <v>158.683693192118</v>
      </c>
      <c r="K203">
        <v>81.563686599495199</v>
      </c>
      <c r="L203">
        <v>0.22459643658573991</v>
      </c>
      <c r="M203">
        <v>-0.22321028359395073</v>
      </c>
      <c r="N203">
        <v>18.2468292735362</v>
      </c>
      <c r="O203">
        <v>18.2469997816569</v>
      </c>
      <c r="P203">
        <v>18.246838543940601</v>
      </c>
      <c r="Q203" t="s">
        <v>51</v>
      </c>
    </row>
    <row r="204" spans="1:17" x14ac:dyDescent="0.2">
      <c r="A204">
        <v>203</v>
      </c>
      <c r="B204">
        <v>783</v>
      </c>
      <c r="C204">
        <v>100</v>
      </c>
      <c r="D204">
        <v>0.50380201675898495</v>
      </c>
      <c r="E204">
        <v>109.691420150936</v>
      </c>
      <c r="F204">
        <v>1.3295568676538501</v>
      </c>
      <c r="G204">
        <v>-1836.0434839154893</v>
      </c>
      <c r="H204">
        <v>-1506.5272733773384</v>
      </c>
      <c r="I204">
        <v>312.00292139767998</v>
      </c>
      <c r="J204">
        <v>157.98501913078701</v>
      </c>
      <c r="K204">
        <v>82.502240272353703</v>
      </c>
      <c r="L204">
        <v>0.14930353421681017</v>
      </c>
      <c r="M204">
        <v>-0.14786390646322212</v>
      </c>
      <c r="N204">
        <v>12.2420545706266</v>
      </c>
      <c r="O204">
        <v>12.2422337387334</v>
      </c>
      <c r="P204">
        <v>12.242064412938699</v>
      </c>
      <c r="Q204" t="s">
        <v>51</v>
      </c>
    </row>
    <row r="205" spans="1:17" x14ac:dyDescent="0.2">
      <c r="A205">
        <v>204</v>
      </c>
      <c r="B205">
        <v>782</v>
      </c>
      <c r="C205">
        <v>100</v>
      </c>
      <c r="D205">
        <v>0.50326541250059598</v>
      </c>
      <c r="E205">
        <v>109.69344208253401</v>
      </c>
      <c r="F205">
        <v>1.32181378927275</v>
      </c>
      <c r="G205">
        <v>-1835.7651499168269</v>
      </c>
      <c r="H205">
        <v>-1507.8316282531396</v>
      </c>
      <c r="I205">
        <v>310.79879321594399</v>
      </c>
      <c r="J205">
        <v>157.61026136241301</v>
      </c>
      <c r="K205">
        <v>82.987061394545506</v>
      </c>
      <c r="L205">
        <v>0.10793121802068217</v>
      </c>
      <c r="M205">
        <v>-0.10646154504182076</v>
      </c>
      <c r="N205">
        <v>8.8789485445156906</v>
      </c>
      <c r="O205">
        <v>8.8791326219095108</v>
      </c>
      <c r="P205">
        <v>8.8789587530635306</v>
      </c>
      <c r="Q205" t="s">
        <v>51</v>
      </c>
    </row>
    <row r="206" spans="1:17" x14ac:dyDescent="0.2">
      <c r="A206">
        <v>205</v>
      </c>
      <c r="B206">
        <v>781</v>
      </c>
      <c r="C206">
        <v>100</v>
      </c>
      <c r="D206">
        <v>0.50272779016268998</v>
      </c>
      <c r="E206">
        <v>109.69331252636</v>
      </c>
      <c r="F206">
        <v>1.31540302149097</v>
      </c>
      <c r="G206">
        <v>-1835.4528647497093</v>
      </c>
      <c r="H206">
        <v>-1508.9656216093979</v>
      </c>
      <c r="I206">
        <v>309.72176491786502</v>
      </c>
      <c r="J206">
        <v>157.27842271347001</v>
      </c>
      <c r="K206">
        <v>83.3914098829013</v>
      </c>
      <c r="L206">
        <v>7.2311832457636088E-2</v>
      </c>
      <c r="M206">
        <v>-7.081602425118845E-2</v>
      </c>
      <c r="N206">
        <v>5.9503792766316304</v>
      </c>
      <c r="O206">
        <v>5.9505676461602599</v>
      </c>
      <c r="P206">
        <v>5.9503898193682998</v>
      </c>
      <c r="Q206" t="s">
        <v>51</v>
      </c>
    </row>
    <row r="207" spans="1:17" x14ac:dyDescent="0.2">
      <c r="A207">
        <v>206</v>
      </c>
      <c r="B207">
        <v>780</v>
      </c>
      <c r="C207">
        <v>100</v>
      </c>
      <c r="D207">
        <v>0.50218914684517901</v>
      </c>
      <c r="E207">
        <v>109.693232111597</v>
      </c>
      <c r="F207">
        <v>1.3129753495305101</v>
      </c>
      <c r="G207">
        <v>-1835.1421528024971</v>
      </c>
      <c r="H207">
        <v>-1509.6010630646599</v>
      </c>
      <c r="I207">
        <v>309.11751280973402</v>
      </c>
      <c r="J207">
        <v>157.140360813862</v>
      </c>
      <c r="K207">
        <v>83.5455381175437</v>
      </c>
      <c r="L207">
        <v>5.5051784920004079E-2</v>
      </c>
      <c r="M207">
        <v>-5.3542487502803507E-2</v>
      </c>
      <c r="N207">
        <v>4.5185724182880396</v>
      </c>
      <c r="O207">
        <v>4.5187629689757003</v>
      </c>
      <c r="P207">
        <v>4.5185831758733901</v>
      </c>
      <c r="Q20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E747-64CC-4E76-9406-0352613FBD57}">
  <sheetPr codeName="Sheet4"/>
  <dimension ref="A1:AI20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300</v>
      </c>
      <c r="D2">
        <v>0.27595058971994302</v>
      </c>
      <c r="E2">
        <v>105.997867260112</v>
      </c>
      <c r="F2">
        <v>2.19083978848878</v>
      </c>
      <c r="G2">
        <v>-1735.6945657316442</v>
      </c>
      <c r="H2">
        <v>-1446.0547092090962</v>
      </c>
      <c r="I2">
        <v>281.16279815808099</v>
      </c>
      <c r="J2">
        <v>143.89803572030399</v>
      </c>
      <c r="K2">
        <v>48.382299708564602</v>
      </c>
      <c r="L2">
        <v>1.6377041134355168E-4</v>
      </c>
      <c r="M2">
        <v>1.7803175582439456E-5</v>
      </c>
      <c r="N2" s="1">
        <v>4.0322445771552403E-6</v>
      </c>
      <c r="O2" s="1">
        <v>1.08918335580739E-7</v>
      </c>
      <c r="P2" s="1">
        <v>-5.5006266308276096E-7</v>
      </c>
      <c r="Q2">
        <v>72.039185291006206</v>
      </c>
      <c r="R2">
        <v>6.5095649359319802E-2</v>
      </c>
      <c r="S2">
        <v>11.9342023825425</v>
      </c>
      <c r="T2">
        <v>0.145530004383401</v>
      </c>
      <c r="V2">
        <v>0.35962640777695398</v>
      </c>
      <c r="W2">
        <v>2.26419649945458E-2</v>
      </c>
      <c r="X2">
        <v>4.7170760405304803E-2</v>
      </c>
      <c r="AA2">
        <v>0.50944421237728399</v>
      </c>
      <c r="AB2">
        <v>3.7453583761811302</v>
      </c>
      <c r="AC2">
        <v>4.3491441093689902</v>
      </c>
      <c r="AD2">
        <v>5.6604912486363399E-3</v>
      </c>
      <c r="AE2">
        <v>6.7769403503555399</v>
      </c>
    </row>
    <row r="3" spans="1:35" x14ac:dyDescent="0.2">
      <c r="A3">
        <v>2</v>
      </c>
      <c r="B3">
        <v>756</v>
      </c>
      <c r="C3">
        <v>300</v>
      </c>
      <c r="D3">
        <v>0.27517903123937498</v>
      </c>
      <c r="E3">
        <v>105.81654657209801</v>
      </c>
      <c r="F3">
        <v>2.1912741397226299</v>
      </c>
      <c r="G3">
        <v>-1732.4057696198422</v>
      </c>
      <c r="H3">
        <v>-1443.6557942961715</v>
      </c>
      <c r="I3">
        <v>280.57132130755502</v>
      </c>
      <c r="J3">
        <v>143.657027020242</v>
      </c>
      <c r="K3">
        <v>48.289962745369998</v>
      </c>
      <c r="L3">
        <v>1.637978604428065E-4</v>
      </c>
      <c r="M3">
        <v>1.7795721060920843E-5</v>
      </c>
      <c r="N3" s="1">
        <v>4.0313944988903496E-6</v>
      </c>
      <c r="O3" s="1">
        <v>1.08673967123886E-7</v>
      </c>
      <c r="P3" s="1">
        <v>-5.49427938156242E-7</v>
      </c>
      <c r="Q3">
        <v>72.000683470658203</v>
      </c>
      <c r="R3">
        <v>6.5207193237011199E-2</v>
      </c>
      <c r="S3">
        <v>11.9546520934533</v>
      </c>
      <c r="T3">
        <v>0.146050102514966</v>
      </c>
      <c r="V3">
        <v>0.35999903827859903</v>
      </c>
      <c r="W3">
        <v>2.2680762865046802E-2</v>
      </c>
      <c r="X3">
        <v>4.7251589302183303E-2</v>
      </c>
      <c r="AA3">
        <v>0.51031716446356401</v>
      </c>
      <c r="AB3">
        <v>3.7517761905931901</v>
      </c>
      <c r="AC3">
        <v>4.3565965336610502</v>
      </c>
      <c r="AD3">
        <v>5.6701907162614602E-3</v>
      </c>
      <c r="AE3">
        <v>6.7791156702565596</v>
      </c>
    </row>
    <row r="4" spans="1:35" x14ac:dyDescent="0.2">
      <c r="A4">
        <v>3</v>
      </c>
      <c r="B4">
        <v>755</v>
      </c>
      <c r="C4">
        <v>300</v>
      </c>
      <c r="D4">
        <v>0.27440597189125798</v>
      </c>
      <c r="E4">
        <v>105.587354881449</v>
      </c>
      <c r="F4">
        <v>2.19172438405498</v>
      </c>
      <c r="G4">
        <v>-1728.3250423244322</v>
      </c>
      <c r="H4">
        <v>-1440.5847297840312</v>
      </c>
      <c r="I4">
        <v>279.86219184010201</v>
      </c>
      <c r="J4">
        <v>143.356423201578</v>
      </c>
      <c r="K4">
        <v>48.175471172200503</v>
      </c>
      <c r="L4">
        <v>1.6385077042438477E-4</v>
      </c>
      <c r="M4">
        <v>1.7788734850322587E-5</v>
      </c>
      <c r="N4" s="1">
        <v>4.0291546444152796E-6</v>
      </c>
      <c r="O4" s="1">
        <v>1.08392160171292E-7</v>
      </c>
      <c r="P4" s="1">
        <v>-5.48676666317822E-7</v>
      </c>
      <c r="Q4">
        <v>71.951653512306905</v>
      </c>
      <c r="R4">
        <v>6.5348734303905698E-2</v>
      </c>
      <c r="S4">
        <v>11.980601289050901</v>
      </c>
      <c r="T4">
        <v>0.14665057577803101</v>
      </c>
      <c r="V4">
        <v>0.360525412125621</v>
      </c>
      <c r="W4">
        <v>2.2729994540488199E-2</v>
      </c>
      <c r="X4">
        <v>4.73541552926868E-2</v>
      </c>
      <c r="AA4">
        <v>0.51142487716099805</v>
      </c>
      <c r="AB4">
        <v>3.75991993023914</v>
      </c>
      <c r="AC4">
        <v>4.3660531179854196</v>
      </c>
      <c r="AD4">
        <v>5.6824986351217402E-3</v>
      </c>
      <c r="AE4">
        <v>6.7820559025806899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105.35931300077399</v>
      </c>
      <c r="F5">
        <v>2.1921744726107302</v>
      </c>
      <c r="G5">
        <v>-1724.2647311152894</v>
      </c>
      <c r="H5">
        <v>-1437.5291668863852</v>
      </c>
      <c r="I5">
        <v>279.156466172325</v>
      </c>
      <c r="J5">
        <v>143.057340301133</v>
      </c>
      <c r="K5">
        <v>48.061554551038299</v>
      </c>
      <c r="L5">
        <v>1.6390381085166643E-4</v>
      </c>
      <c r="M5">
        <v>1.7781750838606667E-5</v>
      </c>
      <c r="N5" s="1">
        <v>4.0269452632514298E-6</v>
      </c>
      <c r="O5" s="1">
        <v>1.08111923273866E-7</v>
      </c>
      <c r="P5" s="1">
        <v>-5.4793084706465398E-7</v>
      </c>
      <c r="Q5">
        <v>71.902637645170699</v>
      </c>
      <c r="R5">
        <v>6.5490176458813804E-2</v>
      </c>
      <c r="S5">
        <v>12.006532350785101</v>
      </c>
      <c r="T5">
        <v>0.14725315866313601</v>
      </c>
      <c r="V5">
        <v>0.36104914228775298</v>
      </c>
      <c r="W5">
        <v>2.2779191811760201E-2</v>
      </c>
      <c r="X5">
        <v>4.74566496078387E-2</v>
      </c>
      <c r="AA5">
        <v>0.51253181576462403</v>
      </c>
      <c r="AB5">
        <v>3.7680579788620601</v>
      </c>
      <c r="AC5">
        <v>4.3755030938422097</v>
      </c>
      <c r="AD5">
        <v>5.69479795293951E-3</v>
      </c>
      <c r="AE5">
        <v>6.7850139987929303</v>
      </c>
    </row>
    <row r="6" spans="1:35" x14ac:dyDescent="0.2">
      <c r="A6">
        <v>5</v>
      </c>
      <c r="B6">
        <v>753</v>
      </c>
      <c r="C6">
        <v>300</v>
      </c>
      <c r="D6">
        <v>0.27285533304097898</v>
      </c>
      <c r="E6">
        <v>105.132411244862</v>
      </c>
      <c r="F6">
        <v>2.19262440474151</v>
      </c>
      <c r="G6">
        <v>-1720.2246658954207</v>
      </c>
      <c r="H6">
        <v>-1434.4889744186805</v>
      </c>
      <c r="I6">
        <v>278.45411633459003</v>
      </c>
      <c r="J6">
        <v>142.75976574215801</v>
      </c>
      <c r="K6">
        <v>47.948208100536903</v>
      </c>
      <c r="L6">
        <v>1.6395698317437488E-4</v>
      </c>
      <c r="M6">
        <v>1.7774769070094382E-5</v>
      </c>
      <c r="N6" s="1">
        <v>4.0247662003604E-6</v>
      </c>
      <c r="O6" s="1">
        <v>1.0783324459287101E-7</v>
      </c>
      <c r="P6" s="1">
        <v>-5.4719044571218699E-7</v>
      </c>
      <c r="Q6">
        <v>71.853635516771106</v>
      </c>
      <c r="R6">
        <v>6.5631520463555804E-2</v>
      </c>
      <c r="S6">
        <v>12.0324454183217</v>
      </c>
      <c r="T6">
        <v>0.1478578640047</v>
      </c>
      <c r="V6">
        <v>0.36157022295783903</v>
      </c>
      <c r="W6">
        <v>2.2828354943844199E-2</v>
      </c>
      <c r="X6">
        <v>4.7559072799681197E-2</v>
      </c>
      <c r="AA6">
        <v>0.51363798623651702</v>
      </c>
      <c r="AB6">
        <v>3.77619038029429</v>
      </c>
      <c r="AC6">
        <v>4.3849465121299902</v>
      </c>
      <c r="AD6">
        <v>5.7070887359604002E-3</v>
      </c>
      <c r="AE6">
        <v>6.7879900623407501</v>
      </c>
    </row>
    <row r="7" spans="1:35" x14ac:dyDescent="0.2">
      <c r="A7">
        <v>6</v>
      </c>
      <c r="B7">
        <v>752</v>
      </c>
      <c r="C7">
        <v>300</v>
      </c>
      <c r="D7">
        <v>0.27207774472028401</v>
      </c>
      <c r="E7">
        <v>104.90664003349001</v>
      </c>
      <c r="F7">
        <v>2.1930741797695301</v>
      </c>
      <c r="G7">
        <v>-1716.2046784206264</v>
      </c>
      <c r="H7">
        <v>-1431.4640226155111</v>
      </c>
      <c r="I7">
        <v>277.755114671135</v>
      </c>
      <c r="J7">
        <v>142.463687087106</v>
      </c>
      <c r="K7">
        <v>47.835427091898602</v>
      </c>
      <c r="L7">
        <v>1.6401028886489936E-4</v>
      </c>
      <c r="M7">
        <v>1.776778959039327E-5</v>
      </c>
      <c r="N7" s="1">
        <v>4.0226173036978002E-6</v>
      </c>
      <c r="O7" s="1">
        <v>1.0755611243795E-7</v>
      </c>
      <c r="P7" s="1">
        <v>-5.4645542810653204E-7</v>
      </c>
      <c r="Q7">
        <v>71.804646773189305</v>
      </c>
      <c r="R7">
        <v>6.5772767079351896E-2</v>
      </c>
      <c r="S7">
        <v>12.058340631219201</v>
      </c>
      <c r="T7">
        <v>0.14846470470642401</v>
      </c>
      <c r="V7">
        <v>0.36208864826154402</v>
      </c>
      <c r="W7">
        <v>2.28774842015118E-2</v>
      </c>
      <c r="X7">
        <v>4.7661425419824897E-2</v>
      </c>
      <c r="AA7">
        <v>0.51474339453404905</v>
      </c>
      <c r="AB7">
        <v>3.7843171783335001</v>
      </c>
      <c r="AC7">
        <v>4.3943834237069304</v>
      </c>
      <c r="AD7">
        <v>5.7193710503769604E-3</v>
      </c>
      <c r="AE7">
        <v>6.7909841982977799</v>
      </c>
    </row>
    <row r="8" spans="1:35" x14ac:dyDescent="0.2">
      <c r="A8">
        <v>7</v>
      </c>
      <c r="B8">
        <v>751</v>
      </c>
      <c r="C8">
        <v>300</v>
      </c>
      <c r="D8">
        <v>0.27129863789483999</v>
      </c>
      <c r="E8">
        <v>104.68198989266899</v>
      </c>
      <c r="F8">
        <v>2.1935237969849601</v>
      </c>
      <c r="G8">
        <v>-1712.2046023188618</v>
      </c>
      <c r="H8">
        <v>-1428.4541831487088</v>
      </c>
      <c r="I8">
        <v>277.05943384284802</v>
      </c>
      <c r="J8">
        <v>142.16909203915401</v>
      </c>
      <c r="K8">
        <v>47.723206849433801</v>
      </c>
      <c r="L8">
        <v>1.6406372941794712E-4</v>
      </c>
      <c r="M8">
        <v>1.7760812446443888E-5</v>
      </c>
      <c r="N8" s="1">
        <v>4.0204984242984598E-6</v>
      </c>
      <c r="O8" s="1">
        <v>1.0728051526817E-7</v>
      </c>
      <c r="P8" s="1">
        <v>-5.4572576063045602E-7</v>
      </c>
      <c r="Q8">
        <v>71.755671059589801</v>
      </c>
      <c r="R8">
        <v>6.5913917065149596E-2</v>
      </c>
      <c r="S8">
        <v>12.0842181286159</v>
      </c>
      <c r="T8">
        <v>0.14907369373739099</v>
      </c>
      <c r="V8">
        <v>0.36260441224898998</v>
      </c>
      <c r="W8">
        <v>2.29265798487455E-2</v>
      </c>
      <c r="X8">
        <v>4.7763708018229503E-2</v>
      </c>
      <c r="AA8">
        <v>0.51584804659681205</v>
      </c>
      <c r="AB8">
        <v>3.7924384166467702</v>
      </c>
      <c r="AC8">
        <v>4.4038138792797401</v>
      </c>
      <c r="AD8">
        <v>5.7316449621852596E-3</v>
      </c>
      <c r="AE8">
        <v>6.7939965133901099</v>
      </c>
    </row>
    <row r="9" spans="1:35" x14ac:dyDescent="0.2">
      <c r="A9">
        <v>8</v>
      </c>
      <c r="B9">
        <v>750</v>
      </c>
      <c r="C9">
        <v>300</v>
      </c>
      <c r="D9">
        <v>0.270518008112205</v>
      </c>
      <c r="E9">
        <v>104.458451446666</v>
      </c>
      <c r="F9">
        <v>2.1939732556528799</v>
      </c>
      <c r="G9">
        <v>-1708.2242729558193</v>
      </c>
      <c r="H9">
        <v>-1425.4593290164673</v>
      </c>
      <c r="I9">
        <v>276.367046805798</v>
      </c>
      <c r="J9">
        <v>141.87596843195701</v>
      </c>
      <c r="K9">
        <v>47.611542746715003</v>
      </c>
      <c r="L9">
        <v>1.6411730635126497E-4</v>
      </c>
      <c r="M9">
        <v>1.7753837686374386E-5</v>
      </c>
      <c r="N9" s="1">
        <v>4.01840941595828E-6</v>
      </c>
      <c r="O9" s="1">
        <v>1.0700644168239301E-7</v>
      </c>
      <c r="P9" s="1">
        <v>-5.45001410165025E-7</v>
      </c>
      <c r="Q9">
        <v>71.706708018926093</v>
      </c>
      <c r="R9">
        <v>6.6054971181754699E-2</v>
      </c>
      <c r="S9">
        <v>12.110078049995201</v>
      </c>
      <c r="T9">
        <v>0.14968484414302399</v>
      </c>
      <c r="V9">
        <v>0.36311750891512101</v>
      </c>
      <c r="W9">
        <v>2.2975642150172799E-2</v>
      </c>
      <c r="X9">
        <v>4.7865921146205803E-2</v>
      </c>
      <c r="AA9">
        <v>0.51695194837893499</v>
      </c>
      <c r="AB9">
        <v>3.8005541390078799</v>
      </c>
      <c r="AC9">
        <v>4.4132379296788402</v>
      </c>
      <c r="AD9">
        <v>5.7439105375417399E-3</v>
      </c>
      <c r="AE9">
        <v>6.79702711593914</v>
      </c>
    </row>
    <row r="10" spans="1:35" x14ac:dyDescent="0.2">
      <c r="A10">
        <v>9</v>
      </c>
      <c r="B10">
        <v>749</v>
      </c>
      <c r="C10">
        <v>300</v>
      </c>
      <c r="D10">
        <v>0.26973585090251001</v>
      </c>
      <c r="E10">
        <v>104.23601542268899</v>
      </c>
      <c r="F10">
        <v>2.1944225550066299</v>
      </c>
      <c r="G10">
        <v>-1704.2635275117655</v>
      </c>
      <c r="H10">
        <v>-1422.4793346094066</v>
      </c>
      <c r="I10">
        <v>275.67792682322403</v>
      </c>
      <c r="J10">
        <v>141.584304235601</v>
      </c>
      <c r="K10">
        <v>47.500430208790803</v>
      </c>
      <c r="L10">
        <v>1.6417102120529545E-4</v>
      </c>
      <c r="M10">
        <v>1.7746865359645875E-5</v>
      </c>
      <c r="N10" s="1">
        <v>4.0163501354818502E-6</v>
      </c>
      <c r="O10" s="1">
        <v>1.06733880424657E-7</v>
      </c>
      <c r="P10" s="1">
        <v>-5.44282344114267E-7</v>
      </c>
      <c r="Q10">
        <v>71.657757293100005</v>
      </c>
      <c r="R10">
        <v>6.6195930188045204E-2</v>
      </c>
      <c r="S10">
        <v>12.135920534482301</v>
      </c>
      <c r="T10">
        <v>0.15029816903566701</v>
      </c>
      <c r="V10">
        <v>0.363627932180627</v>
      </c>
      <c r="W10">
        <v>2.3024671369751899E-2</v>
      </c>
      <c r="X10">
        <v>4.79680653536632E-2</v>
      </c>
      <c r="AA10">
        <v>0.51805510581946801</v>
      </c>
      <c r="AB10">
        <v>3.8086643890799299</v>
      </c>
      <c r="AC10">
        <v>4.4226556256063096</v>
      </c>
      <c r="AD10">
        <v>5.7561678424363901E-3</v>
      </c>
      <c r="AE10">
        <v>6.8000761159416996</v>
      </c>
    </row>
    <row r="11" spans="1:35" x14ac:dyDescent="0.2">
      <c r="A11">
        <v>10</v>
      </c>
      <c r="B11">
        <v>748</v>
      </c>
      <c r="C11">
        <v>300</v>
      </c>
      <c r="D11">
        <v>0.26895216177838999</v>
      </c>
      <c r="E11">
        <v>104.014672645074</v>
      </c>
      <c r="F11">
        <v>2.1948716942502999</v>
      </c>
      <c r="G11">
        <v>-1700.3222048838552</v>
      </c>
      <c r="H11">
        <v>-1419.5140756299097</v>
      </c>
      <c r="I11">
        <v>274.99204745037002</v>
      </c>
      <c r="J11">
        <v>141.29408754924901</v>
      </c>
      <c r="K11">
        <v>47.389864709427897</v>
      </c>
      <c r="L11">
        <v>1.6422487554508772E-4</v>
      </c>
      <c r="M11">
        <v>1.7739895517054846E-5</v>
      </c>
      <c r="N11" s="1">
        <v>4.0143204425078099E-6</v>
      </c>
      <c r="O11" s="1">
        <v>1.06462820378315E-7</v>
      </c>
      <c r="P11" s="1">
        <v>-5.4356853038517696E-7</v>
      </c>
      <c r="Q11">
        <v>71.608818521991196</v>
      </c>
      <c r="R11">
        <v>6.6336794843790403E-2</v>
      </c>
      <c r="S11">
        <v>12.1617457213694</v>
      </c>
      <c r="T11">
        <v>0.15091368160207499</v>
      </c>
      <c r="V11">
        <v>0.36413567590561102</v>
      </c>
      <c r="W11">
        <v>2.307366777175E-2</v>
      </c>
      <c r="X11">
        <v>4.8070141191160203E-2</v>
      </c>
      <c r="AA11">
        <v>0.51915752486443001</v>
      </c>
      <c r="AB11">
        <v>3.81676921057714</v>
      </c>
      <c r="AC11">
        <v>4.4320670178234396</v>
      </c>
      <c r="AD11">
        <v>5.7684169429358103E-3</v>
      </c>
      <c r="AE11">
        <v>6.8031436251170101</v>
      </c>
    </row>
    <row r="12" spans="1:35" x14ac:dyDescent="0.2">
      <c r="A12">
        <v>11</v>
      </c>
      <c r="B12">
        <v>747</v>
      </c>
      <c r="C12">
        <v>300</v>
      </c>
      <c r="D12">
        <v>0.26816693623486898</v>
      </c>
      <c r="E12">
        <v>103.79441403724699</v>
      </c>
      <c r="F12">
        <v>2.1953206725558201</v>
      </c>
      <c r="G12">
        <v>-1696.4001457173335</v>
      </c>
      <c r="H12">
        <v>-1416.5634291200884</v>
      </c>
      <c r="I12">
        <v>274.30938253908198</v>
      </c>
      <c r="J12">
        <v>141.00530660356</v>
      </c>
      <c r="K12">
        <v>47.2798417720035</v>
      </c>
      <c r="L12">
        <v>1.6427887095972994E-4</v>
      </c>
      <c r="M12">
        <v>1.7732928210781768E-5</v>
      </c>
      <c r="N12" s="1">
        <v>4.0123201996178104E-6</v>
      </c>
      <c r="O12" s="1">
        <v>1.06193250567778E-7</v>
      </c>
      <c r="P12" s="1">
        <v>-5.4285993739616797E-7</v>
      </c>
      <c r="Q12">
        <v>71.559891344108394</v>
      </c>
      <c r="R12">
        <v>6.6477565907585995E-2</v>
      </c>
      <c r="S12">
        <v>12.187553749733</v>
      </c>
      <c r="T12">
        <v>0.15153139509835301</v>
      </c>
      <c r="V12">
        <v>0.36464073387896201</v>
      </c>
      <c r="W12">
        <v>2.3122631620026299E-2</v>
      </c>
      <c r="X12">
        <v>4.8172149208404402E-2</v>
      </c>
      <c r="AA12">
        <v>0.52025921145065401</v>
      </c>
      <c r="AB12">
        <v>3.8248686471461899</v>
      </c>
      <c r="AC12">
        <v>4.4414721570131501</v>
      </c>
      <c r="AD12">
        <v>5.7806579050046804E-3</v>
      </c>
      <c r="AE12">
        <v>6.8062297569301702</v>
      </c>
    </row>
    <row r="13" spans="1:35" x14ac:dyDescent="0.2">
      <c r="A13">
        <v>12</v>
      </c>
      <c r="B13">
        <v>746</v>
      </c>
      <c r="C13">
        <v>300</v>
      </c>
      <c r="D13">
        <v>0.26738016974930101</v>
      </c>
      <c r="E13">
        <v>103.57523061805701</v>
      </c>
      <c r="F13">
        <v>2.19576948906652</v>
      </c>
      <c r="G13">
        <v>-1692.4971923430176</v>
      </c>
      <c r="H13">
        <v>-1413.6272734112761</v>
      </c>
      <c r="I13">
        <v>273.62990622748498</v>
      </c>
      <c r="J13">
        <v>140.717949755917</v>
      </c>
      <c r="K13">
        <v>47.170356967702503</v>
      </c>
      <c r="L13">
        <v>1.6433300906197815E-4</v>
      </c>
      <c r="M13">
        <v>1.7725963494287518E-5</v>
      </c>
      <c r="N13" s="1">
        <v>4.0103492721827901E-6</v>
      </c>
      <c r="O13" s="1">
        <v>1.0592516015335399E-7</v>
      </c>
      <c r="P13" s="1">
        <v>-5.42156534055981E-7</v>
      </c>
      <c r="Q13">
        <v>71.5109753961558</v>
      </c>
      <c r="R13">
        <v>6.6618244138357596E-2</v>
      </c>
      <c r="S13">
        <v>12.2133447587094</v>
      </c>
      <c r="T13">
        <v>0.15215132285431501</v>
      </c>
      <c r="V13">
        <v>0.365143099825817</v>
      </c>
      <c r="W13">
        <v>2.3171563178554899E-2</v>
      </c>
      <c r="X13">
        <v>4.8274089955341999E-2</v>
      </c>
      <c r="AA13">
        <v>0.52136017151755898</v>
      </c>
      <c r="AB13">
        <v>3.8329627424528301</v>
      </c>
      <c r="AC13">
        <v>4.4508710938804796</v>
      </c>
      <c r="AD13">
        <v>5.79289079463652E-3</v>
      </c>
      <c r="AE13">
        <v>6.80933462653676</v>
      </c>
    </row>
    <row r="14" spans="1:35" x14ac:dyDescent="0.2">
      <c r="A14">
        <v>13</v>
      </c>
      <c r="B14">
        <v>745</v>
      </c>
      <c r="C14">
        <v>300</v>
      </c>
      <c r="D14">
        <v>0.26659185778126798</v>
      </c>
      <c r="E14">
        <v>103.357113501141</v>
      </c>
      <c r="F14">
        <v>2.1962181428916301</v>
      </c>
      <c r="G14">
        <v>-1688.6131887663548</v>
      </c>
      <c r="H14">
        <v>-1410.7054881154002</v>
      </c>
      <c r="I14">
        <v>272.953592939109</v>
      </c>
      <c r="J14">
        <v>140.432005489803</v>
      </c>
      <c r="K14">
        <v>47.061405915286997</v>
      </c>
      <c r="L14">
        <v>1.6438729149132646E-4</v>
      </c>
      <c r="M14">
        <v>1.7719001422549596E-5</v>
      </c>
      <c r="N14" s="1">
        <v>4.0084075284742197E-6</v>
      </c>
      <c r="O14" s="1">
        <v>1.056585384329E-7</v>
      </c>
      <c r="P14" s="1">
        <v>-5.4145828977815998E-7</v>
      </c>
      <c r="Q14">
        <v>71.462070312961899</v>
      </c>
      <c r="R14">
        <v>6.6758830294969401E-2</v>
      </c>
      <c r="S14">
        <v>12.239118887423601</v>
      </c>
      <c r="T14">
        <v>0.15277347827263901</v>
      </c>
      <c r="V14">
        <v>0.365642767405291</v>
      </c>
      <c r="W14">
        <v>2.3220462711288602E-2</v>
      </c>
      <c r="X14">
        <v>4.8375963981874298E-2</v>
      </c>
      <c r="AA14">
        <v>0.52246041100408203</v>
      </c>
      <c r="AB14">
        <v>3.8410515401592402</v>
      </c>
      <c r="AC14">
        <v>4.4602638791263596</v>
      </c>
      <c r="AD14">
        <v>5.80511567781957E-3</v>
      </c>
      <c r="AE14">
        <v>6.8124583509808501</v>
      </c>
    </row>
    <row r="15" spans="1:35" x14ac:dyDescent="0.2">
      <c r="A15">
        <v>14</v>
      </c>
      <c r="B15">
        <v>744</v>
      </c>
      <c r="C15">
        <v>300</v>
      </c>
      <c r="D15">
        <v>0.26580199577250502</v>
      </c>
      <c r="E15">
        <v>103.140053894224</v>
      </c>
      <c r="F15">
        <v>2.19666663311085</v>
      </c>
      <c r="G15">
        <v>-1684.7479806535987</v>
      </c>
      <c r="H15">
        <v>-1407.7979541161749</v>
      </c>
      <c r="I15">
        <v>272.28041737936701</v>
      </c>
      <c r="J15">
        <v>140.14746241361399</v>
      </c>
      <c r="K15">
        <v>46.952984280623703</v>
      </c>
      <c r="L15">
        <v>1.6444171991078832E-4</v>
      </c>
      <c r="M15">
        <v>1.7712042051837211E-5</v>
      </c>
      <c r="N15" s="1">
        <v>4.0064948395517303E-6</v>
      </c>
      <c r="O15" s="1">
        <v>1.0539337483791401E-7</v>
      </c>
      <c r="P15" s="1">
        <v>-5.4076517446025002E-7</v>
      </c>
      <c r="Q15">
        <v>71.413175727774302</v>
      </c>
      <c r="R15">
        <v>6.6899325135867105E-2</v>
      </c>
      <c r="S15">
        <v>12.2648762749222</v>
      </c>
      <c r="T15">
        <v>0.15339787482836201</v>
      </c>
      <c r="V15">
        <v>0.36613973020840201</v>
      </c>
      <c r="W15">
        <v>2.3269330482035399E-2</v>
      </c>
      <c r="X15">
        <v>4.8477771837597897E-2</v>
      </c>
      <c r="AA15">
        <v>0.523559935845889</v>
      </c>
      <c r="AB15">
        <v>3.8491350839036098</v>
      </c>
      <c r="AC15">
        <v>4.4696505634239498</v>
      </c>
      <c r="AD15">
        <v>5.8173326205061297E-3</v>
      </c>
      <c r="AE15">
        <v>6.8156010490171797</v>
      </c>
    </row>
    <row r="16" spans="1:35" x14ac:dyDescent="0.2">
      <c r="A16">
        <v>15</v>
      </c>
      <c r="B16">
        <v>743</v>
      </c>
      <c r="C16">
        <v>300</v>
      </c>
      <c r="D16">
        <v>0.265010579146782</v>
      </c>
      <c r="E16">
        <v>102.924043096259</v>
      </c>
      <c r="F16">
        <v>2.1971149587689101</v>
      </c>
      <c r="G16">
        <v>-1680.9014152842217</v>
      </c>
      <c r="H16">
        <v>-1404.9045535291593</v>
      </c>
      <c r="I16">
        <v>271.61035452941201</v>
      </c>
      <c r="J16">
        <v>139.86430925731099</v>
      </c>
      <c r="K16">
        <v>46.845087775438799</v>
      </c>
      <c r="L16">
        <v>1.6449629601167102E-4</v>
      </c>
      <c r="M16">
        <v>1.770508544000316E-5</v>
      </c>
      <c r="N16" s="1">
        <v>4.0046110793253003E-6</v>
      </c>
      <c r="O16" s="1">
        <v>1.0512965893383899E-7</v>
      </c>
      <c r="P16" s="1">
        <v>-5.4007715849537204E-7</v>
      </c>
      <c r="Q16">
        <v>71.364291271646294</v>
      </c>
      <c r="R16">
        <v>6.70397294201453E-2</v>
      </c>
      <c r="S16">
        <v>12.290617060374</v>
      </c>
      <c r="T16">
        <v>0.154024526071768</v>
      </c>
      <c r="V16">
        <v>0.36663398176300199</v>
      </c>
      <c r="W16">
        <v>2.33181667548274E-2</v>
      </c>
      <c r="X16">
        <v>4.8579514072582999E-2</v>
      </c>
      <c r="AA16">
        <v>0.52465875198371603</v>
      </c>
      <c r="AB16">
        <v>3.85721341736132</v>
      </c>
      <c r="AC16">
        <v>4.4790311974894097</v>
      </c>
      <c r="AD16">
        <v>5.8295416887039903E-3</v>
      </c>
      <c r="AE16">
        <v>6.81876284137405</v>
      </c>
    </row>
    <row r="17" spans="1:31" x14ac:dyDescent="0.2">
      <c r="A17">
        <v>16</v>
      </c>
      <c r="B17">
        <v>742</v>
      </c>
      <c r="C17">
        <v>300</v>
      </c>
      <c r="D17">
        <v>0.264217603309855</v>
      </c>
      <c r="E17">
        <v>102.70907249867599</v>
      </c>
      <c r="F17">
        <v>2.19756311887696</v>
      </c>
      <c r="G17">
        <v>-1677.0733415698603</v>
      </c>
      <c r="H17">
        <v>-1402.0251697201511</v>
      </c>
      <c r="I17">
        <v>270.943379648041</v>
      </c>
      <c r="J17">
        <v>139.58253487377999</v>
      </c>
      <c r="K17">
        <v>46.737712157803202</v>
      </c>
      <c r="L17">
        <v>1.6455102151088384E-4</v>
      </c>
      <c r="M17">
        <v>1.7698131646355295E-5</v>
      </c>
      <c r="N17" s="1">
        <v>4.0027561245550799E-6</v>
      </c>
      <c r="O17" s="1">
        <v>1.04867380419077E-7</v>
      </c>
      <c r="P17" s="1">
        <v>-5.3939421276502401E-7</v>
      </c>
      <c r="Q17">
        <v>71.315416574074504</v>
      </c>
      <c r="R17">
        <v>6.7180043905951795E-2</v>
      </c>
      <c r="S17">
        <v>12.3163413827724</v>
      </c>
      <c r="T17">
        <v>0.15465344562465499</v>
      </c>
      <c r="V17">
        <v>0.36712551552568901</v>
      </c>
      <c r="W17">
        <v>2.33669717933686E-2</v>
      </c>
      <c r="X17">
        <v>4.8681191236211403E-2</v>
      </c>
      <c r="AA17">
        <v>0.52575686535089605</v>
      </c>
      <c r="AB17">
        <v>3.8652865841533499</v>
      </c>
      <c r="AC17">
        <v>4.4884058319758502</v>
      </c>
      <c r="AD17">
        <v>5.8417429483391898E-3</v>
      </c>
      <c r="AE17">
        <v>6.8219438506387302</v>
      </c>
    </row>
    <row r="18" spans="1:31" x14ac:dyDescent="0.2">
      <c r="A18">
        <v>17</v>
      </c>
      <c r="B18">
        <v>741</v>
      </c>
      <c r="C18">
        <v>300</v>
      </c>
      <c r="D18">
        <v>0.26342306364936202</v>
      </c>
      <c r="E18">
        <v>102.495133581472</v>
      </c>
      <c r="F18">
        <v>2.1980111124149002</v>
      </c>
      <c r="G18">
        <v>-1673.2636099880528</v>
      </c>
      <c r="H18">
        <v>-1399.1596872509879</v>
      </c>
      <c r="I18">
        <v>270.27946826116897</v>
      </c>
      <c r="J18">
        <v>139.30212823381899</v>
      </c>
      <c r="K18">
        <v>46.630853230247503</v>
      </c>
      <c r="L18">
        <v>1.6460589815168688E-4</v>
      </c>
      <c r="M18">
        <v>1.7691180731621177E-5</v>
      </c>
      <c r="N18" s="1">
        <v>4.00092985472035E-6</v>
      </c>
      <c r="O18" s="1">
        <v>1.04606529120475E-7</v>
      </c>
      <c r="P18" s="1">
        <v>-5.3871630862252305E-7</v>
      </c>
      <c r="Q18">
        <v>71.266551262413898</v>
      </c>
      <c r="R18">
        <v>6.7320269352261E-2</v>
      </c>
      <c r="S18">
        <v>12.3420493812635</v>
      </c>
      <c r="T18">
        <v>0.155284647185298</v>
      </c>
      <c r="V18">
        <v>0.36761432489030599</v>
      </c>
      <c r="W18">
        <v>2.3415745861649601E-2</v>
      </c>
      <c r="X18">
        <v>4.8782803878465501E-2</v>
      </c>
      <c r="AA18">
        <v>0.52685428188722705</v>
      </c>
      <c r="AB18">
        <v>3.8733546279481899</v>
      </c>
      <c r="AC18">
        <v>4.4977745175914601</v>
      </c>
      <c r="AD18">
        <v>5.8539364654092204E-3</v>
      </c>
      <c r="AE18">
        <v>6.8251442012622299</v>
      </c>
    </row>
    <row r="19" spans="1:31" x14ac:dyDescent="0.2">
      <c r="A19">
        <v>18</v>
      </c>
      <c r="B19">
        <v>740</v>
      </c>
      <c r="C19">
        <v>300</v>
      </c>
      <c r="D19">
        <v>0.26262695553471999</v>
      </c>
      <c r="E19">
        <v>102.282217913157</v>
      </c>
      <c r="F19">
        <v>2.1984589383254201</v>
      </c>
      <c r="G19">
        <v>-1669.4720725810716</v>
      </c>
      <c r="H19">
        <v>-1396.3079918790511</v>
      </c>
      <c r="I19">
        <v>269.61859616248398</v>
      </c>
      <c r="J19">
        <v>139.023078426263</v>
      </c>
      <c r="K19">
        <v>46.524506839807799</v>
      </c>
      <c r="L19">
        <v>1.6466092770663914E-4</v>
      </c>
      <c r="M19">
        <v>1.7684232758189101E-5</v>
      </c>
      <c r="N19" s="1">
        <v>3.9991321521522501E-6</v>
      </c>
      <c r="O19" s="1">
        <v>1.04347094995564E-7</v>
      </c>
      <c r="P19" s="1">
        <v>-5.38043417909706E-7</v>
      </c>
      <c r="Q19">
        <v>71.217694961913395</v>
      </c>
      <c r="R19">
        <v>6.7460406518160501E-2</v>
      </c>
      <c r="S19">
        <v>12.367741195012</v>
      </c>
      <c r="T19">
        <v>0.15591814452688099</v>
      </c>
      <c r="V19">
        <v>0.36810040318440201</v>
      </c>
      <c r="W19">
        <v>2.34644892237015E-2</v>
      </c>
      <c r="X19">
        <v>4.88843525494074E-2</v>
      </c>
      <c r="AA19">
        <v>0.52795100753339697</v>
      </c>
      <c r="AB19">
        <v>3.88141759242095</v>
      </c>
      <c r="AC19">
        <v>4.5071373050522601</v>
      </c>
      <c r="AD19">
        <v>5.8661223059221501E-3</v>
      </c>
      <c r="AE19">
        <v>6.82836401975936</v>
      </c>
    </row>
    <row r="20" spans="1:31" x14ac:dyDescent="0.2">
      <c r="A20">
        <v>19</v>
      </c>
      <c r="B20">
        <v>739</v>
      </c>
      <c r="C20">
        <v>300</v>
      </c>
      <c r="D20">
        <v>0.261829274317047</v>
      </c>
      <c r="E20">
        <v>102.07031714959599</v>
      </c>
      <c r="F20">
        <v>2.1989065955177201</v>
      </c>
      <c r="G20">
        <v>-1665.6985829347982</v>
      </c>
      <c r="H20">
        <v>-1393.4699705418657</v>
      </c>
      <c r="I20">
        <v>268.960739409111</v>
      </c>
      <c r="J20">
        <v>138.74537465628501</v>
      </c>
      <c r="K20">
        <v>46.418668877367203</v>
      </c>
      <c r="L20">
        <v>1.6471611197540443E-4</v>
      </c>
      <c r="M20">
        <v>1.767728778994056E-5</v>
      </c>
      <c r="N20" s="1">
        <v>3.99736290193217E-6</v>
      </c>
      <c r="O20" s="1">
        <v>1.04089068128963E-7</v>
      </c>
      <c r="P20" s="1">
        <v>-5.3737551293913405E-7</v>
      </c>
      <c r="Q20">
        <v>71.168847295834496</v>
      </c>
      <c r="R20">
        <v>6.7600456162862199E-2</v>
      </c>
      <c r="S20">
        <v>12.3934169632077</v>
      </c>
      <c r="T20">
        <v>0.156553951497754</v>
      </c>
      <c r="V20">
        <v>0.36858374366858199</v>
      </c>
      <c r="W20">
        <v>2.3513202143597599E-2</v>
      </c>
      <c r="X20">
        <v>4.8985837799191599E-2</v>
      </c>
      <c r="AA20">
        <v>0.52904704823106097</v>
      </c>
      <c r="AB20">
        <v>3.8894755212537699</v>
      </c>
      <c r="AC20">
        <v>4.5164942450822902</v>
      </c>
      <c r="AD20">
        <v>5.8783005358960397E-3</v>
      </c>
      <c r="AE20">
        <v>6.8316034345827301</v>
      </c>
    </row>
    <row r="21" spans="1:31" x14ac:dyDescent="0.2">
      <c r="A21">
        <v>20</v>
      </c>
      <c r="B21">
        <v>738</v>
      </c>
      <c r="C21">
        <v>300</v>
      </c>
      <c r="D21">
        <v>0.26103001532908299</v>
      </c>
      <c r="E21">
        <v>98.069834885632503</v>
      </c>
      <c r="F21">
        <v>2.1988247238399401</v>
      </c>
      <c r="G21">
        <v>-1600.5063388538667</v>
      </c>
      <c r="H21">
        <v>-1338.9811063429684</v>
      </c>
      <c r="I21">
        <v>258.64138111150498</v>
      </c>
      <c r="J21">
        <v>133.40928050409701</v>
      </c>
      <c r="K21">
        <v>44.601024275535202</v>
      </c>
      <c r="L21">
        <v>1.6545676003557687E-4</v>
      </c>
      <c r="M21">
        <v>1.7723222213602163E-5</v>
      </c>
      <c r="N21" s="1">
        <v>3.8690822097651097E-6</v>
      </c>
      <c r="O21" s="1">
        <v>1.00502442476697E-7</v>
      </c>
      <c r="P21" s="1">
        <v>-5.1950214168331598E-7</v>
      </c>
      <c r="Q21">
        <v>71.058183102327007</v>
      </c>
      <c r="R21">
        <v>7.0358026074455696E-2</v>
      </c>
      <c r="S21">
        <v>12.4386561505675</v>
      </c>
      <c r="T21">
        <v>0.16316114164166101</v>
      </c>
      <c r="V21">
        <v>0.38342020751224198</v>
      </c>
      <c r="W21">
        <v>2.4472356895454201E-2</v>
      </c>
      <c r="X21">
        <v>5.0984076865568502E-2</v>
      </c>
      <c r="AA21">
        <v>0.54567458598007201</v>
      </c>
      <c r="AB21">
        <v>3.9463452782786601</v>
      </c>
      <c r="AC21">
        <v>4.4384751972398897</v>
      </c>
      <c r="AD21">
        <v>6.1180892238593297E-3</v>
      </c>
      <c r="AE21">
        <v>6.8741517873935196</v>
      </c>
    </row>
    <row r="22" spans="1:31" x14ac:dyDescent="0.2">
      <c r="A22">
        <v>21</v>
      </c>
      <c r="B22">
        <v>737</v>
      </c>
      <c r="C22">
        <v>300</v>
      </c>
      <c r="D22">
        <v>0.260229173885068</v>
      </c>
      <c r="E22">
        <v>92.800780898934406</v>
      </c>
      <c r="F22">
        <v>2.1987235409013302</v>
      </c>
      <c r="G22">
        <v>-1514.6280836215026</v>
      </c>
      <c r="H22">
        <v>-1267.1253033480677</v>
      </c>
      <c r="I22">
        <v>245.01586920104401</v>
      </c>
      <c r="J22">
        <v>126.35735175557301</v>
      </c>
      <c r="K22">
        <v>42.206661807464997</v>
      </c>
      <c r="L22">
        <v>1.6635057425764006E-4</v>
      </c>
      <c r="M22">
        <v>1.7780430765009691E-5</v>
      </c>
      <c r="N22" s="1">
        <v>3.6925571695719899E-6</v>
      </c>
      <c r="O22" s="1">
        <v>9.5674672223997799E-8</v>
      </c>
      <c r="P22" s="1">
        <v>-4.9515626243325596E-7</v>
      </c>
      <c r="Q22">
        <v>70.928394655147301</v>
      </c>
      <c r="R22">
        <v>7.43528226073394E-2</v>
      </c>
      <c r="S22">
        <v>12.4883368279742</v>
      </c>
      <c r="T22">
        <v>0.17261704704098799</v>
      </c>
      <c r="V22">
        <v>0.40501739271182302</v>
      </c>
      <c r="W22">
        <v>2.5861851341672699E-2</v>
      </c>
      <c r="X22">
        <v>5.3878856961865E-2</v>
      </c>
      <c r="AA22">
        <v>0.56728479851409497</v>
      </c>
      <c r="AB22">
        <v>4.0112693555048899</v>
      </c>
      <c r="AC22">
        <v>4.34150383477159</v>
      </c>
      <c r="AD22">
        <v>6.4654628354140001E-3</v>
      </c>
      <c r="AE22">
        <v>6.9250170945887399</v>
      </c>
    </row>
    <row r="23" spans="1:31" x14ac:dyDescent="0.2">
      <c r="A23">
        <v>22</v>
      </c>
      <c r="B23">
        <v>736</v>
      </c>
      <c r="C23">
        <v>300</v>
      </c>
      <c r="D23">
        <v>0.25942674528068399</v>
      </c>
      <c r="E23">
        <v>72.268298406881598</v>
      </c>
      <c r="F23">
        <v>2.2006881566103398</v>
      </c>
      <c r="G23">
        <v>-1178.29884216751</v>
      </c>
      <c r="H23">
        <v>-985.67770088354575</v>
      </c>
      <c r="I23">
        <v>190.87463834312399</v>
      </c>
      <c r="J23">
        <v>98.447068728761906</v>
      </c>
      <c r="K23">
        <v>32.838954574188399</v>
      </c>
      <c r="L23">
        <v>1.6705010292664417E-4</v>
      </c>
      <c r="M23">
        <v>1.7811177735205808E-5</v>
      </c>
      <c r="N23" s="1">
        <v>2.8901462879154101E-6</v>
      </c>
      <c r="O23" s="1">
        <v>7.4713985968654903E-8</v>
      </c>
      <c r="P23" s="1">
        <v>-3.8720500522072098E-7</v>
      </c>
      <c r="Q23">
        <v>70.737057284387703</v>
      </c>
      <c r="R23">
        <v>9.5477548968342305E-2</v>
      </c>
      <c r="S23">
        <v>12.489147911814801</v>
      </c>
      <c r="T23">
        <v>0.221476150661438</v>
      </c>
      <c r="V23">
        <v>0.52025426960597398</v>
      </c>
      <c r="W23">
        <v>3.3209582249834897E-2</v>
      </c>
      <c r="X23">
        <v>6.9186629687260401E-2</v>
      </c>
      <c r="AA23">
        <v>0.55093832472072701</v>
      </c>
      <c r="AB23">
        <v>4.0428347115224996</v>
      </c>
      <c r="AC23">
        <v>4.2800077422620202</v>
      </c>
      <c r="AD23">
        <v>8.3023955624495095E-3</v>
      </c>
      <c r="AE23">
        <v>6.9521074485568297</v>
      </c>
    </row>
    <row r="24" spans="1:31" x14ac:dyDescent="0.2">
      <c r="A24">
        <v>23</v>
      </c>
      <c r="B24">
        <v>735</v>
      </c>
      <c r="C24">
        <v>300</v>
      </c>
      <c r="D24">
        <v>0.25862272479293502</v>
      </c>
      <c r="E24">
        <v>56.934757360646998</v>
      </c>
      <c r="F24">
        <v>2.2040510159241</v>
      </c>
      <c r="G24">
        <v>-926.92777765046412</v>
      </c>
      <c r="H24">
        <v>-775.42186375103859</v>
      </c>
      <c r="I24">
        <v>150.28112274902</v>
      </c>
      <c r="J24">
        <v>77.568457390143806</v>
      </c>
      <c r="K24">
        <v>25.8318691125104</v>
      </c>
      <c r="L24">
        <v>1.6731452492943296E-4</v>
      </c>
      <c r="M24">
        <v>1.7806578078709984E-5</v>
      </c>
      <c r="N24" s="1">
        <v>2.27883701243303E-6</v>
      </c>
      <c r="O24" s="1">
        <v>5.8792141019522498E-8</v>
      </c>
      <c r="P24" s="1">
        <v>-3.0494488338355903E-7</v>
      </c>
      <c r="Q24">
        <v>70.534642831267405</v>
      </c>
      <c r="R24">
        <v>0.121191348130191</v>
      </c>
      <c r="S24">
        <v>12.4837808783443</v>
      </c>
      <c r="T24">
        <v>0.28063359621124601</v>
      </c>
      <c r="V24">
        <v>0.66080890179276597</v>
      </c>
      <c r="W24">
        <v>4.2153512393074702E-2</v>
      </c>
      <c r="X24">
        <v>8.7819817485731394E-2</v>
      </c>
      <c r="AA24">
        <v>0.55795874638383103</v>
      </c>
      <c r="AB24">
        <v>4.0135047815424896</v>
      </c>
      <c r="AC24">
        <v>4.2570429242733701</v>
      </c>
      <c r="AD24">
        <v>1.0538378098254499E-2</v>
      </c>
      <c r="AE24">
        <v>6.9499242840772002</v>
      </c>
    </row>
    <row r="25" spans="1:31" x14ac:dyDescent="0.2">
      <c r="A25">
        <v>24</v>
      </c>
      <c r="B25">
        <v>734</v>
      </c>
      <c r="C25">
        <v>300</v>
      </c>
      <c r="D25">
        <v>0.25781710768008598</v>
      </c>
      <c r="E25">
        <v>17.1253124795169</v>
      </c>
      <c r="F25">
        <v>2.2071627513686098</v>
      </c>
      <c r="G25">
        <v>-278.80019916439903</v>
      </c>
      <c r="H25">
        <v>-233.35028998397414</v>
      </c>
      <c r="I25">
        <v>45.127249347589597</v>
      </c>
      <c r="J25">
        <v>23.348048010507</v>
      </c>
      <c r="K25">
        <v>7.7589713168627403</v>
      </c>
      <c r="L25">
        <v>1.6704968824640112E-4</v>
      </c>
      <c r="M25">
        <v>1.7795518683457805E-5</v>
      </c>
      <c r="N25" s="1">
        <v>6.84213054101503E-7</v>
      </c>
      <c r="O25" s="1">
        <v>1.7618153879323999E-8</v>
      </c>
      <c r="P25" s="1">
        <v>-9.1165484689869205E-8</v>
      </c>
      <c r="Q25">
        <v>70.259390517248406</v>
      </c>
      <c r="R25">
        <v>0.12202519213258201</v>
      </c>
      <c r="S25">
        <v>12.7995126678418</v>
      </c>
      <c r="T25">
        <v>0.26226958278645701</v>
      </c>
      <c r="V25">
        <v>0.62243616996571405</v>
      </c>
      <c r="W25">
        <v>0.138892023042191</v>
      </c>
      <c r="X25">
        <v>0.12980771500360599</v>
      </c>
      <c r="AA25">
        <v>0.57297677025457305</v>
      </c>
      <c r="AB25">
        <v>3.8365925167741399</v>
      </c>
      <c r="AC25">
        <v>4.2916309732012596</v>
      </c>
      <c r="AD25">
        <v>3.5035857051704797E-2</v>
      </c>
      <c r="AE25">
        <v>6.9294300146974903</v>
      </c>
    </row>
    <row r="26" spans="1:31" x14ac:dyDescent="0.2">
      <c r="A26">
        <v>25</v>
      </c>
      <c r="B26">
        <v>733</v>
      </c>
      <c r="C26">
        <v>300</v>
      </c>
      <c r="D26">
        <v>0.257009889181535</v>
      </c>
      <c r="E26">
        <v>10.1604190518996</v>
      </c>
      <c r="F26">
        <v>2.21016823101158</v>
      </c>
      <c r="G26">
        <v>-165.35979208181809</v>
      </c>
      <c r="H26">
        <v>-138.46041510349949</v>
      </c>
      <c r="I26">
        <v>26.734956992812702</v>
      </c>
      <c r="J26">
        <v>13.859032682197901</v>
      </c>
      <c r="K26">
        <v>4.5971247388933802</v>
      </c>
      <c r="L26">
        <v>1.6697156169888274E-4</v>
      </c>
      <c r="M26">
        <v>1.7799068932984812E-5</v>
      </c>
      <c r="N26" s="1">
        <v>4.0579927646122301E-7</v>
      </c>
      <c r="O26" s="1">
        <v>1.04283453657006E-8</v>
      </c>
      <c r="P26" s="1">
        <v>-5.3849892010903499E-8</v>
      </c>
      <c r="Q26">
        <v>69.965243452552897</v>
      </c>
      <c r="R26">
        <v>0.121973039108714</v>
      </c>
      <c r="S26">
        <v>13.115350042270499</v>
      </c>
      <c r="T26">
        <v>0.25782259243615302</v>
      </c>
      <c r="V26">
        <v>0.616729420199431</v>
      </c>
      <c r="W26">
        <v>0.231964133365132</v>
      </c>
      <c r="X26">
        <v>0.12927296350328099</v>
      </c>
      <c r="AA26">
        <v>0.58721573561108498</v>
      </c>
      <c r="AB26">
        <v>3.6763972816228501</v>
      </c>
      <c r="AC26">
        <v>4.3199478721729001</v>
      </c>
      <c r="AD26">
        <v>5.9052682466458097E-2</v>
      </c>
      <c r="AE26">
        <v>6.9190307846904204</v>
      </c>
    </row>
    <row r="27" spans="1:31" x14ac:dyDescent="0.2">
      <c r="A27">
        <v>26</v>
      </c>
      <c r="B27">
        <v>757</v>
      </c>
      <c r="C27">
        <v>280</v>
      </c>
      <c r="D27">
        <v>0.29730670290734501</v>
      </c>
      <c r="E27">
        <v>105.65766549955799</v>
      </c>
      <c r="F27">
        <v>2.1915778886997099</v>
      </c>
      <c r="G27">
        <v>-1729.2967629079328</v>
      </c>
      <c r="H27">
        <v>-1442.5392505804828</v>
      </c>
      <c r="I27">
        <v>278.36481320919199</v>
      </c>
      <c r="J27">
        <v>143.13557837915801</v>
      </c>
      <c r="K27">
        <v>48.210773636818402</v>
      </c>
      <c r="L27">
        <v>1.6042209299555764E-4</v>
      </c>
      <c r="M27">
        <v>1.7800858407810426E-5</v>
      </c>
      <c r="N27" s="1">
        <v>3.8652017771938298E-6</v>
      </c>
      <c r="O27" s="1">
        <v>1.05850149634122E-7</v>
      </c>
      <c r="P27" s="1">
        <v>-5.3749622224634396E-7</v>
      </c>
      <c r="Q27">
        <v>72.271140611505999</v>
      </c>
      <c r="R27">
        <v>6.53052475405001E-2</v>
      </c>
      <c r="S27">
        <v>11.9726287157588</v>
      </c>
      <c r="T27">
        <v>0.147437845566596</v>
      </c>
      <c r="V27">
        <v>0.359489291768118</v>
      </c>
      <c r="W27">
        <v>2.2714868709738999E-2</v>
      </c>
      <c r="X27">
        <v>4.7322643145290402E-2</v>
      </c>
      <c r="AA27">
        <v>0.51108454596913</v>
      </c>
      <c r="AB27">
        <v>3.757417865736</v>
      </c>
      <c r="AC27">
        <v>4.3631476979956796</v>
      </c>
      <c r="AD27">
        <v>5.67871717743467E-3</v>
      </c>
      <c r="AE27">
        <v>6.4766319491266104</v>
      </c>
    </row>
    <row r="28" spans="1:31" x14ac:dyDescent="0.2">
      <c r="A28">
        <v>27</v>
      </c>
      <c r="B28">
        <v>756</v>
      </c>
      <c r="C28">
        <v>280</v>
      </c>
      <c r="D28">
        <v>0.29655589564203599</v>
      </c>
      <c r="E28">
        <v>105.530389034583</v>
      </c>
      <c r="F28">
        <v>2.1919978095560002</v>
      </c>
      <c r="G28">
        <v>-1726.9050398005606</v>
      </c>
      <c r="H28">
        <v>-1440.8965866186047</v>
      </c>
      <c r="I28">
        <v>277.90745098572199</v>
      </c>
      <c r="J28">
        <v>142.96199821754701</v>
      </c>
      <c r="K28">
        <v>48.143473763762003</v>
      </c>
      <c r="L28">
        <v>1.6041879464464867E-4</v>
      </c>
      <c r="M28">
        <v>1.7792666243055512E-5</v>
      </c>
      <c r="N28" s="1">
        <v>3.8656683162825498E-6</v>
      </c>
      <c r="O28" s="1">
        <v>1.0565117937362601E-7</v>
      </c>
      <c r="P28" s="1">
        <v>-5.3698363951209701E-7</v>
      </c>
      <c r="Q28">
        <v>72.244491338772505</v>
      </c>
      <c r="R28">
        <v>6.5384009886847796E-2</v>
      </c>
      <c r="S28">
        <v>11.987068479257401</v>
      </c>
      <c r="T28">
        <v>0.147877947154747</v>
      </c>
      <c r="V28">
        <v>0.35968685481858897</v>
      </c>
      <c r="W28">
        <v>2.2742264308467999E-2</v>
      </c>
      <c r="X28">
        <v>4.7379717309312099E-2</v>
      </c>
      <c r="AA28">
        <v>0.51170094694054402</v>
      </c>
      <c r="AB28">
        <v>3.7619495543591199</v>
      </c>
      <c r="AC28">
        <v>4.3684099359181703</v>
      </c>
      <c r="AD28">
        <v>5.6855660771166104E-3</v>
      </c>
      <c r="AE28">
        <v>6.477623385197</v>
      </c>
    </row>
    <row r="29" spans="1:31" x14ac:dyDescent="0.2">
      <c r="A29">
        <v>28</v>
      </c>
      <c r="B29">
        <v>755</v>
      </c>
      <c r="C29">
        <v>280</v>
      </c>
      <c r="D29">
        <v>0.29580362787530801</v>
      </c>
      <c r="E29">
        <v>105.30627326824801</v>
      </c>
      <c r="F29">
        <v>2.1924535446801299</v>
      </c>
      <c r="G29">
        <v>-1722.9097478778076</v>
      </c>
      <c r="H29">
        <v>-1437.8937660080826</v>
      </c>
      <c r="I29">
        <v>277.212451363833</v>
      </c>
      <c r="J29">
        <v>142.66790083838299</v>
      </c>
      <c r="K29">
        <v>48.031244960135197</v>
      </c>
      <c r="L29">
        <v>1.6046510882610694E-4</v>
      </c>
      <c r="M29">
        <v>1.7785320599756612E-5</v>
      </c>
      <c r="N29" s="1">
        <v>3.8633911870958897E-6</v>
      </c>
      <c r="O29" s="1">
        <v>1.0537657568802699E-7</v>
      </c>
      <c r="P29" s="1">
        <v>-5.3623337282619698E-7</v>
      </c>
      <c r="Q29">
        <v>72.196812785773801</v>
      </c>
      <c r="R29">
        <v>6.5523161971782096E-2</v>
      </c>
      <c r="S29">
        <v>12.012579694830499</v>
      </c>
      <c r="T29">
        <v>0.14847922718345999</v>
      </c>
      <c r="V29">
        <v>0.36019449880681398</v>
      </c>
      <c r="W29">
        <v>2.2790665033661801E-2</v>
      </c>
      <c r="X29">
        <v>4.7480552153469101E-2</v>
      </c>
      <c r="AA29">
        <v>0.51278996325741699</v>
      </c>
      <c r="AB29">
        <v>3.7699558409849598</v>
      </c>
      <c r="AC29">
        <v>4.3777069085490998</v>
      </c>
      <c r="AD29">
        <v>5.6976662584147103E-3</v>
      </c>
      <c r="AE29">
        <v>6.4799890351964802</v>
      </c>
    </row>
    <row r="30" spans="1:31" x14ac:dyDescent="0.2">
      <c r="A30">
        <v>29</v>
      </c>
      <c r="B30">
        <v>754</v>
      </c>
      <c r="C30">
        <v>280</v>
      </c>
      <c r="D30">
        <v>0.29504989534147702</v>
      </c>
      <c r="E30">
        <v>105.08326619398601</v>
      </c>
      <c r="F30">
        <v>2.1929092192990098</v>
      </c>
      <c r="G30">
        <v>-1718.9341411657631</v>
      </c>
      <c r="H30">
        <v>-1434.9059011404129</v>
      </c>
      <c r="I30">
        <v>276.52070294051498</v>
      </c>
      <c r="J30">
        <v>142.37526328698499</v>
      </c>
      <c r="K30">
        <v>47.919569706391101</v>
      </c>
      <c r="L30">
        <v>1.6051148655301848E-4</v>
      </c>
      <c r="M30">
        <v>1.7777973361736165E-5</v>
      </c>
      <c r="N30" s="1">
        <v>3.8611405090111102E-6</v>
      </c>
      <c r="O30" s="1">
        <v>1.05103427232517E-7</v>
      </c>
      <c r="P30" s="1">
        <v>-5.3548805204088899E-7</v>
      </c>
      <c r="Q30">
        <v>72.149153414648097</v>
      </c>
      <c r="R30">
        <v>6.5662214831261501E-2</v>
      </c>
      <c r="S30">
        <v>12.038072719069101</v>
      </c>
      <c r="T30">
        <v>0.14908261522913699</v>
      </c>
      <c r="V30">
        <v>0.36069949819225</v>
      </c>
      <c r="W30">
        <v>2.2839031245654302E-2</v>
      </c>
      <c r="X30">
        <v>4.75813150951215E-2</v>
      </c>
      <c r="AA30">
        <v>0.51387820302725495</v>
      </c>
      <c r="AB30">
        <v>3.7779564185520802</v>
      </c>
      <c r="AC30">
        <v>4.3869972517693201</v>
      </c>
      <c r="AD30">
        <v>5.7097578114127297E-3</v>
      </c>
      <c r="AE30">
        <v>6.48236756052916</v>
      </c>
    </row>
    <row r="31" spans="1:31" x14ac:dyDescent="0.2">
      <c r="A31">
        <v>30</v>
      </c>
      <c r="B31">
        <v>753</v>
      </c>
      <c r="C31">
        <v>280</v>
      </c>
      <c r="D31">
        <v>0.29429469375822398</v>
      </c>
      <c r="E31">
        <v>104.86135868434199</v>
      </c>
      <c r="F31">
        <v>2.19336483370554</v>
      </c>
      <c r="G31">
        <v>-1714.9780591062561</v>
      </c>
      <c r="H31">
        <v>-1431.932868394447</v>
      </c>
      <c r="I31">
        <v>275.83217922507203</v>
      </c>
      <c r="J31">
        <v>142.08407368668099</v>
      </c>
      <c r="K31">
        <v>47.808443480506703</v>
      </c>
      <c r="L31">
        <v>1.6055792848140366E-4</v>
      </c>
      <c r="M31">
        <v>1.7770624529343582E-5</v>
      </c>
      <c r="N31" s="1">
        <v>3.8589161199343198E-6</v>
      </c>
      <c r="O31" s="1">
        <v>1.04831722683152E-7</v>
      </c>
      <c r="P31" s="1">
        <v>-5.3474764222369702E-7</v>
      </c>
      <c r="Q31">
        <v>72.101512952934996</v>
      </c>
      <c r="R31">
        <v>6.58011691491701E-2</v>
      </c>
      <c r="S31">
        <v>12.0635476773531</v>
      </c>
      <c r="T31">
        <v>0.14968812392892</v>
      </c>
      <c r="V31">
        <v>0.361201846757636</v>
      </c>
      <c r="W31">
        <v>2.2887363182317901E-2</v>
      </c>
      <c r="X31">
        <v>4.7682006629838701E-2</v>
      </c>
      <c r="AA31">
        <v>0.51496567160218998</v>
      </c>
      <c r="AB31">
        <v>3.7859513264085201</v>
      </c>
      <c r="AC31">
        <v>4.3962810112700899</v>
      </c>
      <c r="AD31">
        <v>5.7218407955784397E-3</v>
      </c>
      <c r="AE31">
        <v>6.4847590099874299</v>
      </c>
    </row>
    <row r="32" spans="1:31" x14ac:dyDescent="0.2">
      <c r="A32">
        <v>31</v>
      </c>
      <c r="B32">
        <v>752</v>
      </c>
      <c r="C32">
        <v>280</v>
      </c>
      <c r="D32">
        <v>0.29353801882651298</v>
      </c>
      <c r="E32">
        <v>104.640541711008</v>
      </c>
      <c r="F32">
        <v>2.1938203881790099</v>
      </c>
      <c r="G32">
        <v>-1711.0413428878296</v>
      </c>
      <c r="H32">
        <v>-1428.9745454910988</v>
      </c>
      <c r="I32">
        <v>275.14685401817297</v>
      </c>
      <c r="J32">
        <v>141.794320291194</v>
      </c>
      <c r="K32">
        <v>47.697861809856597</v>
      </c>
      <c r="L32">
        <v>1.6060443527628982E-4</v>
      </c>
      <c r="M32">
        <v>1.7763274103462227E-5</v>
      </c>
      <c r="N32" s="1">
        <v>3.85671786013959E-6</v>
      </c>
      <c r="O32" s="1">
        <v>1.04561450846986E-7</v>
      </c>
      <c r="P32" s="1">
        <v>-5.3401210888853203E-7</v>
      </c>
      <c r="Q32">
        <v>72.053891128091905</v>
      </c>
      <c r="R32">
        <v>6.5940025607439695E-2</v>
      </c>
      <c r="S32">
        <v>12.0890046947033</v>
      </c>
      <c r="T32">
        <v>0.15029576598438099</v>
      </c>
      <c r="V32">
        <v>0.36170153821315898</v>
      </c>
      <c r="W32">
        <v>2.29356610808461E-2</v>
      </c>
      <c r="X32">
        <v>4.7782627251773901E-2</v>
      </c>
      <c r="AA32">
        <v>0.51605237431908102</v>
      </c>
      <c r="AB32">
        <v>3.7939406037900798</v>
      </c>
      <c r="AC32">
        <v>4.4055582326123703</v>
      </c>
      <c r="AD32">
        <v>5.7339152702103099E-3</v>
      </c>
      <c r="AE32">
        <v>6.4871634330753603</v>
      </c>
    </row>
    <row r="33" spans="1:31" x14ac:dyDescent="0.2">
      <c r="A33">
        <v>32</v>
      </c>
      <c r="B33">
        <v>751</v>
      </c>
      <c r="C33">
        <v>280</v>
      </c>
      <c r="D33">
        <v>0.29277986623053498</v>
      </c>
      <c r="E33">
        <v>104.42080634032899</v>
      </c>
      <c r="F33">
        <v>2.1942758829844302</v>
      </c>
      <c r="G33">
        <v>-1707.1238353702449</v>
      </c>
      <c r="H33">
        <v>-1426.0308114307693</v>
      </c>
      <c r="I33">
        <v>274.46470140064901</v>
      </c>
      <c r="J33">
        <v>141.505991479051</v>
      </c>
      <c r="K33">
        <v>47.587820269120897</v>
      </c>
      <c r="L33">
        <v>1.606510076145312E-4</v>
      </c>
      <c r="M33">
        <v>1.7755922085622536E-5</v>
      </c>
      <c r="N33" s="1">
        <v>3.8545455721925702E-6</v>
      </c>
      <c r="O33" s="1">
        <v>1.04292600658865E-7</v>
      </c>
      <c r="P33" s="1">
        <v>-5.3328141798876197E-7</v>
      </c>
      <c r="Q33">
        <v>72.006287666722599</v>
      </c>
      <c r="R33">
        <v>6.6078784888059197E-2</v>
      </c>
      <c r="S33">
        <v>12.114443896151499</v>
      </c>
      <c r="T33">
        <v>0.150905554167034</v>
      </c>
      <c r="V33">
        <v>0.36219856620644098</v>
      </c>
      <c r="W33">
        <v>2.2983925178452401E-2</v>
      </c>
      <c r="X33">
        <v>4.7883177455122598E-2</v>
      </c>
      <c r="AA33">
        <v>0.51713831651523101</v>
      </c>
      <c r="AB33">
        <v>3.8019242899358101</v>
      </c>
      <c r="AC33">
        <v>4.41482896136087</v>
      </c>
      <c r="AD33">
        <v>5.7459812946116197E-3</v>
      </c>
      <c r="AE33">
        <v>6.4895808801241603</v>
      </c>
    </row>
    <row r="34" spans="1:31" x14ac:dyDescent="0.2">
      <c r="A34">
        <v>33</v>
      </c>
      <c r="B34">
        <v>750</v>
      </c>
      <c r="C34">
        <v>280</v>
      </c>
      <c r="D34">
        <v>0.292020231637589</v>
      </c>
      <c r="E34">
        <v>104.202143735739</v>
      </c>
      <c r="F34">
        <v>2.1947313183740702</v>
      </c>
      <c r="G34">
        <v>-1703.2253811228768</v>
      </c>
      <c r="H34">
        <v>-1423.1015465283892</v>
      </c>
      <c r="I34">
        <v>273.785695738149</v>
      </c>
      <c r="J34">
        <v>141.219075756384</v>
      </c>
      <c r="K34">
        <v>47.478314481307898</v>
      </c>
      <c r="L34">
        <v>1.6069764618112449E-4</v>
      </c>
      <c r="M34">
        <v>1.7748568477834505E-5</v>
      </c>
      <c r="N34" s="1">
        <v>3.8523991009689501E-6</v>
      </c>
      <c r="O34" s="1">
        <v>1.0402516118107501E-7</v>
      </c>
      <c r="P34" s="1">
        <v>-5.3255553591085302E-7</v>
      </c>
      <c r="Q34">
        <v>71.958702295492898</v>
      </c>
      <c r="R34">
        <v>6.6217447670740795E-2</v>
      </c>
      <c r="S34">
        <v>12.139865406310401</v>
      </c>
      <c r="T34">
        <v>0.15151750131255801</v>
      </c>
      <c r="V34">
        <v>0.36269292431040401</v>
      </c>
      <c r="W34">
        <v>2.30321557115588E-2</v>
      </c>
      <c r="X34">
        <v>4.79836577324287E-2</v>
      </c>
      <c r="AA34">
        <v>0.51822350351012902</v>
      </c>
      <c r="AB34">
        <v>3.8099024239538402</v>
      </c>
      <c r="AC34">
        <v>4.4240932429283797</v>
      </c>
      <c r="AD34">
        <v>5.7580389278881197E-3</v>
      </c>
      <c r="AE34">
        <v>6.4920114021387301</v>
      </c>
    </row>
    <row r="35" spans="1:31" x14ac:dyDescent="0.2">
      <c r="A35">
        <v>34</v>
      </c>
      <c r="B35">
        <v>749</v>
      </c>
      <c r="C35">
        <v>280</v>
      </c>
      <c r="D35">
        <v>0.291259110698039</v>
      </c>
      <c r="E35">
        <v>103.98454515499201</v>
      </c>
      <c r="F35">
        <v>2.1951866945825</v>
      </c>
      <c r="G35">
        <v>-1699.3458263786106</v>
      </c>
      <c r="H35">
        <v>-1420.1866323749068</v>
      </c>
      <c r="I35">
        <v>273.10981167509902</v>
      </c>
      <c r="J35">
        <v>140.93356175367899</v>
      </c>
      <c r="K35">
        <v>47.369340116544898</v>
      </c>
      <c r="L35">
        <v>1.6074435167342854E-4</v>
      </c>
      <c r="M35">
        <v>1.774121328285651E-5</v>
      </c>
      <c r="N35" s="1">
        <v>3.8502782937053601E-6</v>
      </c>
      <c r="O35" s="1">
        <v>1.03759121603498E-7</v>
      </c>
      <c r="P35" s="1">
        <v>-5.3183442948450697E-7</v>
      </c>
      <c r="Q35">
        <v>71.911134740595799</v>
      </c>
      <c r="R35">
        <v>6.6356014633864105E-2</v>
      </c>
      <c r="S35">
        <v>12.1652693495506</v>
      </c>
      <c r="T35">
        <v>0.15213162032331401</v>
      </c>
      <c r="V35">
        <v>0.36318460602765601</v>
      </c>
      <c r="W35">
        <v>2.3080352916122999E-2</v>
      </c>
      <c r="X35">
        <v>4.8084068575272698E-2</v>
      </c>
      <c r="AA35">
        <v>0.51930794061283103</v>
      </c>
      <c r="AB35">
        <v>3.8178750448755299</v>
      </c>
      <c r="AC35">
        <v>4.4333511226383999</v>
      </c>
      <c r="AD35">
        <v>5.7700882290289898E-3</v>
      </c>
      <c r="AE35">
        <v>6.4944550510214496</v>
      </c>
    </row>
    <row r="36" spans="1:31" x14ac:dyDescent="0.2">
      <c r="A36">
        <v>35</v>
      </c>
      <c r="B36">
        <v>748</v>
      </c>
      <c r="C36">
        <v>280</v>
      </c>
      <c r="D36">
        <v>0.29049649904519698</v>
      </c>
      <c r="E36">
        <v>103.768001947458</v>
      </c>
      <c r="F36">
        <v>2.19564201183388</v>
      </c>
      <c r="G36">
        <v>-1695.4850189863921</v>
      </c>
      <c r="H36">
        <v>-1417.2859518002942</v>
      </c>
      <c r="I36">
        <v>272.43702412583599</v>
      </c>
      <c r="J36">
        <v>140.64943822199899</v>
      </c>
      <c r="K36">
        <v>47.2608928906347</v>
      </c>
      <c r="L36">
        <v>1.607911247978148E-4</v>
      </c>
      <c r="M36">
        <v>1.7733856503896749E-5</v>
      </c>
      <c r="N36" s="1">
        <v>3.8481829997904898E-6</v>
      </c>
      <c r="O36" s="1">
        <v>1.03494471237211E-7</v>
      </c>
      <c r="P36" s="1">
        <v>-5.3111806595055496E-7</v>
      </c>
      <c r="Q36">
        <v>71.863584727666904</v>
      </c>
      <c r="R36">
        <v>6.6494486455411506E-2</v>
      </c>
      <c r="S36">
        <v>12.190655850168101</v>
      </c>
      <c r="T36">
        <v>0.15274792417142</v>
      </c>
      <c r="V36">
        <v>0.36367360479528898</v>
      </c>
      <c r="W36">
        <v>2.3128517027965399E-2</v>
      </c>
      <c r="X36">
        <v>4.8184410474945101E-2</v>
      </c>
      <c r="AA36">
        <v>0.52039163312928804</v>
      </c>
      <c r="AB36">
        <v>3.8258421917094698</v>
      </c>
      <c r="AC36">
        <v>4.4426026457881198</v>
      </c>
      <c r="AD36">
        <v>5.7821292569895299E-3</v>
      </c>
      <c r="AE36">
        <v>6.4969118793560199</v>
      </c>
    </row>
    <row r="37" spans="1:31" x14ac:dyDescent="0.2">
      <c r="A37">
        <v>36</v>
      </c>
      <c r="B37">
        <v>747</v>
      </c>
      <c r="C37">
        <v>280</v>
      </c>
      <c r="D37">
        <v>0.28973239229525299</v>
      </c>
      <c r="E37">
        <v>103.55250555518801</v>
      </c>
      <c r="F37">
        <v>2.1960972703331598</v>
      </c>
      <c r="G37">
        <v>-1691.6428084291049</v>
      </c>
      <c r="H37">
        <v>-1414.3993888887308</v>
      </c>
      <c r="I37">
        <v>271.76730827856102</v>
      </c>
      <c r="J37">
        <v>140.36669403461099</v>
      </c>
      <c r="K37">
        <v>47.152968565676701</v>
      </c>
      <c r="L37">
        <v>1.6083796627338958E-4</v>
      </c>
      <c r="M37">
        <v>1.7726498144958537E-5</v>
      </c>
      <c r="N37" s="1">
        <v>3.8461130709750396E-6</v>
      </c>
      <c r="O37" s="1">
        <v>1.0323119951892E-7</v>
      </c>
      <c r="P37" s="1">
        <v>-5.3040641298874495E-7</v>
      </c>
      <c r="Q37">
        <v>71.816051981997205</v>
      </c>
      <c r="R37">
        <v>6.6632863811519394E-2</v>
      </c>
      <c r="S37">
        <v>12.216025032122401</v>
      </c>
      <c r="T37">
        <v>0.15336642589484301</v>
      </c>
      <c r="V37">
        <v>0.36415991397696801</v>
      </c>
      <c r="W37">
        <v>2.3176648282263401E-2</v>
      </c>
      <c r="X37">
        <v>4.8284683921401297E-2</v>
      </c>
      <c r="AA37">
        <v>0.52147458635099897</v>
      </c>
      <c r="AB37">
        <v>3.8338039033579401</v>
      </c>
      <c r="AC37">
        <v>4.4518478575511402</v>
      </c>
      <c r="AD37">
        <v>5.79416207056376E-3</v>
      </c>
      <c r="AE37">
        <v>6.4993819406626701</v>
      </c>
    </row>
    <row r="38" spans="1:31" x14ac:dyDescent="0.2">
      <c r="A38">
        <v>37</v>
      </c>
      <c r="B38">
        <v>746</v>
      </c>
      <c r="C38">
        <v>280</v>
      </c>
      <c r="D38">
        <v>0.288966786047197</v>
      </c>
      <c r="E38">
        <v>103.338047509696</v>
      </c>
      <c r="F38">
        <v>2.1965524702742498</v>
      </c>
      <c r="G38">
        <v>-1687.8190457675878</v>
      </c>
      <c r="H38">
        <v>-1411.5268289344417</v>
      </c>
      <c r="I38">
        <v>271.10063958509102</v>
      </c>
      <c r="J38">
        <v>140.08531818255301</v>
      </c>
      <c r="K38">
        <v>47.045562948375398</v>
      </c>
      <c r="L38">
        <v>1.6088487682854413E-4</v>
      </c>
      <c r="M38">
        <v>1.7719138210517769E-5</v>
      </c>
      <c r="N38" s="1">
        <v>3.8440683611346504E-6</v>
      </c>
      <c r="O38" s="1">
        <v>1.0296929600386E-7</v>
      </c>
      <c r="P38" s="1">
        <v>-5.2969943868234503E-7</v>
      </c>
      <c r="Q38">
        <v>71.768536228348594</v>
      </c>
      <c r="R38">
        <v>6.6771147377765502E-2</v>
      </c>
      <c r="S38">
        <v>12.241377019268199</v>
      </c>
      <c r="T38">
        <v>0.15398713860143901</v>
      </c>
      <c r="V38">
        <v>0.36464352686954798</v>
      </c>
      <c r="W38">
        <v>2.32247469140009E-2</v>
      </c>
      <c r="X38">
        <v>4.8384889404189099E-2</v>
      </c>
      <c r="AA38">
        <v>0.52255680556509798</v>
      </c>
      <c r="AB38">
        <v>3.8417602186911899</v>
      </c>
      <c r="AC38">
        <v>4.4610868030640303</v>
      </c>
      <c r="AD38">
        <v>5.8061867284979803E-3</v>
      </c>
      <c r="AE38">
        <v>6.5018652891673003</v>
      </c>
    </row>
    <row r="39" spans="1:31" x14ac:dyDescent="0.2">
      <c r="A39">
        <v>38</v>
      </c>
      <c r="B39">
        <v>745</v>
      </c>
      <c r="C39">
        <v>280</v>
      </c>
      <c r="D39">
        <v>0.28819967588272899</v>
      </c>
      <c r="E39">
        <v>103.12461943196701</v>
      </c>
      <c r="F39">
        <v>2.1970076118323898</v>
      </c>
      <c r="G39">
        <v>-1684.0135836408165</v>
      </c>
      <c r="H39">
        <v>-1408.6681584419935</v>
      </c>
      <c r="I39">
        <v>270.43699376204199</v>
      </c>
      <c r="J39">
        <v>139.80529977490701</v>
      </c>
      <c r="K39">
        <v>46.9386718901522</v>
      </c>
      <c r="L39">
        <v>1.6093185720478543E-4</v>
      </c>
      <c r="M39">
        <v>1.7711776705842421E-5</v>
      </c>
      <c r="N39" s="1">
        <v>3.8420487264332198E-6</v>
      </c>
      <c r="O39" s="1">
        <v>1.02708750368994E-7</v>
      </c>
      <c r="P39" s="1">
        <v>-5.2899711154068796E-7</v>
      </c>
      <c r="Q39">
        <v>71.721037190950994</v>
      </c>
      <c r="R39">
        <v>6.6909337828417695E-2</v>
      </c>
      <c r="S39">
        <v>12.266711935221901</v>
      </c>
      <c r="T39">
        <v>0.15461007546693001</v>
      </c>
      <c r="V39">
        <v>0.36512443669875599</v>
      </c>
      <c r="W39">
        <v>2.3272813157705699E-2</v>
      </c>
      <c r="X39">
        <v>4.8485027411908702E-2</v>
      </c>
      <c r="AA39">
        <v>0.52363829604846102</v>
      </c>
      <c r="AB39">
        <v>3.8497111765040501</v>
      </c>
      <c r="AC39">
        <v>4.4703195273756497</v>
      </c>
      <c r="AD39">
        <v>5.8182032894239797E-3</v>
      </c>
      <c r="AE39">
        <v>6.5043619800456796</v>
      </c>
    </row>
    <row r="40" spans="1:31" x14ac:dyDescent="0.2">
      <c r="A40">
        <v>39</v>
      </c>
      <c r="B40">
        <v>744</v>
      </c>
      <c r="C40">
        <v>280</v>
      </c>
      <c r="D40">
        <v>0.28743105736617303</v>
      </c>
      <c r="E40">
        <v>102.912213031023</v>
      </c>
      <c r="F40">
        <v>2.19746269516979</v>
      </c>
      <c r="G40">
        <v>-1680.2262762399021</v>
      </c>
      <c r="H40">
        <v>-1405.8232651071125</v>
      </c>
      <c r="I40">
        <v>269.77634678541898</v>
      </c>
      <c r="J40">
        <v>139.526628036673</v>
      </c>
      <c r="K40">
        <v>46.832291286324498</v>
      </c>
      <c r="L40">
        <v>1.6097890815350378E-4</v>
      </c>
      <c r="M40">
        <v>1.7704413636739927E-5</v>
      </c>
      <c r="N40" s="1">
        <v>3.8400540251756597E-6</v>
      </c>
      <c r="O40" s="1">
        <v>1.0244955240831901E-7</v>
      </c>
      <c r="P40" s="1">
        <v>-5.2829940047461197E-7</v>
      </c>
      <c r="Q40">
        <v>71.673554593638599</v>
      </c>
      <c r="R40">
        <v>6.7047435836605093E-2</v>
      </c>
      <c r="S40">
        <v>12.292029903390301</v>
      </c>
      <c r="T40">
        <v>0.15523524973581401</v>
      </c>
      <c r="V40">
        <v>0.365602636619896</v>
      </c>
      <c r="W40">
        <v>2.3320847247509699E-2</v>
      </c>
      <c r="X40">
        <v>4.8585098432335203E-2</v>
      </c>
      <c r="AA40">
        <v>0.52471906306905702</v>
      </c>
      <c r="AB40">
        <v>3.85765681552581</v>
      </c>
      <c r="AC40">
        <v>4.4795460754588099</v>
      </c>
      <c r="AD40">
        <v>5.8302118118748504E-3</v>
      </c>
      <c r="AE40">
        <v>6.50687206923324</v>
      </c>
    </row>
    <row r="41" spans="1:31" x14ac:dyDescent="0.2">
      <c r="A41">
        <v>40</v>
      </c>
      <c r="B41">
        <v>743</v>
      </c>
      <c r="C41">
        <v>280</v>
      </c>
      <c r="D41">
        <v>0.28666092604438298</v>
      </c>
      <c r="E41">
        <v>102.700820102706</v>
      </c>
      <c r="F41">
        <v>2.1979177204306399</v>
      </c>
      <c r="G41">
        <v>-1676.4569792876657</v>
      </c>
      <c r="H41">
        <v>-1402.9920377999117</v>
      </c>
      <c r="I41">
        <v>269.11867488830802</v>
      </c>
      <c r="J41">
        <v>139.24929230742501</v>
      </c>
      <c r="K41">
        <v>46.726417075605603</v>
      </c>
      <c r="L41">
        <v>1.610260304391504E-4</v>
      </c>
      <c r="M41">
        <v>1.7697049009789076E-5</v>
      </c>
      <c r="N41" s="1">
        <v>3.8380841178907699E-6</v>
      </c>
      <c r="O41" s="1">
        <v>1.0219169203397901E-7</v>
      </c>
      <c r="P41" s="1">
        <v>-5.2760627480869002E-7</v>
      </c>
      <c r="Q41">
        <v>71.626088159646599</v>
      </c>
      <c r="R41">
        <v>6.7185442074368801E-2</v>
      </c>
      <c r="S41">
        <v>12.3173310469807</v>
      </c>
      <c r="T41">
        <v>0.15586267472168899</v>
      </c>
      <c r="V41">
        <v>0.36607811971795801</v>
      </c>
      <c r="W41">
        <v>2.33688494171665E-2</v>
      </c>
      <c r="X41">
        <v>4.86851029524542E-2</v>
      </c>
      <c r="AA41">
        <v>0.52579911188633799</v>
      </c>
      <c r="AB41">
        <v>3.8655971744232098</v>
      </c>
      <c r="AC41">
        <v>4.4887664922137196</v>
      </c>
      <c r="AD41">
        <v>5.84221235428895E-3</v>
      </c>
      <c r="AE41">
        <v>6.5093956136113604</v>
      </c>
    </row>
    <row r="42" spans="1:31" x14ac:dyDescent="0.2">
      <c r="A42">
        <v>41</v>
      </c>
      <c r="B42">
        <v>742</v>
      </c>
      <c r="C42">
        <v>280</v>
      </c>
      <c r="D42">
        <v>0.28588927744668102</v>
      </c>
      <c r="E42">
        <v>102.49043252772999</v>
      </c>
      <c r="F42">
        <v>2.1983726877467298</v>
      </c>
      <c r="G42">
        <v>-1672.7055500041065</v>
      </c>
      <c r="H42">
        <v>-1400.174366538336</v>
      </c>
      <c r="I42">
        <v>268.46395455427302</v>
      </c>
      <c r="J42">
        <v>138.97328203855599</v>
      </c>
      <c r="K42">
        <v>46.621045239049103</v>
      </c>
      <c r="L42">
        <v>1.6107322483646831E-4</v>
      </c>
      <c r="M42">
        <v>1.7689682832104166E-5</v>
      </c>
      <c r="N42" s="1">
        <v>3.8361388671741602E-6</v>
      </c>
      <c r="O42" s="1">
        <v>1.0193515927133801E-7</v>
      </c>
      <c r="P42" s="1">
        <v>-5.2691770425637998E-7</v>
      </c>
      <c r="Q42">
        <v>71.578637611605203</v>
      </c>
      <c r="R42">
        <v>6.7323357213208396E-2</v>
      </c>
      <c r="S42">
        <v>12.342615489102601</v>
      </c>
      <c r="T42">
        <v>0.15649236380902901</v>
      </c>
      <c r="V42">
        <v>0.36655087900988198</v>
      </c>
      <c r="W42">
        <v>2.3416819900240599E-2</v>
      </c>
      <c r="X42">
        <v>4.8785041458860902E-2</v>
      </c>
      <c r="AA42">
        <v>0.52687844775551496</v>
      </c>
      <c r="AB42">
        <v>3.8735322918317499</v>
      </c>
      <c r="AC42">
        <v>4.4979808225041804</v>
      </c>
      <c r="AD42">
        <v>5.8542049750571999E-3</v>
      </c>
      <c r="AE42">
        <v>6.5119326708344101</v>
      </c>
    </row>
    <row r="43" spans="1:31" x14ac:dyDescent="0.2">
      <c r="A43">
        <v>42</v>
      </c>
      <c r="B43">
        <v>741</v>
      </c>
      <c r="C43">
        <v>280</v>
      </c>
      <c r="D43">
        <v>0.28511610708475299</v>
      </c>
      <c r="E43">
        <v>101.28927436709</v>
      </c>
      <c r="F43">
        <v>2.1987248495359801</v>
      </c>
      <c r="G43">
        <v>-1652.8766431987497</v>
      </c>
      <c r="H43">
        <v>-1383.835706447589</v>
      </c>
      <c r="I43">
        <v>265.28712394730599</v>
      </c>
      <c r="J43">
        <v>137.37497112630399</v>
      </c>
      <c r="K43">
        <v>46.067280491447697</v>
      </c>
      <c r="L43">
        <v>1.6127029012116557E-4</v>
      </c>
      <c r="M43">
        <v>1.7694245128991063E-5</v>
      </c>
      <c r="N43" s="1">
        <v>3.8019286568761702E-6</v>
      </c>
      <c r="O43" s="1">
        <v>1.00813919256088E-7</v>
      </c>
      <c r="P43" s="1">
        <v>-5.2174365417774095E-7</v>
      </c>
      <c r="Q43">
        <v>71.517340216327099</v>
      </c>
      <c r="R43">
        <v>6.8121724073112802E-2</v>
      </c>
      <c r="S43">
        <v>12.372373996253</v>
      </c>
      <c r="T43">
        <v>0.158637357033452</v>
      </c>
      <c r="V43">
        <v>0.370637468271591</v>
      </c>
      <c r="W43">
        <v>2.3694512721075801E-2</v>
      </c>
      <c r="X43">
        <v>4.9363568168939602E-2</v>
      </c>
      <c r="AA43">
        <v>0.53180024638492396</v>
      </c>
      <c r="AB43">
        <v>3.89262463207745</v>
      </c>
      <c r="AC43">
        <v>4.4866114075258601</v>
      </c>
      <c r="AD43">
        <v>5.92362818026542E-3</v>
      </c>
      <c r="AE43">
        <v>6.5228712429830198</v>
      </c>
    </row>
    <row r="44" spans="1:31" x14ac:dyDescent="0.2">
      <c r="A44">
        <v>43</v>
      </c>
      <c r="B44">
        <v>740</v>
      </c>
      <c r="C44">
        <v>280</v>
      </c>
      <c r="D44">
        <v>0.28434141045255101</v>
      </c>
      <c r="E44">
        <v>91.864662845598303</v>
      </c>
      <c r="F44">
        <v>2.19903868202986</v>
      </c>
      <c r="G44">
        <v>-1498.9224460814667</v>
      </c>
      <c r="H44">
        <v>-1254.925787913711</v>
      </c>
      <c r="I44">
        <v>240.82974699477401</v>
      </c>
      <c r="J44">
        <v>124.697107300944</v>
      </c>
      <c r="K44">
        <v>41.774919011793401</v>
      </c>
      <c r="L44">
        <v>1.6209837334572438E-4</v>
      </c>
      <c r="M44">
        <v>1.7746841841887632E-5</v>
      </c>
      <c r="N44" s="1">
        <v>3.47540529928714E-6</v>
      </c>
      <c r="O44" s="1">
        <v>9.19273187802867E-8</v>
      </c>
      <c r="P44" s="1">
        <v>-4.76289611526724E-7</v>
      </c>
      <c r="Q44">
        <v>71.380328683463802</v>
      </c>
      <c r="R44">
        <v>7.5110491741514102E-2</v>
      </c>
      <c r="S44">
        <v>12.4144281355185</v>
      </c>
      <c r="T44">
        <v>0.17503645875569401</v>
      </c>
      <c r="V44">
        <v>0.40855034969570903</v>
      </c>
      <c r="W44">
        <v>2.6125388431818101E-2</v>
      </c>
      <c r="X44">
        <v>5.4427892566346198E-2</v>
      </c>
      <c r="AA44">
        <v>0.54961247212187703</v>
      </c>
      <c r="AB44">
        <v>3.9528975125485899</v>
      </c>
      <c r="AC44">
        <v>4.3901292152876499</v>
      </c>
      <c r="AD44">
        <v>6.5313471079482604E-3</v>
      </c>
      <c r="AE44">
        <v>6.5668220527605303</v>
      </c>
    </row>
    <row r="45" spans="1:31" x14ac:dyDescent="0.2">
      <c r="A45">
        <v>44</v>
      </c>
      <c r="B45">
        <v>739</v>
      </c>
      <c r="C45">
        <v>280</v>
      </c>
      <c r="D45">
        <v>0.28356518302623301</v>
      </c>
      <c r="E45">
        <v>69.433780787443993</v>
      </c>
      <c r="F45">
        <v>2.20167085879002</v>
      </c>
      <c r="G45">
        <v>-1131.4739769820733</v>
      </c>
      <c r="H45">
        <v>-947.24756945266563</v>
      </c>
      <c r="I45">
        <v>182.01492617636501</v>
      </c>
      <c r="J45">
        <v>94.277157612992497</v>
      </c>
      <c r="K45">
        <v>31.536857796084298</v>
      </c>
      <c r="L45">
        <v>1.6260920133594778E-4</v>
      </c>
      <c r="M45">
        <v>1.7762490937338495E-5</v>
      </c>
      <c r="N45" s="1">
        <v>2.6352119362346E-6</v>
      </c>
      <c r="O45" s="1">
        <v>6.9554612924794898E-8</v>
      </c>
      <c r="P45" s="1">
        <v>-3.6079266536604102E-7</v>
      </c>
      <c r="Q45">
        <v>71.183730013654696</v>
      </c>
      <c r="R45">
        <v>9.9375259733075094E-2</v>
      </c>
      <c r="S45">
        <v>12.407004578324299</v>
      </c>
      <c r="T45">
        <v>0.231273723335536</v>
      </c>
      <c r="V45">
        <v>0.54081235796895999</v>
      </c>
      <c r="W45">
        <v>3.4565307733221202E-2</v>
      </c>
      <c r="X45">
        <v>7.2011057777642606E-2</v>
      </c>
      <c r="AA45">
        <v>0.53560099810292505</v>
      </c>
      <c r="AB45">
        <v>3.9626236629953402</v>
      </c>
      <c r="AC45">
        <v>4.3440941020056796</v>
      </c>
      <c r="AD45">
        <v>8.6413269333002092E-3</v>
      </c>
      <c r="AE45">
        <v>6.5802676114352101</v>
      </c>
    </row>
    <row r="46" spans="1:31" x14ac:dyDescent="0.2">
      <c r="A46">
        <v>45</v>
      </c>
      <c r="B46">
        <v>738</v>
      </c>
      <c r="C46">
        <v>280</v>
      </c>
      <c r="D46">
        <v>0.28278742026405701</v>
      </c>
      <c r="E46">
        <v>55.627788551462203</v>
      </c>
      <c r="F46">
        <v>2.2044978140963898</v>
      </c>
      <c r="G46">
        <v>-905.28597475778724</v>
      </c>
      <c r="H46">
        <v>-757.86791919880272</v>
      </c>
      <c r="I46">
        <v>145.79246952379401</v>
      </c>
      <c r="J46">
        <v>75.550454754141995</v>
      </c>
      <c r="K46">
        <v>25.233768977114401</v>
      </c>
      <c r="L46">
        <v>1.6305877064255744E-4</v>
      </c>
      <c r="M46">
        <v>1.7773042824552072E-5</v>
      </c>
      <c r="N46" s="1">
        <v>2.1167125646476099E-6</v>
      </c>
      <c r="O46" s="1">
        <v>5.5751905944565199E-8</v>
      </c>
      <c r="P46" s="1">
        <v>-2.8950820421695701E-7</v>
      </c>
      <c r="Q46">
        <v>70.985108083019597</v>
      </c>
      <c r="R46">
        <v>0.124038725602379</v>
      </c>
      <c r="S46">
        <v>12.400291765690699</v>
      </c>
      <c r="T46">
        <v>0.28825650654992702</v>
      </c>
      <c r="V46">
        <v>0.67540822002337397</v>
      </c>
      <c r="W46">
        <v>4.3143904557315697E-2</v>
      </c>
      <c r="X46">
        <v>8.9883134494556899E-2</v>
      </c>
      <c r="AA46">
        <v>0.52674219520834398</v>
      </c>
      <c r="AB46">
        <v>3.9628243917023398</v>
      </c>
      <c r="AC46">
        <v>4.3037504745933903</v>
      </c>
      <c r="AD46">
        <v>1.0785976139319E-2</v>
      </c>
      <c r="AE46">
        <v>6.5897666224186597</v>
      </c>
    </row>
    <row r="47" spans="1:31" x14ac:dyDescent="0.2">
      <c r="A47">
        <v>46</v>
      </c>
      <c r="B47">
        <v>737</v>
      </c>
      <c r="C47">
        <v>280</v>
      </c>
      <c r="D47">
        <v>0.28200811760629901</v>
      </c>
      <c r="E47">
        <v>17.413490270422098</v>
      </c>
      <c r="F47">
        <v>2.2063287460222401</v>
      </c>
      <c r="G47">
        <v>-283.48637680608755</v>
      </c>
      <c r="H47">
        <v>-237.41826396937472</v>
      </c>
      <c r="I47">
        <v>45.605219855182703</v>
      </c>
      <c r="J47">
        <v>23.674690974015899</v>
      </c>
      <c r="K47">
        <v>7.8925184208457697</v>
      </c>
      <c r="L47">
        <v>1.6320209756085305E-4</v>
      </c>
      <c r="M47">
        <v>1.779361330911364E-5</v>
      </c>
      <c r="N47" s="1">
        <v>6.6395375282065196E-7</v>
      </c>
      <c r="O47" s="1">
        <v>1.7450494393686901E-8</v>
      </c>
      <c r="P47" s="1">
        <v>-9.0450430589455897E-8</v>
      </c>
      <c r="Q47">
        <v>70.724971900017707</v>
      </c>
      <c r="R47">
        <v>0.12761838835256401</v>
      </c>
      <c r="S47">
        <v>12.7056845835736</v>
      </c>
      <c r="T47">
        <v>0.26102964231599601</v>
      </c>
      <c r="V47">
        <v>0.615619053417928</v>
      </c>
      <c r="W47">
        <v>0.13674574783979199</v>
      </c>
      <c r="X47">
        <v>0.13746455671584101</v>
      </c>
      <c r="AA47">
        <v>0.50765650523864303</v>
      </c>
      <c r="AB47">
        <v>3.8529700079133802</v>
      </c>
      <c r="AC47">
        <v>4.3001937809872803</v>
      </c>
      <c r="AD47">
        <v>3.4456044749277402E-2</v>
      </c>
      <c r="AE47">
        <v>6.5955897888778603</v>
      </c>
    </row>
    <row r="48" spans="1:31" x14ac:dyDescent="0.2">
      <c r="A48">
        <v>47</v>
      </c>
      <c r="B48">
        <v>736</v>
      </c>
      <c r="C48">
        <v>280</v>
      </c>
      <c r="D48">
        <v>0.281227270475152</v>
      </c>
      <c r="E48">
        <v>10.437317972731799</v>
      </c>
      <c r="F48">
        <v>2.20889726716941</v>
      </c>
      <c r="G48">
        <v>-169.87489514342869</v>
      </c>
      <c r="H48">
        <v>-142.3193222201713</v>
      </c>
      <c r="I48">
        <v>27.3057255346156</v>
      </c>
      <c r="J48">
        <v>14.1985557876132</v>
      </c>
      <c r="K48">
        <v>4.7251260291098598</v>
      </c>
      <c r="L48">
        <v>1.6329630513336652E-4</v>
      </c>
      <c r="M48">
        <v>1.7809838461489409E-5</v>
      </c>
      <c r="N48" s="1">
        <v>3.98445309050527E-7</v>
      </c>
      <c r="O48" s="1">
        <v>1.04506275716513E-8</v>
      </c>
      <c r="P48" s="1">
        <v>-5.4070009085937402E-8</v>
      </c>
      <c r="Q48">
        <v>70.434981998042304</v>
      </c>
      <c r="R48">
        <v>0.12698548484987199</v>
      </c>
      <c r="S48">
        <v>13.009198551212901</v>
      </c>
      <c r="T48">
        <v>0.25735451186355002</v>
      </c>
      <c r="V48">
        <v>0.61146566838767902</v>
      </c>
      <c r="W48">
        <v>0.226065712247671</v>
      </c>
      <c r="X48">
        <v>0.136911736731848</v>
      </c>
      <c r="AA48">
        <v>0.51087990533707395</v>
      </c>
      <c r="AB48">
        <v>3.7208289839407098</v>
      </c>
      <c r="AC48">
        <v>4.31179501045915</v>
      </c>
      <c r="AD48">
        <v>5.7486032481347503E-2</v>
      </c>
      <c r="AE48">
        <v>6.5960464044457803</v>
      </c>
    </row>
    <row r="49" spans="1:31" x14ac:dyDescent="0.2">
      <c r="A49">
        <v>48</v>
      </c>
      <c r="B49">
        <v>757</v>
      </c>
      <c r="C49">
        <v>260</v>
      </c>
      <c r="D49">
        <v>0.318662816094747</v>
      </c>
      <c r="E49">
        <v>105.32707738014101</v>
      </c>
      <c r="F49">
        <v>2.1923343788316099</v>
      </c>
      <c r="G49">
        <v>-1723.0917954470126</v>
      </c>
      <c r="H49">
        <v>-1439.1526415240164</v>
      </c>
      <c r="I49">
        <v>275.628941341548</v>
      </c>
      <c r="J49">
        <v>142.389717906979</v>
      </c>
      <c r="K49">
        <v>48.043345210995902</v>
      </c>
      <c r="L49">
        <v>1.5703315663915255E-4</v>
      </c>
      <c r="M49">
        <v>1.7778568999471497E-5</v>
      </c>
      <c r="N49" s="1">
        <v>3.7012341248235701E-6</v>
      </c>
      <c r="O49" s="1">
        <v>1.0274508218829099E-7</v>
      </c>
      <c r="P49" s="1">
        <v>-5.2409528895393099E-7</v>
      </c>
      <c r="Q49">
        <v>72.497976683082499</v>
      </c>
      <c r="R49">
        <v>6.5510219894328398E-2</v>
      </c>
      <c r="S49">
        <v>12.0102069806274</v>
      </c>
      <c r="T49">
        <v>0.149354454028747</v>
      </c>
      <c r="V49">
        <v>0.35930942555752499</v>
      </c>
      <c r="W49">
        <v>2.2786163441505199E-2</v>
      </c>
      <c r="X49">
        <v>4.7471173836470398E-2</v>
      </c>
      <c r="AA49">
        <v>0.51268867743387303</v>
      </c>
      <c r="AB49">
        <v>3.7692112026156699</v>
      </c>
      <c r="AC49">
        <v>4.3768422277224497</v>
      </c>
      <c r="AD49">
        <v>5.6965408603762103E-3</v>
      </c>
      <c r="AE49">
        <v>6.1829462508990103</v>
      </c>
    </row>
    <row r="50" spans="1:31" x14ac:dyDescent="0.2">
      <c r="A50">
        <v>49</v>
      </c>
      <c r="B50">
        <v>756</v>
      </c>
      <c r="C50">
        <v>260</v>
      </c>
      <c r="D50">
        <v>0.317932760044698</v>
      </c>
      <c r="E50">
        <v>105.23509439255599</v>
      </c>
      <c r="F50">
        <v>2.1927408939426698</v>
      </c>
      <c r="G50">
        <v>-1721.2869774703854</v>
      </c>
      <c r="H50">
        <v>-1438.0038753016793</v>
      </c>
      <c r="I50">
        <v>275.25929375572599</v>
      </c>
      <c r="J50">
        <v>142.26021189276099</v>
      </c>
      <c r="K50">
        <v>47.992489529092303</v>
      </c>
      <c r="L50">
        <v>1.5701100161080809E-4</v>
      </c>
      <c r="M50">
        <v>1.7769985794603048E-5</v>
      </c>
      <c r="N50" s="1">
        <v>3.7024854135798898E-6</v>
      </c>
      <c r="O50" s="1">
        <v>1.0257725265499701E-7</v>
      </c>
      <c r="P50" s="1">
        <v>-5.2366608098512605E-7</v>
      </c>
      <c r="Q50">
        <v>72.479032195075504</v>
      </c>
      <c r="R50">
        <v>6.5567480504755304E-2</v>
      </c>
      <c r="S50">
        <v>12.020704759206099</v>
      </c>
      <c r="T50">
        <v>0.14974267489828799</v>
      </c>
      <c r="V50">
        <v>0.35939162938220298</v>
      </c>
      <c r="W50">
        <v>2.2806080175566599E-2</v>
      </c>
      <c r="X50">
        <v>4.7512667032432301E-2</v>
      </c>
      <c r="AA50">
        <v>0.51313680395025696</v>
      </c>
      <c r="AB50">
        <v>3.7725057623749998</v>
      </c>
      <c r="AC50">
        <v>4.3806679003900699</v>
      </c>
      <c r="AD50">
        <v>5.7015200438914598E-3</v>
      </c>
      <c r="AE50">
        <v>6.1832305269658603</v>
      </c>
    </row>
    <row r="51" spans="1:31" x14ac:dyDescent="0.2">
      <c r="A51">
        <v>50</v>
      </c>
      <c r="B51">
        <v>755</v>
      </c>
      <c r="C51">
        <v>260</v>
      </c>
      <c r="D51">
        <v>0.31720128385935797</v>
      </c>
      <c r="E51">
        <v>105.01630739778901</v>
      </c>
      <c r="F51">
        <v>2.1931990625172202</v>
      </c>
      <c r="G51">
        <v>-1717.3818497066734</v>
      </c>
      <c r="H51">
        <v>-1435.0728182673929</v>
      </c>
      <c r="I51">
        <v>274.57961526944501</v>
      </c>
      <c r="J51">
        <v>141.97305706769899</v>
      </c>
      <c r="K51">
        <v>47.882706678370702</v>
      </c>
      <c r="L51">
        <v>1.5705227475602433E-4</v>
      </c>
      <c r="M51">
        <v>1.7762395316262845E-5</v>
      </c>
      <c r="N51" s="1">
        <v>3.7002363381342802E-6</v>
      </c>
      <c r="O51" s="1">
        <v>1.0231144288699E-7</v>
      </c>
      <c r="P51" s="1">
        <v>-5.2292766816025101E-7</v>
      </c>
      <c r="Q51">
        <v>72.432636872250399</v>
      </c>
      <c r="R51">
        <v>6.5704081308664203E-2</v>
      </c>
      <c r="S51">
        <v>12.045748239923</v>
      </c>
      <c r="T51">
        <v>0.150344230056943</v>
      </c>
      <c r="V51">
        <v>0.35987979876023601</v>
      </c>
      <c r="W51">
        <v>2.2853593498665298E-2</v>
      </c>
      <c r="X51">
        <v>4.7611653122221702E-2</v>
      </c>
      <c r="AA51">
        <v>0.51420585371997796</v>
      </c>
      <c r="AB51">
        <v>3.7803652579042399</v>
      </c>
      <c r="AC51">
        <v>4.3897944178685897</v>
      </c>
      <c r="AD51">
        <v>5.7133983746660601E-3</v>
      </c>
      <c r="AE51">
        <v>6.1851426032122596</v>
      </c>
    </row>
    <row r="52" spans="1:31" x14ac:dyDescent="0.2">
      <c r="A52">
        <v>51</v>
      </c>
      <c r="B52">
        <v>754</v>
      </c>
      <c r="C52">
        <v>260</v>
      </c>
      <c r="D52">
        <v>0.31646838339093702</v>
      </c>
      <c r="E52">
        <v>104.79858450560501</v>
      </c>
      <c r="F52">
        <v>2.1936572456858698</v>
      </c>
      <c r="G52">
        <v>-1713.4956202806891</v>
      </c>
      <c r="H52">
        <v>-1432.1561216946145</v>
      </c>
      <c r="I52">
        <v>273.90303128664198</v>
      </c>
      <c r="J52">
        <v>141.687297577755</v>
      </c>
      <c r="K52">
        <v>47.773454449962699</v>
      </c>
      <c r="L52">
        <v>1.5709356028915114E-4</v>
      </c>
      <c r="M52">
        <v>1.7754800227130013E-5</v>
      </c>
      <c r="N52" s="1">
        <v>3.6980101864287201E-6</v>
      </c>
      <c r="O52" s="1">
        <v>1.02046977201995E-7</v>
      </c>
      <c r="P52" s="1">
        <v>-5.2219372562433301E-7</v>
      </c>
      <c r="Q52">
        <v>72.386264194951494</v>
      </c>
      <c r="R52">
        <v>6.5840583940626002E-2</v>
      </c>
      <c r="S52">
        <v>12.0707737224499</v>
      </c>
      <c r="T52">
        <v>0.15094789189709101</v>
      </c>
      <c r="V52">
        <v>0.36036533267648102</v>
      </c>
      <c r="W52">
        <v>2.2901072674999599E-2</v>
      </c>
      <c r="X52">
        <v>4.77105680729192E-2</v>
      </c>
      <c r="AA52">
        <v>0.51527413518750398</v>
      </c>
      <c r="AB52">
        <v>3.7882191049895502</v>
      </c>
      <c r="AC52">
        <v>4.3989143763227903</v>
      </c>
      <c r="AD52">
        <v>5.7252681687495104E-3</v>
      </c>
      <c r="AE52">
        <v>6.1870637486677804</v>
      </c>
    </row>
    <row r="53" spans="1:31" x14ac:dyDescent="0.2">
      <c r="A53">
        <v>52</v>
      </c>
      <c r="B53">
        <v>753</v>
      </c>
      <c r="C53">
        <v>260</v>
      </c>
      <c r="D53">
        <v>0.31573405447546998</v>
      </c>
      <c r="E53">
        <v>104.581917155333</v>
      </c>
      <c r="F53">
        <v>2.19411544439583</v>
      </c>
      <c r="G53">
        <v>-1709.6281383938015</v>
      </c>
      <c r="H53">
        <v>-1429.2536696416344</v>
      </c>
      <c r="I53">
        <v>273.22951688560801</v>
      </c>
      <c r="J53">
        <v>141.40292227216099</v>
      </c>
      <c r="K53">
        <v>47.664728591403097</v>
      </c>
      <c r="L53">
        <v>1.5713485829738739E-4</v>
      </c>
      <c r="M53">
        <v>1.7747200495291909E-5</v>
      </c>
      <c r="N53" s="1">
        <v>3.69580679681058E-6</v>
      </c>
      <c r="O53" s="1">
        <v>1.01783844925896E-7</v>
      </c>
      <c r="P53" s="1">
        <v>-5.2146421922438603E-7</v>
      </c>
      <c r="Q53">
        <v>72.339913949185998</v>
      </c>
      <c r="R53">
        <v>6.5976989021454296E-2</v>
      </c>
      <c r="S53">
        <v>12.095781320602001</v>
      </c>
      <c r="T53">
        <v>0.15155367288556201</v>
      </c>
      <c r="V53">
        <v>0.36084822459179999</v>
      </c>
      <c r="W53">
        <v>2.2948517920505E-2</v>
      </c>
      <c r="X53">
        <v>4.7809412334389199E-2</v>
      </c>
      <c r="AA53">
        <v>0.51634165321137804</v>
      </c>
      <c r="AB53">
        <v>3.79606733935025</v>
      </c>
      <c r="AC53">
        <v>4.4080278172302902</v>
      </c>
      <c r="AD53">
        <v>5.7371294801258198E-3</v>
      </c>
      <c r="AE53">
        <v>6.1889939741861797</v>
      </c>
    </row>
    <row r="54" spans="1:31" x14ac:dyDescent="0.2">
      <c r="A54">
        <v>53</v>
      </c>
      <c r="B54">
        <v>752</v>
      </c>
      <c r="C54">
        <v>260</v>
      </c>
      <c r="D54">
        <v>0.31499829293274201</v>
      </c>
      <c r="E54">
        <v>104.36629687887699</v>
      </c>
      <c r="F54">
        <v>2.1945736595886598</v>
      </c>
      <c r="G54">
        <v>-1705.7792548770451</v>
      </c>
      <c r="H54">
        <v>-1426.3653474209909</v>
      </c>
      <c r="I54">
        <v>272.559047413602</v>
      </c>
      <c r="J54">
        <v>141.119920121234</v>
      </c>
      <c r="K54">
        <v>47.556524896247304</v>
      </c>
      <c r="L54">
        <v>1.5717616886933467E-4</v>
      </c>
      <c r="M54">
        <v>1.7739596088968595E-5</v>
      </c>
      <c r="N54" s="1">
        <v>3.6936260095547798E-6</v>
      </c>
      <c r="O54" s="1">
        <v>1.0152203550126599E-7</v>
      </c>
      <c r="P54" s="1">
        <v>-5.2073911519186097E-7</v>
      </c>
      <c r="Q54">
        <v>72.293585921652905</v>
      </c>
      <c r="R54">
        <v>6.6113297169180602E-2</v>
      </c>
      <c r="S54">
        <v>12.120771147686</v>
      </c>
      <c r="T54">
        <v>0.15216158554981099</v>
      </c>
      <c r="V54">
        <v>0.36132846789138601</v>
      </c>
      <c r="W54">
        <v>2.2995929450148601E-2</v>
      </c>
      <c r="X54">
        <v>4.7908186354481602E-2</v>
      </c>
      <c r="AA54">
        <v>0.51740841262836401</v>
      </c>
      <c r="AB54">
        <v>3.8039099965454701</v>
      </c>
      <c r="AC54">
        <v>4.4171347818826403</v>
      </c>
      <c r="AD54">
        <v>5.74898236253653E-3</v>
      </c>
      <c r="AE54">
        <v>6.1909332908270196</v>
      </c>
    </row>
    <row r="55" spans="1:31" x14ac:dyDescent="0.2">
      <c r="A55">
        <v>54</v>
      </c>
      <c r="B55">
        <v>751</v>
      </c>
      <c r="C55">
        <v>260</v>
      </c>
      <c r="D55">
        <v>0.31426109456622597</v>
      </c>
      <c r="E55">
        <v>104.15171529645001</v>
      </c>
      <c r="F55">
        <v>2.1950318922015599</v>
      </c>
      <c r="G55">
        <v>-1701.9488221193023</v>
      </c>
      <c r="H55">
        <v>-1423.4910415402289</v>
      </c>
      <c r="I55">
        <v>271.89159847588002</v>
      </c>
      <c r="J55">
        <v>140.838280210996</v>
      </c>
      <c r="K55">
        <v>47.448839202053101</v>
      </c>
      <c r="L55">
        <v>1.5721749209654062E-4</v>
      </c>
      <c r="M55">
        <v>1.7731986976536229E-5</v>
      </c>
      <c r="N55" s="1">
        <v>3.69146766675607E-6</v>
      </c>
      <c r="O55" s="1">
        <v>1.01261538483482E-7</v>
      </c>
      <c r="P55" s="1">
        <v>-5.2001838013027395E-7</v>
      </c>
      <c r="Q55">
        <v>72.247279899076403</v>
      </c>
      <c r="R55">
        <v>6.6249509000984599E-2</v>
      </c>
      <c r="S55">
        <v>12.1457433168513</v>
      </c>
      <c r="T55">
        <v>0.15277164248342601</v>
      </c>
      <c r="V55">
        <v>0.36180605589461101</v>
      </c>
      <c r="W55">
        <v>2.3043307478601598E-2</v>
      </c>
      <c r="X55">
        <v>4.8006890580427702E-2</v>
      </c>
      <c r="AA55">
        <v>0.51847441826856699</v>
      </c>
      <c r="AB55">
        <v>3.81174711208544</v>
      </c>
      <c r="AC55">
        <v>4.4262353115146302</v>
      </c>
      <c r="AD55">
        <v>5.7608268696495001E-3</v>
      </c>
      <c r="AE55">
        <v>6.19288170989583</v>
      </c>
    </row>
    <row r="56" spans="1:31" x14ac:dyDescent="0.2">
      <c r="A56">
        <v>55</v>
      </c>
      <c r="B56">
        <v>750</v>
      </c>
      <c r="C56">
        <v>260</v>
      </c>
      <c r="D56">
        <v>0.313522455162978</v>
      </c>
      <c r="E56">
        <v>103.938164118619</v>
      </c>
      <c r="F56">
        <v>2.1954901431676501</v>
      </c>
      <c r="G56">
        <v>-1698.1366940994862</v>
      </c>
      <c r="H56">
        <v>-1420.6306397312455</v>
      </c>
      <c r="I56">
        <v>271.22714593973598</v>
      </c>
      <c r="J56">
        <v>140.55799174556299</v>
      </c>
      <c r="K56">
        <v>47.341667391253999</v>
      </c>
      <c r="L56">
        <v>1.5725882807088263E-4</v>
      </c>
      <c r="M56">
        <v>1.7724373126425636E-5</v>
      </c>
      <c r="N56" s="1">
        <v>3.6893316123614898E-6</v>
      </c>
      <c r="O56" s="1">
        <v>1.01002343540857E-7</v>
      </c>
      <c r="P56" s="1">
        <v>-5.1930198101265005E-7</v>
      </c>
      <c r="Q56">
        <v>72.200995668963401</v>
      </c>
      <c r="R56">
        <v>6.6385625131165305E-2</v>
      </c>
      <c r="S56">
        <v>12.1706979407186</v>
      </c>
      <c r="T56">
        <v>0.153383856340959</v>
      </c>
      <c r="V56">
        <v>0.36228098184437502</v>
      </c>
      <c r="W56">
        <v>2.30906522195337E-2</v>
      </c>
      <c r="X56">
        <v>4.8105525457370998E-2</v>
      </c>
      <c r="AA56">
        <v>0.51953967493954401</v>
      </c>
      <c r="AB56">
        <v>3.8195787213146399</v>
      </c>
      <c r="AC56">
        <v>4.4353294471686402</v>
      </c>
      <c r="AD56">
        <v>5.7726630548823599E-3</v>
      </c>
      <c r="AE56">
        <v>6.1948392428468004</v>
      </c>
    </row>
    <row r="57" spans="1:31" x14ac:dyDescent="0.2">
      <c r="A57">
        <v>56</v>
      </c>
      <c r="B57">
        <v>749</v>
      </c>
      <c r="C57">
        <v>260</v>
      </c>
      <c r="D57">
        <v>0.312782370493568</v>
      </c>
      <c r="E57">
        <v>103.72563514267</v>
      </c>
      <c r="F57">
        <v>2.1959484134132001</v>
      </c>
      <c r="G57">
        <v>-1694.3427263259396</v>
      </c>
      <c r="H57">
        <v>-1417.784030899677</v>
      </c>
      <c r="I57">
        <v>270.56566592600097</v>
      </c>
      <c r="J57">
        <v>140.27904404273801</v>
      </c>
      <c r="K57">
        <v>47.235005389515599</v>
      </c>
      <c r="L57">
        <v>1.573001768881727E-4</v>
      </c>
      <c r="M57">
        <v>1.7716754507321189E-5</v>
      </c>
      <c r="N57" s="1">
        <v>3.6872176921591099E-6</v>
      </c>
      <c r="O57" s="1">
        <v>1.0074444045331E-7</v>
      </c>
      <c r="P57" s="1">
        <v>-5.1858988518395803E-7</v>
      </c>
      <c r="Q57">
        <v>72.154733018924901</v>
      </c>
      <c r="R57">
        <v>6.6521646172709101E-2</v>
      </c>
      <c r="S57">
        <v>12.195635131669301</v>
      </c>
      <c r="T57">
        <v>0.153998239842216</v>
      </c>
      <c r="V57">
        <v>0.36275323891477801</v>
      </c>
      <c r="W57">
        <v>2.3137963886157201E-2</v>
      </c>
      <c r="X57">
        <v>4.8204091429505297E-2</v>
      </c>
      <c r="AA57">
        <v>0.52060418743857995</v>
      </c>
      <c r="AB57">
        <v>3.8274048595019599</v>
      </c>
      <c r="AC57">
        <v>4.4444172297992104</v>
      </c>
      <c r="AD57">
        <v>5.784490971538E-3</v>
      </c>
      <c r="AE57">
        <v>6.1968059014490002</v>
      </c>
    </row>
    <row r="58" spans="1:31" x14ac:dyDescent="0.2">
      <c r="A58">
        <v>57</v>
      </c>
      <c r="B58">
        <v>748</v>
      </c>
      <c r="C58">
        <v>260</v>
      </c>
      <c r="D58">
        <v>0.31204083631200402</v>
      </c>
      <c r="E58">
        <v>103.5141202511</v>
      </c>
      <c r="F58">
        <v>2.1964067038590702</v>
      </c>
      <c r="G58">
        <v>-1690.5667758099391</v>
      </c>
      <c r="H58">
        <v>-1414.9511051043021</v>
      </c>
      <c r="I58">
        <v>269.90713480452098</v>
      </c>
      <c r="J58">
        <v>140.00142653200101</v>
      </c>
      <c r="K58">
        <v>47.1288491649685</v>
      </c>
      <c r="L58">
        <v>1.5734153864757912E-4</v>
      </c>
      <c r="M58">
        <v>1.7709131088103171E-5</v>
      </c>
      <c r="N58" s="1">
        <v>3.6851257537191202E-6</v>
      </c>
      <c r="O58" s="1">
        <v>1.00487819109952E-7</v>
      </c>
      <c r="P58" s="1">
        <v>-5.1788206035112098E-7</v>
      </c>
      <c r="Q58">
        <v>72.108491736634704</v>
      </c>
      <c r="R58">
        <v>6.6657572737541401E-2</v>
      </c>
      <c r="S58">
        <v>12.2205550018894</v>
      </c>
      <c r="T58">
        <v>0.15461480577334</v>
      </c>
      <c r="V58">
        <v>0.36322282021237301</v>
      </c>
      <c r="W58">
        <v>2.3185242691315899E-2</v>
      </c>
      <c r="X58">
        <v>4.8302588940254201E-2</v>
      </c>
      <c r="AA58">
        <v>0.52166796055465703</v>
      </c>
      <c r="AB58">
        <v>3.8352255618553199</v>
      </c>
      <c r="AC58">
        <v>4.4534987002900897</v>
      </c>
      <c r="AD58">
        <v>5.79631067282754E-3</v>
      </c>
      <c r="AE58">
        <v>6.1987816977479904</v>
      </c>
    </row>
    <row r="59" spans="1:31" x14ac:dyDescent="0.2">
      <c r="A59">
        <v>58</v>
      </c>
      <c r="B59">
        <v>747</v>
      </c>
      <c r="C59">
        <v>260</v>
      </c>
      <c r="D59">
        <v>0.31129784835563601</v>
      </c>
      <c r="E59">
        <v>103.303611413002</v>
      </c>
      <c r="F59">
        <v>2.1968650154229699</v>
      </c>
      <c r="G59">
        <v>-1686.8087010868637</v>
      </c>
      <c r="H59">
        <v>-1412.1317535773519</v>
      </c>
      <c r="I59">
        <v>269.25152919620803</v>
      </c>
      <c r="J59">
        <v>139.725128756001</v>
      </c>
      <c r="K59">
        <v>47.023194728744997</v>
      </c>
      <c r="L59">
        <v>1.5738291344829906E-4</v>
      </c>
      <c r="M59">
        <v>1.7701502837671775E-5</v>
      </c>
      <c r="N59" s="1">
        <v>3.68305564637266E-6</v>
      </c>
      <c r="O59" s="1">
        <v>1.0023246950783E-7</v>
      </c>
      <c r="P59" s="1">
        <v>-5.1717847457308804E-7</v>
      </c>
      <c r="Q59">
        <v>72.062271610498598</v>
      </c>
      <c r="R59">
        <v>6.6793405434922598E-2</v>
      </c>
      <c r="S59">
        <v>12.2454576630769</v>
      </c>
      <c r="T59">
        <v>0.15523356698270999</v>
      </c>
      <c r="V59">
        <v>0.36368971876755002</v>
      </c>
      <c r="W59">
        <v>2.32324888469265E-2</v>
      </c>
      <c r="X59">
        <v>4.8401018431110901E-2</v>
      </c>
      <c r="AA59">
        <v>0.52273099905590004</v>
      </c>
      <c r="AB59">
        <v>3.8430408634292399</v>
      </c>
      <c r="AC59">
        <v>4.4625738993469204</v>
      </c>
      <c r="AD59">
        <v>5.8081222117299701E-3</v>
      </c>
      <c r="AE59">
        <v>6.20076664391744</v>
      </c>
    </row>
    <row r="60" spans="1:31" x14ac:dyDescent="0.2">
      <c r="A60">
        <v>59</v>
      </c>
      <c r="B60">
        <v>746</v>
      </c>
      <c r="C60">
        <v>260</v>
      </c>
      <c r="D60">
        <v>0.31055340234509199</v>
      </c>
      <c r="E60">
        <v>103.09410068104199</v>
      </c>
      <c r="F60">
        <v>2.1973233490150799</v>
      </c>
      <c r="G60">
        <v>-1683.06836216587</v>
      </c>
      <c r="H60">
        <v>-1409.3258686822296</v>
      </c>
      <c r="I60">
        <v>268.598825966383</v>
      </c>
      <c r="J60">
        <v>139.45014036697199</v>
      </c>
      <c r="K60">
        <v>46.918038133647002</v>
      </c>
      <c r="L60">
        <v>1.5742430139374991E-4</v>
      </c>
      <c r="M60">
        <v>1.7693869725206413E-5</v>
      </c>
      <c r="N60" s="1">
        <v>3.68100722124537E-6</v>
      </c>
      <c r="O60" s="1">
        <v>9.9978381751819194E-8</v>
      </c>
      <c r="P60" s="1">
        <v>-5.1647909626955302E-7</v>
      </c>
      <c r="Q60">
        <v>72.016072429044996</v>
      </c>
      <c r="R60">
        <v>6.6929144872682006E-2</v>
      </c>
      <c r="S60">
        <v>12.270343226666601</v>
      </c>
      <c r="T60">
        <v>0.155854536384472</v>
      </c>
      <c r="V60">
        <v>0.364153927540801</v>
      </c>
      <c r="W60">
        <v>2.3279702564407801E-2</v>
      </c>
      <c r="X60">
        <v>4.8499380342531297E-2</v>
      </c>
      <c r="AA60">
        <v>0.52379330769923305</v>
      </c>
      <c r="AB60">
        <v>3.8508507991959502</v>
      </c>
      <c r="AC60">
        <v>4.4716428675797903</v>
      </c>
      <c r="AD60">
        <v>5.81992564110018E-3</v>
      </c>
      <c r="AE60">
        <v>6.2027607524673201</v>
      </c>
    </row>
    <row r="61" spans="1:31" x14ac:dyDescent="0.2">
      <c r="A61">
        <v>60</v>
      </c>
      <c r="B61">
        <v>745</v>
      </c>
      <c r="C61">
        <v>260</v>
      </c>
      <c r="D61">
        <v>0.309807493984187</v>
      </c>
      <c r="E61">
        <v>102.885580191302</v>
      </c>
      <c r="F61">
        <v>2.19778170554053</v>
      </c>
      <c r="G61">
        <v>-1679.345620525595</v>
      </c>
      <c r="H61">
        <v>-1406.5333439120593</v>
      </c>
      <c r="I61">
        <v>267.949002223185</v>
      </c>
      <c r="J61">
        <v>139.17645112633201</v>
      </c>
      <c r="K61">
        <v>46.813375473974901</v>
      </c>
      <c r="L61">
        <v>1.5746570258932463E-4</v>
      </c>
      <c r="M61">
        <v>1.7686231720022842E-5</v>
      </c>
      <c r="N61" s="1">
        <v>3.6789803312024698E-6</v>
      </c>
      <c r="O61" s="1">
        <v>9.9725546052421794E-8</v>
      </c>
      <c r="P61" s="1">
        <v>-5.1578389420884298E-7</v>
      </c>
      <c r="Q61">
        <v>71.969893981230598</v>
      </c>
      <c r="R61">
        <v>6.70647916566222E-2</v>
      </c>
      <c r="S61">
        <v>12.2952118037228</v>
      </c>
      <c r="T61">
        <v>0.15647772695717899</v>
      </c>
      <c r="V61">
        <v>0.36461543941930402</v>
      </c>
      <c r="W61">
        <v>2.3326884054473699E-2</v>
      </c>
      <c r="X61">
        <v>4.8597675113502999E-2</v>
      </c>
      <c r="AA61">
        <v>0.52485489122572004</v>
      </c>
      <c r="AB61">
        <v>3.8586554040110399</v>
      </c>
      <c r="AC61">
        <v>4.4807056454632699</v>
      </c>
      <c r="AD61">
        <v>5.8317210136165096E-3</v>
      </c>
      <c r="AE61">
        <v>6.2047640361317598</v>
      </c>
    </row>
    <row r="62" spans="1:31" x14ac:dyDescent="0.2">
      <c r="A62">
        <v>61</v>
      </c>
      <c r="B62">
        <v>744</v>
      </c>
      <c r="C62">
        <v>260</v>
      </c>
      <c r="D62">
        <v>0.30906011895984098</v>
      </c>
      <c r="E62">
        <v>102.678042159982</v>
      </c>
      <c r="F62">
        <v>2.1982400859015701</v>
      </c>
      <c r="G62">
        <v>-1675.6403390582666</v>
      </c>
      <c r="H62">
        <v>-1403.754073843965</v>
      </c>
      <c r="I62">
        <v>267.30203530875599</v>
      </c>
      <c r="J62">
        <v>138.90405090047</v>
      </c>
      <c r="K62">
        <v>46.709202883938197</v>
      </c>
      <c r="L62">
        <v>1.5750711714283288E-4</v>
      </c>
      <c r="M62">
        <v>1.7678588791534831E-5</v>
      </c>
      <c r="N62" s="1">
        <v>3.67697483074171E-6</v>
      </c>
      <c r="O62" s="1">
        <v>9.9473952722094098E-8</v>
      </c>
      <c r="P62" s="1">
        <v>-5.1509283749412102E-7</v>
      </c>
      <c r="Q62">
        <v>71.923736055977102</v>
      </c>
      <c r="R62">
        <v>6.7200346391973198E-2</v>
      </c>
      <c r="S62">
        <v>12.320063505205299</v>
      </c>
      <c r="T62">
        <v>0.15710315174803699</v>
      </c>
      <c r="V62">
        <v>0.36507424722411003</v>
      </c>
      <c r="W62">
        <v>2.3374033527638699E-2</v>
      </c>
      <c r="X62">
        <v>4.86959031825994E-2</v>
      </c>
      <c r="AA62">
        <v>0.52591575437194304</v>
      </c>
      <c r="AB62">
        <v>3.8664547126971098</v>
      </c>
      <c r="AC62">
        <v>4.4897622734336702</v>
      </c>
      <c r="AD62">
        <v>5.8435083819074604E-3</v>
      </c>
      <c r="AE62">
        <v>6.2067765078584598</v>
      </c>
    </row>
    <row r="63" spans="1:31" x14ac:dyDescent="0.2">
      <c r="A63">
        <v>62</v>
      </c>
      <c r="B63">
        <v>743</v>
      </c>
      <c r="C63">
        <v>260</v>
      </c>
      <c r="D63">
        <v>0.30831127294198801</v>
      </c>
      <c r="E63">
        <v>85.970597488919907</v>
      </c>
      <c r="F63">
        <v>2.1997150887743602</v>
      </c>
      <c r="G63">
        <v>-1402.0621380954531</v>
      </c>
      <c r="H63">
        <v>-1174.6184977120045</v>
      </c>
      <c r="I63">
        <v>223.82880517979501</v>
      </c>
      <c r="J63">
        <v>116.3468608683</v>
      </c>
      <c r="K63">
        <v>39.082605710006298</v>
      </c>
      <c r="L63">
        <v>1.5795594273287767E-4</v>
      </c>
      <c r="M63">
        <v>1.7697700354551757E-5</v>
      </c>
      <c r="N63" s="1">
        <v>3.0907496565397201E-6</v>
      </c>
      <c r="O63" s="1">
        <v>8.3432544756478498E-8</v>
      </c>
      <c r="P63" s="1">
        <v>-4.3247814864808399E-7</v>
      </c>
      <c r="Q63">
        <v>71.784274521814197</v>
      </c>
      <c r="R63">
        <v>8.0259998203342106E-2</v>
      </c>
      <c r="S63">
        <v>12.3365462023796</v>
      </c>
      <c r="T63">
        <v>0.18763852044629101</v>
      </c>
      <c r="V63">
        <v>0.43601875060527701</v>
      </c>
      <c r="W63">
        <v>2.7916521114195601E-2</v>
      </c>
      <c r="X63">
        <v>5.8159418987954403E-2</v>
      </c>
      <c r="AA63">
        <v>0.52947805763043998</v>
      </c>
      <c r="AB63">
        <v>3.8874503069133102</v>
      </c>
      <c r="AC63">
        <v>4.4412983758718498</v>
      </c>
      <c r="AD63">
        <v>6.9791302785446804E-3</v>
      </c>
      <c r="AE63">
        <v>6.2239801957548799</v>
      </c>
    </row>
    <row r="64" spans="1:31" x14ac:dyDescent="0.2">
      <c r="A64">
        <v>63</v>
      </c>
      <c r="B64">
        <v>742</v>
      </c>
      <c r="C64">
        <v>260</v>
      </c>
      <c r="D64">
        <v>0.30756095158350699</v>
      </c>
      <c r="E64">
        <v>65.930172210006504</v>
      </c>
      <c r="F64">
        <v>2.2026119261285499</v>
      </c>
      <c r="G64">
        <v>-1073.7919555105843</v>
      </c>
      <c r="H64">
        <v>-899.59343777364154</v>
      </c>
      <c r="I64">
        <v>171.59879597787801</v>
      </c>
      <c r="J64">
        <v>89.243884825622999</v>
      </c>
      <c r="K64">
        <v>29.932722795108699</v>
      </c>
      <c r="L64">
        <v>1.5833666017216292E-4</v>
      </c>
      <c r="M64">
        <v>1.7704051344232517E-5</v>
      </c>
      <c r="N64" s="1">
        <v>2.3751987388324199E-6</v>
      </c>
      <c r="O64" s="1">
        <v>6.3985398605421499E-8</v>
      </c>
      <c r="P64" s="1">
        <v>-3.3199484890096899E-7</v>
      </c>
      <c r="Q64">
        <v>71.591279217384098</v>
      </c>
      <c r="R64">
        <v>0.104656180451384</v>
      </c>
      <c r="S64">
        <v>12.3294458187723</v>
      </c>
      <c r="T64">
        <v>0.24431052741360801</v>
      </c>
      <c r="V64">
        <v>0.56887994120109397</v>
      </c>
      <c r="W64">
        <v>3.6402149722201897E-2</v>
      </c>
      <c r="X64">
        <v>7.5837811921339093E-2</v>
      </c>
      <c r="AA64">
        <v>0.52350437896044899</v>
      </c>
      <c r="AB64">
        <v>3.8821010504867002</v>
      </c>
      <c r="AC64">
        <v>4.4047137029954699</v>
      </c>
      <c r="AD64">
        <v>9.10053743054072E-3</v>
      </c>
      <c r="AE64">
        <v>6.2297686832607502</v>
      </c>
    </row>
    <row r="65" spans="1:31" x14ac:dyDescent="0.2">
      <c r="A65">
        <v>64</v>
      </c>
      <c r="B65">
        <v>741</v>
      </c>
      <c r="C65">
        <v>260</v>
      </c>
      <c r="D65">
        <v>0.30680915052014102</v>
      </c>
      <c r="E65">
        <v>36.715441016556703</v>
      </c>
      <c r="F65">
        <v>2.20502589679836</v>
      </c>
      <c r="G65">
        <v>-597.63059765751802</v>
      </c>
      <c r="H65">
        <v>-500.77242363397886</v>
      </c>
      <c r="I65">
        <v>95.506753462051094</v>
      </c>
      <c r="J65">
        <v>49.726502303089603</v>
      </c>
      <c r="K65">
        <v>16.650798101675999</v>
      </c>
      <c r="L65">
        <v>1.5850471104186052E-4</v>
      </c>
      <c r="M65">
        <v>1.7702245074970003E-5</v>
      </c>
      <c r="N65" s="1">
        <v>1.3240208427495599E-6</v>
      </c>
      <c r="O65" s="1">
        <v>3.5596056361850597E-8</v>
      </c>
      <c r="P65" s="1">
        <v>-1.8470527796510599E-7</v>
      </c>
      <c r="Q65">
        <v>71.414704059641906</v>
      </c>
      <c r="R65">
        <v>0.12877855685586201</v>
      </c>
      <c r="S65">
        <v>12.3952175396767</v>
      </c>
      <c r="T65">
        <v>0.26323496277096903</v>
      </c>
      <c r="V65">
        <v>0.61441599148197701</v>
      </c>
      <c r="W65">
        <v>6.5367592858725898E-2</v>
      </c>
      <c r="X65">
        <v>0.13030673382331601</v>
      </c>
      <c r="AA65">
        <v>0.51446601360253097</v>
      </c>
      <c r="AB65">
        <v>3.8457577215846901</v>
      </c>
      <c r="AC65">
        <v>4.3826047101837302</v>
      </c>
      <c r="AD65">
        <v>1.6341898214658802E-2</v>
      </c>
      <c r="AE65">
        <v>6.2288042193048199</v>
      </c>
    </row>
    <row r="66" spans="1:31" x14ac:dyDescent="0.2">
      <c r="A66">
        <v>65</v>
      </c>
      <c r="B66">
        <v>740</v>
      </c>
      <c r="C66">
        <v>260</v>
      </c>
      <c r="D66">
        <v>0.30605586537038199</v>
      </c>
      <c r="E66">
        <v>15.4965645089585</v>
      </c>
      <c r="F66">
        <v>2.2076732002186099</v>
      </c>
      <c r="G66">
        <v>-252.19654867427747</v>
      </c>
      <c r="H66">
        <v>-211.40117164289848</v>
      </c>
      <c r="I66">
        <v>40.265880700171699</v>
      </c>
      <c r="J66">
        <v>21.001634777317701</v>
      </c>
      <c r="K66">
        <v>7.0194105302469696</v>
      </c>
      <c r="L66">
        <v>1.5853063375971882E-4</v>
      </c>
      <c r="M66">
        <v>1.7711817693139514E-5</v>
      </c>
      <c r="N66" s="1">
        <v>5.5913133493534304E-7</v>
      </c>
      <c r="O66" s="1">
        <v>1.5002040121491001E-8</v>
      </c>
      <c r="P66" s="1">
        <v>-7.7692022423504197E-8</v>
      </c>
      <c r="Q66">
        <v>71.134092235915702</v>
      </c>
      <c r="R66">
        <v>0.13629926754698701</v>
      </c>
      <c r="S66">
        <v>12.6862583820918</v>
      </c>
      <c r="T66">
        <v>0.256044258458552</v>
      </c>
      <c r="V66">
        <v>0.60197917998166195</v>
      </c>
      <c r="W66">
        <v>0.15360736274769601</v>
      </c>
      <c r="X66">
        <v>0.14548380470720201</v>
      </c>
      <c r="AA66">
        <v>0.51304024789326497</v>
      </c>
      <c r="AB66">
        <v>3.7147973129506799</v>
      </c>
      <c r="AC66">
        <v>4.3946702938529096</v>
      </c>
      <c r="AD66">
        <v>3.8718259111647099E-2</v>
      </c>
      <c r="AE66">
        <v>6.22500939474177</v>
      </c>
    </row>
    <row r="67" spans="1:31" x14ac:dyDescent="0.2">
      <c r="A67">
        <v>66</v>
      </c>
      <c r="B67">
        <v>739</v>
      </c>
      <c r="C67">
        <v>260</v>
      </c>
      <c r="D67">
        <v>0.30530109173541498</v>
      </c>
      <c r="E67">
        <v>9.83765779059142</v>
      </c>
      <c r="F67">
        <v>2.2102252273448602</v>
      </c>
      <c r="G67">
        <v>-160.06124489626231</v>
      </c>
      <c r="H67">
        <v>-134.2178181759962</v>
      </c>
      <c r="I67">
        <v>25.5331983601898</v>
      </c>
      <c r="J67">
        <v>13.339778067117001</v>
      </c>
      <c r="K67">
        <v>4.4509752530556996</v>
      </c>
      <c r="L67">
        <v>1.5857761610985692E-4</v>
      </c>
      <c r="M67">
        <v>1.7724549103973437E-5</v>
      </c>
      <c r="N67" s="1">
        <v>3.5526740451304599E-7</v>
      </c>
      <c r="O67" s="1">
        <v>9.5129282007315395E-9</v>
      </c>
      <c r="P67" s="1">
        <v>-4.9172375321953103E-8</v>
      </c>
      <c r="Q67">
        <v>70.853881795646998</v>
      </c>
      <c r="R67">
        <v>0.13569275268067199</v>
      </c>
      <c r="S67">
        <v>12.981157118318899</v>
      </c>
      <c r="T67">
        <v>0.252377010041133</v>
      </c>
      <c r="V67">
        <v>0.59765112930489595</v>
      </c>
      <c r="W67">
        <v>0.239811089817313</v>
      </c>
      <c r="X67">
        <v>0.14493923070461601</v>
      </c>
      <c r="AA67">
        <v>0.51785543752260499</v>
      </c>
      <c r="AB67">
        <v>3.5835039448254302</v>
      </c>
      <c r="AC67">
        <v>4.4087244232478202</v>
      </c>
      <c r="AD67">
        <v>6.0990127199978698E-2</v>
      </c>
      <c r="AE67">
        <v>6.2234159406894998</v>
      </c>
    </row>
    <row r="68" spans="1:31" x14ac:dyDescent="0.2">
      <c r="A68">
        <v>67</v>
      </c>
      <c r="B68">
        <v>757</v>
      </c>
      <c r="C68">
        <v>240</v>
      </c>
      <c r="D68">
        <v>0.340018929282145</v>
      </c>
      <c r="E68">
        <v>105.003057969804</v>
      </c>
      <c r="F68">
        <v>2.1931953936566799</v>
      </c>
      <c r="G68">
        <v>-1717.0138037852137</v>
      </c>
      <c r="H68">
        <v>-1435.8561228767301</v>
      </c>
      <c r="I68">
        <v>272.92887531765598</v>
      </c>
      <c r="J68">
        <v>141.653075434257</v>
      </c>
      <c r="K68">
        <v>47.876745625812198</v>
      </c>
      <c r="L68">
        <v>1.5355637151217254E-4</v>
      </c>
      <c r="M68">
        <v>1.7732917133863282E-5</v>
      </c>
      <c r="N68" s="1">
        <v>3.53870142407501E-6</v>
      </c>
      <c r="O68" s="1">
        <v>9.9564727584974699E-8</v>
      </c>
      <c r="P68" s="1">
        <v>-5.0964202161085404E-7</v>
      </c>
      <c r="Q68">
        <v>72.721691612047593</v>
      </c>
      <c r="R68">
        <v>6.5712371938579706E-2</v>
      </c>
      <c r="S68">
        <v>12.04726818874</v>
      </c>
      <c r="T68">
        <v>0.15128569867132699</v>
      </c>
      <c r="V68">
        <v>0.35909513504369101</v>
      </c>
      <c r="W68">
        <v>2.28564771960275E-2</v>
      </c>
      <c r="X68">
        <v>4.7617660825058201E-2</v>
      </c>
      <c r="AA68">
        <v>0.51427073691062297</v>
      </c>
      <c r="AB68">
        <v>3.7808422695095598</v>
      </c>
      <c r="AC68">
        <v>4.3903483280702797</v>
      </c>
      <c r="AD68">
        <v>5.7141192990068004E-3</v>
      </c>
      <c r="AE68">
        <v>5.8932974017481099</v>
      </c>
    </row>
    <row r="69" spans="1:31" x14ac:dyDescent="0.2">
      <c r="A69">
        <v>68</v>
      </c>
      <c r="B69">
        <v>756</v>
      </c>
      <c r="C69">
        <v>240</v>
      </c>
      <c r="D69">
        <v>0.33930962444735902</v>
      </c>
      <c r="E69">
        <v>104.918470817659</v>
      </c>
      <c r="F69">
        <v>2.19359587939263</v>
      </c>
      <c r="G69">
        <v>-1715.3340543738673</v>
      </c>
      <c r="H69">
        <v>-1434.8096155552862</v>
      </c>
      <c r="I69">
        <v>272.57876773898897</v>
      </c>
      <c r="J69">
        <v>141.53299539494299</v>
      </c>
      <c r="K69">
        <v>47.829443792860097</v>
      </c>
      <c r="L69">
        <v>1.5353099653577258E-4</v>
      </c>
      <c r="M69">
        <v>1.7724309188803326E-5</v>
      </c>
      <c r="N69" s="1">
        <v>3.5399907635368402E-6</v>
      </c>
      <c r="O69" s="1">
        <v>9.9407176993170802E-8</v>
      </c>
      <c r="P69" s="1">
        <v>-5.0923521724182503E-7</v>
      </c>
      <c r="Q69">
        <v>72.704356281480301</v>
      </c>
      <c r="R69">
        <v>6.5765350430924102E-2</v>
      </c>
      <c r="S69">
        <v>12.0569809123373</v>
      </c>
      <c r="T69">
        <v>0.151667147258569</v>
      </c>
      <c r="V69">
        <v>0.35915116160768501</v>
      </c>
      <c r="W69">
        <v>2.2874904497712199E-2</v>
      </c>
      <c r="X69">
        <v>4.7656051036902798E-2</v>
      </c>
      <c r="AA69">
        <v>0.51468535119853398</v>
      </c>
      <c r="AB69">
        <v>3.7838904523299202</v>
      </c>
      <c r="AC69">
        <v>4.39388790560219</v>
      </c>
      <c r="AD69">
        <v>5.7187261244278E-3</v>
      </c>
      <c r="AE69">
        <v>5.8933657560954398</v>
      </c>
    </row>
    <row r="70" spans="1:31" x14ac:dyDescent="0.2">
      <c r="A70">
        <v>69</v>
      </c>
      <c r="B70">
        <v>755</v>
      </c>
      <c r="C70">
        <v>240</v>
      </c>
      <c r="D70">
        <v>0.338598939843407</v>
      </c>
      <c r="E70">
        <v>104.705366553834</v>
      </c>
      <c r="F70">
        <v>2.1940535046874698</v>
      </c>
      <c r="G70">
        <v>-1711.5255002527965</v>
      </c>
      <c r="H70">
        <v>-1431.9552562008525</v>
      </c>
      <c r="I70">
        <v>271.91581389091402</v>
      </c>
      <c r="J70">
        <v>141.25333737937501</v>
      </c>
      <c r="K70">
        <v>47.722339646748502</v>
      </c>
      <c r="L70">
        <v>1.5356865557031099E-4</v>
      </c>
      <c r="M70">
        <v>1.7716591047145489E-5</v>
      </c>
      <c r="N70" s="1">
        <v>3.5378305736532099E-6</v>
      </c>
      <c r="O70" s="1">
        <v>9.9151793572163493E-8</v>
      </c>
      <c r="P70" s="1">
        <v>-5.0851954573006304E-7</v>
      </c>
      <c r="Q70">
        <v>72.659202219587897</v>
      </c>
      <c r="R70">
        <v>6.5899201035244104E-2</v>
      </c>
      <c r="S70">
        <v>12.081520189796599</v>
      </c>
      <c r="T70">
        <v>0.15226838674901599</v>
      </c>
      <c r="V70">
        <v>0.35961888888558802</v>
      </c>
      <c r="W70">
        <v>2.29214612296493E-2</v>
      </c>
      <c r="X70">
        <v>4.7753044228439602E-2</v>
      </c>
      <c r="AA70">
        <v>0.51573287766712395</v>
      </c>
      <c r="AB70">
        <v>3.7915917117378699</v>
      </c>
      <c r="AC70">
        <v>4.4028306778617603</v>
      </c>
      <c r="AD70">
        <v>5.7303653074119399E-3</v>
      </c>
      <c r="AE70">
        <v>5.8949309759132902</v>
      </c>
    </row>
    <row r="71" spans="1:31" x14ac:dyDescent="0.2">
      <c r="A71">
        <v>70</v>
      </c>
      <c r="B71">
        <v>754</v>
      </c>
      <c r="C71">
        <v>240</v>
      </c>
      <c r="D71">
        <v>0.33788687144039198</v>
      </c>
      <c r="E71">
        <v>104.493277843508</v>
      </c>
      <c r="F71">
        <v>2.1945112037477701</v>
      </c>
      <c r="G71">
        <v>-1707.7349921364639</v>
      </c>
      <c r="H71">
        <v>-1429.114606046973</v>
      </c>
      <c r="I71">
        <v>271.25579135422299</v>
      </c>
      <c r="J71">
        <v>140.975005955493</v>
      </c>
      <c r="K71">
        <v>47.615741339144499</v>
      </c>
      <c r="L71">
        <v>1.5360628880261746E-4</v>
      </c>
      <c r="M71">
        <v>1.7708865933556594E-5</v>
      </c>
      <c r="N71" s="1">
        <v>3.5356901599262198E-6</v>
      </c>
      <c r="O71" s="1">
        <v>9.8897644453223503E-8</v>
      </c>
      <c r="P71" s="1">
        <v>-5.0780788725172597E-7</v>
      </c>
      <c r="Q71">
        <v>72.614072901704702</v>
      </c>
      <c r="R71">
        <v>6.6032955826438103E-2</v>
      </c>
      <c r="S71">
        <v>12.1060419015169</v>
      </c>
      <c r="T71">
        <v>0.15287173166885701</v>
      </c>
      <c r="V71">
        <v>0.36008399960492699</v>
      </c>
      <c r="W71">
        <v>2.2967984635281501E-2</v>
      </c>
      <c r="X71">
        <v>4.7849967990175803E-2</v>
      </c>
      <c r="AA71">
        <v>0.51677965429385697</v>
      </c>
      <c r="AB71">
        <v>3.79928745841955</v>
      </c>
      <c r="AC71">
        <v>4.4117670486935703</v>
      </c>
      <c r="AD71">
        <v>5.74199615881973E-3</v>
      </c>
      <c r="AE71">
        <v>5.8965023994868604</v>
      </c>
    </row>
    <row r="72" spans="1:31" x14ac:dyDescent="0.2">
      <c r="A72">
        <v>71</v>
      </c>
      <c r="B72">
        <v>753</v>
      </c>
      <c r="C72">
        <v>240</v>
      </c>
      <c r="D72">
        <v>0.33717341519271199</v>
      </c>
      <c r="E72">
        <v>104.28219671216701</v>
      </c>
      <c r="F72">
        <v>2.1949689779766701</v>
      </c>
      <c r="G72">
        <v>-1703.9623893659625</v>
      </c>
      <c r="H72">
        <v>-1426.2875570940234</v>
      </c>
      <c r="I72">
        <v>270.59867687174301</v>
      </c>
      <c r="J72">
        <v>140.69799073275399</v>
      </c>
      <c r="K72">
        <v>47.509644900901797</v>
      </c>
      <c r="L72">
        <v>1.5364389591085727E-4</v>
      </c>
      <c r="M72">
        <v>1.7701133792247757E-5</v>
      </c>
      <c r="N72" s="1">
        <v>3.5335693665055999E-6</v>
      </c>
      <c r="O72" s="1">
        <v>9.8644719715346198E-8</v>
      </c>
      <c r="P72" s="1">
        <v>-5.07100209213708E-7</v>
      </c>
      <c r="Q72">
        <v>72.568968157374201</v>
      </c>
      <c r="R72">
        <v>6.6166615371990006E-2</v>
      </c>
      <c r="S72">
        <v>12.130546151535601</v>
      </c>
      <c r="T72">
        <v>0.15347719433063001</v>
      </c>
      <c r="V72">
        <v>0.36054648696355701</v>
      </c>
      <c r="W72">
        <v>2.3014474911994799E-2</v>
      </c>
      <c r="X72">
        <v>4.7946822733330202E-2</v>
      </c>
      <c r="AA72">
        <v>0.51782568551991304</v>
      </c>
      <c r="AB72">
        <v>3.8069777250258898</v>
      </c>
      <c r="AC72">
        <v>4.4206970560122301</v>
      </c>
      <c r="AD72">
        <v>5.7536187279978498E-3</v>
      </c>
      <c r="AE72">
        <v>5.8980800114924703</v>
      </c>
    </row>
    <row r="73" spans="1:31" x14ac:dyDescent="0.2">
      <c r="A73">
        <v>72</v>
      </c>
      <c r="B73">
        <v>752</v>
      </c>
      <c r="C73">
        <v>240</v>
      </c>
      <c r="D73">
        <v>0.33645856703896998</v>
      </c>
      <c r="E73">
        <v>104.072115265289</v>
      </c>
      <c r="F73">
        <v>2.1954268287807701</v>
      </c>
      <c r="G73">
        <v>-1700.2075526955523</v>
      </c>
      <c r="H73">
        <v>-1423.4740024243465</v>
      </c>
      <c r="I73">
        <v>269.94444741862702</v>
      </c>
      <c r="J73">
        <v>140.422281425026</v>
      </c>
      <c r="K73">
        <v>47.404046402715302</v>
      </c>
      <c r="L73">
        <v>1.5368147657137104E-4</v>
      </c>
      <c r="M73">
        <v>1.769339456725936E-5</v>
      </c>
      <c r="N73" s="1">
        <v>3.5314680389272299E-6</v>
      </c>
      <c r="O73" s="1">
        <v>9.8393009535737294E-8</v>
      </c>
      <c r="P73" s="1">
        <v>-5.0639647933381904E-7</v>
      </c>
      <c r="Q73">
        <v>72.523887816180405</v>
      </c>
      <c r="R73">
        <v>6.6300180239552697E-2</v>
      </c>
      <c r="S73">
        <v>12.155033043923201</v>
      </c>
      <c r="T73">
        <v>0.15408478711403401</v>
      </c>
      <c r="V73">
        <v>0.36100634409999299</v>
      </c>
      <c r="W73">
        <v>2.3060932257233598E-2</v>
      </c>
      <c r="X73">
        <v>4.8043608869246301E-2</v>
      </c>
      <c r="AA73">
        <v>0.51887097578779295</v>
      </c>
      <c r="AB73">
        <v>3.8146625442175002</v>
      </c>
      <c r="AC73">
        <v>4.4296207377434902</v>
      </c>
      <c r="AD73">
        <v>5.7652330643073301E-3</v>
      </c>
      <c r="AE73">
        <v>5.8996637965031304</v>
      </c>
    </row>
    <row r="74" spans="1:31" x14ac:dyDescent="0.2">
      <c r="A74">
        <v>73</v>
      </c>
      <c r="B74">
        <v>751</v>
      </c>
      <c r="C74">
        <v>240</v>
      </c>
      <c r="D74">
        <v>0.33574232290192102</v>
      </c>
      <c r="E74">
        <v>103.863025693406</v>
      </c>
      <c r="F74">
        <v>2.19588475756506</v>
      </c>
      <c r="G74">
        <v>-1696.4703443757294</v>
      </c>
      <c r="H74">
        <v>-1420.6738362738495</v>
      </c>
      <c r="I74">
        <v>269.29308021469501</v>
      </c>
      <c r="J74">
        <v>140.14786785690299</v>
      </c>
      <c r="K74">
        <v>47.298941957489703</v>
      </c>
      <c r="L74">
        <v>1.5371903045700023E-4</v>
      </c>
      <c r="M74">
        <v>1.7685648202525032E-5</v>
      </c>
      <c r="N74" s="1">
        <v>3.5293860243027399E-6</v>
      </c>
      <c r="O74" s="1">
        <v>9.8142504194355E-8</v>
      </c>
      <c r="P74" s="1">
        <v>-5.0569666565899498E-7</v>
      </c>
      <c r="Q74">
        <v>72.478831709007196</v>
      </c>
      <c r="R74">
        <v>6.6433650993072593E-2</v>
      </c>
      <c r="S74">
        <v>12.179502682070099</v>
      </c>
      <c r="T74">
        <v>0.154694522455703</v>
      </c>
      <c r="V74">
        <v>0.36146356407361502</v>
      </c>
      <c r="W74">
        <v>2.3107356867152901E-2</v>
      </c>
      <c r="X74">
        <v>4.8140326806581098E-2</v>
      </c>
      <c r="AA74">
        <v>0.51991552951098896</v>
      </c>
      <c r="AB74">
        <v>3.8223419484416801</v>
      </c>
      <c r="AC74">
        <v>4.4385381315654504</v>
      </c>
      <c r="AD74">
        <v>5.7768392167868304E-3</v>
      </c>
      <c r="AE74">
        <v>5.9012537389915902</v>
      </c>
    </row>
    <row r="75" spans="1:31" x14ac:dyDescent="0.2">
      <c r="A75">
        <v>74</v>
      </c>
      <c r="B75">
        <v>750</v>
      </c>
      <c r="C75">
        <v>240</v>
      </c>
      <c r="D75">
        <v>0.335024678688366</v>
      </c>
      <c r="E75">
        <v>103.65492026790101</v>
      </c>
      <c r="F75">
        <v>2.1963427657355501</v>
      </c>
      <c r="G75">
        <v>-1692.7506280823452</v>
      </c>
      <c r="H75">
        <v>-1417.8869539735795</v>
      </c>
      <c r="I75">
        <v>268.644552713449</v>
      </c>
      <c r="J75">
        <v>139.87473995837101</v>
      </c>
      <c r="K75">
        <v>47.1943277183275</v>
      </c>
      <c r="L75">
        <v>1.5375655723792435E-4</v>
      </c>
      <c r="M75">
        <v>1.7677894641838659E-5</v>
      </c>
      <c r="N75" s="1">
        <v>3.5273231711920198E-6</v>
      </c>
      <c r="O75" s="1">
        <v>9.7893194069614704E-8</v>
      </c>
      <c r="P75" s="1">
        <v>-5.05000736549603E-7</v>
      </c>
      <c r="Q75">
        <v>72.433799667396599</v>
      </c>
      <c r="R75">
        <v>6.6567028194773101E-2</v>
      </c>
      <c r="S75">
        <v>12.2039551690498</v>
      </c>
      <c r="T75">
        <v>0.15530641285484201</v>
      </c>
      <c r="V75">
        <v>0.36191813987461102</v>
      </c>
      <c r="W75">
        <v>2.31537489373091E-2</v>
      </c>
      <c r="X75">
        <v>4.8236976952742198E-2</v>
      </c>
      <c r="AA75">
        <v>0.52095935108951197</v>
      </c>
      <c r="AB75">
        <v>3.83001597004671</v>
      </c>
      <c r="AC75">
        <v>4.44744927504125</v>
      </c>
      <c r="AD75">
        <v>5.7884372343256097E-3</v>
      </c>
      <c r="AE75">
        <v>5.9028498233273998</v>
      </c>
    </row>
    <row r="76" spans="1:31" x14ac:dyDescent="0.2">
      <c r="A76">
        <v>75</v>
      </c>
      <c r="B76">
        <v>749</v>
      </c>
      <c r="C76">
        <v>240</v>
      </c>
      <c r="D76">
        <v>0.33430563028909699</v>
      </c>
      <c r="E76">
        <v>103.44779134065899</v>
      </c>
      <c r="F76">
        <v>2.19680085469937</v>
      </c>
      <c r="G76">
        <v>-1689.0482689095304</v>
      </c>
      <c r="H76">
        <v>-1415.1132519453163</v>
      </c>
      <c r="I76">
        <v>267.99884260060998</v>
      </c>
      <c r="J76">
        <v>139.60288776428399</v>
      </c>
      <c r="K76">
        <v>47.090199878320497</v>
      </c>
      <c r="L76">
        <v>1.5379405658100668E-4</v>
      </c>
      <c r="M76">
        <v>1.7670133828825926E-5</v>
      </c>
      <c r="N76" s="1">
        <v>3.5252793295918899E-6</v>
      </c>
      <c r="O76" s="1">
        <v>9.7645069637378605E-8</v>
      </c>
      <c r="P76" s="1">
        <v>-5.0430866067526605E-7</v>
      </c>
      <c r="Q76">
        <v>72.388791523714104</v>
      </c>
      <c r="R76">
        <v>6.6700312404721601E-2</v>
      </c>
      <c r="S76">
        <v>12.2283906075414</v>
      </c>
      <c r="T76">
        <v>0.155920470872245</v>
      </c>
      <c r="V76">
        <v>0.36237006442144298</v>
      </c>
      <c r="W76">
        <v>2.3200108662508101E-2</v>
      </c>
      <c r="X76">
        <v>4.8333559713575502E-2</v>
      </c>
      <c r="AA76">
        <v>0.52200244490649705</v>
      </c>
      <c r="AB76">
        <v>3.8376846412567298</v>
      </c>
      <c r="AC76">
        <v>4.45635420558986</v>
      </c>
      <c r="AD76">
        <v>5.80002716562515E-3</v>
      </c>
      <c r="AE76">
        <v>5.9044520337511397</v>
      </c>
    </row>
    <row r="77" spans="1:31" x14ac:dyDescent="0.2">
      <c r="A77">
        <v>76</v>
      </c>
      <c r="B77">
        <v>748</v>
      </c>
      <c r="C77">
        <v>240</v>
      </c>
      <c r="D77">
        <v>0.33358517357881101</v>
      </c>
      <c r="E77">
        <v>103.241631342676</v>
      </c>
      <c r="F77">
        <v>2.1972590258631501</v>
      </c>
      <c r="G77">
        <v>-1685.3631333459953</v>
      </c>
      <c r="H77">
        <v>-1412.352627682521</v>
      </c>
      <c r="I77">
        <v>267.35592779069998</v>
      </c>
      <c r="J77">
        <v>139.332301412661</v>
      </c>
      <c r="K77">
        <v>46.986554669911897</v>
      </c>
      <c r="L77">
        <v>1.5383152815109824E-4</v>
      </c>
      <c r="M77">
        <v>1.766236570703524E-5</v>
      </c>
      <c r="N77" s="1">
        <v>3.5232543509446302E-6</v>
      </c>
      <c r="O77" s="1">
        <v>9.7398121470402102E-8</v>
      </c>
      <c r="P77" s="1">
        <v>-5.03620407016303E-7</v>
      </c>
      <c r="Q77">
        <v>72.343807111007393</v>
      </c>
      <c r="R77">
        <v>6.6833504181061695E-2</v>
      </c>
      <c r="S77">
        <v>12.252809099870801</v>
      </c>
      <c r="T77">
        <v>0.156536709131156</v>
      </c>
      <c r="V77">
        <v>0.362819330561927</v>
      </c>
      <c r="W77">
        <v>2.32464362368872E-2</v>
      </c>
      <c r="X77">
        <v>4.8430075493532503E-2</v>
      </c>
      <c r="AA77">
        <v>0.523044815330029</v>
      </c>
      <c r="AB77">
        <v>3.8453479941852802</v>
      </c>
      <c r="AC77">
        <v>4.4652529605018296</v>
      </c>
      <c r="AD77">
        <v>5.8116090592198301E-3</v>
      </c>
      <c r="AE77">
        <v>5.9060603544407302</v>
      </c>
    </row>
    <row r="78" spans="1:31" x14ac:dyDescent="0.2">
      <c r="A78">
        <v>77</v>
      </c>
      <c r="B78">
        <v>747</v>
      </c>
      <c r="C78">
        <v>240</v>
      </c>
      <c r="D78">
        <v>0.33286330441601902</v>
      </c>
      <c r="E78">
        <v>103.036432783774</v>
      </c>
      <c r="F78">
        <v>2.1977172806354099</v>
      </c>
      <c r="G78">
        <v>-1681.6950892685954</v>
      </c>
      <c r="H78">
        <v>-1409.6049797469173</v>
      </c>
      <c r="I78">
        <v>266.71578642521001</v>
      </c>
      <c r="J78">
        <v>139.06297114413499</v>
      </c>
      <c r="K78">
        <v>46.883388364669202</v>
      </c>
      <c r="L78">
        <v>1.5386897160897376E-4</v>
      </c>
      <c r="M78">
        <v>1.7654590219800857E-5</v>
      </c>
      <c r="N78" s="1">
        <v>3.52124808808214E-6</v>
      </c>
      <c r="O78" s="1">
        <v>9.71523402361909E-8</v>
      </c>
      <c r="P78" s="1">
        <v>-5.0293594485196695E-7</v>
      </c>
      <c r="Q78">
        <v>72.298846263258795</v>
      </c>
      <c r="R78">
        <v>6.6966604079552197E-2</v>
      </c>
      <c r="S78">
        <v>12.2772107479278</v>
      </c>
      <c r="T78">
        <v>0.15715514031622599</v>
      </c>
      <c r="V78">
        <v>0.36326593107051802</v>
      </c>
      <c r="W78">
        <v>2.3292731853753301E-2</v>
      </c>
      <c r="X78">
        <v>4.8526524695337601E-2</v>
      </c>
      <c r="AA78">
        <v>0.52408646670951897</v>
      </c>
      <c r="AB78">
        <v>3.8530060608085499</v>
      </c>
      <c r="AC78">
        <v>4.4741455769081897</v>
      </c>
      <c r="AD78">
        <v>5.8231829634362896E-3</v>
      </c>
      <c r="AE78">
        <v>5.9076747694081497</v>
      </c>
    </row>
    <row r="79" spans="1:31" x14ac:dyDescent="0.2">
      <c r="A79">
        <v>78</v>
      </c>
      <c r="B79">
        <v>746</v>
      </c>
      <c r="C79">
        <v>240</v>
      </c>
      <c r="D79">
        <v>0.33214001864298798</v>
      </c>
      <c r="E79">
        <v>77.835388671740901</v>
      </c>
      <c r="F79">
        <v>2.20079351283113</v>
      </c>
      <c r="G79">
        <v>-1268.5872359189798</v>
      </c>
      <c r="H79">
        <v>-1063.4493267078262</v>
      </c>
      <c r="I79">
        <v>201.28333337698399</v>
      </c>
      <c r="J79">
        <v>105.03278503759999</v>
      </c>
      <c r="K79">
        <v>35.366965695756001</v>
      </c>
      <c r="L79">
        <v>1.5386782778485932E-4</v>
      </c>
      <c r="M79">
        <v>1.7630463829869152E-5</v>
      </c>
      <c r="N79" s="1">
        <v>2.6567027860362598E-6</v>
      </c>
      <c r="O79" s="1">
        <v>7.3169261363365903E-8</v>
      </c>
      <c r="P79" s="1">
        <v>-3.7913701391951701E-7</v>
      </c>
      <c r="Q79">
        <v>72.143408420212396</v>
      </c>
      <c r="R79">
        <v>8.8648622660582196E-2</v>
      </c>
      <c r="S79">
        <v>12.262122945316699</v>
      </c>
      <c r="T79">
        <v>0.207818094023309</v>
      </c>
      <c r="V79">
        <v>0.48107956719259998</v>
      </c>
      <c r="W79">
        <v>3.0834303534105299E-2</v>
      </c>
      <c r="X79">
        <v>6.4238132362766903E-2</v>
      </c>
      <c r="AA79">
        <v>0.51479425463845296</v>
      </c>
      <c r="AB79">
        <v>3.8149743067720001</v>
      </c>
      <c r="AC79">
        <v>4.4907920226835403</v>
      </c>
      <c r="AD79">
        <v>7.7085758835236896E-3</v>
      </c>
      <c r="AE79">
        <v>5.8935807547198804</v>
      </c>
    </row>
    <row r="80" spans="1:31" x14ac:dyDescent="0.2">
      <c r="A80">
        <v>79</v>
      </c>
      <c r="B80">
        <v>745</v>
      </c>
      <c r="C80">
        <v>240</v>
      </c>
      <c r="D80">
        <v>0.33141531208564601</v>
      </c>
      <c r="E80">
        <v>61.143487014039898</v>
      </c>
      <c r="F80">
        <v>2.2038424429551702</v>
      </c>
      <c r="G80">
        <v>-995.1783359099619</v>
      </c>
      <c r="H80">
        <v>-834.26916779475835</v>
      </c>
      <c r="I80">
        <v>158.04072888592401</v>
      </c>
      <c r="J80">
        <v>82.520452346530703</v>
      </c>
      <c r="K80">
        <v>27.7440373332911</v>
      </c>
      <c r="L80">
        <v>1.5415779890368218E-4</v>
      </c>
      <c r="M80">
        <v>1.7630299530303984E-5</v>
      </c>
      <c r="N80" s="1">
        <v>2.0896665140619299E-6</v>
      </c>
      <c r="O80" s="1">
        <v>5.74383911344123E-8</v>
      </c>
      <c r="P80" s="1">
        <v>-2.9787354961901699E-7</v>
      </c>
      <c r="Q80">
        <v>71.954092879275095</v>
      </c>
      <c r="R80">
        <v>0.112849304757788</v>
      </c>
      <c r="S80">
        <v>12.25566286308</v>
      </c>
      <c r="T80">
        <v>0.264137501944953</v>
      </c>
      <c r="V80">
        <v>0.61278469582224104</v>
      </c>
      <c r="W80">
        <v>3.9251932089646002E-2</v>
      </c>
      <c r="X80">
        <v>8.1774858520184096E-2</v>
      </c>
      <c r="AA80">
        <v>0.51473826828492897</v>
      </c>
      <c r="AB80">
        <v>3.7989025671485002</v>
      </c>
      <c r="AC80">
        <v>4.4615418157506799</v>
      </c>
      <c r="AD80">
        <v>9.8129830224087805E-3</v>
      </c>
      <c r="AE80">
        <v>5.8944503303035001</v>
      </c>
    </row>
    <row r="81" spans="1:31" x14ac:dyDescent="0.2">
      <c r="A81">
        <v>80</v>
      </c>
      <c r="B81">
        <v>744</v>
      </c>
      <c r="C81">
        <v>240</v>
      </c>
      <c r="D81">
        <v>0.33068918055350899</v>
      </c>
      <c r="E81">
        <v>29.483749132501298</v>
      </c>
      <c r="F81">
        <v>2.20619451163238</v>
      </c>
      <c r="G81">
        <v>-479.81148451775897</v>
      </c>
      <c r="H81">
        <v>-402.37311468245559</v>
      </c>
      <c r="I81">
        <v>76.132694130957404</v>
      </c>
      <c r="J81">
        <v>39.8197962076812</v>
      </c>
      <c r="K81">
        <v>13.364075097206999</v>
      </c>
      <c r="L81">
        <v>1.540568916770229E-4</v>
      </c>
      <c r="M81">
        <v>1.7613112670933028E-5</v>
      </c>
      <c r="N81" s="1">
        <v>1.00671836259919E-6</v>
      </c>
      <c r="O81" s="1">
        <v>2.7619378029516199E-8</v>
      </c>
      <c r="P81" s="1">
        <v>-1.4312339929663101E-7</v>
      </c>
      <c r="Q81">
        <v>71.790063050156206</v>
      </c>
      <c r="R81">
        <v>0.13622034092379101</v>
      </c>
      <c r="S81">
        <v>12.370538359278999</v>
      </c>
      <c r="T81">
        <v>0.25869836650091699</v>
      </c>
      <c r="V81">
        <v>0.60187623513415101</v>
      </c>
      <c r="W81">
        <v>8.1400774006495397E-2</v>
      </c>
      <c r="X81">
        <v>0.158691029111936</v>
      </c>
      <c r="AA81">
        <v>0.51498880255727397</v>
      </c>
      <c r="AB81">
        <v>3.7227008173507201</v>
      </c>
      <c r="AC81">
        <v>4.46219398981472</v>
      </c>
      <c r="AD81">
        <v>2.0350193501617798E-2</v>
      </c>
      <c r="AE81">
        <v>5.8822780416630804</v>
      </c>
    </row>
    <row r="82" spans="1:31" x14ac:dyDescent="0.2">
      <c r="A82">
        <v>81</v>
      </c>
      <c r="B82">
        <v>743</v>
      </c>
      <c r="C82">
        <v>240</v>
      </c>
      <c r="D82">
        <v>0.32996161983958999</v>
      </c>
      <c r="E82">
        <v>13.4510115375595</v>
      </c>
      <c r="F82">
        <v>2.2090421474675002</v>
      </c>
      <c r="G82">
        <v>-218.84336386134248</v>
      </c>
      <c r="H82">
        <v>-183.59645444164966</v>
      </c>
      <c r="I82">
        <v>34.686718909307501</v>
      </c>
      <c r="J82">
        <v>18.175477003869901</v>
      </c>
      <c r="K82">
        <v>6.0890696689423001</v>
      </c>
      <c r="L82">
        <v>1.540009479241949E-4</v>
      </c>
      <c r="M82">
        <v>1.7619972268447906E-5</v>
      </c>
      <c r="N82" s="1">
        <v>4.5921224045040301E-7</v>
      </c>
      <c r="O82" s="1">
        <v>1.2574195726619101E-8</v>
      </c>
      <c r="P82" s="1">
        <v>-6.5001465334183105E-8</v>
      </c>
      <c r="Q82">
        <v>71.492012690181397</v>
      </c>
      <c r="R82">
        <v>0.145261009771884</v>
      </c>
      <c r="S82">
        <v>12.6942712603497</v>
      </c>
      <c r="T82">
        <v>0.25124966069198801</v>
      </c>
      <c r="V82">
        <v>0.58928974121598698</v>
      </c>
      <c r="W82">
        <v>0.176805916161621</v>
      </c>
      <c r="X82">
        <v>0.15368706858687101</v>
      </c>
      <c r="AA82">
        <v>0.51994520049885595</v>
      </c>
      <c r="AB82">
        <v>3.57089451832086</v>
      </c>
      <c r="AC82">
        <v>4.4873120236488901</v>
      </c>
      <c r="AD82">
        <v>4.4606310709306901E-2</v>
      </c>
      <c r="AE82">
        <v>5.8746645998625597</v>
      </c>
    </row>
    <row r="83" spans="1:31" x14ac:dyDescent="0.2">
      <c r="A83">
        <v>82</v>
      </c>
      <c r="B83">
        <v>742</v>
      </c>
      <c r="C83">
        <v>240</v>
      </c>
      <c r="D83">
        <v>0.32923262572033701</v>
      </c>
      <c r="E83">
        <v>9.1125739635984999</v>
      </c>
      <c r="F83">
        <v>2.2115134453430301</v>
      </c>
      <c r="G83">
        <v>-148.22131291681404</v>
      </c>
      <c r="H83">
        <v>-124.39332858670339</v>
      </c>
      <c r="I83">
        <v>23.4723778063445</v>
      </c>
      <c r="J83">
        <v>12.319607208070799</v>
      </c>
      <c r="K83">
        <v>4.1205148369265299</v>
      </c>
      <c r="L83">
        <v>1.5402166976405445E-4</v>
      </c>
      <c r="M83">
        <v>1.7630459224422756E-5</v>
      </c>
      <c r="N83" s="1">
        <v>3.1132925695792801E-7</v>
      </c>
      <c r="O83" s="1">
        <v>8.5079171503999898E-9</v>
      </c>
      <c r="P83" s="1">
        <v>-4.3897988303435799E-8</v>
      </c>
      <c r="Q83">
        <v>71.224011007379204</v>
      </c>
      <c r="R83">
        <v>0.14464381600154899</v>
      </c>
      <c r="S83">
        <v>12.976821078944401</v>
      </c>
      <c r="T83">
        <v>0.24767481237563799</v>
      </c>
      <c r="V83">
        <v>0.58490352918821398</v>
      </c>
      <c r="W83">
        <v>0.258756475337586</v>
      </c>
      <c r="X83">
        <v>0.153144211949029</v>
      </c>
      <c r="AA83">
        <v>0.52550745933814202</v>
      </c>
      <c r="AB83">
        <v>3.44420538755588</v>
      </c>
      <c r="AC83">
        <v>4.5021882454446001</v>
      </c>
      <c r="AD83">
        <v>6.5843086969218298E-2</v>
      </c>
      <c r="AE83">
        <v>5.8723008895164401</v>
      </c>
    </row>
    <row r="84" spans="1:31" x14ac:dyDescent="0.2">
      <c r="A84">
        <v>83</v>
      </c>
      <c r="B84">
        <v>757</v>
      </c>
      <c r="C84">
        <v>220</v>
      </c>
      <c r="D84">
        <v>0.36137504246954599</v>
      </c>
      <c r="E84">
        <v>104.682434187243</v>
      </c>
      <c r="F84">
        <v>2.19426025207171</v>
      </c>
      <c r="G84">
        <v>-1710.9936687570364</v>
      </c>
      <c r="H84">
        <v>-1432.6095373096653</v>
      </c>
      <c r="I84">
        <v>270.23650094391201</v>
      </c>
      <c r="J84">
        <v>140.917809144812</v>
      </c>
      <c r="K84">
        <v>47.7073920873367</v>
      </c>
      <c r="L84">
        <v>1.4993703109573479E-4</v>
      </c>
      <c r="M84">
        <v>1.7659636840688204E-5</v>
      </c>
      <c r="N84" s="1">
        <v>3.3758469960927498E-6</v>
      </c>
      <c r="O84" s="1">
        <v>9.6265495719562699E-8</v>
      </c>
      <c r="P84" s="1">
        <v>-4.9387506294898904E-7</v>
      </c>
      <c r="Q84">
        <v>72.944425292435596</v>
      </c>
      <c r="R84">
        <v>6.5913637312427206E-2</v>
      </c>
      <c r="S84">
        <v>12.084166840611999</v>
      </c>
      <c r="T84">
        <v>0.15323823301953801</v>
      </c>
      <c r="V84">
        <v>0.358855005664525</v>
      </c>
      <c r="W84">
        <v>2.2926482543452802E-2</v>
      </c>
      <c r="X84">
        <v>4.7763505298860698E-2</v>
      </c>
      <c r="AA84">
        <v>0.51584585722769105</v>
      </c>
      <c r="AB84">
        <v>3.7924223207294898</v>
      </c>
      <c r="AC84">
        <v>4.4037951885548798</v>
      </c>
      <c r="AD84">
        <v>5.7316206358631301E-3</v>
      </c>
      <c r="AE84">
        <v>5.6049160159655198</v>
      </c>
    </row>
    <row r="85" spans="1:31" x14ac:dyDescent="0.2">
      <c r="A85">
        <v>84</v>
      </c>
      <c r="B85">
        <v>756</v>
      </c>
      <c r="C85">
        <v>220</v>
      </c>
      <c r="D85">
        <v>0.36068648885002402</v>
      </c>
      <c r="E85">
        <v>104.565667483032</v>
      </c>
      <c r="F85">
        <v>2.1946707621206798</v>
      </c>
      <c r="G85">
        <v>-1708.7835897032605</v>
      </c>
      <c r="H85">
        <v>-1431.108289937996</v>
      </c>
      <c r="I85">
        <v>269.810328684122</v>
      </c>
      <c r="J85">
        <v>140.75815236902901</v>
      </c>
      <c r="K85">
        <v>47.645263830822401</v>
      </c>
      <c r="L85">
        <v>1.4992886040563421E-4</v>
      </c>
      <c r="M85">
        <v>1.7651373464044904E-5</v>
      </c>
      <c r="N85" s="1">
        <v>3.37618289744166E-6</v>
      </c>
      <c r="O85" s="1">
        <v>9.6089572908471097E-8</v>
      </c>
      <c r="P85" s="1">
        <v>-4.9340503229087201E-7</v>
      </c>
      <c r="Q85">
        <v>72.920085619216096</v>
      </c>
      <c r="R85">
        <v>6.5987241951280903E-2</v>
      </c>
      <c r="S85">
        <v>12.097661024402401</v>
      </c>
      <c r="T85">
        <v>0.15368050005176501</v>
      </c>
      <c r="V85">
        <v>0.35901175054502399</v>
      </c>
      <c r="W85">
        <v>2.2952084156966899E-2</v>
      </c>
      <c r="X85">
        <v>4.7816841993682697E-2</v>
      </c>
      <c r="AA85">
        <v>0.51642189353176104</v>
      </c>
      <c r="AB85">
        <v>3.7966572542982902</v>
      </c>
      <c r="AC85">
        <v>4.4087128318173701</v>
      </c>
      <c r="AD85">
        <v>5.7380210392415504E-3</v>
      </c>
      <c r="AE85">
        <v>5.6052749369960697</v>
      </c>
    </row>
    <row r="86" spans="1:31" x14ac:dyDescent="0.2">
      <c r="A86">
        <v>85</v>
      </c>
      <c r="B86">
        <v>755</v>
      </c>
      <c r="C86">
        <v>220</v>
      </c>
      <c r="D86">
        <v>0.35999659582745702</v>
      </c>
      <c r="E86">
        <v>104.35871736562601</v>
      </c>
      <c r="F86">
        <v>2.1951248555872298</v>
      </c>
      <c r="G86">
        <v>-1705.0799935117584</v>
      </c>
      <c r="H86">
        <v>-1428.3372048317556</v>
      </c>
      <c r="I86">
        <v>269.16577219277502</v>
      </c>
      <c r="J86">
        <v>140.486687206754</v>
      </c>
      <c r="K86">
        <v>47.541130564852999</v>
      </c>
      <c r="L86">
        <v>1.4996424245110812E-4</v>
      </c>
      <c r="M86">
        <v>1.7643650039223648E-5</v>
      </c>
      <c r="N86" s="1">
        <v>3.3741695087155901E-6</v>
      </c>
      <c r="O86" s="1">
        <v>9.5846334187490204E-8</v>
      </c>
      <c r="P86" s="1">
        <v>-4.9272324611622298E-7</v>
      </c>
      <c r="Q86">
        <v>72.876156513919298</v>
      </c>
      <c r="R86">
        <v>6.6118098939693795E-2</v>
      </c>
      <c r="S86">
        <v>12.1216514722786</v>
      </c>
      <c r="T86">
        <v>0.15428075908505501</v>
      </c>
      <c r="V86">
        <v>0.35945779946543499</v>
      </c>
      <c r="W86">
        <v>2.29975996311973E-2</v>
      </c>
      <c r="X86">
        <v>4.7911665898330298E-2</v>
      </c>
      <c r="AA86">
        <v>0.51744599170194805</v>
      </c>
      <c r="AB86">
        <v>3.8041862723272399</v>
      </c>
      <c r="AC86">
        <v>4.4174555958257704</v>
      </c>
      <c r="AD86">
        <v>5.74939990779903E-3</v>
      </c>
      <c r="AE86">
        <v>5.6065888310194802</v>
      </c>
    </row>
    <row r="87" spans="1:31" x14ac:dyDescent="0.2">
      <c r="A87">
        <v>86</v>
      </c>
      <c r="B87">
        <v>754</v>
      </c>
      <c r="C87">
        <v>220</v>
      </c>
      <c r="D87">
        <v>0.35930535948985198</v>
      </c>
      <c r="E87">
        <v>104.15272980228799</v>
      </c>
      <c r="F87">
        <v>2.1955790688315902</v>
      </c>
      <c r="G87">
        <v>-1701.3935162458788</v>
      </c>
      <c r="H87">
        <v>-1425.5791150385769</v>
      </c>
      <c r="I87">
        <v>268.52397527849098</v>
      </c>
      <c r="J87">
        <v>140.216474866748</v>
      </c>
      <c r="K87">
        <v>47.437476190604301</v>
      </c>
      <c r="L87">
        <v>1.4999957160039982E-4</v>
      </c>
      <c r="M87">
        <v>1.7635917862238379E-5</v>
      </c>
      <c r="N87" s="1">
        <v>3.3721730538537E-6</v>
      </c>
      <c r="O87" s="1">
        <v>9.5604219791996294E-8</v>
      </c>
      <c r="P87" s="1">
        <v>-4.9204502604302395E-7</v>
      </c>
      <c r="Q87">
        <v>72.832253083755404</v>
      </c>
      <c r="R87">
        <v>6.6248863693714799E-2</v>
      </c>
      <c r="S87">
        <v>12.145625010516699</v>
      </c>
      <c r="T87">
        <v>0.15488312202878801</v>
      </c>
      <c r="V87">
        <v>0.35990126016426099</v>
      </c>
      <c r="W87">
        <v>2.3043083023899801E-2</v>
      </c>
      <c r="X87">
        <v>4.8006422966462403E-2</v>
      </c>
      <c r="AA87">
        <v>0.518469368037763</v>
      </c>
      <c r="AB87">
        <v>3.8117099835368098</v>
      </c>
      <c r="AC87">
        <v>4.4261921975073699</v>
      </c>
      <c r="AD87">
        <v>5.7607707559744698E-3</v>
      </c>
      <c r="AE87">
        <v>5.6079068340127796</v>
      </c>
    </row>
    <row r="88" spans="1:31" x14ac:dyDescent="0.2">
      <c r="A88">
        <v>87</v>
      </c>
      <c r="B88">
        <v>753</v>
      </c>
      <c r="C88">
        <v>220</v>
      </c>
      <c r="D88">
        <v>0.35861277590995699</v>
      </c>
      <c r="E88">
        <v>103.94769741909199</v>
      </c>
      <c r="F88">
        <v>2.1960334035859699</v>
      </c>
      <c r="G88">
        <v>-1697.7240276768259</v>
      </c>
      <c r="H88">
        <v>-1422.8339206952362</v>
      </c>
      <c r="I88">
        <v>267.88491641727802</v>
      </c>
      <c r="J88">
        <v>139.94750574357101</v>
      </c>
      <c r="K88">
        <v>47.334297032710097</v>
      </c>
      <c r="L88">
        <v>1.5003484724052105E-4</v>
      </c>
      <c r="M88">
        <v>1.7628176859302791E-5</v>
      </c>
      <c r="N88" s="1">
        <v>3.3701933862422801E-6</v>
      </c>
      <c r="O88" s="1">
        <v>9.5363220621865103E-8</v>
      </c>
      <c r="P88" s="1">
        <v>-4.9137034158876599E-7</v>
      </c>
      <c r="Q88">
        <v>72.788375188954006</v>
      </c>
      <c r="R88">
        <v>6.6379536741261097E-2</v>
      </c>
      <c r="S88">
        <v>12.169581735900801</v>
      </c>
      <c r="T88">
        <v>0.155487601069042</v>
      </c>
      <c r="V88">
        <v>0.36034212565490598</v>
      </c>
      <c r="W88">
        <v>2.30885345186983E-2</v>
      </c>
      <c r="X88">
        <v>4.8101113580626999E-2</v>
      </c>
      <c r="AA88">
        <v>0.51949202667073302</v>
      </c>
      <c r="AB88">
        <v>3.8192284183014098</v>
      </c>
      <c r="AC88">
        <v>4.4349226721332302</v>
      </c>
      <c r="AD88">
        <v>5.7721336296739202E-3</v>
      </c>
      <c r="AE88">
        <v>5.6092289128455501</v>
      </c>
    </row>
    <row r="89" spans="1:31" x14ac:dyDescent="0.2">
      <c r="A89">
        <v>88</v>
      </c>
      <c r="B89">
        <v>752</v>
      </c>
      <c r="C89">
        <v>220</v>
      </c>
      <c r="D89">
        <v>0.35791884114519901</v>
      </c>
      <c r="E89">
        <v>103.743612918561</v>
      </c>
      <c r="F89">
        <v>2.1964878615857901</v>
      </c>
      <c r="G89">
        <v>-1694.0713989228032</v>
      </c>
      <c r="H89">
        <v>-1420.1015229749471</v>
      </c>
      <c r="I89">
        <v>267.24857430410799</v>
      </c>
      <c r="J89">
        <v>139.679770331013</v>
      </c>
      <c r="K89">
        <v>47.231589453747901</v>
      </c>
      <c r="L89">
        <v>1.5007006875248234E-4</v>
      </c>
      <c r="M89">
        <v>1.7620426956332442E-5</v>
      </c>
      <c r="N89" s="1">
        <v>3.3682303604855301E-6</v>
      </c>
      <c r="O89" s="1">
        <v>9.5123327666193497E-8</v>
      </c>
      <c r="P89" s="1">
        <v>-4.90699162546801E-7</v>
      </c>
      <c r="Q89">
        <v>72.744522690877105</v>
      </c>
      <c r="R89">
        <v>6.6510118607655003E-2</v>
      </c>
      <c r="S89">
        <v>12.1935217447403</v>
      </c>
      <c r="T89">
        <v>0.156094208450206</v>
      </c>
      <c r="V89">
        <v>0.36078038887865699</v>
      </c>
      <c r="W89">
        <v>2.3133954298313299E-2</v>
      </c>
      <c r="X89">
        <v>4.81957381214927E-2</v>
      </c>
      <c r="AA89">
        <v>0.52051397171207503</v>
      </c>
      <c r="AB89">
        <v>3.82674160684607</v>
      </c>
      <c r="AC89">
        <v>4.4436470548009197</v>
      </c>
      <c r="AD89">
        <v>5.7834885745775503E-3</v>
      </c>
      <c r="AE89">
        <v>5.6105550340925099</v>
      </c>
    </row>
    <row r="90" spans="1:31" x14ac:dyDescent="0.2">
      <c r="A90">
        <v>89</v>
      </c>
      <c r="B90">
        <v>751</v>
      </c>
      <c r="C90">
        <v>220</v>
      </c>
      <c r="D90">
        <v>0.35722355123761301</v>
      </c>
      <c r="E90">
        <v>101.299826224097</v>
      </c>
      <c r="F90">
        <v>2.19756129794713</v>
      </c>
      <c r="G90">
        <v>-1653.2717490787209</v>
      </c>
      <c r="H90">
        <v>-1386.3422975579149</v>
      </c>
      <c r="I90">
        <v>260.63511352907801</v>
      </c>
      <c r="J90">
        <v>136.33173691433001</v>
      </c>
      <c r="K90">
        <v>46.096473540340803</v>
      </c>
      <c r="L90">
        <v>1.4971993130094238E-4</v>
      </c>
      <c r="M90">
        <v>1.757658426052893E-5</v>
      </c>
      <c r="N90" s="1">
        <v>3.2801821442532899E-6</v>
      </c>
      <c r="O90" s="1">
        <v>9.24884124888407E-8</v>
      </c>
      <c r="P90" s="1">
        <v>-4.7773259553760299E-7</v>
      </c>
      <c r="Q90">
        <v>72.719494222063602</v>
      </c>
      <c r="R90">
        <v>6.8114628200209207E-2</v>
      </c>
      <c r="S90">
        <v>12.196668100754801</v>
      </c>
      <c r="T90">
        <v>0.16017448370891901</v>
      </c>
      <c r="V90">
        <v>0.36920086862079698</v>
      </c>
      <c r="W90">
        <v>2.3692044591375298E-2</v>
      </c>
      <c r="X90">
        <v>4.93584262320396E-2</v>
      </c>
      <c r="AA90">
        <v>0.50547281146489997</v>
      </c>
      <c r="AB90">
        <v>3.79364353786583</v>
      </c>
      <c r="AC90">
        <v>4.5189577149945697</v>
      </c>
      <c r="AD90">
        <v>5.9230111478426701E-3</v>
      </c>
      <c r="AE90">
        <v>5.5893001503550597</v>
      </c>
    </row>
    <row r="91" spans="1:31" x14ac:dyDescent="0.2">
      <c r="A91">
        <v>90</v>
      </c>
      <c r="B91">
        <v>750</v>
      </c>
      <c r="C91">
        <v>220</v>
      </c>
      <c r="D91">
        <v>0.356526902213751</v>
      </c>
      <c r="E91">
        <v>87.991780968227204</v>
      </c>
      <c r="F91">
        <v>2.1995120665349401</v>
      </c>
      <c r="G91">
        <v>-1434.809247613983</v>
      </c>
      <c r="H91">
        <v>-1203.4178383818576</v>
      </c>
      <c r="I91">
        <v>226.155900143796</v>
      </c>
      <c r="J91">
        <v>118.39214997641299</v>
      </c>
      <c r="K91">
        <v>40.005136733278697</v>
      </c>
      <c r="L91">
        <v>1.4955548226556795E-4</v>
      </c>
      <c r="M91">
        <v>1.7544757442276262E-5</v>
      </c>
      <c r="N91" s="1">
        <v>2.8443681555570902E-6</v>
      </c>
      <c r="O91" s="1">
        <v>8.0063946012960594E-8</v>
      </c>
      <c r="P91" s="1">
        <v>-4.1398705926590301E-7</v>
      </c>
      <c r="Q91">
        <v>72.632361470407801</v>
      </c>
      <c r="R91">
        <v>7.8416414852339203E-2</v>
      </c>
      <c r="S91">
        <v>12.196354251693499</v>
      </c>
      <c r="T91">
        <v>0.18449842607096201</v>
      </c>
      <c r="V91">
        <v>0.424950570471263</v>
      </c>
      <c r="W91">
        <v>2.7275274731241E-2</v>
      </c>
      <c r="X91">
        <v>5.6823489023451502E-2</v>
      </c>
      <c r="AA91">
        <v>0.50067490149167804</v>
      </c>
      <c r="AB91">
        <v>3.7581214771185598</v>
      </c>
      <c r="AC91">
        <v>4.5603691865132401</v>
      </c>
      <c r="AD91">
        <v>6.8188186828070799E-3</v>
      </c>
      <c r="AE91">
        <v>5.5733357189429897</v>
      </c>
    </row>
    <row r="92" spans="1:31" x14ac:dyDescent="0.2">
      <c r="A92">
        <v>91</v>
      </c>
      <c r="B92">
        <v>749</v>
      </c>
      <c r="C92">
        <v>220</v>
      </c>
      <c r="D92">
        <v>0.35582889008462698</v>
      </c>
      <c r="E92">
        <v>67.669758111770903</v>
      </c>
      <c r="F92">
        <v>2.2026391563090901</v>
      </c>
      <c r="G92">
        <v>-1101.9332184325499</v>
      </c>
      <c r="H92">
        <v>-924.26859867752228</v>
      </c>
      <c r="I92">
        <v>173.81462579369699</v>
      </c>
      <c r="J92">
        <v>91.057387924037698</v>
      </c>
      <c r="K92">
        <v>30.722126190275901</v>
      </c>
      <c r="L92">
        <v>1.497607817983215E-4</v>
      </c>
      <c r="M92">
        <v>1.7538580327190911E-5</v>
      </c>
      <c r="N92" s="1">
        <v>2.1887089382771999E-6</v>
      </c>
      <c r="O92" s="1">
        <v>6.1490534930869497E-8</v>
      </c>
      <c r="P92" s="1">
        <v>-3.1817415871748603E-7</v>
      </c>
      <c r="Q92">
        <v>72.4488259619676</v>
      </c>
      <c r="R92">
        <v>0.10196578490208601</v>
      </c>
      <c r="S92">
        <v>12.1909707104452</v>
      </c>
      <c r="T92">
        <v>0.23952439621760299</v>
      </c>
      <c r="V92">
        <v>0.55291111003527504</v>
      </c>
      <c r="W92">
        <v>3.5466359965929603E-2</v>
      </c>
      <c r="X92">
        <v>7.3888249929085603E-2</v>
      </c>
      <c r="AA92">
        <v>0.50665581611681898</v>
      </c>
      <c r="AB92">
        <v>3.73158348345466</v>
      </c>
      <c r="AC92">
        <v>4.5391671587089197</v>
      </c>
      <c r="AD92">
        <v>8.8665899914781403E-3</v>
      </c>
      <c r="AE92">
        <v>5.5701743782652597</v>
      </c>
    </row>
    <row r="93" spans="1:31" x14ac:dyDescent="0.2">
      <c r="A93">
        <v>92</v>
      </c>
      <c r="B93">
        <v>748</v>
      </c>
      <c r="C93">
        <v>220</v>
      </c>
      <c r="D93">
        <v>0.355129510845618</v>
      </c>
      <c r="E93">
        <v>40.508735135442301</v>
      </c>
      <c r="F93">
        <v>2.20547141592222</v>
      </c>
      <c r="G93">
        <v>-659.12840149411738</v>
      </c>
      <c r="H93">
        <v>-552.97455429182151</v>
      </c>
      <c r="I93">
        <v>103.955194831607</v>
      </c>
      <c r="J93">
        <v>54.527764469443298</v>
      </c>
      <c r="K93">
        <v>18.367381614194901</v>
      </c>
      <c r="L93">
        <v>1.4976339544008936E-4</v>
      </c>
      <c r="M93">
        <v>1.7522279561097995E-5</v>
      </c>
      <c r="N93" s="1">
        <v>1.3092667713859101E-6</v>
      </c>
      <c r="O93" s="1">
        <v>3.6715181058657703E-8</v>
      </c>
      <c r="P93" s="1">
        <v>-1.8995964741776801E-7</v>
      </c>
      <c r="Q93">
        <v>72.277933546947096</v>
      </c>
      <c r="R93">
        <v>0.12867836432696</v>
      </c>
      <c r="S93">
        <v>12.2420337465049</v>
      </c>
      <c r="T93">
        <v>0.264139087689029</v>
      </c>
      <c r="V93">
        <v>0.61122337381598901</v>
      </c>
      <c r="W93">
        <v>5.9246480838627998E-2</v>
      </c>
      <c r="X93">
        <v>0.11915179642548999</v>
      </c>
      <c r="AA93">
        <v>0.51381212435861001</v>
      </c>
      <c r="AB93">
        <v>3.67457534874687</v>
      </c>
      <c r="AC93">
        <v>4.5345924210688704</v>
      </c>
      <c r="AD93">
        <v>1.48116202096453E-2</v>
      </c>
      <c r="AE93">
        <v>5.5598020890677802</v>
      </c>
    </row>
    <row r="94" spans="1:31" x14ac:dyDescent="0.2">
      <c r="A94">
        <v>93</v>
      </c>
      <c r="B94">
        <v>747</v>
      </c>
      <c r="C94">
        <v>220</v>
      </c>
      <c r="D94">
        <v>0.35442876047640198</v>
      </c>
      <c r="E94">
        <v>19.3605058640665</v>
      </c>
      <c r="F94">
        <v>2.2081002212696101</v>
      </c>
      <c r="G94">
        <v>-314.99175445967762</v>
      </c>
      <c r="H94">
        <v>-264.37720008310811</v>
      </c>
      <c r="I94">
        <v>49.614815837444901</v>
      </c>
      <c r="J94">
        <v>26.074693959819299</v>
      </c>
      <c r="K94">
        <v>8.7679470694199804</v>
      </c>
      <c r="L94">
        <v>1.4952505691247952E-4</v>
      </c>
      <c r="M94">
        <v>1.7502787301466391E-5</v>
      </c>
      <c r="N94" s="1">
        <v>6.2443004747738401E-7</v>
      </c>
      <c r="O94" s="1">
        <v>1.7479513220636401E-8</v>
      </c>
      <c r="P94" s="1">
        <v>-9.0273296286531399E-8</v>
      </c>
      <c r="Q94">
        <v>72.070931384758396</v>
      </c>
      <c r="R94">
        <v>0.15866990179519799</v>
      </c>
      <c r="S94">
        <v>12.447391938857701</v>
      </c>
      <c r="T94">
        <v>0.24908417954384199</v>
      </c>
      <c r="V94">
        <v>0.57911672514254098</v>
      </c>
      <c r="W94">
        <v>0.123963703058662</v>
      </c>
      <c r="X94">
        <v>0.16337871852021801</v>
      </c>
      <c r="AA94">
        <v>0.522083431930911</v>
      </c>
      <c r="AB94">
        <v>3.5515939805871302</v>
      </c>
      <c r="AC94">
        <v>4.5609805161845403</v>
      </c>
      <c r="AD94">
        <v>3.09909257646344E-2</v>
      </c>
      <c r="AE94">
        <v>5.5418145938560999</v>
      </c>
    </row>
    <row r="95" spans="1:31" x14ac:dyDescent="0.2">
      <c r="A95">
        <v>94</v>
      </c>
      <c r="B95">
        <v>746</v>
      </c>
      <c r="C95">
        <v>220</v>
      </c>
      <c r="D95">
        <v>0.35372663494088302</v>
      </c>
      <c r="E95">
        <v>11.193742306587501</v>
      </c>
      <c r="F95">
        <v>2.21075771387757</v>
      </c>
      <c r="G95">
        <v>-182.06748997542812</v>
      </c>
      <c r="H95">
        <v>-152.86799283181949</v>
      </c>
      <c r="I95">
        <v>28.650833678662199</v>
      </c>
      <c r="J95">
        <v>15.0836221876731</v>
      </c>
      <c r="K95">
        <v>5.0633057780692896</v>
      </c>
      <c r="L95">
        <v>1.4951322067264987E-4</v>
      </c>
      <c r="M95">
        <v>1.7512425554971152E-5</v>
      </c>
      <c r="N95" s="1">
        <v>3.6119145344445301E-7</v>
      </c>
      <c r="O95" s="1">
        <v>1.0091013231526201E-8</v>
      </c>
      <c r="P95" s="1">
        <v>-5.1999956980508202E-8</v>
      </c>
      <c r="Q95">
        <v>71.786190616544502</v>
      </c>
      <c r="R95">
        <v>0.154624798642161</v>
      </c>
      <c r="S95">
        <v>12.7492399101048</v>
      </c>
      <c r="T95">
        <v>0.24636417219637499</v>
      </c>
      <c r="V95">
        <v>0.57722675072524798</v>
      </c>
      <c r="W95">
        <v>0.21202338708461901</v>
      </c>
      <c r="X95">
        <v>0.16208979170388901</v>
      </c>
      <c r="AA95">
        <v>0.528782781028311</v>
      </c>
      <c r="AB95">
        <v>3.41120152958255</v>
      </c>
      <c r="AC95">
        <v>4.58065867777138</v>
      </c>
      <c r="AD95">
        <v>5.3601376873362597E-2</v>
      </c>
      <c r="AE95">
        <v>5.5379962077426299</v>
      </c>
    </row>
    <row r="96" spans="1:31" x14ac:dyDescent="0.2">
      <c r="A96">
        <v>95</v>
      </c>
      <c r="B96">
        <v>745</v>
      </c>
      <c r="C96">
        <v>220</v>
      </c>
      <c r="D96">
        <v>0.35302313018710402</v>
      </c>
      <c r="E96">
        <v>8.1668975237044492</v>
      </c>
      <c r="F96">
        <v>2.21308296748738</v>
      </c>
      <c r="G96">
        <v>-132.80342094489288</v>
      </c>
      <c r="H96">
        <v>-111.5439206303549</v>
      </c>
      <c r="I96">
        <v>20.880518896565299</v>
      </c>
      <c r="J96">
        <v>11.010310526062</v>
      </c>
      <c r="K96">
        <v>3.6902807728788898</v>
      </c>
      <c r="L96">
        <v>1.495250252260574E-4</v>
      </c>
      <c r="M96">
        <v>1.7521709604684576E-5</v>
      </c>
      <c r="N96" s="1">
        <v>2.6372167894096099E-7</v>
      </c>
      <c r="O96" s="1">
        <v>7.3534220566365001E-9</v>
      </c>
      <c r="P96" s="1">
        <v>-3.7823709481861901E-8</v>
      </c>
      <c r="Q96">
        <v>71.534011388610693</v>
      </c>
      <c r="R96">
        <v>0.153962987546818</v>
      </c>
      <c r="S96">
        <v>13.0148072501384</v>
      </c>
      <c r="T96">
        <v>0.24296833886092301</v>
      </c>
      <c r="V96">
        <v>0.57288293140494195</v>
      </c>
      <c r="W96">
        <v>0.28830227857162299</v>
      </c>
      <c r="X96">
        <v>0.16154134117052599</v>
      </c>
      <c r="AA96">
        <v>0.53435683118213795</v>
      </c>
      <c r="AB96">
        <v>3.2932104447247399</v>
      </c>
      <c r="AC96">
        <v>4.5946253721134704</v>
      </c>
      <c r="AD96">
        <v>7.3467310965660601E-2</v>
      </c>
      <c r="AE96">
        <v>5.5358635247099697</v>
      </c>
    </row>
    <row r="97" spans="1:31" x14ac:dyDescent="0.2">
      <c r="A97">
        <v>96</v>
      </c>
      <c r="B97">
        <v>758</v>
      </c>
      <c r="C97">
        <v>200</v>
      </c>
      <c r="D97">
        <v>0.383397662803666</v>
      </c>
      <c r="E97">
        <v>104.362517066169</v>
      </c>
      <c r="F97">
        <v>2.1953042128986802</v>
      </c>
      <c r="G97">
        <v>-1705.2400261345249</v>
      </c>
      <c r="H97">
        <v>-1429.2387954029671</v>
      </c>
      <c r="I97">
        <v>267.663512322705</v>
      </c>
      <c r="J97">
        <v>140.19065909903799</v>
      </c>
      <c r="K97">
        <v>47.538977264735699</v>
      </c>
      <c r="L97">
        <v>1.4616894641811384E-4</v>
      </c>
      <c r="M97">
        <v>1.7561829440261628E-5</v>
      </c>
      <c r="N97" s="1">
        <v>3.2074871768593902E-6</v>
      </c>
      <c r="O97" s="1">
        <v>9.2878872681946603E-8</v>
      </c>
      <c r="P97" s="1">
        <v>-4.7665048796623202E-7</v>
      </c>
      <c r="Q97">
        <v>73.168032112144502</v>
      </c>
      <c r="R97">
        <v>6.6115691667585699E-2</v>
      </c>
      <c r="S97">
        <v>12.1212101390577</v>
      </c>
      <c r="T97">
        <v>0.15497478664036299</v>
      </c>
      <c r="V97">
        <v>0.358815164068221</v>
      </c>
      <c r="W97">
        <v>2.2996762319160102E-2</v>
      </c>
      <c r="X97">
        <v>4.79099214982509E-2</v>
      </c>
      <c r="AA97">
        <v>0.51742715218110502</v>
      </c>
      <c r="AB97">
        <v>3.8040477669610699</v>
      </c>
      <c r="AC97">
        <v>4.4172947621386598</v>
      </c>
      <c r="AD97">
        <v>5.7491905797899603E-3</v>
      </c>
      <c r="AE97">
        <v>5.3154265507434904</v>
      </c>
    </row>
    <row r="98" spans="1:31" x14ac:dyDescent="0.2">
      <c r="A98">
        <v>97</v>
      </c>
      <c r="B98">
        <v>757</v>
      </c>
      <c r="C98">
        <v>200</v>
      </c>
      <c r="D98">
        <v>0.38273115565694399</v>
      </c>
      <c r="E98">
        <v>104.359213825469</v>
      </c>
      <c r="F98">
        <v>2.19564942991415</v>
      </c>
      <c r="G98">
        <v>-1704.9134289631531</v>
      </c>
      <c r="H98">
        <v>-1429.3337014883487</v>
      </c>
      <c r="I98">
        <v>267.51417509566897</v>
      </c>
      <c r="J98">
        <v>140.17204924117499</v>
      </c>
      <c r="K98">
        <v>47.529998370254098</v>
      </c>
      <c r="L98">
        <v>1.4611038072001091E-4</v>
      </c>
      <c r="M98">
        <v>1.7553254777188892E-5</v>
      </c>
      <c r="N98" s="1">
        <v>3.2106328995634199E-6</v>
      </c>
      <c r="O98" s="1">
        <v>9.2793907650120098E-8</v>
      </c>
      <c r="P98" s="1">
        <v>-4.7646485913831203E-7</v>
      </c>
      <c r="Q98">
        <v>73.168038465630204</v>
      </c>
      <c r="R98">
        <v>6.6117784401285601E-2</v>
      </c>
      <c r="S98">
        <v>12.121593806903499</v>
      </c>
      <c r="T98">
        <v>0.15522431981388801</v>
      </c>
      <c r="V98">
        <v>0.35860640269732802</v>
      </c>
      <c r="W98">
        <v>2.29974902265336E-2</v>
      </c>
      <c r="X98">
        <v>4.7911437971947198E-2</v>
      </c>
      <c r="AA98">
        <v>0.51744353009701605</v>
      </c>
      <c r="AB98">
        <v>3.8041681749724701</v>
      </c>
      <c r="AC98">
        <v>4.4174345810133104</v>
      </c>
      <c r="AD98">
        <v>5.74937255663321E-3</v>
      </c>
      <c r="AE98">
        <v>5.3147146337157798</v>
      </c>
    </row>
    <row r="99" spans="1:31" x14ac:dyDescent="0.2">
      <c r="A99">
        <v>98</v>
      </c>
      <c r="B99">
        <v>756</v>
      </c>
      <c r="C99">
        <v>200</v>
      </c>
      <c r="D99">
        <v>0.38206335325268598</v>
      </c>
      <c r="E99">
        <v>102.21761782698999</v>
      </c>
      <c r="F99">
        <v>2.1966031576334801</v>
      </c>
      <c r="G99">
        <v>-1669.109429908661</v>
      </c>
      <c r="H99">
        <v>-1399.7395437640146</v>
      </c>
      <c r="I99">
        <v>261.74016046703201</v>
      </c>
      <c r="J99">
        <v>137.24705090180001</v>
      </c>
      <c r="K99">
        <v>46.534403572976103</v>
      </c>
      <c r="L99">
        <v>1.4583254869694894E-4</v>
      </c>
      <c r="M99">
        <v>1.7515332192666571E-5</v>
      </c>
      <c r="N99" s="1">
        <v>3.1383163236188898E-6</v>
      </c>
      <c r="O99" s="1">
        <v>9.05566447712512E-8</v>
      </c>
      <c r="P99" s="1">
        <v>-4.6559149590778501E-7</v>
      </c>
      <c r="Q99">
        <v>73.139937489708998</v>
      </c>
      <c r="R99">
        <v>6.7503040539241901E-2</v>
      </c>
      <c r="S99">
        <v>12.127040899609099</v>
      </c>
      <c r="T99">
        <v>0.15878416166402601</v>
      </c>
      <c r="V99">
        <v>0.36584282927600398</v>
      </c>
      <c r="W99">
        <v>2.3479318448431302E-2</v>
      </c>
      <c r="X99">
        <v>4.8915246767568102E-2</v>
      </c>
      <c r="AA99">
        <v>0.50429058951606598</v>
      </c>
      <c r="AB99">
        <v>3.77616022280663</v>
      </c>
      <c r="AC99">
        <v>4.4843955403685598</v>
      </c>
      <c r="AD99">
        <v>5.8698296121075903E-3</v>
      </c>
      <c r="AE99">
        <v>5.2977808316831601</v>
      </c>
    </row>
    <row r="100" spans="1:31" x14ac:dyDescent="0.2">
      <c r="A100">
        <v>99</v>
      </c>
      <c r="B100">
        <v>755</v>
      </c>
      <c r="C100">
        <v>200</v>
      </c>
      <c r="D100">
        <v>0.38139425181150599</v>
      </c>
      <c r="E100">
        <v>99.667605190600597</v>
      </c>
      <c r="F100">
        <v>2.1976847085592501</v>
      </c>
      <c r="G100">
        <v>-1626.580262700822</v>
      </c>
      <c r="H100">
        <v>-1364.5048692177436</v>
      </c>
      <c r="I100">
        <v>254.89995961978099</v>
      </c>
      <c r="J100">
        <v>133.76724656257699</v>
      </c>
      <c r="K100">
        <v>45.3511847274671</v>
      </c>
      <c r="L100">
        <v>1.4549657978983903E-4</v>
      </c>
      <c r="M100">
        <v>1.7471839744955219E-5</v>
      </c>
      <c r="N100" s="1">
        <v>3.0517681473780201E-6</v>
      </c>
      <c r="O100" s="1">
        <v>8.7921257978032498E-8</v>
      </c>
      <c r="P100" s="1">
        <v>-4.5263910324954002E-7</v>
      </c>
      <c r="Q100">
        <v>73.112572184551297</v>
      </c>
      <c r="R100">
        <v>6.9230117316503401E-2</v>
      </c>
      <c r="S100">
        <v>12.1302374642824</v>
      </c>
      <c r="T100">
        <v>0.16315690147683201</v>
      </c>
      <c r="V100">
        <v>0.37492384091699299</v>
      </c>
      <c r="W100">
        <v>2.4080040805738199E-2</v>
      </c>
      <c r="X100">
        <v>5.0166751678630703E-2</v>
      </c>
      <c r="AA100">
        <v>0.49094116309487201</v>
      </c>
      <c r="AB100">
        <v>3.7401929234998401</v>
      </c>
      <c r="AC100">
        <v>4.5610296886021402</v>
      </c>
      <c r="AD100">
        <v>6.0200102014338099E-3</v>
      </c>
      <c r="AE100">
        <v>5.2774489135731102</v>
      </c>
    </row>
    <row r="101" spans="1:31" x14ac:dyDescent="0.2">
      <c r="A101">
        <v>100</v>
      </c>
      <c r="B101">
        <v>754</v>
      </c>
      <c r="C101">
        <v>200</v>
      </c>
      <c r="D101">
        <v>0.38072384753930699</v>
      </c>
      <c r="E101">
        <v>90.106093619842099</v>
      </c>
      <c r="F101">
        <v>2.1993938622825202</v>
      </c>
      <c r="G101">
        <v>-1469.3906809967916</v>
      </c>
      <c r="H101">
        <v>-1232.9637586334566</v>
      </c>
      <c r="I101">
        <v>230.17760050950099</v>
      </c>
      <c r="J101">
        <v>120.895701562928</v>
      </c>
      <c r="K101">
        <v>40.968602834205498</v>
      </c>
      <c r="L101">
        <v>1.452522894244176E-4</v>
      </c>
      <c r="M101">
        <v>1.7433978129179696E-5</v>
      </c>
      <c r="N101" s="1">
        <v>2.7525270271777399E-6</v>
      </c>
      <c r="O101" s="1">
        <v>7.9172107033055798E-8</v>
      </c>
      <c r="P101" s="1">
        <v>-4.0804298020727002E-7</v>
      </c>
      <c r="Q101">
        <v>73.045153775794901</v>
      </c>
      <c r="R101">
        <v>7.6576397031612495E-2</v>
      </c>
      <c r="S101">
        <v>12.131736007117199</v>
      </c>
      <c r="T101">
        <v>0.18064064957016801</v>
      </c>
      <c r="V101">
        <v>0.41455503927859</v>
      </c>
      <c r="W101">
        <v>2.6635268532728001E-2</v>
      </c>
      <c r="X101">
        <v>5.5490142776548103E-2</v>
      </c>
      <c r="AA101">
        <v>0.486726232482526</v>
      </c>
      <c r="AB101">
        <v>3.69866284081023</v>
      </c>
      <c r="AC101">
        <v>4.6181061064957101</v>
      </c>
      <c r="AD101">
        <v>6.6588171331797901E-3</v>
      </c>
      <c r="AE101">
        <v>5.2590587229764703</v>
      </c>
    </row>
    <row r="102" spans="1:31" x14ac:dyDescent="0.2">
      <c r="A102">
        <v>101</v>
      </c>
      <c r="B102">
        <v>753</v>
      </c>
      <c r="C102">
        <v>200</v>
      </c>
      <c r="D102">
        <v>0.380052136627202</v>
      </c>
      <c r="E102">
        <v>69.518494019222501</v>
      </c>
      <c r="F102">
        <v>2.2025559911706698</v>
      </c>
      <c r="G102">
        <v>-1132.1368027207873</v>
      </c>
      <c r="H102">
        <v>-950.0442133067246</v>
      </c>
      <c r="I102">
        <v>177.45221401750399</v>
      </c>
      <c r="J102">
        <v>93.277549930114503</v>
      </c>
      <c r="K102">
        <v>31.562645534505901</v>
      </c>
      <c r="L102">
        <v>1.4538599440026649E-4</v>
      </c>
      <c r="M102">
        <v>1.742262150993652E-5</v>
      </c>
      <c r="N102" s="1">
        <v>2.1235323860578998E-6</v>
      </c>
      <c r="O102" s="1">
        <v>6.0967235886715605E-8</v>
      </c>
      <c r="P102" s="1">
        <v>-3.14406532555415E-7</v>
      </c>
      <c r="Q102">
        <v>72.867553650741598</v>
      </c>
      <c r="R102">
        <v>9.92541639077094E-2</v>
      </c>
      <c r="S102">
        <v>12.127900734396199</v>
      </c>
      <c r="T102">
        <v>0.23376784027556699</v>
      </c>
      <c r="V102">
        <v>0.53765551786467902</v>
      </c>
      <c r="W102">
        <v>3.4523187446147401E-2</v>
      </c>
      <c r="X102">
        <v>7.1923307179535698E-2</v>
      </c>
      <c r="AA102">
        <v>0.49844877364137002</v>
      </c>
      <c r="AB102">
        <v>3.6625640077400901</v>
      </c>
      <c r="AC102">
        <v>4.6049430790450296</v>
      </c>
      <c r="AD102">
        <v>8.6307968615332801E-3</v>
      </c>
      <c r="AE102">
        <v>5.2528349409003798</v>
      </c>
    </row>
    <row r="103" spans="1:31" x14ac:dyDescent="0.2">
      <c r="A103">
        <v>102</v>
      </c>
      <c r="B103">
        <v>752</v>
      </c>
      <c r="C103">
        <v>200</v>
      </c>
      <c r="D103">
        <v>0.37937911525142798</v>
      </c>
      <c r="E103">
        <v>56.3984043043369</v>
      </c>
      <c r="F103">
        <v>2.2056671114645199</v>
      </c>
      <c r="G103">
        <v>-917.23370929033319</v>
      </c>
      <c r="H103">
        <v>-769.74980744124798</v>
      </c>
      <c r="I103">
        <v>143.86567999715601</v>
      </c>
      <c r="J103">
        <v>75.679523027257005</v>
      </c>
      <c r="K103">
        <v>25.569771617480999</v>
      </c>
      <c r="L103">
        <v>1.4557050092336277E-4</v>
      </c>
      <c r="M103">
        <v>1.7415245544058524E-5</v>
      </c>
      <c r="N103" s="1">
        <v>1.7234750495775099E-6</v>
      </c>
      <c r="O103" s="1">
        <v>4.9388485803388103E-8</v>
      </c>
      <c r="P103" s="1">
        <v>-2.5486565003042003E-7</v>
      </c>
      <c r="Q103">
        <v>72.687378433117203</v>
      </c>
      <c r="R103">
        <v>0.12234388694346</v>
      </c>
      <c r="S103">
        <v>12.122966871119001</v>
      </c>
      <c r="T103">
        <v>0.28769659713544199</v>
      </c>
      <c r="V103">
        <v>0.66313933554326998</v>
      </c>
      <c r="W103">
        <v>4.25543954585735E-2</v>
      </c>
      <c r="X103">
        <v>8.8654990538797399E-2</v>
      </c>
      <c r="AA103">
        <v>0.505555605227472</v>
      </c>
      <c r="AB103">
        <v>3.6343956715144299</v>
      </c>
      <c r="AC103">
        <v>4.5856511145595196</v>
      </c>
      <c r="AD103">
        <v>1.06385988646378E-2</v>
      </c>
      <c r="AE103">
        <v>5.2490244999780602</v>
      </c>
    </row>
    <row r="104" spans="1:31" x14ac:dyDescent="0.2">
      <c r="A104">
        <v>103</v>
      </c>
      <c r="B104">
        <v>751</v>
      </c>
      <c r="C104">
        <v>200</v>
      </c>
      <c r="D104">
        <v>0.378704779573308</v>
      </c>
      <c r="E104">
        <v>23.045892103114099</v>
      </c>
      <c r="F104">
        <v>2.2080608760893101</v>
      </c>
      <c r="G104">
        <v>-374.91821115316628</v>
      </c>
      <c r="H104">
        <v>-314.80994933526057</v>
      </c>
      <c r="I104">
        <v>58.690877135093203</v>
      </c>
      <c r="J104">
        <v>30.9463379415578</v>
      </c>
      <c r="K104">
        <v>10.437163373833499</v>
      </c>
      <c r="L104">
        <v>1.4511446522814597E-4</v>
      </c>
      <c r="M104">
        <v>1.7377220941850959E-5</v>
      </c>
      <c r="N104" s="1">
        <v>7.0153046351573596E-7</v>
      </c>
      <c r="O104" s="1">
        <v>2.00702771642246E-8</v>
      </c>
      <c r="P104" s="1">
        <v>-1.03353897828108E-7</v>
      </c>
      <c r="Q104">
        <v>72.522017615172601</v>
      </c>
      <c r="R104">
        <v>0.152813381325069</v>
      </c>
      <c r="S104">
        <v>12.3188375449809</v>
      </c>
      <c r="T104">
        <v>0.25264839567271502</v>
      </c>
      <c r="V104">
        <v>0.58454410539639201</v>
      </c>
      <c r="W104">
        <v>0.104140034556292</v>
      </c>
      <c r="X104">
        <v>0.16892271166921599</v>
      </c>
      <c r="AA104">
        <v>0.52502092570331604</v>
      </c>
      <c r="AB104">
        <v>3.4920227057322499</v>
      </c>
      <c r="AC104">
        <v>4.6302482131391702</v>
      </c>
      <c r="AD104">
        <v>2.6035008639050301E-2</v>
      </c>
      <c r="AE104">
        <v>5.2227493580128401</v>
      </c>
    </row>
    <row r="105" spans="1:31" x14ac:dyDescent="0.2">
      <c r="A105">
        <v>104</v>
      </c>
      <c r="B105">
        <v>750</v>
      </c>
      <c r="C105">
        <v>200</v>
      </c>
      <c r="D105">
        <v>0.37802912573913899</v>
      </c>
      <c r="E105">
        <v>12.740166163173001</v>
      </c>
      <c r="F105">
        <v>2.2107613743890799</v>
      </c>
      <c r="G105">
        <v>-207.21072482354543</v>
      </c>
      <c r="H105">
        <v>-174.05986710859</v>
      </c>
      <c r="I105">
        <v>32.4007796656946</v>
      </c>
      <c r="J105">
        <v>17.115146496842701</v>
      </c>
      <c r="K105">
        <v>5.7627957095521696</v>
      </c>
      <c r="L105">
        <v>1.4498664485603733E-4</v>
      </c>
      <c r="M105">
        <v>1.7375345663045295E-5</v>
      </c>
      <c r="N105" s="1">
        <v>3.8750065485759798E-7</v>
      </c>
      <c r="O105" s="1">
        <v>1.10657755940771E-8</v>
      </c>
      <c r="P105" s="1">
        <v>-5.6849925903147698E-8</v>
      </c>
      <c r="Q105">
        <v>72.257271083149604</v>
      </c>
      <c r="R105">
        <v>0.16526385390814699</v>
      </c>
      <c r="S105">
        <v>12.601735855344</v>
      </c>
      <c r="T105">
        <v>0.244614094239755</v>
      </c>
      <c r="V105">
        <v>0.56991237415710705</v>
      </c>
      <c r="W105">
        <v>0.187193217158729</v>
      </c>
      <c r="X105">
        <v>0.171258230992652</v>
      </c>
      <c r="AA105">
        <v>0.533994489555211</v>
      </c>
      <c r="AB105">
        <v>3.3492884709261901</v>
      </c>
      <c r="AC105">
        <v>4.6598278835385498</v>
      </c>
      <c r="AD105">
        <v>4.7095147136560801E-2</v>
      </c>
      <c r="AE105">
        <v>5.2125452998933604</v>
      </c>
    </row>
    <row r="106" spans="1:31" x14ac:dyDescent="0.2">
      <c r="A106">
        <v>105</v>
      </c>
      <c r="B106">
        <v>749</v>
      </c>
      <c r="C106">
        <v>200</v>
      </c>
      <c r="D106">
        <v>0.37735214988015597</v>
      </c>
      <c r="E106">
        <v>8.9449025820279804</v>
      </c>
      <c r="F106">
        <v>2.2131263829720602</v>
      </c>
      <c r="G106">
        <v>-145.44661948183045</v>
      </c>
      <c r="H106">
        <v>-122.22057816961816</v>
      </c>
      <c r="I106">
        <v>22.722732781110601</v>
      </c>
      <c r="J106">
        <v>12.0223234097976</v>
      </c>
      <c r="K106">
        <v>4.0417495588370498</v>
      </c>
      <c r="L106">
        <v>1.4497314179663567E-4</v>
      </c>
      <c r="M106">
        <v>1.7383150214988397E-5</v>
      </c>
      <c r="N106" s="1">
        <v>2.7221105860792301E-7</v>
      </c>
      <c r="O106" s="1">
        <v>7.7584738651149294E-9</v>
      </c>
      <c r="P106" s="1">
        <v>-3.9779486587141201E-8</v>
      </c>
      <c r="Q106">
        <v>72.003511262088196</v>
      </c>
      <c r="R106">
        <v>0.164526001902217</v>
      </c>
      <c r="S106">
        <v>12.869873891728799</v>
      </c>
      <c r="T106">
        <v>0.24115366656694401</v>
      </c>
      <c r="V106">
        <v>0.56552459853696702</v>
      </c>
      <c r="W106">
        <v>0.26435766788959503</v>
      </c>
      <c r="X106">
        <v>0.17071113599149801</v>
      </c>
      <c r="AA106">
        <v>0.53981430864743796</v>
      </c>
      <c r="AB106">
        <v>3.2275469308287899</v>
      </c>
      <c r="AC106">
        <v>4.6764814196710303</v>
      </c>
      <c r="AD106">
        <v>6.7077309618128106E-2</v>
      </c>
      <c r="AE106">
        <v>5.2094218065303197</v>
      </c>
    </row>
    <row r="107" spans="1:31" x14ac:dyDescent="0.2">
      <c r="A107">
        <v>106</v>
      </c>
      <c r="B107">
        <v>765</v>
      </c>
      <c r="C107">
        <v>180</v>
      </c>
      <c r="D107">
        <v>0.409218802677841</v>
      </c>
      <c r="E107">
        <v>104.04125745971299</v>
      </c>
      <c r="F107">
        <v>2.19487677760723</v>
      </c>
      <c r="G107">
        <v>-1701.0277463993491</v>
      </c>
      <c r="H107">
        <v>-1425.0225945323389</v>
      </c>
      <c r="I107">
        <v>265.86249758417398</v>
      </c>
      <c r="J107">
        <v>139.532012735943</v>
      </c>
      <c r="K107">
        <v>47.4018671668371</v>
      </c>
      <c r="L107">
        <v>1.4241787698745224E-4</v>
      </c>
      <c r="M107">
        <v>1.7470534353570862E-5</v>
      </c>
      <c r="N107" s="1">
        <v>3.0158261284020898E-6</v>
      </c>
      <c r="O107" s="1">
        <v>8.9694497990751805E-8</v>
      </c>
      <c r="P107" s="1">
        <v>-4.5822210311646098E-7</v>
      </c>
      <c r="Q107">
        <v>73.393961073168398</v>
      </c>
      <c r="R107">
        <v>6.63198443432097E-2</v>
      </c>
      <c r="S107">
        <v>12.1586381295888</v>
      </c>
      <c r="T107">
        <v>0.155288234279468</v>
      </c>
      <c r="V107">
        <v>0.36007166233429899</v>
      </c>
      <c r="W107">
        <v>2.30677719454641E-2</v>
      </c>
      <c r="X107">
        <v>4.80578582197176E-2</v>
      </c>
      <c r="AA107">
        <v>0.51902486877294496</v>
      </c>
      <c r="AB107">
        <v>3.8157939426455298</v>
      </c>
      <c r="AC107">
        <v>4.4309345278578904</v>
      </c>
      <c r="AD107">
        <v>5.76694298636596E-3</v>
      </c>
      <c r="AE107">
        <v>5.02307514385783</v>
      </c>
    </row>
    <row r="108" spans="1:31" x14ac:dyDescent="0.2">
      <c r="A108">
        <v>107</v>
      </c>
      <c r="B108">
        <v>764</v>
      </c>
      <c r="C108">
        <v>180</v>
      </c>
      <c r="D108">
        <v>0.40858169020874802</v>
      </c>
      <c r="E108">
        <v>103.948668703782</v>
      </c>
      <c r="F108">
        <v>2.1952120851279702</v>
      </c>
      <c r="G108">
        <v>-1699.2204370089648</v>
      </c>
      <c r="H108">
        <v>-1423.8885797764794</v>
      </c>
      <c r="I108">
        <v>265.46965938628398</v>
      </c>
      <c r="J108">
        <v>139.38548056411599</v>
      </c>
      <c r="K108">
        <v>47.3524491815663</v>
      </c>
      <c r="L108">
        <v>1.4232413221807767E-4</v>
      </c>
      <c r="M108">
        <v>1.7460353709941503E-5</v>
      </c>
      <c r="N108" s="1">
        <v>3.0153922523394902E-6</v>
      </c>
      <c r="O108" s="1">
        <v>8.9515281455555103E-8</v>
      </c>
      <c r="P108" s="1">
        <v>-4.57482498246902E-7</v>
      </c>
      <c r="Q108">
        <v>73.405189271210702</v>
      </c>
      <c r="R108">
        <v>6.6378916498321297E-2</v>
      </c>
      <c r="S108">
        <v>12.151999455686701</v>
      </c>
      <c r="T108">
        <v>0.155654871771023</v>
      </c>
      <c r="V108">
        <v>0.36018693934093299</v>
      </c>
      <c r="W108">
        <v>2.30883187820243E-2</v>
      </c>
      <c r="X108">
        <v>4.8100664129219498E-2</v>
      </c>
      <c r="AA108">
        <v>0.51770941680371996</v>
      </c>
      <c r="AB108">
        <v>3.8116122969770601</v>
      </c>
      <c r="AC108">
        <v>4.4332497992669202</v>
      </c>
      <c r="AD108">
        <v>5.7720796955058797E-3</v>
      </c>
      <c r="AE108">
        <v>5.0210579698378304</v>
      </c>
    </row>
    <row r="109" spans="1:31" x14ac:dyDescent="0.2">
      <c r="A109">
        <v>108</v>
      </c>
      <c r="B109">
        <v>763</v>
      </c>
      <c r="C109">
        <v>180</v>
      </c>
      <c r="D109">
        <v>0.40794334797085602</v>
      </c>
      <c r="E109">
        <v>103.470178127821</v>
      </c>
      <c r="F109">
        <v>2.1955831654818598</v>
      </c>
      <c r="G109">
        <v>-1691.0022403823073</v>
      </c>
      <c r="H109">
        <v>-1417.4440720334912</v>
      </c>
      <c r="I109">
        <v>264.01406007703002</v>
      </c>
      <c r="J109">
        <v>138.68555954107799</v>
      </c>
      <c r="K109">
        <v>47.1265127891944</v>
      </c>
      <c r="L109">
        <v>1.4205452810981374E-4</v>
      </c>
      <c r="M109">
        <v>1.7440625466705842E-5</v>
      </c>
      <c r="N109" s="1">
        <v>2.9998126442446199E-6</v>
      </c>
      <c r="O109" s="1">
        <v>8.8897356715739902E-8</v>
      </c>
      <c r="P109" s="1">
        <v>-4.5424821936907002E-7</v>
      </c>
      <c r="Q109">
        <v>73.462124524587793</v>
      </c>
      <c r="R109">
        <v>6.6685881138391398E-2</v>
      </c>
      <c r="S109">
        <v>12.1173354635343</v>
      </c>
      <c r="T109">
        <v>0.156556467494604</v>
      </c>
      <c r="V109">
        <v>0.36168903028870297</v>
      </c>
      <c r="W109">
        <v>2.3195089091613601E-2</v>
      </c>
      <c r="X109">
        <v>4.8323102274198497E-2</v>
      </c>
      <c r="AA109">
        <v>0.51106566845428503</v>
      </c>
      <c r="AB109">
        <v>3.7897385356752702</v>
      </c>
      <c r="AC109">
        <v>4.44502373461214</v>
      </c>
      <c r="AD109">
        <v>5.7987722729031001E-3</v>
      </c>
      <c r="AE109">
        <v>5.0124637305756803</v>
      </c>
    </row>
    <row r="110" spans="1:31" x14ac:dyDescent="0.2">
      <c r="A110">
        <v>109</v>
      </c>
      <c r="B110">
        <v>762</v>
      </c>
      <c r="C110">
        <v>180</v>
      </c>
      <c r="D110">
        <v>0.40730377240013699</v>
      </c>
      <c r="E110">
        <v>102.98961554111401</v>
      </c>
      <c r="F110">
        <v>2.19595600204884</v>
      </c>
      <c r="G110">
        <v>-1682.7548070870666</v>
      </c>
      <c r="H110">
        <v>-1410.9714560163304</v>
      </c>
      <c r="I110">
        <v>262.55455834491198</v>
      </c>
      <c r="J110">
        <v>137.983229782058</v>
      </c>
      <c r="K110">
        <v>46.8996716896987</v>
      </c>
      <c r="L110">
        <v>1.417832678973135E-4</v>
      </c>
      <c r="M110">
        <v>1.7420886609688728E-5</v>
      </c>
      <c r="N110" s="1">
        <v>2.98414924810916E-6</v>
      </c>
      <c r="O110" s="1">
        <v>8.8278986975163206E-8</v>
      </c>
      <c r="P110" s="1">
        <v>-4.5100545345783098E-7</v>
      </c>
      <c r="Q110">
        <v>73.519401491780499</v>
      </c>
      <c r="R110">
        <v>6.6997045903580299E-2</v>
      </c>
      <c r="S110">
        <v>12.082531709296701</v>
      </c>
      <c r="T110">
        <v>0.157469194383238</v>
      </c>
      <c r="V110">
        <v>0.36321275840843098</v>
      </c>
      <c r="W110">
        <v>2.33033203142878E-2</v>
      </c>
      <c r="X110">
        <v>4.8548583988104001E-2</v>
      </c>
      <c r="AA110">
        <v>0.504709054007907</v>
      </c>
      <c r="AB110">
        <v>3.7676044772038999</v>
      </c>
      <c r="AC110">
        <v>4.4565735440159804</v>
      </c>
      <c r="AD110">
        <v>5.8258300785714997E-3</v>
      </c>
      <c r="AE110">
        <v>5.0038229906186702</v>
      </c>
    </row>
    <row r="111" spans="1:31" x14ac:dyDescent="0.2">
      <c r="A111">
        <v>110</v>
      </c>
      <c r="B111">
        <v>761</v>
      </c>
      <c r="C111">
        <v>180</v>
      </c>
      <c r="D111">
        <v>0.40666295991877599</v>
      </c>
      <c r="E111">
        <v>101.78844610158001</v>
      </c>
      <c r="F111">
        <v>2.1965636425000601</v>
      </c>
      <c r="G111">
        <v>-1662.5604715829988</v>
      </c>
      <c r="H111">
        <v>-1394.4701221420703</v>
      </c>
      <c r="I111">
        <v>259.23739248748001</v>
      </c>
      <c r="J111">
        <v>136.318383287426</v>
      </c>
      <c r="K111">
        <v>46.339857462872203</v>
      </c>
      <c r="L111">
        <v>1.4150494053333685E-4</v>
      </c>
      <c r="M111">
        <v>1.7393527261260285E-5</v>
      </c>
      <c r="N111" s="1">
        <v>2.9456331817760899E-6</v>
      </c>
      <c r="O111" s="1">
        <v>8.6993570791699706E-8</v>
      </c>
      <c r="P111" s="1">
        <v>-4.44614144489242E-7</v>
      </c>
      <c r="Q111">
        <v>73.544244543072097</v>
      </c>
      <c r="R111">
        <v>6.7787654338630404E-2</v>
      </c>
      <c r="S111">
        <v>12.0622955214165</v>
      </c>
      <c r="T111">
        <v>0.15955612095989199</v>
      </c>
      <c r="V111">
        <v>0.36729312739041797</v>
      </c>
      <c r="W111">
        <v>2.3578314552564799E-2</v>
      </c>
      <c r="X111">
        <v>4.9121488651187199E-2</v>
      </c>
      <c r="AA111">
        <v>0.49586069973817298</v>
      </c>
      <c r="AB111">
        <v>3.7411127834599802</v>
      </c>
      <c r="AC111">
        <v>4.4914444421454602</v>
      </c>
      <c r="AD111">
        <v>5.8945786381401199E-3</v>
      </c>
      <c r="AE111">
        <v>4.9918107256368396</v>
      </c>
    </row>
    <row r="112" spans="1:31" x14ac:dyDescent="0.2">
      <c r="A112">
        <v>111</v>
      </c>
      <c r="B112">
        <v>760</v>
      </c>
      <c r="C112">
        <v>180</v>
      </c>
      <c r="D112">
        <v>0.40602090693510101</v>
      </c>
      <c r="E112">
        <v>99.289470466353606</v>
      </c>
      <c r="F112">
        <v>2.1975981407177101</v>
      </c>
      <c r="G112">
        <v>-1620.8782791601577</v>
      </c>
      <c r="H112">
        <v>-1359.9275752272247</v>
      </c>
      <c r="I112">
        <v>252.57775147164699</v>
      </c>
      <c r="J112">
        <v>132.91939188830099</v>
      </c>
      <c r="K112">
        <v>45.180903927196802</v>
      </c>
      <c r="L112">
        <v>1.4120382379520602E-4</v>
      </c>
      <c r="M112">
        <v>1.7352452837231515E-5</v>
      </c>
      <c r="N112" s="1">
        <v>2.86609069914428E-6</v>
      </c>
      <c r="O112" s="1">
        <v>8.4513020392431599E-8</v>
      </c>
      <c r="P112" s="1">
        <v>-4.32518812044621E-7</v>
      </c>
      <c r="Q112">
        <v>73.514920898745501</v>
      </c>
      <c r="R112">
        <v>6.9493773786805102E-2</v>
      </c>
      <c r="S112">
        <v>12.065925520595201</v>
      </c>
      <c r="T112">
        <v>0.163876606094806</v>
      </c>
      <c r="V112">
        <v>0.376263219074219</v>
      </c>
      <c r="W112">
        <v>2.4171747404102099E-2</v>
      </c>
      <c r="X112">
        <v>5.0357807091897702E-2</v>
      </c>
      <c r="AA112">
        <v>0.48361214415082798</v>
      </c>
      <c r="AB112">
        <v>3.7052462757364601</v>
      </c>
      <c r="AC112">
        <v>4.5665179807232104</v>
      </c>
      <c r="AD112">
        <v>6.0429368510235603E-3</v>
      </c>
      <c r="AE112">
        <v>4.9735710897457697</v>
      </c>
    </row>
    <row r="113" spans="1:31" x14ac:dyDescent="0.2">
      <c r="A113">
        <v>112</v>
      </c>
      <c r="B113">
        <v>759</v>
      </c>
      <c r="C113">
        <v>180</v>
      </c>
      <c r="D113">
        <v>0.40537760984353299</v>
      </c>
      <c r="E113">
        <v>96.495675338787393</v>
      </c>
      <c r="F113">
        <v>2.1987205537686001</v>
      </c>
      <c r="G113">
        <v>-1574.3836090811412</v>
      </c>
      <c r="H113">
        <v>-1321.3319879191015</v>
      </c>
      <c r="I113">
        <v>245.169424174818</v>
      </c>
      <c r="J113">
        <v>129.12613501220699</v>
      </c>
      <c r="K113">
        <v>43.887193928939098</v>
      </c>
      <c r="L113">
        <v>1.4088024830805339E-4</v>
      </c>
      <c r="M113">
        <v>1.7309164500529843E-5</v>
      </c>
      <c r="N113" s="1">
        <v>2.77763739714095E-6</v>
      </c>
      <c r="O113" s="1">
        <v>8.1779584269638799E-8</v>
      </c>
      <c r="P113" s="1">
        <v>-4.1908297369000702E-7</v>
      </c>
      <c r="Q113">
        <v>73.483686920994401</v>
      </c>
      <c r="R113">
        <v>7.1505795215953502E-2</v>
      </c>
      <c r="S113">
        <v>12.0694118447799</v>
      </c>
      <c r="T113">
        <v>0.16892473707678099</v>
      </c>
      <c r="V113">
        <v>0.38688391527513899</v>
      </c>
      <c r="W113">
        <v>2.4871580944675099E-2</v>
      </c>
      <c r="X113">
        <v>5.1815793634759702E-2</v>
      </c>
      <c r="AA113">
        <v>0.473274654553832</v>
      </c>
      <c r="AB113">
        <v>3.6647424423929</v>
      </c>
      <c r="AC113">
        <v>4.6446926698134101</v>
      </c>
      <c r="AD113">
        <v>6.2178952361669603E-3</v>
      </c>
      <c r="AE113">
        <v>4.9539717500819904</v>
      </c>
    </row>
    <row r="114" spans="1:31" x14ac:dyDescent="0.2">
      <c r="A114">
        <v>113</v>
      </c>
      <c r="B114">
        <v>758</v>
      </c>
      <c r="C114">
        <v>180</v>
      </c>
      <c r="D114">
        <v>0.40473306502448703</v>
      </c>
      <c r="E114">
        <v>80.472137496132206</v>
      </c>
      <c r="F114">
        <v>2.20116481698027</v>
      </c>
      <c r="G114">
        <v>-1311.5796680086519</v>
      </c>
      <c r="H114">
        <v>-1100.9733084481047</v>
      </c>
      <c r="I114">
        <v>204.24415415850899</v>
      </c>
      <c r="J114">
        <v>107.666406175421</v>
      </c>
      <c r="K114">
        <v>36.558887764947102</v>
      </c>
      <c r="L114">
        <v>1.4078124409435102E-4</v>
      </c>
      <c r="M114">
        <v>1.7281062010074114E-5</v>
      </c>
      <c r="N114" s="1">
        <v>2.3125591622091201E-6</v>
      </c>
      <c r="O114" s="1">
        <v>6.7972911134607701E-8</v>
      </c>
      <c r="P114" s="1">
        <v>-3.4860309491858398E-7</v>
      </c>
      <c r="Q114">
        <v>73.364750142790797</v>
      </c>
      <c r="R114">
        <v>8.5743963248553004E-2</v>
      </c>
      <c r="S114">
        <v>12.069970097572</v>
      </c>
      <c r="T114">
        <v>0.20249792800842001</v>
      </c>
      <c r="V114">
        <v>0.46397652428249098</v>
      </c>
      <c r="W114">
        <v>2.9823987216878199E-2</v>
      </c>
      <c r="X114">
        <v>6.21333067018741E-2</v>
      </c>
      <c r="AA114">
        <v>0.48263276610972999</v>
      </c>
      <c r="AB114">
        <v>3.6170741021149002</v>
      </c>
      <c r="AC114">
        <v>4.6738162146465001</v>
      </c>
      <c r="AD114">
        <v>7.4559968042149701E-3</v>
      </c>
      <c r="AE114">
        <v>4.9401249705035601</v>
      </c>
    </row>
    <row r="115" spans="1:31" x14ac:dyDescent="0.2">
      <c r="A115">
        <v>114</v>
      </c>
      <c r="B115">
        <v>757</v>
      </c>
      <c r="C115">
        <v>180</v>
      </c>
      <c r="D115">
        <v>0.40408726884434598</v>
      </c>
      <c r="E115">
        <v>64.128286358365798</v>
      </c>
      <c r="F115">
        <v>2.2042696126987602</v>
      </c>
      <c r="G115">
        <v>-1043.8263539841873</v>
      </c>
      <c r="H115">
        <v>-876.28883812981871</v>
      </c>
      <c r="I115">
        <v>162.63409780553101</v>
      </c>
      <c r="J115">
        <v>85.802227322538897</v>
      </c>
      <c r="K115">
        <v>29.092759791689598</v>
      </c>
      <c r="L115">
        <v>1.4089123964534551E-4</v>
      </c>
      <c r="M115">
        <v>1.7268361344361033E-5</v>
      </c>
      <c r="N115" s="1">
        <v>1.84247588229918E-6</v>
      </c>
      <c r="O115" s="1">
        <v>5.4057641695182897E-8</v>
      </c>
      <c r="P115" s="1">
        <v>-2.7739439600180602E-7</v>
      </c>
      <c r="Q115">
        <v>73.192390193871901</v>
      </c>
      <c r="R115">
        <v>0.107596824924373</v>
      </c>
      <c r="S115">
        <v>12.0670354672732</v>
      </c>
      <c r="T115">
        <v>0.253720450757979</v>
      </c>
      <c r="V115">
        <v>0.582574167196662</v>
      </c>
      <c r="W115">
        <v>3.7424982582374498E-2</v>
      </c>
      <c r="X115">
        <v>7.79687137133553E-2</v>
      </c>
      <c r="AA115">
        <v>0.49615579891448403</v>
      </c>
      <c r="AB115">
        <v>3.5784924249452299</v>
      </c>
      <c r="AC115">
        <v>4.66386397023948</v>
      </c>
      <c r="AD115">
        <v>9.3562456455872599E-3</v>
      </c>
      <c r="AE115">
        <v>4.9334207599352604</v>
      </c>
    </row>
    <row r="116" spans="1:31" x14ac:dyDescent="0.2">
      <c r="A116">
        <v>115</v>
      </c>
      <c r="B116">
        <v>756</v>
      </c>
      <c r="C116">
        <v>180</v>
      </c>
      <c r="D116">
        <v>0.40344021765534699</v>
      </c>
      <c r="E116">
        <v>36.995955555763601</v>
      </c>
      <c r="F116">
        <v>2.2070375395464201</v>
      </c>
      <c r="G116">
        <v>-601.85739000953276</v>
      </c>
      <c r="H116">
        <v>-505.41856311138844</v>
      </c>
      <c r="I116">
        <v>93.707260261521</v>
      </c>
      <c r="J116">
        <v>49.5158535922684</v>
      </c>
      <c r="K116">
        <v>16.762721472950901</v>
      </c>
      <c r="L116">
        <v>1.4068980666920766E-4</v>
      </c>
      <c r="M116">
        <v>1.7237713358643458E-5</v>
      </c>
      <c r="N116" s="1">
        <v>1.0602803711118201E-6</v>
      </c>
      <c r="O116" s="1">
        <v>3.1056158959407499E-8</v>
      </c>
      <c r="P116" s="1">
        <v>-1.59265993510184E-7</v>
      </c>
      <c r="Q116">
        <v>73.037142700482406</v>
      </c>
      <c r="R116">
        <v>0.135147682615961</v>
      </c>
      <c r="S116">
        <v>12.1396002961677</v>
      </c>
      <c r="T116">
        <v>0.26341066593920898</v>
      </c>
      <c r="V116">
        <v>0.60625609443549799</v>
      </c>
      <c r="W116">
        <v>6.4871955973174203E-2</v>
      </c>
      <c r="X116">
        <v>0.12931671112113999</v>
      </c>
      <c r="AA116">
        <v>0.51820164277507297</v>
      </c>
      <c r="AB116">
        <v>3.4889723227470801</v>
      </c>
      <c r="AC116">
        <v>4.6853543060816296</v>
      </c>
      <c r="AD116">
        <v>1.6217988993281699E-2</v>
      </c>
      <c r="AE116">
        <v>4.9155076326677101</v>
      </c>
    </row>
    <row r="117" spans="1:31" x14ac:dyDescent="0.2">
      <c r="A117">
        <v>116</v>
      </c>
      <c r="B117">
        <v>755</v>
      </c>
      <c r="C117">
        <v>180</v>
      </c>
      <c r="D117">
        <v>0.40279190779555302</v>
      </c>
      <c r="E117">
        <v>20.099825875775899</v>
      </c>
      <c r="F117">
        <v>2.2095509826531701</v>
      </c>
      <c r="G117">
        <v>-326.94977409854692</v>
      </c>
      <c r="H117">
        <v>-274.67844631564606</v>
      </c>
      <c r="I117">
        <v>50.840176805817002</v>
      </c>
      <c r="J117">
        <v>26.915406864944298</v>
      </c>
      <c r="K117">
        <v>9.0967920783798899</v>
      </c>
      <c r="L117">
        <v>1.404273100859179E-4</v>
      </c>
      <c r="M117">
        <v>1.7212937682193665E-5</v>
      </c>
      <c r="N117" s="1">
        <v>5.7461618851903599E-7</v>
      </c>
      <c r="O117" s="1">
        <v>1.6802335105841E-8</v>
      </c>
      <c r="P117" s="1">
        <v>-8.6023039431867806E-8</v>
      </c>
      <c r="Q117">
        <v>72.851824304217203</v>
      </c>
      <c r="R117">
        <v>0.16290360274783899</v>
      </c>
      <c r="S117">
        <v>12.3126526152941</v>
      </c>
      <c r="T117">
        <v>0.24990794555573501</v>
      </c>
      <c r="V117">
        <v>0.57745439911624497</v>
      </c>
      <c r="W117">
        <v>0.119404019459243</v>
      </c>
      <c r="X117">
        <v>0.17817717970601599</v>
      </c>
      <c r="AA117">
        <v>0.53370120647279395</v>
      </c>
      <c r="AB117">
        <v>3.3690697017592499</v>
      </c>
      <c r="AC117">
        <v>4.7173340768963596</v>
      </c>
      <c r="AD117">
        <v>2.9851004864776001E-2</v>
      </c>
      <c r="AE117">
        <v>4.8977199439103103</v>
      </c>
    </row>
    <row r="118" spans="1:31" x14ac:dyDescent="0.2">
      <c r="A118">
        <v>117</v>
      </c>
      <c r="B118">
        <v>754</v>
      </c>
      <c r="C118">
        <v>180</v>
      </c>
      <c r="D118">
        <v>0.402142335588766</v>
      </c>
      <c r="E118">
        <v>12.1050303847127</v>
      </c>
      <c r="F118">
        <v>2.2121196539593901</v>
      </c>
      <c r="G118">
        <v>-196.85725851465682</v>
      </c>
      <c r="H118">
        <v>-165.44968580203135</v>
      </c>
      <c r="I118">
        <v>30.577396400355699</v>
      </c>
      <c r="J118">
        <v>16.216341097677901</v>
      </c>
      <c r="K118">
        <v>5.4721408776629099</v>
      </c>
      <c r="L118">
        <v>1.4029845169396158E-4</v>
      </c>
      <c r="M118">
        <v>1.7209940190994876E-5</v>
      </c>
      <c r="N118" s="1">
        <v>3.4577220912956901E-7</v>
      </c>
      <c r="O118" s="1">
        <v>1.00924530908247E-8</v>
      </c>
      <c r="P118" s="1">
        <v>-5.1550944880005602E-8</v>
      </c>
      <c r="Q118">
        <v>72.600739087029297</v>
      </c>
      <c r="R118">
        <v>0.17677726814009301</v>
      </c>
      <c r="S118">
        <v>12.5789578854671</v>
      </c>
      <c r="T118">
        <v>0.24187070262825899</v>
      </c>
      <c r="V118">
        <v>0.56250274141159495</v>
      </c>
      <c r="W118">
        <v>0.197278018897319</v>
      </c>
      <c r="X118">
        <v>0.18070000345810999</v>
      </c>
      <c r="AA118">
        <v>0.54281476441027299</v>
      </c>
      <c r="AB118">
        <v>3.2336470824007102</v>
      </c>
      <c r="AC118">
        <v>4.7470513535327603</v>
      </c>
      <c r="AD118">
        <v>4.9566170503494197E-2</v>
      </c>
      <c r="AE118">
        <v>4.8880949221208798</v>
      </c>
    </row>
    <row r="119" spans="1:31" x14ac:dyDescent="0.2">
      <c r="A119">
        <v>118</v>
      </c>
      <c r="B119">
        <v>753</v>
      </c>
      <c r="C119">
        <v>180</v>
      </c>
      <c r="D119">
        <v>0.401491497344444</v>
      </c>
      <c r="E119">
        <v>8.7311859140260104</v>
      </c>
      <c r="F119">
        <v>2.2143930351608598</v>
      </c>
      <c r="G119">
        <v>-141.95522324573577</v>
      </c>
      <c r="H119">
        <v>-119.34877856512337</v>
      </c>
      <c r="I119">
        <v>22.0303510019124</v>
      </c>
      <c r="J119">
        <v>11.7019721406951</v>
      </c>
      <c r="K119">
        <v>3.9429251155460499</v>
      </c>
      <c r="L119">
        <v>1.4027815650106143E-4</v>
      </c>
      <c r="M119">
        <v>1.7217024949882016E-5</v>
      </c>
      <c r="N119" s="1">
        <v>2.4953336629397397E-7</v>
      </c>
      <c r="O119" s="1">
        <v>7.2695209971916402E-9</v>
      </c>
      <c r="P119" s="1">
        <v>-3.7057224081655099E-8</v>
      </c>
      <c r="Q119">
        <v>72.356377808894095</v>
      </c>
      <c r="R119">
        <v>0.17594761140609699</v>
      </c>
      <c r="S119">
        <v>12.8370105240569</v>
      </c>
      <c r="T119">
        <v>0.23850718256380199</v>
      </c>
      <c r="V119">
        <v>0.55815324452613502</v>
      </c>
      <c r="W119">
        <v>0.271234521246979</v>
      </c>
      <c r="X119">
        <v>0.18014198501377299</v>
      </c>
      <c r="AA119">
        <v>0.54843216880039802</v>
      </c>
      <c r="AB119">
        <v>3.1165801251582601</v>
      </c>
      <c r="AC119">
        <v>4.7637398003000504</v>
      </c>
      <c r="AD119">
        <v>6.8719187279541197E-2</v>
      </c>
      <c r="AE119">
        <v>4.8851558407539502</v>
      </c>
    </row>
    <row r="120" spans="1:31" x14ac:dyDescent="0.2">
      <c r="A120">
        <v>119</v>
      </c>
      <c r="B120">
        <v>773</v>
      </c>
      <c r="C120">
        <v>160</v>
      </c>
      <c r="D120">
        <v>0.43530134301964502</v>
      </c>
      <c r="E120">
        <v>103.707375204771</v>
      </c>
      <c r="F120">
        <v>2.1950495340254399</v>
      </c>
      <c r="G120">
        <v>-1696.750230826904</v>
      </c>
      <c r="H120">
        <v>-1420.5271771138164</v>
      </c>
      <c r="I120">
        <v>264.03771324675</v>
      </c>
      <c r="J120">
        <v>138.84321776236899</v>
      </c>
      <c r="K120">
        <v>47.246029575735797</v>
      </c>
      <c r="L120">
        <v>1.3821155654925298E-4</v>
      </c>
      <c r="M120">
        <v>1.7326277094777451E-5</v>
      </c>
      <c r="N120" s="1">
        <v>2.8143906963780302E-6</v>
      </c>
      <c r="O120" s="1">
        <v>8.6139489633526595E-8</v>
      </c>
      <c r="P120" s="1">
        <v>-4.36833624373687E-7</v>
      </c>
      <c r="Q120">
        <v>73.630250355142906</v>
      </c>
      <c r="R120">
        <v>6.6533358754629499E-2</v>
      </c>
      <c r="S120">
        <v>12.197782438349201</v>
      </c>
      <c r="T120">
        <v>0.15543432483228001</v>
      </c>
      <c r="V120">
        <v>0.36154930256125301</v>
      </c>
      <c r="W120">
        <v>2.3142037827696998E-2</v>
      </c>
      <c r="X120">
        <v>4.8212578807703001E-2</v>
      </c>
      <c r="AA120">
        <v>0.52069585112318595</v>
      </c>
      <c r="AB120">
        <v>3.8280787573315598</v>
      </c>
      <c r="AC120">
        <v>4.4451997660701199</v>
      </c>
      <c r="AD120">
        <v>5.7855094569241698E-3</v>
      </c>
      <c r="AE120">
        <v>4.7173357197424401</v>
      </c>
    </row>
    <row r="121" spans="1:31" x14ac:dyDescent="0.2">
      <c r="A121">
        <v>120</v>
      </c>
      <c r="B121">
        <v>772</v>
      </c>
      <c r="C121">
        <v>160</v>
      </c>
      <c r="D121">
        <v>0.43469406305315</v>
      </c>
      <c r="E121">
        <v>103.513414196542</v>
      </c>
      <c r="F121">
        <v>2.1953670559324099</v>
      </c>
      <c r="G121">
        <v>-1693.2607699247073</v>
      </c>
      <c r="H121">
        <v>-1417.9966676600282</v>
      </c>
      <c r="I121">
        <v>263.37281946579702</v>
      </c>
      <c r="J121">
        <v>138.55277022660701</v>
      </c>
      <c r="K121">
        <v>47.150846104219603</v>
      </c>
      <c r="L121">
        <v>1.3808440826147569E-4</v>
      </c>
      <c r="M121">
        <v>1.731466248904376E-5</v>
      </c>
      <c r="N121" s="1">
        <v>2.8105000394515201E-6</v>
      </c>
      <c r="O121" s="1">
        <v>8.5864313876327507E-8</v>
      </c>
      <c r="P121" s="1">
        <v>-4.3554049917002202E-7</v>
      </c>
      <c r="Q121">
        <v>73.653213956299098</v>
      </c>
      <c r="R121">
        <v>6.6658027402118902E-2</v>
      </c>
      <c r="S121">
        <v>12.183537318847501</v>
      </c>
      <c r="T121">
        <v>0.15593543463527801</v>
      </c>
      <c r="V121">
        <v>0.36203793027867798</v>
      </c>
      <c r="W121">
        <v>2.3185400835519201E-2</v>
      </c>
      <c r="X121">
        <v>4.8302918407333501E-2</v>
      </c>
      <c r="AA121">
        <v>0.51789716851628798</v>
      </c>
      <c r="AB121">
        <v>3.8191271044355899</v>
      </c>
      <c r="AC121">
        <v>4.4500993883514104</v>
      </c>
      <c r="AD121">
        <v>5.7963502088796302E-3</v>
      </c>
      <c r="AE121">
        <v>4.71420900178222</v>
      </c>
    </row>
    <row r="122" spans="1:31" x14ac:dyDescent="0.2">
      <c r="A122">
        <v>121</v>
      </c>
      <c r="B122">
        <v>771</v>
      </c>
      <c r="C122">
        <v>160</v>
      </c>
      <c r="D122">
        <v>0.43408561988220001</v>
      </c>
      <c r="E122">
        <v>103.055301098716</v>
      </c>
      <c r="F122">
        <v>2.1956989394609301</v>
      </c>
      <c r="G122">
        <v>-1685.3830790536867</v>
      </c>
      <c r="H122">
        <v>-1411.8306536623859</v>
      </c>
      <c r="I122">
        <v>261.98575433730701</v>
      </c>
      <c r="J122">
        <v>137.88472544637801</v>
      </c>
      <c r="K122">
        <v>46.935078050371303</v>
      </c>
      <c r="L122">
        <v>1.3784228073678031E-4</v>
      </c>
      <c r="M122">
        <v>1.7296885504643778E-5</v>
      </c>
      <c r="N122" s="1">
        <v>2.7970007358395899E-6</v>
      </c>
      <c r="O122" s="1">
        <v>8.5303292590029393E-8</v>
      </c>
      <c r="P122" s="1">
        <v>-4.3262784125971002E-7</v>
      </c>
      <c r="Q122">
        <v>73.7074053104526</v>
      </c>
      <c r="R122">
        <v>6.6954343216081499E-2</v>
      </c>
      <c r="S122">
        <v>12.149867671630499</v>
      </c>
      <c r="T122">
        <v>0.156805811637796</v>
      </c>
      <c r="V122">
        <v>0.36348786015256102</v>
      </c>
      <c r="W122">
        <v>2.32884672055928E-2</v>
      </c>
      <c r="X122">
        <v>4.8517640011655198E-2</v>
      </c>
      <c r="AA122">
        <v>0.51149153374770595</v>
      </c>
      <c r="AB122">
        <v>3.7978508000012599</v>
      </c>
      <c r="AC122">
        <v>4.4615049683837604</v>
      </c>
      <c r="AD122">
        <v>5.8221168013978799E-3</v>
      </c>
      <c r="AE122">
        <v>4.7070034767589997</v>
      </c>
    </row>
    <row r="123" spans="1:31" x14ac:dyDescent="0.2">
      <c r="A123">
        <v>122</v>
      </c>
      <c r="B123">
        <v>770</v>
      </c>
      <c r="C123">
        <v>160</v>
      </c>
      <c r="D123">
        <v>0.43347601016152998</v>
      </c>
      <c r="E123">
        <v>102.595610275586</v>
      </c>
      <c r="F123">
        <v>2.1960324151919801</v>
      </c>
      <c r="G123">
        <v>-1677.4838901690632</v>
      </c>
      <c r="H123">
        <v>-1405.6431984959138</v>
      </c>
      <c r="I123">
        <v>260.59597533734302</v>
      </c>
      <c r="J123">
        <v>137.21491743188301</v>
      </c>
      <c r="K123">
        <v>46.718622897293301</v>
      </c>
      <c r="L123">
        <v>1.3759872312788798E-4</v>
      </c>
      <c r="M123">
        <v>1.7279100849354711E-5</v>
      </c>
      <c r="N123" s="1">
        <v>2.78343604183E-6</v>
      </c>
      <c r="O123" s="1">
        <v>8.4742106136148297E-8</v>
      </c>
      <c r="P123" s="1">
        <v>-4.2970891814002502E-7</v>
      </c>
      <c r="Q123">
        <v>73.761879373534796</v>
      </c>
      <c r="R123">
        <v>6.7254339454346196E-2</v>
      </c>
      <c r="S123">
        <v>12.1160856823532</v>
      </c>
      <c r="T123">
        <v>0.15768609055334901</v>
      </c>
      <c r="V123">
        <v>0.36495661670705398</v>
      </c>
      <c r="W123">
        <v>2.3392813723249702E-2</v>
      </c>
      <c r="X123">
        <v>4.8735028590108503E-2</v>
      </c>
      <c r="AA123">
        <v>0.50534976114332997</v>
      </c>
      <c r="AB123">
        <v>3.7763419338276201</v>
      </c>
      <c r="AC123">
        <v>4.4727097193433396</v>
      </c>
      <c r="AD123">
        <v>5.8482034308120004E-3</v>
      </c>
      <c r="AE123">
        <v>4.6997604373386697</v>
      </c>
    </row>
    <row r="124" spans="1:31" x14ac:dyDescent="0.2">
      <c r="A124">
        <v>123</v>
      </c>
      <c r="B124">
        <v>769</v>
      </c>
      <c r="C124">
        <v>160</v>
      </c>
      <c r="D124">
        <v>0.43286523053303499</v>
      </c>
      <c r="E124">
        <v>102.134517985377</v>
      </c>
      <c r="F124">
        <v>2.1963672630809299</v>
      </c>
      <c r="G124">
        <v>-1669.5662158341545</v>
      </c>
      <c r="H124">
        <v>-1399.436753392589</v>
      </c>
      <c r="I124">
        <v>259.20401328173898</v>
      </c>
      <c r="J124">
        <v>136.54360063278</v>
      </c>
      <c r="K124">
        <v>46.501566337366</v>
      </c>
      <c r="L124">
        <v>1.3735384689315716E-4</v>
      </c>
      <c r="M124">
        <v>1.7261319498195336E-5</v>
      </c>
      <c r="N124" s="1">
        <v>2.7698145809449598E-6</v>
      </c>
      <c r="O124" s="1">
        <v>8.4181011725328995E-8</v>
      </c>
      <c r="P124" s="1">
        <v>-4.26785140712635E-7</v>
      </c>
      <c r="Q124">
        <v>73.816633840303396</v>
      </c>
      <c r="R124">
        <v>6.7557963126511397E-2</v>
      </c>
      <c r="S124">
        <v>12.082193060332999</v>
      </c>
      <c r="T124">
        <v>0.158576182361579</v>
      </c>
      <c r="V124">
        <v>0.36644388069571099</v>
      </c>
      <c r="W124">
        <v>2.3498421957046201E-2</v>
      </c>
      <c r="X124">
        <v>4.8955045743851802E-2</v>
      </c>
      <c r="AA124">
        <v>0.49946771551892799</v>
      </c>
      <c r="AB124">
        <v>3.7546182063193898</v>
      </c>
      <c r="AC124">
        <v>4.4836953682314702</v>
      </c>
      <c r="AD124">
        <v>5.8746054892610498E-3</v>
      </c>
      <c r="AE124">
        <v>4.6924857099197697</v>
      </c>
    </row>
    <row r="125" spans="1:31" x14ac:dyDescent="0.2">
      <c r="A125">
        <v>124</v>
      </c>
      <c r="B125">
        <v>768</v>
      </c>
      <c r="C125">
        <v>160</v>
      </c>
      <c r="D125">
        <v>0.43225327762570398</v>
      </c>
      <c r="E125">
        <v>101.67219577446799</v>
      </c>
      <c r="F125">
        <v>2.1967032595221299</v>
      </c>
      <c r="G125">
        <v>-1661.6329884494653</v>
      </c>
      <c r="H125">
        <v>-1393.2137057556533</v>
      </c>
      <c r="I125">
        <v>257.81038533718601</v>
      </c>
      <c r="J125">
        <v>135.87102266005701</v>
      </c>
      <c r="K125">
        <v>46.2839918563173</v>
      </c>
      <c r="L125">
        <v>1.3710776476651533E-4</v>
      </c>
      <c r="M125">
        <v>1.7243552573859012E-5</v>
      </c>
      <c r="N125" s="1">
        <v>2.75614485026434E-6</v>
      </c>
      <c r="O125" s="1">
        <v>8.3620260858305494E-8</v>
      </c>
      <c r="P125" s="1">
        <v>-4.2385789064923101E-7</v>
      </c>
      <c r="Q125">
        <v>73.871666640616496</v>
      </c>
      <c r="R125">
        <v>6.7865161634808394E-2</v>
      </c>
      <c r="S125">
        <v>12.048191376298201</v>
      </c>
      <c r="T125">
        <v>0.15947599846725499</v>
      </c>
      <c r="V125">
        <v>0.367949335448439</v>
      </c>
      <c r="W125">
        <v>2.3605273612105598E-2</v>
      </c>
      <c r="X125">
        <v>4.91776533585606E-2</v>
      </c>
      <c r="AA125">
        <v>0.49384113757715697</v>
      </c>
      <c r="AB125">
        <v>3.7326975935872002</v>
      </c>
      <c r="AC125">
        <v>4.49444330266404</v>
      </c>
      <c r="AD125">
        <v>5.9013184030257898E-3</v>
      </c>
      <c r="AE125">
        <v>4.68518520833263</v>
      </c>
    </row>
    <row r="126" spans="1:31" x14ac:dyDescent="0.2">
      <c r="A126">
        <v>125</v>
      </c>
      <c r="B126">
        <v>767</v>
      </c>
      <c r="C126">
        <v>160</v>
      </c>
      <c r="D126">
        <v>0.43164014805557099</v>
      </c>
      <c r="E126">
        <v>101.20880949121501</v>
      </c>
      <c r="F126">
        <v>2.1970401778283901</v>
      </c>
      <c r="G126">
        <v>-1653.687044067123</v>
      </c>
      <c r="H126">
        <v>-1386.9763656703774</v>
      </c>
      <c r="I126">
        <v>256.41559236335598</v>
      </c>
      <c r="J126">
        <v>135.19742292513601</v>
      </c>
      <c r="K126">
        <v>46.065980273174901</v>
      </c>
      <c r="L126">
        <v>1.3686059038545836E-4</v>
      </c>
      <c r="M126">
        <v>1.7225811327877828E-5</v>
      </c>
      <c r="N126" s="1">
        <v>2.7424351841478398E-6</v>
      </c>
      <c r="O126" s="1">
        <v>8.3060098291391102E-8</v>
      </c>
      <c r="P126" s="1">
        <v>-4.2092851429698802E-7</v>
      </c>
      <c r="Q126">
        <v>73.926976007591904</v>
      </c>
      <c r="R126">
        <v>6.8175883450136504E-2</v>
      </c>
      <c r="S126">
        <v>12.0140820260398</v>
      </c>
      <c r="T126">
        <v>0.16038545211043501</v>
      </c>
      <c r="V126">
        <v>0.36947267069762701</v>
      </c>
      <c r="W126">
        <v>2.3713350765263101E-2</v>
      </c>
      <c r="X126">
        <v>4.9402814094306101E-2</v>
      </c>
      <c r="AA126">
        <v>0.48846567560163401</v>
      </c>
      <c r="AB126">
        <v>3.7105982876842099</v>
      </c>
      <c r="AC126">
        <v>4.5049345735517701</v>
      </c>
      <c r="AD126">
        <v>5.9283376913150899E-3</v>
      </c>
      <c r="AE126">
        <v>4.6778649207214196</v>
      </c>
    </row>
    <row r="127" spans="1:31" x14ac:dyDescent="0.2">
      <c r="A127">
        <v>126</v>
      </c>
      <c r="B127">
        <v>766</v>
      </c>
      <c r="C127">
        <v>160</v>
      </c>
      <c r="D127">
        <v>0.43102583842564002</v>
      </c>
      <c r="E127">
        <v>99.467407930149093</v>
      </c>
      <c r="F127">
        <v>2.1977942169046001</v>
      </c>
      <c r="G127">
        <v>-1624.5585546431107</v>
      </c>
      <c r="H127">
        <v>-1362.9569404082781</v>
      </c>
      <c r="I127">
        <v>251.745767439573</v>
      </c>
      <c r="J127">
        <v>132.820773548907</v>
      </c>
      <c r="K127">
        <v>45.257834953374299</v>
      </c>
      <c r="L127">
        <v>1.3660222236503076E-4</v>
      </c>
      <c r="M127">
        <v>1.7194744669363091E-5</v>
      </c>
      <c r="N127" s="1">
        <v>2.6908224687936101E-6</v>
      </c>
      <c r="O127" s="1">
        <v>8.1365888160317297E-8</v>
      </c>
      <c r="P127" s="1">
        <v>-4.1268196168743302E-7</v>
      </c>
      <c r="Q127">
        <v>73.926282652480495</v>
      </c>
      <c r="R127">
        <v>6.93694562227435E-2</v>
      </c>
      <c r="S127">
        <v>12.0046997603294</v>
      </c>
      <c r="T127">
        <v>0.16345017198978501</v>
      </c>
      <c r="V127">
        <v>0.37571004318793799</v>
      </c>
      <c r="W127">
        <v>2.41285065122562E-2</v>
      </c>
      <c r="X127">
        <v>5.0267721900544397E-2</v>
      </c>
      <c r="AA127">
        <v>0.47931170672742202</v>
      </c>
      <c r="AB127">
        <v>3.6797862327073498</v>
      </c>
      <c r="AC127">
        <v>4.5561175893390402</v>
      </c>
      <c r="AD127">
        <v>6.03212662806305E-3</v>
      </c>
      <c r="AE127">
        <v>4.6648440319747797</v>
      </c>
    </row>
    <row r="128" spans="1:31" x14ac:dyDescent="0.2">
      <c r="A128">
        <v>127</v>
      </c>
      <c r="B128">
        <v>765</v>
      </c>
      <c r="C128">
        <v>160</v>
      </c>
      <c r="D128">
        <v>0.43041034532582101</v>
      </c>
      <c r="E128">
        <v>96.853282741320896</v>
      </c>
      <c r="F128">
        <v>2.1988311579812998</v>
      </c>
      <c r="G128">
        <v>-1581.013015649379</v>
      </c>
      <c r="H128">
        <v>-1326.8249062631596</v>
      </c>
      <c r="I128">
        <v>244.84718912124401</v>
      </c>
      <c r="J128">
        <v>129.28108770092101</v>
      </c>
      <c r="K128">
        <v>44.047621569197403</v>
      </c>
      <c r="L128">
        <v>1.3632413816147627E-4</v>
      </c>
      <c r="M128">
        <v>1.7155052928657186E-5</v>
      </c>
      <c r="N128" s="1">
        <v>2.6135820247704199E-6</v>
      </c>
      <c r="O128" s="1">
        <v>7.8909857015235695E-8</v>
      </c>
      <c r="P128" s="1">
        <v>-4.0077335690454501E-7</v>
      </c>
      <c r="Q128">
        <v>73.893879468004499</v>
      </c>
      <c r="R128">
        <v>7.1241777301746897E-2</v>
      </c>
      <c r="S128">
        <v>12.008642984446899</v>
      </c>
      <c r="T128">
        <v>0.168160058629058</v>
      </c>
      <c r="V128">
        <v>0.38558228113995802</v>
      </c>
      <c r="W128">
        <v>2.4779748626691502E-2</v>
      </c>
      <c r="X128">
        <v>5.16244763056204E-2</v>
      </c>
      <c r="AA128">
        <v>0.46939893307369102</v>
      </c>
      <c r="AB128">
        <v>3.6411720007025798</v>
      </c>
      <c r="AC128">
        <v>4.6314048629663302</v>
      </c>
      <c r="AD128">
        <v>6.1949371566714199E-3</v>
      </c>
      <c r="AE128">
        <v>4.6479184716460402</v>
      </c>
    </row>
    <row r="129" spans="1:31" x14ac:dyDescent="0.2">
      <c r="A129">
        <v>128</v>
      </c>
      <c r="B129">
        <v>764</v>
      </c>
      <c r="C129">
        <v>160</v>
      </c>
      <c r="D129">
        <v>0.42979366533288699</v>
      </c>
      <c r="E129">
        <v>93.832823263580195</v>
      </c>
      <c r="F129">
        <v>2.1999713656792599</v>
      </c>
      <c r="G129">
        <v>-1530.8317593479358</v>
      </c>
      <c r="H129">
        <v>-1285.1061344719376</v>
      </c>
      <c r="I129">
        <v>236.92390191968099</v>
      </c>
      <c r="J129">
        <v>125.19988752248101</v>
      </c>
      <c r="K129">
        <v>42.651838440909998</v>
      </c>
      <c r="L129">
        <v>1.3602566101517563E-4</v>
      </c>
      <c r="M129">
        <v>1.7113230435717488E-5</v>
      </c>
      <c r="N129" s="1">
        <v>2.52504000630708E-6</v>
      </c>
      <c r="O129" s="1">
        <v>7.6122285138401001E-8</v>
      </c>
      <c r="P129" s="1">
        <v>-3.87132081018496E-7</v>
      </c>
      <c r="Q129">
        <v>73.858494790111706</v>
      </c>
      <c r="R129">
        <v>7.3535035609213095E-2</v>
      </c>
      <c r="S129">
        <v>12.0125155782391</v>
      </c>
      <c r="T129">
        <v>0.173866449889818</v>
      </c>
      <c r="V129">
        <v>0.397730133822916</v>
      </c>
      <c r="W129">
        <v>2.5577403690157201E-2</v>
      </c>
      <c r="X129">
        <v>5.3286257687843903E-2</v>
      </c>
      <c r="AA129">
        <v>0.46185142509090699</v>
      </c>
      <c r="AB129">
        <v>3.5974606865754</v>
      </c>
      <c r="AC129">
        <v>4.7095693665056197</v>
      </c>
      <c r="AD129">
        <v>6.3943509225380703E-3</v>
      </c>
      <c r="AE129">
        <v>4.6297185218546</v>
      </c>
    </row>
    <row r="130" spans="1:31" x14ac:dyDescent="0.2">
      <c r="A130">
        <v>129</v>
      </c>
      <c r="B130">
        <v>763</v>
      </c>
      <c r="C130">
        <v>160</v>
      </c>
      <c r="D130">
        <v>0.42917579501038</v>
      </c>
      <c r="E130">
        <v>77.939962804835204</v>
      </c>
      <c r="F130">
        <v>2.2025194610707399</v>
      </c>
      <c r="G130">
        <v>-1270.1878319354446</v>
      </c>
      <c r="H130">
        <v>-1066.4903702174408</v>
      </c>
      <c r="I130">
        <v>196.59070763692799</v>
      </c>
      <c r="J130">
        <v>103.980025341001</v>
      </c>
      <c r="K130">
        <v>35.386730597578897</v>
      </c>
      <c r="L130">
        <v>1.3594520286030334E-4</v>
      </c>
      <c r="M130">
        <v>1.7086530681582983E-5</v>
      </c>
      <c r="N130" s="1">
        <v>2.0939367559500999E-6</v>
      </c>
      <c r="O130" s="1">
        <v>6.3021455917234497E-8</v>
      </c>
      <c r="P130" s="1">
        <v>-3.2072694933555902E-7</v>
      </c>
      <c r="Q130">
        <v>73.7319320344197</v>
      </c>
      <c r="R130">
        <v>8.8529680432087504E-2</v>
      </c>
      <c r="S130">
        <v>12.0141300348575</v>
      </c>
      <c r="T130">
        <v>0.20920549145433801</v>
      </c>
      <c r="V130">
        <v>0.47893479549246798</v>
      </c>
      <c r="W130">
        <v>3.0792932324194101E-2</v>
      </c>
      <c r="X130">
        <v>6.4151942342115797E-2</v>
      </c>
      <c r="AA130">
        <v>0.47680416192659902</v>
      </c>
      <c r="AB130">
        <v>3.5452478082400498</v>
      </c>
      <c r="AC130">
        <v>4.7356838731622197</v>
      </c>
      <c r="AD130">
        <v>7.6982330810435604E-3</v>
      </c>
      <c r="AE130">
        <v>4.6168890122675803</v>
      </c>
    </row>
    <row r="131" spans="1:31" x14ac:dyDescent="0.2">
      <c r="A131">
        <v>130</v>
      </c>
      <c r="B131">
        <v>762</v>
      </c>
      <c r="C131">
        <v>160</v>
      </c>
      <c r="D131">
        <v>0.428556730908567</v>
      </c>
      <c r="E131">
        <v>63.1555931407702</v>
      </c>
      <c r="F131">
        <v>2.2055418151072801</v>
      </c>
      <c r="G131">
        <v>-1027.942488018974</v>
      </c>
      <c r="H131">
        <v>-863.17963511582184</v>
      </c>
      <c r="I131">
        <v>159.16809438550101</v>
      </c>
      <c r="J131">
        <v>84.257416821322806</v>
      </c>
      <c r="K131">
        <v>28.634956140107398</v>
      </c>
      <c r="L131">
        <v>1.3602560470115567E-4</v>
      </c>
      <c r="M131">
        <v>1.7072100566327559E-5</v>
      </c>
      <c r="N131" s="1">
        <v>1.6959933041395E-6</v>
      </c>
      <c r="O131" s="1">
        <v>5.0954030165528903E-8</v>
      </c>
      <c r="P131" s="1">
        <v>-2.5945003933539502E-7</v>
      </c>
      <c r="Q131">
        <v>73.566387366956803</v>
      </c>
      <c r="R131">
        <v>0.109253981426815</v>
      </c>
      <c r="S131">
        <v>12.012549855632701</v>
      </c>
      <c r="T131">
        <v>0.25780784374591698</v>
      </c>
      <c r="V131">
        <v>0.59138500164848795</v>
      </c>
      <c r="W131">
        <v>3.8001384844092302E-2</v>
      </c>
      <c r="X131">
        <v>7.9169551758603907E-2</v>
      </c>
      <c r="AA131">
        <v>0.492998626310101</v>
      </c>
      <c r="AB131">
        <v>3.5029192561025502</v>
      </c>
      <c r="AC131">
        <v>4.7304197111195396</v>
      </c>
      <c r="AD131">
        <v>9.5003462110163604E-3</v>
      </c>
      <c r="AE131">
        <v>4.6096070742432804</v>
      </c>
    </row>
    <row r="132" spans="1:31" x14ac:dyDescent="0.2">
      <c r="A132">
        <v>131</v>
      </c>
      <c r="B132">
        <v>761</v>
      </c>
      <c r="C132">
        <v>160</v>
      </c>
      <c r="D132">
        <v>0.42793646956437897</v>
      </c>
      <c r="E132">
        <v>37.724425232462899</v>
      </c>
      <c r="F132">
        <v>2.2082391040320202</v>
      </c>
      <c r="G132">
        <v>-613.69009237861428</v>
      </c>
      <c r="H132">
        <v>-515.49649731503575</v>
      </c>
      <c r="I132">
        <v>94.951017805519996</v>
      </c>
      <c r="J132">
        <v>50.343077191375997</v>
      </c>
      <c r="K132">
        <v>17.083487546064099</v>
      </c>
      <c r="L132">
        <v>1.3579270113154933E-4</v>
      </c>
      <c r="M132">
        <v>1.7038625449186737E-5</v>
      </c>
      <c r="N132" s="1">
        <v>1.01015331966279E-6</v>
      </c>
      <c r="O132" s="1">
        <v>3.0299817601097703E-8</v>
      </c>
      <c r="P132" s="1">
        <v>-1.5418181206812599E-7</v>
      </c>
      <c r="Q132">
        <v>73.418152448116302</v>
      </c>
      <c r="R132">
        <v>0.13648688441208601</v>
      </c>
      <c r="S132">
        <v>12.083515585345801</v>
      </c>
      <c r="T132">
        <v>0.265552305423705</v>
      </c>
      <c r="V132">
        <v>0.61045726542378598</v>
      </c>
      <c r="W132">
        <v>6.3619259543646098E-2</v>
      </c>
      <c r="X132">
        <v>0.1271000552839</v>
      </c>
      <c r="AA132">
        <v>0.52068335197133797</v>
      </c>
      <c r="AB132">
        <v>3.4072115652753401</v>
      </c>
      <c r="AC132">
        <v>4.7601573665944299</v>
      </c>
      <c r="AD132">
        <v>1.5904814885893601E-2</v>
      </c>
      <c r="AE132">
        <v>4.5911590977236596</v>
      </c>
    </row>
    <row r="133" spans="1:31" x14ac:dyDescent="0.2">
      <c r="A133">
        <v>132</v>
      </c>
      <c r="B133">
        <v>760</v>
      </c>
      <c r="C133">
        <v>160</v>
      </c>
      <c r="D133">
        <v>0.427315007501331</v>
      </c>
      <c r="E133">
        <v>23.14000103211</v>
      </c>
      <c r="F133">
        <v>2.2105004359610301</v>
      </c>
      <c r="G133">
        <v>-376.3999407257192</v>
      </c>
      <c r="H133">
        <v>-316.300919694968</v>
      </c>
      <c r="I133">
        <v>58.170663534579802</v>
      </c>
      <c r="J133">
        <v>30.898573773092501</v>
      </c>
      <c r="K133">
        <v>10.4682182621012</v>
      </c>
      <c r="L133">
        <v>1.3556493376918702E-4</v>
      </c>
      <c r="M133">
        <v>1.7011825675265982E-5</v>
      </c>
      <c r="N133" s="1">
        <v>6.1826202464635302E-7</v>
      </c>
      <c r="O133" s="1">
        <v>1.8513570324325701E-8</v>
      </c>
      <c r="P133" s="1">
        <v>-9.4097104839092495E-8</v>
      </c>
      <c r="Q133">
        <v>73.267518790509399</v>
      </c>
      <c r="R133">
        <v>0.15674186317890901</v>
      </c>
      <c r="S133">
        <v>12.2029989489464</v>
      </c>
      <c r="T133">
        <v>0.25447265267132102</v>
      </c>
      <c r="V133">
        <v>0.58656586861769799</v>
      </c>
      <c r="W133">
        <v>0.103716503584784</v>
      </c>
      <c r="X133">
        <v>0.19671038233023899</v>
      </c>
      <c r="AA133">
        <v>0.53786605587661995</v>
      </c>
      <c r="AB133">
        <v>3.30673944035652</v>
      </c>
      <c r="AC133">
        <v>4.78487198542879</v>
      </c>
      <c r="AD133">
        <v>2.5929125896165701E-2</v>
      </c>
      <c r="AE133">
        <v>4.5758683826031099</v>
      </c>
    </row>
    <row r="134" spans="1:31" x14ac:dyDescent="0.2">
      <c r="A134">
        <v>133</v>
      </c>
      <c r="B134">
        <v>759</v>
      </c>
      <c r="C134">
        <v>160</v>
      </c>
      <c r="D134">
        <v>0.42669234122947503</v>
      </c>
      <c r="E134">
        <v>13.3949610401211</v>
      </c>
      <c r="F134">
        <v>2.2130973367972802</v>
      </c>
      <c r="G134">
        <v>-217.83772784287709</v>
      </c>
      <c r="H134">
        <v>-183.13323675293651</v>
      </c>
      <c r="I134">
        <v>33.623495703086299</v>
      </c>
      <c r="J134">
        <v>17.890960220517599</v>
      </c>
      <c r="K134">
        <v>6.0525855855512702</v>
      </c>
      <c r="L134">
        <v>1.3535028507828017E-4</v>
      </c>
      <c r="M134">
        <v>1.7000327018306453E-5</v>
      </c>
      <c r="N134" s="1">
        <v>3.5718560604292798E-7</v>
      </c>
      <c r="O134" s="1">
        <v>1.06777838370606E-8</v>
      </c>
      <c r="P134" s="1">
        <v>-5.4132737013730402E-8</v>
      </c>
      <c r="Q134">
        <v>73.026263359731104</v>
      </c>
      <c r="R134">
        <v>0.189601048310585</v>
      </c>
      <c r="S134">
        <v>12.463393073529</v>
      </c>
      <c r="T134">
        <v>0.24130066798463801</v>
      </c>
      <c r="V134">
        <v>0.55949797746795404</v>
      </c>
      <c r="W134">
        <v>0.17917185371498701</v>
      </c>
      <c r="X134">
        <v>0.19089201056435801</v>
      </c>
      <c r="AA134">
        <v>0.55039994984417495</v>
      </c>
      <c r="AB134">
        <v>3.1649580818735501</v>
      </c>
      <c r="AC134">
        <v>4.8280572922377996</v>
      </c>
      <c r="AD134">
        <v>4.4792963428670701E-2</v>
      </c>
      <c r="AE134">
        <v>4.5616717213130498</v>
      </c>
    </row>
    <row r="135" spans="1:31" x14ac:dyDescent="0.2">
      <c r="A135">
        <v>134</v>
      </c>
      <c r="B135">
        <v>758</v>
      </c>
      <c r="C135">
        <v>160</v>
      </c>
      <c r="D135">
        <v>0.426068467245311</v>
      </c>
      <c r="E135">
        <v>9.4276193597338995</v>
      </c>
      <c r="F135">
        <v>2.21536681572768</v>
      </c>
      <c r="G135">
        <v>-153.27948661408712</v>
      </c>
      <c r="H135">
        <v>-128.90538059770086</v>
      </c>
      <c r="I135">
        <v>23.637788892388301</v>
      </c>
      <c r="J135">
        <v>12.5975179038261</v>
      </c>
      <c r="K135">
        <v>4.2555568192155997</v>
      </c>
      <c r="L135">
        <v>1.3530913700848988E-4</v>
      </c>
      <c r="M135">
        <v>1.700574795354251E-5</v>
      </c>
      <c r="N135" s="1">
        <v>2.5147845135977599E-7</v>
      </c>
      <c r="O135" s="1">
        <v>7.5036663055632198E-9</v>
      </c>
      <c r="P135" s="1">
        <v>-3.7959636768502597E-8</v>
      </c>
      <c r="Q135">
        <v>72.7847736209565</v>
      </c>
      <c r="R135">
        <v>0.18941571891277201</v>
      </c>
      <c r="S135">
        <v>12.718455408899899</v>
      </c>
      <c r="T135">
        <v>0.23770603214667699</v>
      </c>
      <c r="V135">
        <v>0.55461127795415599</v>
      </c>
      <c r="W135">
        <v>0.25243398908889703</v>
      </c>
      <c r="X135">
        <v>0.19046568442870801</v>
      </c>
      <c r="AA135">
        <v>0.556600912614998</v>
      </c>
      <c r="AB135">
        <v>3.0462888444735898</v>
      </c>
      <c r="AC135">
        <v>4.8475667148975496</v>
      </c>
      <c r="AD135">
        <v>6.3642790094058099E-2</v>
      </c>
      <c r="AE135">
        <v>4.5580390055320397</v>
      </c>
    </row>
    <row r="136" spans="1:31" x14ac:dyDescent="0.2">
      <c r="A136">
        <v>135</v>
      </c>
      <c r="B136">
        <v>783</v>
      </c>
      <c r="C136">
        <v>140</v>
      </c>
      <c r="D136">
        <v>0.462141267812338</v>
      </c>
      <c r="E136">
        <v>103.353459962339</v>
      </c>
      <c r="F136">
        <v>2.1958990918237902</v>
      </c>
      <c r="G136">
        <v>-1692.49291150615</v>
      </c>
      <c r="H136">
        <v>-1415.5261997837226</v>
      </c>
      <c r="I136">
        <v>262.241832810137</v>
      </c>
      <c r="J136">
        <v>138.11579474709799</v>
      </c>
      <c r="K136">
        <v>47.0665798565907</v>
      </c>
      <c r="L136">
        <v>1.334017888112903E-4</v>
      </c>
      <c r="M136">
        <v>1.711678340582252E-5</v>
      </c>
      <c r="N136" s="1">
        <v>2.59667141187845E-6</v>
      </c>
      <c r="O136" s="1">
        <v>8.21212045535909E-8</v>
      </c>
      <c r="P136" s="1">
        <v>-4.1164325405388897E-7</v>
      </c>
      <c r="Q136">
        <v>73.882383838772</v>
      </c>
      <c r="R136">
        <v>6.6761190215734095E-2</v>
      </c>
      <c r="S136">
        <v>12.239551539551799</v>
      </c>
      <c r="T136">
        <v>0.15521855021237199</v>
      </c>
      <c r="V136">
        <v>0.36346044966158497</v>
      </c>
      <c r="W136">
        <v>2.32212835532985E-2</v>
      </c>
      <c r="X136">
        <v>4.83776740693731E-2</v>
      </c>
      <c r="AA136">
        <v>0.52247887994922204</v>
      </c>
      <c r="AB136">
        <v>3.84118732110815</v>
      </c>
      <c r="AC136">
        <v>4.4604215491960799</v>
      </c>
      <c r="AD136">
        <v>5.8053208883245304E-3</v>
      </c>
      <c r="AE136">
        <v>4.3911324028219099</v>
      </c>
    </row>
    <row r="137" spans="1:31" x14ac:dyDescent="0.2">
      <c r="A137">
        <v>136</v>
      </c>
      <c r="B137">
        <v>782</v>
      </c>
      <c r="C137">
        <v>140</v>
      </c>
      <c r="D137">
        <v>0.46156518030611998</v>
      </c>
      <c r="E137">
        <v>103.353666017704</v>
      </c>
      <c r="F137">
        <v>2.1961856718483301</v>
      </c>
      <c r="G137">
        <v>-1692.2351674839449</v>
      </c>
      <c r="H137">
        <v>-1415.6669731033487</v>
      </c>
      <c r="I137">
        <v>262.112680074487</v>
      </c>
      <c r="J137">
        <v>138.10397442312799</v>
      </c>
      <c r="K137">
        <v>47.060531968009997</v>
      </c>
      <c r="L137">
        <v>1.3336788533901967E-4</v>
      </c>
      <c r="M137">
        <v>1.7110636479278445E-5</v>
      </c>
      <c r="N137" s="1">
        <v>2.5997845715609498E-6</v>
      </c>
      <c r="O137" s="1">
        <v>8.2066618721351899E-8</v>
      </c>
      <c r="P137" s="1">
        <v>-4.1158250760506298E-7</v>
      </c>
      <c r="Q137">
        <v>73.882236540076704</v>
      </c>
      <c r="R137">
        <v>6.6761057114491498E-2</v>
      </c>
      <c r="S137">
        <v>12.239527137657699</v>
      </c>
      <c r="T137">
        <v>0.15544527891030499</v>
      </c>
      <c r="V137">
        <v>0.36325543360071899</v>
      </c>
      <c r="W137">
        <v>2.3221237257213999E-2</v>
      </c>
      <c r="X137">
        <v>4.8377577619197698E-2</v>
      </c>
      <c r="AA137">
        <v>0.52247783828732297</v>
      </c>
      <c r="AB137">
        <v>3.8411796629641799</v>
      </c>
      <c r="AC137">
        <v>4.4604126564898499</v>
      </c>
      <c r="AD137">
        <v>5.8053093143033497E-3</v>
      </c>
      <c r="AE137">
        <v>4.3913002707078999</v>
      </c>
    </row>
    <row r="138" spans="1:31" x14ac:dyDescent="0.2">
      <c r="A138">
        <v>137</v>
      </c>
      <c r="B138">
        <v>781</v>
      </c>
      <c r="C138">
        <v>140</v>
      </c>
      <c r="D138">
        <v>0.460987999810274</v>
      </c>
      <c r="E138">
        <v>102.961203633411</v>
      </c>
      <c r="F138">
        <v>2.1964753896669502</v>
      </c>
      <c r="G138">
        <v>-1685.4476006806008</v>
      </c>
      <c r="H138">
        <v>-1410.403155167586</v>
      </c>
      <c r="I138">
        <v>260.91585212067997</v>
      </c>
      <c r="J138">
        <v>137.53209770805</v>
      </c>
      <c r="K138">
        <v>46.875646373175499</v>
      </c>
      <c r="L138">
        <v>1.331727543012285E-4</v>
      </c>
      <c r="M138">
        <v>1.7095941773867534E-5</v>
      </c>
      <c r="N138" s="1">
        <v>2.5898168211403598E-6</v>
      </c>
      <c r="O138" s="1">
        <v>8.1609041069598397E-8</v>
      </c>
      <c r="P138" s="1">
        <v>-4.0925970268399999E-7</v>
      </c>
      <c r="Q138">
        <v>73.928293977497503</v>
      </c>
      <c r="R138">
        <v>6.7015533584545095E-2</v>
      </c>
      <c r="S138">
        <v>12.2102660082955</v>
      </c>
      <c r="T138">
        <v>0.156214845354158</v>
      </c>
      <c r="V138">
        <v>0.36448076292779502</v>
      </c>
      <c r="W138">
        <v>2.3309750812015001E-2</v>
      </c>
      <c r="X138">
        <v>4.8561980858367701E-2</v>
      </c>
      <c r="AA138">
        <v>0.51680406804948698</v>
      </c>
      <c r="AB138">
        <v>3.8227584185061199</v>
      </c>
      <c r="AC138">
        <v>4.47040508891802</v>
      </c>
      <c r="AD138">
        <v>5.8274377030034397E-3</v>
      </c>
      <c r="AE138">
        <v>4.3860621274933598</v>
      </c>
    </row>
    <row r="139" spans="1:31" x14ac:dyDescent="0.2">
      <c r="A139">
        <v>138</v>
      </c>
      <c r="B139">
        <v>780</v>
      </c>
      <c r="C139">
        <v>140</v>
      </c>
      <c r="D139">
        <v>0.46040972321132001</v>
      </c>
      <c r="E139">
        <v>102.522423041664</v>
      </c>
      <c r="F139">
        <v>2.1967669099641398</v>
      </c>
      <c r="G139">
        <v>-1677.893839434282</v>
      </c>
      <c r="H139">
        <v>-1404.5019657273822</v>
      </c>
      <c r="I139">
        <v>259.59442976489498</v>
      </c>
      <c r="J139">
        <v>136.894570385663</v>
      </c>
      <c r="K139">
        <v>46.669686518237697</v>
      </c>
      <c r="L139">
        <v>1.3295790819951563E-4</v>
      </c>
      <c r="M139">
        <v>1.7080256928372633E-5</v>
      </c>
      <c r="N139" s="1">
        <v>2.5782945273247602E-6</v>
      </c>
      <c r="O139" s="1">
        <v>8.1105079960013106E-8</v>
      </c>
      <c r="P139" s="1">
        <v>-4.06672083737399E-7</v>
      </c>
      <c r="Q139">
        <v>73.979881057089401</v>
      </c>
      <c r="R139">
        <v>6.7302350015625206E-2</v>
      </c>
      <c r="S139">
        <v>12.177559838351501</v>
      </c>
      <c r="T139">
        <v>0.157055103988928</v>
      </c>
      <c r="V139">
        <v>0.36588620408850098</v>
      </c>
      <c r="W139">
        <v>2.3409513048912201E-2</v>
      </c>
      <c r="X139">
        <v>4.8769818851904498E-2</v>
      </c>
      <c r="AA139">
        <v>0.51071045700426998</v>
      </c>
      <c r="AB139">
        <v>3.8020156075928702</v>
      </c>
      <c r="AC139">
        <v>4.4813845877768497</v>
      </c>
      <c r="AD139">
        <v>5.8523782622276503E-3</v>
      </c>
      <c r="AE139">
        <v>4.3801730839289901</v>
      </c>
    </row>
    <row r="140" spans="1:31" x14ac:dyDescent="0.2">
      <c r="A140">
        <v>139</v>
      </c>
      <c r="B140">
        <v>779</v>
      </c>
      <c r="C140">
        <v>140</v>
      </c>
      <c r="D140">
        <v>0.45983034738392797</v>
      </c>
      <c r="E140">
        <v>102.08255518782001</v>
      </c>
      <c r="F140">
        <v>2.19705980428729</v>
      </c>
      <c r="G140">
        <v>-1670.3263268357446</v>
      </c>
      <c r="H140">
        <v>-1398.5859761435727</v>
      </c>
      <c r="I140">
        <v>258.27149236532</v>
      </c>
      <c r="J140">
        <v>136.255924260054</v>
      </c>
      <c r="K140">
        <v>46.463257389998297</v>
      </c>
      <c r="L140">
        <v>1.327418810548194E-4</v>
      </c>
      <c r="M140">
        <v>1.7064571028463099E-5</v>
      </c>
      <c r="N140" s="1">
        <v>2.5667249039645301E-6</v>
      </c>
      <c r="O140" s="1">
        <v>8.0601251176439404E-8</v>
      </c>
      <c r="P140" s="1">
        <v>-4.0408046904649301E-7</v>
      </c>
      <c r="Q140">
        <v>74.031696316173907</v>
      </c>
      <c r="R140">
        <v>6.75923519675318E-2</v>
      </c>
      <c r="S140">
        <v>12.1447669319373</v>
      </c>
      <c r="T140">
        <v>0.15790408022124</v>
      </c>
      <c r="V140">
        <v>0.36730780788255801</v>
      </c>
      <c r="W140">
        <v>2.35103832930534E-2</v>
      </c>
      <c r="X140">
        <v>4.89799651938665E-2</v>
      </c>
      <c r="AA140">
        <v>0.504857741904707</v>
      </c>
      <c r="AB140">
        <v>3.7810716867201601</v>
      </c>
      <c r="AC140">
        <v>4.4921786672723902</v>
      </c>
      <c r="AD140">
        <v>5.8775958232628401E-3</v>
      </c>
      <c r="AE140">
        <v>4.3742564716099599</v>
      </c>
    </row>
    <row r="141" spans="1:31" x14ac:dyDescent="0.2">
      <c r="A141">
        <v>140</v>
      </c>
      <c r="B141">
        <v>778</v>
      </c>
      <c r="C141">
        <v>140</v>
      </c>
      <c r="D141">
        <v>0.45924986919088701</v>
      </c>
      <c r="E141">
        <v>101.64176091204899</v>
      </c>
      <c r="F141">
        <v>2.19735389582006</v>
      </c>
      <c r="G141">
        <v>-1662.7477944596753</v>
      </c>
      <c r="H141">
        <v>-1392.6574171073762</v>
      </c>
      <c r="I141">
        <v>256.947512107975</v>
      </c>
      <c r="J141">
        <v>135.61638867813301</v>
      </c>
      <c r="K141">
        <v>46.256436482716303</v>
      </c>
      <c r="L141">
        <v>1.325247613893957E-4</v>
      </c>
      <c r="M141">
        <v>1.704889271102033E-5</v>
      </c>
      <c r="N141" s="1">
        <v>2.55511484073051E-6</v>
      </c>
      <c r="O141" s="1">
        <v>8.0097765701503503E-8</v>
      </c>
      <c r="P141" s="1">
        <v>-4.0148601481355299E-7</v>
      </c>
      <c r="Q141">
        <v>74.083737145669303</v>
      </c>
      <c r="R141">
        <v>6.7885482680398193E-2</v>
      </c>
      <c r="S141">
        <v>12.1118893188781</v>
      </c>
      <c r="T141">
        <v>0.158761677020126</v>
      </c>
      <c r="V141">
        <v>0.36874523386401098</v>
      </c>
      <c r="W141">
        <v>2.36123418018763E-2</v>
      </c>
      <c r="X141">
        <v>4.9192378753915002E-2</v>
      </c>
      <c r="AA141">
        <v>0.49924169014954001</v>
      </c>
      <c r="AB141">
        <v>3.7599422846838499</v>
      </c>
      <c r="AC141">
        <v>4.5027726703086302</v>
      </c>
      <c r="AD141">
        <v>5.9030854504684904E-3</v>
      </c>
      <c r="AE141">
        <v>4.3683166907397002</v>
      </c>
    </row>
    <row r="142" spans="1:31" x14ac:dyDescent="0.2">
      <c r="A142">
        <v>141</v>
      </c>
      <c r="B142">
        <v>777</v>
      </c>
      <c r="C142">
        <v>140</v>
      </c>
      <c r="D142">
        <v>0.45866828548302802</v>
      </c>
      <c r="E142">
        <v>101.200196898817</v>
      </c>
      <c r="F142">
        <v>2.1976490061802099</v>
      </c>
      <c r="G142">
        <v>-1655.160902335638</v>
      </c>
      <c r="H142">
        <v>-1386.7184625913583</v>
      </c>
      <c r="I142">
        <v>255.622948858999</v>
      </c>
      <c r="J142">
        <v>134.97618691206</v>
      </c>
      <c r="K142">
        <v>46.049299325880703</v>
      </c>
      <c r="L142">
        <v>1.3230663815167053E-4</v>
      </c>
      <c r="M142">
        <v>1.7033230660608446E-5</v>
      </c>
      <c r="N142" s="1">
        <v>2.5434711079358098E-6</v>
      </c>
      <c r="O142" s="1">
        <v>7.9594829307384201E-8</v>
      </c>
      <c r="P142" s="1">
        <v>-3.9888985104506102E-7</v>
      </c>
      <c r="Q142">
        <v>74.136001086153001</v>
      </c>
      <c r="R142">
        <v>6.8181685524771996E-2</v>
      </c>
      <c r="S142">
        <v>12.0789289345271</v>
      </c>
      <c r="T142">
        <v>0.15962779737456501</v>
      </c>
      <c r="V142">
        <v>0.37019814255172601</v>
      </c>
      <c r="W142">
        <v>2.3715368878180001E-2</v>
      </c>
      <c r="X142">
        <v>4.9407018496215302E-2</v>
      </c>
      <c r="AA142">
        <v>0.49385797125449099</v>
      </c>
      <c r="AB142">
        <v>3.7386431611363902</v>
      </c>
      <c r="AC142">
        <v>4.5131518177813401</v>
      </c>
      <c r="AD142">
        <v>5.9288422195442701E-3</v>
      </c>
      <c r="AE142">
        <v>4.3623581741025301</v>
      </c>
    </row>
    <row r="143" spans="1:31" x14ac:dyDescent="0.2">
      <c r="A143">
        <v>142</v>
      </c>
      <c r="B143">
        <v>776</v>
      </c>
      <c r="C143">
        <v>140</v>
      </c>
      <c r="D143">
        <v>0.45808559309917701</v>
      </c>
      <c r="E143">
        <v>100.758014984594</v>
      </c>
      <c r="F143">
        <v>2.1979449558337798</v>
      </c>
      <c r="G143">
        <v>-1647.5682275583006</v>
      </c>
      <c r="H143">
        <v>-1380.7712203553262</v>
      </c>
      <c r="I143">
        <v>254.298248299074</v>
      </c>
      <c r="J143">
        <v>134.335535205458</v>
      </c>
      <c r="K143">
        <v>45.841919160514898</v>
      </c>
      <c r="L143">
        <v>1.3208760042690383E-4</v>
      </c>
      <c r="M143">
        <v>1.701759359245473E-5</v>
      </c>
      <c r="N143" s="1">
        <v>2.5318003319895802E-6</v>
      </c>
      <c r="O143" s="1">
        <v>7.9092641846692401E-8</v>
      </c>
      <c r="P143" s="1">
        <v>-3.9629307740694899E-7</v>
      </c>
      <c r="Q143">
        <v>74.188485872185097</v>
      </c>
      <c r="R143">
        <v>6.84809044824395E-2</v>
      </c>
      <c r="S143">
        <v>12.045887595242201</v>
      </c>
      <c r="T143">
        <v>0.160502345294737</v>
      </c>
      <c r="V143">
        <v>0.37166619815215601</v>
      </c>
      <c r="W143">
        <v>2.3819445037368402E-2</v>
      </c>
      <c r="X143">
        <v>4.9623843827859102E-2</v>
      </c>
      <c r="AA143">
        <v>0.48870218146524202</v>
      </c>
      <c r="AB143">
        <v>3.71719015581859</v>
      </c>
      <c r="AC143">
        <v>4.5233012207899996</v>
      </c>
      <c r="AD143">
        <v>5.95486125934124E-3</v>
      </c>
      <c r="AE143">
        <v>4.3563853764447797</v>
      </c>
    </row>
    <row r="144" spans="1:31" x14ac:dyDescent="0.2">
      <c r="A144">
        <v>143</v>
      </c>
      <c r="B144">
        <v>775</v>
      </c>
      <c r="C144">
        <v>140</v>
      </c>
      <c r="D144">
        <v>0.45750178886609999</v>
      </c>
      <c r="E144">
        <v>100.31536155819801</v>
      </c>
      <c r="F144">
        <v>2.19824156447351</v>
      </c>
      <c r="G144">
        <v>-1639.9722544491522</v>
      </c>
      <c r="H144">
        <v>-1374.8177237197528</v>
      </c>
      <c r="I144">
        <v>252.97384031808301</v>
      </c>
      <c r="J144">
        <v>133.694641950396</v>
      </c>
      <c r="K144">
        <v>45.634366658981598</v>
      </c>
      <c r="L144">
        <v>1.3186773717406095E-4</v>
      </c>
      <c r="M144">
        <v>1.700199023727646E-5</v>
      </c>
      <c r="N144" s="1">
        <v>2.5201089740062201E-6</v>
      </c>
      <c r="O144" s="1">
        <v>7.8591396647464904E-8</v>
      </c>
      <c r="P144" s="1">
        <v>-3.9369675965682999E-7</v>
      </c>
      <c r="Q144">
        <v>74.241189472700498</v>
      </c>
      <c r="R144">
        <v>6.8783084592654004E-2</v>
      </c>
      <c r="S144">
        <v>12.0127669761342</v>
      </c>
      <c r="T144">
        <v>0.161385226743889</v>
      </c>
      <c r="V144">
        <v>0.37314907108371398</v>
      </c>
      <c r="W144">
        <v>2.3924551162660301E-2</v>
      </c>
      <c r="X144">
        <v>4.9842814922217697E-2</v>
      </c>
      <c r="AA144">
        <v>0.48376986720329601</v>
      </c>
      <c r="AB144">
        <v>3.6955991416314302</v>
      </c>
      <c r="AC144">
        <v>4.5332058911403603</v>
      </c>
      <c r="AD144">
        <v>5.9811377906641098E-3</v>
      </c>
      <c r="AE144">
        <v>4.3504027648942403</v>
      </c>
    </row>
    <row r="145" spans="1:31" x14ac:dyDescent="0.2">
      <c r="A145">
        <v>144</v>
      </c>
      <c r="B145">
        <v>774</v>
      </c>
      <c r="C145">
        <v>140</v>
      </c>
      <c r="D145">
        <v>0.45691686959843703</v>
      </c>
      <c r="E145">
        <v>99.872377065243796</v>
      </c>
      <c r="F145">
        <v>2.1985386513710599</v>
      </c>
      <c r="G145">
        <v>-1632.3753664520571</v>
      </c>
      <c r="H145">
        <v>-1368.8599247629791</v>
      </c>
      <c r="I145">
        <v>251.650137696679</v>
      </c>
      <c r="J145">
        <v>133.05370701025299</v>
      </c>
      <c r="K145">
        <v>45.426709693259497</v>
      </c>
      <c r="L145">
        <v>1.3164713698688286E-4</v>
      </c>
      <c r="M145">
        <v>1.6986429327490801E-5</v>
      </c>
      <c r="N145" s="1">
        <v>2.5084033117222102E-6</v>
      </c>
      <c r="O145" s="1">
        <v>7.8091280016126201E-8</v>
      </c>
      <c r="P145" s="1">
        <v>-3.9110192667678801E-7</v>
      </c>
      <c r="Q145">
        <v>74.294110126364899</v>
      </c>
      <c r="R145">
        <v>6.9088172353128904E-2</v>
      </c>
      <c r="S145">
        <v>11.979568591867601</v>
      </c>
      <c r="T145">
        <v>0.16227635047882699</v>
      </c>
      <c r="V145">
        <v>0.37464644024230898</v>
      </c>
      <c r="W145">
        <v>2.4030668644564199E-2</v>
      </c>
      <c r="X145">
        <v>5.00638930095193E-2</v>
      </c>
      <c r="AA145">
        <v>0.47905654702439299</v>
      </c>
      <c r="AB145">
        <v>3.6738859821654701</v>
      </c>
      <c r="AC145">
        <v>4.54285075047805</v>
      </c>
      <c r="AD145">
        <v>6.0076671611399603E-3</v>
      </c>
      <c r="AE145">
        <v>4.3444148102100204</v>
      </c>
    </row>
    <row r="146" spans="1:31" x14ac:dyDescent="0.2">
      <c r="A146">
        <v>145</v>
      </c>
      <c r="B146">
        <v>773</v>
      </c>
      <c r="C146">
        <v>140</v>
      </c>
      <c r="D146">
        <v>0.456330832098647</v>
      </c>
      <c r="E146">
        <v>99.286163458732105</v>
      </c>
      <c r="F146">
        <v>2.19888246119752</v>
      </c>
      <c r="G146">
        <v>-1622.4080133090765</v>
      </c>
      <c r="H146">
        <v>-1360.9092381686696</v>
      </c>
      <c r="I146">
        <v>249.96298345400399</v>
      </c>
      <c r="J146">
        <v>132.22279560243101</v>
      </c>
      <c r="K146">
        <v>45.153010772872399</v>
      </c>
      <c r="L146">
        <v>1.3142534691710042E-4</v>
      </c>
      <c r="M146">
        <v>1.6969454922509317E-5</v>
      </c>
      <c r="N146" s="1">
        <v>2.4927550056667998E-6</v>
      </c>
      <c r="O146" s="1">
        <v>7.7471334849326699E-8</v>
      </c>
      <c r="P146" s="1">
        <v>-3.8795093206600999E-7</v>
      </c>
      <c r="Q146">
        <v>74.340944082478003</v>
      </c>
      <c r="R146">
        <v>6.9496088474284901E-2</v>
      </c>
      <c r="S146">
        <v>11.9490464080996</v>
      </c>
      <c r="T146">
        <v>0.163418871548516</v>
      </c>
      <c r="V146">
        <v>0.37669253768102701</v>
      </c>
      <c r="W146">
        <v>2.4172552512791299E-2</v>
      </c>
      <c r="X146">
        <v>5.0359484401664101E-2</v>
      </c>
      <c r="AA146">
        <v>0.474146455272076</v>
      </c>
      <c r="AB146">
        <v>3.6510523060035198</v>
      </c>
      <c r="AC146">
        <v>4.5567987144803501</v>
      </c>
      <c r="AD146">
        <v>6.0431381281962496E-3</v>
      </c>
      <c r="AE146">
        <v>4.3378293609198604</v>
      </c>
    </row>
    <row r="147" spans="1:31" x14ac:dyDescent="0.2">
      <c r="A147">
        <v>146</v>
      </c>
      <c r="B147">
        <v>772</v>
      </c>
      <c r="C147">
        <v>140</v>
      </c>
      <c r="D147">
        <v>0.45574367315696301</v>
      </c>
      <c r="E147">
        <v>96.789248148916997</v>
      </c>
      <c r="F147">
        <v>2.19984607304391</v>
      </c>
      <c r="G147">
        <v>-1580.7885574951451</v>
      </c>
      <c r="H147">
        <v>-1326.3864118834608</v>
      </c>
      <c r="I147">
        <v>243.41208975906201</v>
      </c>
      <c r="J147">
        <v>128.85252265032</v>
      </c>
      <c r="K147">
        <v>43.9981912075285</v>
      </c>
      <c r="L147">
        <v>1.3118937042039602E-4</v>
      </c>
      <c r="M147">
        <v>1.6933238995894261E-5</v>
      </c>
      <c r="N147" s="1">
        <v>2.4246901100846001E-6</v>
      </c>
      <c r="O147" s="1">
        <v>7.5241760785034605E-8</v>
      </c>
      <c r="P147" s="1">
        <v>-3.7732353822013901E-7</v>
      </c>
      <c r="Q147">
        <v>74.307275992584394</v>
      </c>
      <c r="R147">
        <v>7.1288909997361094E-2</v>
      </c>
      <c r="S147">
        <v>11.953297904664501</v>
      </c>
      <c r="T147">
        <v>0.16792574508250299</v>
      </c>
      <c r="V147">
        <v>0.38614832197254201</v>
      </c>
      <c r="W147">
        <v>2.4796142607774001E-2</v>
      </c>
      <c r="X147">
        <v>5.1658630432879597E-2</v>
      </c>
      <c r="AA147">
        <v>0.46495329450314199</v>
      </c>
      <c r="AB147">
        <v>3.6135598223807399</v>
      </c>
      <c r="AC147">
        <v>4.6296140445460896</v>
      </c>
      <c r="AD147">
        <v>6.1990356519416399E-3</v>
      </c>
      <c r="AE147">
        <v>4.3232821555760097</v>
      </c>
    </row>
    <row r="148" spans="1:31" x14ac:dyDescent="0.2">
      <c r="A148">
        <v>147</v>
      </c>
      <c r="B148">
        <v>771</v>
      </c>
      <c r="C148">
        <v>140</v>
      </c>
      <c r="D148">
        <v>0.45515538955130802</v>
      </c>
      <c r="E148">
        <v>94.005457603884693</v>
      </c>
      <c r="F148">
        <v>2.2008880105780602</v>
      </c>
      <c r="G148">
        <v>-1534.488803406141</v>
      </c>
      <c r="H148">
        <v>-1287.9192764328327</v>
      </c>
      <c r="I148">
        <v>236.143779124942</v>
      </c>
      <c r="J148">
        <v>125.101391441415</v>
      </c>
      <c r="K148">
        <v>42.712512927540601</v>
      </c>
      <c r="L148">
        <v>1.3093875518613955E-4</v>
      </c>
      <c r="M148">
        <v>1.6895438009100507E-5</v>
      </c>
      <c r="N148" s="1">
        <v>2.34922284855596E-6</v>
      </c>
      <c r="O148" s="1">
        <v>7.2790860092355405E-8</v>
      </c>
      <c r="P148" s="1">
        <v>-3.6554416380182298E-7</v>
      </c>
      <c r="Q148">
        <v>74.271176479744895</v>
      </c>
      <c r="R148">
        <v>7.3399993743717806E-2</v>
      </c>
      <c r="S148">
        <v>11.9575587980765</v>
      </c>
      <c r="T148">
        <v>0.173187243339705</v>
      </c>
      <c r="V148">
        <v>0.39732358454309902</v>
      </c>
      <c r="W148">
        <v>2.5530432606506E-2</v>
      </c>
      <c r="X148">
        <v>5.31884012635747E-2</v>
      </c>
      <c r="AA148">
        <v>0.45766567494183202</v>
      </c>
      <c r="AB148">
        <v>3.57207387287598</v>
      </c>
      <c r="AC148">
        <v>4.7046781966165696</v>
      </c>
      <c r="AD148">
        <v>6.3826081516244202E-3</v>
      </c>
      <c r="AE148">
        <v>4.3078347140958702</v>
      </c>
    </row>
    <row r="149" spans="1:31" x14ac:dyDescent="0.2">
      <c r="A149">
        <v>148</v>
      </c>
      <c r="B149">
        <v>770</v>
      </c>
      <c r="C149">
        <v>140</v>
      </c>
      <c r="D149">
        <v>0.45456597804726301</v>
      </c>
      <c r="E149">
        <v>90.608370239837896</v>
      </c>
      <c r="F149">
        <v>2.20206391028016</v>
      </c>
      <c r="G149">
        <v>-1478.1680766204449</v>
      </c>
      <c r="H149">
        <v>-1241.0195439367822</v>
      </c>
      <c r="I149">
        <v>227.33886083848199</v>
      </c>
      <c r="J149">
        <v>120.535672971084</v>
      </c>
      <c r="K149">
        <v>41.147021127243299</v>
      </c>
      <c r="L149">
        <v>1.3067043083993881E-4</v>
      </c>
      <c r="M149">
        <v>1.6855623430597592E-5</v>
      </c>
      <c r="N149" s="1">
        <v>2.2581574527600101E-6</v>
      </c>
      <c r="O149" s="1">
        <v>6.9866248360822997E-8</v>
      </c>
      <c r="P149" s="1">
        <v>-3.51330679002292E-7</v>
      </c>
      <c r="Q149">
        <v>74.230190596230798</v>
      </c>
      <c r="R149">
        <v>7.6151904970109693E-2</v>
      </c>
      <c r="S149">
        <v>11.9618764445868</v>
      </c>
      <c r="T149">
        <v>0.179956508294739</v>
      </c>
      <c r="V149">
        <v>0.41197156652321298</v>
      </c>
      <c r="W149">
        <v>2.64876191200316E-2</v>
      </c>
      <c r="X149">
        <v>5.51825398334286E-2</v>
      </c>
      <c r="AA149">
        <v>0.45361896470464103</v>
      </c>
      <c r="AB149">
        <v>3.52466618071879</v>
      </c>
      <c r="AC149">
        <v>4.7820854187831303</v>
      </c>
      <c r="AD149">
        <v>6.6219047800052102E-3</v>
      </c>
      <c r="AE149">
        <v>4.2911903514541603</v>
      </c>
    </row>
    <row r="150" spans="1:31" x14ac:dyDescent="0.2">
      <c r="A150">
        <v>149</v>
      </c>
      <c r="B150">
        <v>769</v>
      </c>
      <c r="C150">
        <v>140</v>
      </c>
      <c r="D150">
        <v>0.45397543539797802</v>
      </c>
      <c r="E150">
        <v>74.933440945382699</v>
      </c>
      <c r="F150">
        <v>2.2047134509049102</v>
      </c>
      <c r="G150">
        <v>-1221.1113158223991</v>
      </c>
      <c r="H150">
        <v>-1025.3730633596347</v>
      </c>
      <c r="I150">
        <v>187.82157315430999</v>
      </c>
      <c r="J150">
        <v>99.674060648376894</v>
      </c>
      <c r="K150">
        <v>33.987836793314997</v>
      </c>
      <c r="L150">
        <v>1.3062256787895526E-4</v>
      </c>
      <c r="M150">
        <v>1.6831768038285516E-5</v>
      </c>
      <c r="N150" s="1">
        <v>1.8647871458377799E-6</v>
      </c>
      <c r="O150" s="1">
        <v>5.7600343819494298E-8</v>
      </c>
      <c r="P150" s="1">
        <v>-2.89818783155243E-7</v>
      </c>
      <c r="Q150">
        <v>74.094679434524295</v>
      </c>
      <c r="R150">
        <v>9.2081718294913198E-2</v>
      </c>
      <c r="S150">
        <v>11.9645790905938</v>
      </c>
      <c r="T150">
        <v>0.21742202700615099</v>
      </c>
      <c r="V150">
        <v>0.49831044732107299</v>
      </c>
      <c r="W150">
        <v>3.2028423754737002E-2</v>
      </c>
      <c r="X150">
        <v>6.6725882822438701E-2</v>
      </c>
      <c r="AA150">
        <v>0.47411584275956098</v>
      </c>
      <c r="AB150">
        <v>3.46958729879205</v>
      </c>
      <c r="AC150">
        <v>4.80240102594147</v>
      </c>
      <c r="AD150">
        <v>8.0071059386784393E-3</v>
      </c>
      <c r="AE150">
        <v>4.2800617022506202</v>
      </c>
    </row>
    <row r="151" spans="1:31" x14ac:dyDescent="0.2">
      <c r="A151">
        <v>150</v>
      </c>
      <c r="B151">
        <v>768</v>
      </c>
      <c r="C151">
        <v>140</v>
      </c>
      <c r="D151">
        <v>0.45338375834414102</v>
      </c>
      <c r="E151">
        <v>61.8547390137512</v>
      </c>
      <c r="F151">
        <v>2.2076130129243299</v>
      </c>
      <c r="G151">
        <v>-1006.761092081842</v>
      </c>
      <c r="H151">
        <v>-845.47689866111875</v>
      </c>
      <c r="I151">
        <v>154.90966087568799</v>
      </c>
      <c r="J151">
        <v>82.277573175985296</v>
      </c>
      <c r="K151">
        <v>28.018832400255999</v>
      </c>
      <c r="L151">
        <v>1.3068484897360818E-4</v>
      </c>
      <c r="M151">
        <v>1.6816652987149378E-5</v>
      </c>
      <c r="N151" s="1">
        <v>1.5384757122719901E-6</v>
      </c>
      <c r="O151" s="1">
        <v>4.7438401207484403E-8</v>
      </c>
      <c r="P151" s="1">
        <v>-2.3880972153778402E-7</v>
      </c>
      <c r="Q151">
        <v>73.936674425705704</v>
      </c>
      <c r="R151">
        <v>0.111551679144058</v>
      </c>
      <c r="S151">
        <v>11.9642989696965</v>
      </c>
      <c r="T151">
        <v>0.26304299939501802</v>
      </c>
      <c r="V151">
        <v>0.60399033374447297</v>
      </c>
      <c r="W151">
        <v>3.8800584050085303E-2</v>
      </c>
      <c r="X151">
        <v>8.0834550104444805E-2</v>
      </c>
      <c r="AA151">
        <v>0.49211100722728401</v>
      </c>
      <c r="AB151">
        <v>3.4251812583690899</v>
      </c>
      <c r="AC151">
        <v>4.8009484735672796</v>
      </c>
      <c r="AD151">
        <v>9.7001460125128499E-3</v>
      </c>
      <c r="AE151">
        <v>4.2728655729834504</v>
      </c>
    </row>
    <row r="152" spans="1:31" x14ac:dyDescent="0.2">
      <c r="A152">
        <v>151</v>
      </c>
      <c r="B152">
        <v>767</v>
      </c>
      <c r="C152">
        <v>140</v>
      </c>
      <c r="D152">
        <v>0.45279094361390498</v>
      </c>
      <c r="E152">
        <v>38.6351625193061</v>
      </c>
      <c r="F152">
        <v>2.210182354464</v>
      </c>
      <c r="G152">
        <v>-628.51508340987436</v>
      </c>
      <c r="H152">
        <v>-528.00441286083526</v>
      </c>
      <c r="I152">
        <v>96.630938373349196</v>
      </c>
      <c r="J152">
        <v>51.4036343923039</v>
      </c>
      <c r="K152">
        <v>17.4805316137254</v>
      </c>
      <c r="L152">
        <v>1.3044355951943493E-4</v>
      </c>
      <c r="M152">
        <v>1.6782276880418766E-5</v>
      </c>
      <c r="N152" s="1">
        <v>9.5803807184943906E-7</v>
      </c>
      <c r="O152" s="1">
        <v>2.94945725646988E-8</v>
      </c>
      <c r="P152" s="1">
        <v>-1.48384322432692E-7</v>
      </c>
      <c r="Q152">
        <v>73.7963367364123</v>
      </c>
      <c r="R152">
        <v>0.13791046767893</v>
      </c>
      <c r="S152">
        <v>12.032270991750099</v>
      </c>
      <c r="T152">
        <v>0.26914303443238302</v>
      </c>
      <c r="V152">
        <v>0.619145445241984</v>
      </c>
      <c r="W152">
        <v>6.2119578215814597E-2</v>
      </c>
      <c r="X152">
        <v>0.124485812078063</v>
      </c>
      <c r="AA152">
        <v>0.52415054701188801</v>
      </c>
      <c r="AB152">
        <v>3.32659306137236</v>
      </c>
      <c r="AC152">
        <v>4.8372388639813702</v>
      </c>
      <c r="AD152">
        <v>1.5529894553936901E-2</v>
      </c>
      <c r="AE152">
        <v>4.2550755672707803</v>
      </c>
    </row>
    <row r="153" spans="1:31" x14ac:dyDescent="0.2">
      <c r="A153">
        <v>152</v>
      </c>
      <c r="B153">
        <v>766</v>
      </c>
      <c r="C153">
        <v>140</v>
      </c>
      <c r="D153">
        <v>0.45219698792282498</v>
      </c>
      <c r="E153">
        <v>24.225562961774202</v>
      </c>
      <c r="F153">
        <v>2.21236446420358</v>
      </c>
      <c r="G153">
        <v>-394.05964398014828</v>
      </c>
      <c r="H153">
        <v>-331.17483599221168</v>
      </c>
      <c r="I153">
        <v>60.515621409745101</v>
      </c>
      <c r="J153">
        <v>32.249082928555303</v>
      </c>
      <c r="K153">
        <v>10.9500777804687</v>
      </c>
      <c r="L153">
        <v>1.3020919390392232E-4</v>
      </c>
      <c r="M153">
        <v>1.6754222461216765E-5</v>
      </c>
      <c r="N153" s="1">
        <v>5.9928559843725395E-7</v>
      </c>
      <c r="O153" s="1">
        <v>1.8419587057742199E-8</v>
      </c>
      <c r="P153" s="1">
        <v>-9.2559711628549203E-8</v>
      </c>
      <c r="Q153">
        <v>73.652821026113401</v>
      </c>
      <c r="R153">
        <v>0.159444958653394</v>
      </c>
      <c r="S153">
        <v>12.1447625203757</v>
      </c>
      <c r="T153">
        <v>0.25787429540331902</v>
      </c>
      <c r="V153">
        <v>0.59464358420824304</v>
      </c>
      <c r="W153">
        <v>9.9068905180266398E-2</v>
      </c>
      <c r="X153">
        <v>0.188933753604796</v>
      </c>
      <c r="AA153">
        <v>0.54519645600070799</v>
      </c>
      <c r="AB153">
        <v>3.22480169153491</v>
      </c>
      <c r="AC153">
        <v>4.8676112889394396</v>
      </c>
      <c r="AD153">
        <v>2.47672262950306E-2</v>
      </c>
      <c r="AE153">
        <v>4.2400742936906797</v>
      </c>
    </row>
    <row r="154" spans="1:31" x14ac:dyDescent="0.2">
      <c r="A154">
        <v>153</v>
      </c>
      <c r="B154">
        <v>765</v>
      </c>
      <c r="C154">
        <v>140</v>
      </c>
      <c r="D154">
        <v>0.45160188797380102</v>
      </c>
      <c r="E154">
        <v>14.7514855401643</v>
      </c>
      <c r="F154">
        <v>2.2147706264773102</v>
      </c>
      <c r="G154">
        <v>-239.9055693068766</v>
      </c>
      <c r="H154">
        <v>-201.70295772664426</v>
      </c>
      <c r="I154">
        <v>36.798739662122301</v>
      </c>
      <c r="J154">
        <v>19.643527890240001</v>
      </c>
      <c r="K154">
        <v>6.6605026108853496</v>
      </c>
      <c r="L154">
        <v>1.3000557334750742E-4</v>
      </c>
      <c r="M154">
        <v>1.6739506860860002E-5</v>
      </c>
      <c r="N154" s="1">
        <v>3.64200602071769E-7</v>
      </c>
      <c r="O154" s="1">
        <v>1.1175511840945401E-8</v>
      </c>
      <c r="P154" s="1">
        <v>-5.60327333072597E-8</v>
      </c>
      <c r="Q154">
        <v>73.440514766191001</v>
      </c>
      <c r="R154">
        <v>0.189815711358609</v>
      </c>
      <c r="S154">
        <v>12.361677854179799</v>
      </c>
      <c r="T154">
        <v>0.24555747258244701</v>
      </c>
      <c r="V154">
        <v>0.56899035853086399</v>
      </c>
      <c r="W154">
        <v>0.16269547859865999</v>
      </c>
      <c r="X154">
        <v>0.19917760330828099</v>
      </c>
      <c r="AA154">
        <v>0.55948780501787099</v>
      </c>
      <c r="AB154">
        <v>3.0967172062451498</v>
      </c>
      <c r="AC154">
        <v>4.9077603155872103</v>
      </c>
      <c r="AD154">
        <v>4.0673869649590799E-2</v>
      </c>
      <c r="AE154">
        <v>4.2269315587504304</v>
      </c>
    </row>
    <row r="155" spans="1:31" x14ac:dyDescent="0.2">
      <c r="A155">
        <v>154</v>
      </c>
      <c r="B155">
        <v>764</v>
      </c>
      <c r="C155">
        <v>140</v>
      </c>
      <c r="D155">
        <v>0.45100564045702202</v>
      </c>
      <c r="E155">
        <v>10.5192525974514</v>
      </c>
      <c r="F155">
        <v>2.21697563677797</v>
      </c>
      <c r="G155">
        <v>-171.04088272449306</v>
      </c>
      <c r="H155">
        <v>-143.85717111711989</v>
      </c>
      <c r="I155">
        <v>26.210009745333998</v>
      </c>
      <c r="J155">
        <v>14.0127761619372</v>
      </c>
      <c r="K155">
        <v>4.7448661243474604</v>
      </c>
      <c r="L155">
        <v>1.2990353577667696E-4</v>
      </c>
      <c r="M155">
        <v>1.6735881038063568E-5</v>
      </c>
      <c r="N155" s="1">
        <v>2.5954740964758701E-7</v>
      </c>
      <c r="O155" s="1">
        <v>7.9501732611386701E-9</v>
      </c>
      <c r="P155" s="1">
        <v>-3.9776982513076801E-8</v>
      </c>
      <c r="Q155">
        <v>73.224136620769499</v>
      </c>
      <c r="R155">
        <v>0.209916963506912</v>
      </c>
      <c r="S155">
        <v>12.585007822008301</v>
      </c>
      <c r="T155">
        <v>0.237000304748513</v>
      </c>
      <c r="V155">
        <v>0.55194796188731499</v>
      </c>
      <c r="W155">
        <v>0.22815309146388399</v>
      </c>
      <c r="X155">
        <v>0.20262598064281601</v>
      </c>
      <c r="AA155">
        <v>0.56635599898552802</v>
      </c>
      <c r="AB155">
        <v>2.9840129804539601</v>
      </c>
      <c r="AC155">
        <v>4.9343184907356603</v>
      </c>
      <c r="AD155">
        <v>5.7038272865852002E-2</v>
      </c>
      <c r="AE155">
        <v>4.2194855119316497</v>
      </c>
    </row>
    <row r="156" spans="1:31" x14ac:dyDescent="0.2">
      <c r="A156">
        <v>155</v>
      </c>
      <c r="B156">
        <v>794</v>
      </c>
      <c r="C156">
        <v>120</v>
      </c>
      <c r="D156">
        <v>0.489022630370612</v>
      </c>
      <c r="E156">
        <v>102.971125264675</v>
      </c>
      <c r="F156">
        <v>2.19821230252247</v>
      </c>
      <c r="G156">
        <v>-1687.7846331765056</v>
      </c>
      <c r="H156">
        <v>-1410.0612019737277</v>
      </c>
      <c r="I156">
        <v>260.247791971867</v>
      </c>
      <c r="J156">
        <v>137.31254947271901</v>
      </c>
      <c r="K156">
        <v>46.843121179203102</v>
      </c>
      <c r="L156">
        <v>1.2771361325926469E-4</v>
      </c>
      <c r="M156">
        <v>1.6810437953031676E-5</v>
      </c>
      <c r="N156" s="1">
        <v>2.3622411606957099E-6</v>
      </c>
      <c r="O156" s="1">
        <v>7.7391924109559805E-8</v>
      </c>
      <c r="P156" s="1">
        <v>-3.8143869695900301E-7</v>
      </c>
      <c r="Q156">
        <v>74.156711217579101</v>
      </c>
      <c r="R156">
        <v>6.7009076401412002E-2</v>
      </c>
      <c r="S156">
        <v>12.284997340259199</v>
      </c>
      <c r="T156">
        <v>0.15491957323130301</v>
      </c>
      <c r="V156">
        <v>0.36559760021746102</v>
      </c>
      <c r="W156">
        <v>2.33075048352736E-2</v>
      </c>
      <c r="X156">
        <v>4.8557301740153998E-2</v>
      </c>
      <c r="AA156">
        <v>0.52441885879365802</v>
      </c>
      <c r="AB156">
        <v>3.8554497581681799</v>
      </c>
      <c r="AC156">
        <v>4.4769832204421203</v>
      </c>
      <c r="AD156">
        <v>5.8268762088183297E-3</v>
      </c>
      <c r="AE156">
        <v>4.03622167212324</v>
      </c>
    </row>
    <row r="157" spans="1:31" x14ac:dyDescent="0.2">
      <c r="A157">
        <v>156</v>
      </c>
      <c r="B157">
        <v>793</v>
      </c>
      <c r="C157">
        <v>120</v>
      </c>
      <c r="D157">
        <v>0.488477700136005</v>
      </c>
      <c r="E157">
        <v>102.931235198191</v>
      </c>
      <c r="F157">
        <v>2.1984747068077501</v>
      </c>
      <c r="G157">
        <v>-1686.8633229508023</v>
      </c>
      <c r="H157">
        <v>-1409.6489727838282</v>
      </c>
      <c r="I157">
        <v>260.014397755451</v>
      </c>
      <c r="J157">
        <v>137.24453631922799</v>
      </c>
      <c r="K157">
        <v>46.819385676558703</v>
      </c>
      <c r="L157">
        <v>1.2767326359788145E-4</v>
      </c>
      <c r="M157">
        <v>1.6804488400533643E-5</v>
      </c>
      <c r="N157" s="1">
        <v>2.36405268648623E-6</v>
      </c>
      <c r="O157" s="1">
        <v>7.7308494993457903E-8</v>
      </c>
      <c r="P157" s="1">
        <v>-3.8120264304649301E-7</v>
      </c>
      <c r="Q157">
        <v>74.161085672981002</v>
      </c>
      <c r="R157">
        <v>6.7035045161113901E-2</v>
      </c>
      <c r="S157">
        <v>12.2818961827289</v>
      </c>
      <c r="T157">
        <v>0.155193639228381</v>
      </c>
      <c r="V157">
        <v>0.36554669921022498</v>
      </c>
      <c r="W157">
        <v>2.3316537447343601E-2</v>
      </c>
      <c r="X157">
        <v>4.8576119681967601E-2</v>
      </c>
      <c r="AA157">
        <v>0.52382085977049397</v>
      </c>
      <c r="AB157">
        <v>3.8535180180148001</v>
      </c>
      <c r="AC157">
        <v>4.4780073570166703</v>
      </c>
      <c r="AD157">
        <v>5.8291343618357104E-3</v>
      </c>
      <c r="AE157">
        <v>4.03617473439727</v>
      </c>
    </row>
    <row r="158" spans="1:31" x14ac:dyDescent="0.2">
      <c r="A158">
        <v>157</v>
      </c>
      <c r="B158">
        <v>792</v>
      </c>
      <c r="C158">
        <v>120</v>
      </c>
      <c r="D158">
        <v>0.48793174670234402</v>
      </c>
      <c r="E158">
        <v>102.511910460446</v>
      </c>
      <c r="F158">
        <v>2.19872271842747</v>
      </c>
      <c r="G158">
        <v>-1679.6299129087399</v>
      </c>
      <c r="H158">
        <v>-1404.0150443951711</v>
      </c>
      <c r="I158">
        <v>258.75685914056101</v>
      </c>
      <c r="J158">
        <v>136.63724397222401</v>
      </c>
      <c r="K158">
        <v>46.623391663393797</v>
      </c>
      <c r="L158">
        <v>1.2748676677756828E-4</v>
      </c>
      <c r="M158">
        <v>1.6791019699408926E-5</v>
      </c>
      <c r="N158" s="1">
        <v>2.3544625899412601E-6</v>
      </c>
      <c r="O158" s="1">
        <v>7.6861503538697894E-8</v>
      </c>
      <c r="P158" s="1">
        <v>-3.78948087035394E-7</v>
      </c>
      <c r="Q158">
        <v>74.209952866626196</v>
      </c>
      <c r="R158">
        <v>6.7309251861640093E-2</v>
      </c>
      <c r="S158">
        <v>12.250215393705</v>
      </c>
      <c r="T158">
        <v>0.15599248235456101</v>
      </c>
      <c r="V158">
        <v>0.36689437664811497</v>
      </c>
      <c r="W158">
        <v>2.34119136910045E-2</v>
      </c>
      <c r="X158">
        <v>4.8774820189596203E-2</v>
      </c>
      <c r="AA158">
        <v>0.51776025280788096</v>
      </c>
      <c r="AB158">
        <v>3.83352715717109</v>
      </c>
      <c r="AC158">
        <v>4.4887607776795804</v>
      </c>
      <c r="AD158">
        <v>5.8529784227507597E-3</v>
      </c>
      <c r="AE158">
        <v>4.0315477288424999</v>
      </c>
    </row>
    <row r="159" spans="1:31" x14ac:dyDescent="0.2">
      <c r="A159">
        <v>158</v>
      </c>
      <c r="B159">
        <v>791</v>
      </c>
      <c r="C159">
        <v>120</v>
      </c>
      <c r="D159">
        <v>0.48738476718508</v>
      </c>
      <c r="E159">
        <v>102.09176623306099</v>
      </c>
      <c r="F159">
        <v>2.1989720721866299</v>
      </c>
      <c r="G159">
        <v>-1672.3867891663472</v>
      </c>
      <c r="H159">
        <v>-1398.3698932361829</v>
      </c>
      <c r="I159">
        <v>257.49837516343001</v>
      </c>
      <c r="J159">
        <v>136.029165124743</v>
      </c>
      <c r="K159">
        <v>46.427040854385098</v>
      </c>
      <c r="L159">
        <v>1.2729924201036326E-4</v>
      </c>
      <c r="M159">
        <v>1.6777548609434196E-5</v>
      </c>
      <c r="N159" s="1">
        <v>2.3448339750574899E-6</v>
      </c>
      <c r="O159" s="1">
        <v>7.6414679775084605E-8</v>
      </c>
      <c r="P159" s="1">
        <v>-3.76690322732666E-7</v>
      </c>
      <c r="Q159">
        <v>74.259001318854502</v>
      </c>
      <c r="R159">
        <v>6.7586253569640195E-2</v>
      </c>
      <c r="S159">
        <v>12.218469058169299</v>
      </c>
      <c r="T159">
        <v>0.15679903551375801</v>
      </c>
      <c r="V159">
        <v>0.36825618033789198</v>
      </c>
      <c r="W159">
        <v>2.3508262111178201E-2</v>
      </c>
      <c r="X159">
        <v>4.8975546064958901E-2</v>
      </c>
      <c r="AA159">
        <v>0.51192414123627406</v>
      </c>
      <c r="AB159">
        <v>3.8133485552834498</v>
      </c>
      <c r="AC159">
        <v>4.4993563582955902</v>
      </c>
      <c r="AD159">
        <v>5.8770655277941104E-3</v>
      </c>
      <c r="AE159">
        <v>4.0268982250355903</v>
      </c>
    </row>
    <row r="160" spans="1:31" x14ac:dyDescent="0.2">
      <c r="A160">
        <v>159</v>
      </c>
      <c r="B160">
        <v>790</v>
      </c>
      <c r="C160">
        <v>120</v>
      </c>
      <c r="D160">
        <v>0.486836758688802</v>
      </c>
      <c r="E160">
        <v>101.670950561403</v>
      </c>
      <c r="F160">
        <v>2.1992226283619898</v>
      </c>
      <c r="G160">
        <v>-1665.1364546657585</v>
      </c>
      <c r="H160">
        <v>-1392.715567184888</v>
      </c>
      <c r="I160">
        <v>256.23937119020798</v>
      </c>
      <c r="J160">
        <v>135.42050872168301</v>
      </c>
      <c r="K160">
        <v>46.230403984670502</v>
      </c>
      <c r="L160">
        <v>1.2711075835802283E-4</v>
      </c>
      <c r="M160">
        <v>1.6764081785881382E-5</v>
      </c>
      <c r="N160" s="1">
        <v>2.33517231598807E-6</v>
      </c>
      <c r="O160" s="1">
        <v>7.5968197729547898E-8</v>
      </c>
      <c r="P160" s="1">
        <v>-3.7443029666401598E-7</v>
      </c>
      <c r="Q160">
        <v>74.308228262383096</v>
      </c>
      <c r="R160">
        <v>6.7865992812104994E-2</v>
      </c>
      <c r="S160">
        <v>12.186659396108301</v>
      </c>
      <c r="T160">
        <v>0.157613200076338</v>
      </c>
      <c r="V160">
        <v>0.369631765897594</v>
      </c>
      <c r="W160">
        <v>2.3605562717252698E-2</v>
      </c>
      <c r="X160">
        <v>4.9178255660948501E-2</v>
      </c>
      <c r="AA160">
        <v>0.50630840439455305</v>
      </c>
      <c r="AB160">
        <v>3.79299585099549</v>
      </c>
      <c r="AC160">
        <v>4.5097824557138901</v>
      </c>
      <c r="AD160">
        <v>5.9013906793126403E-3</v>
      </c>
      <c r="AE160">
        <v>4.0222294625609996</v>
      </c>
    </row>
    <row r="161" spans="1:31" x14ac:dyDescent="0.2">
      <c r="A161">
        <v>160</v>
      </c>
      <c r="B161">
        <v>789</v>
      </c>
      <c r="C161">
        <v>120</v>
      </c>
      <c r="D161">
        <v>0.48628771830721002</v>
      </c>
      <c r="E161">
        <v>101.249608312606</v>
      </c>
      <c r="F161">
        <v>2.1994742464942001</v>
      </c>
      <c r="G161">
        <v>-1657.881356804442</v>
      </c>
      <c r="H161">
        <v>-1387.0540705411738</v>
      </c>
      <c r="I161">
        <v>254.98026292262699</v>
      </c>
      <c r="J161">
        <v>134.81147901263</v>
      </c>
      <c r="K161">
        <v>46.0335502786589</v>
      </c>
      <c r="L161">
        <v>1.2692138507300866E-4</v>
      </c>
      <c r="M161">
        <v>1.6750625889880587E-5</v>
      </c>
      <c r="N161" s="1">
        <v>2.32548299958584E-6</v>
      </c>
      <c r="O161" s="1">
        <v>7.5522227404481297E-8</v>
      </c>
      <c r="P161" s="1">
        <v>-3.7216893594910299E-7</v>
      </c>
      <c r="Q161">
        <v>74.357630991398196</v>
      </c>
      <c r="R161">
        <v>6.8148411781471005E-2</v>
      </c>
      <c r="S161">
        <v>12.154788579096801</v>
      </c>
      <c r="T161">
        <v>0.158434876566551</v>
      </c>
      <c r="V161">
        <v>0.371020787185392</v>
      </c>
      <c r="W161">
        <v>2.37037954022493E-2</v>
      </c>
      <c r="X161">
        <v>4.9382907088026E-2</v>
      </c>
      <c r="AA161">
        <v>0.50090882892492505</v>
      </c>
      <c r="AB161">
        <v>3.7724827600128998</v>
      </c>
      <c r="AC161">
        <v>4.5200274213018297</v>
      </c>
      <c r="AD161">
        <v>5.9259488505616197E-3</v>
      </c>
      <c r="AE161">
        <v>4.0175446923910103</v>
      </c>
    </row>
    <row r="162" spans="1:31" x14ac:dyDescent="0.2">
      <c r="A162">
        <v>161</v>
      </c>
      <c r="B162">
        <v>788</v>
      </c>
      <c r="C162">
        <v>120</v>
      </c>
      <c r="D162">
        <v>0.48573764312303003</v>
      </c>
      <c r="E162">
        <v>100.827880606105</v>
      </c>
      <c r="F162">
        <v>2.1997267857423202</v>
      </c>
      <c r="G162">
        <v>-1650.6238780383524</v>
      </c>
      <c r="H162">
        <v>-1381.3873562093718</v>
      </c>
      <c r="I162">
        <v>253.721454864045</v>
      </c>
      <c r="J162">
        <v>134.202274767945</v>
      </c>
      <c r="K162">
        <v>45.8365471837812</v>
      </c>
      <c r="L162">
        <v>1.2673119136382801E-4</v>
      </c>
      <c r="M162">
        <v>1.6737187573478559E-5</v>
      </c>
      <c r="N162" s="1">
        <v>2.3157713067438701E-6</v>
      </c>
      <c r="O162" s="1">
        <v>7.5076934218662406E-8</v>
      </c>
      <c r="P162" s="1">
        <v>-3.69907145083228E-7</v>
      </c>
      <c r="Q162">
        <v>74.407206894437294</v>
      </c>
      <c r="R162">
        <v>6.8433452716870194E-2</v>
      </c>
      <c r="S162">
        <v>12.1228587112172</v>
      </c>
      <c r="T162">
        <v>0.15926396544923799</v>
      </c>
      <c r="V162">
        <v>0.37242289846486398</v>
      </c>
      <c r="W162">
        <v>2.3802940075431399E-2</v>
      </c>
      <c r="X162">
        <v>4.9589458490489603E-2</v>
      </c>
      <c r="AA162">
        <v>0.49572112912949401</v>
      </c>
      <c r="AB162">
        <v>3.75182303042416</v>
      </c>
      <c r="AC162">
        <v>4.5300796162771997</v>
      </c>
      <c r="AD162">
        <v>5.9507350188570301E-3</v>
      </c>
      <c r="AE162">
        <v>4.0128471682987596</v>
      </c>
    </row>
    <row r="163" spans="1:31" x14ac:dyDescent="0.2">
      <c r="A163">
        <v>162</v>
      </c>
      <c r="B163">
        <v>787</v>
      </c>
      <c r="C163">
        <v>120</v>
      </c>
      <c r="D163">
        <v>0.48518653020799002</v>
      </c>
      <c r="E163">
        <v>100.405904312507</v>
      </c>
      <c r="F163">
        <v>2.19998010521289</v>
      </c>
      <c r="G163">
        <v>-1643.3663276337898</v>
      </c>
      <c r="H163">
        <v>-1375.7173188169161</v>
      </c>
      <c r="I163">
        <v>252.46333897738299</v>
      </c>
      <c r="J163">
        <v>133.59308859124201</v>
      </c>
      <c r="K163">
        <v>45.639460136295803</v>
      </c>
      <c r="L163">
        <v>1.2654024617860459E-4</v>
      </c>
      <c r="M163">
        <v>1.6723773466042393E-5</v>
      </c>
      <c r="N163" s="1">
        <v>2.3060423958584998E-6</v>
      </c>
      <c r="O163" s="1">
        <v>7.4632478521402E-8</v>
      </c>
      <c r="P163" s="1">
        <v>-3.67645803116786E-7</v>
      </c>
      <c r="Q163">
        <v>74.4569534845905</v>
      </c>
      <c r="R163">
        <v>6.8721058260919898E-2</v>
      </c>
      <c r="S163">
        <v>12.0908718116152</v>
      </c>
      <c r="T163">
        <v>0.160100367868028</v>
      </c>
      <c r="V163">
        <v>0.37383775642949801</v>
      </c>
      <c r="W163">
        <v>2.3902976786405E-2</v>
      </c>
      <c r="X163">
        <v>4.9797868305018901E-2</v>
      </c>
      <c r="AA163">
        <v>0.49074096649954901</v>
      </c>
      <c r="AB163">
        <v>3.7310304009742699</v>
      </c>
      <c r="AC163">
        <v>4.5399274254998403</v>
      </c>
      <c r="AD163">
        <v>5.9757441966003201E-3</v>
      </c>
      <c r="AE163">
        <v>4.0081401389740501</v>
      </c>
    </row>
    <row r="164" spans="1:31" x14ac:dyDescent="0.2">
      <c r="A164">
        <v>163</v>
      </c>
      <c r="B164">
        <v>786</v>
      </c>
      <c r="C164">
        <v>120</v>
      </c>
      <c r="D164">
        <v>0.48463437662276798</v>
      </c>
      <c r="E164">
        <v>99.983811622392693</v>
      </c>
      <c r="F164">
        <v>2.2002340642631699</v>
      </c>
      <c r="G164">
        <v>-1636.1109345909076</v>
      </c>
      <c r="H164">
        <v>-1370.0457887902633</v>
      </c>
      <c r="I164">
        <v>251.206293537878</v>
      </c>
      <c r="J164">
        <v>132.98410633009101</v>
      </c>
      <c r="K164">
        <v>45.442352359850197</v>
      </c>
      <c r="L164">
        <v>1.2634861800718506E-4</v>
      </c>
      <c r="M164">
        <v>1.6710390161940348E-5</v>
      </c>
      <c r="N164" s="1">
        <v>2.2963012884342898E-6</v>
      </c>
      <c r="O164" s="1">
        <v>7.41890151797569E-8</v>
      </c>
      <c r="P164" s="1">
        <v>-3.6538576123534E-7</v>
      </c>
      <c r="Q164">
        <v>74.506868426795805</v>
      </c>
      <c r="R164">
        <v>6.9011171789082601E-2</v>
      </c>
      <c r="S164">
        <v>12.0588297987851</v>
      </c>
      <c r="T164">
        <v>0.16094398632904999</v>
      </c>
      <c r="V164">
        <v>0.37526502206969498</v>
      </c>
      <c r="W164">
        <v>2.4003885839678801E-2</v>
      </c>
      <c r="X164">
        <v>5.0008095499340398E-2</v>
      </c>
      <c r="AA164">
        <v>0.48596396818634302</v>
      </c>
      <c r="AB164">
        <v>3.71011856244266</v>
      </c>
      <c r="AC164">
        <v>4.5495592699784897</v>
      </c>
      <c r="AD164">
        <v>6.00097145991863E-3</v>
      </c>
      <c r="AE164">
        <v>4.0034268408246403</v>
      </c>
    </row>
    <row r="165" spans="1:31" x14ac:dyDescent="0.2">
      <c r="A165">
        <v>164</v>
      </c>
      <c r="B165">
        <v>785</v>
      </c>
      <c r="C165">
        <v>120</v>
      </c>
      <c r="D165">
        <v>0.48408117941691098</v>
      </c>
      <c r="E165">
        <v>99.561729696342994</v>
      </c>
      <c r="F165">
        <v>2.2004885227812201</v>
      </c>
      <c r="G165">
        <v>-1628.8598419213631</v>
      </c>
      <c r="H165">
        <v>-1364.3745275420147</v>
      </c>
      <c r="I165">
        <v>249.95068220890099</v>
      </c>
      <c r="J165">
        <v>132.37550660034501</v>
      </c>
      <c r="K165">
        <v>45.245284701828602</v>
      </c>
      <c r="L165">
        <v>1.2615637470460625E-4</v>
      </c>
      <c r="M165">
        <v>1.669704420949753E-5</v>
      </c>
      <c r="N165" s="1">
        <v>2.2865528571022799E-6</v>
      </c>
      <c r="O165" s="1">
        <v>7.3746693246657202E-8</v>
      </c>
      <c r="P165" s="1">
        <v>-3.6312784078716698E-7</v>
      </c>
      <c r="Q165">
        <v>74.556949560868006</v>
      </c>
      <c r="R165">
        <v>6.9303737701673196E-2</v>
      </c>
      <c r="S165">
        <v>12.0267344774346</v>
      </c>
      <c r="T165">
        <v>0.161794725309307</v>
      </c>
      <c r="V165">
        <v>0.37670436232601601</v>
      </c>
      <c r="W165">
        <v>2.4105647896231801E-2</v>
      </c>
      <c r="X165">
        <v>5.0220099783826598E-2</v>
      </c>
      <c r="AA165">
        <v>0.48138574430825498</v>
      </c>
      <c r="AB165">
        <v>3.6891011226971</v>
      </c>
      <c r="AC165">
        <v>4.5589636182004396</v>
      </c>
      <c r="AD165">
        <v>6.0264119740567898E-3</v>
      </c>
      <c r="AE165">
        <v>3.9987104915003702</v>
      </c>
    </row>
    <row r="166" spans="1:31" x14ac:dyDescent="0.2">
      <c r="A166">
        <v>165</v>
      </c>
      <c r="B166">
        <v>784</v>
      </c>
      <c r="C166">
        <v>120</v>
      </c>
      <c r="D166">
        <v>0.48352693562881199</v>
      </c>
      <c r="E166">
        <v>99.139780388772607</v>
      </c>
      <c r="F166">
        <v>2.2007433414473998</v>
      </c>
      <c r="G166">
        <v>-1621.6151021516878</v>
      </c>
      <c r="H166">
        <v>-1358.7052236661573</v>
      </c>
      <c r="I166">
        <v>248.696853318384</v>
      </c>
      <c r="J166">
        <v>131.76746041294399</v>
      </c>
      <c r="K166">
        <v>45.048315503964901</v>
      </c>
      <c r="L166">
        <v>1.2596358333041369E-4</v>
      </c>
      <c r="M166">
        <v>1.6683742100748951E-5</v>
      </c>
      <c r="N166" s="1">
        <v>2.27680181573085E-6</v>
      </c>
      <c r="O166" s="1">
        <v>7.3305655699110198E-8</v>
      </c>
      <c r="P166" s="1">
        <v>-3.6087283169996402E-7</v>
      </c>
      <c r="Q166">
        <v>74.607194921030199</v>
      </c>
      <c r="R166">
        <v>6.9598701681022501E-2</v>
      </c>
      <c r="S166">
        <v>11.994587527447999</v>
      </c>
      <c r="T166">
        <v>0.16265249179517799</v>
      </c>
      <c r="V166">
        <v>0.37815545154255598</v>
      </c>
      <c r="W166">
        <v>2.4208244062961799E-2</v>
      </c>
      <c r="X166">
        <v>5.0433841797848399E-2</v>
      </c>
      <c r="AA166">
        <v>0.47700190382325702</v>
      </c>
      <c r="AB166">
        <v>3.6679915750509999</v>
      </c>
      <c r="AC166">
        <v>4.5681289968576104</v>
      </c>
      <c r="AD166">
        <v>6.0520610157391496E-3</v>
      </c>
      <c r="AE166">
        <v>3.9939942838945499</v>
      </c>
    </row>
    <row r="167" spans="1:31" x14ac:dyDescent="0.2">
      <c r="A167">
        <v>166</v>
      </c>
      <c r="B167">
        <v>783</v>
      </c>
      <c r="C167">
        <v>120</v>
      </c>
      <c r="D167">
        <v>0.48297164228566197</v>
      </c>
      <c r="E167">
        <v>98.718080051432196</v>
      </c>
      <c r="F167">
        <v>2.2009983819660501</v>
      </c>
      <c r="G167">
        <v>-1614.3786741472913</v>
      </c>
      <c r="H167">
        <v>-1353.0394902203036</v>
      </c>
      <c r="I167">
        <v>247.44513935235301</v>
      </c>
      <c r="J167">
        <v>131.16013091154201</v>
      </c>
      <c r="K167">
        <v>44.851500510078402</v>
      </c>
      <c r="L167">
        <v>1.2577031001337964E-4</v>
      </c>
      <c r="M167">
        <v>1.6670490262639938E-5</v>
      </c>
      <c r="N167" s="1">
        <v>2.2670527119711901E-6</v>
      </c>
      <c r="O167" s="1">
        <v>7.2866039256097998E-8</v>
      </c>
      <c r="P167" s="1">
        <v>-3.5862149135119497E-7</v>
      </c>
      <c r="Q167">
        <v>74.657602750666797</v>
      </c>
      <c r="R167">
        <v>6.9896010907073799E-2</v>
      </c>
      <c r="S167">
        <v>11.9623904954754</v>
      </c>
      <c r="T167">
        <v>0.16351719573675899</v>
      </c>
      <c r="V167">
        <v>0.37961797268302699</v>
      </c>
      <c r="W167">
        <v>2.4311655967675101E-2</v>
      </c>
      <c r="X167">
        <v>5.0649283266002099E-2</v>
      </c>
      <c r="AA167">
        <v>0.47280806888515298</v>
      </c>
      <c r="AB167">
        <v>3.6468032701437498</v>
      </c>
      <c r="AC167">
        <v>4.5770440012745102</v>
      </c>
      <c r="AD167">
        <v>6.0779139919173702E-3</v>
      </c>
      <c r="AE167">
        <v>3.9892813810018599</v>
      </c>
    </row>
    <row r="168" spans="1:31" x14ac:dyDescent="0.2">
      <c r="A168">
        <v>167</v>
      </c>
      <c r="B168">
        <v>782</v>
      </c>
      <c r="C168">
        <v>120</v>
      </c>
      <c r="D168">
        <v>0.48241529640335601</v>
      </c>
      <c r="E168">
        <v>98.296739415843206</v>
      </c>
      <c r="F168">
        <v>2.2012535072871402</v>
      </c>
      <c r="G168">
        <v>-1607.152421236879</v>
      </c>
      <c r="H168">
        <v>-1347.378863083951</v>
      </c>
      <c r="I168">
        <v>246.195856658227</v>
      </c>
      <c r="J168">
        <v>130.55367321880499</v>
      </c>
      <c r="K168">
        <v>44.654892810135799</v>
      </c>
      <c r="L168">
        <v>1.2557661983093792E-4</v>
      </c>
      <c r="M168">
        <v>1.665729504860025E-5</v>
      </c>
      <c r="N168" s="1">
        <v>2.25730992189756E-6</v>
      </c>
      <c r="O168" s="1">
        <v>7.2427974265201202E-8</v>
      </c>
      <c r="P168" s="1">
        <v>-3.56374543826927E-7</v>
      </c>
      <c r="Q168">
        <v>74.708171512416897</v>
      </c>
      <c r="R168">
        <v>7.0195614228972095E-2</v>
      </c>
      <c r="S168">
        <v>11.9301447893037</v>
      </c>
      <c r="T168">
        <v>0.16438875041328399</v>
      </c>
      <c r="V168">
        <v>0.38109161829500399</v>
      </c>
      <c r="W168">
        <v>2.44158658187698E-2</v>
      </c>
      <c r="X168">
        <v>5.0866387122451E-2</v>
      </c>
      <c r="AA168">
        <v>0.46879988755155699</v>
      </c>
      <c r="AB168">
        <v>3.6255493912338799</v>
      </c>
      <c r="AC168">
        <v>4.58569730607321</v>
      </c>
      <c r="AD168">
        <v>6.1039664546908897E-3</v>
      </c>
      <c r="AE168">
        <v>3.9845749110874298</v>
      </c>
    </row>
    <row r="169" spans="1:31" x14ac:dyDescent="0.2">
      <c r="A169">
        <v>168</v>
      </c>
      <c r="B169">
        <v>781</v>
      </c>
      <c r="C169">
        <v>120</v>
      </c>
      <c r="D169">
        <v>0.48185789498648202</v>
      </c>
      <c r="E169">
        <v>97.577929693785094</v>
      </c>
      <c r="F169">
        <v>2.2016044745133301</v>
      </c>
      <c r="G169">
        <v>-1594.9979132230735</v>
      </c>
      <c r="H169">
        <v>-1337.5798201522016</v>
      </c>
      <c r="I169">
        <v>244.194937220387</v>
      </c>
      <c r="J169">
        <v>129.55337689731601</v>
      </c>
      <c r="K169">
        <v>44.3212806039353</v>
      </c>
      <c r="L169">
        <v>1.2538254055896418E-4</v>
      </c>
      <c r="M169">
        <v>1.6641223556014696E-5</v>
      </c>
      <c r="N169" s="1">
        <v>2.2400903313761899E-6</v>
      </c>
      <c r="O169" s="1">
        <v>7.1754082853764095E-8</v>
      </c>
      <c r="P169" s="1">
        <v>-3.5305898142945901E-7</v>
      </c>
      <c r="Q169">
        <v>74.745983262310901</v>
      </c>
      <c r="R169">
        <v>7.0712711590147997E-2</v>
      </c>
      <c r="S169">
        <v>11.9033997205873</v>
      </c>
      <c r="T169">
        <v>0.16578785971814899</v>
      </c>
      <c r="V169">
        <v>0.38372964995664499</v>
      </c>
      <c r="W169">
        <v>2.4595725770482701E-2</v>
      </c>
      <c r="X169">
        <v>5.1241095355188102E-2</v>
      </c>
      <c r="AA169">
        <v>0.46426974622862799</v>
      </c>
      <c r="AB169">
        <v>3.60193986300767</v>
      </c>
      <c r="AC169">
        <v>4.6034603207718403</v>
      </c>
      <c r="AD169">
        <v>6.14893144261895E-3</v>
      </c>
      <c r="AE169">
        <v>3.9787311132602401</v>
      </c>
    </row>
    <row r="170" spans="1:31" x14ac:dyDescent="0.2">
      <c r="A170">
        <v>169</v>
      </c>
      <c r="B170">
        <v>780</v>
      </c>
      <c r="C170">
        <v>120</v>
      </c>
      <c r="D170">
        <v>0.48129943502824801</v>
      </c>
      <c r="E170">
        <v>95.070373387627399</v>
      </c>
      <c r="F170">
        <v>2.2025285342767802</v>
      </c>
      <c r="G170">
        <v>-1553.2179211471573</v>
      </c>
      <c r="H170">
        <v>-1302.9138861147833</v>
      </c>
      <c r="I170">
        <v>237.67177992914</v>
      </c>
      <c r="J170">
        <v>126.182979041914</v>
      </c>
      <c r="K170">
        <v>43.164196017485096</v>
      </c>
      <c r="L170">
        <v>1.2518218484049577E-4</v>
      </c>
      <c r="M170">
        <v>1.6607981346687569E-5</v>
      </c>
      <c r="N170" s="1">
        <v>2.1780859743618301E-6</v>
      </c>
      <c r="O170" s="1">
        <v>6.9663499455042196E-8</v>
      </c>
      <c r="P170" s="1">
        <v>-3.43284089881856E-7</v>
      </c>
      <c r="Q170">
        <v>74.710090009404297</v>
      </c>
      <c r="R170">
        <v>7.2577815297592704E-2</v>
      </c>
      <c r="S170">
        <v>11.9078733358175</v>
      </c>
      <c r="T170">
        <v>0.17044248398593601</v>
      </c>
      <c r="V170">
        <v>0.393597221813416</v>
      </c>
      <c r="W170">
        <v>2.5244457494810899E-2</v>
      </c>
      <c r="X170">
        <v>5.2592619780873998E-2</v>
      </c>
      <c r="AA170">
        <v>0.45674160704411698</v>
      </c>
      <c r="AB170">
        <v>3.5635667139399998</v>
      </c>
      <c r="AC170">
        <v>4.6748796971112299</v>
      </c>
      <c r="AD170">
        <v>6.3111143737008997E-3</v>
      </c>
      <c r="AE170">
        <v>3.9660829239364199</v>
      </c>
    </row>
    <row r="171" spans="1:31" x14ac:dyDescent="0.2">
      <c r="A171">
        <v>170</v>
      </c>
      <c r="B171">
        <v>779</v>
      </c>
      <c r="C171">
        <v>120</v>
      </c>
      <c r="D171">
        <v>0.48073991351043299</v>
      </c>
      <c r="E171">
        <v>92.265371851670906</v>
      </c>
      <c r="F171">
        <v>2.2035292176391401</v>
      </c>
      <c r="G171">
        <v>-1506.5847162336217</v>
      </c>
      <c r="H171">
        <v>-1264.1586667230756</v>
      </c>
      <c r="I171">
        <v>230.410159683073</v>
      </c>
      <c r="J171">
        <v>122.419114519622</v>
      </c>
      <c r="K171">
        <v>41.871635335302599</v>
      </c>
      <c r="L171">
        <v>1.249705667827624E-4</v>
      </c>
      <c r="M171">
        <v>1.6573436334288432E-5</v>
      </c>
      <c r="N171" s="1">
        <v>2.1091183917177598E-6</v>
      </c>
      <c r="O171" s="1">
        <v>6.7357854116768097E-8</v>
      </c>
      <c r="P171" s="1">
        <v>-3.3240874188225002E-7</v>
      </c>
      <c r="Q171">
        <v>74.671436312903495</v>
      </c>
      <c r="R171">
        <v>7.4784286471994907E-2</v>
      </c>
      <c r="S171">
        <v>11.9124174208636</v>
      </c>
      <c r="T171">
        <v>0.17590244818724099</v>
      </c>
      <c r="V171">
        <v>0.40531276431860203</v>
      </c>
      <c r="W171">
        <v>2.60119257293847E-2</v>
      </c>
      <c r="X171">
        <v>5.4191511936240201E-2</v>
      </c>
      <c r="AA171">
        <v>0.45115823185892001</v>
      </c>
      <c r="AB171">
        <v>3.5214521229091802</v>
      </c>
      <c r="AC171">
        <v>4.7481097368605099</v>
      </c>
      <c r="AD171">
        <v>6.5029814323440396E-3</v>
      </c>
      <c r="AE171">
        <v>3.9527202565283202</v>
      </c>
    </row>
    <row r="172" spans="1:31" x14ac:dyDescent="0.2">
      <c r="A172">
        <v>171</v>
      </c>
      <c r="B172">
        <v>778</v>
      </c>
      <c r="C172">
        <v>120</v>
      </c>
      <c r="D172">
        <v>0.48017932740332298</v>
      </c>
      <c r="E172">
        <v>88.8491164658831</v>
      </c>
      <c r="F172">
        <v>2.2046601307437901</v>
      </c>
      <c r="G172">
        <v>-1449.9636021328795</v>
      </c>
      <c r="H172">
        <v>-1216.9994590121178</v>
      </c>
      <c r="I172">
        <v>221.62787720188501</v>
      </c>
      <c r="J172">
        <v>117.846231752785</v>
      </c>
      <c r="K172">
        <v>40.300595645963703</v>
      </c>
      <c r="L172">
        <v>1.2474626925985954E-4</v>
      </c>
      <c r="M172">
        <v>1.653731977441888E-5</v>
      </c>
      <c r="N172" s="1">
        <v>2.0260089073777898E-6</v>
      </c>
      <c r="O172" s="1">
        <v>6.4609258379732602E-8</v>
      </c>
      <c r="P172" s="1">
        <v>-3.1929380804885098E-7</v>
      </c>
      <c r="Q172">
        <v>74.627475715546296</v>
      </c>
      <c r="R172">
        <v>7.7659748058948402E-2</v>
      </c>
      <c r="S172">
        <v>11.917114098409</v>
      </c>
      <c r="T172">
        <v>0.182929797431369</v>
      </c>
      <c r="V172">
        <v>0.420659623380087</v>
      </c>
      <c r="W172">
        <v>2.7012086281366601E-2</v>
      </c>
      <c r="X172">
        <v>5.6275179752877803E-2</v>
      </c>
      <c r="AA172">
        <v>0.44884681319896402</v>
      </c>
      <c r="AB172">
        <v>3.4738934587018599</v>
      </c>
      <c r="AC172">
        <v>4.8229375878410199</v>
      </c>
      <c r="AD172">
        <v>6.7530215703385799E-3</v>
      </c>
      <c r="AE172">
        <v>3.9384428698276999</v>
      </c>
    </row>
    <row r="173" spans="1:31" x14ac:dyDescent="0.2">
      <c r="A173">
        <v>172</v>
      </c>
      <c r="B173">
        <v>777</v>
      </c>
      <c r="C173">
        <v>120</v>
      </c>
      <c r="D173">
        <v>0.47961767366567098</v>
      </c>
      <c r="E173">
        <v>79.182883185623595</v>
      </c>
      <c r="F173">
        <v>2.2065994638076099</v>
      </c>
      <c r="G173">
        <v>-1291.1286258734317</v>
      </c>
      <c r="H173">
        <v>-1083.9332521837666</v>
      </c>
      <c r="I173">
        <v>197.30074150327599</v>
      </c>
      <c r="J173">
        <v>105.002979591284</v>
      </c>
      <c r="K173">
        <v>35.8845746517988</v>
      </c>
      <c r="L173">
        <v>1.2460509887853407E-4</v>
      </c>
      <c r="M173">
        <v>1.6506974930014724E-5</v>
      </c>
      <c r="N173" s="1">
        <v>1.8018185968853999E-6</v>
      </c>
      <c r="O173" s="1">
        <v>5.7371799980498001E-8</v>
      </c>
      <c r="P173" s="1">
        <v>-2.8379025650044502E-7</v>
      </c>
      <c r="Q173">
        <v>74.535265327966897</v>
      </c>
      <c r="R173">
        <v>8.7140044949181802E-2</v>
      </c>
      <c r="S173">
        <v>11.922021890095699</v>
      </c>
      <c r="T173">
        <v>0.20530348598378401</v>
      </c>
      <c r="V173">
        <v>0.47197324774747501</v>
      </c>
      <c r="W173">
        <v>3.0309580851876999E-2</v>
      </c>
      <c r="X173">
        <v>6.3144960108132794E-2</v>
      </c>
      <c r="AA173">
        <v>0.46240596544705198</v>
      </c>
      <c r="AB173">
        <v>3.4175813838055702</v>
      </c>
      <c r="AC173">
        <v>4.8715587789168797</v>
      </c>
      <c r="AD173">
        <v>7.5773952129641496E-3</v>
      </c>
      <c r="AE173">
        <v>3.9257179389143402</v>
      </c>
    </row>
    <row r="174" spans="1:31" x14ac:dyDescent="0.2">
      <c r="A174">
        <v>173</v>
      </c>
      <c r="B174">
        <v>776</v>
      </c>
      <c r="C174">
        <v>120</v>
      </c>
      <c r="D174">
        <v>0.47905494924462999</v>
      </c>
      <c r="E174">
        <v>65.914974856672103</v>
      </c>
      <c r="F174">
        <v>2.2093392009886101</v>
      </c>
      <c r="G174">
        <v>-1073.5725762247994</v>
      </c>
      <c r="H174">
        <v>-901.41118651773752</v>
      </c>
      <c r="I174">
        <v>164.096067966508</v>
      </c>
      <c r="J174">
        <v>87.4070155461729</v>
      </c>
      <c r="K174">
        <v>29.834701175435999</v>
      </c>
      <c r="L174">
        <v>1.2463023323810182E-4</v>
      </c>
      <c r="M174">
        <v>1.6489749978497875E-5</v>
      </c>
      <c r="N174" s="1">
        <v>1.4986702117247999E-6</v>
      </c>
      <c r="O174" s="1">
        <v>4.7638575738579498E-8</v>
      </c>
      <c r="P174" s="1">
        <v>-2.35758089852042E-7</v>
      </c>
      <c r="Q174">
        <v>74.3879839864057</v>
      </c>
      <c r="R174">
        <v>0.10468030997516101</v>
      </c>
      <c r="S174">
        <v>11.924360631289501</v>
      </c>
      <c r="T174">
        <v>0.24634081990579801</v>
      </c>
      <c r="V174">
        <v>0.56723490734645698</v>
      </c>
      <c r="W174">
        <v>3.6410542600035997E-2</v>
      </c>
      <c r="X174">
        <v>7.5855297083499001E-2</v>
      </c>
      <c r="AA174">
        <v>0.484703864231741</v>
      </c>
      <c r="AB174">
        <v>3.3673330451479502</v>
      </c>
      <c r="AC174">
        <v>4.8779895859510498</v>
      </c>
      <c r="AD174">
        <v>9.1026356500007403E-3</v>
      </c>
      <c r="AE174">
        <v>3.9180043744130599</v>
      </c>
    </row>
    <row r="175" spans="1:31" x14ac:dyDescent="0.2">
      <c r="A175">
        <v>174</v>
      </c>
      <c r="B175">
        <v>775</v>
      </c>
      <c r="C175">
        <v>120</v>
      </c>
      <c r="D175">
        <v>0.478491151075708</v>
      </c>
      <c r="E175">
        <v>55.9979579168402</v>
      </c>
      <c r="F175">
        <v>2.2120872144826</v>
      </c>
      <c r="G175">
        <v>-910.99678674849906</v>
      </c>
      <c r="H175">
        <v>-764.99300575473342</v>
      </c>
      <c r="I175">
        <v>139.29664742047001</v>
      </c>
      <c r="J175">
        <v>74.257409254556705</v>
      </c>
      <c r="K175">
        <v>25.3145344135709</v>
      </c>
      <c r="L175">
        <v>1.2470366266540095E-4</v>
      </c>
      <c r="M175">
        <v>1.6476489017795695E-5</v>
      </c>
      <c r="N175" s="1">
        <v>1.27274522370948E-6</v>
      </c>
      <c r="O175" s="1">
        <v>4.0386992229434002E-8</v>
      </c>
      <c r="P175" s="1">
        <v>-1.9997693506150901E-7</v>
      </c>
      <c r="Q175">
        <v>74.236405609921206</v>
      </c>
      <c r="R175">
        <v>0.123218778982053</v>
      </c>
      <c r="S175">
        <v>11.924270173569999</v>
      </c>
      <c r="T175">
        <v>0.28960591855988599</v>
      </c>
      <c r="V175">
        <v>0.66801469637701505</v>
      </c>
      <c r="W175">
        <v>4.2858705732863503E-2</v>
      </c>
      <c r="X175">
        <v>8.9288970276911295E-2</v>
      </c>
      <c r="AA175">
        <v>0.50136931009077801</v>
      </c>
      <c r="AB175">
        <v>3.3260384182949099</v>
      </c>
      <c r="AC175">
        <v>4.8760568117000904</v>
      </c>
      <c r="AD175">
        <v>1.0714676433207299E-2</v>
      </c>
      <c r="AE175">
        <v>3.9121579300608902</v>
      </c>
    </row>
    <row r="176" spans="1:31" x14ac:dyDescent="0.2">
      <c r="A176">
        <v>175</v>
      </c>
      <c r="B176">
        <v>774</v>
      </c>
      <c r="C176">
        <v>120</v>
      </c>
      <c r="D176">
        <v>0.47792627608270499</v>
      </c>
      <c r="E176">
        <v>32.048563259817499</v>
      </c>
      <c r="F176">
        <v>2.2141866321880701</v>
      </c>
      <c r="G176">
        <v>-521.37177145368162</v>
      </c>
      <c r="H176">
        <v>-438.0182449266095</v>
      </c>
      <c r="I176">
        <v>79.600369122926097</v>
      </c>
      <c r="J176">
        <v>42.515028928575397</v>
      </c>
      <c r="K176">
        <v>14.4741923711042</v>
      </c>
      <c r="L176">
        <v>1.2431702374452643E-4</v>
      </c>
      <c r="M176">
        <v>1.6434176441061572E-5</v>
      </c>
      <c r="N176" s="1">
        <v>7.2535210667826299E-7</v>
      </c>
      <c r="O176" s="1">
        <v>2.29838434381759E-8</v>
      </c>
      <c r="P176" s="1">
        <v>-1.13654924436859E-7</v>
      </c>
      <c r="Q176">
        <v>74.1142621023196</v>
      </c>
      <c r="R176">
        <v>0.15068036490802</v>
      </c>
      <c r="S176">
        <v>12.0339488954319</v>
      </c>
      <c r="T176">
        <v>0.269258855145734</v>
      </c>
      <c r="V176">
        <v>0.62205593892592703</v>
      </c>
      <c r="W176">
        <v>7.4886352331683295E-2</v>
      </c>
      <c r="X176">
        <v>0.14741730797324201</v>
      </c>
      <c r="AA176">
        <v>0.54262966483532704</v>
      </c>
      <c r="AB176">
        <v>3.1971455101088</v>
      </c>
      <c r="AC176">
        <v>4.9377165722053604</v>
      </c>
      <c r="AD176">
        <v>1.8721588082905E-2</v>
      </c>
      <c r="AE176">
        <v>3.8912768477314001</v>
      </c>
    </row>
    <row r="177" spans="1:31" x14ac:dyDescent="0.2">
      <c r="A177">
        <v>176</v>
      </c>
      <c r="B177">
        <v>773</v>
      </c>
      <c r="C177">
        <v>120</v>
      </c>
      <c r="D177">
        <v>0.47736032117765198</v>
      </c>
      <c r="E177">
        <v>21.800357674051099</v>
      </c>
      <c r="F177">
        <v>2.2161969594984599</v>
      </c>
      <c r="G177">
        <v>-354.61408215113801</v>
      </c>
      <c r="H177">
        <v>-298.03270004278141</v>
      </c>
      <c r="I177">
        <v>54.0853435055744</v>
      </c>
      <c r="J177">
        <v>28.935307087844901</v>
      </c>
      <c r="K177">
        <v>9.8368322276665694</v>
      </c>
      <c r="L177">
        <v>1.24139691434271E-4</v>
      </c>
      <c r="M177">
        <v>1.6411232695888924E-5</v>
      </c>
      <c r="N177" s="1">
        <v>4.9249816938004396E-7</v>
      </c>
      <c r="O177" s="1">
        <v>1.5579713130928899E-8</v>
      </c>
      <c r="P177" s="1">
        <v>-7.6955986383362896E-8</v>
      </c>
      <c r="Q177">
        <v>73.9744490222688</v>
      </c>
      <c r="R177">
        <v>0.16993846039070801</v>
      </c>
      <c r="S177">
        <v>12.141628184264301</v>
      </c>
      <c r="T177">
        <v>0.25934672498146299</v>
      </c>
      <c r="V177">
        <v>0.60050680430678705</v>
      </c>
      <c r="W177">
        <v>0.110089936866289</v>
      </c>
      <c r="X177">
        <v>0.20749281504498199</v>
      </c>
      <c r="AA177">
        <v>0.561064387149946</v>
      </c>
      <c r="AB177">
        <v>3.10386720070573</v>
      </c>
      <c r="AC177">
        <v>4.9643942940988302</v>
      </c>
      <c r="AD177">
        <v>2.7522484216542398E-2</v>
      </c>
      <c r="AE177">
        <v>3.8796996857054702</v>
      </c>
    </row>
    <row r="178" spans="1:31" x14ac:dyDescent="0.2">
      <c r="A178">
        <v>177</v>
      </c>
      <c r="B178">
        <v>772</v>
      </c>
      <c r="C178">
        <v>120</v>
      </c>
      <c r="D178">
        <v>0.47679328326077502</v>
      </c>
      <c r="E178">
        <v>13.944644057730001</v>
      </c>
      <c r="F178">
        <v>2.2184663133973701</v>
      </c>
      <c r="G178">
        <v>-226.7834306369252</v>
      </c>
      <c r="H178">
        <v>-190.67320867174723</v>
      </c>
      <c r="I178">
        <v>34.550276960415196</v>
      </c>
      <c r="J178">
        <v>18.5136716668638</v>
      </c>
      <c r="K178">
        <v>6.28571368134733</v>
      </c>
      <c r="L178">
        <v>1.2396421732889179E-4</v>
      </c>
      <c r="M178">
        <v>1.6399296545576499E-5</v>
      </c>
      <c r="N178" s="1">
        <v>3.1448614358492997E-7</v>
      </c>
      <c r="O178" s="1">
        <v>9.9321686063927297E-9</v>
      </c>
      <c r="P178" s="1">
        <v>-4.8946404767158498E-8</v>
      </c>
      <c r="Q178">
        <v>73.765502058408103</v>
      </c>
      <c r="R178">
        <v>0.200274713260605</v>
      </c>
      <c r="S178">
        <v>12.3562543533855</v>
      </c>
      <c r="T178">
        <v>0.247660567134564</v>
      </c>
      <c r="V178">
        <v>0.57615038329310497</v>
      </c>
      <c r="W178">
        <v>0.172109090060869</v>
      </c>
      <c r="X178">
        <v>0.21016996898134199</v>
      </c>
      <c r="AA178">
        <v>0.57493811804780004</v>
      </c>
      <c r="AB178">
        <v>2.9797528407243798</v>
      </c>
      <c r="AC178">
        <v>5.0055319935465397</v>
      </c>
      <c r="AD178">
        <v>4.3027272515163001E-2</v>
      </c>
      <c r="AE178">
        <v>3.86862864064183</v>
      </c>
    </row>
    <row r="179" spans="1:31" x14ac:dyDescent="0.2">
      <c r="A179">
        <v>178</v>
      </c>
      <c r="B179">
        <v>771</v>
      </c>
      <c r="C179">
        <v>120</v>
      </c>
      <c r="D179">
        <v>0.47622515922041903</v>
      </c>
      <c r="E179">
        <v>10.2766245104257</v>
      </c>
      <c r="F179">
        <v>2.2205327010821101</v>
      </c>
      <c r="G179">
        <v>-167.09622031988172</v>
      </c>
      <c r="H179">
        <v>-140.5398524897374</v>
      </c>
      <c r="I179">
        <v>25.433479701330601</v>
      </c>
      <c r="J179">
        <v>13.648488911691601</v>
      </c>
      <c r="K179">
        <v>4.6279996261337102</v>
      </c>
      <c r="L179">
        <v>1.2387772719238372E-4</v>
      </c>
      <c r="M179">
        <v>1.6396434220039143E-5</v>
      </c>
      <c r="N179" s="1">
        <v>2.31655211972525E-7</v>
      </c>
      <c r="O179" s="1">
        <v>7.3033706880604701E-9</v>
      </c>
      <c r="P179" s="1">
        <v>-3.59153644029287E-8</v>
      </c>
      <c r="Q179">
        <v>73.559955746973301</v>
      </c>
      <c r="R179">
        <v>0.219984910378418</v>
      </c>
      <c r="S179">
        <v>12.5664557747925</v>
      </c>
      <c r="T179">
        <v>0.23952491068040799</v>
      </c>
      <c r="V179">
        <v>0.55984649100477601</v>
      </c>
      <c r="W179">
        <v>0.233539718957681</v>
      </c>
      <c r="X179">
        <v>0.21337846264296101</v>
      </c>
      <c r="AA179">
        <v>0.581349205070402</v>
      </c>
      <c r="AB179">
        <v>2.8738848105457402</v>
      </c>
      <c r="AC179">
        <v>5.0312620063001701</v>
      </c>
      <c r="AD179">
        <v>5.8384929739333E-2</v>
      </c>
      <c r="AE179">
        <v>3.8624330329141299</v>
      </c>
    </row>
    <row r="180" spans="1:31" x14ac:dyDescent="0.2">
      <c r="A180">
        <v>179</v>
      </c>
      <c r="B180">
        <v>807</v>
      </c>
      <c r="C180">
        <v>100</v>
      </c>
      <c r="D180">
        <v>0.516382446882378</v>
      </c>
      <c r="E180">
        <v>102.55108531070501</v>
      </c>
      <c r="F180">
        <v>2.2023212135618802</v>
      </c>
      <c r="G180">
        <v>-1682.6490073506409</v>
      </c>
      <c r="H180">
        <v>-1403.8892976235061</v>
      </c>
      <c r="I180">
        <v>258.07499859013501</v>
      </c>
      <c r="J180">
        <v>136.417793753784</v>
      </c>
      <c r="K180">
        <v>46.564999092410503</v>
      </c>
      <c r="L180">
        <v>1.2089338400357228E-4</v>
      </c>
      <c r="M180">
        <v>1.638155985270427E-5</v>
      </c>
      <c r="N180" s="1">
        <v>2.1044797015525199E-6</v>
      </c>
      <c r="O180" s="1">
        <v>7.1787233975127203E-8</v>
      </c>
      <c r="P180" s="1">
        <v>-3.4497470555317098E-7</v>
      </c>
      <c r="Q180">
        <v>74.460450387896501</v>
      </c>
      <c r="R180">
        <v>6.7283539507111495E-2</v>
      </c>
      <c r="S180">
        <v>12.335315576304399</v>
      </c>
      <c r="T180">
        <v>0.154370074176571</v>
      </c>
      <c r="V180">
        <v>0.36816046312582601</v>
      </c>
      <c r="W180">
        <v>2.3402970263342902E-2</v>
      </c>
      <c r="X180">
        <v>4.8756188048632201E-2</v>
      </c>
      <c r="AA180">
        <v>0.52656683092521905</v>
      </c>
      <c r="AB180">
        <v>3.8712413310613099</v>
      </c>
      <c r="AC180">
        <v>4.4953205380837602</v>
      </c>
      <c r="AD180">
        <v>5.8507425658356101E-3</v>
      </c>
      <c r="AE180">
        <v>3.6432813580413801</v>
      </c>
    </row>
    <row r="181" spans="1:31" x14ac:dyDescent="0.2">
      <c r="A181">
        <v>180</v>
      </c>
      <c r="B181">
        <v>806</v>
      </c>
      <c r="C181">
        <v>100</v>
      </c>
      <c r="D181">
        <v>0.51586943427697896</v>
      </c>
      <c r="E181">
        <v>102.27732076847001</v>
      </c>
      <c r="F181">
        <v>2.20253742198528</v>
      </c>
      <c r="G181">
        <v>-1677.8372246779484</v>
      </c>
      <c r="H181">
        <v>-1400.2586828970125</v>
      </c>
      <c r="I181">
        <v>257.21960967514701</v>
      </c>
      <c r="J181">
        <v>136.01963882313601</v>
      </c>
      <c r="K181">
        <v>46.436133047075003</v>
      </c>
      <c r="L181">
        <v>1.207790940468576E-4</v>
      </c>
      <c r="M181">
        <v>1.6372624341682929E-5</v>
      </c>
      <c r="N181" s="1">
        <v>2.1000719927401099E-6</v>
      </c>
      <c r="O181" s="1">
        <v>7.15101158557623E-8</v>
      </c>
      <c r="P181" s="1">
        <v>-3.4366798241938898E-7</v>
      </c>
      <c r="Q181">
        <v>74.491959839887301</v>
      </c>
      <c r="R181">
        <v>6.7463636592709403E-2</v>
      </c>
      <c r="S181">
        <v>12.3143321904345</v>
      </c>
      <c r="T181">
        <v>0.154955809726221</v>
      </c>
      <c r="V181">
        <v>0.36899066522712298</v>
      </c>
      <c r="W181">
        <v>2.3465612727898499E-2</v>
      </c>
      <c r="X181">
        <v>4.8886693183123803E-2</v>
      </c>
      <c r="AA181">
        <v>0.52257812279680305</v>
      </c>
      <c r="AB181">
        <v>3.8580000153302101</v>
      </c>
      <c r="AC181">
        <v>4.5024040983916898</v>
      </c>
      <c r="AD181">
        <v>5.8664031819744096E-3</v>
      </c>
      <c r="AE181">
        <v>3.6410969125203101</v>
      </c>
    </row>
    <row r="182" spans="1:31" x14ac:dyDescent="0.2">
      <c r="A182">
        <v>181</v>
      </c>
      <c r="B182">
        <v>805</v>
      </c>
      <c r="C182">
        <v>100</v>
      </c>
      <c r="D182">
        <v>0.51535547001808601</v>
      </c>
      <c r="E182">
        <v>101.87427119548801</v>
      </c>
      <c r="F182">
        <v>2.2027430686755198</v>
      </c>
      <c r="G182">
        <v>-1670.8760695136073</v>
      </c>
      <c r="H182">
        <v>-1394.8494957341672</v>
      </c>
      <c r="I182">
        <v>256.01871147747499</v>
      </c>
      <c r="J182">
        <v>135.438688286836</v>
      </c>
      <c r="K182">
        <v>46.248821591681903</v>
      </c>
      <c r="L182">
        <v>1.2061822158117268E-4</v>
      </c>
      <c r="M182">
        <v>1.636143328878564E-5</v>
      </c>
      <c r="N182" s="1">
        <v>2.09222794155066E-6</v>
      </c>
      <c r="O182" s="1">
        <v>7.1119770573707105E-8</v>
      </c>
      <c r="P182" s="1">
        <v>-3.4174059356518498E-7</v>
      </c>
      <c r="Q182">
        <v>74.538621810113796</v>
      </c>
      <c r="R182">
        <v>6.7730545887876997E-2</v>
      </c>
      <c r="S182">
        <v>12.2834974503669</v>
      </c>
      <c r="T182">
        <v>0.15572406850894499</v>
      </c>
      <c r="V182">
        <v>0.37031086785512701</v>
      </c>
      <c r="W182">
        <v>2.3558450743608701E-2</v>
      </c>
      <c r="X182">
        <v>4.9080105715854597E-2</v>
      </c>
      <c r="AA182">
        <v>0.51689233332922002</v>
      </c>
      <c r="AB182">
        <v>3.8384145966960701</v>
      </c>
      <c r="AC182">
        <v>4.5127077408811704</v>
      </c>
      <c r="AD182">
        <v>5.8896126859018603E-3</v>
      </c>
      <c r="AE182">
        <v>3.63757241721542</v>
      </c>
    </row>
    <row r="183" spans="1:31" x14ac:dyDescent="0.2">
      <c r="A183">
        <v>182</v>
      </c>
      <c r="B183">
        <v>804</v>
      </c>
      <c r="C183">
        <v>100</v>
      </c>
      <c r="D183">
        <v>0.514840551455232</v>
      </c>
      <c r="E183">
        <v>101.470871598579</v>
      </c>
      <c r="F183">
        <v>2.2029498123978799</v>
      </c>
      <c r="G183">
        <v>-1663.9127177355333</v>
      </c>
      <c r="H183">
        <v>-1389.4354701708135</v>
      </c>
      <c r="I183">
        <v>254.818036081065</v>
      </c>
      <c r="J183">
        <v>134.85757267508899</v>
      </c>
      <c r="K183">
        <v>46.061363280958801</v>
      </c>
      <c r="L183">
        <v>1.204565754183148E-4</v>
      </c>
      <c r="M183">
        <v>1.6350249809215588E-5</v>
      </c>
      <c r="N183" s="1">
        <v>2.0843611704644301E-6</v>
      </c>
      <c r="O183" s="1">
        <v>7.0729877523335206E-8</v>
      </c>
      <c r="P183" s="1">
        <v>-3.3981207374361602E-7</v>
      </c>
      <c r="Q183">
        <v>74.585418208267001</v>
      </c>
      <c r="R183">
        <v>6.7999810106063097E-2</v>
      </c>
      <c r="S183">
        <v>12.252620098591301</v>
      </c>
      <c r="T183">
        <v>0.156498941438341</v>
      </c>
      <c r="V183">
        <v>0.37164286624706</v>
      </c>
      <c r="W183">
        <v>2.3652107862977501E-2</v>
      </c>
      <c r="X183">
        <v>4.9275224714540801E-2</v>
      </c>
      <c r="AA183">
        <v>0.51141036641472104</v>
      </c>
      <c r="AB183">
        <v>3.8186750701907499</v>
      </c>
      <c r="AC183">
        <v>4.5228592091469997</v>
      </c>
      <c r="AD183">
        <v>5.9130269657439302E-3</v>
      </c>
      <c r="AE183">
        <v>3.63403507005438</v>
      </c>
    </row>
    <row r="184" spans="1:31" x14ac:dyDescent="0.2">
      <c r="A184">
        <v>183</v>
      </c>
      <c r="B184">
        <v>803</v>
      </c>
      <c r="C184">
        <v>100</v>
      </c>
      <c r="D184">
        <v>0.51432467592807896</v>
      </c>
      <c r="E184">
        <v>101.067252555084</v>
      </c>
      <c r="F184">
        <v>2.2031575422210699</v>
      </c>
      <c r="G184">
        <v>-1656.9493661675619</v>
      </c>
      <c r="H184">
        <v>-1384.0184086481395</v>
      </c>
      <c r="I184">
        <v>253.61795058256001</v>
      </c>
      <c r="J184">
        <v>134.27647417532799</v>
      </c>
      <c r="K184">
        <v>45.873820014339501</v>
      </c>
      <c r="L184">
        <v>1.20294209178942E-4</v>
      </c>
      <c r="M184">
        <v>1.6339078952517159E-5</v>
      </c>
      <c r="N184" s="1">
        <v>2.0764758228027798E-6</v>
      </c>
      <c r="O184" s="1">
        <v>7.0340572391662599E-8</v>
      </c>
      <c r="P184" s="1">
        <v>-3.3788315488653498E-7</v>
      </c>
      <c r="Q184">
        <v>74.632346352935798</v>
      </c>
      <c r="R184">
        <v>6.8271372037539496E-2</v>
      </c>
      <c r="S184">
        <v>12.221702339136799</v>
      </c>
      <c r="T184">
        <v>0.157280329990342</v>
      </c>
      <c r="V184">
        <v>0.37298631791020997</v>
      </c>
      <c r="W184">
        <v>2.3746564186969101E-2</v>
      </c>
      <c r="X184">
        <v>4.9472008722857397E-2</v>
      </c>
      <c r="AA184">
        <v>0.50612809840625606</v>
      </c>
      <c r="AB184">
        <v>3.7987934846337499</v>
      </c>
      <c r="AC184">
        <v>4.5328492662067799</v>
      </c>
      <c r="AD184">
        <v>5.9366410467417497E-3</v>
      </c>
      <c r="AE184">
        <v>3.6304872247858402</v>
      </c>
    </row>
    <row r="185" spans="1:31" x14ac:dyDescent="0.2">
      <c r="A185">
        <v>184</v>
      </c>
      <c r="B185">
        <v>802</v>
      </c>
      <c r="C185">
        <v>100</v>
      </c>
      <c r="D185">
        <v>0.51380784076640695</v>
      </c>
      <c r="E185">
        <v>100.66354129456801</v>
      </c>
      <c r="F185">
        <v>2.2033661474163599</v>
      </c>
      <c r="G185">
        <v>-1649.9881533758191</v>
      </c>
      <c r="H185">
        <v>-1378.6000675772029</v>
      </c>
      <c r="I185">
        <v>252.41881207144601</v>
      </c>
      <c r="J185">
        <v>133.695570094744</v>
      </c>
      <c r="K185">
        <v>45.686252106852699</v>
      </c>
      <c r="L185">
        <v>1.2013117625124505E-4</v>
      </c>
      <c r="M185">
        <v>1.6327925733194448E-5</v>
      </c>
      <c r="N185" s="1">
        <v>2.0685759548150899E-6</v>
      </c>
      <c r="O185" s="1">
        <v>6.9951987029298005E-8</v>
      </c>
      <c r="P185" s="1">
        <v>-3.3595455049549101E-7</v>
      </c>
      <c r="Q185">
        <v>74.679403616759799</v>
      </c>
      <c r="R185">
        <v>6.8545174462011596E-2</v>
      </c>
      <c r="S185">
        <v>12.1907463277077</v>
      </c>
      <c r="T185">
        <v>0.15806813552732299</v>
      </c>
      <c r="V185">
        <v>0.37434088037435598</v>
      </c>
      <c r="W185">
        <v>2.3841799812872301E-2</v>
      </c>
      <c r="X185">
        <v>4.9670416276823198E-2</v>
      </c>
      <c r="AA185">
        <v>0.501041351967909</v>
      </c>
      <c r="AB185">
        <v>3.77878186464552</v>
      </c>
      <c r="AC185">
        <v>4.5426687574186602</v>
      </c>
      <c r="AD185">
        <v>5.9604499532174204E-3</v>
      </c>
      <c r="AE185">
        <v>3.6269312250936898</v>
      </c>
    </row>
    <row r="186" spans="1:31" x14ac:dyDescent="0.2">
      <c r="A186">
        <v>185</v>
      </c>
      <c r="B186">
        <v>801</v>
      </c>
      <c r="C186">
        <v>100</v>
      </c>
      <c r="D186">
        <v>0.51329004329004402</v>
      </c>
      <c r="E186">
        <v>100.25986131479701</v>
      </c>
      <c r="F186">
        <v>2.2035755177122298</v>
      </c>
      <c r="G186">
        <v>-1643.03115335196</v>
      </c>
      <c r="H186">
        <v>-1373.182152066275</v>
      </c>
      <c r="I186">
        <v>251.22096661144599</v>
      </c>
      <c r="J186">
        <v>133.115032336415</v>
      </c>
      <c r="K186">
        <v>45.498718110141198</v>
      </c>
      <c r="L186">
        <v>1.1996752963007996E-4</v>
      </c>
      <c r="M186">
        <v>1.6316795120404364E-5</v>
      </c>
      <c r="N186" s="1">
        <v>2.0606655243244499E-6</v>
      </c>
      <c r="O186" s="1">
        <v>6.9564249107580401E-8</v>
      </c>
      <c r="P186" s="1">
        <v>-3.3402695366987499E-7</v>
      </c>
      <c r="Q186">
        <v>74.726587448343395</v>
      </c>
      <c r="R186">
        <v>6.8821160427655306E-2</v>
      </c>
      <c r="S186">
        <v>12.159754158483301</v>
      </c>
      <c r="T186">
        <v>0.15886225986853</v>
      </c>
      <c r="V186">
        <v>0.37570621278147698</v>
      </c>
      <c r="W186">
        <v>2.3937794931356799E-2</v>
      </c>
      <c r="X186">
        <v>4.9870406107000199E-2</v>
      </c>
      <c r="AA186">
        <v>0.49614591209657499</v>
      </c>
      <c r="AB186">
        <v>3.7586521764271801</v>
      </c>
      <c r="AC186">
        <v>4.5523086228344303</v>
      </c>
      <c r="AD186">
        <v>5.9844487328384504E-3</v>
      </c>
      <c r="AE186">
        <v>3.62336939896614</v>
      </c>
    </row>
    <row r="187" spans="1:31" x14ac:dyDescent="0.2">
      <c r="A187">
        <v>186</v>
      </c>
      <c r="B187">
        <v>800</v>
      </c>
      <c r="C187">
        <v>100</v>
      </c>
      <c r="D187">
        <v>0.51277128080883805</v>
      </c>
      <c r="E187">
        <v>99.856332052341102</v>
      </c>
      <c r="F187">
        <v>2.2037855435273199</v>
      </c>
      <c r="G187">
        <v>-1636.0803701134089</v>
      </c>
      <c r="H187">
        <v>-1367.7663113963845</v>
      </c>
      <c r="I187">
        <v>250.02474837350201</v>
      </c>
      <c r="J187">
        <v>132.53502695194501</v>
      </c>
      <c r="K187">
        <v>45.311274659018501</v>
      </c>
      <c r="L187">
        <v>1.1980332177116324E-4</v>
      </c>
      <c r="M187">
        <v>1.6305692028734675E-5</v>
      </c>
      <c r="N187" s="1">
        <v>2.0527483808909101E-6</v>
      </c>
      <c r="O187" s="1">
        <v>6.9177481829386997E-8</v>
      </c>
      <c r="P187" s="1">
        <v>-3.3210103542440301E-7</v>
      </c>
      <c r="Q187">
        <v>74.773895391938893</v>
      </c>
      <c r="R187">
        <v>6.9099273508097997E-2</v>
      </c>
      <c r="S187">
        <v>12.128727852287399</v>
      </c>
      <c r="T187">
        <v>0.159662605816767</v>
      </c>
      <c r="V187">
        <v>0.377081977348453</v>
      </c>
      <c r="W187">
        <v>2.4034529915858398E-2</v>
      </c>
      <c r="X187">
        <v>5.0071937324712802E-2</v>
      </c>
      <c r="AA187">
        <v>0.49143754127457601</v>
      </c>
      <c r="AB187">
        <v>3.73841629616616</v>
      </c>
      <c r="AC187">
        <v>4.5617599083285398</v>
      </c>
      <c r="AD187">
        <v>6.0086324789637496E-3</v>
      </c>
      <c r="AE187">
        <v>3.6198040536113898</v>
      </c>
    </row>
    <row r="188" spans="1:31" x14ac:dyDescent="0.2">
      <c r="A188">
        <v>187</v>
      </c>
      <c r="B188">
        <v>799</v>
      </c>
      <c r="C188">
        <v>100</v>
      </c>
      <c r="D188">
        <v>0.51225155062258299</v>
      </c>
      <c r="E188">
        <v>99.453068615242501</v>
      </c>
      <c r="F188">
        <v>2.2039961161855102</v>
      </c>
      <c r="G188">
        <v>-1629.1377333405478</v>
      </c>
      <c r="H188">
        <v>-1362.3541353465816</v>
      </c>
      <c r="I188">
        <v>248.83047893854999</v>
      </c>
      <c r="J188">
        <v>131.95571378070201</v>
      </c>
      <c r="K188">
        <v>45.123976346821799</v>
      </c>
      <c r="L188">
        <v>1.196386044613167E-4</v>
      </c>
      <c r="M188">
        <v>1.629462130997219E-5</v>
      </c>
      <c r="N188" s="1">
        <v>2.0448282576269901E-6</v>
      </c>
      <c r="O188" s="1">
        <v>6.8791803697554897E-8</v>
      </c>
      <c r="P188" s="1">
        <v>-3.3017744331877598E-7</v>
      </c>
      <c r="Q188">
        <v>74.821325103945099</v>
      </c>
      <c r="R188">
        <v>6.9379458030545599E-2</v>
      </c>
      <c r="S188">
        <v>12.0976693467613</v>
      </c>
      <c r="T188">
        <v>0.160469077627405</v>
      </c>
      <c r="V188">
        <v>0.37846784066428601</v>
      </c>
      <c r="W188">
        <v>2.4131985401927E-2</v>
      </c>
      <c r="X188">
        <v>5.0274969587356298E-2</v>
      </c>
      <c r="AA188">
        <v>0.48691199369874499</v>
      </c>
      <c r="AB188">
        <v>3.7180859815062499</v>
      </c>
      <c r="AC188">
        <v>4.5710137755288702</v>
      </c>
      <c r="AD188">
        <v>6.0329963504808203E-3</v>
      </c>
      <c r="AE188">
        <v>3.6162374708976501</v>
      </c>
    </row>
    <row r="189" spans="1:31" x14ac:dyDescent="0.2">
      <c r="A189">
        <v>188</v>
      </c>
      <c r="B189">
        <v>798</v>
      </c>
      <c r="C189">
        <v>100</v>
      </c>
      <c r="D189">
        <v>0.51173085002101004</v>
      </c>
      <c r="E189">
        <v>99.050181563120901</v>
      </c>
      <c r="F189">
        <v>2.20420712811412</v>
      </c>
      <c r="G189">
        <v>-1622.2050948052542</v>
      </c>
      <c r="H189">
        <v>-1356.9471511676518</v>
      </c>
      <c r="I189">
        <v>247.638466729778</v>
      </c>
      <c r="J189">
        <v>131.37724615472899</v>
      </c>
      <c r="K189">
        <v>44.936875622875803</v>
      </c>
      <c r="L189">
        <v>1.1947342869877747E-4</v>
      </c>
      <c r="M189">
        <v>1.6283587745487926E-5</v>
      </c>
      <c r="N189" s="1">
        <v>2.03690876424575E-6</v>
      </c>
      <c r="O189" s="1">
        <v>6.8407328326547199E-8</v>
      </c>
      <c r="P189" s="1">
        <v>-3.2825680032197902E-7</v>
      </c>
      <c r="Q189">
        <v>74.868874367800203</v>
      </c>
      <c r="R189">
        <v>6.9661659283310903E-2</v>
      </c>
      <c r="S189">
        <v>12.066580487516401</v>
      </c>
      <c r="T189">
        <v>0.16128158143686899</v>
      </c>
      <c r="V189">
        <v>0.37986347486845301</v>
      </c>
      <c r="W189">
        <v>2.42301423594104E-2</v>
      </c>
      <c r="X189">
        <v>5.0479463248780998E-2</v>
      </c>
      <c r="AA189">
        <v>0.48256502833769799</v>
      </c>
      <c r="AB189">
        <v>3.69767284539705</v>
      </c>
      <c r="AC189">
        <v>4.5800615110458702</v>
      </c>
      <c r="AD189">
        <v>6.0575355898515601E-3</v>
      </c>
      <c r="AE189">
        <v>3.6126719031159902</v>
      </c>
    </row>
    <row r="190" spans="1:31" x14ac:dyDescent="0.2">
      <c r="A190">
        <v>189</v>
      </c>
      <c r="B190">
        <v>797</v>
      </c>
      <c r="C190">
        <v>100</v>
      </c>
      <c r="D190">
        <v>0.511209176283699</v>
      </c>
      <c r="E190">
        <v>98.647776749950594</v>
      </c>
      <c r="F190">
        <v>2.2044184730204401</v>
      </c>
      <c r="G190">
        <v>-1615.2842258417056</v>
      </c>
      <c r="H190">
        <v>-1351.5468214125151</v>
      </c>
      <c r="I190">
        <v>246.44900661513799</v>
      </c>
      <c r="J190">
        <v>130.799770690782</v>
      </c>
      <c r="K190">
        <v>44.750022719046299</v>
      </c>
      <c r="L190">
        <v>1.1930784459293143E-4</v>
      </c>
      <c r="M190">
        <v>1.6272596039773343E-5</v>
      </c>
      <c r="N190" s="1">
        <v>2.0289933818240102E-6</v>
      </c>
      <c r="O190" s="1">
        <v>6.8024164312505103E-8</v>
      </c>
      <c r="P190" s="1">
        <v>-3.2633970400096099E-7</v>
      </c>
      <c r="Q190">
        <v>74.9165411051153</v>
      </c>
      <c r="R190">
        <v>6.9945823690382297E-2</v>
      </c>
      <c r="S190">
        <v>12.035463021501201</v>
      </c>
      <c r="T190">
        <v>0.16210002562485101</v>
      </c>
      <c r="V190">
        <v>0.38126855864067399</v>
      </c>
      <c r="W190">
        <v>2.4328982153174101E-2</v>
      </c>
      <c r="X190">
        <v>5.0685379485790001E-2</v>
      </c>
      <c r="AA190">
        <v>0.47839242089210698</v>
      </c>
      <c r="AB190">
        <v>3.6771883330505899</v>
      </c>
      <c r="AC190">
        <v>4.5888945349326304</v>
      </c>
      <c r="AD190">
        <v>6.08224553829233E-3</v>
      </c>
      <c r="AE190">
        <v>3.6091095693748598</v>
      </c>
    </row>
    <row r="191" spans="1:31" x14ac:dyDescent="0.2">
      <c r="A191">
        <v>190</v>
      </c>
      <c r="B191">
        <v>796</v>
      </c>
      <c r="C191">
        <v>100</v>
      </c>
      <c r="D191">
        <v>0.51068652668007097</v>
      </c>
      <c r="E191">
        <v>98.245955217404898</v>
      </c>
      <c r="F191">
        <v>2.2046300460599602</v>
      </c>
      <c r="G191">
        <v>-1608.3768156541664</v>
      </c>
      <c r="H191">
        <v>-1346.1545424572896</v>
      </c>
      <c r="I191">
        <v>245.26237964446199</v>
      </c>
      <c r="J191">
        <v>130.22342715180901</v>
      </c>
      <c r="K191">
        <v>44.563465599585101</v>
      </c>
      <c r="L191">
        <v>1.1914190127209251E-4</v>
      </c>
      <c r="M191">
        <v>1.6261650814210868E-5</v>
      </c>
      <c r="N191" s="1">
        <v>2.0210854587608702E-6</v>
      </c>
      <c r="O191" s="1">
        <v>6.7642415144432698E-8</v>
      </c>
      <c r="P191" s="1">
        <v>-3.2442672593406302E-7</v>
      </c>
      <c r="Q191">
        <v>74.964323384442693</v>
      </c>
      <c r="R191">
        <v>7.0231898959417796E-2</v>
      </c>
      <c r="S191">
        <v>12.004318591878</v>
      </c>
      <c r="T191">
        <v>0.162924321123676</v>
      </c>
      <c r="V191">
        <v>0.38268277803783601</v>
      </c>
      <c r="W191">
        <v>2.44284865945774E-2</v>
      </c>
      <c r="X191">
        <v>5.0892680405381599E-2</v>
      </c>
      <c r="AA191">
        <v>0.47438997451480702</v>
      </c>
      <c r="AB191">
        <v>3.6566437014662601</v>
      </c>
      <c r="AC191">
        <v>4.5975044087719699</v>
      </c>
      <c r="AD191">
        <v>6.1071216486430898E-3</v>
      </c>
      <c r="AE191">
        <v>3.6055526521565899</v>
      </c>
    </row>
    <row r="192" spans="1:31" x14ac:dyDescent="0.2">
      <c r="A192">
        <v>191</v>
      </c>
      <c r="B192">
        <v>795</v>
      </c>
      <c r="C192">
        <v>100</v>
      </c>
      <c r="D192">
        <v>0.51016289846931695</v>
      </c>
      <c r="E192">
        <v>97.844813142054605</v>
      </c>
      <c r="F192">
        <v>2.2048417439821399</v>
      </c>
      <c r="G192">
        <v>-1601.4844705156945</v>
      </c>
      <c r="H192">
        <v>-1340.7716437567126</v>
      </c>
      <c r="I192">
        <v>244.07885293168701</v>
      </c>
      <c r="J192">
        <v>129.64834838280299</v>
      </c>
      <c r="K192">
        <v>44.377249936014898</v>
      </c>
      <c r="L192">
        <v>1.1897564680943986E-4</v>
      </c>
      <c r="M192">
        <v>1.6250756601869855E-5</v>
      </c>
      <c r="N192" s="1">
        <v>2.0131882082301499E-6</v>
      </c>
      <c r="O192" s="1">
        <v>6.7262179165323399E-8</v>
      </c>
      <c r="P192" s="1">
        <v>-3.2251841140849499E-7</v>
      </c>
      <c r="Q192">
        <v>75.012219426703197</v>
      </c>
      <c r="R192">
        <v>7.0519834198902495E-2</v>
      </c>
      <c r="S192">
        <v>11.973148734727801</v>
      </c>
      <c r="T192">
        <v>0.16375438166557099</v>
      </c>
      <c r="V192">
        <v>0.38410582715439501</v>
      </c>
      <c r="W192">
        <v>2.45286379822242E-2</v>
      </c>
      <c r="X192">
        <v>5.1101329129646197E-2</v>
      </c>
      <c r="AA192">
        <v>0.47055352927691602</v>
      </c>
      <c r="AB192">
        <v>3.6360500015789898</v>
      </c>
      <c r="AC192">
        <v>4.6058828436323003</v>
      </c>
      <c r="AD192">
        <v>6.1321594955546796E-3</v>
      </c>
      <c r="AE192">
        <v>3.6020032944543399</v>
      </c>
    </row>
    <row r="193" spans="1:31" x14ac:dyDescent="0.2">
      <c r="A193">
        <v>192</v>
      </c>
      <c r="B193">
        <v>794</v>
      </c>
      <c r="C193">
        <v>100</v>
      </c>
      <c r="D193">
        <v>0.50963828890034402</v>
      </c>
      <c r="E193">
        <v>97.444441831080397</v>
      </c>
      <c r="F193">
        <v>2.20505346526746</v>
      </c>
      <c r="G193">
        <v>-1594.6087137650577</v>
      </c>
      <c r="H193">
        <v>-1335.3993877607431</v>
      </c>
      <c r="I193">
        <v>242.898679664821</v>
      </c>
      <c r="J193">
        <v>129.07466031296099</v>
      </c>
      <c r="K193">
        <v>44.191419104325703</v>
      </c>
      <c r="L193">
        <v>1.1880912815870112E-4</v>
      </c>
      <c r="M193">
        <v>1.623991784256124E-5</v>
      </c>
      <c r="N193" s="1">
        <v>2.0053047067966099E-6</v>
      </c>
      <c r="O193" s="1">
        <v>6.6883549572295796E-8</v>
      </c>
      <c r="P193" s="1">
        <v>-3.2061527933762701E-7</v>
      </c>
      <c r="Q193">
        <v>75.060227607768994</v>
      </c>
      <c r="R193">
        <v>7.0809580006229902E-2</v>
      </c>
      <c r="S193">
        <v>11.9419548774378</v>
      </c>
      <c r="T193">
        <v>0.16459012397175901</v>
      </c>
      <c r="V193">
        <v>0.38553740861598401</v>
      </c>
      <c r="W193">
        <v>2.4629419132598699E-2</v>
      </c>
      <c r="X193">
        <v>5.1311289859593899E-2</v>
      </c>
      <c r="AA193">
        <v>0.46687897035171899</v>
      </c>
      <c r="AB193">
        <v>3.6154180627797601</v>
      </c>
      <c r="AC193">
        <v>4.61402170818375</v>
      </c>
      <c r="AD193">
        <v>6.1573547831482696E-3</v>
      </c>
      <c r="AE193">
        <v>3.5984635971084602</v>
      </c>
    </row>
    <row r="194" spans="1:31" x14ac:dyDescent="0.2">
      <c r="A194">
        <v>193</v>
      </c>
      <c r="B194">
        <v>793</v>
      </c>
      <c r="C194">
        <v>100</v>
      </c>
      <c r="D194">
        <v>0.50911269521174396</v>
      </c>
      <c r="E194">
        <v>97.044927769668703</v>
      </c>
      <c r="F194">
        <v>2.2052651102523102</v>
      </c>
      <c r="G194">
        <v>-1587.7509866524565</v>
      </c>
      <c r="H194">
        <v>-1330.0389705349514</v>
      </c>
      <c r="I194">
        <v>241.72209925198601</v>
      </c>
      <c r="J194">
        <v>128.50248202862599</v>
      </c>
      <c r="K194">
        <v>44.006014205958799</v>
      </c>
      <c r="L194">
        <v>1.1864239110395817E-4</v>
      </c>
      <c r="M194">
        <v>1.6229138878406727E-5</v>
      </c>
      <c r="N194" s="1">
        <v>1.9974378943412998E-6</v>
      </c>
      <c r="O194" s="1">
        <v>6.6506614459871595E-8</v>
      </c>
      <c r="P194" s="1">
        <v>-3.1871782242631202E-7</v>
      </c>
      <c r="Q194">
        <v>75.108346457352297</v>
      </c>
      <c r="R194">
        <v>7.1101088522391706E-2</v>
      </c>
      <c r="S194">
        <v>11.9107383391817</v>
      </c>
      <c r="T194">
        <v>0.16543146787427601</v>
      </c>
      <c r="V194">
        <v>0.38697723388201799</v>
      </c>
      <c r="W194">
        <v>2.4730813399089599E-2</v>
      </c>
      <c r="X194">
        <v>5.1522527914784101E-2</v>
      </c>
      <c r="AA194">
        <v>0.46336223494186901</v>
      </c>
      <c r="AB194">
        <v>3.5947584798837999</v>
      </c>
      <c r="AC194">
        <v>4.6219130372051103</v>
      </c>
      <c r="AD194">
        <v>6.1827033497708801E-3</v>
      </c>
      <c r="AE194">
        <v>3.5949356164926898</v>
      </c>
    </row>
    <row r="195" spans="1:31" x14ac:dyDescent="0.2">
      <c r="A195">
        <v>194</v>
      </c>
      <c r="B195">
        <v>792</v>
      </c>
      <c r="C195">
        <v>100</v>
      </c>
      <c r="D195">
        <v>0.50858611463174297</v>
      </c>
      <c r="E195">
        <v>96.646352709063194</v>
      </c>
      <c r="F195">
        <v>2.2054765812492501</v>
      </c>
      <c r="G195">
        <v>-1580.9126498482717</v>
      </c>
      <c r="H195">
        <v>-1324.6915229331976</v>
      </c>
      <c r="I195">
        <v>240.549337572242</v>
      </c>
      <c r="J195">
        <v>127.931925901189</v>
      </c>
      <c r="K195">
        <v>43.821074107401998</v>
      </c>
      <c r="L195">
        <v>1.1847548021640986E-4</v>
      </c>
      <c r="M195">
        <v>1.6218423949371922E-5</v>
      </c>
      <c r="N195" s="1">
        <v>1.9895905749059402E-6</v>
      </c>
      <c r="O195" s="1">
        <v>6.6131456893435806E-8</v>
      </c>
      <c r="P195" s="1">
        <v>-3.1682650751137702E-7</v>
      </c>
      <c r="Q195">
        <v>75.156574655257103</v>
      </c>
      <c r="R195">
        <v>7.1394313459211295E-2</v>
      </c>
      <c r="S195">
        <v>11.8795003328873</v>
      </c>
      <c r="T195">
        <v>0.166278336382851</v>
      </c>
      <c r="V195">
        <v>0.38842502339075202</v>
      </c>
      <c r="W195">
        <v>2.4832804681461301E-2</v>
      </c>
      <c r="X195">
        <v>5.1735009753059898E-2</v>
      </c>
      <c r="AA195">
        <v>0.45999931790466803</v>
      </c>
      <c r="AB195">
        <v>3.57408160194072</v>
      </c>
      <c r="AC195">
        <v>4.6295490409065101</v>
      </c>
      <c r="AD195">
        <v>6.2082011703636798E-3</v>
      </c>
      <c r="AE195">
        <v>3.59142136226586</v>
      </c>
    </row>
    <row r="196" spans="1:31" x14ac:dyDescent="0.2">
      <c r="A196">
        <v>195</v>
      </c>
      <c r="B196">
        <v>791</v>
      </c>
      <c r="C196">
        <v>100</v>
      </c>
      <c r="D196">
        <v>0.50805854437814801</v>
      </c>
      <c r="E196">
        <v>95.016424316706804</v>
      </c>
      <c r="F196">
        <v>2.2060780693203399</v>
      </c>
      <c r="G196">
        <v>-1553.6624962214414</v>
      </c>
      <c r="H196">
        <v>-1302.2226033361862</v>
      </c>
      <c r="I196">
        <v>236.282378316266</v>
      </c>
      <c r="J196">
        <v>125.73514347061101</v>
      </c>
      <c r="K196">
        <v>43.0702909557411</v>
      </c>
      <c r="L196">
        <v>1.1831399490645685E-4</v>
      </c>
      <c r="M196">
        <v>1.6196322623811522E-5</v>
      </c>
      <c r="N196" s="1">
        <v>1.9540698945348E-6</v>
      </c>
      <c r="O196" s="1">
        <v>6.4848392463182794E-8</v>
      </c>
      <c r="P196" s="1">
        <v>-3.1094852520947698E-7</v>
      </c>
      <c r="Q196">
        <v>75.152633812172496</v>
      </c>
      <c r="R196">
        <v>7.2619024022644196E-2</v>
      </c>
      <c r="S196">
        <v>11.8702214804715</v>
      </c>
      <c r="T196">
        <v>0.16936079308934099</v>
      </c>
      <c r="V196">
        <v>0.394881097700093</v>
      </c>
      <c r="W196">
        <v>2.52587909643914E-2</v>
      </c>
      <c r="X196">
        <v>5.2622481175845399E-2</v>
      </c>
      <c r="AA196">
        <v>0.45462253654700702</v>
      </c>
      <c r="AB196">
        <v>3.5430609588449902</v>
      </c>
      <c r="AC196">
        <v>4.6747381316906198</v>
      </c>
      <c r="AD196">
        <v>6.3146977410947604E-3</v>
      </c>
      <c r="AE196">
        <v>3.5836661955798599</v>
      </c>
    </row>
    <row r="197" spans="1:31" x14ac:dyDescent="0.2">
      <c r="A197">
        <v>196</v>
      </c>
      <c r="B197">
        <v>790</v>
      </c>
      <c r="C197">
        <v>100</v>
      </c>
      <c r="D197">
        <v>0.507529981658283</v>
      </c>
      <c r="E197">
        <v>92.434244993398295</v>
      </c>
      <c r="F197">
        <v>2.20697345291117</v>
      </c>
      <c r="G197">
        <v>-1510.6739285374661</v>
      </c>
      <c r="H197">
        <v>-1266.5415608685707</v>
      </c>
      <c r="I197">
        <v>229.63115991994999</v>
      </c>
      <c r="J197">
        <v>122.281197028221</v>
      </c>
      <c r="K197">
        <v>41.882807820578897</v>
      </c>
      <c r="L197">
        <v>1.1814979693107232E-4</v>
      </c>
      <c r="M197">
        <v>1.6166258580543358E-5</v>
      </c>
      <c r="N197" s="1">
        <v>1.8974118825254299E-6</v>
      </c>
      <c r="O197" s="1">
        <v>6.2875239001648504E-8</v>
      </c>
      <c r="P197" s="1">
        <v>-3.0196494687428002E-7</v>
      </c>
      <c r="Q197">
        <v>75.113907924869494</v>
      </c>
      <c r="R197">
        <v>7.4647658997956598E-2</v>
      </c>
      <c r="S197">
        <v>11.874872545400899</v>
      </c>
      <c r="T197">
        <v>0.174361208269916</v>
      </c>
      <c r="V197">
        <v>0.40566993264065099</v>
      </c>
      <c r="W197">
        <v>2.59644031297162E-2</v>
      </c>
      <c r="X197">
        <v>5.40925065202775E-2</v>
      </c>
      <c r="AA197">
        <v>0.44919996774864301</v>
      </c>
      <c r="AB197">
        <v>3.50314070456868</v>
      </c>
      <c r="AC197">
        <v>4.74481293554655</v>
      </c>
      <c r="AD197">
        <v>6.4911007824257098E-3</v>
      </c>
      <c r="AE197">
        <v>3.5728391115246301</v>
      </c>
    </row>
    <row r="198" spans="1:31" x14ac:dyDescent="0.2">
      <c r="A198">
        <v>197</v>
      </c>
      <c r="B198">
        <v>789</v>
      </c>
      <c r="C198">
        <v>100</v>
      </c>
      <c r="D198">
        <v>0.50700042366897302</v>
      </c>
      <c r="E198">
        <v>89.495683303293504</v>
      </c>
      <c r="F198">
        <v>2.2079528845930501</v>
      </c>
      <c r="G198">
        <v>-1461.8666571927977</v>
      </c>
      <c r="H198">
        <v>-1225.9621303725633</v>
      </c>
      <c r="I198">
        <v>222.10095261519899</v>
      </c>
      <c r="J198">
        <v>118.35748289588101</v>
      </c>
      <c r="K198">
        <v>40.533330184619402</v>
      </c>
      <c r="L198">
        <v>1.1797746391894869E-4</v>
      </c>
      <c r="M198">
        <v>1.6135143497932535E-5</v>
      </c>
      <c r="N198" s="1">
        <v>1.8333465401745499E-6</v>
      </c>
      <c r="O198" s="1">
        <v>6.0663657854748497E-8</v>
      </c>
      <c r="P198" s="1">
        <v>-2.91794714897796E-7</v>
      </c>
      <c r="Q198">
        <v>75.071677071319499</v>
      </c>
      <c r="R198">
        <v>7.7098690633126299E-2</v>
      </c>
      <c r="S198">
        <v>11.8796611619894</v>
      </c>
      <c r="T198">
        <v>0.18034878183502401</v>
      </c>
      <c r="V198">
        <v>0.41875379077250502</v>
      </c>
      <c r="W198">
        <v>2.6816935872382701E-2</v>
      </c>
      <c r="X198">
        <v>5.5868616400838102E-2</v>
      </c>
      <c r="AA198">
        <v>0.44596722962702101</v>
      </c>
      <c r="AB198">
        <v>3.4594991269031499</v>
      </c>
      <c r="AC198">
        <v>4.8161580767588497</v>
      </c>
      <c r="AD198">
        <v>6.70423396809208E-3</v>
      </c>
      <c r="AE198">
        <v>3.5614462839200498</v>
      </c>
    </row>
    <row r="199" spans="1:31" x14ac:dyDescent="0.2">
      <c r="A199">
        <v>198</v>
      </c>
      <c r="B199">
        <v>788</v>
      </c>
      <c r="C199">
        <v>100</v>
      </c>
      <c r="D199">
        <v>0.50646986759647905</v>
      </c>
      <c r="E199">
        <v>85.825307555634396</v>
      </c>
      <c r="F199">
        <v>2.2090811831455901</v>
      </c>
      <c r="G199">
        <v>-1401.0969367452822</v>
      </c>
      <c r="H199">
        <v>-1175.3238851113974</v>
      </c>
      <c r="I199">
        <v>212.76261756950899</v>
      </c>
      <c r="J199">
        <v>113.468691753908</v>
      </c>
      <c r="K199">
        <v>38.851133317529097</v>
      </c>
      <c r="L199">
        <v>1.1779757442544548E-4</v>
      </c>
      <c r="M199">
        <v>1.6102886582070982E-5</v>
      </c>
      <c r="N199" s="1">
        <v>1.7542148349850001E-6</v>
      </c>
      <c r="O199" s="1">
        <v>5.79615644754297E-8</v>
      </c>
      <c r="P199" s="1">
        <v>-2.7920754438622702E-7</v>
      </c>
      <c r="Q199">
        <v>75.022619091912304</v>
      </c>
      <c r="R199">
        <v>8.0395866866288204E-2</v>
      </c>
      <c r="S199">
        <v>11.884738979185901</v>
      </c>
      <c r="T199">
        <v>0.188302213787234</v>
      </c>
      <c r="V199">
        <v>0.43644548977845998</v>
      </c>
      <c r="W199">
        <v>2.7963779779567599E-2</v>
      </c>
      <c r="X199">
        <v>5.8257874540815199E-2</v>
      </c>
      <c r="AA199">
        <v>0.44657083270972697</v>
      </c>
      <c r="AB199">
        <v>3.41040637726962</v>
      </c>
      <c r="AC199">
        <v>4.8879400349586097</v>
      </c>
      <c r="AD199">
        <v>6.9909449448873904E-3</v>
      </c>
      <c r="AE199">
        <v>3.54936851426642</v>
      </c>
    </row>
    <row r="200" spans="1:31" x14ac:dyDescent="0.2">
      <c r="A200">
        <v>199</v>
      </c>
      <c r="B200">
        <v>787</v>
      </c>
      <c r="C200">
        <v>100</v>
      </c>
      <c r="D200">
        <v>0.50593831061642502</v>
      </c>
      <c r="E200">
        <v>79.281640035958901</v>
      </c>
      <c r="F200">
        <v>2.2106711787597302</v>
      </c>
      <c r="G200">
        <v>-1293.334390692449</v>
      </c>
      <c r="H200">
        <v>-1085.2006614879615</v>
      </c>
      <c r="I200">
        <v>196.324792910897</v>
      </c>
      <c r="J200">
        <v>104.791262202136</v>
      </c>
      <c r="K200">
        <v>35.8631535968359</v>
      </c>
      <c r="L200">
        <v>1.1764158585858797E-4</v>
      </c>
      <c r="M200">
        <v>1.6071930784693802E-5</v>
      </c>
      <c r="N200" s="1">
        <v>1.6168164965002101E-6</v>
      </c>
      <c r="O200" s="1">
        <v>5.3343552167498298E-8</v>
      </c>
      <c r="P200" s="1">
        <v>-2.5725914346186502E-7</v>
      </c>
      <c r="Q200">
        <v>74.948086384965904</v>
      </c>
      <c r="R200">
        <v>8.7031499308942897E-2</v>
      </c>
      <c r="S200">
        <v>11.890798000494501</v>
      </c>
      <c r="T200">
        <v>0.20396876256275401</v>
      </c>
      <c r="V200">
        <v>0.47235622146300899</v>
      </c>
      <c r="W200">
        <v>3.0271825846572599E-2</v>
      </c>
      <c r="X200">
        <v>6.3066303847099797E-2</v>
      </c>
      <c r="AA200">
        <v>0.45811900232216901</v>
      </c>
      <c r="AB200">
        <v>3.3527174216844098</v>
      </c>
      <c r="AC200">
        <v>4.9487147709128996</v>
      </c>
      <c r="AD200">
        <v>7.5679564616359402E-3</v>
      </c>
      <c r="AE200">
        <v>3.5373018501300302</v>
      </c>
    </row>
    <row r="201" spans="1:31" x14ac:dyDescent="0.2">
      <c r="A201">
        <v>200</v>
      </c>
      <c r="B201">
        <v>786</v>
      </c>
      <c r="C201">
        <v>100</v>
      </c>
      <c r="D201">
        <v>0.50540574989378495</v>
      </c>
      <c r="E201">
        <v>67.213853345817896</v>
      </c>
      <c r="F201">
        <v>2.21320111054008</v>
      </c>
      <c r="G201">
        <v>-1095.3309739235017</v>
      </c>
      <c r="H201">
        <v>-919.1998299402029</v>
      </c>
      <c r="I201">
        <v>166.29480619675999</v>
      </c>
      <c r="J201">
        <v>88.838075485009895</v>
      </c>
      <c r="K201">
        <v>30.369519076111299</v>
      </c>
      <c r="L201">
        <v>1.1765233857117671E-4</v>
      </c>
      <c r="M201">
        <v>1.6054664560306852E-5</v>
      </c>
      <c r="N201" s="1">
        <v>1.36951335549267E-6</v>
      </c>
      <c r="O201" s="1">
        <v>4.5109469045544298E-8</v>
      </c>
      <c r="P201" s="1">
        <v>-2.1765674928556299E-7</v>
      </c>
      <c r="Q201">
        <v>74.811803535981397</v>
      </c>
      <c r="R201">
        <v>0.102657408503288</v>
      </c>
      <c r="S201">
        <v>11.895266138208701</v>
      </c>
      <c r="T201">
        <v>0.24035308575060299</v>
      </c>
      <c r="V201">
        <v>0.55737768190100201</v>
      </c>
      <c r="W201">
        <v>3.5706924696772398E-2</v>
      </c>
      <c r="X201">
        <v>7.4389426451717894E-2</v>
      </c>
      <c r="AA201">
        <v>0.48251872596954898</v>
      </c>
      <c r="AB201">
        <v>3.3005000746986299</v>
      </c>
      <c r="AC201">
        <v>4.9603564343194604</v>
      </c>
      <c r="AD201">
        <v>8.9267311741814109E-3</v>
      </c>
      <c r="AE201">
        <v>3.5301438323445402</v>
      </c>
    </row>
    <row r="202" spans="1:31" x14ac:dyDescent="0.2">
      <c r="A202">
        <v>201</v>
      </c>
      <c r="B202">
        <v>785</v>
      </c>
      <c r="C202">
        <v>100</v>
      </c>
      <c r="D202">
        <v>0.50487218258281097</v>
      </c>
      <c r="E202">
        <v>57.792148018560503</v>
      </c>
      <c r="F202">
        <v>2.2157648434780302</v>
      </c>
      <c r="G202">
        <v>-940.78140158803933</v>
      </c>
      <c r="H202">
        <v>-789.6044309367893</v>
      </c>
      <c r="I202">
        <v>142.869130700987</v>
      </c>
      <c r="J202">
        <v>76.3850981094361</v>
      </c>
      <c r="K202">
        <v>26.082256963624999</v>
      </c>
      <c r="L202">
        <v>1.177045320844513E-4</v>
      </c>
      <c r="M202">
        <v>1.60407814725968E-5</v>
      </c>
      <c r="N202" s="1">
        <v>1.17699640175987E-6</v>
      </c>
      <c r="O202" s="1">
        <v>3.87025648339652E-8</v>
      </c>
      <c r="P202" s="1">
        <v>-1.86842126180989E-7</v>
      </c>
      <c r="Q202">
        <v>74.670820916318107</v>
      </c>
      <c r="R202">
        <v>0.119393381913856</v>
      </c>
      <c r="S202">
        <v>11.897161045135499</v>
      </c>
      <c r="T202">
        <v>0.27923356521559101</v>
      </c>
      <c r="V202">
        <v>0.64851877477383901</v>
      </c>
      <c r="W202">
        <v>4.1528132839569201E-2</v>
      </c>
      <c r="X202">
        <v>8.6516943415919895E-2</v>
      </c>
      <c r="AA202">
        <v>0.501711018468186</v>
      </c>
      <c r="AB202">
        <v>3.25633192312094</v>
      </c>
      <c r="AC202">
        <v>4.9639413232795198</v>
      </c>
      <c r="AD202">
        <v>1.0382033209877401E-2</v>
      </c>
      <c r="AE202">
        <v>3.5244609423089499</v>
      </c>
    </row>
    <row r="203" spans="1:31" x14ac:dyDescent="0.2">
      <c r="A203">
        <v>202</v>
      </c>
      <c r="B203">
        <v>784</v>
      </c>
      <c r="C203">
        <v>100</v>
      </c>
      <c r="D203">
        <v>0.50433760582698905</v>
      </c>
      <c r="E203">
        <v>40.470486002090901</v>
      </c>
      <c r="F203">
        <v>2.2179369612652802</v>
      </c>
      <c r="G203">
        <v>-658.50409595953886</v>
      </c>
      <c r="H203">
        <v>-552.86662283967655</v>
      </c>
      <c r="I203">
        <v>99.926664257543706</v>
      </c>
      <c r="J203">
        <v>53.499736793724203</v>
      </c>
      <c r="K203">
        <v>18.246905439099301</v>
      </c>
      <c r="L203">
        <v>1.1751065487239612E-4</v>
      </c>
      <c r="M203">
        <v>1.6010474117853987E-5</v>
      </c>
      <c r="N203" s="1">
        <v>8.2198998946660899E-7</v>
      </c>
      <c r="O203" s="1">
        <v>2.6988393997619301E-8</v>
      </c>
      <c r="P203" s="1">
        <v>-1.30230764238798E-7</v>
      </c>
      <c r="Q203">
        <v>74.548434285633604</v>
      </c>
      <c r="R203">
        <v>0.14237929659884399</v>
      </c>
      <c r="S203">
        <v>11.9551492251944</v>
      </c>
      <c r="T203">
        <v>0.28340441192599303</v>
      </c>
      <c r="V203">
        <v>0.65897659317822099</v>
      </c>
      <c r="W203">
        <v>5.9302475386001002E-2</v>
      </c>
      <c r="X203">
        <v>0.119846929309946</v>
      </c>
      <c r="AA203">
        <v>0.53751559373272895</v>
      </c>
      <c r="AB203">
        <v>3.1627070574645</v>
      </c>
      <c r="AC203">
        <v>5.0065738326138503</v>
      </c>
      <c r="AD203">
        <v>1.4825618846474301E-2</v>
      </c>
      <c r="AE203">
        <v>3.51088468011528</v>
      </c>
    </row>
    <row r="204" spans="1:31" x14ac:dyDescent="0.2">
      <c r="A204">
        <v>203</v>
      </c>
      <c r="B204">
        <v>783</v>
      </c>
      <c r="C204">
        <v>100</v>
      </c>
      <c r="D204">
        <v>0.50380201675898495</v>
      </c>
      <c r="E204">
        <v>27.175618051489</v>
      </c>
      <c r="F204">
        <v>2.21984306835297</v>
      </c>
      <c r="G204">
        <v>-442.12668561426221</v>
      </c>
      <c r="H204">
        <v>-371.34408223367728</v>
      </c>
      <c r="I204">
        <v>67.019460664285504</v>
      </c>
      <c r="J204">
        <v>35.939191813619402</v>
      </c>
      <c r="K204">
        <v>12.242134788227199</v>
      </c>
      <c r="L204">
        <v>1.1729547743563133E-4</v>
      </c>
      <c r="M204">
        <v>1.5982699871311672E-5</v>
      </c>
      <c r="N204" s="1">
        <v>5.5057136431283495E-7</v>
      </c>
      <c r="O204" s="1">
        <v>1.8048972680112898E-8</v>
      </c>
      <c r="P204" s="1">
        <v>-8.7003843111833696E-8</v>
      </c>
      <c r="Q204">
        <v>74.423438385604499</v>
      </c>
      <c r="R204">
        <v>0.16503874639414201</v>
      </c>
      <c r="S204">
        <v>12.0498358467798</v>
      </c>
      <c r="T204">
        <v>0.27218364943432399</v>
      </c>
      <c r="V204">
        <v>0.63389042607378598</v>
      </c>
      <c r="W204">
        <v>8.8314458771499502E-2</v>
      </c>
      <c r="X204">
        <v>0.17106720412930401</v>
      </c>
      <c r="AA204">
        <v>0.56598280876857798</v>
      </c>
      <c r="AB204">
        <v>3.0624528615023601</v>
      </c>
      <c r="AC204">
        <v>5.0476729960398599</v>
      </c>
      <c r="AD204">
        <v>2.2078614692833499E-2</v>
      </c>
      <c r="AE204">
        <v>3.4980440018088701</v>
      </c>
    </row>
    <row r="205" spans="1:31" x14ac:dyDescent="0.2">
      <c r="A205">
        <v>204</v>
      </c>
      <c r="B205">
        <v>782</v>
      </c>
      <c r="C205">
        <v>100</v>
      </c>
      <c r="D205">
        <v>0.50326541250059598</v>
      </c>
      <c r="E205">
        <v>19.726396342770698</v>
      </c>
      <c r="F205">
        <v>2.22168342697928</v>
      </c>
      <c r="G205">
        <v>-320.89889699215752</v>
      </c>
      <c r="H205">
        <v>-269.6201736208962</v>
      </c>
      <c r="I205">
        <v>48.598515254950698</v>
      </c>
      <c r="J205">
        <v>26.1013031380723</v>
      </c>
      <c r="K205">
        <v>8.8790311451311599</v>
      </c>
      <c r="L205">
        <v>1.1716655070594101E-4</v>
      </c>
      <c r="M205">
        <v>1.5964311533640351E-5</v>
      </c>
      <c r="N205" s="1">
        <v>3.9911245667497E-7</v>
      </c>
      <c r="O205" s="1">
        <v>1.3062034018846399E-8</v>
      </c>
      <c r="P205" s="1">
        <v>-6.2895880538937006E-8</v>
      </c>
      <c r="Q205">
        <v>74.288696635831798</v>
      </c>
      <c r="R205">
        <v>0.18256744916238399</v>
      </c>
      <c r="S205">
        <v>12.1522751507311</v>
      </c>
      <c r="T205">
        <v>0.26329823882695202</v>
      </c>
      <c r="V205">
        <v>0.61448132051112903</v>
      </c>
      <c r="W205">
        <v>0.12166439111812501</v>
      </c>
      <c r="X205">
        <v>0.226753417420718</v>
      </c>
      <c r="AA205">
        <v>0.58203597614647595</v>
      </c>
      <c r="AB205">
        <v>2.9772386087871499</v>
      </c>
      <c r="AC205">
        <v>5.0712446924108301</v>
      </c>
      <c r="AD205">
        <v>3.0416097779470502E-2</v>
      </c>
      <c r="AE205">
        <v>3.4893280212737499</v>
      </c>
    </row>
    <row r="206" spans="1:31" x14ac:dyDescent="0.2">
      <c r="A206">
        <v>205</v>
      </c>
      <c r="B206">
        <v>781</v>
      </c>
      <c r="C206">
        <v>100</v>
      </c>
      <c r="D206">
        <v>0.50272779016268998</v>
      </c>
      <c r="E206">
        <v>13.232601909025799</v>
      </c>
      <c r="F206">
        <v>2.2237932920237502</v>
      </c>
      <c r="G206">
        <v>-215.21591265936249</v>
      </c>
      <c r="H206">
        <v>-180.89328268332119</v>
      </c>
      <c r="I206">
        <v>32.559531353262102</v>
      </c>
      <c r="J206">
        <v>17.513049044380899</v>
      </c>
      <c r="K206">
        <v>5.9504639916345603</v>
      </c>
      <c r="L206">
        <v>1.170215497874383E-4</v>
      </c>
      <c r="M206">
        <v>1.5955261297449907E-5</v>
      </c>
      <c r="N206" s="1">
        <v>2.67342508545895E-7</v>
      </c>
      <c r="O206" s="1">
        <v>8.7352923503432401E-9</v>
      </c>
      <c r="P206" s="1">
        <v>-4.1960025435523997E-8</v>
      </c>
      <c r="Q206">
        <v>74.0856113286181</v>
      </c>
      <c r="R206">
        <v>0.212818911191092</v>
      </c>
      <c r="S206">
        <v>12.3617750269807</v>
      </c>
      <c r="T206">
        <v>0.25219523182786202</v>
      </c>
      <c r="V206">
        <v>0.59121536377681205</v>
      </c>
      <c r="W206">
        <v>0.181370226089899</v>
      </c>
      <c r="X206">
        <v>0.22277072472822501</v>
      </c>
      <c r="AA206">
        <v>0.59511743071548295</v>
      </c>
      <c r="AB206">
        <v>2.8586927755468898</v>
      </c>
      <c r="AC206">
        <v>5.1127574130558804</v>
      </c>
      <c r="AD206">
        <v>4.5342556522364803E-2</v>
      </c>
      <c r="AE206">
        <v>3.4803330109464699</v>
      </c>
    </row>
    <row r="207" spans="1:31" x14ac:dyDescent="0.2">
      <c r="A207">
        <v>206</v>
      </c>
      <c r="B207">
        <v>780</v>
      </c>
      <c r="C207">
        <v>100</v>
      </c>
      <c r="D207">
        <v>0.50218914684517901</v>
      </c>
      <c r="E207">
        <v>10.057234883211899</v>
      </c>
      <c r="F207">
        <v>2.2257126362021098</v>
      </c>
      <c r="G207">
        <v>-163.53946914770907</v>
      </c>
      <c r="H207">
        <v>-137.50549664968682</v>
      </c>
      <c r="I207">
        <v>24.7200992242532</v>
      </c>
      <c r="J207">
        <v>13.314865739988599</v>
      </c>
      <c r="K207">
        <v>4.5186583027956599</v>
      </c>
      <c r="L207">
        <v>1.1695143085118558E-4</v>
      </c>
      <c r="M207">
        <v>1.595325813352129E-5</v>
      </c>
      <c r="N207" s="1">
        <v>2.0312976215715101E-7</v>
      </c>
      <c r="O207" s="1">
        <v>6.62562260569916E-9</v>
      </c>
      <c r="P207" s="1">
        <v>-3.1757808835010602E-8</v>
      </c>
      <c r="Q207">
        <v>73.891746917853993</v>
      </c>
      <c r="R207">
        <v>0.23227820754857301</v>
      </c>
      <c r="S207">
        <v>12.558191130948201</v>
      </c>
      <c r="T207">
        <v>0.24440055165056401</v>
      </c>
      <c r="V207">
        <v>0.57541998660962401</v>
      </c>
      <c r="W207">
        <v>0.238634180057166</v>
      </c>
      <c r="X207">
        <v>0.22574845835876201</v>
      </c>
      <c r="AA207">
        <v>0.60094028258823096</v>
      </c>
      <c r="AB207">
        <v>2.7600364302357998</v>
      </c>
      <c r="AC207">
        <v>5.13760512574411</v>
      </c>
      <c r="AD207">
        <v>5.9658545014142701E-2</v>
      </c>
      <c r="AE207">
        <v>3.4753401833907702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53372-1532-490E-92B3-61761CA8CB5A}">
  <sheetPr codeName="Sheet5"/>
  <dimension ref="A1:P20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</row>
    <row r="3" spans="1:16" x14ac:dyDescent="0.2">
      <c r="A3">
        <v>2</v>
      </c>
      <c r="B3">
        <v>756</v>
      </c>
      <c r="C3">
        <v>300</v>
      </c>
      <c r="D3">
        <v>0.27517903123937498</v>
      </c>
      <c r="E3">
        <v>3.8651671527062001</v>
      </c>
      <c r="F3">
        <v>0.60069908635206304</v>
      </c>
      <c r="G3">
        <v>-82.640175210913668</v>
      </c>
      <c r="H3">
        <v>-49.512729931394695</v>
      </c>
      <c r="I3">
        <v>32.191186028219001</v>
      </c>
      <c r="J3">
        <v>14.3371878930545</v>
      </c>
      <c r="K3">
        <v>6.4344481963151701</v>
      </c>
      <c r="L3">
        <v>1.1063432971336173E-3</v>
      </c>
      <c r="M3">
        <v>1.6577449469837026E-4</v>
      </c>
      <c r="N3" s="1">
        <v>4.7386395406977304E-6</v>
      </c>
      <c r="O3" s="1">
        <v>7.6834124649221299E-7</v>
      </c>
      <c r="P3" s="1">
        <v>-3.1249687334952899E-6</v>
      </c>
    </row>
    <row r="4" spans="1:16" x14ac:dyDescent="0.2">
      <c r="A4">
        <v>3</v>
      </c>
      <c r="B4">
        <v>755</v>
      </c>
      <c r="C4">
        <v>300</v>
      </c>
      <c r="D4">
        <v>0.27440597189125798</v>
      </c>
      <c r="E4">
        <v>4.0943888288450401</v>
      </c>
      <c r="F4">
        <v>0.62663465339989899</v>
      </c>
      <c r="G4">
        <v>-86.408717853397903</v>
      </c>
      <c r="H4">
        <v>-52.77925681641571</v>
      </c>
      <c r="I4">
        <v>32.7107736936577</v>
      </c>
      <c r="J4">
        <v>14.6412125676065</v>
      </c>
      <c r="K4">
        <v>6.5339329809328701</v>
      </c>
      <c r="L4">
        <v>1.0924352746884576E-3</v>
      </c>
      <c r="M4">
        <v>1.6333628823152918E-4</v>
      </c>
      <c r="N4" s="1">
        <v>4.78543452768638E-6</v>
      </c>
      <c r="O4" s="1">
        <v>7.6823865652934503E-7</v>
      </c>
      <c r="P4" s="1">
        <v>-3.1334294740928902E-6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4.3224608115969598</v>
      </c>
      <c r="F5">
        <v>0.65167845136963998</v>
      </c>
      <c r="G5">
        <v>-90.157035791965882</v>
      </c>
      <c r="H5">
        <v>-56.030105144682786</v>
      </c>
      <c r="I5">
        <v>33.2269470383699</v>
      </c>
      <c r="J5">
        <v>14.9436453094889</v>
      </c>
      <c r="K5">
        <v>6.63281224430912</v>
      </c>
      <c r="L5">
        <v>1.0790092422355657E-3</v>
      </c>
      <c r="M5">
        <v>1.6097936839330409E-4</v>
      </c>
      <c r="N5" s="1">
        <v>4.8323497656759902E-6</v>
      </c>
      <c r="O5" s="1">
        <v>7.6810092940987499E-7</v>
      </c>
      <c r="P5" s="1">
        <v>-3.1417749513660601E-6</v>
      </c>
    </row>
    <row r="6" spans="1:16" x14ac:dyDescent="0.2">
      <c r="A6">
        <v>5</v>
      </c>
      <c r="B6">
        <v>753</v>
      </c>
      <c r="C6">
        <v>300</v>
      </c>
      <c r="D6">
        <v>0.27285533304097898</v>
      </c>
      <c r="E6">
        <v>4.5493927866668598</v>
      </c>
      <c r="F6">
        <v>0.67587746391394299</v>
      </c>
      <c r="G6">
        <v>-93.885299142594718</v>
      </c>
      <c r="H6">
        <v>-59.26540758017844</v>
      </c>
      <c r="I6">
        <v>33.739732578321203</v>
      </c>
      <c r="J6">
        <v>15.244498534676399</v>
      </c>
      <c r="K6">
        <v>6.73109110684317</v>
      </c>
      <c r="L6">
        <v>1.0660396859413371E-3</v>
      </c>
      <c r="M6">
        <v>1.5869946004871499E-4</v>
      </c>
      <c r="N6" s="1">
        <v>4.8793829949322997E-6</v>
      </c>
      <c r="O6" s="1">
        <v>7.6792841031597201E-7</v>
      </c>
      <c r="P6" s="1">
        <v>-3.1500054248873501E-6</v>
      </c>
    </row>
    <row r="7" spans="1:16" x14ac:dyDescent="0.2">
      <c r="A7">
        <v>6</v>
      </c>
      <c r="B7">
        <v>752</v>
      </c>
      <c r="C7">
        <v>300</v>
      </c>
      <c r="D7">
        <v>0.27207774472028401</v>
      </c>
      <c r="E7">
        <v>4.7751943349060202</v>
      </c>
      <c r="F7">
        <v>0.69927543253815705</v>
      </c>
      <c r="G7">
        <v>-97.593676172109284</v>
      </c>
      <c r="H7">
        <v>-62.485295352936681</v>
      </c>
      <c r="I7">
        <v>34.249156527916703</v>
      </c>
      <c r="J7">
        <v>15.5437845144699</v>
      </c>
      <c r="K7">
        <v>6.8287746325843504</v>
      </c>
      <c r="L7">
        <v>1.0535028524034232E-3</v>
      </c>
      <c r="M7">
        <v>1.564925832056887E-4</v>
      </c>
      <c r="N7" s="1">
        <v>4.9265319415019897E-6</v>
      </c>
      <c r="O7" s="1">
        <v>7.6772144194077698E-7</v>
      </c>
      <c r="P7" s="1">
        <v>-3.15812115166159E-6</v>
      </c>
    </row>
    <row r="8" spans="1:16" x14ac:dyDescent="0.2">
      <c r="A8">
        <v>7</v>
      </c>
      <c r="B8">
        <v>751</v>
      </c>
      <c r="C8">
        <v>300</v>
      </c>
      <c r="D8">
        <v>0.27129863789483999</v>
      </c>
      <c r="E8">
        <v>4.9998749307629904</v>
      </c>
      <c r="F8">
        <v>0.72191313125312595</v>
      </c>
      <c r="G8">
        <v>-101.28233327381264</v>
      </c>
      <c r="H8">
        <v>-65.689898236367441</v>
      </c>
      <c r="I8">
        <v>34.755244796875097</v>
      </c>
      <c r="J8">
        <v>15.841515373435101</v>
      </c>
      <c r="K8">
        <v>6.9258678285626996</v>
      </c>
      <c r="L8">
        <v>1.0413765995329451E-3</v>
      </c>
      <c r="M8">
        <v>1.5435502801099195E-4</v>
      </c>
      <c r="N8" s="1">
        <v>4.97379431704909E-6</v>
      </c>
      <c r="O8" s="1">
        <v>7.6748036448589599E-7</v>
      </c>
      <c r="P8" s="1">
        <v>-3.1661223860709099E-6</v>
      </c>
    </row>
    <row r="9" spans="1:16" x14ac:dyDescent="0.2">
      <c r="A9">
        <v>8</v>
      </c>
      <c r="B9">
        <v>750</v>
      </c>
      <c r="C9">
        <v>300</v>
      </c>
      <c r="D9">
        <v>0.270518008112205</v>
      </c>
      <c r="E9">
        <v>5.2234439506328201</v>
      </c>
      <c r="F9">
        <v>0.74382861466736405</v>
      </c>
      <c r="G9">
        <v>-104.95143510807624</v>
      </c>
      <c r="H9">
        <v>-68.879344664807462</v>
      </c>
      <c r="I9">
        <v>35.258023011258203</v>
      </c>
      <c r="J9">
        <v>16.137703100718301</v>
      </c>
      <c r="K9">
        <v>7.0223756489506801</v>
      </c>
      <c r="L9">
        <v>1.0296402618320372E-3</v>
      </c>
      <c r="M9">
        <v>1.5228333217063794E-4</v>
      </c>
      <c r="N9" s="1">
        <v>5.0211678196362104E-6</v>
      </c>
      <c r="O9" s="1">
        <v>7.67205515804823E-7</v>
      </c>
      <c r="P9" s="1">
        <v>-3.1740093804224498E-6</v>
      </c>
    </row>
    <row r="10" spans="1:16" x14ac:dyDescent="0.2">
      <c r="A10">
        <v>9</v>
      </c>
      <c r="B10">
        <v>749</v>
      </c>
      <c r="C10">
        <v>300</v>
      </c>
      <c r="D10">
        <v>0.26973585090251001</v>
      </c>
      <c r="E10">
        <v>5.4459106677730897</v>
      </c>
      <c r="F10">
        <v>0.76505744043486601</v>
      </c>
      <c r="G10">
        <v>-108.60114451881331</v>
      </c>
      <c r="H10">
        <v>-72.053761660852828</v>
      </c>
      <c r="I10">
        <v>35.757516501458397</v>
      </c>
      <c r="J10">
        <v>16.432359543117101</v>
      </c>
      <c r="K10">
        <v>7.1183029926191903</v>
      </c>
      <c r="L10">
        <v>1.0182745296305059E-3</v>
      </c>
      <c r="M10">
        <v>1.5027426069574279E-4</v>
      </c>
      <c r="N10" s="1">
        <v>5.0686501331921296E-6</v>
      </c>
      <c r="O10" s="1">
        <v>7.6689723133960498E-7</v>
      </c>
      <c r="P10" s="1">
        <v>-3.1817823846478801E-6</v>
      </c>
    </row>
    <row r="11" spans="1:16" x14ac:dyDescent="0.2">
      <c r="A11">
        <v>10</v>
      </c>
      <c r="B11">
        <v>748</v>
      </c>
      <c r="C11">
        <v>300</v>
      </c>
      <c r="D11">
        <v>0.26895216177838999</v>
      </c>
      <c r="E11">
        <v>5.6672842584549397</v>
      </c>
      <c r="F11">
        <v>0.78563287118068303</v>
      </c>
      <c r="G11">
        <v>-112.23162263685344</v>
      </c>
      <c r="H11">
        <v>-75.213274921951182</v>
      </c>
      <c r="I11">
        <v>36.253750317187198</v>
      </c>
      <c r="J11">
        <v>16.725496413167999</v>
      </c>
      <c r="K11">
        <v>7.2136547060943403</v>
      </c>
      <c r="L11">
        <v>1.0072613394358093E-3</v>
      </c>
      <c r="M11">
        <v>1.4832478752414222E-4</v>
      </c>
      <c r="N11" s="1">
        <v>5.1162389279710298E-6</v>
      </c>
      <c r="O11" s="1">
        <v>7.6655584421067797E-7</v>
      </c>
      <c r="P11" s="1">
        <v>-3.18944164663483E-6</v>
      </c>
    </row>
    <row r="12" spans="1:16" x14ac:dyDescent="0.2">
      <c r="A12">
        <v>11</v>
      </c>
      <c r="B12">
        <v>747</v>
      </c>
      <c r="C12">
        <v>300</v>
      </c>
      <c r="D12">
        <v>0.26816693623486898</v>
      </c>
      <c r="E12">
        <v>5.8875737998534703</v>
      </c>
      <c r="F12">
        <v>0.80558605645588799</v>
      </c>
      <c r="G12">
        <v>-115.84302884613204</v>
      </c>
      <c r="H12">
        <v>-78.358008789832581</v>
      </c>
      <c r="I12">
        <v>36.746749222921203</v>
      </c>
      <c r="J12">
        <v>17.0171252863144</v>
      </c>
      <c r="K12">
        <v>7.3084355826060099</v>
      </c>
      <c r="L12">
        <v>9.9658377514762436E-4</v>
      </c>
      <c r="M12">
        <v>1.4643207895442971E-4</v>
      </c>
      <c r="N12" s="1">
        <v>5.1639318603405697E-6</v>
      </c>
      <c r="O12" s="1">
        <v>7.6618168520363902E-7</v>
      </c>
      <c r="P12" s="1">
        <v>-3.1969874121332901E-6</v>
      </c>
    </row>
    <row r="13" spans="1:16" x14ac:dyDescent="0.2">
      <c r="A13">
        <v>12</v>
      </c>
      <c r="B13">
        <v>746</v>
      </c>
      <c r="C13">
        <v>300</v>
      </c>
      <c r="D13">
        <v>0.26738016974930101</v>
      </c>
      <c r="E13">
        <v>6.1067882736844803</v>
      </c>
      <c r="F13">
        <v>0.82494619810498404</v>
      </c>
      <c r="G13">
        <v>-119.43552084586418</v>
      </c>
      <c r="H13">
        <v>-81.488086301294203</v>
      </c>
      <c r="I13">
        <v>37.236537707678302</v>
      </c>
      <c r="J13">
        <v>17.307257605979601</v>
      </c>
      <c r="K13">
        <v>7.4026503640026702</v>
      </c>
      <c r="L13">
        <v>9.8622597826455538E-4</v>
      </c>
      <c r="M13">
        <v>1.4459347859369681E-4</v>
      </c>
      <c r="N13" s="1">
        <v>5.2117265732090801E-6</v>
      </c>
      <c r="O13" s="1">
        <v>7.6577508284990203E-7</v>
      </c>
      <c r="P13" s="1">
        <v>-3.2044199250540601E-6</v>
      </c>
    </row>
    <row r="14" spans="1:16" x14ac:dyDescent="0.2">
      <c r="A14">
        <v>13</v>
      </c>
      <c r="B14">
        <v>745</v>
      </c>
      <c r="C14">
        <v>300</v>
      </c>
      <c r="D14">
        <v>0.26659185778126798</v>
      </c>
      <c r="E14">
        <v>6.3249365668779403</v>
      </c>
      <c r="F14">
        <v>0.84374070015076497</v>
      </c>
      <c r="G14">
        <v>-123.00925466198406</v>
      </c>
      <c r="H14">
        <v>-84.603629197393147</v>
      </c>
      <c r="I14">
        <v>37.723139985871498</v>
      </c>
      <c r="J14">
        <v>17.5959046839473</v>
      </c>
      <c r="K14">
        <v>7.4963037408859901</v>
      </c>
      <c r="L14">
        <v>9.7617306650356545E-4</v>
      </c>
      <c r="M14">
        <v>1.4280649371301298E-4</v>
      </c>
      <c r="N14" s="1">
        <v>5.25962069581234E-6</v>
      </c>
      <c r="O14" s="1">
        <v>7.6533636341201703E-7</v>
      </c>
      <c r="P14" s="1">
        <v>-3.21173942737128E-6</v>
      </c>
    </row>
    <row r="15" spans="1:16" x14ac:dyDescent="0.2">
      <c r="A15">
        <v>14</v>
      </c>
      <c r="B15">
        <v>744</v>
      </c>
      <c r="C15">
        <v>300</v>
      </c>
      <c r="D15">
        <v>0.26580199577250502</v>
      </c>
      <c r="E15">
        <v>6.5420274722032499</v>
      </c>
      <c r="F15">
        <v>0.86199530499249</v>
      </c>
      <c r="G15">
        <v>-126.56438465985963</v>
      </c>
      <c r="H15">
        <v>-87.704757931363829</v>
      </c>
      <c r="I15">
        <v>38.206580000675402</v>
      </c>
      <c r="J15">
        <v>17.883077701746</v>
      </c>
      <c r="K15">
        <v>7.5894003532423397</v>
      </c>
      <c r="L15">
        <v>9.6641105985249484E-4</v>
      </c>
      <c r="M15">
        <v>1.4106878284841592E-4</v>
      </c>
      <c r="N15" s="1">
        <v>5.3076118440431097E-6</v>
      </c>
      <c r="O15" s="1">
        <v>7.6486585094814695E-7</v>
      </c>
      <c r="P15" s="1">
        <v>-3.2189461593566399E-6</v>
      </c>
    </row>
    <row r="16" spans="1:16" x14ac:dyDescent="0.2">
      <c r="A16">
        <v>15</v>
      </c>
      <c r="B16">
        <v>743</v>
      </c>
      <c r="C16">
        <v>300</v>
      </c>
      <c r="D16">
        <v>0.265010579146782</v>
      </c>
      <c r="E16">
        <v>6.7580696913576199</v>
      </c>
      <c r="F16">
        <v>0.87973421765725701</v>
      </c>
      <c r="G16">
        <v>-130.10106359545037</v>
      </c>
      <c r="H16">
        <v>-90.791591712189458</v>
      </c>
      <c r="I16">
        <v>38.686881430157399</v>
      </c>
      <c r="J16">
        <v>18.168787714055</v>
      </c>
      <c r="K16">
        <v>7.6819447916376804</v>
      </c>
      <c r="L16">
        <v>9.5692681310102052E-4</v>
      </c>
      <c r="M16">
        <v>1.3937814449150441E-4</v>
      </c>
      <c r="N16" s="1">
        <v>5.3556976203668496E-6</v>
      </c>
      <c r="O16" s="1">
        <v>7.6436386731437696E-7</v>
      </c>
      <c r="P16" s="1">
        <v>-3.2260403595548998E-6</v>
      </c>
    </row>
    <row r="17" spans="1:16" x14ac:dyDescent="0.2">
      <c r="A17">
        <v>16</v>
      </c>
      <c r="B17">
        <v>742</v>
      </c>
      <c r="C17">
        <v>300</v>
      </c>
      <c r="D17">
        <v>0.264217603309855</v>
      </c>
      <c r="E17">
        <v>6.9730718334638198</v>
      </c>
      <c r="F17">
        <v>0.89698021868043099</v>
      </c>
      <c r="G17">
        <v>-133.61944259232703</v>
      </c>
      <c r="H17">
        <v>-93.864248482447621</v>
      </c>
      <c r="I17">
        <v>39.1640676851584</v>
      </c>
      <c r="J17">
        <v>18.453045647094601</v>
      </c>
      <c r="K17">
        <v>7.7739415967523504</v>
      </c>
      <c r="L17">
        <v>9.4770795455860718E-4</v>
      </c>
      <c r="M17">
        <v>1.3773250681183672E-4</v>
      </c>
      <c r="N17" s="1">
        <v>5.40387561388995E-6</v>
      </c>
      <c r="O17" s="1">
        <v>7.6383073218873703E-7</v>
      </c>
      <c r="P17" s="1">
        <v>-3.2330222648514698E-6</v>
      </c>
    </row>
    <row r="18" spans="1:16" x14ac:dyDescent="0.2">
      <c r="A18">
        <v>17</v>
      </c>
      <c r="B18">
        <v>741</v>
      </c>
      <c r="C18">
        <v>300</v>
      </c>
      <c r="D18">
        <v>0.26342306364936202</v>
      </c>
      <c r="E18">
        <v>7.1870424191486597</v>
      </c>
      <c r="F18">
        <v>0.91375476759755103</v>
      </c>
      <c r="G18">
        <v>-137.11967121067067</v>
      </c>
      <c r="H18">
        <v>-96.922844975539192</v>
      </c>
      <c r="I18">
        <v>39.638161919581201</v>
      </c>
      <c r="J18">
        <v>18.7358623040871</v>
      </c>
      <c r="K18">
        <v>7.8653952614057197</v>
      </c>
      <c r="L18">
        <v>9.3874282985591999E-4</v>
      </c>
      <c r="M18">
        <v>1.3612991823760935E-4</v>
      </c>
      <c r="N18" s="1">
        <v>5.4521434007377697E-6</v>
      </c>
      <c r="O18" s="1">
        <v>7.6326676314033598E-7</v>
      </c>
      <c r="P18" s="1">
        <v>-3.2398921107306799E-6</v>
      </c>
    </row>
    <row r="19" spans="1:16" x14ac:dyDescent="0.2">
      <c r="A19">
        <v>18</v>
      </c>
      <c r="B19">
        <v>740</v>
      </c>
      <c r="C19">
        <v>300</v>
      </c>
      <c r="D19">
        <v>0.26262695553471999</v>
      </c>
      <c r="E19">
        <v>7.3999898804236901</v>
      </c>
      <c r="F19">
        <v>0.93007809728401702</v>
      </c>
      <c r="G19">
        <v>-140.60189744552972</v>
      </c>
      <c r="H19">
        <v>-99.967496713657539</v>
      </c>
      <c r="I19">
        <v>40.109187029406897</v>
      </c>
      <c r="J19">
        <v>19.017248364616702</v>
      </c>
      <c r="K19">
        <v>7.9563102303267801</v>
      </c>
      <c r="L19">
        <v>9.3002045072465502E-4</v>
      </c>
      <c r="M19">
        <v>1.3456853886709887E-4</v>
      </c>
      <c r="N19" s="1">
        <v>5.5004985438155204E-6</v>
      </c>
      <c r="O19" s="1">
        <v>7.6267227560608504E-7</v>
      </c>
      <c r="P19" s="1">
        <v>-3.2466501311470701E-6</v>
      </c>
    </row>
    <row r="20" spans="1:16" x14ac:dyDescent="0.2">
      <c r="A20">
        <v>19</v>
      </c>
      <c r="B20">
        <v>739</v>
      </c>
      <c r="C20">
        <v>300</v>
      </c>
      <c r="D20">
        <v>0.261829274317047</v>
      </c>
      <c r="E20">
        <v>7.6119225620516202</v>
      </c>
      <c r="F20">
        <v>0.94596930038226701</v>
      </c>
      <c r="G20">
        <v>-144.0662677513796</v>
      </c>
      <c r="H20">
        <v>-102.99831802637748</v>
      </c>
      <c r="I20">
        <v>40.577165657319398</v>
      </c>
      <c r="J20">
        <v>19.297214386812598</v>
      </c>
      <c r="K20">
        <v>8.0466909010425898</v>
      </c>
      <c r="L20">
        <v>9.2153044807156579E-4</v>
      </c>
      <c r="M20">
        <v>1.3304663260095553E-4</v>
      </c>
      <c r="N20" s="1">
        <v>5.5489385931200797E-6</v>
      </c>
      <c r="O20" s="1">
        <v>7.62047582948425E-7</v>
      </c>
      <c r="P20" s="1">
        <v>-3.25329655873892E-6</v>
      </c>
    </row>
    <row r="21" spans="1:16" x14ac:dyDescent="0.2">
      <c r="A21">
        <v>20</v>
      </c>
      <c r="B21">
        <v>738</v>
      </c>
      <c r="C21">
        <v>300</v>
      </c>
      <c r="D21">
        <v>0.26103001532908299</v>
      </c>
      <c r="E21">
        <v>11.6124265418847</v>
      </c>
      <c r="F21">
        <v>1.17078790826601</v>
      </c>
      <c r="G21">
        <v>-208.94966062848565</v>
      </c>
      <c r="H21">
        <v>-158.28310419530379</v>
      </c>
      <c r="I21">
        <v>50.110188841221103</v>
      </c>
      <c r="J21">
        <v>24.634045419309398</v>
      </c>
      <c r="K21">
        <v>9.9184715351931505</v>
      </c>
      <c r="L21">
        <v>7.9421940717289271E-4</v>
      </c>
      <c r="M21">
        <v>1.142372461866385E-4</v>
      </c>
      <c r="N21" s="1">
        <v>5.8863644137124797E-6</v>
      </c>
      <c r="O21" s="1">
        <v>8.0438886598530804E-7</v>
      </c>
      <c r="P21" s="1">
        <v>-3.4437764163293099E-6</v>
      </c>
    </row>
    <row r="22" spans="1:16" x14ac:dyDescent="0.2">
      <c r="A22">
        <v>21</v>
      </c>
      <c r="B22">
        <v>737</v>
      </c>
      <c r="C22">
        <v>300</v>
      </c>
      <c r="D22">
        <v>0.260229173885068</v>
      </c>
      <c r="E22">
        <v>16.881498372907998</v>
      </c>
      <c r="F22">
        <v>1.36169081366703</v>
      </c>
      <c r="G22">
        <v>-294.51993341511979</v>
      </c>
      <c r="H22">
        <v>-231.1369349356564</v>
      </c>
      <c r="I22">
        <v>62.748641048421398</v>
      </c>
      <c r="J22">
        <v>31.7050505850349</v>
      </c>
      <c r="K22">
        <v>12.3974533744897</v>
      </c>
      <c r="L22">
        <v>6.8621595448600608E-4</v>
      </c>
      <c r="M22">
        <v>9.8299929924141883E-5</v>
      </c>
      <c r="N22" s="1">
        <v>6.3316400595008296E-6</v>
      </c>
      <c r="O22" s="1">
        <v>8.6260489275916701E-7</v>
      </c>
      <c r="P22" s="1">
        <v>-3.7034236946695098E-6</v>
      </c>
    </row>
    <row r="23" spans="1:16" x14ac:dyDescent="0.2">
      <c r="A23">
        <v>22</v>
      </c>
      <c r="B23">
        <v>736</v>
      </c>
      <c r="C23">
        <v>300</v>
      </c>
      <c r="D23">
        <v>0.25942674528068399</v>
      </c>
      <c r="E23">
        <v>37.413967548185603</v>
      </c>
      <c r="F23">
        <v>1.67998895004843</v>
      </c>
      <c r="G23">
        <v>-630.54287870610119</v>
      </c>
      <c r="H23">
        <v>-516.12625258149353</v>
      </c>
      <c r="I23">
        <v>113.382519826075</v>
      </c>
      <c r="J23">
        <v>59.923894451056</v>
      </c>
      <c r="K23">
        <v>22.270365258716101</v>
      </c>
      <c r="L23">
        <v>5.0828443454157895E-4</v>
      </c>
      <c r="M23">
        <v>7.222580855217444E-5</v>
      </c>
      <c r="N23" s="1">
        <v>8.1498878766621707E-6</v>
      </c>
      <c r="O23" s="1">
        <v>1.1308167227336601E-6</v>
      </c>
      <c r="P23" s="1">
        <v>-4.8679531613537604E-6</v>
      </c>
    </row>
    <row r="24" spans="1:16" x14ac:dyDescent="0.2">
      <c r="A24">
        <v>23</v>
      </c>
      <c r="B24">
        <v>735</v>
      </c>
      <c r="C24">
        <v>300</v>
      </c>
      <c r="D24">
        <v>0.25862272479293502</v>
      </c>
      <c r="E24">
        <v>52.747480643043197</v>
      </c>
      <c r="F24">
        <v>1.7806335523329899</v>
      </c>
      <c r="G24">
        <v>-881.61069412209474</v>
      </c>
      <c r="H24">
        <v>-729.15718447491929</v>
      </c>
      <c r="I24">
        <v>151.22494226003701</v>
      </c>
      <c r="J24">
        <v>81.166019584446104</v>
      </c>
      <c r="K24">
        <v>29.622872473638999</v>
      </c>
      <c r="L24">
        <v>4.4955375242541049E-4</v>
      </c>
      <c r="M24">
        <v>6.359101572812084E-5</v>
      </c>
      <c r="N24" s="1">
        <v>9.4830961291739896E-6</v>
      </c>
      <c r="O24" s="1">
        <v>1.3193836917910401E-6</v>
      </c>
      <c r="P24" s="1">
        <v>-5.6955452808089697E-6</v>
      </c>
    </row>
    <row r="25" spans="1:16" x14ac:dyDescent="0.2">
      <c r="A25">
        <v>24</v>
      </c>
      <c r="B25">
        <v>734</v>
      </c>
      <c r="C25">
        <v>300</v>
      </c>
      <c r="D25">
        <v>0.25781710768008598</v>
      </c>
      <c r="E25">
        <v>92.564137763213594</v>
      </c>
      <c r="F25">
        <v>1.9031316072487701</v>
      </c>
      <c r="G25">
        <v>-1529.5586753844761</v>
      </c>
      <c r="H25">
        <v>-1278.3931272259917</v>
      </c>
      <c r="I25">
        <v>249.38783622779599</v>
      </c>
      <c r="J25">
        <v>136.16517049216</v>
      </c>
      <c r="K25">
        <v>48.637801721462097</v>
      </c>
      <c r="L25">
        <v>3.8130244188727658E-4</v>
      </c>
      <c r="M25">
        <v>5.3610489740470383E-5</v>
      </c>
      <c r="N25" s="1">
        <v>1.2916756287962501E-5</v>
      </c>
      <c r="O25" s="1">
        <v>1.8163832184546801E-6</v>
      </c>
      <c r="P25" s="1">
        <v>-7.8624820798456307E-6</v>
      </c>
    </row>
    <row r="26" spans="1:16" x14ac:dyDescent="0.2">
      <c r="A26">
        <v>25</v>
      </c>
      <c r="B26">
        <v>733</v>
      </c>
      <c r="C26">
        <v>300</v>
      </c>
      <c r="D26">
        <v>0.257009889181535</v>
      </c>
      <c r="E26">
        <v>99.529532061089995</v>
      </c>
      <c r="F26">
        <v>1.9165181725785201</v>
      </c>
      <c r="G26">
        <v>-1642.7135050009401</v>
      </c>
      <c r="H26">
        <v>-1374.6884655793633</v>
      </c>
      <c r="I26">
        <v>266.39238640947201</v>
      </c>
      <c r="J26">
        <v>145.838918734679</v>
      </c>
      <c r="K26">
        <v>51.932474987795601</v>
      </c>
      <c r="L26">
        <v>3.7363955775449525E-4</v>
      </c>
      <c r="M26">
        <v>5.2394076637272097E-5</v>
      </c>
      <c r="N26" s="1">
        <v>1.35409287572365E-5</v>
      </c>
      <c r="O26" s="1">
        <v>1.8928545465563399E-6</v>
      </c>
      <c r="P26" s="1">
        <v>-8.2168899406315304E-6</v>
      </c>
    </row>
    <row r="27" spans="1:16" x14ac:dyDescent="0.2">
      <c r="A27">
        <v>26</v>
      </c>
      <c r="B27">
        <v>757</v>
      </c>
      <c r="C27">
        <v>280</v>
      </c>
      <c r="D27">
        <v>0.29730670290734501</v>
      </c>
      <c r="E27">
        <v>4.0241718795542498</v>
      </c>
      <c r="F27">
        <v>0.55925083615285598</v>
      </c>
      <c r="G27">
        <v>-87.165379659776448</v>
      </c>
      <c r="H27">
        <v>-51.235704290940525</v>
      </c>
      <c r="I27">
        <v>34.880336113282297</v>
      </c>
      <c r="J27">
        <v>15.507542770596899</v>
      </c>
      <c r="K27">
        <v>7.1956474973500901</v>
      </c>
      <c r="L27">
        <v>1.1820071903734558E-3</v>
      </c>
      <c r="M27">
        <v>1.8840061099152227E-4</v>
      </c>
      <c r="N27" s="1">
        <v>5.5590424858635199E-6</v>
      </c>
      <c r="O27" s="1">
        <v>1.07577193715427E-6</v>
      </c>
      <c r="P27" s="1">
        <v>-4.0681529883339E-6</v>
      </c>
    </row>
    <row r="28" spans="1:16" x14ac:dyDescent="0.2">
      <c r="A28">
        <v>27</v>
      </c>
      <c r="B28">
        <v>756</v>
      </c>
      <c r="C28">
        <v>280</v>
      </c>
      <c r="D28">
        <v>0.29655589564203599</v>
      </c>
      <c r="E28">
        <v>4.1514760756365501</v>
      </c>
      <c r="F28">
        <v>0.57283778637119898</v>
      </c>
      <c r="G28">
        <v>-89.244386872845354</v>
      </c>
      <c r="H28">
        <v>-53.057687071066887</v>
      </c>
      <c r="I28">
        <v>35.163976872743397</v>
      </c>
      <c r="J28">
        <v>15.6808752618953</v>
      </c>
      <c r="K28">
        <v>7.2472105967995404</v>
      </c>
      <c r="L28">
        <v>1.1749249588000287E-3</v>
      </c>
      <c r="M28">
        <v>1.8684057297829016E-4</v>
      </c>
      <c r="N28" s="1">
        <v>5.6103056412648298E-6</v>
      </c>
      <c r="O28" s="1">
        <v>1.07395339302352E-6</v>
      </c>
      <c r="P28" s="1">
        <v>-4.0733295050938896E-6</v>
      </c>
    </row>
    <row r="29" spans="1:16" x14ac:dyDescent="0.2">
      <c r="A29">
        <v>28</v>
      </c>
      <c r="B29">
        <v>755</v>
      </c>
      <c r="C29">
        <v>280</v>
      </c>
      <c r="D29">
        <v>0.29580362787530801</v>
      </c>
      <c r="E29">
        <v>4.3756220758655999</v>
      </c>
      <c r="F29">
        <v>0.59584706876179305</v>
      </c>
      <c r="G29">
        <v>-92.92718918577205</v>
      </c>
      <c r="H29">
        <v>-56.255335074852596</v>
      </c>
      <c r="I29">
        <v>35.670055915823099</v>
      </c>
      <c r="J29">
        <v>15.979415025018399</v>
      </c>
      <c r="K29">
        <v>7.3435320995342197</v>
      </c>
      <c r="L29">
        <v>1.1622039727341967E-3</v>
      </c>
      <c r="M29">
        <v>1.8439778554049031E-4</v>
      </c>
      <c r="N29" s="1">
        <v>5.6685296046054797E-6</v>
      </c>
      <c r="O29" s="1">
        <v>1.0734023205222201E-6</v>
      </c>
      <c r="P29" s="1">
        <v>-4.08333033467648E-6</v>
      </c>
    </row>
    <row r="30" spans="1:16" x14ac:dyDescent="0.2">
      <c r="A30">
        <v>29</v>
      </c>
      <c r="B30">
        <v>754</v>
      </c>
      <c r="C30">
        <v>280</v>
      </c>
      <c r="D30">
        <v>0.29504989534147702</v>
      </c>
      <c r="E30">
        <v>4.5986595014793101</v>
      </c>
      <c r="F30">
        <v>0.61816014172586797</v>
      </c>
      <c r="G30">
        <v>-96.590497068334088</v>
      </c>
      <c r="H30">
        <v>-59.437858563805193</v>
      </c>
      <c r="I30">
        <v>36.172865913244401</v>
      </c>
      <c r="J30">
        <v>16.2764337895936</v>
      </c>
      <c r="K30">
        <v>7.4392688739848403</v>
      </c>
      <c r="L30">
        <v>1.149871431432165E-3</v>
      </c>
      <c r="M30">
        <v>1.8202615962876456E-4</v>
      </c>
      <c r="N30" s="1">
        <v>5.7269362174913796E-6</v>
      </c>
      <c r="O30" s="1">
        <v>1.07280794959197E-6</v>
      </c>
      <c r="P30" s="1">
        <v>-4.0931974338976401E-6</v>
      </c>
    </row>
    <row r="31" spans="1:16" x14ac:dyDescent="0.2">
      <c r="A31">
        <v>30</v>
      </c>
      <c r="B31">
        <v>753</v>
      </c>
      <c r="C31">
        <v>280</v>
      </c>
      <c r="D31">
        <v>0.29429469375822398</v>
      </c>
      <c r="E31">
        <v>4.8205974805462697</v>
      </c>
      <c r="F31">
        <v>0.639809533896738</v>
      </c>
      <c r="G31">
        <v>-100.23447110691278</v>
      </c>
      <c r="H31">
        <v>-62.605382548632186</v>
      </c>
      <c r="I31">
        <v>36.672431977174497</v>
      </c>
      <c r="J31">
        <v>16.571943224810301</v>
      </c>
      <c r="K31">
        <v>7.53442583324225</v>
      </c>
      <c r="L31">
        <v>1.137909055057695E-3</v>
      </c>
      <c r="M31">
        <v>1.7972237665468568E-4</v>
      </c>
      <c r="N31" s="1">
        <v>5.7855225567543498E-6</v>
      </c>
      <c r="O31" s="1">
        <v>1.0721706905707999E-6</v>
      </c>
      <c r="P31" s="1">
        <v>-4.1029309472110999E-6</v>
      </c>
    </row>
    <row r="32" spans="1:16" x14ac:dyDescent="0.2">
      <c r="A32">
        <v>31</v>
      </c>
      <c r="B32">
        <v>752</v>
      </c>
      <c r="C32">
        <v>280</v>
      </c>
      <c r="D32">
        <v>0.29353801882651298</v>
      </c>
      <c r="E32">
        <v>5.0414450419291903</v>
      </c>
      <c r="F32">
        <v>0.66082577831863998</v>
      </c>
      <c r="G32">
        <v>-103.85927014161622</v>
      </c>
      <c r="H32">
        <v>-65.758030681307133</v>
      </c>
      <c r="I32">
        <v>37.168778939729201</v>
      </c>
      <c r="J32">
        <v>16.8659548649937</v>
      </c>
      <c r="K32">
        <v>7.6290078373702297</v>
      </c>
      <c r="L32">
        <v>1.1262996850241449E-3</v>
      </c>
      <c r="M32">
        <v>1.7748332176910998E-4</v>
      </c>
      <c r="N32" s="1">
        <v>5.8442856771988204E-6</v>
      </c>
      <c r="O32" s="1">
        <v>1.0714909514089E-6</v>
      </c>
      <c r="P32" s="1">
        <v>-4.1125310177627898E-6</v>
      </c>
    </row>
    <row r="33" spans="1:16" x14ac:dyDescent="0.2">
      <c r="A33">
        <v>32</v>
      </c>
      <c r="B33">
        <v>751</v>
      </c>
      <c r="C33">
        <v>280</v>
      </c>
      <c r="D33">
        <v>0.29277986623053498</v>
      </c>
      <c r="E33">
        <v>5.26121111986836</v>
      </c>
      <c r="F33">
        <v>0.68123756345233499</v>
      </c>
      <c r="G33">
        <v>-107.46505134318259</v>
      </c>
      <c r="H33">
        <v>-68.895925319601758</v>
      </c>
      <c r="I33">
        <v>37.661931363685802</v>
      </c>
      <c r="J33">
        <v>17.158480115400799</v>
      </c>
      <c r="K33">
        <v>7.7230196955169497</v>
      </c>
      <c r="L33">
        <v>1.1150271991474574E-3</v>
      </c>
      <c r="M33">
        <v>1.7530606844825357E-4</v>
      </c>
      <c r="N33" s="1">
        <v>5.9032226119374499E-6</v>
      </c>
      <c r="O33" s="1">
        <v>1.07076913773313E-6</v>
      </c>
      <c r="P33" s="1">
        <v>-4.1219977876256103E-6</v>
      </c>
    </row>
    <row r="34" spans="1:16" x14ac:dyDescent="0.2">
      <c r="A34">
        <v>33</v>
      </c>
      <c r="B34">
        <v>750</v>
      </c>
      <c r="C34">
        <v>280</v>
      </c>
      <c r="D34">
        <v>0.292020231637589</v>
      </c>
      <c r="E34">
        <v>5.4799045514349203</v>
      </c>
      <c r="F34">
        <v>0.70107187004529803</v>
      </c>
      <c r="G34">
        <v>-111.05197017277401</v>
      </c>
      <c r="H34">
        <v>-72.019187490061057</v>
      </c>
      <c r="I34">
        <v>38.151913538056903</v>
      </c>
      <c r="J34">
        <v>17.449530249307401</v>
      </c>
      <c r="K34">
        <v>7.8164661649894001</v>
      </c>
      <c r="L34">
        <v>1.1040764347650077E-3</v>
      </c>
      <c r="M34">
        <v>1.7318786451710132E-4</v>
      </c>
      <c r="N34" s="1">
        <v>5.9623303724855296E-6</v>
      </c>
      <c r="O34" s="1">
        <v>1.0700056528660801E-6</v>
      </c>
      <c r="P34" s="1">
        <v>-4.1313313978629597E-6</v>
      </c>
    </row>
    <row r="35" spans="1:16" x14ac:dyDescent="0.2">
      <c r="A35">
        <v>34</v>
      </c>
      <c r="B35">
        <v>749</v>
      </c>
      <c r="C35">
        <v>280</v>
      </c>
      <c r="D35">
        <v>0.291259110698039</v>
      </c>
      <c r="E35">
        <v>5.6975340794957301</v>
      </c>
      <c r="F35">
        <v>0.720354096488941</v>
      </c>
      <c r="G35">
        <v>-114.6201804312733</v>
      </c>
      <c r="H35">
        <v>-75.127936929780759</v>
      </c>
      <c r="I35">
        <v>38.638749484108402</v>
      </c>
      <c r="J35">
        <v>17.739116411321401</v>
      </c>
      <c r="K35">
        <v>7.9093519524160696</v>
      </c>
      <c r="L35">
        <v>1.0934331183024076E-3</v>
      </c>
      <c r="M35">
        <v>1.7112611935290623E-4</v>
      </c>
      <c r="N35" s="1">
        <v>6.0216059487800496E-6</v>
      </c>
      <c r="O35" s="1">
        <v>1.0692008978305601E-6</v>
      </c>
      <c r="P35" s="1">
        <v>-4.1405319885357297E-6</v>
      </c>
    </row>
    <row r="36" spans="1:16" x14ac:dyDescent="0.2">
      <c r="A36">
        <v>35</v>
      </c>
      <c r="B36">
        <v>748</v>
      </c>
      <c r="C36">
        <v>280</v>
      </c>
      <c r="D36">
        <v>0.29049649904519698</v>
      </c>
      <c r="E36">
        <v>5.91410835520107</v>
      </c>
      <c r="F36">
        <v>0.73910817320519895</v>
      </c>
      <c r="G36">
        <v>-118.16983430318801</v>
      </c>
      <c r="H36">
        <v>-78.222292120697063</v>
      </c>
      <c r="I36">
        <v>39.122462963462901</v>
      </c>
      <c r="J36">
        <v>18.0272496213822</v>
      </c>
      <c r="K36">
        <v>8.0016817153490294</v>
      </c>
      <c r="L36">
        <v>1.0830838010080647E-3</v>
      </c>
      <c r="M36">
        <v>1.691183922077506E-4</v>
      </c>
      <c r="N36" s="1">
        <v>6.0810463098670797E-6</v>
      </c>
      <c r="O36" s="1">
        <v>1.06835527147193E-6</v>
      </c>
      <c r="P36" s="1">
        <v>-4.1495996991675202E-6</v>
      </c>
    </row>
    <row r="37" spans="1:16" x14ac:dyDescent="0.2">
      <c r="A37">
        <v>36</v>
      </c>
      <c r="B37">
        <v>747</v>
      </c>
      <c r="C37">
        <v>280</v>
      </c>
      <c r="D37">
        <v>0.28973239229525299</v>
      </c>
      <c r="E37">
        <v>6.1296359371362801</v>
      </c>
      <c r="F37">
        <v>0.75735666705329097</v>
      </c>
      <c r="G37">
        <v>-121.70108234228698</v>
      </c>
      <c r="H37">
        <v>-81.302370277350377</v>
      </c>
      <c r="I37">
        <v>39.603077474742797</v>
      </c>
      <c r="J37">
        <v>18.313940772896501</v>
      </c>
      <c r="K37">
        <v>8.0934600615392398</v>
      </c>
      <c r="L37">
        <v>1.0730158003023332E-3</v>
      </c>
      <c r="M37">
        <v>1.6716238154812829E-4</v>
      </c>
      <c r="N37" s="1">
        <v>6.1406484035336499E-6</v>
      </c>
      <c r="O37" s="1">
        <v>1.0674691703888501E-6</v>
      </c>
      <c r="P37" s="1">
        <v>-4.1585346684707403E-6</v>
      </c>
    </row>
    <row r="38" spans="1:16" x14ac:dyDescent="0.2">
      <c r="A38">
        <v>37</v>
      </c>
      <c r="B38">
        <v>746</v>
      </c>
      <c r="C38">
        <v>280</v>
      </c>
      <c r="D38">
        <v>0.288966786047197</v>
      </c>
      <c r="E38">
        <v>6.3441252942973696</v>
      </c>
      <c r="F38">
        <v>0.77512087717984601</v>
      </c>
      <c r="G38">
        <v>-125.21407352366458</v>
      </c>
      <c r="H38">
        <v>-84.368287388091545</v>
      </c>
      <c r="I38">
        <v>40.080616262933297</v>
      </c>
      <c r="J38">
        <v>18.599200637432499</v>
      </c>
      <c r="K38">
        <v>8.1846915507932803</v>
      </c>
      <c r="L38">
        <v>1.063217145924089E-3</v>
      </c>
      <c r="M38">
        <v>1.6525591527024488E-4</v>
      </c>
      <c r="N38" s="1">
        <v>6.2004091570822503E-6</v>
      </c>
      <c r="O38" s="1">
        <v>1.0665429890659799E-6</v>
      </c>
      <c r="P38" s="1">
        <v>-4.1673370348568799E-6</v>
      </c>
    </row>
    <row r="39" spans="1:16" x14ac:dyDescent="0.2">
      <c r="A39">
        <v>38</v>
      </c>
      <c r="B39">
        <v>745</v>
      </c>
      <c r="C39">
        <v>280</v>
      </c>
      <c r="D39">
        <v>0.28819967588272899</v>
      </c>
      <c r="E39">
        <v>6.5575848063003299</v>
      </c>
      <c r="F39">
        <v>0.79242092275465104</v>
      </c>
      <c r="G39">
        <v>-128.70895524700822</v>
      </c>
      <c r="H39">
        <v>-87.42015821784878</v>
      </c>
      <c r="I39">
        <v>40.555102318629203</v>
      </c>
      <c r="J39">
        <v>18.883039864302201</v>
      </c>
      <c r="K39">
        <v>8.2753806947758797</v>
      </c>
      <c r="L39">
        <v>1.053676530642346E-3</v>
      </c>
      <c r="M39">
        <v>1.6339694174236091E-4</v>
      </c>
      <c r="N39" s="1">
        <v>6.2603254770787097E-6</v>
      </c>
      <c r="O39" s="1">
        <v>1.0655771198249501E-6</v>
      </c>
      <c r="P39" s="1">
        <v>-4.1760069362426903E-6</v>
      </c>
    </row>
    <row r="40" spans="1:16" x14ac:dyDescent="0.2">
      <c r="A40">
        <v>39</v>
      </c>
      <c r="B40">
        <v>744</v>
      </c>
      <c r="C40">
        <v>280</v>
      </c>
      <c r="D40">
        <v>0.28743105736617303</v>
      </c>
      <c r="E40">
        <v>6.7700227647038602</v>
      </c>
      <c r="F40">
        <v>0.80927582354556304</v>
      </c>
      <c r="G40">
        <v>-132.18587336085807</v>
      </c>
      <c r="H40">
        <v>-90.458096325980804</v>
      </c>
      <c r="I40">
        <v>41.026558383082502</v>
      </c>
      <c r="J40">
        <v>19.165468982911801</v>
      </c>
      <c r="K40">
        <v>8.3655319579959002</v>
      </c>
      <c r="L40">
        <v>1.0443832649898743E-3</v>
      </c>
      <c r="M40">
        <v>1.6158352157850706E-4</v>
      </c>
      <c r="N40" s="1">
        <v>6.3203942499233602E-6</v>
      </c>
      <c r="O40" s="1">
        <v>1.0645719529155499E-6</v>
      </c>
      <c r="P40" s="1">
        <v>-4.1845445104041501E-6</v>
      </c>
    </row>
    <row r="41" spans="1:16" x14ac:dyDescent="0.2">
      <c r="A41">
        <v>40</v>
      </c>
      <c r="B41">
        <v>743</v>
      </c>
      <c r="C41">
        <v>280</v>
      </c>
      <c r="D41">
        <v>0.28666092604438298</v>
      </c>
      <c r="E41">
        <v>6.9814473742213501</v>
      </c>
      <c r="F41">
        <v>0.82570357402063499</v>
      </c>
      <c r="G41">
        <v>-135.64497218291777</v>
      </c>
      <c r="H41">
        <v>-93.482214083171513</v>
      </c>
      <c r="I41">
        <v>41.495006950337299</v>
      </c>
      <c r="J41">
        <v>19.446498403884199</v>
      </c>
      <c r="K41">
        <v>8.4551497581950308</v>
      </c>
      <c r="L41">
        <v>1.0353272356308581E-3</v>
      </c>
      <c r="M41">
        <v>1.5981382007333755E-4</v>
      </c>
      <c r="N41" s="1">
        <v>6.3806123418124496E-6</v>
      </c>
      <c r="O41" s="1">
        <v>1.0635278765016E-6</v>
      </c>
      <c r="P41" s="1">
        <v>-4.19294989492006E-6</v>
      </c>
    </row>
    <row r="42" spans="1:16" x14ac:dyDescent="0.2">
      <c r="A42">
        <v>41</v>
      </c>
      <c r="B42">
        <v>742</v>
      </c>
      <c r="C42">
        <v>280</v>
      </c>
      <c r="D42">
        <v>0.28588927744668102</v>
      </c>
      <c r="E42">
        <v>7.1918667547834199</v>
      </c>
      <c r="F42">
        <v>0.84172121155325197</v>
      </c>
      <c r="G42">
        <v>-139.08639453639216</v>
      </c>
      <c r="H42">
        <v>-96.492622699857904</v>
      </c>
      <c r="I42">
        <v>41.960470273804397</v>
      </c>
      <c r="J42">
        <v>19.726138422306999</v>
      </c>
      <c r="K42">
        <v>8.5442384676418701</v>
      </c>
      <c r="L42">
        <v>1.0264988670418366E-3</v>
      </c>
      <c r="M42">
        <v>1.5808610023922885E-4</v>
      </c>
      <c r="N42" s="1">
        <v>6.4409765993536102E-6</v>
      </c>
      <c r="O42" s="1">
        <v>1.06244527675406E-6</v>
      </c>
      <c r="P42" s="1">
        <v>-4.2012232275400303E-6</v>
      </c>
    </row>
    <row r="43" spans="1:16" x14ac:dyDescent="0.2">
      <c r="A43">
        <v>42</v>
      </c>
      <c r="B43">
        <v>741</v>
      </c>
      <c r="C43">
        <v>280</v>
      </c>
      <c r="D43">
        <v>0.28511610708475299</v>
      </c>
      <c r="E43">
        <v>8.3930542636300505</v>
      </c>
      <c r="F43">
        <v>0.92222745880673695</v>
      </c>
      <c r="G43">
        <v>-158.60545786899428</v>
      </c>
      <c r="H43">
        <v>-113.1808983792623</v>
      </c>
      <c r="I43">
        <v>44.793174059769001</v>
      </c>
      <c r="J43">
        <v>21.325674996596899</v>
      </c>
      <c r="K43">
        <v>9.1008505369052397</v>
      </c>
      <c r="L43">
        <v>9.7920661793851681E-4</v>
      </c>
      <c r="M43">
        <v>1.5039840896733755E-4</v>
      </c>
      <c r="N43" s="1">
        <v>6.5816968848288202E-6</v>
      </c>
      <c r="O43" s="1">
        <v>1.07549245831472E-6</v>
      </c>
      <c r="P43" s="1">
        <v>-4.26552281515249E-6</v>
      </c>
    </row>
    <row r="44" spans="1:16" x14ac:dyDescent="0.2">
      <c r="A44">
        <v>43</v>
      </c>
      <c r="B44">
        <v>740</v>
      </c>
      <c r="C44">
        <v>280</v>
      </c>
      <c r="D44">
        <v>0.28434141045255101</v>
      </c>
      <c r="E44">
        <v>17.817677209625199</v>
      </c>
      <c r="F44">
        <v>1.3114256220549401</v>
      </c>
      <c r="G44">
        <v>-312.25033896090218</v>
      </c>
      <c r="H44">
        <v>-243.7665436743419</v>
      </c>
      <c r="I44">
        <v>67.597652830337694</v>
      </c>
      <c r="J44">
        <v>34.047690870340297</v>
      </c>
      <c r="K44">
        <v>13.5864946589237</v>
      </c>
      <c r="L44">
        <v>7.487215357653592E-4</v>
      </c>
      <c r="M44">
        <v>1.1436132332455701E-4</v>
      </c>
      <c r="N44" s="1">
        <v>7.4384661531494204E-6</v>
      </c>
      <c r="O44" s="1">
        <v>1.2160137944501101E-6</v>
      </c>
      <c r="P44" s="1">
        <v>-4.8369346825151701E-6</v>
      </c>
    </row>
    <row r="45" spans="1:16" x14ac:dyDescent="0.2">
      <c r="A45">
        <v>44</v>
      </c>
      <c r="B45">
        <v>739</v>
      </c>
      <c r="C45">
        <v>280</v>
      </c>
      <c r="D45">
        <v>0.28356518302623301</v>
      </c>
      <c r="E45">
        <v>40.2485377711971</v>
      </c>
      <c r="F45">
        <v>1.6507139961452799</v>
      </c>
      <c r="G45">
        <v>-679.39208500935183</v>
      </c>
      <c r="H45">
        <v>-555.28337725591859</v>
      </c>
      <c r="I45">
        <v>122.622449269634</v>
      </c>
      <c r="J45">
        <v>64.709868244101102</v>
      </c>
      <c r="K45">
        <v>24.382502277914</v>
      </c>
      <c r="L45">
        <v>5.4906683304010062E-4</v>
      </c>
      <c r="M45">
        <v>8.3209701894842306E-5</v>
      </c>
      <c r="N45" s="1">
        <v>9.5354046034382498E-6</v>
      </c>
      <c r="O45" s="1">
        <v>1.5783362733419201E-6</v>
      </c>
      <c r="P45" s="1">
        <v>-6.2960543492985004E-6</v>
      </c>
    </row>
    <row r="46" spans="1:16" x14ac:dyDescent="0.2">
      <c r="A46">
        <v>45</v>
      </c>
      <c r="B46">
        <v>738</v>
      </c>
      <c r="C46">
        <v>280</v>
      </c>
      <c r="D46">
        <v>0.28278742026405701</v>
      </c>
      <c r="E46">
        <v>54.054506826621299</v>
      </c>
      <c r="F46">
        <v>1.74247209586771</v>
      </c>
      <c r="G46">
        <v>-905.27634705967091</v>
      </c>
      <c r="H46">
        <v>-747.08749735611264</v>
      </c>
      <c r="I46">
        <v>156.44856928994901</v>
      </c>
      <c r="J46">
        <v>83.610623924734298</v>
      </c>
      <c r="K46">
        <v>31.021734554494099</v>
      </c>
      <c r="L46">
        <v>4.9531204890753474E-4</v>
      </c>
      <c r="M46">
        <v>7.4715378144091525E-5</v>
      </c>
      <c r="N46" s="1">
        <v>1.08570703975745E-5</v>
      </c>
      <c r="O46" s="1">
        <v>1.79798783230248E-6</v>
      </c>
      <c r="P46" s="1">
        <v>-7.1932964783976798E-6</v>
      </c>
    </row>
    <row r="47" spans="1:16" x14ac:dyDescent="0.2">
      <c r="A47">
        <v>46</v>
      </c>
      <c r="B47">
        <v>737</v>
      </c>
      <c r="C47">
        <v>280</v>
      </c>
      <c r="D47">
        <v>0.28200811760629901</v>
      </c>
      <c r="E47">
        <v>92.276369750325003</v>
      </c>
      <c r="F47">
        <v>1.8698924258982701</v>
      </c>
      <c r="G47">
        <v>-1526.9013615070689</v>
      </c>
      <c r="H47">
        <v>-1274.2013004638379</v>
      </c>
      <c r="I47">
        <v>250.16643338566001</v>
      </c>
      <c r="J47">
        <v>135.87717862136799</v>
      </c>
      <c r="K47">
        <v>49.348491106912903</v>
      </c>
      <c r="L47">
        <v>4.2331578802265262E-4</v>
      </c>
      <c r="M47">
        <v>6.3436996374495382E-5</v>
      </c>
      <c r="N47" s="1">
        <v>1.4456550458588299E-5</v>
      </c>
      <c r="O47" s="1">
        <v>2.4174599468571701E-6</v>
      </c>
      <c r="P47" s="1">
        <v>-9.6995137081529507E-6</v>
      </c>
    </row>
    <row r="48" spans="1:16" x14ac:dyDescent="0.2">
      <c r="A48">
        <v>47</v>
      </c>
      <c r="B48">
        <v>736</v>
      </c>
      <c r="C48">
        <v>280</v>
      </c>
      <c r="D48">
        <v>0.281227270475152</v>
      </c>
      <c r="E48">
        <v>99.252971372892503</v>
      </c>
      <c r="F48">
        <v>1.8842328005614499</v>
      </c>
      <c r="G48">
        <v>-1640.2248075564894</v>
      </c>
      <c r="H48">
        <v>-1370.6356559507453</v>
      </c>
      <c r="I48">
        <v>267.15054900511899</v>
      </c>
      <c r="J48">
        <v>145.46451940839199</v>
      </c>
      <c r="K48">
        <v>52.675535285935801</v>
      </c>
      <c r="L48">
        <v>4.1550484800015656E-4</v>
      </c>
      <c r="M48">
        <v>6.2082317238561368E-5</v>
      </c>
      <c r="N48" s="1">
        <v>1.5172637576789E-5</v>
      </c>
      <c r="O48" s="1">
        <v>2.52242775477784E-6</v>
      </c>
      <c r="P48" s="1">
        <v>-1.0150822642046799E-5</v>
      </c>
    </row>
    <row r="49" spans="1:16" x14ac:dyDescent="0.2">
      <c r="A49">
        <v>48</v>
      </c>
      <c r="B49">
        <v>757</v>
      </c>
      <c r="C49">
        <v>260</v>
      </c>
      <c r="D49">
        <v>0.318662816094747</v>
      </c>
      <c r="E49">
        <v>4.3549134179429796</v>
      </c>
      <c r="F49">
        <v>0.53724988638831195</v>
      </c>
      <c r="G49">
        <v>-94.488231801787336</v>
      </c>
      <c r="H49">
        <v>-55.406242325313308</v>
      </c>
      <c r="I49">
        <v>37.940573339177803</v>
      </c>
      <c r="J49">
        <v>16.910383288894401</v>
      </c>
      <c r="K49">
        <v>8.1059364148387107</v>
      </c>
      <c r="L49">
        <v>1.2550091703184283E-3</v>
      </c>
      <c r="M49">
        <v>2.138857958293569E-4</v>
      </c>
      <c r="N49" s="1">
        <v>6.4204483687078998E-6</v>
      </c>
      <c r="O49" s="1">
        <v>1.5236193846334499E-6</v>
      </c>
      <c r="P49" s="1">
        <v>-5.3237650050497697E-6</v>
      </c>
    </row>
    <row r="50" spans="1:16" x14ac:dyDescent="0.2">
      <c r="A50">
        <v>49</v>
      </c>
      <c r="B50">
        <v>756</v>
      </c>
      <c r="C50">
        <v>260</v>
      </c>
      <c r="D50">
        <v>0.317932760044698</v>
      </c>
      <c r="E50">
        <v>4.4469235731833896</v>
      </c>
      <c r="F50">
        <v>0.54631577855297797</v>
      </c>
      <c r="G50">
        <v>-95.979998276281904</v>
      </c>
      <c r="H50">
        <v>-56.729142938590982</v>
      </c>
      <c r="I50">
        <v>38.141525112930999</v>
      </c>
      <c r="J50">
        <v>17.039533673865598</v>
      </c>
      <c r="K50">
        <v>8.1398409999468004</v>
      </c>
      <c r="L50">
        <v>1.2505348306435173E-3</v>
      </c>
      <c r="M50">
        <v>2.1260887251963579E-4</v>
      </c>
      <c r="N50" s="1">
        <v>6.4843934478564898E-6</v>
      </c>
      <c r="O50" s="1">
        <v>1.52026685488273E-6</v>
      </c>
      <c r="P50" s="1">
        <v>-5.3286102318185901E-6</v>
      </c>
    </row>
    <row r="51" spans="1:16" x14ac:dyDescent="0.2">
      <c r="A51">
        <v>50</v>
      </c>
      <c r="B51">
        <v>755</v>
      </c>
      <c r="C51">
        <v>260</v>
      </c>
      <c r="D51">
        <v>0.31720128385935797</v>
      </c>
      <c r="E51">
        <v>4.6657410367898597</v>
      </c>
      <c r="F51">
        <v>0.56674250131872395</v>
      </c>
      <c r="G51">
        <v>-99.572310776685981</v>
      </c>
      <c r="H51">
        <v>-59.854369097578484</v>
      </c>
      <c r="I51">
        <v>38.6329266195645</v>
      </c>
      <c r="J51">
        <v>17.332312169758701</v>
      </c>
      <c r="K51">
        <v>8.2325589239087993</v>
      </c>
      <c r="L51">
        <v>1.238924485920588E-3</v>
      </c>
      <c r="M51">
        <v>2.1013317852762423E-4</v>
      </c>
      <c r="N51" s="1">
        <v>6.5577639710785496E-6</v>
      </c>
      <c r="O51" s="1">
        <v>1.5190278803265099E-6</v>
      </c>
      <c r="P51" s="1">
        <v>-5.3408769759689498E-6</v>
      </c>
    </row>
    <row r="52" spans="1:16" x14ac:dyDescent="0.2">
      <c r="A52">
        <v>51</v>
      </c>
      <c r="B52">
        <v>754</v>
      </c>
      <c r="C52">
        <v>260</v>
      </c>
      <c r="D52">
        <v>0.31646838339093702</v>
      </c>
      <c r="E52">
        <v>4.8834945162219796</v>
      </c>
      <c r="F52">
        <v>0.586626139301758</v>
      </c>
      <c r="G52">
        <v>-103.1459150971388</v>
      </c>
      <c r="H52">
        <v>-62.965075286333331</v>
      </c>
      <c r="I52">
        <v>39.121207408647301</v>
      </c>
      <c r="J52">
        <v>17.623643462014002</v>
      </c>
      <c r="K52">
        <v>8.3247134572534502</v>
      </c>
      <c r="L52">
        <v>1.2276261564948408E-3</v>
      </c>
      <c r="M52">
        <v>2.0772029376145068E-4</v>
      </c>
      <c r="N52" s="1">
        <v>6.63141620984966E-6</v>
      </c>
      <c r="O52" s="1">
        <v>1.5177339060006201E-6</v>
      </c>
      <c r="P52" s="1">
        <v>-5.3529864099716497E-6</v>
      </c>
    </row>
    <row r="53" spans="1:16" x14ac:dyDescent="0.2">
      <c r="A53">
        <v>52</v>
      </c>
      <c r="B53">
        <v>753</v>
      </c>
      <c r="C53">
        <v>260</v>
      </c>
      <c r="D53">
        <v>0.31573405447546998</v>
      </c>
      <c r="E53">
        <v>5.1001925726830999</v>
      </c>
      <c r="F53">
        <v>0.60598920420270996</v>
      </c>
      <c r="G53">
        <v>-106.70096207154462</v>
      </c>
      <c r="H53">
        <v>-66.061378744461706</v>
      </c>
      <c r="I53">
        <v>39.606391095090601</v>
      </c>
      <c r="J53">
        <v>17.9135384103988</v>
      </c>
      <c r="K53">
        <v>8.4163092961257195</v>
      </c>
      <c r="L53">
        <v>1.2166267615094204E-3</v>
      </c>
      <c r="M53">
        <v>2.0536761922785934E-4</v>
      </c>
      <c r="N53" s="1">
        <v>6.7053463304104503E-6</v>
      </c>
      <c r="O53" s="1">
        <v>1.5163854162465099E-6</v>
      </c>
      <c r="P53" s="1">
        <v>-5.3649384387527497E-6</v>
      </c>
    </row>
    <row r="54" spans="1:16" x14ac:dyDescent="0.2">
      <c r="A54">
        <v>53</v>
      </c>
      <c r="B54">
        <v>752</v>
      </c>
      <c r="C54">
        <v>260</v>
      </c>
      <c r="D54">
        <v>0.31499829293274201</v>
      </c>
      <c r="E54">
        <v>5.3158436748736397</v>
      </c>
      <c r="F54">
        <v>0.62485297954848595</v>
      </c>
      <c r="G54">
        <v>-110.23760090656008</v>
      </c>
      <c r="H54">
        <v>-69.14339544346673</v>
      </c>
      <c r="I54">
        <v>40.088501035610598</v>
      </c>
      <c r="J54">
        <v>18.202007749844999</v>
      </c>
      <c r="K54">
        <v>8.5073510871546603</v>
      </c>
      <c r="L54">
        <v>1.2059139334898205E-3</v>
      </c>
      <c r="M54">
        <v>2.0307269790358933E-4</v>
      </c>
      <c r="N54" s="1">
        <v>6.7795504595418599E-6</v>
      </c>
      <c r="O54" s="1">
        <v>1.51498289338597E-6</v>
      </c>
      <c r="P54" s="1">
        <v>-5.3767329669794302E-6</v>
      </c>
    </row>
    <row r="55" spans="1:16" x14ac:dyDescent="0.2">
      <c r="A55">
        <v>54</v>
      </c>
      <c r="B55">
        <v>751</v>
      </c>
      <c r="C55">
        <v>260</v>
      </c>
      <c r="D55">
        <v>0.31426109456622597</v>
      </c>
      <c r="E55">
        <v>5.5304562031350004</v>
      </c>
      <c r="F55">
        <v>0.64323760353428905</v>
      </c>
      <c r="G55">
        <v>-113.75597925152825</v>
      </c>
      <c r="H55">
        <v>-72.211240145008048</v>
      </c>
      <c r="I55">
        <v>40.567560338867899</v>
      </c>
      <c r="J55">
        <v>18.489062095881099</v>
      </c>
      <c r="K55">
        <v>8.5978434294694992</v>
      </c>
      <c r="L55">
        <v>1.1954759702250118E-3</v>
      </c>
      <c r="M55">
        <v>2.0083320516241172E-4</v>
      </c>
      <c r="N55" s="1">
        <v>6.8540246851001502E-6</v>
      </c>
      <c r="O55" s="1">
        <v>1.5135268178193999E-6</v>
      </c>
      <c r="P55" s="1">
        <v>-5.3883698994471802E-6</v>
      </c>
    </row>
    <row r="56" spans="1:16" x14ac:dyDescent="0.2">
      <c r="A56">
        <v>55</v>
      </c>
      <c r="B56">
        <v>750</v>
      </c>
      <c r="C56">
        <v>260</v>
      </c>
      <c r="D56">
        <v>0.313522455162978</v>
      </c>
      <c r="E56">
        <v>5.7440384474217998</v>
      </c>
      <c r="F56">
        <v>0.66116214475866797</v>
      </c>
      <c r="G56">
        <v>-117.25624316645012</v>
      </c>
      <c r="H56">
        <v>-75.265026371371334</v>
      </c>
      <c r="I56">
        <v>41.043591861813503</v>
      </c>
      <c r="J56">
        <v>18.774711942248</v>
      </c>
      <c r="K56">
        <v>8.68779087392919</v>
      </c>
      <c r="L56">
        <v>1.1853017908010236E-3</v>
      </c>
      <c r="M56">
        <v>1.9864694001824233E-4</v>
      </c>
      <c r="N56" s="1">
        <v>6.9287650561764496E-6</v>
      </c>
      <c r="O56" s="1">
        <v>1.51201766803873E-6</v>
      </c>
      <c r="P56" s="1">
        <v>-5.3998491411656998E-6</v>
      </c>
    </row>
    <row r="57" spans="1:16" x14ac:dyDescent="0.2">
      <c r="A57">
        <v>56</v>
      </c>
      <c r="B57">
        <v>749</v>
      </c>
      <c r="C57">
        <v>260</v>
      </c>
      <c r="D57">
        <v>0.312782370493568</v>
      </c>
      <c r="E57">
        <v>5.9565986110534501</v>
      </c>
      <c r="F57">
        <v>0.67864467249479998</v>
      </c>
      <c r="G57">
        <v>-120.73853718456662</v>
      </c>
      <c r="H57">
        <v>-78.304866458406352</v>
      </c>
      <c r="I57">
        <v>41.5166182178924</v>
      </c>
      <c r="J57">
        <v>19.058967665413601</v>
      </c>
      <c r="K57">
        <v>8.7771979247344394</v>
      </c>
      <c r="L57">
        <v>1.1753808947830339E-3</v>
      </c>
      <c r="M57">
        <v>1.9651181700503379E-4</v>
      </c>
      <c r="N57" s="1">
        <v>7.0037675833943002E-6</v>
      </c>
      <c r="O57" s="1">
        <v>1.5104559206661001E-6</v>
      </c>
      <c r="P57" s="1">
        <v>-5.4111705975396404E-6</v>
      </c>
    </row>
    <row r="58" spans="1:16" x14ac:dyDescent="0.2">
      <c r="A58">
        <v>57</v>
      </c>
      <c r="B58">
        <v>748</v>
      </c>
      <c r="C58">
        <v>260</v>
      </c>
      <c r="D58">
        <v>0.31204083631200402</v>
      </c>
      <c r="E58">
        <v>6.1681448120804196</v>
      </c>
      <c r="F58">
        <v>0.695702321299143</v>
      </c>
      <c r="G58">
        <v>-124.20300433647091</v>
      </c>
      <c r="H58">
        <v>-81.330871574273729</v>
      </c>
      <c r="I58">
        <v>41.9866617811061</v>
      </c>
      <c r="J58">
        <v>19.3418395265568</v>
      </c>
      <c r="K58">
        <v>8.8660690402212996</v>
      </c>
      <c r="L58">
        <v>1.1657033246968338E-3</v>
      </c>
      <c r="M58">
        <v>1.9442585870890395E-4</v>
      </c>
      <c r="N58" s="1">
        <v>7.0790282393485498E-6</v>
      </c>
      <c r="O58" s="1">
        <v>1.50884205052013E-6</v>
      </c>
      <c r="P58" s="1">
        <v>-5.4223341746502996E-6</v>
      </c>
    </row>
    <row r="59" spans="1:16" x14ac:dyDescent="0.2">
      <c r="A59">
        <v>58</v>
      </c>
      <c r="B59">
        <v>747</v>
      </c>
      <c r="C59">
        <v>260</v>
      </c>
      <c r="D59">
        <v>0.31129784835563601</v>
      </c>
      <c r="E59">
        <v>6.3786850819906302</v>
      </c>
      <c r="F59">
        <v>0.71235135046569498</v>
      </c>
      <c r="G59">
        <v>-127.64978613050137</v>
      </c>
      <c r="H59">
        <v>-84.343151700276408</v>
      </c>
      <c r="I59">
        <v>42.453744684408903</v>
      </c>
      <c r="J59">
        <v>19.623337670281199</v>
      </c>
      <c r="K59">
        <v>8.9544086325106402</v>
      </c>
      <c r="L59">
        <v>1.1562596315134834E-3</v>
      </c>
      <c r="M59">
        <v>1.923871888936266E-4</v>
      </c>
      <c r="N59" s="1">
        <v>7.1545429589503803E-6</v>
      </c>
      <c r="O59" s="1">
        <v>1.50717653065731E-6</v>
      </c>
      <c r="P59" s="1">
        <v>-5.4333397794522001E-6</v>
      </c>
    </row>
    <row r="60" spans="1:16" x14ac:dyDescent="0.2">
      <c r="A60">
        <v>59</v>
      </c>
      <c r="B60">
        <v>746</v>
      </c>
      <c r="C60">
        <v>260</v>
      </c>
      <c r="D60">
        <v>0.31055340234509199</v>
      </c>
      <c r="E60">
        <v>6.5882273686766402</v>
      </c>
      <c r="F60">
        <v>0.72860719934029305</v>
      </c>
      <c r="G60">
        <v>-131.07902260205321</v>
      </c>
      <c r="H60">
        <v>-87.341815672747956</v>
      </c>
      <c r="I60">
        <v>42.917888825809399</v>
      </c>
      <c r="J60">
        <v>19.903472128008602</v>
      </c>
      <c r="K60">
        <v>9.0422210686936104</v>
      </c>
      <c r="L60">
        <v>1.1470408425201832E-3</v>
      </c>
      <c r="M60">
        <v>1.9039402610875102E-4</v>
      </c>
      <c r="N60" s="1">
        <v>7.23030763964269E-6</v>
      </c>
      <c r="O60" s="1">
        <v>1.50545983238155E-6</v>
      </c>
      <c r="P60" s="1">
        <v>-5.4441873198570802E-6</v>
      </c>
    </row>
    <row r="61" spans="1:16" x14ac:dyDescent="0.2">
      <c r="A61">
        <v>60</v>
      </c>
      <c r="B61">
        <v>745</v>
      </c>
      <c r="C61">
        <v>260</v>
      </c>
      <c r="D61">
        <v>0.309807493984187</v>
      </c>
      <c r="E61">
        <v>6.7967795366553601</v>
      </c>
      <c r="F61">
        <v>0.74448453827067695</v>
      </c>
      <c r="G61">
        <v>-134.49085231891607</v>
      </c>
      <c r="H61">
        <v>-90.326971185442488</v>
      </c>
      <c r="I61">
        <v>43.379115870111796</v>
      </c>
      <c r="J61">
        <v>20.1822528186092</v>
      </c>
      <c r="K61">
        <v>9.12951067115943</v>
      </c>
      <c r="L61">
        <v>1.1380384317377615E-3</v>
      </c>
      <c r="M61">
        <v>1.8844467779944923E-4</v>
      </c>
      <c r="N61" s="1">
        <v>7.3063181418599996E-6</v>
      </c>
      <c r="O61" s="1">
        <v>1.5036924253049899E-6</v>
      </c>
      <c r="P61" s="1">
        <v>-5.4548767050041604E-6</v>
      </c>
    </row>
    <row r="62" spans="1:16" x14ac:dyDescent="0.2">
      <c r="A62">
        <v>61</v>
      </c>
      <c r="B62">
        <v>744</v>
      </c>
      <c r="C62">
        <v>260</v>
      </c>
      <c r="D62">
        <v>0.30906011895984098</v>
      </c>
      <c r="E62">
        <v>7.0043493703426201</v>
      </c>
      <c r="F62">
        <v>0.75999731602307596</v>
      </c>
      <c r="G62">
        <v>-137.88541243683031</v>
      </c>
      <c r="H62">
        <v>-93.298724835472214</v>
      </c>
      <c r="I62">
        <v>43.837447257225897</v>
      </c>
      <c r="J62">
        <v>20.459689552812801</v>
      </c>
      <c r="K62">
        <v>9.2162817192500999</v>
      </c>
      <c r="L62">
        <v>1.1292442923778064E-3</v>
      </c>
      <c r="M62">
        <v>1.8653753482733205E-4</v>
      </c>
      <c r="N62" s="1">
        <v>7.38257028965691E-6</v>
      </c>
      <c r="O62" s="1">
        <v>1.5018747774361299E-6</v>
      </c>
      <c r="P62" s="1">
        <v>-5.46540784563443E-6</v>
      </c>
    </row>
    <row r="63" spans="1:16" x14ac:dyDescent="0.2">
      <c r="A63">
        <v>62</v>
      </c>
      <c r="B63">
        <v>743</v>
      </c>
      <c r="C63">
        <v>260</v>
      </c>
      <c r="D63">
        <v>0.30831127294198801</v>
      </c>
      <c r="E63">
        <v>23.7117943941746</v>
      </c>
      <c r="F63">
        <v>1.37461170659462</v>
      </c>
      <c r="G63">
        <v>-411.15335015614028</v>
      </c>
      <c r="H63">
        <v>-325.30360342535181</v>
      </c>
      <c r="I63">
        <v>84.488415661870604</v>
      </c>
      <c r="J63">
        <v>43.097801971138097</v>
      </c>
      <c r="K63">
        <v>17.249812641939901</v>
      </c>
      <c r="L63">
        <v>7.4714612817887427E-4</v>
      </c>
      <c r="M63">
        <v>1.2250478922970137E-4</v>
      </c>
      <c r="N63" s="1">
        <v>8.9852569498090907E-6</v>
      </c>
      <c r="O63" s="1">
        <v>1.8368279795861901E-6</v>
      </c>
      <c r="P63" s="1">
        <v>-6.7046836815182697E-6</v>
      </c>
    </row>
    <row r="64" spans="1:16" x14ac:dyDescent="0.2">
      <c r="A64">
        <v>63</v>
      </c>
      <c r="B64">
        <v>742</v>
      </c>
      <c r="C64">
        <v>260</v>
      </c>
      <c r="D64">
        <v>0.30756095158350699</v>
      </c>
      <c r="E64">
        <v>43.7521956674534</v>
      </c>
      <c r="F64">
        <v>1.6262232446825</v>
      </c>
      <c r="G64">
        <v>-739.11664520306874</v>
      </c>
      <c r="H64">
        <v>-603.75249769369407</v>
      </c>
      <c r="I64">
        <v>133.34779683595301</v>
      </c>
      <c r="J64">
        <v>70.334368233496207</v>
      </c>
      <c r="K64">
        <v>26.9041755555495</v>
      </c>
      <c r="L64">
        <v>5.9111639942828367E-4</v>
      </c>
      <c r="M64">
        <v>9.6295735315434029E-5</v>
      </c>
      <c r="N64" s="1">
        <v>1.09349513327847E-5</v>
      </c>
      <c r="O64" s="1">
        <v>2.2427217256074701E-6</v>
      </c>
      <c r="P64" s="1">
        <v>-8.2113153727135007E-6</v>
      </c>
    </row>
    <row r="65" spans="1:16" x14ac:dyDescent="0.2">
      <c r="A65">
        <v>64</v>
      </c>
      <c r="B65">
        <v>741</v>
      </c>
      <c r="C65">
        <v>260</v>
      </c>
      <c r="D65">
        <v>0.30680915052014102</v>
      </c>
      <c r="E65">
        <v>72.973024353741494</v>
      </c>
      <c r="F65">
        <v>1.7823526659553499</v>
      </c>
      <c r="G65">
        <v>-1215.0741389086736</v>
      </c>
      <c r="H65">
        <v>-1007.6465069235178</v>
      </c>
      <c r="I65">
        <v>204.53832486123801</v>
      </c>
      <c r="J65">
        <v>110.017800063729</v>
      </c>
      <c r="K65">
        <v>40.941967180567701</v>
      </c>
      <c r="L65">
        <v>4.9622740073395081E-4</v>
      </c>
      <c r="M65">
        <v>8.0334897315129786E-5</v>
      </c>
      <c r="N65" s="1">
        <v>1.3781583675026901E-5</v>
      </c>
      <c r="O65" s="1">
        <v>2.83629458585587E-6</v>
      </c>
      <c r="P65" s="1">
        <v>-1.0416399022127101E-5</v>
      </c>
    </row>
    <row r="66" spans="1:16" x14ac:dyDescent="0.2">
      <c r="A66">
        <v>65</v>
      </c>
      <c r="B66">
        <v>740</v>
      </c>
      <c r="C66">
        <v>260</v>
      </c>
      <c r="D66">
        <v>0.30605586537038199</v>
      </c>
      <c r="E66">
        <v>94.193877012936596</v>
      </c>
      <c r="F66">
        <v>1.8429714526552501</v>
      </c>
      <c r="G66">
        <v>-1560.2423796168889</v>
      </c>
      <c r="H66">
        <v>-1300.7337280309137</v>
      </c>
      <c r="I66">
        <v>256.14599856203898</v>
      </c>
      <c r="J66">
        <v>138.861415962725</v>
      </c>
      <c r="K66">
        <v>51.109786251559797</v>
      </c>
      <c r="L66">
        <v>4.6009588089804276E-4</v>
      </c>
      <c r="M66">
        <v>7.415817144235626E-5</v>
      </c>
      <c r="N66" s="1">
        <v>1.58929724163221E-5</v>
      </c>
      <c r="O66" s="1">
        <v>3.2613889077088199E-6</v>
      </c>
      <c r="P66" s="1">
        <v>-1.20147525710364E-5</v>
      </c>
    </row>
    <row r="67" spans="1:16" x14ac:dyDescent="0.2">
      <c r="A67">
        <v>66</v>
      </c>
      <c r="B67">
        <v>739</v>
      </c>
      <c r="C67">
        <v>260</v>
      </c>
      <c r="D67">
        <v>0.30530109173541498</v>
      </c>
      <c r="E67">
        <v>99.853060588293602</v>
      </c>
      <c r="F67">
        <v>1.8559508364448101</v>
      </c>
      <c r="G67">
        <v>-1652.0863909358245</v>
      </c>
      <c r="H67">
        <v>-1379.0246631429384</v>
      </c>
      <c r="I67">
        <v>269.78965205634398</v>
      </c>
      <c r="J67">
        <v>146.58734065065201</v>
      </c>
      <c r="K67">
        <v>53.801565552010103</v>
      </c>
      <c r="L67">
        <v>4.5268805881055357E-4</v>
      </c>
      <c r="M67">
        <v>7.2750948512242592E-5</v>
      </c>
      <c r="N67" s="1">
        <v>1.6533575566672901E-5</v>
      </c>
      <c r="O67" s="1">
        <v>3.3650110802898698E-6</v>
      </c>
      <c r="P67" s="1">
        <v>-1.2435369400183601E-5</v>
      </c>
    </row>
    <row r="68" spans="1:16" x14ac:dyDescent="0.2">
      <c r="A68">
        <v>67</v>
      </c>
      <c r="B68">
        <v>757</v>
      </c>
      <c r="C68">
        <v>240</v>
      </c>
      <c r="D68">
        <v>0.340018929282145</v>
      </c>
      <c r="E68">
        <v>4.6790875129094402</v>
      </c>
      <c r="F68">
        <v>0.51317002723357097</v>
      </c>
      <c r="G68">
        <v>-101.6999600256099</v>
      </c>
      <c r="H68">
        <v>-59.470950743318383</v>
      </c>
      <c r="I68">
        <v>40.9956675663692</v>
      </c>
      <c r="J68">
        <v>18.314281269159501</v>
      </c>
      <c r="K68">
        <v>9.1180062447016894</v>
      </c>
      <c r="L68">
        <v>1.3377124825460231E-3</v>
      </c>
      <c r="M68">
        <v>2.4594200378070396E-4</v>
      </c>
      <c r="N68" s="1">
        <v>7.14039343500869E-6</v>
      </c>
      <c r="O68" s="1">
        <v>2.19540460329889E-6</v>
      </c>
      <c r="P68" s="1">
        <v>-7.0068261176886803E-6</v>
      </c>
    </row>
    <row r="69" spans="1:16" x14ac:dyDescent="0.2">
      <c r="A69">
        <v>68</v>
      </c>
      <c r="B69">
        <v>756</v>
      </c>
      <c r="C69">
        <v>240</v>
      </c>
      <c r="D69">
        <v>0.33930962444735902</v>
      </c>
      <c r="E69">
        <v>4.7637019407193799</v>
      </c>
      <c r="F69">
        <v>0.52080993567739697</v>
      </c>
      <c r="G69">
        <v>-103.06630480808924</v>
      </c>
      <c r="H69">
        <v>-60.690911083975344</v>
      </c>
      <c r="I69">
        <v>41.177742988859201</v>
      </c>
      <c r="J69">
        <v>18.4355598533189</v>
      </c>
      <c r="K69">
        <v>9.1467186287900102</v>
      </c>
      <c r="L69">
        <v>1.334127890260761E-3</v>
      </c>
      <c r="M69">
        <v>2.446648232325666E-4</v>
      </c>
      <c r="N69" s="1">
        <v>7.2242109426878902E-6</v>
      </c>
      <c r="O69" s="1">
        <v>2.1903637736041899E-6</v>
      </c>
      <c r="P69" s="1">
        <v>-7.0137437276579796E-6</v>
      </c>
    </row>
    <row r="70" spans="1:16" x14ac:dyDescent="0.2">
      <c r="A70">
        <v>69</v>
      </c>
      <c r="B70">
        <v>755</v>
      </c>
      <c r="C70">
        <v>240</v>
      </c>
      <c r="D70">
        <v>0.338598939843407</v>
      </c>
      <c r="E70">
        <v>4.9768368945485202</v>
      </c>
      <c r="F70">
        <v>0.53889466428029298</v>
      </c>
      <c r="G70">
        <v>-106.56169147048081</v>
      </c>
      <c r="H70">
        <v>-63.738737026813276</v>
      </c>
      <c r="I70">
        <v>41.653106225468498</v>
      </c>
      <c r="J70">
        <v>18.722301813731399</v>
      </c>
      <c r="K70">
        <v>9.2352684567682708</v>
      </c>
      <c r="L70">
        <v>1.3236282816474192E-3</v>
      </c>
      <c r="M70">
        <v>2.4213331588201936E-4</v>
      </c>
      <c r="N70" s="1">
        <v>7.3177403561662401E-6</v>
      </c>
      <c r="O70" s="1">
        <v>2.1880968409355998E-6</v>
      </c>
      <c r="P70" s="1">
        <v>-7.0295617072133698E-6</v>
      </c>
    </row>
    <row r="71" spans="1:16" x14ac:dyDescent="0.2">
      <c r="A71">
        <v>70</v>
      </c>
      <c r="B71">
        <v>754</v>
      </c>
      <c r="C71">
        <v>240</v>
      </c>
      <c r="D71">
        <v>0.33788687144039198</v>
      </c>
      <c r="E71">
        <v>5.1889564141359203</v>
      </c>
      <c r="F71">
        <v>0.55655928789700404</v>
      </c>
      <c r="G71">
        <v>-110.03922161949836</v>
      </c>
      <c r="H71">
        <v>-66.772704678307832</v>
      </c>
      <c r="I71">
        <v>42.125502485766802</v>
      </c>
      <c r="J71">
        <v>19.007675120819101</v>
      </c>
      <c r="K71">
        <v>9.32327701104896</v>
      </c>
      <c r="L71">
        <v>1.3133758059185264E-3</v>
      </c>
      <c r="M71">
        <v>2.396572710924184E-4</v>
      </c>
      <c r="N71" s="1">
        <v>7.4117183687849601E-6</v>
      </c>
      <c r="O71" s="1">
        <v>2.18575765718078E-6</v>
      </c>
      <c r="P71" s="1">
        <v>-7.0451942139308799E-6</v>
      </c>
    </row>
    <row r="72" spans="1:16" x14ac:dyDescent="0.2">
      <c r="A72">
        <v>71</v>
      </c>
      <c r="B72">
        <v>753</v>
      </c>
      <c r="C72">
        <v>240</v>
      </c>
      <c r="D72">
        <v>0.33717341519271199</v>
      </c>
      <c r="E72">
        <v>5.4000684744993599</v>
      </c>
      <c r="F72">
        <v>0.57381921586819995</v>
      </c>
      <c r="G72">
        <v>-113.49903595825272</v>
      </c>
      <c r="H72">
        <v>-69.792923244329785</v>
      </c>
      <c r="I72">
        <v>42.594953790496596</v>
      </c>
      <c r="J72">
        <v>19.291689751030699</v>
      </c>
      <c r="K72">
        <v>9.4107487605289499</v>
      </c>
      <c r="L72">
        <v>1.3033612272591961E-3</v>
      </c>
      <c r="M72">
        <v>2.372346562690124E-4</v>
      </c>
      <c r="N72" s="1">
        <v>7.5061400771981604E-6</v>
      </c>
      <c r="O72" s="1">
        <v>2.1833467787093498E-6</v>
      </c>
      <c r="P72" s="1">
        <v>-7.0606406948844797E-6</v>
      </c>
    </row>
    <row r="73" spans="1:16" x14ac:dyDescent="0.2">
      <c r="A73">
        <v>72</v>
      </c>
      <c r="B73">
        <v>752</v>
      </c>
      <c r="C73">
        <v>240</v>
      </c>
      <c r="D73">
        <v>0.33645856703896998</v>
      </c>
      <c r="E73">
        <v>5.61018097074962</v>
      </c>
      <c r="F73">
        <v>0.59068911227820098</v>
      </c>
      <c r="G73">
        <v>-116.94127377932563</v>
      </c>
      <c r="H73">
        <v>-72.799500837107175</v>
      </c>
      <c r="I73">
        <v>43.061481937207098</v>
      </c>
      <c r="J73">
        <v>19.574355572922901</v>
      </c>
      <c r="K73">
        <v>9.4976881309221604</v>
      </c>
      <c r="L73">
        <v>1.293575756057974E-3</v>
      </c>
      <c r="M73">
        <v>2.3486353734358174E-4</v>
      </c>
      <c r="N73" s="1">
        <v>7.6010005038690697E-6</v>
      </c>
      <c r="O73" s="1">
        <v>2.1808647608814202E-6</v>
      </c>
      <c r="P73" s="1">
        <v>-7.0759005971290504E-6</v>
      </c>
    </row>
    <row r="74" spans="1:16" x14ac:dyDescent="0.2">
      <c r="A74">
        <v>73</v>
      </c>
      <c r="B74">
        <v>751</v>
      </c>
      <c r="C74">
        <v>240</v>
      </c>
      <c r="D74">
        <v>0.33574232290192102</v>
      </c>
      <c r="E74">
        <v>5.8193017129345304</v>
      </c>
      <c r="F74">
        <v>0.60718293998564399</v>
      </c>
      <c r="G74">
        <v>-120.3660728800903</v>
      </c>
      <c r="H74">
        <v>-75.792544401444573</v>
      </c>
      <c r="I74">
        <v>43.525108488523699</v>
      </c>
      <c r="J74">
        <v>19.855682340391301</v>
      </c>
      <c r="K74">
        <v>9.5840995023215303</v>
      </c>
      <c r="L74">
        <v>1.2840110225894737E-3</v>
      </c>
      <c r="M74">
        <v>2.3254207294901724E-4</v>
      </c>
      <c r="N74" s="1">
        <v>7.6962945967865495E-6</v>
      </c>
      <c r="O74" s="1">
        <v>2.1783121579436802E-6</v>
      </c>
      <c r="P74" s="1">
        <v>-7.0909733674770998E-6</v>
      </c>
    </row>
    <row r="75" spans="1:16" x14ac:dyDescent="0.2">
      <c r="A75">
        <v>74</v>
      </c>
      <c r="B75">
        <v>750</v>
      </c>
      <c r="C75">
        <v>240</v>
      </c>
      <c r="D75">
        <v>0.335024678688366</v>
      </c>
      <c r="E75">
        <v>6.0274384302054997</v>
      </c>
      <c r="F75">
        <v>0.62331400223301403</v>
      </c>
      <c r="G75">
        <v>-123.77356963308415</v>
      </c>
      <c r="H75">
        <v>-78.772159773353309</v>
      </c>
      <c r="I75">
        <v>43.985854782476302</v>
      </c>
      <c r="J75">
        <v>20.135679698230199</v>
      </c>
      <c r="K75">
        <v>9.6699872112807999</v>
      </c>
      <c r="L75">
        <v>1.274659052099944E-3</v>
      </c>
      <c r="M75">
        <v>2.3026850892272788E-4</v>
      </c>
      <c r="N75" s="1">
        <v>7.7920172300605105E-6</v>
      </c>
      <c r="O75" s="1">
        <v>2.1756895231802799E-6</v>
      </c>
      <c r="P75" s="1">
        <v>-7.1058584530999499E-6</v>
      </c>
    </row>
    <row r="76" spans="1:16" x14ac:dyDescent="0.2">
      <c r="A76">
        <v>75</v>
      </c>
      <c r="B76">
        <v>749</v>
      </c>
      <c r="C76">
        <v>240</v>
      </c>
      <c r="D76">
        <v>0.33430563028909699</v>
      </c>
      <c r="E76">
        <v>6.2345987712476303</v>
      </c>
      <c r="F76">
        <v>0.639094981067866</v>
      </c>
      <c r="G76">
        <v>-127.16389899431118</v>
      </c>
      <c r="H76">
        <v>-81.738451685593759</v>
      </c>
      <c r="I76">
        <v>44.443741934100998</v>
      </c>
      <c r="J76">
        <v>20.414357182802</v>
      </c>
      <c r="K76">
        <v>9.7553555511110606</v>
      </c>
      <c r="L76">
        <v>1.265512241819314E-3</v>
      </c>
      <c r="M76">
        <v>2.2804117322785191E-4</v>
      </c>
      <c r="N76" s="1">
        <v>7.8881632042506202E-6</v>
      </c>
      <c r="O76" s="1">
        <v>2.1729974089682401E-6</v>
      </c>
      <c r="P76" s="1">
        <v>-7.1205553018298301E-6</v>
      </c>
    </row>
    <row r="77" spans="1:16" x14ac:dyDescent="0.2">
      <c r="A77">
        <v>76</v>
      </c>
      <c r="B77">
        <v>748</v>
      </c>
      <c r="C77">
        <v>240</v>
      </c>
      <c r="D77">
        <v>0.33358517357881101</v>
      </c>
      <c r="E77">
        <v>6.4407903056105402</v>
      </c>
      <c r="F77">
        <v>0.654537973180493</v>
      </c>
      <c r="G77">
        <v>-130.53719452603573</v>
      </c>
      <c r="H77">
        <v>-84.691523786159479</v>
      </c>
      <c r="I77">
        <v>44.8987908385689</v>
      </c>
      <c r="J77">
        <v>20.691724223658099</v>
      </c>
      <c r="K77">
        <v>9.8402087724778209</v>
      </c>
      <c r="L77">
        <v>1.2565633395145246E-3</v>
      </c>
      <c r="M77">
        <v>2.2585847121692871E-4</v>
      </c>
      <c r="N77" s="1">
        <v>7.9847272466375904E-6</v>
      </c>
      <c r="O77" s="1">
        <v>2.1702363668164E-6</v>
      </c>
      <c r="P77" s="1">
        <v>-7.1350633624088801E-6</v>
      </c>
    </row>
    <row r="78" spans="1:16" x14ac:dyDescent="0.2">
      <c r="A78">
        <v>77</v>
      </c>
      <c r="B78">
        <v>747</v>
      </c>
      <c r="C78">
        <v>240</v>
      </c>
      <c r="D78">
        <v>0.33286330441601902</v>
      </c>
      <c r="E78">
        <v>6.6460205240858796</v>
      </c>
      <c r="F78">
        <v>0.66965452320952201</v>
      </c>
      <c r="G78">
        <v>-133.89358840461185</v>
      </c>
      <c r="H78">
        <v>-87.631478642961355</v>
      </c>
      <c r="I78">
        <v>45.351022173191303</v>
      </c>
      <c r="J78">
        <v>20.9677901443583</v>
      </c>
      <c r="K78">
        <v>9.9245510837928794</v>
      </c>
      <c r="L78">
        <v>1.2478054235636976E-3</v>
      </c>
      <c r="M78">
        <v>2.2371888122908263E-4</v>
      </c>
      <c r="N78" s="1">
        <v>8.0817040117198394E-6</v>
      </c>
      <c r="O78" s="1">
        <v>2.1674069474538099E-6</v>
      </c>
      <c r="P78" s="1">
        <v>-7.1493820849079104E-6</v>
      </c>
    </row>
    <row r="79" spans="1:16" x14ac:dyDescent="0.2">
      <c r="A79">
        <v>78</v>
      </c>
      <c r="B79">
        <v>746</v>
      </c>
      <c r="C79">
        <v>240</v>
      </c>
      <c r="D79">
        <v>0.33214001864298798</v>
      </c>
      <c r="E79">
        <v>31.847047501245299</v>
      </c>
      <c r="F79">
        <v>1.43972994371246</v>
      </c>
      <c r="G79">
        <v>-546.69121195416847</v>
      </c>
      <c r="H79">
        <v>-438.03050612591551</v>
      </c>
      <c r="I79">
        <v>106.622479119562</v>
      </c>
      <c r="J79">
        <v>55.062776593683502</v>
      </c>
      <c r="K79">
        <v>22.120153602643601</v>
      </c>
      <c r="L79">
        <v>7.434276516110975E-4</v>
      </c>
      <c r="M79">
        <v>1.3211135358083027E-4</v>
      </c>
      <c r="N79" s="1">
        <v>1.05099147721351E-5</v>
      </c>
      <c r="O79" s="1">
        <v>2.8375066780956502E-6</v>
      </c>
      <c r="P79" s="1">
        <v>-9.3898702934545994E-6</v>
      </c>
    </row>
    <row r="80" spans="1:16" x14ac:dyDescent="0.2">
      <c r="A80">
        <v>79</v>
      </c>
      <c r="B80">
        <v>745</v>
      </c>
      <c r="C80">
        <v>240</v>
      </c>
      <c r="D80">
        <v>0.33141531208564601</v>
      </c>
      <c r="E80">
        <v>48.538923797107003</v>
      </c>
      <c r="F80">
        <v>1.60863818779164</v>
      </c>
      <c r="G80">
        <v>-819.79329574462179</v>
      </c>
      <c r="H80">
        <v>-670.06691708537028</v>
      </c>
      <c r="I80">
        <v>147.06137119677601</v>
      </c>
      <c r="J80">
        <v>77.6210575302661</v>
      </c>
      <c r="K80">
        <v>30.173922368299401</v>
      </c>
      <c r="L80">
        <v>6.3303233733989642E-4</v>
      </c>
      <c r="M80">
        <v>1.1190085698147193E-4</v>
      </c>
      <c r="N80" s="1">
        <v>1.2161628164149101E-5</v>
      </c>
      <c r="O80" s="1">
        <v>3.2702363003497501E-6</v>
      </c>
      <c r="P80" s="1">
        <v>-1.08572847169291E-5</v>
      </c>
    </row>
    <row r="81" spans="1:16" x14ac:dyDescent="0.2">
      <c r="A81">
        <v>80</v>
      </c>
      <c r="B81">
        <v>744</v>
      </c>
      <c r="C81">
        <v>240</v>
      </c>
      <c r="D81">
        <v>0.33068918055350899</v>
      </c>
      <c r="E81">
        <v>80.206721963930093</v>
      </c>
      <c r="F81">
        <v>1.76655265193904</v>
      </c>
      <c r="G81">
        <v>-1334.988964411466</v>
      </c>
      <c r="H81">
        <v>-1107.4432389334395</v>
      </c>
      <c r="I81">
        <v>223.714252462453</v>
      </c>
      <c r="J81">
        <v>120.34140073980601</v>
      </c>
      <c r="K81">
        <v>45.402961454837801</v>
      </c>
      <c r="L81">
        <v>5.3204744006833248E-4</v>
      </c>
      <c r="M81">
        <v>9.34768566431771E-5</v>
      </c>
      <c r="N81" s="1">
        <v>1.52499890985225E-5</v>
      </c>
      <c r="O81" s="1">
        <v>4.0975959484580098E-6</v>
      </c>
      <c r="P81" s="1">
        <v>-1.36485030929298E-5</v>
      </c>
    </row>
    <row r="82" spans="1:16" x14ac:dyDescent="0.2">
      <c r="A82">
        <v>81</v>
      </c>
      <c r="B82">
        <v>743</v>
      </c>
      <c r="C82">
        <v>240</v>
      </c>
      <c r="D82">
        <v>0.32996161983958999</v>
      </c>
      <c r="E82">
        <v>96.239943133359901</v>
      </c>
      <c r="F82">
        <v>1.8129500275038599</v>
      </c>
      <c r="G82">
        <v>-1595.6668642156142</v>
      </c>
      <c r="H82">
        <v>-1329.0350317476441</v>
      </c>
      <c r="I82">
        <v>262.399841718544</v>
      </c>
      <c r="J82">
        <v>141.997640726302</v>
      </c>
      <c r="K82">
        <v>53.084719199826203</v>
      </c>
      <c r="L82">
        <v>5.0296669232052522E-4</v>
      </c>
      <c r="M82">
        <v>8.8022626263253379E-5</v>
      </c>
      <c r="N82" s="1">
        <v>1.6896475396816099E-5</v>
      </c>
      <c r="O82" s="1">
        <v>4.5051338340279097E-6</v>
      </c>
      <c r="P82" s="1">
        <v>-1.50554495658836E-5</v>
      </c>
    </row>
    <row r="83" spans="1:16" x14ac:dyDescent="0.2">
      <c r="A83">
        <v>82</v>
      </c>
      <c r="B83">
        <v>742</v>
      </c>
      <c r="C83">
        <v>240</v>
      </c>
      <c r="D83">
        <v>0.32923262572033701</v>
      </c>
      <c r="E83">
        <v>100.578542393316</v>
      </c>
      <c r="F83">
        <v>1.82399560648891</v>
      </c>
      <c r="G83">
        <v>-1665.9949396313868</v>
      </c>
      <c r="H83">
        <v>-1389.1195330755977</v>
      </c>
      <c r="I83">
        <v>272.74916930983198</v>
      </c>
      <c r="J83">
        <v>147.888557613963</v>
      </c>
      <c r="K83">
        <v>55.141877554696897</v>
      </c>
      <c r="L83">
        <v>4.9642465132803315E-4</v>
      </c>
      <c r="M83">
        <v>8.6625539924777838E-5</v>
      </c>
      <c r="N83" s="1">
        <v>1.74503415895439E-5</v>
      </c>
      <c r="O83" s="1">
        <v>4.6026826144812399E-6</v>
      </c>
      <c r="P83" s="1">
        <v>-1.5432456020977301E-5</v>
      </c>
    </row>
    <row r="84" spans="1:16" x14ac:dyDescent="0.2">
      <c r="A84">
        <v>83</v>
      </c>
      <c r="B84">
        <v>757</v>
      </c>
      <c r="C84">
        <v>220</v>
      </c>
      <c r="D84">
        <v>0.36137504246954599</v>
      </c>
      <c r="E84">
        <v>4.9998674803365803</v>
      </c>
      <c r="F84">
        <v>0.486624690647319</v>
      </c>
      <c r="G84">
        <v>-108.87210545941811</v>
      </c>
      <c r="H84">
        <v>-63.462932583113052</v>
      </c>
      <c r="I84">
        <v>44.082933657723899</v>
      </c>
      <c r="J84">
        <v>19.726054643761799</v>
      </c>
      <c r="K84">
        <v>10.2745865066682</v>
      </c>
      <c r="L84">
        <v>1.4309852154806445E-3</v>
      </c>
      <c r="M84">
        <v>2.8693117900411707E-4</v>
      </c>
      <c r="N84" s="1">
        <v>7.4275486512432399E-6</v>
      </c>
      <c r="O84" s="1">
        <v>3.2333514147758301E-6</v>
      </c>
      <c r="P84" s="1">
        <v>-9.2872919232641697E-6</v>
      </c>
    </row>
    <row r="85" spans="1:16" x14ac:dyDescent="0.2">
      <c r="A85">
        <v>84</v>
      </c>
      <c r="B85">
        <v>756</v>
      </c>
      <c r="C85">
        <v>220</v>
      </c>
      <c r="D85">
        <v>0.36068648885002402</v>
      </c>
      <c r="E85">
        <v>5.1166625909800301</v>
      </c>
      <c r="F85">
        <v>0.49598978704567898</v>
      </c>
      <c r="G85">
        <v>-110.7684063122711</v>
      </c>
      <c r="H85">
        <v>-65.143048528434505</v>
      </c>
      <c r="I85">
        <v>44.3358330131922</v>
      </c>
      <c r="J85">
        <v>19.890689891494901</v>
      </c>
      <c r="K85">
        <v>10.316064412247201</v>
      </c>
      <c r="L85">
        <v>1.426264325334611E-3</v>
      </c>
      <c r="M85">
        <v>2.8523383786013156E-4</v>
      </c>
      <c r="N85" s="1">
        <v>7.5405341392811501E-6</v>
      </c>
      <c r="O85" s="1">
        <v>3.2270386925987002E-6</v>
      </c>
      <c r="P85" s="1">
        <v>-9.3015065272945695E-6</v>
      </c>
    </row>
    <row r="86" spans="1:16" x14ac:dyDescent="0.2">
      <c r="A86">
        <v>85</v>
      </c>
      <c r="B86">
        <v>755</v>
      </c>
      <c r="C86">
        <v>220</v>
      </c>
      <c r="D86">
        <v>0.35999659582745702</v>
      </c>
      <c r="E86">
        <v>5.3236436047556497</v>
      </c>
      <c r="F86">
        <v>0.51190299024377595</v>
      </c>
      <c r="G86">
        <v>-114.15844862146663</v>
      </c>
      <c r="H86">
        <v>-68.106828839476975</v>
      </c>
      <c r="I86">
        <v>44.793551911023599</v>
      </c>
      <c r="J86">
        <v>20.171132172144102</v>
      </c>
      <c r="K86">
        <v>10.399711871619299</v>
      </c>
      <c r="L86">
        <v>1.4169518381517813E-3</v>
      </c>
      <c r="M86">
        <v>2.8263061809189036E-4</v>
      </c>
      <c r="N86" s="1">
        <v>7.6603737296233708E-6</v>
      </c>
      <c r="O86" s="1">
        <v>3.22328700913595E-6</v>
      </c>
      <c r="P86" s="1">
        <v>-9.3231486482721703E-6</v>
      </c>
    </row>
    <row r="87" spans="1:16" x14ac:dyDescent="0.2">
      <c r="A87">
        <v>86</v>
      </c>
      <c r="B87">
        <v>754</v>
      </c>
      <c r="C87">
        <v>220</v>
      </c>
      <c r="D87">
        <v>0.35930535948985198</v>
      </c>
      <c r="E87">
        <v>5.5296621844701601</v>
      </c>
      <c r="F87">
        <v>0.52749652369878497</v>
      </c>
      <c r="G87">
        <v>-117.53156076233358</v>
      </c>
      <c r="H87">
        <v>-71.057476433566194</v>
      </c>
      <c r="I87">
        <v>45.248464944271703</v>
      </c>
      <c r="J87">
        <v>20.450291641165499</v>
      </c>
      <c r="K87">
        <v>10.4828409971242</v>
      </c>
      <c r="L87">
        <v>1.4078298148575677E-3</v>
      </c>
      <c r="M87">
        <v>2.8007593132092323E-4</v>
      </c>
      <c r="N87" s="1">
        <v>7.7809520754878093E-6</v>
      </c>
      <c r="O87" s="1">
        <v>3.2194371786981898E-6</v>
      </c>
      <c r="P87" s="1">
        <v>-9.3445772696730802E-6</v>
      </c>
    </row>
    <row r="88" spans="1:16" x14ac:dyDescent="0.2">
      <c r="A88">
        <v>87</v>
      </c>
      <c r="B88">
        <v>753</v>
      </c>
      <c r="C88">
        <v>220</v>
      </c>
      <c r="D88">
        <v>0.35861277590995699</v>
      </c>
      <c r="E88">
        <v>5.7347257045769702</v>
      </c>
      <c r="F88">
        <v>0.54278070826952596</v>
      </c>
      <c r="G88">
        <v>-120.8878730188848</v>
      </c>
      <c r="H88">
        <v>-73.995092290686131</v>
      </c>
      <c r="I88">
        <v>45.700592467352699</v>
      </c>
      <c r="J88">
        <v>20.7281773253487</v>
      </c>
      <c r="K88">
        <v>10.5654560252522</v>
      </c>
      <c r="L88">
        <v>1.3988919028031725E-3</v>
      </c>
      <c r="M88">
        <v>2.7756820740668098E-4</v>
      </c>
      <c r="N88" s="1">
        <v>7.9022635344719208E-6</v>
      </c>
      <c r="O88" s="1">
        <v>3.2154897945587402E-6</v>
      </c>
      <c r="P88" s="1">
        <v>-9.3657910241766697E-6</v>
      </c>
    </row>
    <row r="89" spans="1:16" x14ac:dyDescent="0.2">
      <c r="A89">
        <v>88</v>
      </c>
      <c r="B89">
        <v>752</v>
      </c>
      <c r="C89">
        <v>220</v>
      </c>
      <c r="D89">
        <v>0.35791884114519901</v>
      </c>
      <c r="E89">
        <v>5.9388414631302897</v>
      </c>
      <c r="F89">
        <v>0.55776542428119602</v>
      </c>
      <c r="G89">
        <v>-124.22751433007228</v>
      </c>
      <c r="H89">
        <v>-76.919776342654146</v>
      </c>
      <c r="I89">
        <v>46.149954624490299</v>
      </c>
      <c r="J89">
        <v>21.004798147293499</v>
      </c>
      <c r="K89">
        <v>10.6475611513277</v>
      </c>
      <c r="L89">
        <v>1.3901320196556505E-3</v>
      </c>
      <c r="M89">
        <v>2.7510594349479536E-4</v>
      </c>
      <c r="N89" s="1">
        <v>8.0243023237709402E-6</v>
      </c>
      <c r="O89" s="1">
        <v>3.21144545034935E-6</v>
      </c>
      <c r="P89" s="1">
        <v>-9.3867885391186004E-6</v>
      </c>
    </row>
    <row r="90" spans="1:16" x14ac:dyDescent="0.2">
      <c r="A90">
        <v>89</v>
      </c>
      <c r="B90">
        <v>751</v>
      </c>
      <c r="C90">
        <v>220</v>
      </c>
      <c r="D90">
        <v>0.35722355123761301</v>
      </c>
      <c r="E90">
        <v>8.3826600880808702</v>
      </c>
      <c r="F90">
        <v>0.70741749928749298</v>
      </c>
      <c r="G90">
        <v>-164.71455660648519</v>
      </c>
      <c r="H90">
        <v>-111.25531660740899</v>
      </c>
      <c r="I90">
        <v>52.201551314911299</v>
      </c>
      <c r="J90">
        <v>24.382946670812998</v>
      </c>
      <c r="K90">
        <v>11.849664584949901</v>
      </c>
      <c r="L90">
        <v>1.2891363732230095E-3</v>
      </c>
      <c r="M90">
        <v>2.542701816622586E-4</v>
      </c>
      <c r="N90" s="1">
        <v>8.3626346498899995E-6</v>
      </c>
      <c r="O90" s="1">
        <v>3.3015762616890698E-6</v>
      </c>
      <c r="P90" s="1">
        <v>-9.6839863990101003E-6</v>
      </c>
    </row>
    <row r="91" spans="1:16" x14ac:dyDescent="0.2">
      <c r="A91">
        <v>90</v>
      </c>
      <c r="B91">
        <v>750</v>
      </c>
      <c r="C91">
        <v>220</v>
      </c>
      <c r="D91">
        <v>0.356526902213751</v>
      </c>
      <c r="E91">
        <v>21.690714058539701</v>
      </c>
      <c r="F91">
        <v>1.1841643759009399</v>
      </c>
      <c r="G91">
        <v>-382.86499733429554</v>
      </c>
      <c r="H91">
        <v>-296.48146667922225</v>
      </c>
      <c r="I91">
        <v>84.432334591403304</v>
      </c>
      <c r="J91">
        <v>42.314722052419299</v>
      </c>
      <c r="K91">
        <v>18.317316835373301</v>
      </c>
      <c r="L91">
        <v>9.6001972250709636E-4</v>
      </c>
      <c r="M91">
        <v>1.8825395382199785E-4</v>
      </c>
      <c r="N91" s="1">
        <v>9.6112819907458107E-6</v>
      </c>
      <c r="O91" s="1">
        <v>3.7698797819919801E-6</v>
      </c>
      <c r="P91" s="1">
        <v>-1.10959761729947E-5</v>
      </c>
    </row>
    <row r="92" spans="1:16" x14ac:dyDescent="0.2">
      <c r="A92">
        <v>91</v>
      </c>
      <c r="B92">
        <v>749</v>
      </c>
      <c r="C92">
        <v>220</v>
      </c>
      <c r="D92">
        <v>0.35582889008462698</v>
      </c>
      <c r="E92">
        <v>42.012711079345699</v>
      </c>
      <c r="F92">
        <v>1.4916863244346701</v>
      </c>
      <c r="G92">
        <v>-715.43181585546586</v>
      </c>
      <c r="H92">
        <v>-579.03992004781173</v>
      </c>
      <c r="I92">
        <v>133.44025599530201</v>
      </c>
      <c r="J92">
        <v>69.608873120642102</v>
      </c>
      <c r="K92">
        <v>28.164574811174099</v>
      </c>
      <c r="L92">
        <v>7.4727056304397165E-4</v>
      </c>
      <c r="M92">
        <v>1.4563050050024813E-4</v>
      </c>
      <c r="N92" s="1">
        <v>1.1464407084628099E-5</v>
      </c>
      <c r="O92" s="1">
        <v>4.4724854309744096E-6</v>
      </c>
      <c r="P92" s="1">
        <v>-1.3209655722941199E-5</v>
      </c>
    </row>
    <row r="93" spans="1:16" x14ac:dyDescent="0.2">
      <c r="A93">
        <v>92</v>
      </c>
      <c r="B93">
        <v>748</v>
      </c>
      <c r="C93">
        <v>220</v>
      </c>
      <c r="D93">
        <v>0.355129510845618</v>
      </c>
      <c r="E93">
        <v>69.179066415858202</v>
      </c>
      <c r="F93">
        <v>1.67566348631661</v>
      </c>
      <c r="G93">
        <v>-1158.0177934335325</v>
      </c>
      <c r="H93">
        <v>-954.97393305020955</v>
      </c>
      <c r="I93">
        <v>198.84325557397301</v>
      </c>
      <c r="J93">
        <v>106.041695993462</v>
      </c>
      <c r="K93">
        <v>41.284581886978401</v>
      </c>
      <c r="L93">
        <v>6.218529318850175E-4</v>
      </c>
      <c r="M93">
        <v>1.2047458505410813E-4</v>
      </c>
      <c r="N93" s="1">
        <v>1.39481891853848E-5</v>
      </c>
      <c r="O93" s="1">
        <v>5.4104603394568798E-6</v>
      </c>
      <c r="P93" s="1">
        <v>-1.6035540998906899E-5</v>
      </c>
    </row>
    <row r="94" spans="1:16" x14ac:dyDescent="0.2">
      <c r="A94">
        <v>93</v>
      </c>
      <c r="B94">
        <v>747</v>
      </c>
      <c r="C94">
        <v>220</v>
      </c>
      <c r="D94">
        <v>0.35442876047640198</v>
      </c>
      <c r="E94">
        <v>90.330712187489198</v>
      </c>
      <c r="F94">
        <v>1.75512508230279</v>
      </c>
      <c r="G94">
        <v>-1501.9091211083582</v>
      </c>
      <c r="H94">
        <v>-1247.2320276440203</v>
      </c>
      <c r="I94">
        <v>249.652206408908</v>
      </c>
      <c r="J94">
        <v>134.40630556238</v>
      </c>
      <c r="K94">
        <v>51.466823133181798</v>
      </c>
      <c r="L94">
        <v>5.6857197421356456E-4</v>
      </c>
      <c r="M94">
        <v>1.0965624993338571E-4</v>
      </c>
      <c r="N94" s="1">
        <v>1.59575377391472E-5</v>
      </c>
      <c r="O94" s="1">
        <v>6.1305724609901602E-6</v>
      </c>
      <c r="P94" s="1">
        <v>-1.8233322172767098E-5</v>
      </c>
    </row>
    <row r="95" spans="1:16" x14ac:dyDescent="0.2">
      <c r="A95">
        <v>94</v>
      </c>
      <c r="B95">
        <v>746</v>
      </c>
      <c r="C95">
        <v>220</v>
      </c>
      <c r="D95">
        <v>0.35372663494088302</v>
      </c>
      <c r="E95">
        <v>98.497662433610898</v>
      </c>
      <c r="F95">
        <v>1.77883630478279</v>
      </c>
      <c r="G95">
        <v>-1634.5380334691122</v>
      </c>
      <c r="H95">
        <v>-1360.2439596885633</v>
      </c>
      <c r="I95">
        <v>269.14579593471802</v>
      </c>
      <c r="J95">
        <v>145.38145022777999</v>
      </c>
      <c r="K95">
        <v>55.3719654634764</v>
      </c>
      <c r="L95">
        <v>5.5318019027959645E-4</v>
      </c>
      <c r="M95">
        <v>1.0633727348331056E-4</v>
      </c>
      <c r="N95" s="1">
        <v>1.6860963454332198E-5</v>
      </c>
      <c r="O95" s="1">
        <v>6.3926081655161601E-6</v>
      </c>
      <c r="P95" s="1">
        <v>-1.9079460888969999E-5</v>
      </c>
    </row>
    <row r="96" spans="1:16" x14ac:dyDescent="0.2">
      <c r="A96">
        <v>95</v>
      </c>
      <c r="B96">
        <v>745</v>
      </c>
      <c r="C96">
        <v>220</v>
      </c>
      <c r="D96">
        <v>0.35302313018710402</v>
      </c>
      <c r="E96">
        <v>101.524587982886</v>
      </c>
      <c r="F96">
        <v>1.7874468008100499</v>
      </c>
      <c r="G96">
        <v>-1683.5059707055827</v>
      </c>
      <c r="H96">
        <v>-1402.2276414718765</v>
      </c>
      <c r="I96">
        <v>276.269989103672</v>
      </c>
      <c r="J96">
        <v>149.47680490658499</v>
      </c>
      <c r="K96">
        <v>56.798662727683201</v>
      </c>
      <c r="L96">
        <v>5.4800814992328668E-4</v>
      </c>
      <c r="M96">
        <v>1.0503785996241687E-4</v>
      </c>
      <c r="N96" s="1">
        <v>1.73244107857645E-5</v>
      </c>
      <c r="O96" s="1">
        <v>6.4753646579892598E-6</v>
      </c>
      <c r="P96" s="1">
        <v>-1.9394513146245399E-5</v>
      </c>
    </row>
    <row r="97" spans="1:16" x14ac:dyDescent="0.2">
      <c r="A97">
        <v>96</v>
      </c>
      <c r="B97">
        <v>758</v>
      </c>
      <c r="C97">
        <v>200</v>
      </c>
      <c r="D97">
        <v>0.383397662803666</v>
      </c>
      <c r="E97">
        <v>5.3199170588405904</v>
      </c>
      <c r="F97">
        <v>0.45645257202433998</v>
      </c>
      <c r="G97">
        <v>-116.11385364861245</v>
      </c>
      <c r="H97">
        <v>-67.385302053390461</v>
      </c>
      <c r="I97">
        <v>47.259463684666002</v>
      </c>
      <c r="J97">
        <v>21.126298609486099</v>
      </c>
      <c r="K97">
        <v>11.6549174764139</v>
      </c>
      <c r="L97">
        <v>1.5329879985900398E-3</v>
      </c>
      <c r="M97">
        <v>3.4074884165332146E-4</v>
      </c>
      <c r="N97" s="1">
        <v>6.5775789199413998E-6</v>
      </c>
      <c r="O97" s="1">
        <v>4.9023998222455704E-6</v>
      </c>
      <c r="P97" s="1">
        <v>-1.23841967490542E-5</v>
      </c>
    </row>
    <row r="98" spans="1:16" x14ac:dyDescent="0.2">
      <c r="A98">
        <v>97</v>
      </c>
      <c r="B98">
        <v>757</v>
      </c>
      <c r="C98">
        <v>200</v>
      </c>
      <c r="D98">
        <v>0.38273115565694399</v>
      </c>
      <c r="E98">
        <v>5.32324587698972</v>
      </c>
      <c r="F98">
        <v>0.45732307475927197</v>
      </c>
      <c r="G98">
        <v>-116.12601875254045</v>
      </c>
      <c r="H98">
        <v>-67.452559856018539</v>
      </c>
      <c r="I98">
        <v>47.2518602197582</v>
      </c>
      <c r="J98">
        <v>21.1480212038568</v>
      </c>
      <c r="K98">
        <v>11.6400115602996</v>
      </c>
      <c r="L98">
        <v>1.5346450407298451E-3</v>
      </c>
      <c r="M98">
        <v>3.4017967502553755E-4</v>
      </c>
      <c r="N98" s="1">
        <v>6.7163728023689498E-6</v>
      </c>
      <c r="O98" s="1">
        <v>4.8889414354220396E-6</v>
      </c>
      <c r="P98" s="1">
        <v>-1.23959462116657E-5</v>
      </c>
    </row>
    <row r="99" spans="1:16" x14ac:dyDescent="0.2">
      <c r="A99">
        <v>98</v>
      </c>
      <c r="B99">
        <v>756</v>
      </c>
      <c r="C99">
        <v>200</v>
      </c>
      <c r="D99">
        <v>0.38206335325268598</v>
      </c>
      <c r="E99">
        <v>7.4648733857060998</v>
      </c>
      <c r="F99">
        <v>0.58801336669722704</v>
      </c>
      <c r="G99">
        <v>-151.61599660179419</v>
      </c>
      <c r="H99">
        <v>-97.56982688449294</v>
      </c>
      <c r="I99">
        <v>52.518378920716103</v>
      </c>
      <c r="J99">
        <v>24.089991830144299</v>
      </c>
      <c r="K99">
        <v>12.695074310359701</v>
      </c>
      <c r="L99">
        <v>1.4424022753369758E-3</v>
      </c>
      <c r="M99">
        <v>3.1869228395014468E-4</v>
      </c>
      <c r="N99" s="1">
        <v>7.0063569032134002E-6</v>
      </c>
      <c r="O99" s="1">
        <v>4.9947296067417703E-6</v>
      </c>
      <c r="P99" s="1">
        <v>-1.2711076441065901E-5</v>
      </c>
    </row>
    <row r="100" spans="1:16" x14ac:dyDescent="0.2">
      <c r="A100">
        <v>99</v>
      </c>
      <c r="B100">
        <v>755</v>
      </c>
      <c r="C100">
        <v>200</v>
      </c>
      <c r="D100">
        <v>0.38139425181150599</v>
      </c>
      <c r="E100">
        <v>10.014916999562599</v>
      </c>
      <c r="F100">
        <v>0.71775105444028797</v>
      </c>
      <c r="G100">
        <v>-193.83168866025557</v>
      </c>
      <c r="H100">
        <v>-133.39360269294926</v>
      </c>
      <c r="I100">
        <v>58.786456083145502</v>
      </c>
      <c r="J100">
        <v>27.5901477147012</v>
      </c>
      <c r="K100">
        <v>13.9531902288495</v>
      </c>
      <c r="L100">
        <v>1.3504883559467711E-3</v>
      </c>
      <c r="M100">
        <v>2.9738690681557013E-4</v>
      </c>
      <c r="N100" s="1">
        <v>7.3312217149660597E-6</v>
      </c>
      <c r="O100" s="1">
        <v>5.12189796502596E-6</v>
      </c>
      <c r="P100" s="1">
        <v>-1.3083035829457401E-5</v>
      </c>
    </row>
    <row r="101" spans="1:16" x14ac:dyDescent="0.2">
      <c r="A101">
        <v>100</v>
      </c>
      <c r="B101">
        <v>754</v>
      </c>
      <c r="C101">
        <v>200</v>
      </c>
      <c r="D101">
        <v>0.38072384753930699</v>
      </c>
      <c r="E101">
        <v>19.5764439653964</v>
      </c>
      <c r="F101">
        <v>1.0508503015054</v>
      </c>
      <c r="G101">
        <v>-350.70827450059534</v>
      </c>
      <c r="H101">
        <v>-266.62254820661769</v>
      </c>
      <c r="I101">
        <v>81.866556390644604</v>
      </c>
      <c r="J101">
        <v>40.4270477693847</v>
      </c>
      <c r="K101">
        <v>18.6291462612248</v>
      </c>
      <c r="L101">
        <v>1.1086538008718712E-3</v>
      </c>
      <c r="M101">
        <v>2.4297138617169141E-4</v>
      </c>
      <c r="N101" s="1">
        <v>8.1137986124113495E-6</v>
      </c>
      <c r="O101" s="1">
        <v>5.5813510178772103E-6</v>
      </c>
      <c r="P101" s="1">
        <v>-1.43093840495427E-5</v>
      </c>
    </row>
    <row r="102" spans="1:16" x14ac:dyDescent="0.2">
      <c r="A102">
        <v>101</v>
      </c>
      <c r="B102">
        <v>753</v>
      </c>
      <c r="C102">
        <v>200</v>
      </c>
      <c r="D102">
        <v>0.380052136627202</v>
      </c>
      <c r="E102">
        <v>40.164017882726597</v>
      </c>
      <c r="F102">
        <v>1.4013997346076299</v>
      </c>
      <c r="G102">
        <v>-687.65147946900004</v>
      </c>
      <c r="H102">
        <v>-552.95511624554956</v>
      </c>
      <c r="I102">
        <v>131.26783842276899</v>
      </c>
      <c r="J102">
        <v>67.909673591279102</v>
      </c>
      <c r="K102">
        <v>28.659929705189899</v>
      </c>
      <c r="L102">
        <v>8.5269786541249267E-4</v>
      </c>
      <c r="M102">
        <v>1.857382969817065E-4</v>
      </c>
      <c r="N102" s="1">
        <v>9.6330115529176995E-6</v>
      </c>
      <c r="O102" s="1">
        <v>6.5517531491046398E-6</v>
      </c>
      <c r="P102" s="1">
        <v>-1.68593222486419E-5</v>
      </c>
    </row>
    <row r="103" spans="1:16" x14ac:dyDescent="0.2">
      <c r="A103">
        <v>102</v>
      </c>
      <c r="B103">
        <v>752</v>
      </c>
      <c r="C103">
        <v>200</v>
      </c>
      <c r="D103">
        <v>0.37937911525142798</v>
      </c>
      <c r="E103">
        <v>53.284081990292499</v>
      </c>
      <c r="F103">
        <v>1.5208559124409999</v>
      </c>
      <c r="G103">
        <v>-902.24658981401842</v>
      </c>
      <c r="H103">
        <v>-735.48474371331986</v>
      </c>
      <c r="I103">
        <v>162.67509232188701</v>
      </c>
      <c r="J103">
        <v>85.4328069720939</v>
      </c>
      <c r="K103">
        <v>35.035588548799801</v>
      </c>
      <c r="L103">
        <v>7.6607627693583654E-4</v>
      </c>
      <c r="M103">
        <v>1.6613627512262981E-4</v>
      </c>
      <c r="N103" s="1">
        <v>1.06989416865534E-5</v>
      </c>
      <c r="O103" s="1">
        <v>7.1579265799187602E-6</v>
      </c>
      <c r="P103" s="1">
        <v>-1.8487550292107601E-5</v>
      </c>
    </row>
    <row r="104" spans="1:16" x14ac:dyDescent="0.2">
      <c r="A104">
        <v>103</v>
      </c>
      <c r="B104">
        <v>751</v>
      </c>
      <c r="C104">
        <v>200</v>
      </c>
      <c r="D104">
        <v>0.378704779573308</v>
      </c>
      <c r="E104">
        <v>86.645567264762406</v>
      </c>
      <c r="F104">
        <v>1.6925211816630901</v>
      </c>
      <c r="G104">
        <v>-1444.4055117796943</v>
      </c>
      <c r="H104">
        <v>-1196.1037281591773</v>
      </c>
      <c r="I104">
        <v>242.452095617163</v>
      </c>
      <c r="J104">
        <v>129.843991625282</v>
      </c>
      <c r="K104">
        <v>51.193195218758397</v>
      </c>
      <c r="L104">
        <v>6.4371154327263211E-4</v>
      </c>
      <c r="M104">
        <v>1.3878274182173075E-4</v>
      </c>
      <c r="N104" s="1">
        <v>1.31841273508804E-5</v>
      </c>
      <c r="O104" s="1">
        <v>8.7218688373879096E-6</v>
      </c>
      <c r="P104" s="1">
        <v>-2.2610347982334298E-5</v>
      </c>
    </row>
    <row r="105" spans="1:16" x14ac:dyDescent="0.2">
      <c r="A105">
        <v>104</v>
      </c>
      <c r="B105">
        <v>750</v>
      </c>
      <c r="C105">
        <v>200</v>
      </c>
      <c r="D105">
        <v>0.37802912573913899</v>
      </c>
      <c r="E105">
        <v>96.951561347814106</v>
      </c>
      <c r="F105">
        <v>1.7266216795059099</v>
      </c>
      <c r="G105">
        <v>-1611.8172502759903</v>
      </c>
      <c r="H105">
        <v>-1338.6877409418437</v>
      </c>
      <c r="I105">
        <v>266.95533225739501</v>
      </c>
      <c r="J105">
        <v>143.59218757093001</v>
      </c>
      <c r="K105">
        <v>56.151015881809897</v>
      </c>
      <c r="L105">
        <v>6.2013662944325173E-4</v>
      </c>
      <c r="M105">
        <v>1.3322863653408013E-4</v>
      </c>
      <c r="N105" s="1">
        <v>1.41404700741769E-5</v>
      </c>
      <c r="O105" s="1">
        <v>9.1808343654591108E-6</v>
      </c>
      <c r="P105" s="1">
        <v>-2.38889385758415E-5</v>
      </c>
    </row>
    <row r="106" spans="1:16" x14ac:dyDescent="0.2">
      <c r="A106">
        <v>105</v>
      </c>
      <c r="B106">
        <v>749</v>
      </c>
      <c r="C106">
        <v>200</v>
      </c>
      <c r="D106">
        <v>0.37735214988015597</v>
      </c>
      <c r="E106">
        <v>100.746886409713</v>
      </c>
      <c r="F106">
        <v>1.7384503602929799</v>
      </c>
      <c r="G106">
        <v>-1673.2834195003018</v>
      </c>
      <c r="H106">
        <v>-1391.305951563543</v>
      </c>
      <c r="I106">
        <v>275.87283683611099</v>
      </c>
      <c r="J106">
        <v>148.68211786454501</v>
      </c>
      <c r="K106">
        <v>57.952121447249297</v>
      </c>
      <c r="L106">
        <v>6.1253103513801504E-4</v>
      </c>
      <c r="M106">
        <v>1.3119455718135577E-4</v>
      </c>
      <c r="N106" s="1">
        <v>1.46623179911684E-5</v>
      </c>
      <c r="O106" s="1">
        <v>9.3304591316911407E-6</v>
      </c>
      <c r="P106" s="1">
        <v>-2.43690562474086E-5</v>
      </c>
    </row>
    <row r="107" spans="1:16" x14ac:dyDescent="0.2">
      <c r="A107">
        <v>106</v>
      </c>
      <c r="B107">
        <v>765</v>
      </c>
      <c r="C107">
        <v>180</v>
      </c>
      <c r="D107">
        <v>0.409218802677841</v>
      </c>
      <c r="E107">
        <v>5.6411594571839601</v>
      </c>
      <c r="F107">
        <v>0.41871137437891198</v>
      </c>
      <c r="G107">
        <v>-123.73590753982045</v>
      </c>
      <c r="H107">
        <v>-71.133538784617002</v>
      </c>
      <c r="I107">
        <v>50.672443262584103</v>
      </c>
      <c r="J107">
        <v>22.3820808407818</v>
      </c>
      <c r="K107">
        <v>13.4726682922136</v>
      </c>
      <c r="L107">
        <v>1.6274335457675544E-3</v>
      </c>
      <c r="M107">
        <v>4.1497905989361958E-4</v>
      </c>
      <c r="N107" s="1">
        <v>2.6411461662296802E-6</v>
      </c>
      <c r="O107" s="1">
        <v>7.7701377052141598E-6</v>
      </c>
      <c r="P107" s="1">
        <v>-1.6434018671045201E-5</v>
      </c>
    </row>
    <row r="108" spans="1:16" x14ac:dyDescent="0.2">
      <c r="A108">
        <v>107</v>
      </c>
      <c r="B108">
        <v>764</v>
      </c>
      <c r="C108">
        <v>180</v>
      </c>
      <c r="D108">
        <v>0.40858169020874802</v>
      </c>
      <c r="E108">
        <v>5.7337719915383802</v>
      </c>
      <c r="F108">
        <v>0.42471474317138702</v>
      </c>
      <c r="G108">
        <v>-125.22714541229794</v>
      </c>
      <c r="H108">
        <v>-72.446598658752947</v>
      </c>
      <c r="I108">
        <v>50.893100161790002</v>
      </c>
      <c r="J108">
        <v>22.532806197913899</v>
      </c>
      <c r="K108">
        <v>13.500289508962499</v>
      </c>
      <c r="L108">
        <v>1.6259219979929604E-3</v>
      </c>
      <c r="M108">
        <v>4.1341027586625103E-4</v>
      </c>
      <c r="N108" s="1">
        <v>2.8071402316639901E-6</v>
      </c>
      <c r="O108" s="1">
        <v>7.7602801701261807E-6</v>
      </c>
      <c r="P108" s="1">
        <v>-1.6476680788299699E-5</v>
      </c>
    </row>
    <row r="109" spans="1:16" x14ac:dyDescent="0.2">
      <c r="A109">
        <v>108</v>
      </c>
      <c r="B109">
        <v>763</v>
      </c>
      <c r="C109">
        <v>180</v>
      </c>
      <c r="D109">
        <v>0.40794334797085602</v>
      </c>
      <c r="E109">
        <v>6.2122814119585099</v>
      </c>
      <c r="F109">
        <v>0.45244827304458102</v>
      </c>
      <c r="G109">
        <v>-133.12940252622053</v>
      </c>
      <c r="H109">
        <v>-79.139922751639617</v>
      </c>
      <c r="I109">
        <v>52.108990678378902</v>
      </c>
      <c r="J109">
        <v>23.2261687975382</v>
      </c>
      <c r="K109">
        <v>13.730368269847199</v>
      </c>
      <c r="L109">
        <v>1.6081776086585352E-3</v>
      </c>
      <c r="M109">
        <v>4.0766705878315088E-4</v>
      </c>
      <c r="N109" s="1">
        <v>2.9846348068991501E-6</v>
      </c>
      <c r="O109" s="1">
        <v>7.7861733596066396E-6</v>
      </c>
      <c r="P109" s="1">
        <v>-1.6595740578309699E-5</v>
      </c>
    </row>
    <row r="110" spans="1:16" x14ac:dyDescent="0.2">
      <c r="A110">
        <v>109</v>
      </c>
      <c r="B110">
        <v>762</v>
      </c>
      <c r="C110">
        <v>180</v>
      </c>
      <c r="D110">
        <v>0.40730377240013699</v>
      </c>
      <c r="E110">
        <v>6.6928628003698201</v>
      </c>
      <c r="F110">
        <v>0.47938980454987401</v>
      </c>
      <c r="G110">
        <v>-141.06113544140683</v>
      </c>
      <c r="H110">
        <v>-85.861427524302457</v>
      </c>
      <c r="I110">
        <v>53.3284815835042</v>
      </c>
      <c r="J110">
        <v>23.922727488591502</v>
      </c>
      <c r="K110">
        <v>13.9612122261425</v>
      </c>
      <c r="L110">
        <v>1.5909386760421548E-3</v>
      </c>
      <c r="M110">
        <v>4.020806988525807E-4</v>
      </c>
      <c r="N110" s="1">
        <v>3.1653055911995102E-6</v>
      </c>
      <c r="O110" s="1">
        <v>7.8118623484383005E-6</v>
      </c>
      <c r="P110" s="1">
        <v>-1.67151699309772E-5</v>
      </c>
    </row>
    <row r="111" spans="1:16" x14ac:dyDescent="0.2">
      <c r="A111">
        <v>110</v>
      </c>
      <c r="B111">
        <v>761</v>
      </c>
      <c r="C111">
        <v>180</v>
      </c>
      <c r="D111">
        <v>0.40666295991877599</v>
      </c>
      <c r="E111">
        <v>7.8940555618735901</v>
      </c>
      <c r="F111">
        <v>0.54246399547698498</v>
      </c>
      <c r="G111">
        <v>-160.94010577428196</v>
      </c>
      <c r="H111">
        <v>-102.7291717869946</v>
      </c>
      <c r="I111">
        <v>56.291877555352599</v>
      </c>
      <c r="J111">
        <v>25.586813856457301</v>
      </c>
      <c r="K111">
        <v>14.552220290551</v>
      </c>
      <c r="L111">
        <v>1.546077526226462E-3</v>
      </c>
      <c r="M111">
        <v>3.8951973762145324E-4</v>
      </c>
      <c r="N111" s="1">
        <v>3.3680414305570901E-6</v>
      </c>
      <c r="O111" s="1">
        <v>7.8909078223230498E-6</v>
      </c>
      <c r="P111" s="1">
        <v>-1.6950002582650499E-5</v>
      </c>
    </row>
    <row r="112" spans="1:16" x14ac:dyDescent="0.2">
      <c r="A112">
        <v>111</v>
      </c>
      <c r="B112">
        <v>760</v>
      </c>
      <c r="C112">
        <v>180</v>
      </c>
      <c r="D112">
        <v>0.40602090693510101</v>
      </c>
      <c r="E112">
        <v>10.393061506275901</v>
      </c>
      <c r="F112">
        <v>0.658152112628409</v>
      </c>
      <c r="G112">
        <v>-202.30753493515331</v>
      </c>
      <c r="H112">
        <v>-137.84816975927959</v>
      </c>
      <c r="I112">
        <v>62.394384273710102</v>
      </c>
      <c r="J112">
        <v>28.9931669715337</v>
      </c>
      <c r="K112">
        <v>15.791275765673699</v>
      </c>
      <c r="L112">
        <v>1.4607976093413469E-3</v>
      </c>
      <c r="M112">
        <v>3.6680899080737987E-4</v>
      </c>
      <c r="N112" s="1">
        <v>3.6117335874891099E-6</v>
      </c>
      <c r="O112" s="1">
        <v>8.0653151044882902E-6</v>
      </c>
      <c r="P112" s="1">
        <v>-1.7392150769058099E-5</v>
      </c>
    </row>
    <row r="113" spans="1:16" x14ac:dyDescent="0.2">
      <c r="A113">
        <v>112</v>
      </c>
      <c r="B113">
        <v>759</v>
      </c>
      <c r="C113">
        <v>180</v>
      </c>
      <c r="D113">
        <v>0.40537760984353299</v>
      </c>
      <c r="E113">
        <v>13.1868859743616</v>
      </c>
      <c r="F113">
        <v>0.76777182923748299</v>
      </c>
      <c r="G113">
        <v>-248.48800207656453</v>
      </c>
      <c r="H113">
        <v>-177.06389115138967</v>
      </c>
      <c r="I113">
        <v>69.202726542753794</v>
      </c>
      <c r="J113">
        <v>32.7942447313659</v>
      </c>
      <c r="K113">
        <v>17.175527249362901</v>
      </c>
      <c r="L113">
        <v>1.3797059102764477E-3</v>
      </c>
      <c r="M113">
        <v>3.4527741645749756E-4</v>
      </c>
      <c r="N113" s="1">
        <v>3.87243728217936E-6</v>
      </c>
      <c r="O113" s="1">
        <v>8.2590245311891494E-6</v>
      </c>
      <c r="P113" s="1">
        <v>-1.7879404347368501E-5</v>
      </c>
    </row>
    <row r="114" spans="1:16" x14ac:dyDescent="0.2">
      <c r="A114">
        <v>113</v>
      </c>
      <c r="B114">
        <v>758</v>
      </c>
      <c r="C114">
        <v>180</v>
      </c>
      <c r="D114">
        <v>0.40473306502448703</v>
      </c>
      <c r="E114">
        <v>29.210418742279501</v>
      </c>
      <c r="F114">
        <v>1.1658620137493501</v>
      </c>
      <c r="G114">
        <v>-510.97845342479866</v>
      </c>
      <c r="H114">
        <v>-400.08717014709686</v>
      </c>
      <c r="I114">
        <v>107.54519438705201</v>
      </c>
      <c r="J114">
        <v>54.0792882331573</v>
      </c>
      <c r="K114">
        <v>25.054782124978999</v>
      </c>
      <c r="L114">
        <v>1.0750159226459513E-3</v>
      </c>
      <c r="M114">
        <v>2.6754876314451334E-4</v>
      </c>
      <c r="N114" s="1">
        <v>4.5180902923937601E-6</v>
      </c>
      <c r="O114" s="1">
        <v>9.3273428179726406E-6</v>
      </c>
      <c r="P114" s="1">
        <v>-2.0270843196971E-5</v>
      </c>
    </row>
    <row r="115" spans="1:16" x14ac:dyDescent="0.2">
      <c r="A115">
        <v>114</v>
      </c>
      <c r="B115">
        <v>757</v>
      </c>
      <c r="C115">
        <v>180</v>
      </c>
      <c r="D115">
        <v>0.40408726884434598</v>
      </c>
      <c r="E115">
        <v>45.554245050012099</v>
      </c>
      <c r="F115">
        <v>1.37757489187874</v>
      </c>
      <c r="G115">
        <v>-778.42097164444272</v>
      </c>
      <c r="H115">
        <v>-627.48055667651852</v>
      </c>
      <c r="I115">
        <v>146.527033335369</v>
      </c>
      <c r="J115">
        <v>75.755929493401098</v>
      </c>
      <c r="K115">
        <v>33.0684344775513</v>
      </c>
      <c r="L115">
        <v>9.1320926887663049E-4</v>
      </c>
      <c r="M115">
        <v>2.2614932382335141E-4</v>
      </c>
      <c r="N115" s="1">
        <v>5.2164580152480398E-6</v>
      </c>
      <c r="O115" s="1">
        <v>1.0399099316506399E-5</v>
      </c>
      <c r="P115" s="1">
        <v>-2.26884057959926E-5</v>
      </c>
    </row>
    <row r="116" spans="1:16" x14ac:dyDescent="0.2">
      <c r="A116">
        <v>115</v>
      </c>
      <c r="B116">
        <v>756</v>
      </c>
      <c r="C116">
        <v>180</v>
      </c>
      <c r="D116">
        <v>0.40344021765534699</v>
      </c>
      <c r="E116">
        <v>72.692991998428695</v>
      </c>
      <c r="F116">
        <v>1.56907477286674</v>
      </c>
      <c r="G116">
        <v>-1220.1870832682248</v>
      </c>
      <c r="H116">
        <v>-1002.9085666054787</v>
      </c>
      <c r="I116">
        <v>211.12927647027001</v>
      </c>
      <c r="J116">
        <v>111.656715188421</v>
      </c>
      <c r="K116">
        <v>46.328570986847701</v>
      </c>
      <c r="L116">
        <v>7.6860641430260602E-4</v>
      </c>
      <c r="M116">
        <v>1.8929170178001126E-4</v>
      </c>
      <c r="N116" s="1">
        <v>6.3018412198769003E-6</v>
      </c>
      <c r="O116" s="1">
        <v>1.21833829899454E-5</v>
      </c>
      <c r="P116" s="1">
        <v>-2.6685297002699499E-5</v>
      </c>
    </row>
    <row r="117" spans="1:16" x14ac:dyDescent="0.2">
      <c r="A117">
        <v>116</v>
      </c>
      <c r="B117">
        <v>755</v>
      </c>
      <c r="C117">
        <v>180</v>
      </c>
      <c r="D117">
        <v>0.40279190779555302</v>
      </c>
      <c r="E117">
        <v>89.592134672301697</v>
      </c>
      <c r="F117">
        <v>1.64240781956198</v>
      </c>
      <c r="G117">
        <v>-1494.8403670380615</v>
      </c>
      <c r="H117">
        <v>-1236.5468565663484</v>
      </c>
      <c r="I117">
        <v>251.22712251609801</v>
      </c>
      <c r="J117">
        <v>134.013723453138</v>
      </c>
      <c r="K117">
        <v>54.549262129180001</v>
      </c>
      <c r="L117">
        <v>7.1420873156973516E-4</v>
      </c>
      <c r="M117">
        <v>1.75165913240601E-4</v>
      </c>
      <c r="N117" s="1">
        <v>7.1272334720534101E-6</v>
      </c>
      <c r="O117" s="1">
        <v>1.32717731335849E-5</v>
      </c>
      <c r="P117" s="1">
        <v>-2.9183424348491999E-5</v>
      </c>
    </row>
    <row r="118" spans="1:16" x14ac:dyDescent="0.2">
      <c r="A118">
        <v>117</v>
      </c>
      <c r="B118">
        <v>754</v>
      </c>
      <c r="C118">
        <v>180</v>
      </c>
      <c r="D118">
        <v>0.402142335588766</v>
      </c>
      <c r="E118">
        <v>97.587044666508206</v>
      </c>
      <c r="F118">
        <v>1.67075951916856</v>
      </c>
      <c r="G118">
        <v>-1624.6334678351875</v>
      </c>
      <c r="H118">
        <v>-1347.2178213099946</v>
      </c>
      <c r="I118">
        <v>270.088620757797</v>
      </c>
      <c r="J118">
        <v>144.61333194057099</v>
      </c>
      <c r="K118">
        <v>58.408791658461503</v>
      </c>
      <c r="L118">
        <v>6.9395804340350328E-4</v>
      </c>
      <c r="M118">
        <v>1.6961936625437611E-4</v>
      </c>
      <c r="N118" s="1">
        <v>7.6964591709471504E-6</v>
      </c>
      <c r="O118" s="1">
        <v>1.3762969419683499E-5</v>
      </c>
      <c r="P118" s="1">
        <v>-3.0382816952628002E-5</v>
      </c>
    </row>
    <row r="119" spans="1:16" x14ac:dyDescent="0.2">
      <c r="A119">
        <v>118</v>
      </c>
      <c r="B119">
        <v>753</v>
      </c>
      <c r="C119">
        <v>180</v>
      </c>
      <c r="D119">
        <v>0.401491497344444</v>
      </c>
      <c r="E119">
        <v>100.960912089388</v>
      </c>
      <c r="F119">
        <v>1.6823623926339599</v>
      </c>
      <c r="G119">
        <v>-1679.2355852611927</v>
      </c>
      <c r="H119">
        <v>-1394.0224908399234</v>
      </c>
      <c r="I119">
        <v>277.950659484261</v>
      </c>
      <c r="J119">
        <v>149.112759003512</v>
      </c>
      <c r="K119">
        <v>60.0113938182607</v>
      </c>
      <c r="L119">
        <v>6.863740809093207E-4</v>
      </c>
      <c r="M119">
        <v>1.6724725694088456E-4</v>
      </c>
      <c r="N119" s="1">
        <v>8.1258983978426093E-6</v>
      </c>
      <c r="O119" s="1">
        <v>1.39472651602522E-5</v>
      </c>
      <c r="P119" s="1">
        <v>-3.0911330156877799E-5</v>
      </c>
    </row>
    <row r="120" spans="1:16" x14ac:dyDescent="0.2">
      <c r="A120">
        <v>119</v>
      </c>
      <c r="B120">
        <v>773</v>
      </c>
      <c r="C120">
        <v>160</v>
      </c>
      <c r="D120">
        <v>0.43530134301964502</v>
      </c>
      <c r="E120">
        <v>5.9750049454579699</v>
      </c>
      <c r="F120">
        <v>0.376713246217103</v>
      </c>
      <c r="G120">
        <v>-131.79121114104646</v>
      </c>
      <c r="H120">
        <v>-74.93154629083844</v>
      </c>
      <c r="I120">
        <v>54.354618472441899</v>
      </c>
      <c r="J120">
        <v>23.511191513829299</v>
      </c>
      <c r="K120">
        <v>15.860883591055099</v>
      </c>
      <c r="L120">
        <v>1.7090803371775714E-3</v>
      </c>
      <c r="M120">
        <v>5.1278858233641501E-4</v>
      </c>
      <c r="N120" s="1">
        <v>-5.2001221840706497E-6</v>
      </c>
      <c r="O120" s="1">
        <v>1.27045794138356E-5</v>
      </c>
      <c r="P120" s="1">
        <v>-2.1634505096941899E-5</v>
      </c>
    </row>
    <row r="121" spans="1:16" x14ac:dyDescent="0.2">
      <c r="A121">
        <v>120</v>
      </c>
      <c r="B121">
        <v>772</v>
      </c>
      <c r="C121">
        <v>160</v>
      </c>
      <c r="D121">
        <v>0.43469406305315</v>
      </c>
      <c r="E121">
        <v>6.1689877181538204</v>
      </c>
      <c r="F121">
        <v>0.38707624816918001</v>
      </c>
      <c r="G121">
        <v>-134.96271598661843</v>
      </c>
      <c r="H121">
        <v>-77.659857847497875</v>
      </c>
      <c r="I121">
        <v>54.830679320763501</v>
      </c>
      <c r="J121">
        <v>23.804602798557301</v>
      </c>
      <c r="K121">
        <v>15.9373966946624</v>
      </c>
      <c r="L121">
        <v>1.7048608971259498E-3</v>
      </c>
      <c r="M121">
        <v>5.1003114794777207E-4</v>
      </c>
      <c r="N121" s="1">
        <v>-5.0508578651868099E-6</v>
      </c>
      <c r="O121" s="1">
        <v>1.2706020563682899E-5</v>
      </c>
      <c r="P121" s="1">
        <v>-2.1722023305152099E-5</v>
      </c>
    </row>
    <row r="122" spans="1:16" x14ac:dyDescent="0.2">
      <c r="A122">
        <v>121</v>
      </c>
      <c r="B122">
        <v>771</v>
      </c>
      <c r="C122">
        <v>160</v>
      </c>
      <c r="D122">
        <v>0.43408561988220001</v>
      </c>
      <c r="E122">
        <v>6.62711911143208</v>
      </c>
      <c r="F122">
        <v>0.41023752565743499</v>
      </c>
      <c r="G122">
        <v>-142.52261553920999</v>
      </c>
      <c r="H122">
        <v>-84.071227469851166</v>
      </c>
      <c r="I122">
        <v>55.983173902746799</v>
      </c>
      <c r="J122">
        <v>24.465022710888402</v>
      </c>
      <c r="K122">
        <v>16.154346438228998</v>
      </c>
      <c r="L122">
        <v>1.6907477992965741E-3</v>
      </c>
      <c r="M122">
        <v>5.0428687960914198E-4</v>
      </c>
      <c r="N122" s="1">
        <v>-4.9144673621004303E-6</v>
      </c>
      <c r="O122" s="1">
        <v>1.27424914356122E-5</v>
      </c>
      <c r="P122" s="1">
        <v>-2.1870259827018302E-5</v>
      </c>
    </row>
    <row r="123" spans="1:16" x14ac:dyDescent="0.2">
      <c r="A123">
        <v>122</v>
      </c>
      <c r="B123">
        <v>770</v>
      </c>
      <c r="C123">
        <v>160</v>
      </c>
      <c r="D123">
        <v>0.43347601016152998</v>
      </c>
      <c r="E123">
        <v>7.0868281996066997</v>
      </c>
      <c r="F123">
        <v>0.432867650795565</v>
      </c>
      <c r="G123">
        <v>-150.10424726131251</v>
      </c>
      <c r="H123">
        <v>-90.504036252545987</v>
      </c>
      <c r="I123">
        <v>57.138159042187603</v>
      </c>
      <c r="J123">
        <v>25.127938023364599</v>
      </c>
      <c r="K123">
        <v>16.371812923838998</v>
      </c>
      <c r="L123">
        <v>1.6769634583033049E-3</v>
      </c>
      <c r="M123">
        <v>4.9866753936404968E-4</v>
      </c>
      <c r="N123" s="1">
        <v>-4.7744137772360502E-6</v>
      </c>
      <c r="O123" s="1">
        <v>1.2778714848807E-5</v>
      </c>
      <c r="P123" s="1">
        <v>-2.20191549830454E-5</v>
      </c>
    </row>
    <row r="124" spans="1:16" x14ac:dyDescent="0.2">
      <c r="A124">
        <v>123</v>
      </c>
      <c r="B124">
        <v>769</v>
      </c>
      <c r="C124">
        <v>160</v>
      </c>
      <c r="D124">
        <v>0.43286523053303499</v>
      </c>
      <c r="E124">
        <v>7.5479387254890096</v>
      </c>
      <c r="F124">
        <v>0.454977614949925</v>
      </c>
      <c r="G124">
        <v>-157.70459881324282</v>
      </c>
      <c r="H124">
        <v>-96.955797659252937</v>
      </c>
      <c r="I124">
        <v>58.2951373631686</v>
      </c>
      <c r="J124">
        <v>25.7930978159571</v>
      </c>
      <c r="K124">
        <v>16.589692497991798</v>
      </c>
      <c r="L124">
        <v>1.6635020895963905E-3</v>
      </c>
      <c r="M124">
        <v>4.9317051595760425E-4</v>
      </c>
      <c r="N124" s="1">
        <v>-4.63063766955232E-6</v>
      </c>
      <c r="O124" s="1">
        <v>1.28146558371579E-5</v>
      </c>
      <c r="P124" s="1">
        <v>-2.2168652247002199E-5</v>
      </c>
    </row>
    <row r="125" spans="1:16" x14ac:dyDescent="0.2">
      <c r="A125">
        <v>124</v>
      </c>
      <c r="B125">
        <v>768</v>
      </c>
      <c r="C125">
        <v>160</v>
      </c>
      <c r="D125">
        <v>0.43225327762570398</v>
      </c>
      <c r="E125">
        <v>8.0102791437688499</v>
      </c>
      <c r="F125">
        <v>0.47657867099178602</v>
      </c>
      <c r="G125">
        <v>-165.32073798565594</v>
      </c>
      <c r="H125">
        <v>-103.42408988943487</v>
      </c>
      <c r="I125">
        <v>59.453624365157197</v>
      </c>
      <c r="J125">
        <v>26.460257566570998</v>
      </c>
      <c r="K125">
        <v>16.8078842620023</v>
      </c>
      <c r="L125">
        <v>1.6503576280348033E-3</v>
      </c>
      <c r="M125">
        <v>4.8779313456852227E-4</v>
      </c>
      <c r="N125" s="1">
        <v>-4.4830814626100401E-6</v>
      </c>
      <c r="O125" s="1">
        <v>1.2850280263602599E-5</v>
      </c>
      <c r="P125" s="1">
        <v>-2.2318695549812501E-5</v>
      </c>
    </row>
    <row r="126" spans="1:16" x14ac:dyDescent="0.2">
      <c r="A126">
        <v>125</v>
      </c>
      <c r="B126">
        <v>767</v>
      </c>
      <c r="C126">
        <v>160</v>
      </c>
      <c r="D126">
        <v>0.43164014805557099</v>
      </c>
      <c r="E126">
        <v>8.4736836070624193</v>
      </c>
      <c r="F126">
        <v>0.49768230841161998</v>
      </c>
      <c r="G126">
        <v>-172.94982888378428</v>
      </c>
      <c r="H126">
        <v>-109.90656952785737</v>
      </c>
      <c r="I126">
        <v>60.613150921819297</v>
      </c>
      <c r="J126">
        <v>27.129180533403101</v>
      </c>
      <c r="K126">
        <v>17.026290595111998</v>
      </c>
      <c r="L126">
        <v>1.6375237439742022E-3</v>
      </c>
      <c r="M126">
        <v>4.8253266284248281E-4</v>
      </c>
      <c r="N126" s="1">
        <v>-4.3316895375476297E-6</v>
      </c>
      <c r="O126" s="1">
        <v>1.28855549447748E-5</v>
      </c>
      <c r="P126" s="1">
        <v>-2.2469229507774399E-5</v>
      </c>
    </row>
    <row r="127" spans="1:16" x14ac:dyDescent="0.2">
      <c r="A127">
        <v>126</v>
      </c>
      <c r="B127">
        <v>766</v>
      </c>
      <c r="C127">
        <v>160</v>
      </c>
      <c r="D127">
        <v>0.43102583842564002</v>
      </c>
      <c r="E127">
        <v>10.2151107607377</v>
      </c>
      <c r="F127">
        <v>0.57094673993096601</v>
      </c>
      <c r="G127">
        <v>-201.76188437225281</v>
      </c>
      <c r="H127">
        <v>-134.37600199502887</v>
      </c>
      <c r="I127">
        <v>64.850547063411994</v>
      </c>
      <c r="J127">
        <v>29.499286663609599</v>
      </c>
      <c r="K127">
        <v>17.891530061057701</v>
      </c>
      <c r="L127">
        <v>1.5832582259463538E-3</v>
      </c>
      <c r="M127">
        <v>4.6504680462319592E-4</v>
      </c>
      <c r="N127" s="1">
        <v>-4.22658769163989E-6</v>
      </c>
      <c r="O127" s="1">
        <v>1.3057381770077E-5</v>
      </c>
      <c r="P127" s="1">
        <v>-2.28599075241278E-5</v>
      </c>
    </row>
    <row r="128" spans="1:16" x14ac:dyDescent="0.2">
      <c r="A128">
        <v>127</v>
      </c>
      <c r="B128">
        <v>765</v>
      </c>
      <c r="C128">
        <v>160</v>
      </c>
      <c r="D128">
        <v>0.43041034532582101</v>
      </c>
      <c r="E128">
        <v>12.8292648929857</v>
      </c>
      <c r="F128">
        <v>0.668301352663349</v>
      </c>
      <c r="G128">
        <v>-244.9915743685215</v>
      </c>
      <c r="H128">
        <v>-171.0951653999613</v>
      </c>
      <c r="I128">
        <v>71.184368094859593</v>
      </c>
      <c r="J128">
        <v>33.030421411757303</v>
      </c>
      <c r="K128">
        <v>19.1968261651093</v>
      </c>
      <c r="L128">
        <v>1.5095171111702969E-3</v>
      </c>
      <c r="M128">
        <v>4.4191363505424129E-4</v>
      </c>
      <c r="N128" s="1">
        <v>-4.1466821735392602E-6</v>
      </c>
      <c r="O128" s="1">
        <v>1.3320208067815499E-5</v>
      </c>
      <c r="P128" s="1">
        <v>-2.3413552568143E-5</v>
      </c>
    </row>
    <row r="129" spans="1:16" x14ac:dyDescent="0.2">
      <c r="A129">
        <v>128</v>
      </c>
      <c r="B129">
        <v>764</v>
      </c>
      <c r="C129">
        <v>160</v>
      </c>
      <c r="D129">
        <v>0.42979366533288699</v>
      </c>
      <c r="E129">
        <v>15.8497519489677</v>
      </c>
      <c r="F129">
        <v>0.76553217700538001</v>
      </c>
      <c r="G129">
        <v>-294.85754922687408</v>
      </c>
      <c r="H129">
        <v>-213.46030606600578</v>
      </c>
      <c r="I129">
        <v>78.485249039881495</v>
      </c>
      <c r="J129">
        <v>37.099175897629799</v>
      </c>
      <c r="K129">
        <v>20.704226974454599</v>
      </c>
      <c r="L129">
        <v>1.4354087413449984E-3</v>
      </c>
      <c r="M129">
        <v>4.1879744093029694E-4</v>
      </c>
      <c r="N129" s="1">
        <v>-4.0705146501107697E-6</v>
      </c>
      <c r="O129" s="1">
        <v>1.36216768218139E-5</v>
      </c>
      <c r="P129" s="1">
        <v>-2.4039732298776199E-5</v>
      </c>
    </row>
    <row r="130" spans="1:16" x14ac:dyDescent="0.2">
      <c r="A130">
        <v>129</v>
      </c>
      <c r="B130">
        <v>763</v>
      </c>
      <c r="C130">
        <v>160</v>
      </c>
      <c r="D130">
        <v>0.42917579501038</v>
      </c>
      <c r="E130">
        <v>31.742603479603101</v>
      </c>
      <c r="F130">
        <v>1.10991078799589</v>
      </c>
      <c r="G130">
        <v>-555.18695232724701</v>
      </c>
      <c r="H130">
        <v>-434.67946948991965</v>
      </c>
      <c r="I130">
        <v>116.307139417369</v>
      </c>
      <c r="J130">
        <v>58.042158941461999</v>
      </c>
      <c r="K130">
        <v>28.599238626123402</v>
      </c>
      <c r="L130">
        <v>1.1617774609722013E-3</v>
      </c>
      <c r="M130">
        <v>3.3722417834327744E-4</v>
      </c>
      <c r="N130" s="1">
        <v>-4.3753401009365097E-6</v>
      </c>
      <c r="O130" s="1">
        <v>1.5147730394739499E-5</v>
      </c>
      <c r="P130" s="1">
        <v>-2.68404999239247E-5</v>
      </c>
    </row>
    <row r="131" spans="1:16" x14ac:dyDescent="0.2">
      <c r="A131">
        <v>130</v>
      </c>
      <c r="B131">
        <v>762</v>
      </c>
      <c r="C131">
        <v>160</v>
      </c>
      <c r="D131">
        <v>0.428556730908567</v>
      </c>
      <c r="E131">
        <v>46.526949638608798</v>
      </c>
      <c r="F131">
        <v>1.2952744431382299</v>
      </c>
      <c r="G131">
        <v>-797.12025502935592</v>
      </c>
      <c r="H131">
        <v>-640.4209328393797</v>
      </c>
      <c r="I131">
        <v>151.38277071416601</v>
      </c>
      <c r="J131">
        <v>77.502886208047897</v>
      </c>
      <c r="K131">
        <v>35.920533972616397</v>
      </c>
      <c r="L131">
        <v>1.0149852378896573E-3</v>
      </c>
      <c r="M131">
        <v>2.9326302883931666E-4</v>
      </c>
      <c r="N131" s="1">
        <v>-4.5958118359458503E-6</v>
      </c>
      <c r="O131" s="1">
        <v>1.6545293412820599E-5</v>
      </c>
      <c r="P131" s="1">
        <v>-2.9435239091119399E-5</v>
      </c>
    </row>
    <row r="132" spans="1:16" x14ac:dyDescent="0.2">
      <c r="A132">
        <v>131</v>
      </c>
      <c r="B132">
        <v>761</v>
      </c>
      <c r="C132">
        <v>160</v>
      </c>
      <c r="D132">
        <v>0.42793646956437897</v>
      </c>
      <c r="E132">
        <v>71.964360839982305</v>
      </c>
      <c r="F132">
        <v>1.4845055316934099</v>
      </c>
      <c r="G132">
        <v>-1211.1655225160559</v>
      </c>
      <c r="H132">
        <v>-992.33224734349358</v>
      </c>
      <c r="I132">
        <v>211.61195466690901</v>
      </c>
      <c r="J132">
        <v>110.887082027888</v>
      </c>
      <c r="K132">
        <v>48.476990690557102</v>
      </c>
      <c r="L132">
        <v>8.6646627564856016E-4</v>
      </c>
      <c r="M132">
        <v>2.4905181250155434E-4</v>
      </c>
      <c r="N132" s="1">
        <v>-5.07312093129634E-6</v>
      </c>
      <c r="O132" s="1">
        <v>1.8957897637981501E-5</v>
      </c>
      <c r="P132" s="1">
        <v>-3.3863889105517601E-5</v>
      </c>
    </row>
    <row r="133" spans="1:16" x14ac:dyDescent="0.2">
      <c r="A133">
        <v>132</v>
      </c>
      <c r="B133">
        <v>760</v>
      </c>
      <c r="C133">
        <v>160</v>
      </c>
      <c r="D133">
        <v>0.427315007501331</v>
      </c>
      <c r="E133">
        <v>86.552564921796105</v>
      </c>
      <c r="F133">
        <v>1.5555516661327</v>
      </c>
      <c r="G133">
        <v>-1448.2120142555752</v>
      </c>
      <c r="H133">
        <v>-1194.0340040038943</v>
      </c>
      <c r="I133">
        <v>246.027801583111</v>
      </c>
      <c r="J133">
        <v>130.035569730199</v>
      </c>
      <c r="K133">
        <v>55.641073714366698</v>
      </c>
      <c r="L133">
        <v>8.1183545450040509E-4</v>
      </c>
      <c r="M133">
        <v>2.324232469402283E-4</v>
      </c>
      <c r="N133" s="1">
        <v>-5.1835876988699298E-6</v>
      </c>
      <c r="O133" s="1">
        <v>2.03119404839724E-5</v>
      </c>
      <c r="P133" s="1">
        <v>-3.6430003271489499E-5</v>
      </c>
    </row>
    <row r="134" spans="1:16" x14ac:dyDescent="0.2">
      <c r="A134">
        <v>133</v>
      </c>
      <c r="B134">
        <v>759</v>
      </c>
      <c r="C134">
        <v>160</v>
      </c>
      <c r="D134">
        <v>0.42669234122947503</v>
      </c>
      <c r="E134">
        <v>96.297438660592704</v>
      </c>
      <c r="F134">
        <v>1.5943717584546799</v>
      </c>
      <c r="G134">
        <v>-1606.4683492081167</v>
      </c>
      <c r="H134">
        <v>-1328.8965021779738</v>
      </c>
      <c r="I134">
        <v>268.93156639559197</v>
      </c>
      <c r="J134">
        <v>142.84606696985901</v>
      </c>
      <c r="K134">
        <v>60.398359510536899</v>
      </c>
      <c r="L134">
        <v>7.828269350322422E-4</v>
      </c>
      <c r="M134">
        <v>2.2332019904160603E-4</v>
      </c>
      <c r="N134" s="1">
        <v>-5.12670213082607E-6</v>
      </c>
      <c r="O134" s="1">
        <v>2.1194286566361001E-5</v>
      </c>
      <c r="P134" s="1">
        <v>-3.8167485014057903E-5</v>
      </c>
    </row>
    <row r="135" spans="1:16" x14ac:dyDescent="0.2">
      <c r="A135">
        <v>134</v>
      </c>
      <c r="B135">
        <v>758</v>
      </c>
      <c r="C135">
        <v>160</v>
      </c>
      <c r="D135">
        <v>0.426068467245311</v>
      </c>
      <c r="E135">
        <v>100.264767385132</v>
      </c>
      <c r="F135">
        <v>1.60930489926683</v>
      </c>
      <c r="G135">
        <v>-1670.7242452173882</v>
      </c>
      <c r="H135">
        <v>-1383.9138923432461</v>
      </c>
      <c r="I135">
        <v>278.15189435233401</v>
      </c>
      <c r="J135">
        <v>148.08869709678601</v>
      </c>
      <c r="K135">
        <v>62.303151771184297</v>
      </c>
      <c r="L135">
        <v>7.7265618928215162E-4</v>
      </c>
      <c r="M135">
        <v>2.197183883434617E-4</v>
      </c>
      <c r="N135" s="1">
        <v>-4.9009460001443699E-6</v>
      </c>
      <c r="O135" s="1">
        <v>2.15229359425478E-5</v>
      </c>
      <c r="P135" s="1">
        <v>-3.8917856736002502E-5</v>
      </c>
    </row>
    <row r="136" spans="1:16" x14ac:dyDescent="0.2">
      <c r="A136">
        <v>135</v>
      </c>
      <c r="B136">
        <v>783</v>
      </c>
      <c r="C136">
        <v>140</v>
      </c>
      <c r="D136">
        <v>0.462141267812338</v>
      </c>
      <c r="E136">
        <v>6.3288427301560901</v>
      </c>
      <c r="F136">
        <v>0.33005851639522399</v>
      </c>
      <c r="G136">
        <v>-140.53423160791294</v>
      </c>
      <c r="H136">
        <v>-78.826245906883187</v>
      </c>
      <c r="I136">
        <v>58.430722391209002</v>
      </c>
      <c r="J136">
        <v>24.399687462311199</v>
      </c>
      <c r="K136">
        <v>19.174911162048801</v>
      </c>
      <c r="L136">
        <v>1.7569618712518105E-3</v>
      </c>
      <c r="M136">
        <v>6.4132620983405855E-4</v>
      </c>
      <c r="N136" s="1">
        <v>-1.7905500704693499E-5</v>
      </c>
      <c r="O136" s="1">
        <v>2.1560368073768499E-5</v>
      </c>
      <c r="P136" s="1">
        <v>-2.8147123380083599E-5</v>
      </c>
    </row>
    <row r="137" spans="1:16" x14ac:dyDescent="0.2">
      <c r="A137">
        <v>136</v>
      </c>
      <c r="B137">
        <v>782</v>
      </c>
      <c r="C137">
        <v>140</v>
      </c>
      <c r="D137">
        <v>0.46156518030611998</v>
      </c>
      <c r="E137">
        <v>6.3286601843779602</v>
      </c>
      <c r="F137">
        <v>0.33063959163802797</v>
      </c>
      <c r="G137">
        <v>-140.47176063500393</v>
      </c>
      <c r="H137">
        <v>-78.848384933231898</v>
      </c>
      <c r="I137">
        <v>58.405911339386599</v>
      </c>
      <c r="J137">
        <v>24.426333184962299</v>
      </c>
      <c r="K137">
        <v>19.1406605392445</v>
      </c>
      <c r="L137">
        <v>1.7609878585723539E-3</v>
      </c>
      <c r="M137">
        <v>6.4098309329064379E-4</v>
      </c>
      <c r="N137" s="1">
        <v>-1.7804084018030202E-5</v>
      </c>
      <c r="O137" s="1">
        <v>2.1527892802760601E-5</v>
      </c>
      <c r="P137" s="1">
        <v>-2.8210950208381701E-5</v>
      </c>
    </row>
    <row r="138" spans="1:16" x14ac:dyDescent="0.2">
      <c r="A138">
        <v>137</v>
      </c>
      <c r="B138">
        <v>781</v>
      </c>
      <c r="C138">
        <v>140</v>
      </c>
      <c r="D138">
        <v>0.460987999810274</v>
      </c>
      <c r="E138">
        <v>6.7211408322191399</v>
      </c>
      <c r="F138">
        <v>0.34789311222421598</v>
      </c>
      <c r="G138">
        <v>-146.93921090033317</v>
      </c>
      <c r="H138">
        <v>-84.345880920420328</v>
      </c>
      <c r="I138">
        <v>59.381458593857502</v>
      </c>
      <c r="J138">
        <v>24.990642652851001</v>
      </c>
      <c r="K138">
        <v>19.319557059489501</v>
      </c>
      <c r="L138">
        <v>1.7520715889997609E-3</v>
      </c>
      <c r="M138">
        <v>6.3586468516771801E-4</v>
      </c>
      <c r="N138" s="1">
        <v>-1.7766317931752999E-5</v>
      </c>
      <c r="O138" s="1">
        <v>2.1572790773190899E-5</v>
      </c>
      <c r="P138" s="1">
        <v>-2.8377041241494899E-5</v>
      </c>
    </row>
    <row r="139" spans="1:16" x14ac:dyDescent="0.2">
      <c r="A139">
        <v>138</v>
      </c>
      <c r="B139">
        <v>780</v>
      </c>
      <c r="C139">
        <v>140</v>
      </c>
      <c r="D139">
        <v>0.46040972321132001</v>
      </c>
      <c r="E139">
        <v>7.1599390585637703</v>
      </c>
      <c r="F139">
        <v>0.366738397297108</v>
      </c>
      <c r="G139">
        <v>-154.1730739947169</v>
      </c>
      <c r="H139">
        <v>-90.488835206693608</v>
      </c>
      <c r="I139">
        <v>60.473710158272198</v>
      </c>
      <c r="J139">
        <v>25.6186772332548</v>
      </c>
      <c r="K139">
        <v>19.523287202357501</v>
      </c>
      <c r="L139">
        <v>1.7418550872605645E-3</v>
      </c>
      <c r="M139">
        <v>6.30288122783319E-4</v>
      </c>
      <c r="N139" s="1">
        <v>-1.7733053338710901E-5</v>
      </c>
      <c r="O139" s="1">
        <v>2.1626357376724801E-5</v>
      </c>
      <c r="P139" s="1">
        <v>-2.8555854268983901E-5</v>
      </c>
    </row>
    <row r="140" spans="1:16" x14ac:dyDescent="0.2">
      <c r="A140">
        <v>139</v>
      </c>
      <c r="B140">
        <v>779</v>
      </c>
      <c r="C140">
        <v>140</v>
      </c>
      <c r="D140">
        <v>0.45983034738392797</v>
      </c>
      <c r="E140">
        <v>7.5998245278357697</v>
      </c>
      <c r="F140">
        <v>0.38524452181747398</v>
      </c>
      <c r="G140">
        <v>-161.42091734021653</v>
      </c>
      <c r="H140">
        <v>-96.646510066739452</v>
      </c>
      <c r="I140">
        <v>61.567334335165597</v>
      </c>
      <c r="J140">
        <v>26.248527049214601</v>
      </c>
      <c r="K140">
        <v>19.727274750026101</v>
      </c>
      <c r="L140">
        <v>1.7318363441622385E-3</v>
      </c>
      <c r="M140">
        <v>6.2480616671978587E-4</v>
      </c>
      <c r="N140" s="1">
        <v>-1.7696559775224601E-5</v>
      </c>
      <c r="O140" s="1">
        <v>2.1679638553955399E-5</v>
      </c>
      <c r="P140" s="1">
        <v>-2.87356663841516E-5</v>
      </c>
    </row>
    <row r="141" spans="1:16" x14ac:dyDescent="0.2">
      <c r="A141">
        <v>140</v>
      </c>
      <c r="B141">
        <v>778</v>
      </c>
      <c r="C141">
        <v>140</v>
      </c>
      <c r="D141">
        <v>0.45924986919088701</v>
      </c>
      <c r="E141">
        <v>8.0406364012521401</v>
      </c>
      <c r="F141">
        <v>0.40341504396342298</v>
      </c>
      <c r="G141">
        <v>-168.68000951291083</v>
      </c>
      <c r="H141">
        <v>-102.81664415088073</v>
      </c>
      <c r="I141">
        <v>62.661887835468299</v>
      </c>
      <c r="J141">
        <v>26.879968542907701</v>
      </c>
      <c r="K141">
        <v>19.9314242777251</v>
      </c>
      <c r="L141">
        <v>1.7220144042710997E-3</v>
      </c>
      <c r="M141">
        <v>6.1941784812811161E-4</v>
      </c>
      <c r="N141" s="1">
        <v>-1.7656739045121899E-5</v>
      </c>
      <c r="O141" s="1">
        <v>2.17325903459754E-5</v>
      </c>
      <c r="P141" s="1">
        <v>-2.8916428666546499E-5</v>
      </c>
    </row>
    <row r="142" spans="1:16" x14ac:dyDescent="0.2">
      <c r="A142">
        <v>141</v>
      </c>
      <c r="B142">
        <v>777</v>
      </c>
      <c r="C142">
        <v>140</v>
      </c>
      <c r="D142">
        <v>0.45866828548302802</v>
      </c>
      <c r="E142">
        <v>8.4822179957799904</v>
      </c>
      <c r="F142">
        <v>0.42125389443663802</v>
      </c>
      <c r="G142">
        <v>-175.94769060616832</v>
      </c>
      <c r="H142">
        <v>-108.99703370483812</v>
      </c>
      <c r="I142">
        <v>63.756938938825598</v>
      </c>
      <c r="J142">
        <v>27.512783848044599</v>
      </c>
      <c r="K142">
        <v>20.135642917019499</v>
      </c>
      <c r="L142">
        <v>1.7123879973947823E-3</v>
      </c>
      <c r="M142">
        <v>6.1412208745685126E-4</v>
      </c>
      <c r="N142" s="1">
        <v>-1.7613493687944999E-5</v>
      </c>
      <c r="O142" s="1">
        <v>2.17851698778459E-5</v>
      </c>
      <c r="P142" s="1">
        <v>-2.90980928047215E-5</v>
      </c>
    </row>
    <row r="143" spans="1:16" x14ac:dyDescent="0.2">
      <c r="A143">
        <v>142</v>
      </c>
      <c r="B143">
        <v>776</v>
      </c>
      <c r="C143">
        <v>140</v>
      </c>
      <c r="D143">
        <v>0.45808559309917701</v>
      </c>
      <c r="E143">
        <v>8.92441747635384</v>
      </c>
      <c r="F143">
        <v>0.43876535681239198</v>
      </c>
      <c r="G143">
        <v>-183.22138362014709</v>
      </c>
      <c r="H143">
        <v>-115.18554217700148</v>
      </c>
      <c r="I143">
        <v>64.852069247489695</v>
      </c>
      <c r="J143">
        <v>28.146761755413401</v>
      </c>
      <c r="K143">
        <v>20.339840732160901</v>
      </c>
      <c r="L143">
        <v>1.7029555495216575E-3</v>
      </c>
      <c r="M143">
        <v>6.0891770009462718E-4</v>
      </c>
      <c r="N143" s="1">
        <v>-1.7566727126259601E-5</v>
      </c>
      <c r="O143" s="1">
        <v>2.1837335491622501E-5</v>
      </c>
      <c r="P143" s="1">
        <v>-2.92806112844172E-5</v>
      </c>
    </row>
    <row r="144" spans="1:16" x14ac:dyDescent="0.2">
      <c r="A144">
        <v>143</v>
      </c>
      <c r="B144">
        <v>775</v>
      </c>
      <c r="C144">
        <v>140</v>
      </c>
      <c r="D144">
        <v>0.45750178886609999</v>
      </c>
      <c r="E144">
        <v>9.3670884555323006</v>
      </c>
      <c r="F144">
        <v>0.45595404480443602</v>
      </c>
      <c r="G144">
        <v>-190.49860430090115</v>
      </c>
      <c r="H144">
        <v>-121.38010854294426</v>
      </c>
      <c r="I144">
        <v>65.9468751949059</v>
      </c>
      <c r="J144">
        <v>28.781698551702199</v>
      </c>
      <c r="K144">
        <v>20.543931043642601</v>
      </c>
      <c r="L144">
        <v>1.6937151964845495E-3</v>
      </c>
      <c r="M144">
        <v>6.0380340292985602E-4</v>
      </c>
      <c r="N144" s="1">
        <v>-1.751634379345E-5</v>
      </c>
      <c r="O144" s="1">
        <v>2.1889046858749699E-5</v>
      </c>
      <c r="P144" s="1">
        <v>-2.94639375534357E-5</v>
      </c>
    </row>
    <row r="145" spans="1:16" x14ac:dyDescent="0.2">
      <c r="A145">
        <v>144</v>
      </c>
      <c r="B145">
        <v>774</v>
      </c>
      <c r="C145">
        <v>140</v>
      </c>
      <c r="D145">
        <v>0.45691686959843703</v>
      </c>
      <c r="E145">
        <v>9.8100904891039207</v>
      </c>
      <c r="F145">
        <v>0.47282487667227302</v>
      </c>
      <c r="G145">
        <v>-197.77696924674996</v>
      </c>
      <c r="H145">
        <v>-127.57875418940856</v>
      </c>
      <c r="I145">
        <v>67.040969283890306</v>
      </c>
      <c r="J145">
        <v>29.4173987170186</v>
      </c>
      <c r="K145">
        <v>20.747830693991801</v>
      </c>
      <c r="L145">
        <v>1.6846648002232872E-3</v>
      </c>
      <c r="M145">
        <v>5.9877782176207082E-4</v>
      </c>
      <c r="N145" s="1">
        <v>-1.7462249241737E-5</v>
      </c>
      <c r="O145" s="1">
        <v>2.1940265071286701E-5</v>
      </c>
      <c r="P145" s="1">
        <v>-2.9648026161828602E-5</v>
      </c>
    </row>
    <row r="146" spans="1:16" x14ac:dyDescent="0.2">
      <c r="A146">
        <v>145</v>
      </c>
      <c r="B146">
        <v>773</v>
      </c>
      <c r="C146">
        <v>140</v>
      </c>
      <c r="D146">
        <v>0.456330832098647</v>
      </c>
      <c r="E146">
        <v>10.3963224382594</v>
      </c>
      <c r="F146">
        <v>0.49447012476164298</v>
      </c>
      <c r="G146">
        <v>-207.4260427810097</v>
      </c>
      <c r="H146">
        <v>-135.79263271443696</v>
      </c>
      <c r="I146">
        <v>68.476952932801495</v>
      </c>
      <c r="J146">
        <v>30.242098664931198</v>
      </c>
      <c r="K146">
        <v>21.025178100033699</v>
      </c>
      <c r="L146">
        <v>1.671696428226447E-3</v>
      </c>
      <c r="M146">
        <v>5.9237498682786205E-4</v>
      </c>
      <c r="N146" s="1">
        <v>-1.7422923012665201E-5</v>
      </c>
      <c r="O146" s="1">
        <v>2.2013763150850599E-5</v>
      </c>
      <c r="P146" s="1">
        <v>-2.9863774988221599E-5</v>
      </c>
    </row>
    <row r="147" spans="1:16" x14ac:dyDescent="0.2">
      <c r="A147">
        <v>146</v>
      </c>
      <c r="B147">
        <v>772</v>
      </c>
      <c r="C147">
        <v>140</v>
      </c>
      <c r="D147">
        <v>0.45574367315696301</v>
      </c>
      <c r="E147">
        <v>12.893265975171399</v>
      </c>
      <c r="F147">
        <v>0.578541567929306</v>
      </c>
      <c r="G147">
        <v>-248.72778235122706</v>
      </c>
      <c r="H147">
        <v>-170.8785985607017</v>
      </c>
      <c r="I147">
        <v>74.489793881120605</v>
      </c>
      <c r="J147">
        <v>33.583680665173603</v>
      </c>
      <c r="K147">
        <v>22.285807433540999</v>
      </c>
      <c r="L147">
        <v>1.6080952230456747E-3</v>
      </c>
      <c r="M147">
        <v>5.679906496342741E-4</v>
      </c>
      <c r="N147" s="1">
        <v>-1.7624965820646901E-5</v>
      </c>
      <c r="O147" s="1">
        <v>2.2389632892074901E-5</v>
      </c>
      <c r="P147" s="1">
        <v>-3.0492988346712701E-5</v>
      </c>
    </row>
    <row r="148" spans="1:16" x14ac:dyDescent="0.2">
      <c r="A148">
        <v>147</v>
      </c>
      <c r="B148">
        <v>771</v>
      </c>
      <c r="C148">
        <v>140</v>
      </c>
      <c r="D148">
        <v>0.45515538955130802</v>
      </c>
      <c r="E148">
        <v>15.677083711008001</v>
      </c>
      <c r="F148">
        <v>0.661733235988746</v>
      </c>
      <c r="G148">
        <v>-294.7103590033459</v>
      </c>
      <c r="H148">
        <v>-209.94965049378587</v>
      </c>
      <c r="I148">
        <v>81.180491285971897</v>
      </c>
      <c r="J148">
        <v>37.301250547069102</v>
      </c>
      <c r="K148">
        <v>23.690941996564</v>
      </c>
      <c r="L148">
        <v>1.5447793667209297E-3</v>
      </c>
      <c r="M148">
        <v>5.4383806677275404E-4</v>
      </c>
      <c r="N148" s="1">
        <v>-1.7853289417817199E-5</v>
      </c>
      <c r="O148" s="1">
        <v>2.28058453072924E-5</v>
      </c>
      <c r="P148" s="1">
        <v>-3.1182311850137301E-5</v>
      </c>
    </row>
    <row r="149" spans="1:16" x14ac:dyDescent="0.2">
      <c r="A149">
        <v>148</v>
      </c>
      <c r="B149">
        <v>770</v>
      </c>
      <c r="C149">
        <v>140</v>
      </c>
      <c r="D149">
        <v>0.45456597804726301</v>
      </c>
      <c r="E149">
        <v>19.0741961423718</v>
      </c>
      <c r="F149">
        <v>0.75078453617308505</v>
      </c>
      <c r="G149">
        <v>-350.71448725266754</v>
      </c>
      <c r="H149">
        <v>-257.54130243058455</v>
      </c>
      <c r="I149">
        <v>89.322895714332105</v>
      </c>
      <c r="J149">
        <v>41.820081566264001</v>
      </c>
      <c r="K149">
        <v>25.405685950322301</v>
      </c>
      <c r="L149">
        <v>1.4762173208462035E-3</v>
      </c>
      <c r="M149">
        <v>5.1795660666958943E-4</v>
      </c>
      <c r="N149" s="1">
        <v>-1.8144516382559699E-5</v>
      </c>
      <c r="O149" s="1">
        <v>2.3309184507278599E-5</v>
      </c>
      <c r="P149" s="1">
        <v>-3.1996671803361201E-5</v>
      </c>
    </row>
    <row r="150" spans="1:16" x14ac:dyDescent="0.2">
      <c r="A150">
        <v>149</v>
      </c>
      <c r="B150">
        <v>769</v>
      </c>
      <c r="C150">
        <v>140</v>
      </c>
      <c r="D150">
        <v>0.45397543539797802</v>
      </c>
      <c r="E150">
        <v>34.7491120266858</v>
      </c>
      <c r="F150">
        <v>1.0434035021065999</v>
      </c>
      <c r="G150">
        <v>-607.45547934949991</v>
      </c>
      <c r="H150">
        <v>-475.71344868723526</v>
      </c>
      <c r="I150">
        <v>126.417899729632</v>
      </c>
      <c r="J150">
        <v>62.276731517923302</v>
      </c>
      <c r="K150">
        <v>33.303618357163003</v>
      </c>
      <c r="L150">
        <v>1.2396494869254138E-3</v>
      </c>
      <c r="M150">
        <v>4.3288461576630006E-4</v>
      </c>
      <c r="N150" s="1">
        <v>-1.9796392369516901E-5</v>
      </c>
      <c r="O150" s="1">
        <v>2.5543237775318301E-5</v>
      </c>
      <c r="P150" s="1">
        <v>-3.52025158288188E-5</v>
      </c>
    </row>
    <row r="151" spans="1:16" x14ac:dyDescent="0.2">
      <c r="A151">
        <v>150</v>
      </c>
      <c r="B151">
        <v>768</v>
      </c>
      <c r="C151">
        <v>140</v>
      </c>
      <c r="D151">
        <v>0.45338375834414102</v>
      </c>
      <c r="E151">
        <v>47.827792192843603</v>
      </c>
      <c r="F151">
        <v>1.19960184175345</v>
      </c>
      <c r="G151">
        <v>-821.49218296787228</v>
      </c>
      <c r="H151">
        <v>-657.7443943724619</v>
      </c>
      <c r="I151">
        <v>157.28040630273799</v>
      </c>
      <c r="J151">
        <v>79.337422395080907</v>
      </c>
      <c r="K151">
        <v>39.869722209607197</v>
      </c>
      <c r="L151">
        <v>1.1142175014578536E-3</v>
      </c>
      <c r="M151">
        <v>3.8744548101275837E-4</v>
      </c>
      <c r="N151" s="1">
        <v>-2.1110676883244401E-5</v>
      </c>
      <c r="O151" s="1">
        <v>2.7381233339162599E-5</v>
      </c>
      <c r="P151" s="1">
        <v>-3.78859593893046E-5</v>
      </c>
    </row>
    <row r="152" spans="1:16" x14ac:dyDescent="0.2">
      <c r="A152">
        <v>151</v>
      </c>
      <c r="B152">
        <v>767</v>
      </c>
      <c r="C152">
        <v>140</v>
      </c>
      <c r="D152">
        <v>0.45279094361390498</v>
      </c>
      <c r="E152">
        <v>71.053320612757403</v>
      </c>
      <c r="F152">
        <v>1.37967570272607</v>
      </c>
      <c r="G152">
        <v>-1199.5245770218248</v>
      </c>
      <c r="H152">
        <v>-979.03777581930808</v>
      </c>
      <c r="I152">
        <v>211.98104054861199</v>
      </c>
      <c r="J152">
        <v>109.532792933576</v>
      </c>
      <c r="K152">
        <v>51.500015889505299</v>
      </c>
      <c r="L152">
        <v>9.7026946283353685E-4</v>
      </c>
      <c r="M152">
        <v>3.3576834017923506E-4</v>
      </c>
      <c r="N152" s="1">
        <v>-2.3527147749770799E-5</v>
      </c>
      <c r="O152" s="1">
        <v>3.0658336015981902E-5</v>
      </c>
      <c r="P152" s="1">
        <v>-4.2589938820380101E-5</v>
      </c>
    </row>
    <row r="153" spans="1:16" x14ac:dyDescent="0.2">
      <c r="A153">
        <v>152</v>
      </c>
      <c r="B153">
        <v>766</v>
      </c>
      <c r="C153">
        <v>140</v>
      </c>
      <c r="D153">
        <v>0.45219698792282498</v>
      </c>
      <c r="E153">
        <v>85.466796846159795</v>
      </c>
      <c r="F153">
        <v>1.4565411565672799</v>
      </c>
      <c r="G153">
        <v>-1433.7358753695578</v>
      </c>
      <c r="H153">
        <v>-1178.3120701163007</v>
      </c>
      <c r="I153">
        <v>245.80612648130301</v>
      </c>
      <c r="J153">
        <v>128.27274300749801</v>
      </c>
      <c r="K153">
        <v>58.677914084888897</v>
      </c>
      <c r="L153">
        <v>9.1012642484419892E-4</v>
      </c>
      <c r="M153">
        <v>3.1372824240591244E-4</v>
      </c>
      <c r="N153" s="1">
        <v>-2.49121030735289E-5</v>
      </c>
      <c r="O153" s="1">
        <v>3.2656062892605702E-5</v>
      </c>
      <c r="P153" s="1">
        <v>-4.5547394846097098E-5</v>
      </c>
    </row>
    <row r="154" spans="1:16" x14ac:dyDescent="0.2">
      <c r="A154">
        <v>153</v>
      </c>
      <c r="B154">
        <v>765</v>
      </c>
      <c r="C154">
        <v>140</v>
      </c>
      <c r="D154">
        <v>0.45160188797380102</v>
      </c>
      <c r="E154">
        <v>94.941247072465501</v>
      </c>
      <c r="F154">
        <v>1.4983300054652899</v>
      </c>
      <c r="G154">
        <v>-1587.590574897938</v>
      </c>
      <c r="H154">
        <v>-1309.4197523536168</v>
      </c>
      <c r="I154">
        <v>267.95423071379099</v>
      </c>
      <c r="J154">
        <v>140.60999625977499</v>
      </c>
      <c r="K154">
        <v>63.3647105284943</v>
      </c>
      <c r="L154">
        <v>8.7846398308131189E-4</v>
      </c>
      <c r="M154">
        <v>3.0174955977543231E-4</v>
      </c>
      <c r="N154" s="1">
        <v>-2.5721893462002499E-5</v>
      </c>
      <c r="O154" s="1">
        <v>3.39408252581557E-5</v>
      </c>
      <c r="P154" s="1">
        <v>-4.7530315497532797E-5</v>
      </c>
    </row>
    <row r="155" spans="1:16" x14ac:dyDescent="0.2">
      <c r="A155">
        <v>154</v>
      </c>
      <c r="B155">
        <v>764</v>
      </c>
      <c r="C155">
        <v>140</v>
      </c>
      <c r="D155">
        <v>0.45100564045702202</v>
      </c>
      <c r="E155">
        <v>99.1734044403496</v>
      </c>
      <c r="F155">
        <v>1.515865714589</v>
      </c>
      <c r="G155">
        <v>-1656.1497080715199</v>
      </c>
      <c r="H155">
        <v>-1368.0828527796011</v>
      </c>
      <c r="I155">
        <v>277.75424980499503</v>
      </c>
      <c r="J155">
        <v>146.14939879297501</v>
      </c>
      <c r="K155">
        <v>65.423608097923506</v>
      </c>
      <c r="L155">
        <v>8.6641993370651076E-4</v>
      </c>
      <c r="M155">
        <v>2.9666361697339426E-4</v>
      </c>
      <c r="N155" s="1">
        <v>-2.5942580791201499E-5</v>
      </c>
      <c r="O155" s="1">
        <v>3.4480148588877498E-5</v>
      </c>
      <c r="P155" s="1">
        <v>-4.8481183505801299E-5</v>
      </c>
    </row>
    <row r="156" spans="1:16" x14ac:dyDescent="0.2">
      <c r="A156">
        <v>155</v>
      </c>
      <c r="B156">
        <v>794</v>
      </c>
      <c r="C156">
        <v>120</v>
      </c>
      <c r="D156">
        <v>0.489022630370612</v>
      </c>
      <c r="E156">
        <v>6.7110871260379703</v>
      </c>
      <c r="F156">
        <v>0.28023998025739999</v>
      </c>
      <c r="G156">
        <v>-150.14987014569246</v>
      </c>
      <c r="H156">
        <v>-82.924009754914351</v>
      </c>
      <c r="I156">
        <v>62.999298024588398</v>
      </c>
      <c r="J156">
        <v>24.9854130585056</v>
      </c>
      <c r="K156">
        <v>23.947643444285902</v>
      </c>
      <c r="L156">
        <v>1.7556500261124606E-3</v>
      </c>
      <c r="M156">
        <v>8.0852558045492451E-4</v>
      </c>
      <c r="N156" s="1">
        <v>-3.4681162373758003E-5</v>
      </c>
      <c r="O156" s="1">
        <v>3.8293599411636002E-5</v>
      </c>
      <c r="P156" s="1">
        <v>-3.6547116167827901E-5</v>
      </c>
    </row>
    <row r="157" spans="1:16" x14ac:dyDescent="0.2">
      <c r="A157">
        <v>156</v>
      </c>
      <c r="B157">
        <v>793</v>
      </c>
      <c r="C157">
        <v>120</v>
      </c>
      <c r="D157">
        <v>0.488477700136005</v>
      </c>
      <c r="E157">
        <v>6.7509992643836698</v>
      </c>
      <c r="F157">
        <v>0.28215664559666698</v>
      </c>
      <c r="G157">
        <v>-150.74836741035077</v>
      </c>
      <c r="H157">
        <v>-83.506222346911343</v>
      </c>
      <c r="I157">
        <v>63.073663657664703</v>
      </c>
      <c r="J157">
        <v>25.0669342049211</v>
      </c>
      <c r="K157">
        <v>23.926423033941099</v>
      </c>
      <c r="L157">
        <v>1.7591107407194119E-3</v>
      </c>
      <c r="M157">
        <v>8.0791419330235499E-4</v>
      </c>
      <c r="N157" s="1">
        <v>-3.4710821625760102E-5</v>
      </c>
      <c r="O157" s="1">
        <v>3.8260606743851297E-5</v>
      </c>
      <c r="P157" s="1">
        <v>-3.66385848747396E-5</v>
      </c>
    </row>
    <row r="158" spans="1:16" x14ac:dyDescent="0.2">
      <c r="A158">
        <v>157</v>
      </c>
      <c r="B158">
        <v>792</v>
      </c>
      <c r="C158">
        <v>120</v>
      </c>
      <c r="D158">
        <v>0.48793174670234402</v>
      </c>
      <c r="E158">
        <v>7.1703408483514002</v>
      </c>
      <c r="F158">
        <v>0.29731928926650802</v>
      </c>
      <c r="G158">
        <v>-157.65907324687294</v>
      </c>
      <c r="H158">
        <v>-89.378370238378096</v>
      </c>
      <c r="I158">
        <v>64.107925506626998</v>
      </c>
      <c r="J158">
        <v>25.6596295169375</v>
      </c>
      <c r="K158">
        <v>24.116635237628699</v>
      </c>
      <c r="L158">
        <v>1.7525112991467989E-3</v>
      </c>
      <c r="M158">
        <v>8.0261517607411179E-4</v>
      </c>
      <c r="N158" s="1">
        <v>-3.4844015951866002E-5</v>
      </c>
      <c r="O158" s="1">
        <v>3.8341436267291903E-5</v>
      </c>
      <c r="P158" s="1">
        <v>-3.6840178379689403E-5</v>
      </c>
    </row>
    <row r="159" spans="1:16" x14ac:dyDescent="0.2">
      <c r="A159">
        <v>158</v>
      </c>
      <c r="B159">
        <v>791</v>
      </c>
      <c r="C159">
        <v>120</v>
      </c>
      <c r="D159">
        <v>0.48738476718508</v>
      </c>
      <c r="E159">
        <v>7.5905019106054903</v>
      </c>
      <c r="F159">
        <v>0.31227680571362298</v>
      </c>
      <c r="G159">
        <v>-164.57971589359195</v>
      </c>
      <c r="H159">
        <v>-95.261620708853002</v>
      </c>
      <c r="I159">
        <v>65.143035699064797</v>
      </c>
      <c r="J159">
        <v>26.253754053292401</v>
      </c>
      <c r="K159">
        <v>24.306966677398499</v>
      </c>
      <c r="L159">
        <v>1.7460217528757688E-3</v>
      </c>
      <c r="M159">
        <v>7.9738405119319253E-4</v>
      </c>
      <c r="N159" s="1">
        <v>-3.4975893945044897E-5</v>
      </c>
      <c r="O159" s="1">
        <v>3.8422007512249197E-5</v>
      </c>
      <c r="P159" s="1">
        <v>-3.70430422881296E-5</v>
      </c>
    </row>
    <row r="160" spans="1:16" x14ac:dyDescent="0.2">
      <c r="A160">
        <v>159</v>
      </c>
      <c r="B160">
        <v>790</v>
      </c>
      <c r="C160">
        <v>120</v>
      </c>
      <c r="D160">
        <v>0.486836758688802</v>
      </c>
      <c r="E160">
        <v>8.0113344074181594</v>
      </c>
      <c r="F160">
        <v>0.32702891156686797</v>
      </c>
      <c r="G160">
        <v>-171.50779251960486</v>
      </c>
      <c r="H160">
        <v>-101.15389875538266</v>
      </c>
      <c r="I160">
        <v>66.178594208227807</v>
      </c>
      <c r="J160">
        <v>26.849107260948301</v>
      </c>
      <c r="K160">
        <v>24.497327679788501</v>
      </c>
      <c r="L160">
        <v>1.7396434012941903E-3</v>
      </c>
      <c r="M160">
        <v>7.9222100964312643E-4</v>
      </c>
      <c r="N160" s="1">
        <v>-3.5106354545446603E-5</v>
      </c>
      <c r="O160" s="1">
        <v>3.8502263373479802E-5</v>
      </c>
      <c r="P160" s="1">
        <v>-3.7247136155203903E-5</v>
      </c>
    </row>
    <row r="161" spans="1:16" x14ac:dyDescent="0.2">
      <c r="A161">
        <v>160</v>
      </c>
      <c r="B161">
        <v>789</v>
      </c>
      <c r="C161">
        <v>120</v>
      </c>
      <c r="D161">
        <v>0.48628771830721002</v>
      </c>
      <c r="E161">
        <v>8.4326934732918204</v>
      </c>
      <c r="F161">
        <v>0.34157564932892998</v>
      </c>
      <c r="G161">
        <v>-178.44085581355205</v>
      </c>
      <c r="H161">
        <v>-107.05317369369527</v>
      </c>
      <c r="I161">
        <v>67.214210046454497</v>
      </c>
      <c r="J161">
        <v>27.445492941794399</v>
      </c>
      <c r="K161">
        <v>24.687630660613301</v>
      </c>
      <c r="L161">
        <v>1.733377304102294E-3</v>
      </c>
      <c r="M161">
        <v>7.8712612482588712E-4</v>
      </c>
      <c r="N161" s="1">
        <v>-3.5235296475370801E-5</v>
      </c>
      <c r="O161" s="1">
        <v>3.8582148070947699E-5</v>
      </c>
      <c r="P161" s="1">
        <v>-3.7452420251038497E-5</v>
      </c>
    </row>
    <row r="162" spans="1:16" x14ac:dyDescent="0.2">
      <c r="A162">
        <v>161</v>
      </c>
      <c r="B162">
        <v>788</v>
      </c>
      <c r="C162">
        <v>120</v>
      </c>
      <c r="D162">
        <v>0.48573764312303003</v>
      </c>
      <c r="E162">
        <v>8.8544379904211006</v>
      </c>
      <c r="F162">
        <v>0.355917379796309</v>
      </c>
      <c r="G162">
        <v>-185.37652338119139</v>
      </c>
      <c r="H162">
        <v>-112.95746706898652</v>
      </c>
      <c r="I162">
        <v>68.249502708889693</v>
      </c>
      <c r="J162">
        <v>28.042720034781802</v>
      </c>
      <c r="K162">
        <v>24.8777904453231</v>
      </c>
      <c r="L162">
        <v>1.7272242832618264E-3</v>
      </c>
      <c r="M162">
        <v>7.8209935500245513E-4</v>
      </c>
      <c r="N162" s="1">
        <v>-3.5362618413751398E-5</v>
      </c>
      <c r="O162" s="1">
        <v>3.8661607322056098E-5</v>
      </c>
      <c r="P162" s="1">
        <v>-3.7658855737361903E-5</v>
      </c>
    </row>
    <row r="163" spans="1:16" x14ac:dyDescent="0.2">
      <c r="A163">
        <v>162</v>
      </c>
      <c r="B163">
        <v>787</v>
      </c>
      <c r="C163">
        <v>120</v>
      </c>
      <c r="D163">
        <v>0.48518653020799002</v>
      </c>
      <c r="E163">
        <v>9.2764310898643192</v>
      </c>
      <c r="F163">
        <v>0.37005477189438402</v>
      </c>
      <c r="G163">
        <v>-192.31248599486617</v>
      </c>
      <c r="H163">
        <v>-118.86485961881957</v>
      </c>
      <c r="I163">
        <v>69.284103436512098</v>
      </c>
      <c r="J163">
        <v>28.640603305741902</v>
      </c>
      <c r="K163">
        <v>25.067724548926599</v>
      </c>
      <c r="L163">
        <v>1.7211849270335085E-3</v>
      </c>
      <c r="M163">
        <v>7.7714054667834458E-4</v>
      </c>
      <c r="N163" s="1">
        <v>-3.5488219151056002E-5</v>
      </c>
      <c r="O163" s="1">
        <v>3.8740588490436901E-5</v>
      </c>
      <c r="P163" s="1">
        <v>-3.7866404824892399E-5</v>
      </c>
    </row>
    <row r="164" spans="1:16" x14ac:dyDescent="0.2">
      <c r="A164">
        <v>163</v>
      </c>
      <c r="B164">
        <v>786</v>
      </c>
      <c r="C164">
        <v>120</v>
      </c>
      <c r="D164">
        <v>0.48463437662276798</v>
      </c>
      <c r="E164">
        <v>9.69854058269636</v>
      </c>
      <c r="F164">
        <v>0.38398879024975602</v>
      </c>
      <c r="G164">
        <v>-199.24651467015198</v>
      </c>
      <c r="H164">
        <v>-124.77349726544124</v>
      </c>
      <c r="I164">
        <v>70.3176562953699</v>
      </c>
      <c r="J164">
        <v>29.238963942757799</v>
      </c>
      <c r="K164">
        <v>25.2573534148957</v>
      </c>
      <c r="L164">
        <v>1.7152595958985131E-3</v>
      </c>
      <c r="M164">
        <v>7.722494388215837E-4</v>
      </c>
      <c r="N164" s="1">
        <v>-3.5611997724305899E-5</v>
      </c>
      <c r="O164" s="1">
        <v>3.8819040711456703E-5</v>
      </c>
      <c r="P164" s="1">
        <v>-3.80750309112044E-5</v>
      </c>
    </row>
    <row r="165" spans="1:16" x14ac:dyDescent="0.2">
      <c r="A165">
        <v>164</v>
      </c>
      <c r="B165">
        <v>785</v>
      </c>
      <c r="C165">
        <v>120</v>
      </c>
      <c r="D165">
        <v>0.48408117941691098</v>
      </c>
      <c r="E165">
        <v>10.1206393099521</v>
      </c>
      <c r="F165">
        <v>0.39772068049867298</v>
      </c>
      <c r="G165">
        <v>-206.17646638862081</v>
      </c>
      <c r="H165">
        <v>-130.68159598316899</v>
      </c>
      <c r="I165">
        <v>71.349819045563507</v>
      </c>
      <c r="J165">
        <v>29.8376300424028</v>
      </c>
      <c r="K165">
        <v>25.446600607397599</v>
      </c>
      <c r="L165">
        <v>1.7094484304060352E-3</v>
      </c>
      <c r="M165">
        <v>7.6742566791507521E-4</v>
      </c>
      <c r="N165" s="1">
        <v>-3.5733853529710998E-5</v>
      </c>
      <c r="O165" s="1">
        <v>3.8896914992116398E-5</v>
      </c>
      <c r="P165" s="1">
        <v>-3.82846986963126E-5</v>
      </c>
    </row>
    <row r="166" spans="1:16" x14ac:dyDescent="0.2">
      <c r="A166">
        <v>165</v>
      </c>
      <c r="B166">
        <v>784</v>
      </c>
      <c r="C166">
        <v>120</v>
      </c>
      <c r="D166">
        <v>0.48352693562881199</v>
      </c>
      <c r="E166">
        <v>10.5426054188476</v>
      </c>
      <c r="F166">
        <v>0.41125195289864902</v>
      </c>
      <c r="G166">
        <v>-213.1002885962429</v>
      </c>
      <c r="H166">
        <v>-136.58744564656544</v>
      </c>
      <c r="I166">
        <v>72.380263821098396</v>
      </c>
      <c r="J166">
        <v>30.436436997469801</v>
      </c>
      <c r="K166">
        <v>25.6353929617589</v>
      </c>
      <c r="L166">
        <v>1.7037513605452543E-3</v>
      </c>
      <c r="M166">
        <v>7.6266877364308588E-4</v>
      </c>
      <c r="N166" s="1">
        <v>-3.5853686415733E-5</v>
      </c>
      <c r="O166" s="1">
        <v>3.8974164288875998E-5</v>
      </c>
      <c r="P166" s="1">
        <v>-3.8495374278945202E-5</v>
      </c>
    </row>
    <row r="167" spans="1:16" x14ac:dyDescent="0.2">
      <c r="A167">
        <v>166</v>
      </c>
      <c r="B167">
        <v>783</v>
      </c>
      <c r="C167">
        <v>120</v>
      </c>
      <c r="D167">
        <v>0.48297164228566197</v>
      </c>
      <c r="E167">
        <v>10.9643225592097</v>
      </c>
      <c r="F167">
        <v>0.424584364362452</v>
      </c>
      <c r="G167">
        <v>-220.01602237929578</v>
      </c>
      <c r="H167">
        <v>-142.48941277710841</v>
      </c>
      <c r="I167">
        <v>73.408677604358303</v>
      </c>
      <c r="J167">
        <v>31.0352277774324</v>
      </c>
      <c r="K167">
        <v>25.823660689139</v>
      </c>
      <c r="L167">
        <v>1.6981681165811275E-3</v>
      </c>
      <c r="M167">
        <v>7.5797820517025597E-4</v>
      </c>
      <c r="N167" s="1">
        <v>-3.5971396753573902E-5</v>
      </c>
      <c r="O167" s="1">
        <v>3.9050743560399498E-5</v>
      </c>
      <c r="P167" s="1">
        <v>-3.87070252300337E-5</v>
      </c>
    </row>
    <row r="168" spans="1:16" x14ac:dyDescent="0.2">
      <c r="A168">
        <v>167</v>
      </c>
      <c r="B168">
        <v>782</v>
      </c>
      <c r="C168">
        <v>120</v>
      </c>
      <c r="D168">
        <v>0.48241529640335601</v>
      </c>
      <c r="E168">
        <v>11.3856800010781</v>
      </c>
      <c r="F168">
        <v>0.437719899189214</v>
      </c>
      <c r="G168">
        <v>-226.9218043415386</v>
      </c>
      <c r="H168">
        <v>-148.38594220281229</v>
      </c>
      <c r="I168">
        <v>74.434762502652305</v>
      </c>
      <c r="J168">
        <v>31.633853104484299</v>
      </c>
      <c r="K168">
        <v>26.011337437863101</v>
      </c>
      <c r="L168">
        <v>1.6926982411684431E-3</v>
      </c>
      <c r="M168">
        <v>7.5335332791579717E-4</v>
      </c>
      <c r="N168" s="1">
        <v>-3.6086885488065203E-5</v>
      </c>
      <c r="O168" s="1">
        <v>3.9126609798913897E-5</v>
      </c>
      <c r="P168" s="1">
        <v>-3.8919620646565301E-5</v>
      </c>
    </row>
    <row r="169" spans="1:16" x14ac:dyDescent="0.2">
      <c r="A169">
        <v>168</v>
      </c>
      <c r="B169">
        <v>781</v>
      </c>
      <c r="C169">
        <v>120</v>
      </c>
      <c r="D169">
        <v>0.48185789498648202</v>
      </c>
      <c r="E169">
        <v>12.104508115828001</v>
      </c>
      <c r="F169">
        <v>0.45927682967795003</v>
      </c>
      <c r="G169">
        <v>-238.75609371544752</v>
      </c>
      <c r="H169">
        <v>-158.46670043834035</v>
      </c>
      <c r="I169">
        <v>76.168847362014802</v>
      </c>
      <c r="J169">
        <v>32.619827112624797</v>
      </c>
      <c r="K169">
        <v>26.355581935879101</v>
      </c>
      <c r="L169">
        <v>1.6804603808690363E-3</v>
      </c>
      <c r="M169">
        <v>7.4571827435348311E-4</v>
      </c>
      <c r="N169" s="1">
        <v>-3.6268250617052297E-5</v>
      </c>
      <c r="O169" s="1">
        <v>3.9274687078767603E-5</v>
      </c>
      <c r="P169" s="1">
        <v>-3.9205964458500898E-5</v>
      </c>
    </row>
    <row r="170" spans="1:16" x14ac:dyDescent="0.2">
      <c r="A170">
        <v>169</v>
      </c>
      <c r="B170">
        <v>780</v>
      </c>
      <c r="C170">
        <v>120</v>
      </c>
      <c r="D170">
        <v>0.48129943502824801</v>
      </c>
      <c r="E170">
        <v>14.612091267134</v>
      </c>
      <c r="F170">
        <v>0.52862191243007195</v>
      </c>
      <c r="G170">
        <v>-280.21641863403187</v>
      </c>
      <c r="H170">
        <v>-193.68943471065978</v>
      </c>
      <c r="I170">
        <v>82.164027031379902</v>
      </c>
      <c r="J170">
        <v>35.932740961929603</v>
      </c>
      <c r="K170">
        <v>27.6418569180424</v>
      </c>
      <c r="L170">
        <v>1.6298367968328028E-3</v>
      </c>
      <c r="M170">
        <v>7.2100673542470014E-4</v>
      </c>
      <c r="N170" s="1">
        <v>-3.6854765769627698E-5</v>
      </c>
      <c r="O170" s="1">
        <v>3.9857207243563702E-5</v>
      </c>
      <c r="P170" s="1">
        <v>-3.9929719441245602E-5</v>
      </c>
    </row>
    <row r="171" spans="1:16" x14ac:dyDescent="0.2">
      <c r="A171">
        <v>170</v>
      </c>
      <c r="B171">
        <v>779</v>
      </c>
      <c r="C171">
        <v>120</v>
      </c>
      <c r="D171">
        <v>0.48073991351043299</v>
      </c>
      <c r="E171">
        <v>17.417118525888501</v>
      </c>
      <c r="F171">
        <v>0.598918005804429</v>
      </c>
      <c r="G171">
        <v>-326.5304838692453</v>
      </c>
      <c r="H171">
        <v>-233.04284091031207</v>
      </c>
      <c r="I171">
        <v>88.857838542475406</v>
      </c>
      <c r="J171">
        <v>39.630263391074998</v>
      </c>
      <c r="K171">
        <v>29.080973283638301</v>
      </c>
      <c r="L171">
        <v>1.5780797173933401E-3</v>
      </c>
      <c r="M171">
        <v>6.9591692809671893E-4</v>
      </c>
      <c r="N171" s="1">
        <v>-3.7501307244425003E-5</v>
      </c>
      <c r="O171" s="1">
        <v>4.0504279729841203E-5</v>
      </c>
      <c r="P171" s="1">
        <v>-4.0723727702771701E-5</v>
      </c>
    </row>
    <row r="172" spans="1:16" x14ac:dyDescent="0.2">
      <c r="A172">
        <v>171</v>
      </c>
      <c r="B172">
        <v>778</v>
      </c>
      <c r="C172">
        <v>120</v>
      </c>
      <c r="D172">
        <v>0.48017932740332298</v>
      </c>
      <c r="E172">
        <v>20.833397402217301</v>
      </c>
      <c r="F172">
        <v>0.67564164852336805</v>
      </c>
      <c r="G172">
        <v>-382.83302492805223</v>
      </c>
      <c r="H172">
        <v>-280.88621484494718</v>
      </c>
      <c r="I172">
        <v>96.989988566135196</v>
      </c>
      <c r="J172">
        <v>44.1162659696761</v>
      </c>
      <c r="K172">
        <v>30.834981010642601</v>
      </c>
      <c r="L172">
        <v>1.5207256989206981E-3</v>
      </c>
      <c r="M172">
        <v>6.6847179566653701E-4</v>
      </c>
      <c r="N172" s="1">
        <v>-3.8272579189438403E-5</v>
      </c>
      <c r="O172" s="1">
        <v>4.1284915811482001E-5</v>
      </c>
      <c r="P172" s="1">
        <v>-4.1658388860336597E-5</v>
      </c>
    </row>
    <row r="173" spans="1:16" x14ac:dyDescent="0.2">
      <c r="A173">
        <v>172</v>
      </c>
      <c r="B173">
        <v>777</v>
      </c>
      <c r="C173">
        <v>120</v>
      </c>
      <c r="D173">
        <v>0.47961767366567098</v>
      </c>
      <c r="E173">
        <v>30.4996340602444</v>
      </c>
      <c r="F173">
        <v>0.85180333235401295</v>
      </c>
      <c r="G173">
        <v>-541.3499903598439</v>
      </c>
      <c r="H173">
        <v>-415.5489328633634</v>
      </c>
      <c r="I173">
        <v>119.797645593624</v>
      </c>
      <c r="J173">
        <v>56.627251678067097</v>
      </c>
      <c r="K173">
        <v>35.805957668604897</v>
      </c>
      <c r="L173">
        <v>1.3819214330615967E-3</v>
      </c>
      <c r="M173">
        <v>6.0512359149068537E-4</v>
      </c>
      <c r="N173" s="1">
        <v>-4.0314922179781201E-5</v>
      </c>
      <c r="O173" s="1">
        <v>4.3423848353473199E-5</v>
      </c>
      <c r="P173" s="1">
        <v>-4.3975469074570898E-5</v>
      </c>
    </row>
    <row r="174" spans="1:16" x14ac:dyDescent="0.2">
      <c r="A174">
        <v>173</v>
      </c>
      <c r="B174">
        <v>776</v>
      </c>
      <c r="C174">
        <v>120</v>
      </c>
      <c r="D174">
        <v>0.47905494924462999</v>
      </c>
      <c r="E174">
        <v>43.767523380566701</v>
      </c>
      <c r="F174">
        <v>1.02715353767261</v>
      </c>
      <c r="G174">
        <v>-758.58968694795408</v>
      </c>
      <c r="H174">
        <v>-600.1962263107531</v>
      </c>
      <c r="I174">
        <v>150.977650134794</v>
      </c>
      <c r="J174">
        <v>73.741701432092995</v>
      </c>
      <c r="K174">
        <v>42.610497627976599</v>
      </c>
      <c r="L174">
        <v>1.2428619278591279E-3</v>
      </c>
      <c r="M174">
        <v>5.4202249672497731E-4</v>
      </c>
      <c r="N174" s="1">
        <v>-4.3061485089458802E-5</v>
      </c>
      <c r="O174" s="1">
        <v>4.6313186461236698E-5</v>
      </c>
      <c r="P174" s="1">
        <v>-4.7072267853412301E-5</v>
      </c>
    </row>
    <row r="175" spans="1:16" x14ac:dyDescent="0.2">
      <c r="A175">
        <v>174</v>
      </c>
      <c r="B175">
        <v>775</v>
      </c>
      <c r="C175">
        <v>120</v>
      </c>
      <c r="D175">
        <v>0.478491151075708</v>
      </c>
      <c r="E175">
        <v>53.684520073335698</v>
      </c>
      <c r="F175">
        <v>1.1260944202176899</v>
      </c>
      <c r="G175">
        <v>-920.8508793344273</v>
      </c>
      <c r="H175">
        <v>-738.24554428062868</v>
      </c>
      <c r="I175">
        <v>174.221533445332</v>
      </c>
      <c r="J175">
        <v>86.540650919579505</v>
      </c>
      <c r="K175">
        <v>47.673196056648202</v>
      </c>
      <c r="L175">
        <v>1.1655391568071692E-3</v>
      </c>
      <c r="M175">
        <v>5.0644297811580608E-4</v>
      </c>
      <c r="N175" s="1">
        <v>-4.5101792861376597E-5</v>
      </c>
      <c r="O175" s="1">
        <v>4.8446599297587898E-5</v>
      </c>
      <c r="P175" s="1">
        <v>-4.9420822063697697E-5</v>
      </c>
    </row>
    <row r="176" spans="1:16" x14ac:dyDescent="0.2">
      <c r="A176">
        <v>175</v>
      </c>
      <c r="B176">
        <v>774</v>
      </c>
      <c r="C176">
        <v>120</v>
      </c>
      <c r="D176">
        <v>0.47792627608270499</v>
      </c>
      <c r="E176">
        <v>77.641666273313007</v>
      </c>
      <c r="F176">
        <v>1.2961547921302801</v>
      </c>
      <c r="G176">
        <v>-1310.2910637610098</v>
      </c>
      <c r="H176">
        <v>-1069.1352492049728</v>
      </c>
      <c r="I176">
        <v>230.302554348591</v>
      </c>
      <c r="J176">
        <v>117.308766694496</v>
      </c>
      <c r="K176">
        <v>59.901538569868997</v>
      </c>
      <c r="L176">
        <v>1.0314670797568445E-3</v>
      </c>
      <c r="M176">
        <v>4.4616426054797364E-4</v>
      </c>
      <c r="N176" s="1">
        <v>-5.0028038101395001E-5</v>
      </c>
      <c r="O176" s="1">
        <v>5.3652219092729298E-5</v>
      </c>
      <c r="P176" s="1">
        <v>-5.49322046114617E-5</v>
      </c>
    </row>
    <row r="177" spans="1:16" x14ac:dyDescent="0.2">
      <c r="A177">
        <v>176</v>
      </c>
      <c r="B177">
        <v>773</v>
      </c>
      <c r="C177">
        <v>120</v>
      </c>
      <c r="D177">
        <v>0.47736032117765198</v>
      </c>
      <c r="E177">
        <v>87.892613438784394</v>
      </c>
      <c r="F177">
        <v>1.3504048268192099</v>
      </c>
      <c r="G177">
        <v>-1476.7844717086102</v>
      </c>
      <c r="H177">
        <v>-1210.879915579799</v>
      </c>
      <c r="I177">
        <v>254.179889129739</v>
      </c>
      <c r="J177">
        <v>130.49484789364499</v>
      </c>
      <c r="K177">
        <v>65.086122097037602</v>
      </c>
      <c r="L177">
        <v>9.9045968700426116E-4</v>
      </c>
      <c r="M177">
        <v>4.2693979579118727E-4</v>
      </c>
      <c r="N177" s="1">
        <v>-5.2109081251007203E-5</v>
      </c>
      <c r="O177" s="1">
        <v>5.5824240043199699E-5</v>
      </c>
      <c r="P177" s="1">
        <v>-5.7367194606972201E-5</v>
      </c>
    </row>
    <row r="178" spans="1:16" x14ac:dyDescent="0.2">
      <c r="A178">
        <v>177</v>
      </c>
      <c r="B178">
        <v>772</v>
      </c>
      <c r="C178">
        <v>120</v>
      </c>
      <c r="D178">
        <v>0.47679328326077502</v>
      </c>
      <c r="E178">
        <v>95.748392475994507</v>
      </c>
      <c r="F178">
        <v>1.3870053599428001</v>
      </c>
      <c r="G178">
        <v>-1604.308665082131</v>
      </c>
      <c r="H178">
        <v>-1319.6001556105964</v>
      </c>
      <c r="I178">
        <v>272.41488748218899</v>
      </c>
      <c r="J178">
        <v>140.61480593758901</v>
      </c>
      <c r="K178">
        <v>69.032460321525207</v>
      </c>
      <c r="L178">
        <v>9.6368930548783186E-4</v>
      </c>
      <c r="M178">
        <v>4.1402579311512896E-4</v>
      </c>
      <c r="N178" s="1">
        <v>-5.36884805538203E-5</v>
      </c>
      <c r="O178" s="1">
        <v>5.7462292185784499E-5</v>
      </c>
      <c r="P178" s="1">
        <v>-5.9269734216299803E-5</v>
      </c>
    </row>
    <row r="179" spans="1:16" x14ac:dyDescent="0.2">
      <c r="A179">
        <v>178</v>
      </c>
      <c r="B179">
        <v>771</v>
      </c>
      <c r="C179">
        <v>120</v>
      </c>
      <c r="D179">
        <v>0.47622515922041903</v>
      </c>
      <c r="E179">
        <v>99.416327055426905</v>
      </c>
      <c r="F179">
        <v>1.4034689025950899</v>
      </c>
      <c r="G179">
        <v>-1663.6878972387935</v>
      </c>
      <c r="H179">
        <v>-1370.4531330579459</v>
      </c>
      <c r="I179">
        <v>280.84159932073999</v>
      </c>
      <c r="J179">
        <v>145.36714661158899</v>
      </c>
      <c r="K179">
        <v>70.836145262357107</v>
      </c>
      <c r="L179">
        <v>9.5311312886440711E-4</v>
      </c>
      <c r="M179">
        <v>4.082232207136181E-4</v>
      </c>
      <c r="N179" s="1">
        <v>-5.44066392088631E-5</v>
      </c>
      <c r="O179" s="1">
        <v>5.8185929555970703E-5</v>
      </c>
      <c r="P179" s="1">
        <v>-6.0240027329364397E-5</v>
      </c>
    </row>
    <row r="180" spans="1:16" x14ac:dyDescent="0.2">
      <c r="A180">
        <v>179</v>
      </c>
      <c r="B180">
        <v>807</v>
      </c>
      <c r="C180">
        <v>100</v>
      </c>
      <c r="D180">
        <v>0.516382446882378</v>
      </c>
      <c r="E180">
        <v>7.1310054264059204</v>
      </c>
      <c r="F180">
        <v>0.228288273321503</v>
      </c>
      <c r="G180">
        <v>-160.98614713842815</v>
      </c>
      <c r="H180">
        <v>-87.29571685301832</v>
      </c>
      <c r="I180">
        <v>68.226182552986799</v>
      </c>
      <c r="J180">
        <v>25.198728208393199</v>
      </c>
      <c r="K180">
        <v>31.236845075976198</v>
      </c>
      <c r="L180">
        <v>1.6882566755200481E-3</v>
      </c>
      <c r="M180">
        <v>1.0274987813935781E-3</v>
      </c>
      <c r="N180" s="1">
        <v>-5.3355702853373301E-5</v>
      </c>
      <c r="O180" s="1">
        <v>7.2678608506443202E-5</v>
      </c>
      <c r="P180" s="1">
        <v>-4.8257149425513997E-5</v>
      </c>
    </row>
    <row r="181" spans="1:16" x14ac:dyDescent="0.2">
      <c r="A181">
        <v>180</v>
      </c>
      <c r="B181">
        <v>806</v>
      </c>
      <c r="C181">
        <v>100</v>
      </c>
      <c r="D181">
        <v>0.51586943427697896</v>
      </c>
      <c r="E181">
        <v>7.4047876484219497</v>
      </c>
      <c r="F181">
        <v>0.236275144790388</v>
      </c>
      <c r="G181">
        <v>-165.47200556220801</v>
      </c>
      <c r="H181">
        <v>-91.137875607433131</v>
      </c>
      <c r="I181">
        <v>68.885898846553502</v>
      </c>
      <c r="J181">
        <v>25.586430777051699</v>
      </c>
      <c r="K181">
        <v>31.339680925774399</v>
      </c>
      <c r="L181">
        <v>1.6874054028499696E-3</v>
      </c>
      <c r="M181">
        <v>1.0243425903498798E-3</v>
      </c>
      <c r="N181" s="1">
        <v>-5.3623057658646403E-5</v>
      </c>
      <c r="O181" s="1">
        <v>7.2739636337876295E-5</v>
      </c>
      <c r="P181" s="1">
        <v>-4.8428659932150001E-5</v>
      </c>
    </row>
    <row r="182" spans="1:16" x14ac:dyDescent="0.2">
      <c r="A182">
        <v>181</v>
      </c>
      <c r="B182">
        <v>805</v>
      </c>
      <c r="C182">
        <v>100</v>
      </c>
      <c r="D182">
        <v>0.51535547001808601</v>
      </c>
      <c r="E182">
        <v>7.8078530622429403</v>
      </c>
      <c r="F182">
        <v>0.24773529482776099</v>
      </c>
      <c r="G182">
        <v>-172.10742013928248</v>
      </c>
      <c r="H182">
        <v>-96.781697641790387</v>
      </c>
      <c r="I182">
        <v>69.869517911135304</v>
      </c>
      <c r="J182">
        <v>26.145375749709</v>
      </c>
      <c r="K182">
        <v>31.516918361073099</v>
      </c>
      <c r="L182">
        <v>1.6840607197555456E-3</v>
      </c>
      <c r="M182">
        <v>1.0196534959881626E-3</v>
      </c>
      <c r="N182" s="1">
        <v>-5.3937199839905802E-5</v>
      </c>
      <c r="O182" s="1">
        <v>7.2862066049750299E-5</v>
      </c>
      <c r="P182" s="1">
        <v>-4.8642352038197299E-5</v>
      </c>
    </row>
    <row r="183" spans="1:16" x14ac:dyDescent="0.2">
      <c r="A183">
        <v>182</v>
      </c>
      <c r="B183">
        <v>804</v>
      </c>
      <c r="C183">
        <v>100</v>
      </c>
      <c r="D183">
        <v>0.514840551455232</v>
      </c>
      <c r="E183">
        <v>8.2112684970604501</v>
      </c>
      <c r="F183">
        <v>0.25907956435111901</v>
      </c>
      <c r="G183">
        <v>-178.74524853844403</v>
      </c>
      <c r="H183">
        <v>-102.43015442632596</v>
      </c>
      <c r="I183">
        <v>70.852901454686105</v>
      </c>
      <c r="J183">
        <v>26.705055853740699</v>
      </c>
      <c r="K183">
        <v>31.694003028089298</v>
      </c>
      <c r="L183">
        <v>1.6807754993257004E-3</v>
      </c>
      <c r="M183">
        <v>1.0150107052666131E-3</v>
      </c>
      <c r="N183" s="1">
        <v>-5.42524587385968E-5</v>
      </c>
      <c r="O183" s="1">
        <v>7.2984129488708497E-5</v>
      </c>
      <c r="P183" s="1">
        <v>-4.8857229320728798E-5</v>
      </c>
    </row>
    <row r="184" spans="1:16" x14ac:dyDescent="0.2">
      <c r="A184">
        <v>183</v>
      </c>
      <c r="B184">
        <v>803</v>
      </c>
      <c r="C184">
        <v>100</v>
      </c>
      <c r="D184">
        <v>0.51432467592807896</v>
      </c>
      <c r="E184">
        <v>8.6149033772870496</v>
      </c>
      <c r="F184">
        <v>0.27030664120968401</v>
      </c>
      <c r="G184">
        <v>-185.38329396670574</v>
      </c>
      <c r="H184">
        <v>-108.08142060866504</v>
      </c>
      <c r="I184">
        <v>71.8357036598387</v>
      </c>
      <c r="J184">
        <v>27.265298439392801</v>
      </c>
      <c r="K184">
        <v>31.870853556292101</v>
      </c>
      <c r="L184">
        <v>1.6775512744888407E-3</v>
      </c>
      <c r="M184">
        <v>1.010414886210781E-3</v>
      </c>
      <c r="N184" s="1">
        <v>-5.45687664880598E-5</v>
      </c>
      <c r="O184" s="1">
        <v>7.3105751999792405E-5</v>
      </c>
      <c r="P184" s="1">
        <v>-4.90732560724197E-5</v>
      </c>
    </row>
    <row r="185" spans="1:16" x14ac:dyDescent="0.2">
      <c r="A185">
        <v>184</v>
      </c>
      <c r="B185">
        <v>802</v>
      </c>
      <c r="C185">
        <v>100</v>
      </c>
      <c r="D185">
        <v>0.51380784076640695</v>
      </c>
      <c r="E185">
        <v>9.0186304751523299</v>
      </c>
      <c r="F185">
        <v>0.28141543636699801</v>
      </c>
      <c r="G185">
        <v>-192.01941786850588</v>
      </c>
      <c r="H185">
        <v>-113.73371764110362</v>
      </c>
      <c r="I185">
        <v>72.817588056379805</v>
      </c>
      <c r="J185">
        <v>27.825935421574901</v>
      </c>
      <c r="K185">
        <v>32.047390831080598</v>
      </c>
      <c r="L185">
        <v>1.6743894335958269E-3</v>
      </c>
      <c r="M185">
        <v>1.0058666084221419E-3</v>
      </c>
      <c r="N185" s="1">
        <v>-5.4886055333979602E-5</v>
      </c>
      <c r="O185" s="1">
        <v>7.3226861082360397E-5</v>
      </c>
      <c r="P185" s="1">
        <v>-4.9290397698035098E-5</v>
      </c>
    </row>
    <row r="186" spans="1:16" x14ac:dyDescent="0.2">
      <c r="A186">
        <v>185</v>
      </c>
      <c r="B186">
        <v>801</v>
      </c>
      <c r="C186">
        <v>100</v>
      </c>
      <c r="D186">
        <v>0.51329004329004402</v>
      </c>
      <c r="E186">
        <v>9.4223262946777293</v>
      </c>
      <c r="F186">
        <v>0.29240508076964999</v>
      </c>
      <c r="G186">
        <v>-198.65154624233563</v>
      </c>
      <c r="H186">
        <v>-119.38531911272143</v>
      </c>
      <c r="I186">
        <v>73.798228481321999</v>
      </c>
      <c r="J186">
        <v>28.3868037979191</v>
      </c>
      <c r="K186">
        <v>32.223538215809597</v>
      </c>
      <c r="L186">
        <v>1.6712912203049428E-3</v>
      </c>
      <c r="M186">
        <v>1.0013663441460377E-3</v>
      </c>
      <c r="N186" s="1">
        <v>-5.5204257786877303E-5</v>
      </c>
      <c r="O186" s="1">
        <v>7.3347386573328701E-5</v>
      </c>
      <c r="P186" s="1">
        <v>-4.9508620851426199E-5</v>
      </c>
    </row>
    <row r="187" spans="1:16" x14ac:dyDescent="0.2">
      <c r="A187">
        <v>186</v>
      </c>
      <c r="B187">
        <v>800</v>
      </c>
      <c r="C187">
        <v>100</v>
      </c>
      <c r="D187">
        <v>0.51277128080883805</v>
      </c>
      <c r="E187">
        <v>9.8258714010816401</v>
      </c>
      <c r="F187">
        <v>0.30327492060878902</v>
      </c>
      <c r="G187">
        <v>-205.27767504146385</v>
      </c>
      <c r="H187">
        <v>-125.03455532448037</v>
      </c>
      <c r="I187">
        <v>74.777309896284095</v>
      </c>
      <c r="J187">
        <v>28.947746094103302</v>
      </c>
      <c r="K187">
        <v>32.399221740318403</v>
      </c>
      <c r="L187">
        <v>1.6682577346598618E-3</v>
      </c>
      <c r="M187">
        <v>9.969144700682725E-4</v>
      </c>
      <c r="N187" s="1">
        <v>-5.5523306756041897E-5</v>
      </c>
      <c r="O187" s="1">
        <v>7.34672608009738E-5</v>
      </c>
      <c r="P187" s="1">
        <v>-4.9727893554945497E-5</v>
      </c>
    </row>
    <row r="188" spans="1:16" x14ac:dyDescent="0.2">
      <c r="A188">
        <v>187</v>
      </c>
      <c r="B188">
        <v>799</v>
      </c>
      <c r="C188">
        <v>100</v>
      </c>
      <c r="D188">
        <v>0.51225155062258299</v>
      </c>
      <c r="E188">
        <v>10.229150688097</v>
      </c>
      <c r="F188">
        <v>0.31402451095369599</v>
      </c>
      <c r="G188">
        <v>-211.89587453724752</v>
      </c>
      <c r="H188">
        <v>-130.67981700333448</v>
      </c>
      <c r="I188">
        <v>75.754529044890603</v>
      </c>
      <c r="J188">
        <v>29.508610726848399</v>
      </c>
      <c r="K188">
        <v>32.574370252280701</v>
      </c>
      <c r="L188">
        <v>1.665289935402325E-3</v>
      </c>
      <c r="M188">
        <v>9.9251126985224294E-4</v>
      </c>
      <c r="N188" s="1">
        <v>-5.5843135662732899E-5</v>
      </c>
      <c r="O188" s="1">
        <v>7.3586418707312498E-5</v>
      </c>
      <c r="P188" s="1">
        <v>-4.9948185299605897E-5</v>
      </c>
    </row>
    <row r="189" spans="1:16" x14ac:dyDescent="0.2">
      <c r="A189">
        <v>188</v>
      </c>
      <c r="B189">
        <v>798</v>
      </c>
      <c r="C189">
        <v>100</v>
      </c>
      <c r="D189">
        <v>0.51173085002101004</v>
      </c>
      <c r="E189">
        <v>10.632053597891201</v>
      </c>
      <c r="F189">
        <v>0.32465360829511197</v>
      </c>
      <c r="G189">
        <v>-218.50429289182844</v>
      </c>
      <c r="H189">
        <v>-136.31955836043522</v>
      </c>
      <c r="I189">
        <v>76.729594988091506</v>
      </c>
      <c r="J189">
        <v>30.069252304192101</v>
      </c>
      <c r="K189">
        <v>32.748915540241399</v>
      </c>
      <c r="L189">
        <v>1.662388643152447E-3</v>
      </c>
      <c r="M189">
        <v>9.8815693718082363E-4</v>
      </c>
      <c r="N189" s="1">
        <v>-5.6163678538035503E-5</v>
      </c>
      <c r="O189" s="1">
        <v>7.3704797946947298E-5</v>
      </c>
      <c r="P189" s="1">
        <v>-5.0169467130983899E-5</v>
      </c>
    </row>
    <row r="190" spans="1:16" x14ac:dyDescent="0.2">
      <c r="A190">
        <v>189</v>
      </c>
      <c r="B190">
        <v>797</v>
      </c>
      <c r="C190">
        <v>100</v>
      </c>
      <c r="D190">
        <v>0.511209176283699</v>
      </c>
      <c r="E190">
        <v>11.034474278237401</v>
      </c>
      <c r="F190">
        <v>0.33516216175559399</v>
      </c>
      <c r="G190">
        <v>-225.10115868735411</v>
      </c>
      <c r="H190">
        <v>-141.95229928112798</v>
      </c>
      <c r="I190">
        <v>77.7022294787037</v>
      </c>
      <c r="J190">
        <v>30.629531842541802</v>
      </c>
      <c r="K190">
        <v>32.922792419163102</v>
      </c>
      <c r="L190">
        <v>1.6595545446541845E-3</v>
      </c>
      <c r="M190">
        <v>9.8385157941221525E-4</v>
      </c>
      <c r="N190" s="1">
        <v>-5.6484870098484897E-5</v>
      </c>
      <c r="O190" s="1">
        <v>7.3822338954145498E-5</v>
      </c>
      <c r="P190" s="1">
        <v>-5.0391711714984703E-5</v>
      </c>
    </row>
    <row r="191" spans="1:16" x14ac:dyDescent="0.2">
      <c r="A191">
        <v>190</v>
      </c>
      <c r="B191">
        <v>796</v>
      </c>
      <c r="C191">
        <v>100</v>
      </c>
      <c r="D191">
        <v>0.51068652668007097</v>
      </c>
      <c r="E191">
        <v>11.4363116891797</v>
      </c>
      <c r="F191">
        <v>0.34555030339987403</v>
      </c>
      <c r="G191">
        <v>-231.68478261921695</v>
      </c>
      <c r="H191">
        <v>-147.57662681684224</v>
      </c>
      <c r="I191">
        <v>78.672167209095093</v>
      </c>
      <c r="J191">
        <v>31.189316917572601</v>
      </c>
      <c r="K191">
        <v>33.095938787081501</v>
      </c>
      <c r="L191">
        <v>1.6567881977891368E-3</v>
      </c>
      <c r="M191">
        <v>9.7959522165925192E-4</v>
      </c>
      <c r="N191" s="1">
        <v>-5.6806645806211498E-5</v>
      </c>
      <c r="O191" s="1">
        <v>7.3938984987797905E-5</v>
      </c>
      <c r="P191" s="1">
        <v>-5.0614893389676298E-5</v>
      </c>
    </row>
    <row r="192" spans="1:16" x14ac:dyDescent="0.2">
      <c r="A192">
        <v>191</v>
      </c>
      <c r="B192">
        <v>795</v>
      </c>
      <c r="C192">
        <v>100</v>
      </c>
      <c r="D192">
        <v>0.51016289846931695</v>
      </c>
      <c r="E192">
        <v>11.8374696558379</v>
      </c>
      <c r="F192">
        <v>0.35581833768982402</v>
      </c>
      <c r="G192">
        <v>-238.25355829827811</v>
      </c>
      <c r="H192">
        <v>-153.19119593404508</v>
      </c>
      <c r="I192">
        <v>79.639155921627705</v>
      </c>
      <c r="J192">
        <v>31.7484817437754</v>
      </c>
      <c r="K192">
        <v>33.2682956496663</v>
      </c>
      <c r="L192">
        <v>1.6540900373424013E-3</v>
      </c>
      <c r="M192">
        <v>9.7538781127359808E-4</v>
      </c>
      <c r="N192" s="1">
        <v>-5.71289419092712E-5</v>
      </c>
      <c r="O192" s="1">
        <v>7.4054682149286404E-5</v>
      </c>
      <c r="P192" s="1">
        <v>-5.0838988199508602E-5</v>
      </c>
    </row>
    <row r="193" spans="1:16" x14ac:dyDescent="0.2">
      <c r="A193">
        <v>192</v>
      </c>
      <c r="B193">
        <v>794</v>
      </c>
      <c r="C193">
        <v>100</v>
      </c>
      <c r="D193">
        <v>0.50963828890034402</v>
      </c>
      <c r="E193">
        <v>12.237856872715099</v>
      </c>
      <c r="F193">
        <v>0.365966730304569</v>
      </c>
      <c r="G193">
        <v>-244.80596225517985</v>
      </c>
      <c r="H193">
        <v>-158.7947295947329</v>
      </c>
      <c r="I193">
        <v>80.602956398416595</v>
      </c>
      <c r="J193">
        <v>32.306907190636302</v>
      </c>
      <c r="K193">
        <v>33.439807117249202</v>
      </c>
      <c r="L193">
        <v>1.6514603813721678E-3</v>
      </c>
      <c r="M193">
        <v>9.7122922263755617E-4</v>
      </c>
      <c r="N193" s="1">
        <v>-5.7451695466340302E-5</v>
      </c>
      <c r="O193" s="1">
        <v>7.4169379379468407E-5</v>
      </c>
      <c r="P193" s="1">
        <v>-5.1063973915852203E-5</v>
      </c>
    </row>
    <row r="194" spans="1:16" x14ac:dyDescent="0.2">
      <c r="A194">
        <v>193</v>
      </c>
      <c r="B194">
        <v>793</v>
      </c>
      <c r="C194">
        <v>100</v>
      </c>
      <c r="D194">
        <v>0.50911269521174396</v>
      </c>
      <c r="E194">
        <v>12.6373868562704</v>
      </c>
      <c r="F194">
        <v>0.37599609633912101</v>
      </c>
      <c r="G194">
        <v>-251.34055309497245</v>
      </c>
      <c r="H194">
        <v>-164.38601812453038</v>
      </c>
      <c r="I194">
        <v>81.563342322255195</v>
      </c>
      <c r="J194">
        <v>32.864480730998601</v>
      </c>
      <c r="K194">
        <v>33.610420372216701</v>
      </c>
      <c r="L194">
        <v>1.6488994381858519E-3</v>
      </c>
      <c r="M194">
        <v>9.671192622581552E-4</v>
      </c>
      <c r="N194" s="1">
        <v>-5.7774844353554603E-5</v>
      </c>
      <c r="O194" s="1">
        <v>7.4283028432507603E-5</v>
      </c>
      <c r="P194" s="1">
        <v>-5.1289830042008701E-5</v>
      </c>
    </row>
    <row r="195" spans="1:16" x14ac:dyDescent="0.2">
      <c r="A195">
        <v>194</v>
      </c>
      <c r="B195">
        <v>792</v>
      </c>
      <c r="C195">
        <v>100</v>
      </c>
      <c r="D195">
        <v>0.50858611463174297</v>
      </c>
      <c r="E195">
        <v>13.0359778568689</v>
      </c>
      <c r="F195">
        <v>0.38590718821282399</v>
      </c>
      <c r="G195">
        <v>-257.85596998927986</v>
      </c>
      <c r="H195">
        <v>-169.96391802313838</v>
      </c>
      <c r="I195">
        <v>82.520100038357796</v>
      </c>
      <c r="J195">
        <v>33.421096336835099</v>
      </c>
      <c r="K195">
        <v>33.7800856139526</v>
      </c>
      <c r="L195">
        <v>1.6464073136872083E-3</v>
      </c>
      <c r="M195">
        <v>9.6305767401644543E-4</v>
      </c>
      <c r="N195" s="1">
        <v>-5.8098327258581703E-5</v>
      </c>
      <c r="O195" s="1">
        <v>7.4395583833731599E-5</v>
      </c>
      <c r="P195" s="1">
        <v>-5.1516537807353901E-5</v>
      </c>
    </row>
    <row r="196" spans="1:16" x14ac:dyDescent="0.2">
      <c r="A196">
        <v>195</v>
      </c>
      <c r="B196">
        <v>791</v>
      </c>
      <c r="C196">
        <v>100</v>
      </c>
      <c r="D196">
        <v>0.50805854437814801</v>
      </c>
      <c r="E196">
        <v>14.6659281530819</v>
      </c>
      <c r="F196">
        <v>0.42362307012790501</v>
      </c>
      <c r="G196">
        <v>-284.78357054724955</v>
      </c>
      <c r="H196">
        <v>-192.85005210101852</v>
      </c>
      <c r="I196">
        <v>86.395516376042906</v>
      </c>
      <c r="J196">
        <v>35.557149635976799</v>
      </c>
      <c r="K196">
        <v>34.6202300754154</v>
      </c>
      <c r="L196">
        <v>1.6227924796510475E-3</v>
      </c>
      <c r="M196">
        <v>9.465849253215197E-4</v>
      </c>
      <c r="N196" s="1">
        <v>-5.8804742798838702E-5</v>
      </c>
      <c r="O196" s="1">
        <v>7.4992010262048904E-5</v>
      </c>
      <c r="P196" s="1">
        <v>-5.2080897808987402E-5</v>
      </c>
    </row>
    <row r="197" spans="1:16" x14ac:dyDescent="0.2">
      <c r="A197">
        <v>196</v>
      </c>
      <c r="B197">
        <v>790</v>
      </c>
      <c r="C197">
        <v>100</v>
      </c>
      <c r="D197">
        <v>0.507529981658283</v>
      </c>
      <c r="E197">
        <v>17.2481324131845</v>
      </c>
      <c r="F197">
        <v>0.47943372896693798</v>
      </c>
      <c r="G197">
        <v>-327.45012448800099</v>
      </c>
      <c r="H197">
        <v>-229.08994051868433</v>
      </c>
      <c r="I197">
        <v>92.521763586493606</v>
      </c>
      <c r="J197">
        <v>38.913152622915199</v>
      </c>
      <c r="K197">
        <v>35.976051268545497</v>
      </c>
      <c r="L197">
        <v>1.5852237704904919E-3</v>
      </c>
      <c r="M197">
        <v>9.2200128131579844E-4</v>
      </c>
      <c r="N197" s="1">
        <v>-5.9805984382571097E-5</v>
      </c>
      <c r="O197" s="1">
        <v>7.5955117797192303E-5</v>
      </c>
      <c r="P197" s="1">
        <v>-5.2904260035802597E-5</v>
      </c>
    </row>
    <row r="198" spans="1:16" x14ac:dyDescent="0.2">
      <c r="A198">
        <v>197</v>
      </c>
      <c r="B198">
        <v>789</v>
      </c>
      <c r="C198">
        <v>100</v>
      </c>
      <c r="D198">
        <v>0.50700042366897302</v>
      </c>
      <c r="E198">
        <v>20.186717638587901</v>
      </c>
      <c r="F198">
        <v>0.53801963112193896</v>
      </c>
      <c r="G198">
        <v>-375.93590488628774</v>
      </c>
      <c r="H198">
        <v>-270.27697303978488</v>
      </c>
      <c r="I198">
        <v>99.480607024212105</v>
      </c>
      <c r="J198">
        <v>42.722756391245497</v>
      </c>
      <c r="K198">
        <v>37.520410912316201</v>
      </c>
      <c r="L198">
        <v>1.5452507636189794E-3</v>
      </c>
      <c r="M198">
        <v>8.9612436494182783E-4</v>
      </c>
      <c r="N198" s="1">
        <v>-6.0913295650002599E-5</v>
      </c>
      <c r="O198" s="1">
        <v>7.7043192886900395E-5</v>
      </c>
      <c r="P198" s="1">
        <v>-5.38200755975348E-5</v>
      </c>
    </row>
    <row r="199" spans="1:16" x14ac:dyDescent="0.2">
      <c r="A199">
        <v>198</v>
      </c>
      <c r="B199">
        <v>788</v>
      </c>
      <c r="C199">
        <v>100</v>
      </c>
      <c r="D199">
        <v>0.50646986759647905</v>
      </c>
      <c r="E199">
        <v>23.857114083363001</v>
      </c>
      <c r="F199">
        <v>0.60470020882848496</v>
      </c>
      <c r="G199">
        <v>-436.38470060331804</v>
      </c>
      <c r="H199">
        <v>-321.62405804825312</v>
      </c>
      <c r="I199">
        <v>108.151645098616</v>
      </c>
      <c r="J199">
        <v>47.462321565490299</v>
      </c>
      <c r="K199">
        <v>39.452796170820797</v>
      </c>
      <c r="L199">
        <v>1.4987399761173545E-3</v>
      </c>
      <c r="M199">
        <v>8.665506277668499E-4</v>
      </c>
      <c r="N199" s="1">
        <v>-6.2233566652635295E-5</v>
      </c>
      <c r="O199" s="1">
        <v>7.8388765345111203E-5</v>
      </c>
      <c r="P199" s="1">
        <v>-5.4922032731933599E-5</v>
      </c>
    </row>
    <row r="200" spans="1:16" x14ac:dyDescent="0.2">
      <c r="A200">
        <v>199</v>
      </c>
      <c r="B200">
        <v>787</v>
      </c>
      <c r="C200">
        <v>100</v>
      </c>
      <c r="D200">
        <v>0.50593831061642502</v>
      </c>
      <c r="E200">
        <v>30.400791504625001</v>
      </c>
      <c r="F200">
        <v>0.708508295526597</v>
      </c>
      <c r="G200">
        <v>-543.82692925727758</v>
      </c>
      <c r="H200">
        <v>-412.86218580502492</v>
      </c>
      <c r="I200">
        <v>123.538515758146</v>
      </c>
      <c r="J200">
        <v>55.844301347160197</v>
      </c>
      <c r="K200">
        <v>42.908165926313799</v>
      </c>
      <c r="L200">
        <v>1.4231325046062345E-3</v>
      </c>
      <c r="M200">
        <v>8.2016870688296473E-4</v>
      </c>
      <c r="N200" s="1">
        <v>-6.4368384454625705E-5</v>
      </c>
      <c r="O200" s="1">
        <v>8.0740622704181706E-5</v>
      </c>
      <c r="P200" s="1">
        <v>-5.67379781251135E-5</v>
      </c>
    </row>
    <row r="201" spans="1:16" x14ac:dyDescent="0.2">
      <c r="A201">
        <v>200</v>
      </c>
      <c r="B201">
        <v>786</v>
      </c>
      <c r="C201">
        <v>100</v>
      </c>
      <c r="D201">
        <v>0.50540574989378495</v>
      </c>
      <c r="E201">
        <v>42.468562243953102</v>
      </c>
      <c r="F201">
        <v>0.86188842871917004</v>
      </c>
      <c r="G201">
        <v>-741.51115600845594</v>
      </c>
      <c r="H201">
        <v>-580.77680694541414</v>
      </c>
      <c r="I201">
        <v>151.76246058497799</v>
      </c>
      <c r="J201">
        <v>71.2078068402692</v>
      </c>
      <c r="K201">
        <v>49.273851265255402</v>
      </c>
      <c r="L201">
        <v>1.3085209862380867E-3</v>
      </c>
      <c r="M201">
        <v>7.5136976879320823E-4</v>
      </c>
      <c r="N201" s="1">
        <v>-6.8040471522945396E-5</v>
      </c>
      <c r="O201" s="1">
        <v>8.4987704745459301E-5</v>
      </c>
      <c r="P201" s="1">
        <v>-5.9900856569048098E-5</v>
      </c>
    </row>
    <row r="202" spans="1:16" x14ac:dyDescent="0.2">
      <c r="A202">
        <v>201</v>
      </c>
      <c r="B202">
        <v>785</v>
      </c>
      <c r="C202">
        <v>100</v>
      </c>
      <c r="D202">
        <v>0.50487218258281097</v>
      </c>
      <c r="E202">
        <v>51.890249988708</v>
      </c>
      <c r="F202">
        <v>0.957048112192178</v>
      </c>
      <c r="G202">
        <v>-895.74312987073858</v>
      </c>
      <c r="H202">
        <v>-711.90350111611497</v>
      </c>
      <c r="I202">
        <v>173.74160755433499</v>
      </c>
      <c r="J202">
        <v>83.206778145032601</v>
      </c>
      <c r="K202">
        <v>54.219061014445899</v>
      </c>
      <c r="L202">
        <v>1.2385156037192145E-3</v>
      </c>
      <c r="M202">
        <v>7.0877965983024923E-4</v>
      </c>
      <c r="N202" s="1">
        <v>-7.0961595147386004E-5</v>
      </c>
      <c r="O202" s="1">
        <v>8.8269405079781897E-5</v>
      </c>
      <c r="P202" s="1">
        <v>-6.2400644390158799E-5</v>
      </c>
    </row>
    <row r="203" spans="1:16" x14ac:dyDescent="0.2">
      <c r="A203">
        <v>202</v>
      </c>
      <c r="B203">
        <v>784</v>
      </c>
      <c r="C203">
        <v>100</v>
      </c>
      <c r="D203">
        <v>0.50433760582698905</v>
      </c>
      <c r="E203">
        <v>69.216876976909703</v>
      </c>
      <c r="F203">
        <v>1.09318376121438</v>
      </c>
      <c r="G203">
        <v>-1177.786045610856</v>
      </c>
      <c r="H203">
        <v>-951.45253229113598</v>
      </c>
      <c r="I203">
        <v>214.10293629644499</v>
      </c>
      <c r="J203">
        <v>105.183956398394</v>
      </c>
      <c r="K203">
        <v>63.316781160395898</v>
      </c>
      <c r="L203">
        <v>1.1372644759211504E-3</v>
      </c>
      <c r="M203">
        <v>6.4835611516417084E-4</v>
      </c>
      <c r="N203" s="1">
        <v>-7.6165563058074503E-5</v>
      </c>
      <c r="O203" s="1">
        <v>9.4342557656814795E-5</v>
      </c>
      <c r="P203" s="1">
        <v>-6.6895158630813701E-5</v>
      </c>
    </row>
    <row r="204" spans="1:16" x14ac:dyDescent="0.2">
      <c r="A204">
        <v>203</v>
      </c>
      <c r="B204">
        <v>783</v>
      </c>
      <c r="C204">
        <v>100</v>
      </c>
      <c r="D204">
        <v>0.50380201675898495</v>
      </c>
      <c r="E204">
        <v>82.5158020994471</v>
      </c>
      <c r="F204">
        <v>1.1744332225360701</v>
      </c>
      <c r="G204">
        <v>-1393.9167983012271</v>
      </c>
      <c r="H204">
        <v>-1135.1831911436611</v>
      </c>
      <c r="I204">
        <v>244.983460733394</v>
      </c>
      <c r="J204">
        <v>122.045827317167</v>
      </c>
      <c r="K204">
        <v>70.260105484126399</v>
      </c>
      <c r="L204">
        <v>1.0780124043045837E-3</v>
      </c>
      <c r="M204">
        <v>6.1245637610596445E-4</v>
      </c>
      <c r="N204" s="1">
        <v>-8.0217600611176903E-5</v>
      </c>
      <c r="O204" s="1">
        <v>9.8950506261090497E-5</v>
      </c>
      <c r="P204" s="1">
        <v>-7.0375288444517501E-5</v>
      </c>
    </row>
    <row r="205" spans="1:16" x14ac:dyDescent="0.2">
      <c r="A205">
        <v>204</v>
      </c>
      <c r="B205">
        <v>782</v>
      </c>
      <c r="C205">
        <v>100</v>
      </c>
      <c r="D205">
        <v>0.50326541250059598</v>
      </c>
      <c r="E205">
        <v>89.967045739764103</v>
      </c>
      <c r="F205">
        <v>1.21399861036618</v>
      </c>
      <c r="G205">
        <v>-1514.8662529246694</v>
      </c>
      <c r="H205">
        <v>-1238.2114546322434</v>
      </c>
      <c r="I205">
        <v>262.20027796099299</v>
      </c>
      <c r="J205">
        <v>131.508958224341</v>
      </c>
      <c r="K205">
        <v>74.108030249414398</v>
      </c>
      <c r="L205">
        <v>1.0506752220672863E-3</v>
      </c>
      <c r="M205">
        <v>5.9508221226474303E-4</v>
      </c>
      <c r="N205" s="1">
        <v>-8.2600615466275901E-5</v>
      </c>
      <c r="O205">
        <v>1.0147677834940599E-4</v>
      </c>
      <c r="P205" s="1">
        <v>-7.2392067628125994E-5</v>
      </c>
    </row>
    <row r="206" spans="1:16" x14ac:dyDescent="0.2">
      <c r="A206">
        <v>205</v>
      </c>
      <c r="B206">
        <v>781</v>
      </c>
      <c r="C206">
        <v>100</v>
      </c>
      <c r="D206">
        <v>0.50272779016268998</v>
      </c>
      <c r="E206">
        <v>96.460710617334698</v>
      </c>
      <c r="F206">
        <v>1.24560346606268</v>
      </c>
      <c r="G206">
        <v>-1620.2369520903469</v>
      </c>
      <c r="H206">
        <v>-1328.0723389260766</v>
      </c>
      <c r="I206">
        <v>277.16223356460301</v>
      </c>
      <c r="J206">
        <v>139.765373669089</v>
      </c>
      <c r="K206">
        <v>77.440945891266693</v>
      </c>
      <c r="L206">
        <v>1.0294511166714689E-3</v>
      </c>
      <c r="M206">
        <v>5.8129309382956649E-4</v>
      </c>
      <c r="N206" s="1">
        <v>-8.4715002923234196E-5</v>
      </c>
      <c r="O206">
        <v>1.03654525699884E-4</v>
      </c>
      <c r="P206" s="1">
        <v>-7.4172266259095806E-5</v>
      </c>
    </row>
    <row r="207" spans="1:16" x14ac:dyDescent="0.2">
      <c r="A207">
        <v>206</v>
      </c>
      <c r="B207">
        <v>780</v>
      </c>
      <c r="C207">
        <v>100</v>
      </c>
      <c r="D207">
        <v>0.50218914684517901</v>
      </c>
      <c r="E207">
        <v>99.635997228385094</v>
      </c>
      <c r="F207">
        <v>1.26078617126157</v>
      </c>
      <c r="G207">
        <v>-1671.6026836547881</v>
      </c>
      <c r="H207">
        <v>-1372.0955664149733</v>
      </c>
      <c r="I207">
        <v>284.39741358548099</v>
      </c>
      <c r="J207">
        <v>143.82549507387299</v>
      </c>
      <c r="K207">
        <v>79.026879814748099</v>
      </c>
      <c r="L207">
        <v>1.0208259881507144E-3</v>
      </c>
      <c r="M207">
        <v>5.7477117062650388E-4</v>
      </c>
      <c r="N207" s="1">
        <v>-8.5884507621917394E-5</v>
      </c>
      <c r="O207">
        <v>1.04666180040731E-4</v>
      </c>
      <c r="P207" s="1">
        <v>-7.5126922268873303E-5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1919-2292-481C-82A0-FD8532BA0BEA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3.2621141298046399E-2</v>
      </c>
      <c r="F2">
        <v>4.6618029995359898</v>
      </c>
      <c r="G2">
        <v>-0.30828656272222033</v>
      </c>
      <c r="H2">
        <v>-0.25079094304117711</v>
      </c>
      <c r="I2">
        <v>5.7087444453202803E-2</v>
      </c>
      <c r="J2">
        <v>2.9865812794329101E-2</v>
      </c>
      <c r="K2">
        <v>6.9975374981082099E-3</v>
      </c>
      <c r="L2">
        <v>3.1689388981001022E-5</v>
      </c>
      <c r="M2">
        <v>5.5247479311711326E-7</v>
      </c>
      <c r="N2" s="1">
        <v>3.59412241447232E-11</v>
      </c>
      <c r="O2" s="1">
        <v>1.53024656108009E-14</v>
      </c>
      <c r="P2" s="1">
        <v>5.1583504825657101E-14</v>
      </c>
      <c r="R2">
        <v>47.299034317427498</v>
      </c>
      <c r="S2">
        <v>2.2810978298851099</v>
      </c>
      <c r="T2">
        <v>9.7000138831766698</v>
      </c>
      <c r="V2">
        <v>37.757938156063702</v>
      </c>
      <c r="W2">
        <v>0.65695753230415699</v>
      </c>
      <c r="X2">
        <v>2.30495828114281</v>
      </c>
      <c r="AJ2">
        <v>8.4711408689309695E-2</v>
      </c>
      <c r="AK2">
        <v>8.9974604591498905E-2</v>
      </c>
      <c r="AL2">
        <v>0.77845686661373104</v>
      </c>
      <c r="AM2">
        <v>1.3718079791528301E-2</v>
      </c>
      <c r="AN2">
        <v>3.3139040313931098E-2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4.3601154995705799E-2</v>
      </c>
      <c r="F3">
        <v>4.6642655420233803</v>
      </c>
      <c r="G3">
        <v>-0.41254753583941528</v>
      </c>
      <c r="H3">
        <v>-0.33570854013668266</v>
      </c>
      <c r="I3">
        <v>7.6369324357931298E-2</v>
      </c>
      <c r="J3">
        <v>3.9875432702562302E-2</v>
      </c>
      <c r="K3">
        <v>9.3479143935684701E-3</v>
      </c>
      <c r="L3">
        <v>3.1593993478000632E-5</v>
      </c>
      <c r="M3">
        <v>5.521946122707774E-7</v>
      </c>
      <c r="N3" s="1">
        <v>5.2698702296716003E-11</v>
      </c>
      <c r="O3" s="1">
        <v>2.0436423129336099E-14</v>
      </c>
      <c r="P3" s="1">
        <v>6.2524763393276206E-14</v>
      </c>
      <c r="R3">
        <v>47.250095777273202</v>
      </c>
      <c r="S3">
        <v>2.35089646064141</v>
      </c>
      <c r="T3">
        <v>9.7299095420602395</v>
      </c>
      <c r="V3">
        <v>37.371373601375197</v>
      </c>
      <c r="W3">
        <v>0.98958846391703104</v>
      </c>
      <c r="X3">
        <v>2.3081361547327899</v>
      </c>
      <c r="AJ3">
        <v>8.4795636928942306E-2</v>
      </c>
      <c r="AK3">
        <v>9.0217261845687097E-2</v>
      </c>
      <c r="AL3">
        <v>0.77019127077468097</v>
      </c>
      <c r="AM3">
        <v>2.06558894389757E-2</v>
      </c>
      <c r="AN3">
        <v>3.4139941011713602E-2</v>
      </c>
    </row>
    <row r="4" spans="1:40" x14ac:dyDescent="0.2">
      <c r="A4">
        <v>46</v>
      </c>
      <c r="B4">
        <v>737</v>
      </c>
      <c r="C4">
        <v>280</v>
      </c>
      <c r="D4">
        <v>0.28200811760629901</v>
      </c>
      <c r="E4">
        <v>2.7603524393544101E-2</v>
      </c>
      <c r="F4">
        <v>4.6587857604162997</v>
      </c>
      <c r="G4">
        <v>-0.26141689320752265</v>
      </c>
      <c r="H4">
        <v>-0.21251686016790955</v>
      </c>
      <c r="I4">
        <v>4.8408684887999799E-2</v>
      </c>
      <c r="J4">
        <v>2.52957025761655E-2</v>
      </c>
      <c r="K4">
        <v>5.9250469571018698E-3</v>
      </c>
      <c r="L4">
        <v>3.1670691798247234E-5</v>
      </c>
      <c r="M4">
        <v>5.5268838380329896E-7</v>
      </c>
      <c r="N4" s="1">
        <v>2.9663800036035898E-11</v>
      </c>
      <c r="O4" s="1">
        <v>1.2943089056278E-14</v>
      </c>
      <c r="P4" s="1">
        <v>4.6077695860179601E-14</v>
      </c>
      <c r="R4">
        <v>47.303498265775303</v>
      </c>
      <c r="S4">
        <v>2.2609001857327402</v>
      </c>
      <c r="T4">
        <v>9.7845362132401803</v>
      </c>
      <c r="V4">
        <v>37.573141490881298</v>
      </c>
      <c r="W4">
        <v>0.68032075182734597</v>
      </c>
      <c r="X4">
        <v>2.3976030925430298</v>
      </c>
      <c r="AJ4">
        <v>8.8065782473843196E-2</v>
      </c>
      <c r="AK4">
        <v>9.0706604381514205E-2</v>
      </c>
      <c r="AL4">
        <v>0.77420302609159297</v>
      </c>
      <c r="AM4">
        <v>1.41977923534157E-2</v>
      </c>
      <c r="AN4">
        <v>3.2826794699632601E-2</v>
      </c>
    </row>
    <row r="5" spans="1:40" x14ac:dyDescent="0.2">
      <c r="A5">
        <v>47</v>
      </c>
      <c r="B5">
        <v>736</v>
      </c>
      <c r="C5">
        <v>280</v>
      </c>
      <c r="D5">
        <v>0.281227270475152</v>
      </c>
      <c r="E5">
        <v>3.9895326852062998E-2</v>
      </c>
      <c r="F5">
        <v>4.6612433738206196</v>
      </c>
      <c r="G5">
        <v>-0.37828023152100565</v>
      </c>
      <c r="H5">
        <v>-0.30761309774497192</v>
      </c>
      <c r="I5">
        <v>7.00263922866112E-2</v>
      </c>
      <c r="J5">
        <v>3.6520668076087601E-2</v>
      </c>
      <c r="K5">
        <v>8.5589452539918606E-3</v>
      </c>
      <c r="L5">
        <v>3.1576122852651904E-5</v>
      </c>
      <c r="M5">
        <v>5.5240784098863563E-7</v>
      </c>
      <c r="N5" s="1">
        <v>4.7005605128296298E-11</v>
      </c>
      <c r="O5" s="1">
        <v>1.8690604791639398E-14</v>
      </c>
      <c r="P5" s="1">
        <v>6.0981960715363602E-14</v>
      </c>
      <c r="R5">
        <v>47.2541998353</v>
      </c>
      <c r="S5">
        <v>2.3302267827435599</v>
      </c>
      <c r="T5">
        <v>9.8162931148710406</v>
      </c>
      <c r="V5">
        <v>37.182963404715998</v>
      </c>
      <c r="W5">
        <v>1.0146621604878401</v>
      </c>
      <c r="X5">
        <v>2.4016547018814101</v>
      </c>
      <c r="AJ5">
        <v>8.8180427156532903E-2</v>
      </c>
      <c r="AK5">
        <v>9.0965750244570195E-2</v>
      </c>
      <c r="AL5">
        <v>0.76586651012842899</v>
      </c>
      <c r="AM5">
        <v>2.11670477623048E-2</v>
      </c>
      <c r="AN5">
        <v>3.3820264708162101E-2</v>
      </c>
    </row>
    <row r="6" spans="1:40" x14ac:dyDescent="0.2">
      <c r="A6">
        <v>65</v>
      </c>
      <c r="B6">
        <v>740</v>
      </c>
      <c r="C6">
        <v>260</v>
      </c>
      <c r="D6">
        <v>0.30605586537038199</v>
      </c>
      <c r="E6">
        <v>2.4935754027817E-2</v>
      </c>
      <c r="F6">
        <v>4.6564772314049199</v>
      </c>
      <c r="G6">
        <v>-0.23670164986052714</v>
      </c>
      <c r="H6">
        <v>-0.1922896665419126</v>
      </c>
      <c r="I6">
        <v>4.3835545890158902E-2</v>
      </c>
      <c r="J6">
        <v>2.2865825088203898E-2</v>
      </c>
      <c r="K6">
        <v>5.35506838939135E-3</v>
      </c>
      <c r="L6">
        <v>3.1631308629660696E-5</v>
      </c>
      <c r="M6">
        <v>5.5285429666409453E-7</v>
      </c>
      <c r="N6" s="1">
        <v>2.6780431078140599E-11</v>
      </c>
      <c r="O6" s="1">
        <v>1.1685262762238E-14</v>
      </c>
      <c r="P6" s="1">
        <v>4.2912157865321299E-14</v>
      </c>
      <c r="R6">
        <v>47.300002775162802</v>
      </c>
      <c r="S6">
        <v>2.2444815374796501</v>
      </c>
      <c r="T6">
        <v>9.8830085809559503</v>
      </c>
      <c r="V6">
        <v>37.293713143326698</v>
      </c>
      <c r="W6">
        <v>0.78656511070341695</v>
      </c>
      <c r="X6">
        <v>2.4922288523713498</v>
      </c>
      <c r="AJ6">
        <v>9.1485677473466601E-2</v>
      </c>
      <c r="AK6">
        <v>9.1563654452606294E-2</v>
      </c>
      <c r="AL6">
        <v>0.76797708803296905</v>
      </c>
      <c r="AM6">
        <v>1.64050312247562E-2</v>
      </c>
      <c r="AN6">
        <v>3.2568548816200499E-2</v>
      </c>
    </row>
    <row r="7" spans="1:40" x14ac:dyDescent="0.2">
      <c r="A7">
        <v>66</v>
      </c>
      <c r="B7">
        <v>739</v>
      </c>
      <c r="C7">
        <v>260</v>
      </c>
      <c r="D7">
        <v>0.30530109173541498</v>
      </c>
      <c r="E7">
        <v>3.6672005147680001E-2</v>
      </c>
      <c r="F7">
        <v>4.6589077758827697</v>
      </c>
      <c r="G7">
        <v>-0.34850375715475873</v>
      </c>
      <c r="H7">
        <v>-0.28319864029953756</v>
      </c>
      <c r="I7">
        <v>6.4521184463983902E-2</v>
      </c>
      <c r="J7">
        <v>3.35926535279693E-2</v>
      </c>
      <c r="K7">
        <v>7.8713739167612894E-3</v>
      </c>
      <c r="L7">
        <v>3.1537792363546493E-5</v>
      </c>
      <c r="M7">
        <v>5.5256894830498334E-7</v>
      </c>
      <c r="N7" s="1">
        <v>4.2683713141242297E-11</v>
      </c>
      <c r="O7" s="1">
        <v>1.7168212064818001E-14</v>
      </c>
      <c r="P7" s="1">
        <v>5.8762685411262406E-14</v>
      </c>
      <c r="R7">
        <v>47.2479981029418</v>
      </c>
      <c r="S7">
        <v>2.3124089415284699</v>
      </c>
      <c r="T7">
        <v>9.9208684330894403</v>
      </c>
      <c r="V7">
        <v>36.909747721892103</v>
      </c>
      <c r="W7">
        <v>1.1131260432027501</v>
      </c>
      <c r="X7">
        <v>2.4958507573452602</v>
      </c>
      <c r="AJ7">
        <v>9.1584430683950599E-2</v>
      </c>
      <c r="AK7">
        <v>9.1880105251485503E-2</v>
      </c>
      <c r="AL7">
        <v>0.75978648259877302</v>
      </c>
      <c r="AM7">
        <v>2.3207297785795101E-2</v>
      </c>
      <c r="AN7">
        <v>3.3541683679995798E-2</v>
      </c>
    </row>
    <row r="8" spans="1:40" x14ac:dyDescent="0.2">
      <c r="A8">
        <v>81</v>
      </c>
      <c r="B8">
        <v>743</v>
      </c>
      <c r="C8">
        <v>240</v>
      </c>
      <c r="D8">
        <v>0.32996161983958999</v>
      </c>
      <c r="E8">
        <v>2.36185506231055E-2</v>
      </c>
      <c r="F8">
        <v>4.6543348936473699</v>
      </c>
      <c r="G8">
        <v>-0.22474960405689212</v>
      </c>
      <c r="H8">
        <v>-0.18245253378583828</v>
      </c>
      <c r="I8">
        <v>4.1624829278210602E-2</v>
      </c>
      <c r="J8">
        <v>2.1670413500520298E-2</v>
      </c>
      <c r="K8">
        <v>5.0745275453517799E-3</v>
      </c>
      <c r="L8">
        <v>3.1582700770809765E-5</v>
      </c>
      <c r="M8">
        <v>5.5298330292764669E-7</v>
      </c>
      <c r="N8" s="1">
        <v>2.54448232116464E-11</v>
      </c>
      <c r="O8" s="1">
        <v>1.10598193554545E-14</v>
      </c>
      <c r="P8" s="1">
        <v>4.17929354919624E-14</v>
      </c>
      <c r="R8">
        <v>47.290145649466403</v>
      </c>
      <c r="S8">
        <v>2.2348858299095302</v>
      </c>
      <c r="T8">
        <v>9.9885633917765002</v>
      </c>
      <c r="V8">
        <v>36.9754789074263</v>
      </c>
      <c r="W8">
        <v>0.92222347370160895</v>
      </c>
      <c r="X8">
        <v>2.5887027477196201</v>
      </c>
      <c r="AJ8">
        <v>9.4964764257777806E-2</v>
      </c>
      <c r="AK8">
        <v>9.2480910384450193E-2</v>
      </c>
      <c r="AL8">
        <v>0.76092449711020005</v>
      </c>
      <c r="AM8">
        <v>1.9221783251311599E-2</v>
      </c>
      <c r="AN8">
        <v>3.2408044996260398E-2</v>
      </c>
    </row>
    <row r="9" spans="1:40" x14ac:dyDescent="0.2">
      <c r="A9">
        <v>82</v>
      </c>
      <c r="B9">
        <v>742</v>
      </c>
      <c r="C9">
        <v>240</v>
      </c>
      <c r="D9">
        <v>0.32923262572033701</v>
      </c>
      <c r="E9">
        <v>3.4125898784291002E-2</v>
      </c>
      <c r="F9">
        <v>4.6566772885673604</v>
      </c>
      <c r="G9">
        <v>-0.32507447585655819</v>
      </c>
      <c r="H9">
        <v>-0.26397387035645092</v>
      </c>
      <c r="I9">
        <v>6.01887459982339E-2</v>
      </c>
      <c r="J9">
        <v>3.1280550183460203E-2</v>
      </c>
      <c r="K9">
        <v>7.3283795868942098E-3</v>
      </c>
      <c r="L9">
        <v>3.1493699223793135E-5</v>
      </c>
      <c r="M9">
        <v>5.5270105524179057E-7</v>
      </c>
      <c r="N9" s="1">
        <v>3.9229934429276201E-11</v>
      </c>
      <c r="O9" s="1">
        <v>1.5962713657006001E-14</v>
      </c>
      <c r="P9" s="1">
        <v>5.7272670407112298E-14</v>
      </c>
      <c r="R9">
        <v>47.236326080186899</v>
      </c>
      <c r="S9">
        <v>2.3007819702827201</v>
      </c>
      <c r="T9">
        <v>10.030990467106401</v>
      </c>
      <c r="V9">
        <v>36.607907598519503</v>
      </c>
      <c r="W9">
        <v>1.2325676809299899</v>
      </c>
      <c r="X9">
        <v>2.59142620297429</v>
      </c>
      <c r="AJ9">
        <v>9.5031179664392701E-2</v>
      </c>
      <c r="AK9">
        <v>9.2841008332101502E-2</v>
      </c>
      <c r="AL9">
        <v>0.75309476664212605</v>
      </c>
      <c r="AM9">
        <v>2.5681195929053099E-2</v>
      </c>
      <c r="AN9">
        <v>3.33518494323259E-2</v>
      </c>
    </row>
    <row r="10" spans="1:40" x14ac:dyDescent="0.2">
      <c r="A10">
        <v>94</v>
      </c>
      <c r="B10">
        <v>746</v>
      </c>
      <c r="C10">
        <v>220</v>
      </c>
      <c r="D10">
        <v>0.35372663494088302</v>
      </c>
      <c r="E10">
        <v>2.40302063540761E-2</v>
      </c>
      <c r="F10">
        <v>4.6525186760664097</v>
      </c>
      <c r="G10">
        <v>-0.22927825827036918</v>
      </c>
      <c r="H10">
        <v>-0.18599895667541994</v>
      </c>
      <c r="I10">
        <v>4.2466076235048097E-2</v>
      </c>
      <c r="J10">
        <v>2.2058205239268401E-2</v>
      </c>
      <c r="K10">
        <v>5.1649886926177797E-3</v>
      </c>
      <c r="L10">
        <v>3.1519293848270085E-5</v>
      </c>
      <c r="M10">
        <v>5.5304933014918225E-7</v>
      </c>
      <c r="N10" s="1">
        <v>2.60794985153266E-11</v>
      </c>
      <c r="O10" s="1">
        <v>1.12410496294989E-14</v>
      </c>
      <c r="P10" s="1">
        <v>4.3642928524585497E-14</v>
      </c>
      <c r="R10">
        <v>47.268212515397003</v>
      </c>
      <c r="S10">
        <v>2.2371754037631999</v>
      </c>
      <c r="T10">
        <v>10.107621821227401</v>
      </c>
      <c r="V10">
        <v>36.589886941005098</v>
      </c>
      <c r="W10">
        <v>1.1096384945786</v>
      </c>
      <c r="X10">
        <v>2.6874648240285102</v>
      </c>
      <c r="AJ10">
        <v>9.8515900467088899E-2</v>
      </c>
      <c r="AK10">
        <v>9.3515001126346906E-2</v>
      </c>
      <c r="AL10">
        <v>0.75244031883884599</v>
      </c>
      <c r="AM10">
        <v>2.31111869638106E-2</v>
      </c>
      <c r="AN10">
        <v>3.24175926039071E-2</v>
      </c>
    </row>
    <row r="11" spans="1:40" x14ac:dyDescent="0.2">
      <c r="A11">
        <v>95</v>
      </c>
      <c r="B11">
        <v>745</v>
      </c>
      <c r="C11">
        <v>220</v>
      </c>
      <c r="D11">
        <v>0.35302313018710402</v>
      </c>
      <c r="E11">
        <v>3.2641726677491101E-2</v>
      </c>
      <c r="F11">
        <v>4.6546925396708598</v>
      </c>
      <c r="G11">
        <v>-0.31172760152953621</v>
      </c>
      <c r="H11">
        <v>-0.25295825284586509</v>
      </c>
      <c r="I11">
        <v>5.7721699831725301E-2</v>
      </c>
      <c r="J11">
        <v>2.9937821823394401E-2</v>
      </c>
      <c r="K11">
        <v>7.0126493639039097E-3</v>
      </c>
      <c r="L11">
        <v>3.1439383455887087E-5</v>
      </c>
      <c r="M11">
        <v>5.5278097929850887E-7</v>
      </c>
      <c r="N11" s="1">
        <v>3.7066426472422002E-11</v>
      </c>
      <c r="O11" s="1">
        <v>1.52516522552179E-14</v>
      </c>
      <c r="P11" s="1">
        <v>5.7358087176622806E-14</v>
      </c>
      <c r="R11">
        <v>47.213951908366198</v>
      </c>
      <c r="S11">
        <v>2.3002410689452599</v>
      </c>
      <c r="T11">
        <v>10.152186444094401</v>
      </c>
      <c r="V11">
        <v>36.252099619754503</v>
      </c>
      <c r="W11">
        <v>1.39284405823491</v>
      </c>
      <c r="X11">
        <v>2.6886769006046198</v>
      </c>
      <c r="AJ11">
        <v>9.8528528424589604E-2</v>
      </c>
      <c r="AK11">
        <v>9.3897001049996306E-2</v>
      </c>
      <c r="AL11">
        <v>0.74525344729457799</v>
      </c>
      <c r="AM11">
        <v>2.9000338687370598E-2</v>
      </c>
      <c r="AN11">
        <v>3.33206845434652E-2</v>
      </c>
    </row>
    <row r="12" spans="1:40" x14ac:dyDescent="0.2">
      <c r="A12">
        <v>104</v>
      </c>
      <c r="B12">
        <v>750</v>
      </c>
      <c r="C12">
        <v>200</v>
      </c>
      <c r="D12">
        <v>0.37802912573913899</v>
      </c>
      <c r="E12">
        <v>1.43569270945902E-2</v>
      </c>
      <c r="F12">
        <v>4.6487601017896498</v>
      </c>
      <c r="G12">
        <v>-0.13724996739294684</v>
      </c>
      <c r="H12">
        <v>-0.11123252633587945</v>
      </c>
      <c r="I12">
        <v>2.5428765143984101E-2</v>
      </c>
      <c r="J12">
        <v>1.3195917900922E-2</v>
      </c>
      <c r="K12">
        <v>3.0883346914509801E-3</v>
      </c>
      <c r="L12">
        <v>3.1524465439896699E-5</v>
      </c>
      <c r="M12">
        <v>5.533078577830939E-7</v>
      </c>
      <c r="N12" s="1">
        <v>1.4806634606670799E-11</v>
      </c>
      <c r="O12" s="1">
        <v>6.7140986956563301E-15</v>
      </c>
      <c r="P12" s="1">
        <v>2.7906498626685799E-14</v>
      </c>
      <c r="R12">
        <v>47.283514048600601</v>
      </c>
      <c r="S12">
        <v>2.1938632299390499</v>
      </c>
      <c r="T12">
        <v>10.197726204703001</v>
      </c>
      <c r="V12">
        <v>36.485930630134199</v>
      </c>
      <c r="W12">
        <v>1.0536592320718901</v>
      </c>
      <c r="X12">
        <v>2.7853066545510101</v>
      </c>
      <c r="AJ12">
        <v>0.102052641568941</v>
      </c>
      <c r="AK12">
        <v>9.4302528563157406E-2</v>
      </c>
      <c r="AL12">
        <v>0.74993584182234896</v>
      </c>
      <c r="AM12">
        <v>2.1934543700633299E-2</v>
      </c>
      <c r="AN12">
        <v>3.1774444344918502E-2</v>
      </c>
    </row>
    <row r="13" spans="1:40" x14ac:dyDescent="0.2">
      <c r="A13">
        <v>105</v>
      </c>
      <c r="B13">
        <v>749</v>
      </c>
      <c r="C13">
        <v>200</v>
      </c>
      <c r="D13">
        <v>0.37735214988015597</v>
      </c>
      <c r="E13">
        <v>2.5897474735341701E-2</v>
      </c>
      <c r="F13">
        <v>4.6511487655667603</v>
      </c>
      <c r="G13">
        <v>-0.2478213295529049</v>
      </c>
      <c r="H13">
        <v>-0.20090107973615426</v>
      </c>
      <c r="I13">
        <v>4.5903487567138503E-2</v>
      </c>
      <c r="J13">
        <v>2.37807185825188E-2</v>
      </c>
      <c r="K13">
        <v>5.5679738577843604E-3</v>
      </c>
      <c r="L13">
        <v>3.143880352279506E-5</v>
      </c>
      <c r="M13">
        <v>5.5302810135943665E-7</v>
      </c>
      <c r="N13" s="1">
        <v>2.8252596105844201E-11</v>
      </c>
      <c r="O13" s="1">
        <v>1.2096465762776501E-14</v>
      </c>
      <c r="P13" s="1">
        <v>4.8501708532878997E-14</v>
      </c>
      <c r="R13">
        <v>47.2274497091867</v>
      </c>
      <c r="S13">
        <v>2.25681445996026</v>
      </c>
      <c r="T13">
        <v>10.247610557026899</v>
      </c>
      <c r="V13">
        <v>36.114931451241802</v>
      </c>
      <c r="W13">
        <v>1.3648594805112599</v>
      </c>
      <c r="X13">
        <v>2.7883343420729698</v>
      </c>
      <c r="AJ13">
        <v>0.10212917492234699</v>
      </c>
      <c r="AK13">
        <v>9.4731921061710994E-2</v>
      </c>
      <c r="AL13">
        <v>0.74206033657163895</v>
      </c>
      <c r="AM13">
        <v>2.8403385622548301E-2</v>
      </c>
      <c r="AN13">
        <v>3.2675181821753399E-2</v>
      </c>
    </row>
    <row r="14" spans="1:40" x14ac:dyDescent="0.2">
      <c r="A14">
        <v>117</v>
      </c>
      <c r="B14">
        <v>754</v>
      </c>
      <c r="C14">
        <v>180</v>
      </c>
      <c r="D14">
        <v>0.402142335588766</v>
      </c>
      <c r="E14">
        <v>1.04265658460837E-2</v>
      </c>
      <c r="F14">
        <v>4.6459794592731196</v>
      </c>
      <c r="G14">
        <v>-9.9931049507352113E-2</v>
      </c>
      <c r="H14">
        <v>-8.090796999004142E-2</v>
      </c>
      <c r="I14">
        <v>1.8520254604790599E-2</v>
      </c>
      <c r="J14">
        <v>9.5923775502171505E-3</v>
      </c>
      <c r="K14">
        <v>2.2442126439609798E-3</v>
      </c>
      <c r="L14">
        <v>3.1489794728181223E-5</v>
      </c>
      <c r="M14">
        <v>5.5341360679058274E-7</v>
      </c>
      <c r="N14" s="1">
        <v>1.05141779790217E-11</v>
      </c>
      <c r="O14" s="1">
        <v>4.8717433488090898E-15</v>
      </c>
      <c r="P14" s="1">
        <v>2.1231552167597099E-14</v>
      </c>
      <c r="R14">
        <v>47.270822228650701</v>
      </c>
      <c r="S14">
        <v>2.1808142517324902</v>
      </c>
      <c r="T14">
        <v>10.3167500094925</v>
      </c>
      <c r="V14">
        <v>36.197700859422604</v>
      </c>
      <c r="W14">
        <v>1.1454957640500001</v>
      </c>
      <c r="X14">
        <v>2.8884168866515401</v>
      </c>
      <c r="AJ14">
        <v>0.105758955237634</v>
      </c>
      <c r="AK14">
        <v>9.5338637247850896E-2</v>
      </c>
      <c r="AL14">
        <v>0.743508112733402</v>
      </c>
      <c r="AM14">
        <v>2.38302148411162E-2</v>
      </c>
      <c r="AN14">
        <v>3.1564079939996097E-2</v>
      </c>
    </row>
    <row r="15" spans="1:40" x14ac:dyDescent="0.2">
      <c r="A15">
        <v>118</v>
      </c>
      <c r="B15">
        <v>753</v>
      </c>
      <c r="C15">
        <v>180</v>
      </c>
      <c r="D15">
        <v>0.401491497344444</v>
      </c>
      <c r="E15">
        <v>2.1922578564043602E-2</v>
      </c>
      <c r="F15">
        <v>4.6483465573436797</v>
      </c>
      <c r="G15">
        <v>-0.21030987417994154</v>
      </c>
      <c r="H15">
        <v>-0.17032301025097668</v>
      </c>
      <c r="I15">
        <v>3.8967854532928697E-2</v>
      </c>
      <c r="J15">
        <v>2.0150477902642201E-2</v>
      </c>
      <c r="K15">
        <v>4.71621001007536E-3</v>
      </c>
      <c r="L15">
        <v>3.1408005235243962E-5</v>
      </c>
      <c r="M15">
        <v>5.5314018175133549E-7</v>
      </c>
      <c r="N15" s="1">
        <v>2.3226310480557501E-11</v>
      </c>
      <c r="O15" s="1">
        <v>1.02303238743199E-14</v>
      </c>
      <c r="P15" s="1">
        <v>4.33630583243951E-14</v>
      </c>
      <c r="R15">
        <v>47.214201457913902</v>
      </c>
      <c r="S15">
        <v>2.2418242847648</v>
      </c>
      <c r="T15">
        <v>10.369334072686801</v>
      </c>
      <c r="V15">
        <v>35.832873505008202</v>
      </c>
      <c r="W15">
        <v>1.4506034769565801</v>
      </c>
      <c r="X15">
        <v>2.8911632026694898</v>
      </c>
      <c r="AJ15">
        <v>0.10582531100069401</v>
      </c>
      <c r="AK15">
        <v>9.5793616290181099E-2</v>
      </c>
      <c r="AL15">
        <v>0.73577669962908399</v>
      </c>
      <c r="AM15">
        <v>3.0167745348544099E-2</v>
      </c>
      <c r="AN15">
        <v>3.2436627731495603E-2</v>
      </c>
    </row>
    <row r="16" spans="1:40" x14ac:dyDescent="0.2">
      <c r="A16">
        <v>134</v>
      </c>
      <c r="B16">
        <v>758</v>
      </c>
      <c r="C16">
        <v>160</v>
      </c>
      <c r="D16">
        <v>0.426068467245311</v>
      </c>
      <c r="E16">
        <v>1.40197983868709E-2</v>
      </c>
      <c r="F16">
        <v>4.6445733123919197</v>
      </c>
      <c r="G16">
        <v>-0.13481591407701415</v>
      </c>
      <c r="H16">
        <v>-0.10904330281205954</v>
      </c>
      <c r="I16">
        <v>2.4994046709939901E-2</v>
      </c>
      <c r="J16">
        <v>1.29046310767678E-2</v>
      </c>
      <c r="K16">
        <v>3.0185331232614001E-3</v>
      </c>
      <c r="L16">
        <v>3.1405170448784774E-5</v>
      </c>
      <c r="M16">
        <v>5.5330841178196766E-7</v>
      </c>
      <c r="N16" s="1">
        <v>1.4177184474685599E-11</v>
      </c>
      <c r="O16" s="1">
        <v>6.5384431262099296E-15</v>
      </c>
      <c r="P16" s="1">
        <v>2.9533567349407299E-14</v>
      </c>
      <c r="R16">
        <v>47.215573920591503</v>
      </c>
      <c r="S16">
        <v>2.2083056266345902</v>
      </c>
      <c r="T16">
        <v>10.483518414079199</v>
      </c>
      <c r="V16">
        <v>35.657671262125803</v>
      </c>
      <c r="W16">
        <v>1.4371417371934101</v>
      </c>
      <c r="X16">
        <v>2.9977890393753901</v>
      </c>
      <c r="AJ16">
        <v>0.109662865502152</v>
      </c>
      <c r="AK16">
        <v>9.6790858332083604E-2</v>
      </c>
      <c r="AL16">
        <v>0.73174362530991299</v>
      </c>
      <c r="AM16">
        <v>2.9870006588942798E-2</v>
      </c>
      <c r="AN16">
        <v>3.1932644266906902E-2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4647-4607-4848-9A7E-37974C4D3C75}">
  <sheetPr codeName="Sheet7"/>
  <dimension ref="A1:AN3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0.36545412584214498</v>
      </c>
      <c r="F2">
        <v>4.9424494904125904</v>
      </c>
      <c r="G2">
        <v>-2.4334873170045754</v>
      </c>
      <c r="H2">
        <v>-1.7876769408059172</v>
      </c>
      <c r="I2">
        <v>0.64122561306524095</v>
      </c>
      <c r="J2">
        <v>0.32369114450839498</v>
      </c>
      <c r="K2">
        <v>7.3941904019668103E-2</v>
      </c>
      <c r="L2">
        <v>3.5609227377914556E-5</v>
      </c>
      <c r="M2">
        <v>4.142145395853346E-7</v>
      </c>
      <c r="N2" s="1">
        <v>1.4423877215482399E-9</v>
      </c>
      <c r="O2" s="1">
        <v>1.7846497706412201E-13</v>
      </c>
      <c r="P2">
        <v>0</v>
      </c>
      <c r="R2">
        <v>8.93353361198551</v>
      </c>
      <c r="S2">
        <v>1.8450003831057</v>
      </c>
      <c r="T2">
        <v>50.018715860116401</v>
      </c>
      <c r="V2">
        <v>38.349953934263297</v>
      </c>
      <c r="X2">
        <v>0.85279621052896704</v>
      </c>
      <c r="AJ2">
        <v>0</v>
      </c>
      <c r="AK2">
        <v>-6.9140227340757296E-3</v>
      </c>
      <c r="AL2">
        <v>0.70684198429183698</v>
      </c>
      <c r="AM2">
        <v>4.7749222581959398E-2</v>
      </c>
      <c r="AN2">
        <v>0.25232281586027799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0.40860998952382099</v>
      </c>
      <c r="F3">
        <v>4.94287329287289</v>
      </c>
      <c r="G3">
        <v>-2.7198190669752509</v>
      </c>
      <c r="H3">
        <v>-1.9988639821732976</v>
      </c>
      <c r="I3">
        <v>0.71654831267897701</v>
      </c>
      <c r="J3">
        <v>0.36193314924798597</v>
      </c>
      <c r="K3">
        <v>8.2666490786440894E-2</v>
      </c>
      <c r="L3">
        <v>3.5701887412871027E-5</v>
      </c>
      <c r="M3">
        <v>4.1545408025914206E-7</v>
      </c>
      <c r="N3" s="1">
        <v>1.6178637572506101E-9</v>
      </c>
      <c r="O3" s="1">
        <v>2.0022088389386201E-13</v>
      </c>
      <c r="P3">
        <v>0</v>
      </c>
      <c r="R3">
        <v>8.8030564458429996</v>
      </c>
      <c r="S3">
        <v>1.9112309591730301</v>
      </c>
      <c r="T3">
        <v>50.189492121766598</v>
      </c>
      <c r="V3">
        <v>38.249331380534997</v>
      </c>
      <c r="X3">
        <v>0.84688909268227897</v>
      </c>
      <c r="AJ3">
        <v>0</v>
      </c>
      <c r="AK3">
        <v>-5.11640843086969E-3</v>
      </c>
      <c r="AL3">
        <v>0.70911778359927902</v>
      </c>
      <c r="AM3">
        <v>4.7409279931021203E-2</v>
      </c>
      <c r="AN3">
        <v>0.248589344900568</v>
      </c>
    </row>
    <row r="4" spans="1:40" x14ac:dyDescent="0.2">
      <c r="A4">
        <v>46</v>
      </c>
      <c r="B4">
        <v>737</v>
      </c>
      <c r="C4">
        <v>280</v>
      </c>
      <c r="D4">
        <v>0.28200811760629901</v>
      </c>
      <c r="E4">
        <v>0.37438284169973801</v>
      </c>
      <c r="F4">
        <v>4.9397424138119703</v>
      </c>
      <c r="G4">
        <v>-2.4991601985994776</v>
      </c>
      <c r="H4">
        <v>-1.8343476952760704</v>
      </c>
      <c r="I4">
        <v>0.65813245886591698</v>
      </c>
      <c r="J4">
        <v>0.33173802058448298</v>
      </c>
      <c r="K4">
        <v>7.5789952255998105E-2</v>
      </c>
      <c r="L4">
        <v>3.5640067160785062E-5</v>
      </c>
      <c r="M4">
        <v>4.146825083801423E-7</v>
      </c>
      <c r="N4" s="1">
        <v>1.4764251621523899E-9</v>
      </c>
      <c r="O4" s="1">
        <v>1.8248637035594699E-13</v>
      </c>
      <c r="P4">
        <v>0</v>
      </c>
      <c r="R4">
        <v>9.0006085110312508</v>
      </c>
      <c r="S4">
        <v>1.8318952780282201</v>
      </c>
      <c r="T4">
        <v>49.9260150533702</v>
      </c>
      <c r="V4">
        <v>38.349127040720397</v>
      </c>
      <c r="X4">
        <v>0.89235411684980104</v>
      </c>
      <c r="AJ4">
        <v>0</v>
      </c>
      <c r="AK4">
        <v>-9.4162053073128804E-3</v>
      </c>
      <c r="AL4">
        <v>0.70532430662561496</v>
      </c>
      <c r="AM4">
        <v>4.9949416877179499E-2</v>
      </c>
      <c r="AN4">
        <v>0.25414248180451698</v>
      </c>
    </row>
    <row r="5" spans="1:40" x14ac:dyDescent="0.2">
      <c r="A5">
        <v>47</v>
      </c>
      <c r="B5">
        <v>736</v>
      </c>
      <c r="C5">
        <v>280</v>
      </c>
      <c r="D5">
        <v>0.281227270475152</v>
      </c>
      <c r="E5">
        <v>0.41561507725288199</v>
      </c>
      <c r="F5">
        <v>4.9401820146406799</v>
      </c>
      <c r="G5">
        <v>-2.7733033408754277</v>
      </c>
      <c r="H5">
        <v>-2.0364130541696968</v>
      </c>
      <c r="I5">
        <v>0.73020887549495195</v>
      </c>
      <c r="J5">
        <v>0.36829153711235202</v>
      </c>
      <c r="K5">
        <v>8.41295069738663E-2</v>
      </c>
      <c r="L5">
        <v>3.5734861179342695E-5</v>
      </c>
      <c r="M5">
        <v>4.1594563099389146E-7</v>
      </c>
      <c r="N5" s="1">
        <v>1.6443518677206199E-9</v>
      </c>
      <c r="O5" s="1">
        <v>2.03288354723848E-13</v>
      </c>
      <c r="P5">
        <v>0</v>
      </c>
      <c r="R5">
        <v>8.8689364102614796</v>
      </c>
      <c r="S5">
        <v>1.8977552218784599</v>
      </c>
      <c r="T5">
        <v>50.099525604517801</v>
      </c>
      <c r="V5">
        <v>38.247350179827301</v>
      </c>
      <c r="X5">
        <v>0.88643258351487397</v>
      </c>
      <c r="AJ5">
        <v>0</v>
      </c>
      <c r="AK5">
        <v>-7.6260526302342098E-3</v>
      </c>
      <c r="AL5">
        <v>0.70764069504673399</v>
      </c>
      <c r="AM5">
        <v>4.9608505305375999E-2</v>
      </c>
      <c r="AN5">
        <v>0.25037685227812301</v>
      </c>
    </row>
    <row r="6" spans="1:40" x14ac:dyDescent="0.2">
      <c r="A6">
        <v>64</v>
      </c>
      <c r="B6">
        <v>741</v>
      </c>
      <c r="C6">
        <v>260</v>
      </c>
      <c r="D6">
        <v>0.30680915052014102</v>
      </c>
      <c r="E6">
        <v>0.248326752620563</v>
      </c>
      <c r="F6">
        <v>4.9422730572812501</v>
      </c>
      <c r="G6">
        <v>-1.6550070356468534</v>
      </c>
      <c r="H6">
        <v>-1.2117547918724023</v>
      </c>
      <c r="I6">
        <v>0.43706773531967702</v>
      </c>
      <c r="J6">
        <v>0.22004390638278101</v>
      </c>
      <c r="K6">
        <v>5.02454538109166E-2</v>
      </c>
      <c r="L6">
        <v>3.6066360283648025E-5</v>
      </c>
      <c r="M6">
        <v>4.1896729373247876E-7</v>
      </c>
      <c r="N6" s="1">
        <v>9.8881142315451503E-10</v>
      </c>
      <c r="O6" s="1">
        <v>1.2231830611963801E-13</v>
      </c>
      <c r="P6">
        <v>0</v>
      </c>
      <c r="R6">
        <v>8.7458901171298002</v>
      </c>
      <c r="S6">
        <v>1.79163509431432</v>
      </c>
      <c r="T6">
        <v>50.452228683220497</v>
      </c>
      <c r="V6">
        <v>38.141508452305096</v>
      </c>
      <c r="X6">
        <v>0.86873765303009898</v>
      </c>
      <c r="AJ6">
        <v>0</v>
      </c>
      <c r="AK6">
        <v>-8.9909242325201394E-3</v>
      </c>
      <c r="AL6">
        <v>0.71322124976780199</v>
      </c>
      <c r="AM6">
        <v>4.8659070360639899E-2</v>
      </c>
      <c r="AN6">
        <v>0.24711060410407701</v>
      </c>
    </row>
    <row r="7" spans="1:40" x14ac:dyDescent="0.2">
      <c r="A7">
        <v>65</v>
      </c>
      <c r="B7">
        <v>740</v>
      </c>
      <c r="C7">
        <v>260</v>
      </c>
      <c r="D7">
        <v>0.30605586537038199</v>
      </c>
      <c r="E7">
        <v>0.39853501498583499</v>
      </c>
      <c r="F7">
        <v>4.9371453045343898</v>
      </c>
      <c r="G7">
        <v>-2.6667586283766465</v>
      </c>
      <c r="H7">
        <v>-1.9556409336507552</v>
      </c>
      <c r="I7">
        <v>0.70188786924531499</v>
      </c>
      <c r="J7">
        <v>0.35328805065778901</v>
      </c>
      <c r="K7">
        <v>8.0721751215183199E-2</v>
      </c>
      <c r="L7">
        <v>3.569207491216362E-5</v>
      </c>
      <c r="M7">
        <v>4.1538610508454487E-7</v>
      </c>
      <c r="N7" s="1">
        <v>1.57132524189466E-9</v>
      </c>
      <c r="O7" s="1">
        <v>1.9402003242592E-13</v>
      </c>
      <c r="P7">
        <v>0</v>
      </c>
      <c r="R7">
        <v>9.0481181114221894</v>
      </c>
      <c r="S7">
        <v>1.8239387449130999</v>
      </c>
      <c r="T7">
        <v>49.864617867884803</v>
      </c>
      <c r="V7">
        <v>38.3321651644399</v>
      </c>
      <c r="X7">
        <v>0.93116011133983501</v>
      </c>
      <c r="AJ7">
        <v>0</v>
      </c>
      <c r="AK7">
        <v>-1.17609101508378E-2</v>
      </c>
      <c r="AL7">
        <v>0.70424701910794996</v>
      </c>
      <c r="AM7">
        <v>5.21060473067693E-2</v>
      </c>
      <c r="AN7">
        <v>0.25540784373611702</v>
      </c>
    </row>
    <row r="8" spans="1:40" x14ac:dyDescent="0.2">
      <c r="A8">
        <v>66</v>
      </c>
      <c r="B8">
        <v>739</v>
      </c>
      <c r="C8">
        <v>260</v>
      </c>
      <c r="D8">
        <v>0.30530109173541498</v>
      </c>
      <c r="E8">
        <v>0.42941094351808601</v>
      </c>
      <c r="F8">
        <v>4.9376091367044399</v>
      </c>
      <c r="G8">
        <v>-2.8721553167829761</v>
      </c>
      <c r="H8">
        <v>-2.1071284129278451</v>
      </c>
      <c r="I8">
        <v>0.75584340646656201</v>
      </c>
      <c r="J8">
        <v>0.38067538678538898</v>
      </c>
      <c r="K8">
        <v>8.6967382720919903E-2</v>
      </c>
      <c r="L8">
        <v>3.5787317385373342E-5</v>
      </c>
      <c r="M8">
        <v>4.1665284836256877E-7</v>
      </c>
      <c r="N8" s="1">
        <v>1.6985691175967201E-9</v>
      </c>
      <c r="O8" s="1">
        <v>2.09780630320169E-13</v>
      </c>
      <c r="P8">
        <v>0</v>
      </c>
      <c r="R8">
        <v>8.9172654166642094</v>
      </c>
      <c r="S8">
        <v>1.8880435331417</v>
      </c>
      <c r="T8">
        <v>50.038546311405597</v>
      </c>
      <c r="V8">
        <v>38.231024940688897</v>
      </c>
      <c r="X8">
        <v>0.92511979809947498</v>
      </c>
      <c r="AJ8">
        <v>0</v>
      </c>
      <c r="AK8">
        <v>-1.00031129008191E-2</v>
      </c>
      <c r="AL8">
        <v>0.706575740785786</v>
      </c>
      <c r="AM8">
        <v>5.1758687750601197E-2</v>
      </c>
      <c r="AN8">
        <v>0.25166868436443102</v>
      </c>
    </row>
    <row r="9" spans="1:40" x14ac:dyDescent="0.2">
      <c r="A9">
        <v>80</v>
      </c>
      <c r="B9">
        <v>744</v>
      </c>
      <c r="C9">
        <v>240</v>
      </c>
      <c r="D9">
        <v>0.33068918055350899</v>
      </c>
      <c r="E9">
        <v>0.328457638838621</v>
      </c>
      <c r="F9">
        <v>4.9370775907918896</v>
      </c>
      <c r="G9">
        <v>-2.1973665246225664</v>
      </c>
      <c r="H9">
        <v>-1.6080392027459607</v>
      </c>
      <c r="I9">
        <v>0.57939077016822105</v>
      </c>
      <c r="J9">
        <v>0.29126000737340502</v>
      </c>
      <c r="K9">
        <v>6.6528757711085101E-2</v>
      </c>
      <c r="L9">
        <v>3.6234137177576772E-5</v>
      </c>
      <c r="M9">
        <v>4.2153044446594447E-7</v>
      </c>
      <c r="N9" s="1">
        <v>1.3111928600374299E-9</v>
      </c>
      <c r="O9" s="1">
        <v>1.61754704213257E-13</v>
      </c>
      <c r="P9">
        <v>0</v>
      </c>
      <c r="R9">
        <v>8.7795602856339894</v>
      </c>
      <c r="S9">
        <v>1.7954000901179701</v>
      </c>
      <c r="T9">
        <v>50.4417284551389</v>
      </c>
      <c r="V9">
        <v>38.005427052222103</v>
      </c>
      <c r="X9">
        <v>0.97788411688694199</v>
      </c>
      <c r="AJ9">
        <v>0</v>
      </c>
      <c r="AK9">
        <v>-1.50076921712692E-2</v>
      </c>
      <c r="AL9">
        <v>0.71244140722060101</v>
      </c>
      <c r="AM9">
        <v>5.4723999322685103E-2</v>
      </c>
      <c r="AN9">
        <v>0.247842285627982</v>
      </c>
    </row>
    <row r="10" spans="1:40" x14ac:dyDescent="0.2">
      <c r="A10">
        <v>81</v>
      </c>
      <c r="B10">
        <v>743</v>
      </c>
      <c r="C10">
        <v>240</v>
      </c>
      <c r="D10">
        <v>0.32996161983958999</v>
      </c>
      <c r="E10">
        <v>0.42118609060412299</v>
      </c>
      <c r="F10">
        <v>4.9345085257131203</v>
      </c>
      <c r="G10">
        <v>-2.8251501833811465</v>
      </c>
      <c r="H10">
        <v>-2.0699954795464368</v>
      </c>
      <c r="I10">
        <v>0.74315278633539295</v>
      </c>
      <c r="J10">
        <v>0.37353136635694201</v>
      </c>
      <c r="K10">
        <v>8.53552260391027E-2</v>
      </c>
      <c r="L10">
        <v>3.5753503221220554E-5</v>
      </c>
      <c r="M10">
        <v>4.1620181848097264E-7</v>
      </c>
      <c r="N10" s="1">
        <v>1.6607107839826299E-9</v>
      </c>
      <c r="O10" s="1">
        <v>2.0484729834232799E-13</v>
      </c>
      <c r="P10">
        <v>0</v>
      </c>
      <c r="R10">
        <v>9.0854477429681193</v>
      </c>
      <c r="S10">
        <v>1.82217403647906</v>
      </c>
      <c r="T10">
        <v>49.815974074641296</v>
      </c>
      <c r="V10">
        <v>38.305724913583198</v>
      </c>
      <c r="X10">
        <v>0.970679232328163</v>
      </c>
      <c r="AJ10">
        <v>0</v>
      </c>
      <c r="AK10">
        <v>-1.40067742634123E-2</v>
      </c>
      <c r="AL10">
        <v>0.70332953944655296</v>
      </c>
      <c r="AM10">
        <v>5.42996728347728E-2</v>
      </c>
      <c r="AN10">
        <v>0.256377561982086</v>
      </c>
    </row>
    <row r="11" spans="1:40" x14ac:dyDescent="0.2">
      <c r="A11">
        <v>82</v>
      </c>
      <c r="B11">
        <v>742</v>
      </c>
      <c r="C11">
        <v>240</v>
      </c>
      <c r="D11">
        <v>0.32923262572033701</v>
      </c>
      <c r="E11">
        <v>0.44283256496038198</v>
      </c>
      <c r="F11">
        <v>4.93498544822278</v>
      </c>
      <c r="G11">
        <v>-2.9690556513204749</v>
      </c>
      <c r="H11">
        <v>-2.176314593514884</v>
      </c>
      <c r="I11">
        <v>0.78091026725665202</v>
      </c>
      <c r="J11">
        <v>0.39274404268929802</v>
      </c>
      <c r="K11">
        <v>8.9733307140724597E-2</v>
      </c>
      <c r="L11">
        <v>3.5846852282758388E-5</v>
      </c>
      <c r="M11">
        <v>4.1744605900717211E-7</v>
      </c>
      <c r="N11" s="1">
        <v>1.75163649244569E-9</v>
      </c>
      <c r="O11" s="1">
        <v>2.1611415838671201E-13</v>
      </c>
      <c r="P11">
        <v>0</v>
      </c>
      <c r="R11">
        <v>8.9576189138805198</v>
      </c>
      <c r="S11">
        <v>1.8838633870686801</v>
      </c>
      <c r="T11">
        <v>49.986885243210402</v>
      </c>
      <c r="V11">
        <v>38.207032040929498</v>
      </c>
      <c r="X11">
        <v>0.964600414910741</v>
      </c>
      <c r="AJ11">
        <v>0</v>
      </c>
      <c r="AK11">
        <v>-1.2300526698651001E-2</v>
      </c>
      <c r="AL11">
        <v>0.70562260846418501</v>
      </c>
      <c r="AM11">
        <v>5.3950453460746998E-2</v>
      </c>
      <c r="AN11">
        <v>0.25272746477371799</v>
      </c>
    </row>
    <row r="12" spans="1:40" x14ac:dyDescent="0.2">
      <c r="A12">
        <v>92</v>
      </c>
      <c r="B12">
        <v>748</v>
      </c>
      <c r="C12">
        <v>220</v>
      </c>
      <c r="D12">
        <v>0.355129510845618</v>
      </c>
      <c r="E12">
        <v>0.20938065233780701</v>
      </c>
      <c r="F12">
        <v>4.9469479252496598</v>
      </c>
      <c r="G12">
        <v>-1.3910225440272517</v>
      </c>
      <c r="H12">
        <v>-1.0139740885711874</v>
      </c>
      <c r="I12">
        <v>0.36923904955791398</v>
      </c>
      <c r="J12">
        <v>0.18556222362823999</v>
      </c>
      <c r="K12">
        <v>4.23252185997572E-2</v>
      </c>
      <c r="L12">
        <v>3.7065832142926931E-5</v>
      </c>
      <c r="M12">
        <v>4.2946703476370267E-7</v>
      </c>
      <c r="N12" s="1">
        <v>8.5350558658342104E-10</v>
      </c>
      <c r="O12" s="1">
        <v>1.05743309561312E-13</v>
      </c>
      <c r="P12">
        <v>0</v>
      </c>
      <c r="R12">
        <v>8.05901692911163</v>
      </c>
      <c r="S12">
        <v>1.8149846069892399</v>
      </c>
      <c r="T12">
        <v>51.728365619671301</v>
      </c>
      <c r="V12">
        <v>37.569899069601703</v>
      </c>
      <c r="X12">
        <v>0.82773377462595898</v>
      </c>
      <c r="AJ12">
        <v>0</v>
      </c>
      <c r="AK12">
        <v>-6.1825261757414004E-3</v>
      </c>
      <c r="AL12">
        <v>0.73188360119780405</v>
      </c>
      <c r="AM12">
        <v>4.6401837570982901E-2</v>
      </c>
      <c r="AN12">
        <v>0.227897087406953</v>
      </c>
    </row>
    <row r="13" spans="1:40" x14ac:dyDescent="0.2">
      <c r="A13">
        <v>93</v>
      </c>
      <c r="B13">
        <v>747</v>
      </c>
      <c r="C13">
        <v>220</v>
      </c>
      <c r="D13">
        <v>0.35442876047640198</v>
      </c>
      <c r="E13">
        <v>0.40705697814102498</v>
      </c>
      <c r="F13">
        <v>4.9298846675545702</v>
      </c>
      <c r="G13">
        <v>-2.7418399467185406</v>
      </c>
      <c r="H13">
        <v>-2.0071330435728036</v>
      </c>
      <c r="I13">
        <v>0.72019497441134805</v>
      </c>
      <c r="J13">
        <v>0.36117166714703502</v>
      </c>
      <c r="K13">
        <v>8.2569269991247501E-2</v>
      </c>
      <c r="L13">
        <v>3.5531063345741402E-5</v>
      </c>
      <c r="M13">
        <v>4.1366683705054631E-7</v>
      </c>
      <c r="N13" s="1">
        <v>1.59158314259617E-9</v>
      </c>
      <c r="O13" s="1">
        <v>1.9599739884040399E-13</v>
      </c>
      <c r="P13">
        <v>0</v>
      </c>
      <c r="R13">
        <v>9.4007594150394596</v>
      </c>
      <c r="S13">
        <v>1.75307160652786</v>
      </c>
      <c r="T13">
        <v>49.3182332272049</v>
      </c>
      <c r="V13">
        <v>38.502429922300699</v>
      </c>
      <c r="X13">
        <v>1.02550582892704</v>
      </c>
      <c r="AJ13">
        <v>0</v>
      </c>
      <c r="AK13">
        <v>-1.8595433973941301E-2</v>
      </c>
      <c r="AL13">
        <v>0.69606396108108304</v>
      </c>
      <c r="AM13">
        <v>5.7347041186036E-2</v>
      </c>
      <c r="AN13">
        <v>0.26518443170682199</v>
      </c>
    </row>
    <row r="14" spans="1:40" x14ac:dyDescent="0.2">
      <c r="A14">
        <v>94</v>
      </c>
      <c r="B14">
        <v>746</v>
      </c>
      <c r="C14">
        <v>220</v>
      </c>
      <c r="D14">
        <v>0.35372663494088302</v>
      </c>
      <c r="E14">
        <v>0.44269509803399698</v>
      </c>
      <c r="F14">
        <v>4.9318305767567203</v>
      </c>
      <c r="G14">
        <v>-2.9767083166555541</v>
      </c>
      <c r="H14">
        <v>-2.1791747294918391</v>
      </c>
      <c r="I14">
        <v>0.78254779685396103</v>
      </c>
      <c r="J14">
        <v>0.39278958997298602</v>
      </c>
      <c r="K14">
        <v>8.9762835755222495E-2</v>
      </c>
      <c r="L14">
        <v>3.5830881592429647E-5</v>
      </c>
      <c r="M14">
        <v>4.1720274543815935E-7</v>
      </c>
      <c r="N14" s="1">
        <v>1.7463952823414801E-9</v>
      </c>
      <c r="O14" s="1">
        <v>2.15195517406637E-13</v>
      </c>
      <c r="P14">
        <v>0</v>
      </c>
      <c r="R14">
        <v>9.1046867811333794</v>
      </c>
      <c r="S14">
        <v>1.83119159918703</v>
      </c>
      <c r="T14">
        <v>49.789861031167</v>
      </c>
      <c r="V14">
        <v>38.263522950197803</v>
      </c>
      <c r="X14">
        <v>1.01073763831471</v>
      </c>
      <c r="AJ14">
        <v>0</v>
      </c>
      <c r="AK14">
        <v>-1.6042241482466399E-2</v>
      </c>
      <c r="AL14">
        <v>0.702698319372001</v>
      </c>
      <c r="AM14">
        <v>5.65194182271068E-2</v>
      </c>
      <c r="AN14">
        <v>0.25682450388335798</v>
      </c>
    </row>
    <row r="15" spans="1:40" x14ac:dyDescent="0.2">
      <c r="A15">
        <v>95</v>
      </c>
      <c r="B15">
        <v>745</v>
      </c>
      <c r="C15">
        <v>220</v>
      </c>
      <c r="D15">
        <v>0.35302313018710402</v>
      </c>
      <c r="E15">
        <v>0.45622616272924799</v>
      </c>
      <c r="F15">
        <v>4.9323041620318104</v>
      </c>
      <c r="G15">
        <v>-3.0663566992873257</v>
      </c>
      <c r="H15">
        <v>-2.2457084214537844</v>
      </c>
      <c r="I15">
        <v>0.80601903239556105</v>
      </c>
      <c r="J15">
        <v>0.40480872185239197</v>
      </c>
      <c r="K15">
        <v>9.2497572684428805E-2</v>
      </c>
      <c r="L15">
        <v>3.591911060138495E-5</v>
      </c>
      <c r="M15">
        <v>4.1838858413244168E-7</v>
      </c>
      <c r="N15" s="1">
        <v>1.80524889933886E-9</v>
      </c>
      <c r="O15" s="1">
        <v>2.2249982700595399E-13</v>
      </c>
      <c r="P15">
        <v>0</v>
      </c>
      <c r="R15">
        <v>8.9828548518543894</v>
      </c>
      <c r="S15">
        <v>1.8896511198625101</v>
      </c>
      <c r="T15">
        <v>49.953037038259197</v>
      </c>
      <c r="V15">
        <v>38.169720260098899</v>
      </c>
      <c r="X15">
        <v>1.00473672992485</v>
      </c>
      <c r="AJ15">
        <v>0</v>
      </c>
      <c r="AK15">
        <v>-1.44121863225999E-2</v>
      </c>
      <c r="AL15">
        <v>0.70488952473753097</v>
      </c>
      <c r="AM15">
        <v>5.6174948340619001E-2</v>
      </c>
      <c r="AN15">
        <v>0.25334771324444899</v>
      </c>
    </row>
    <row r="16" spans="1:40" x14ac:dyDescent="0.2">
      <c r="A16">
        <v>103</v>
      </c>
      <c r="B16">
        <v>751</v>
      </c>
      <c r="C16">
        <v>200</v>
      </c>
      <c r="D16">
        <v>0.378704779573308</v>
      </c>
      <c r="E16">
        <v>0.38344631750900798</v>
      </c>
      <c r="F16">
        <v>4.9328972909486</v>
      </c>
      <c r="G16">
        <v>-2.5759410208851512</v>
      </c>
      <c r="H16">
        <v>-1.8804998998895626</v>
      </c>
      <c r="I16">
        <v>0.67904225064256996</v>
      </c>
      <c r="J16">
        <v>0.34030047479340297</v>
      </c>
      <c r="K16">
        <v>7.7732475438439599E-2</v>
      </c>
      <c r="L16">
        <v>3.6414952020535113E-5</v>
      </c>
      <c r="M16">
        <v>4.234257874850415E-7</v>
      </c>
      <c r="N16" s="1">
        <v>1.5325844449369601E-9</v>
      </c>
      <c r="O16" s="1">
        <v>1.8879527887278999E-13</v>
      </c>
      <c r="P16">
        <v>0</v>
      </c>
      <c r="R16">
        <v>8.8086258170092595</v>
      </c>
      <c r="S16">
        <v>1.78298394611982</v>
      </c>
      <c r="T16">
        <v>50.431160857377201</v>
      </c>
      <c r="V16">
        <v>37.942034764822601</v>
      </c>
      <c r="X16">
        <v>1.03519461467106</v>
      </c>
      <c r="AJ16">
        <v>0</v>
      </c>
      <c r="AK16">
        <v>-1.8482211152835701E-2</v>
      </c>
      <c r="AL16">
        <v>0.71200977557325196</v>
      </c>
      <c r="AM16">
        <v>5.7908223097552301E-2</v>
      </c>
      <c r="AN16">
        <v>0.24856421248203001</v>
      </c>
    </row>
    <row r="17" spans="1:40" x14ac:dyDescent="0.2">
      <c r="A17">
        <v>104</v>
      </c>
      <c r="B17">
        <v>750</v>
      </c>
      <c r="C17">
        <v>200</v>
      </c>
      <c r="D17">
        <v>0.37802912573913899</v>
      </c>
      <c r="E17">
        <v>0.44574827845576698</v>
      </c>
      <c r="F17">
        <v>4.9285550991239102</v>
      </c>
      <c r="G17">
        <v>-3.0062245926567428</v>
      </c>
      <c r="H17">
        <v>-2.1980905217590787</v>
      </c>
      <c r="I17">
        <v>0.78984906504194297</v>
      </c>
      <c r="J17">
        <v>0.39568509424627502</v>
      </c>
      <c r="K17">
        <v>9.0441979340963902E-2</v>
      </c>
      <c r="L17">
        <v>3.5831937038467947E-5</v>
      </c>
      <c r="M17">
        <v>4.1716077096840377E-7</v>
      </c>
      <c r="N17" s="1">
        <v>1.7546009426726001E-9</v>
      </c>
      <c r="O17" s="1">
        <v>2.1593043650821599E-13</v>
      </c>
      <c r="P17">
        <v>0</v>
      </c>
      <c r="R17">
        <v>9.2280208756873705</v>
      </c>
      <c r="S17">
        <v>1.79670415422109</v>
      </c>
      <c r="T17">
        <v>49.617696093108698</v>
      </c>
      <c r="V17">
        <v>38.299906657412897</v>
      </c>
      <c r="X17">
        <v>1.0576722195697501</v>
      </c>
      <c r="AJ17">
        <v>0</v>
      </c>
      <c r="AK17">
        <v>-1.94235236410196E-2</v>
      </c>
      <c r="AL17">
        <v>0.700067679506028</v>
      </c>
      <c r="AM17">
        <v>5.9126990463259997E-2</v>
      </c>
      <c r="AN17">
        <v>0.26022885367172999</v>
      </c>
    </row>
    <row r="18" spans="1:40" x14ac:dyDescent="0.2">
      <c r="A18">
        <v>105</v>
      </c>
      <c r="B18">
        <v>749</v>
      </c>
      <c r="C18">
        <v>200</v>
      </c>
      <c r="D18">
        <v>0.37735214988015597</v>
      </c>
      <c r="E18">
        <v>0.46185679212900299</v>
      </c>
      <c r="F18">
        <v>4.9290983613065702</v>
      </c>
      <c r="G18">
        <v>-3.1133187111672673</v>
      </c>
      <c r="H18">
        <v>-2.2772715339698841</v>
      </c>
      <c r="I18">
        <v>0.81793002709717999</v>
      </c>
      <c r="J18">
        <v>0.409997327252281</v>
      </c>
      <c r="K18">
        <v>9.3700055927992701E-2</v>
      </c>
      <c r="L18">
        <v>3.5929603598591174E-5</v>
      </c>
      <c r="M18">
        <v>4.1844926752523934E-7</v>
      </c>
      <c r="N18" s="1">
        <v>1.8240121288939E-9</v>
      </c>
      <c r="O18" s="1">
        <v>2.2453049744326701E-13</v>
      </c>
      <c r="P18">
        <v>0</v>
      </c>
      <c r="R18">
        <v>9.0987080188916902</v>
      </c>
      <c r="S18">
        <v>1.8557372788675901</v>
      </c>
      <c r="T18">
        <v>49.7943892944106</v>
      </c>
      <c r="V18">
        <v>38.199952117651598</v>
      </c>
      <c r="X18">
        <v>1.0512132901784099</v>
      </c>
      <c r="AJ18">
        <v>0</v>
      </c>
      <c r="AK18">
        <v>-1.7755260333659699E-2</v>
      </c>
      <c r="AL18">
        <v>0.70245467601821299</v>
      </c>
      <c r="AM18">
        <v>5.8757050124185903E-2</v>
      </c>
      <c r="AN18">
        <v>0.25654353419125903</v>
      </c>
    </row>
    <row r="19" spans="1:40" x14ac:dyDescent="0.2">
      <c r="A19">
        <v>115</v>
      </c>
      <c r="B19">
        <v>756</v>
      </c>
      <c r="C19">
        <v>180</v>
      </c>
      <c r="D19">
        <v>0.40344021765534699</v>
      </c>
      <c r="E19">
        <v>0.246654395023061</v>
      </c>
      <c r="F19">
        <v>4.9454924810945302</v>
      </c>
      <c r="G19">
        <v>-1.6410742812839512</v>
      </c>
      <c r="H19">
        <v>-1.1918162458445178</v>
      </c>
      <c r="I19">
        <v>0.43653309569978399</v>
      </c>
      <c r="J19">
        <v>0.218749203853944</v>
      </c>
      <c r="K19">
        <v>4.9874587003410298E-2</v>
      </c>
      <c r="L19">
        <v>3.7764917713594773E-5</v>
      </c>
      <c r="M19">
        <v>4.3695398331803229E-7</v>
      </c>
      <c r="N19" s="1">
        <v>1.0197736574977901E-9</v>
      </c>
      <c r="O19" s="1">
        <v>1.2623265354128001E-13</v>
      </c>
      <c r="P19">
        <v>0</v>
      </c>
      <c r="R19">
        <v>7.7034197598606404</v>
      </c>
      <c r="S19">
        <v>1.8323207978026901</v>
      </c>
      <c r="T19">
        <v>52.419787956741899</v>
      </c>
      <c r="V19">
        <v>37.169544027967603</v>
      </c>
      <c r="X19">
        <v>0.87492745762713597</v>
      </c>
      <c r="AJ19">
        <v>0</v>
      </c>
      <c r="AK19">
        <v>-8.4430512320843708E-3</v>
      </c>
      <c r="AL19">
        <v>0.74158389881940301</v>
      </c>
      <c r="AM19">
        <v>4.9042016804655399E-2</v>
      </c>
      <c r="AN19">
        <v>0.21781713560802499</v>
      </c>
    </row>
    <row r="20" spans="1:40" x14ac:dyDescent="0.2">
      <c r="A20">
        <v>116</v>
      </c>
      <c r="B20">
        <v>755</v>
      </c>
      <c r="C20">
        <v>180</v>
      </c>
      <c r="D20">
        <v>0.40279190779555302</v>
      </c>
      <c r="E20">
        <v>0.40953376864450902</v>
      </c>
      <c r="F20">
        <v>4.9298399186860102</v>
      </c>
      <c r="G20">
        <v>-2.7589642913282009</v>
      </c>
      <c r="H20">
        <v>-2.0115558798273123</v>
      </c>
      <c r="I20">
        <v>0.72694491222184299</v>
      </c>
      <c r="J20">
        <v>0.36364594870815597</v>
      </c>
      <c r="K20">
        <v>8.3072427380900496E-2</v>
      </c>
      <c r="L20">
        <v>3.6494686819270348E-5</v>
      </c>
      <c r="M20">
        <v>4.242568103027303E-7</v>
      </c>
      <c r="N20" s="1">
        <v>1.63687677617457E-9</v>
      </c>
      <c r="O20" s="1">
        <v>2.01413777014644E-13</v>
      </c>
      <c r="P20">
        <v>0</v>
      </c>
      <c r="R20">
        <v>8.8510058587878699</v>
      </c>
      <c r="S20">
        <v>1.7818615521560199</v>
      </c>
      <c r="T20">
        <v>50.374629194480903</v>
      </c>
      <c r="V20">
        <v>37.912944880530802</v>
      </c>
      <c r="X20">
        <v>1.07955851404434</v>
      </c>
      <c r="AJ20">
        <v>0</v>
      </c>
      <c r="AK20">
        <v>-2.09808978482449E-2</v>
      </c>
      <c r="AL20">
        <v>0.71094650046807495</v>
      </c>
      <c r="AM20">
        <v>6.0367402451835903E-2</v>
      </c>
      <c r="AN20">
        <v>0.249666994928333</v>
      </c>
    </row>
    <row r="21" spans="1:40" x14ac:dyDescent="0.2">
      <c r="A21">
        <v>117</v>
      </c>
      <c r="B21">
        <v>754</v>
      </c>
      <c r="C21">
        <v>180</v>
      </c>
      <c r="D21">
        <v>0.402142335588766</v>
      </c>
      <c r="E21">
        <v>0.45843232135154999</v>
      </c>
      <c r="F21">
        <v>4.9252275428029604</v>
      </c>
      <c r="G21">
        <v>-3.1012172966203511</v>
      </c>
      <c r="H21">
        <v>-2.2648254737650149</v>
      </c>
      <c r="I21">
        <v>0.81428401193139799</v>
      </c>
      <c r="J21">
        <v>0.40716196640751501</v>
      </c>
      <c r="K21">
        <v>9.3078404473198206E-2</v>
      </c>
      <c r="L21">
        <v>3.587345665547661E-5</v>
      </c>
      <c r="M21">
        <v>4.1758123561896524E-7</v>
      </c>
      <c r="N21" s="1">
        <v>1.8026842224044201E-9</v>
      </c>
      <c r="O21" s="1">
        <v>2.2156993326768801E-13</v>
      </c>
      <c r="P21">
        <v>0</v>
      </c>
      <c r="R21">
        <v>9.3034091901929905</v>
      </c>
      <c r="S21">
        <v>1.7904738225690899</v>
      </c>
      <c r="T21">
        <v>49.504879063841599</v>
      </c>
      <c r="V21">
        <v>38.296574864500698</v>
      </c>
      <c r="X21">
        <v>1.1046630588955599</v>
      </c>
      <c r="AJ21">
        <v>0</v>
      </c>
      <c r="AK21">
        <v>-2.2179333289380699E-2</v>
      </c>
      <c r="AL21">
        <v>0.69819908158236299</v>
      </c>
      <c r="AM21">
        <v>6.1729440969693398E-2</v>
      </c>
      <c r="AN21">
        <v>0.26225081073732298</v>
      </c>
    </row>
    <row r="22" spans="1:40" x14ac:dyDescent="0.2">
      <c r="A22">
        <v>118</v>
      </c>
      <c r="B22">
        <v>753</v>
      </c>
      <c r="C22">
        <v>180</v>
      </c>
      <c r="D22">
        <v>0.401491497344444</v>
      </c>
      <c r="E22">
        <v>0.47148551401134903</v>
      </c>
      <c r="F22">
        <v>4.9257974717218902</v>
      </c>
      <c r="G22">
        <v>-3.1878576328743096</v>
      </c>
      <c r="H22">
        <v>-2.3289756602441378</v>
      </c>
      <c r="I22">
        <v>0.83699456476165401</v>
      </c>
      <c r="J22">
        <v>0.41876666703847099</v>
      </c>
      <c r="K22">
        <v>9.5717600392233204E-2</v>
      </c>
      <c r="L22">
        <v>3.5971647399574987E-5</v>
      </c>
      <c r="M22">
        <v>4.1887296337988008E-7</v>
      </c>
      <c r="N22" s="1">
        <v>1.86015145472451E-9</v>
      </c>
      <c r="O22" s="1">
        <v>2.2869438910007398E-13</v>
      </c>
      <c r="P22">
        <v>0</v>
      </c>
      <c r="R22">
        <v>9.1749140468327504</v>
      </c>
      <c r="S22">
        <v>1.8476794724255201</v>
      </c>
      <c r="T22">
        <v>49.682056247132898</v>
      </c>
      <c r="V22">
        <v>38.197306018086103</v>
      </c>
      <c r="X22">
        <v>1.09804421552256</v>
      </c>
      <c r="AJ22">
        <v>0</v>
      </c>
      <c r="AK22">
        <v>-2.0542957486227299E-2</v>
      </c>
      <c r="AL22">
        <v>0.70059958795055399</v>
      </c>
      <c r="AM22">
        <v>6.1350963484821802E-2</v>
      </c>
      <c r="AN22">
        <v>0.25859240605084999</v>
      </c>
    </row>
    <row r="23" spans="1:40" x14ac:dyDescent="0.2">
      <c r="A23">
        <v>131</v>
      </c>
      <c r="B23">
        <v>761</v>
      </c>
      <c r="C23">
        <v>160</v>
      </c>
      <c r="D23">
        <v>0.42793646956437897</v>
      </c>
      <c r="E23">
        <v>0.23601537232416001</v>
      </c>
      <c r="F23">
        <v>4.9462705513274701</v>
      </c>
      <c r="G23">
        <v>-1.569809216001115</v>
      </c>
      <c r="H23">
        <v>-1.1370220712999113</v>
      </c>
      <c r="I23">
        <v>0.41849552260426698</v>
      </c>
      <c r="J23">
        <v>0.209365063501496</v>
      </c>
      <c r="K23">
        <v>4.77158234421323E-2</v>
      </c>
      <c r="L23">
        <v>3.8232091215232479E-5</v>
      </c>
      <c r="M23">
        <v>4.4157082922855966E-7</v>
      </c>
      <c r="N23" s="1">
        <v>9.8522178444648695E-10</v>
      </c>
      <c r="O23" s="1">
        <v>1.2199687570909699E-13</v>
      </c>
      <c r="P23">
        <v>0</v>
      </c>
      <c r="R23">
        <v>7.4194774541258903</v>
      </c>
      <c r="S23">
        <v>1.8496823603204899</v>
      </c>
      <c r="T23">
        <v>52.944496753669597</v>
      </c>
      <c r="V23">
        <v>36.916809107126603</v>
      </c>
      <c r="X23">
        <v>0.86953432475725501</v>
      </c>
      <c r="AJ23">
        <v>0</v>
      </c>
      <c r="AK23">
        <v>-7.7577825347441903E-3</v>
      </c>
      <c r="AL23">
        <v>0.74917240388212902</v>
      </c>
      <c r="AM23">
        <v>4.87504827909448E-2</v>
      </c>
      <c r="AN23">
        <v>0.20983489586166901</v>
      </c>
    </row>
    <row r="24" spans="1:40" x14ac:dyDescent="0.2">
      <c r="A24">
        <v>132</v>
      </c>
      <c r="B24">
        <v>760</v>
      </c>
      <c r="C24">
        <v>160</v>
      </c>
      <c r="D24">
        <v>0.427315007501331</v>
      </c>
      <c r="E24">
        <v>0.396163752422169</v>
      </c>
      <c r="F24">
        <v>4.9307459994640199</v>
      </c>
      <c r="G24">
        <v>-2.6652389014881912</v>
      </c>
      <c r="H24">
        <v>-1.9375324482298741</v>
      </c>
      <c r="I24">
        <v>0.70435701810803497</v>
      </c>
      <c r="J24">
        <v>0.35193674592920698</v>
      </c>
      <c r="K24">
        <v>8.0345601348200096E-2</v>
      </c>
      <c r="L24">
        <v>3.7448321376143394E-5</v>
      </c>
      <c r="M24">
        <v>4.3487086013759497E-7</v>
      </c>
      <c r="N24" s="1">
        <v>1.61953777781897E-9</v>
      </c>
      <c r="O24" s="1">
        <v>1.9914547120411399E-13</v>
      </c>
      <c r="P24">
        <v>0</v>
      </c>
      <c r="R24">
        <v>8.2617177978951197</v>
      </c>
      <c r="S24">
        <v>1.82575401583315</v>
      </c>
      <c r="T24">
        <v>51.488246839287697</v>
      </c>
      <c r="V24">
        <v>37.293129021415602</v>
      </c>
      <c r="X24">
        <v>1.13115232556836</v>
      </c>
      <c r="AJ24">
        <v>0</v>
      </c>
      <c r="AK24">
        <v>-2.2894272283455398E-2</v>
      </c>
      <c r="AL24">
        <v>0.72661639547052603</v>
      </c>
      <c r="AM24">
        <v>6.3248382733290295E-2</v>
      </c>
      <c r="AN24">
        <v>0.23302949407963899</v>
      </c>
    </row>
    <row r="25" spans="1:40" x14ac:dyDescent="0.2">
      <c r="A25">
        <v>133</v>
      </c>
      <c r="B25">
        <v>759</v>
      </c>
      <c r="C25">
        <v>160</v>
      </c>
      <c r="D25">
        <v>0.42669234122947503</v>
      </c>
      <c r="E25">
        <v>0.46280601475877498</v>
      </c>
      <c r="F25">
        <v>4.9214922778371202</v>
      </c>
      <c r="G25">
        <v>-3.1416159636680234</v>
      </c>
      <c r="H25">
        <v>-2.2906549906241684</v>
      </c>
      <c r="I25">
        <v>0.82445475274316204</v>
      </c>
      <c r="J25">
        <v>0.41128617219195301</v>
      </c>
      <c r="K25">
        <v>9.4037740715945506E-2</v>
      </c>
      <c r="L25">
        <v>3.5901883000806744E-5</v>
      </c>
      <c r="M25">
        <v>4.1766945467271572E-7</v>
      </c>
      <c r="N25" s="1">
        <v>1.8163855349520701E-9</v>
      </c>
      <c r="O25" s="1">
        <v>2.22938341224066E-13</v>
      </c>
      <c r="P25">
        <v>0</v>
      </c>
      <c r="R25">
        <v>9.4174114051678703</v>
      </c>
      <c r="S25">
        <v>1.7675114871548501</v>
      </c>
      <c r="T25">
        <v>49.339890063302398</v>
      </c>
      <c r="V25">
        <v>38.318560003567399</v>
      </c>
      <c r="X25">
        <v>1.15662704080735</v>
      </c>
      <c r="AJ25">
        <v>0</v>
      </c>
      <c r="AK25">
        <v>-2.5580635299741802E-2</v>
      </c>
      <c r="AL25">
        <v>0.69560821736773304</v>
      </c>
      <c r="AM25">
        <v>6.4608716185622098E-2</v>
      </c>
      <c r="AN25">
        <v>0.26536370174638502</v>
      </c>
    </row>
    <row r="26" spans="1:40" x14ac:dyDescent="0.2">
      <c r="A26">
        <v>134</v>
      </c>
      <c r="B26">
        <v>758</v>
      </c>
      <c r="C26">
        <v>160</v>
      </c>
      <c r="D26">
        <v>0.426068467245311</v>
      </c>
      <c r="E26">
        <v>0.477882532494247</v>
      </c>
      <c r="F26">
        <v>4.9218808269221102</v>
      </c>
      <c r="G26">
        <v>-3.2427940593323017</v>
      </c>
      <c r="H26">
        <v>-2.3654184069467488</v>
      </c>
      <c r="I26">
        <v>0.85087102010915205</v>
      </c>
      <c r="J26">
        <v>0.42469816453478898</v>
      </c>
      <c r="K26">
        <v>9.7093478956313803E-2</v>
      </c>
      <c r="L26">
        <v>3.5973389922332814E-5</v>
      </c>
      <c r="M26">
        <v>4.186628219839017E-7</v>
      </c>
      <c r="N26" s="1">
        <v>1.8803845438331099E-9</v>
      </c>
      <c r="O26" s="1">
        <v>2.3084452772406599E-13</v>
      </c>
      <c r="P26">
        <v>0</v>
      </c>
      <c r="R26">
        <v>9.3112660350639391</v>
      </c>
      <c r="S26">
        <v>1.8218928249111901</v>
      </c>
      <c r="T26">
        <v>49.4778516272929</v>
      </c>
      <c r="V26">
        <v>38.237868351520099</v>
      </c>
      <c r="X26">
        <v>1.15112116121173</v>
      </c>
      <c r="AJ26">
        <v>0</v>
      </c>
      <c r="AK26">
        <v>-2.4068568394002999E-2</v>
      </c>
      <c r="AL26">
        <v>0.69744524506287298</v>
      </c>
      <c r="AM26">
        <v>6.4291204918016806E-2</v>
      </c>
      <c r="AN26">
        <v>0.26233211841311199</v>
      </c>
    </row>
    <row r="27" spans="1:40" x14ac:dyDescent="0.2">
      <c r="A27">
        <v>151</v>
      </c>
      <c r="B27">
        <v>767</v>
      </c>
      <c r="C27">
        <v>140</v>
      </c>
      <c r="D27">
        <v>0.45279094361390498</v>
      </c>
      <c r="E27">
        <v>0.220820812531934</v>
      </c>
      <c r="F27">
        <v>4.94689400983947</v>
      </c>
      <c r="G27">
        <v>-1.4685759048638651</v>
      </c>
      <c r="H27">
        <v>-1.0603530514550259</v>
      </c>
      <c r="I27">
        <v>0.39246536884952998</v>
      </c>
      <c r="J27">
        <v>0.19594374277134999</v>
      </c>
      <c r="K27">
        <v>4.4638274459229701E-2</v>
      </c>
      <c r="L27">
        <v>3.8736725789858616E-5</v>
      </c>
      <c r="M27">
        <v>4.4635131721152486E-7</v>
      </c>
      <c r="N27" s="1">
        <v>9.3102240084076302E-10</v>
      </c>
      <c r="O27" s="1">
        <v>1.1532920790461101E-13</v>
      </c>
      <c r="P27">
        <v>0</v>
      </c>
      <c r="R27">
        <v>7.1180186780889203</v>
      </c>
      <c r="S27">
        <v>1.8732875948816099</v>
      </c>
      <c r="T27">
        <v>53.494817748038798</v>
      </c>
      <c r="V27">
        <v>36.651319515951997</v>
      </c>
      <c r="X27">
        <v>0.86255646303857603</v>
      </c>
      <c r="AJ27">
        <v>0</v>
      </c>
      <c r="AK27">
        <v>-6.8449036278696099E-3</v>
      </c>
      <c r="AL27">
        <v>0.757122673179765</v>
      </c>
      <c r="AM27">
        <v>4.8369691450288299E-2</v>
      </c>
      <c r="AN27">
        <v>0.20135253899781499</v>
      </c>
    </row>
    <row r="28" spans="1:40" x14ac:dyDescent="0.2">
      <c r="A28">
        <v>152</v>
      </c>
      <c r="B28">
        <v>766</v>
      </c>
      <c r="C28">
        <v>140</v>
      </c>
      <c r="D28">
        <v>0.45219698792282498</v>
      </c>
      <c r="E28">
        <v>0.38123420951890602</v>
      </c>
      <c r="F28">
        <v>4.9320375103157703</v>
      </c>
      <c r="G28">
        <v>-2.563744748414944</v>
      </c>
      <c r="H28">
        <v>-1.8577934038236716</v>
      </c>
      <c r="I28">
        <v>0.67935461154912302</v>
      </c>
      <c r="J28">
        <v>0.33876600997522599</v>
      </c>
      <c r="K28">
        <v>7.7297508123472802E-2</v>
      </c>
      <c r="L28">
        <v>3.7922715855904651E-5</v>
      </c>
      <c r="M28">
        <v>4.3921700004060889E-7</v>
      </c>
      <c r="N28" s="1">
        <v>1.57345366517173E-9</v>
      </c>
      <c r="O28" s="1">
        <v>1.9363508253262201E-13</v>
      </c>
      <c r="P28">
        <v>0</v>
      </c>
      <c r="R28">
        <v>7.9671656933408297</v>
      </c>
      <c r="S28">
        <v>1.8435814493323901</v>
      </c>
      <c r="T28">
        <v>52.024101345261997</v>
      </c>
      <c r="V28">
        <v>37.055666985520801</v>
      </c>
      <c r="X28">
        <v>1.10948452654379</v>
      </c>
      <c r="AJ28">
        <v>0</v>
      </c>
      <c r="AK28">
        <v>-2.1296178037626099E-2</v>
      </c>
      <c r="AL28">
        <v>0.73443701247044502</v>
      </c>
      <c r="AM28">
        <v>6.2058669691343403E-2</v>
      </c>
      <c r="AN28">
        <v>0.224800495875836</v>
      </c>
    </row>
    <row r="29" spans="1:40" x14ac:dyDescent="0.2">
      <c r="A29">
        <v>153</v>
      </c>
      <c r="B29">
        <v>765</v>
      </c>
      <c r="C29">
        <v>140</v>
      </c>
      <c r="D29">
        <v>0.45160188797380102</v>
      </c>
      <c r="E29">
        <v>0.45479188849110602</v>
      </c>
      <c r="F29">
        <v>4.9220237134576399</v>
      </c>
      <c r="G29">
        <v>-3.0862315607152055</v>
      </c>
      <c r="H29">
        <v>-2.2431883527613059</v>
      </c>
      <c r="I29">
        <v>0.81206300433838896</v>
      </c>
      <c r="J29">
        <v>0.40436528041405001</v>
      </c>
      <c r="K29">
        <v>9.2399369642943693E-2</v>
      </c>
      <c r="L29">
        <v>3.6591271845273366E-5</v>
      </c>
      <c r="M29">
        <v>4.2485622565097587E-7</v>
      </c>
      <c r="N29" s="1">
        <v>1.8129711216005399E-9</v>
      </c>
      <c r="O29" s="1">
        <v>2.22477573479321E-13</v>
      </c>
      <c r="P29">
        <v>0</v>
      </c>
      <c r="R29">
        <v>9.0119080213125393</v>
      </c>
      <c r="S29">
        <v>1.7936352942137499</v>
      </c>
      <c r="T29">
        <v>50.105561752668599</v>
      </c>
      <c r="V29">
        <v>37.906828766707001</v>
      </c>
      <c r="X29">
        <v>1.18206616509804</v>
      </c>
      <c r="AJ29">
        <v>0</v>
      </c>
      <c r="AK29">
        <v>-2.6426267074035399E-2</v>
      </c>
      <c r="AL29">
        <v>0.70644157347617598</v>
      </c>
      <c r="AM29">
        <v>6.6033352029866904E-2</v>
      </c>
      <c r="AN29">
        <v>0.25395134156799198</v>
      </c>
    </row>
    <row r="30" spans="1:40" x14ac:dyDescent="0.2">
      <c r="A30">
        <v>154</v>
      </c>
      <c r="B30">
        <v>764</v>
      </c>
      <c r="C30">
        <v>140</v>
      </c>
      <c r="D30">
        <v>0.45100564045702202</v>
      </c>
      <c r="E30">
        <v>0.48677576394663202</v>
      </c>
      <c r="F30">
        <v>4.9159151934902798</v>
      </c>
      <c r="G30">
        <v>-3.3212584658076567</v>
      </c>
      <c r="H30">
        <v>-2.4188962924343778</v>
      </c>
      <c r="I30">
        <v>0.87004018066169597</v>
      </c>
      <c r="J30">
        <v>0.43291677242161097</v>
      </c>
      <c r="K30">
        <v>9.9020374597028504E-2</v>
      </c>
      <c r="L30">
        <v>3.5767501021043052E-5</v>
      </c>
      <c r="M30">
        <v>4.1598808942637866E-7</v>
      </c>
      <c r="N30" s="1">
        <v>1.8984322043075802E-9</v>
      </c>
      <c r="O30" s="1">
        <v>2.3257771223591102E-13</v>
      </c>
      <c r="P30">
        <v>0</v>
      </c>
      <c r="R30">
        <v>9.6338322709116806</v>
      </c>
      <c r="S30">
        <v>1.7824247527456101</v>
      </c>
      <c r="T30">
        <v>48.938601417746298</v>
      </c>
      <c r="V30">
        <v>38.425607195923497</v>
      </c>
      <c r="X30">
        <v>1.2195343626727799</v>
      </c>
      <c r="AJ30">
        <v>0</v>
      </c>
      <c r="AK30">
        <v>-2.87431801729627E-2</v>
      </c>
      <c r="AL30">
        <v>0.68941979891642502</v>
      </c>
      <c r="AM30">
        <v>6.8070271559902307E-2</v>
      </c>
      <c r="AN30">
        <v>0.27125310969663502</v>
      </c>
    </row>
    <row r="31" spans="1:40" x14ac:dyDescent="0.2">
      <c r="A31">
        <v>175</v>
      </c>
      <c r="B31">
        <v>774</v>
      </c>
      <c r="C31">
        <v>120</v>
      </c>
      <c r="D31">
        <v>0.47792627608270499</v>
      </c>
      <c r="E31">
        <v>0.28722569252947</v>
      </c>
      <c r="F31">
        <v>4.9407108282736596</v>
      </c>
      <c r="G31">
        <v>-1.9203317933362598</v>
      </c>
      <c r="H31">
        <v>-1.3835264536761156</v>
      </c>
      <c r="I31">
        <v>0.51263461744749494</v>
      </c>
      <c r="J31">
        <v>0.25512940651645399</v>
      </c>
      <c r="K31">
        <v>5.8134487629957203E-2</v>
      </c>
      <c r="L31">
        <v>3.8873542060807473E-5</v>
      </c>
      <c r="M31">
        <v>4.4749835024633486E-7</v>
      </c>
      <c r="N31" s="1">
        <v>1.2106614230190901E-9</v>
      </c>
      <c r="O31" s="1">
        <v>1.4961849618128901E-13</v>
      </c>
      <c r="P31">
        <v>0</v>
      </c>
      <c r="R31">
        <v>7.2100471757837896</v>
      </c>
      <c r="S31">
        <v>1.8855442930770601</v>
      </c>
      <c r="T31">
        <v>53.354911843266997</v>
      </c>
      <c r="V31">
        <v>36.590365638670598</v>
      </c>
      <c r="X31">
        <v>0.95913104920146997</v>
      </c>
      <c r="AJ31">
        <v>0</v>
      </c>
      <c r="AK31">
        <v>-1.1978118906609599E-2</v>
      </c>
      <c r="AL31">
        <v>0.75446742026558899</v>
      </c>
      <c r="AM31">
        <v>5.37372302332072E-2</v>
      </c>
      <c r="AN31">
        <v>0.20377346840781299</v>
      </c>
    </row>
    <row r="32" spans="1:40" x14ac:dyDescent="0.2">
      <c r="A32">
        <v>176</v>
      </c>
      <c r="B32">
        <v>773</v>
      </c>
      <c r="C32">
        <v>120</v>
      </c>
      <c r="D32">
        <v>0.47736032117765198</v>
      </c>
      <c r="E32">
        <v>0.40353931106306901</v>
      </c>
      <c r="F32">
        <v>4.92773819464451</v>
      </c>
      <c r="G32">
        <v>-2.7239213833956146</v>
      </c>
      <c r="H32">
        <v>-1.9687985988938208</v>
      </c>
      <c r="I32">
        <v>0.72181119772670599</v>
      </c>
      <c r="J32">
        <v>0.35889666199714798</v>
      </c>
      <c r="K32">
        <v>8.1891386093043098E-2</v>
      </c>
      <c r="L32">
        <v>3.8208495488438972E-5</v>
      </c>
      <c r="M32">
        <v>4.4188204818076414E-7</v>
      </c>
      <c r="N32" s="1">
        <v>1.67171424952392E-9</v>
      </c>
      <c r="O32" s="1">
        <v>2.0538448707750099E-13</v>
      </c>
      <c r="P32">
        <v>0</v>
      </c>
      <c r="R32">
        <v>7.9181400505672199</v>
      </c>
      <c r="S32">
        <v>1.86616577771667</v>
      </c>
      <c r="T32">
        <v>52.130776766337199</v>
      </c>
      <c r="V32">
        <v>36.903911232833103</v>
      </c>
      <c r="X32">
        <v>1.1810061725457299</v>
      </c>
      <c r="AJ32">
        <v>0</v>
      </c>
      <c r="AK32">
        <v>-2.4781953632985802E-2</v>
      </c>
      <c r="AL32">
        <v>0.73548549430714105</v>
      </c>
      <c r="AM32">
        <v>6.6018146450434703E-2</v>
      </c>
      <c r="AN32">
        <v>0.223278312875409</v>
      </c>
    </row>
    <row r="33" spans="1:40" x14ac:dyDescent="0.2">
      <c r="A33">
        <v>177</v>
      </c>
      <c r="B33">
        <v>772</v>
      </c>
      <c r="C33">
        <v>120</v>
      </c>
      <c r="D33">
        <v>0.47679328326077502</v>
      </c>
      <c r="E33">
        <v>0.46204508373386</v>
      </c>
      <c r="F33">
        <v>4.9192968514320397</v>
      </c>
      <c r="G33">
        <v>-3.1438003926645068</v>
      </c>
      <c r="H33">
        <v>-2.2785313910028262</v>
      </c>
      <c r="I33">
        <v>0.82788977817699005</v>
      </c>
      <c r="J33">
        <v>0.41111787138595601</v>
      </c>
      <c r="K33">
        <v>9.3925025809197801E-2</v>
      </c>
      <c r="L33">
        <v>3.6939278058986697E-5</v>
      </c>
      <c r="M33">
        <v>4.2807254189319947E-7</v>
      </c>
      <c r="N33" s="1">
        <v>1.8524593493323199E-9</v>
      </c>
      <c r="O33" s="1">
        <v>2.2709469871287799E-13</v>
      </c>
      <c r="P33">
        <v>0</v>
      </c>
      <c r="R33">
        <v>8.8863403844977693</v>
      </c>
      <c r="S33">
        <v>1.8193493025655101</v>
      </c>
      <c r="T33">
        <v>50.342531346839301</v>
      </c>
      <c r="V33">
        <v>37.723681455250002</v>
      </c>
      <c r="X33">
        <v>1.22809751084727</v>
      </c>
      <c r="AJ33">
        <v>0</v>
      </c>
      <c r="AK33">
        <v>-2.8419355626289101E-2</v>
      </c>
      <c r="AL33">
        <v>0.70951979593918602</v>
      </c>
      <c r="AM33">
        <v>6.85793812811233E-2</v>
      </c>
      <c r="AN33">
        <v>0.25032017840597898</v>
      </c>
    </row>
    <row r="34" spans="1:40" x14ac:dyDescent="0.2">
      <c r="A34">
        <v>178</v>
      </c>
      <c r="B34">
        <v>771</v>
      </c>
      <c r="C34">
        <v>120</v>
      </c>
      <c r="D34">
        <v>0.47622515922041903</v>
      </c>
      <c r="E34">
        <v>0.49019882586725799</v>
      </c>
      <c r="F34">
        <v>4.9136910687792303</v>
      </c>
      <c r="G34">
        <v>-3.3521203692542043</v>
      </c>
      <c r="H34">
        <v>-2.4341827418035757</v>
      </c>
      <c r="I34">
        <v>0.87912429004513504</v>
      </c>
      <c r="J34">
        <v>0.43628065220901202</v>
      </c>
      <c r="K34">
        <v>9.9761832603172701E-2</v>
      </c>
      <c r="L34">
        <v>3.617624733878813E-5</v>
      </c>
      <c r="M34">
        <v>4.1990314356938573E-7</v>
      </c>
      <c r="N34" s="1">
        <v>1.9263192019291599E-9</v>
      </c>
      <c r="O34" s="1">
        <v>2.3577946536666401E-13</v>
      </c>
      <c r="P34">
        <v>0</v>
      </c>
      <c r="R34">
        <v>9.45967549978762</v>
      </c>
      <c r="S34">
        <v>1.8101747296744699</v>
      </c>
      <c r="T34">
        <v>49.265865685556903</v>
      </c>
      <c r="V34">
        <v>38.200742654985099</v>
      </c>
      <c r="X34">
        <v>1.2635414299957</v>
      </c>
      <c r="AJ34">
        <v>0</v>
      </c>
      <c r="AK34">
        <v>-3.05774815289626E-2</v>
      </c>
      <c r="AL34">
        <v>0.69380880728209504</v>
      </c>
      <c r="AM34">
        <v>7.0504107643812999E-2</v>
      </c>
      <c r="AN34">
        <v>0.26626456660305398</v>
      </c>
    </row>
    <row r="35" spans="1:40" x14ac:dyDescent="0.2">
      <c r="A35">
        <v>202</v>
      </c>
      <c r="B35">
        <v>784</v>
      </c>
      <c r="C35">
        <v>100</v>
      </c>
      <c r="D35">
        <v>0.50433760582698905</v>
      </c>
      <c r="E35">
        <v>0.17605633787068101</v>
      </c>
      <c r="F35">
        <v>4.9467972844612298</v>
      </c>
      <c r="G35">
        <v>-1.1722717585257978</v>
      </c>
      <c r="H35">
        <v>-0.83918507108454976</v>
      </c>
      <c r="I35">
        <v>0.31507987271555399</v>
      </c>
      <c r="J35">
        <v>0.1563630358017</v>
      </c>
      <c r="K35">
        <v>3.5589964121575203E-2</v>
      </c>
      <c r="L35">
        <v>3.9899216634035999E-5</v>
      </c>
      <c r="M35">
        <v>4.5640058795140694E-7</v>
      </c>
      <c r="N35" s="1">
        <v>7.5794115537857197E-10</v>
      </c>
      <c r="O35" s="1">
        <v>9.3956130273823302E-14</v>
      </c>
      <c r="P35">
        <v>0</v>
      </c>
      <c r="R35">
        <v>6.4629350114465902</v>
      </c>
      <c r="S35">
        <v>1.95037659701694</v>
      </c>
      <c r="T35">
        <v>54.662043580474297</v>
      </c>
      <c r="V35">
        <v>36.074141348436498</v>
      </c>
      <c r="X35">
        <v>0.85050346262559995</v>
      </c>
      <c r="AJ35">
        <v>0</v>
      </c>
      <c r="AK35">
        <v>-4.4615371338445099E-3</v>
      </c>
      <c r="AL35">
        <v>0.77387638539336001</v>
      </c>
      <c r="AM35">
        <v>4.7708203181076402E-2</v>
      </c>
      <c r="AN35">
        <v>0.182876948559407</v>
      </c>
    </row>
    <row r="36" spans="1:40" x14ac:dyDescent="0.2">
      <c r="A36">
        <v>203</v>
      </c>
      <c r="B36">
        <v>783</v>
      </c>
      <c r="C36">
        <v>100</v>
      </c>
      <c r="D36">
        <v>0.50380201675898495</v>
      </c>
      <c r="E36">
        <v>0.33298966759235998</v>
      </c>
      <c r="F36">
        <v>4.9343234917927603</v>
      </c>
      <c r="G36">
        <v>-2.2388160049532253</v>
      </c>
      <c r="H36">
        <v>-1.6079663209966215</v>
      </c>
      <c r="I36">
        <v>0.59731068878152105</v>
      </c>
      <c r="J36">
        <v>0.29612147837027403</v>
      </c>
      <c r="K36">
        <v>6.7484360955705605E-2</v>
      </c>
      <c r="L36">
        <v>3.9102799473847149E-5</v>
      </c>
      <c r="M36">
        <v>4.4920874934080831E-7</v>
      </c>
      <c r="N36" s="1">
        <v>1.40512170501751E-9</v>
      </c>
      <c r="O36" s="1">
        <v>1.73254678242326E-13</v>
      </c>
      <c r="P36">
        <v>0</v>
      </c>
      <c r="R36">
        <v>7.2523873841494302</v>
      </c>
      <c r="S36">
        <v>1.91285757176472</v>
      </c>
      <c r="T36">
        <v>53.292564438202398</v>
      </c>
      <c r="V36">
        <v>36.487674404243002</v>
      </c>
      <c r="X36">
        <v>1.05451620164033</v>
      </c>
      <c r="AJ36">
        <v>0</v>
      </c>
      <c r="AK36">
        <v>-1.6701991250337399E-2</v>
      </c>
      <c r="AL36">
        <v>0.75289319430611201</v>
      </c>
      <c r="AM36">
        <v>5.90270736137068E-2</v>
      </c>
      <c r="AN36">
        <v>0.204781723330518</v>
      </c>
    </row>
    <row r="37" spans="1:40" x14ac:dyDescent="0.2">
      <c r="A37">
        <v>204</v>
      </c>
      <c r="B37">
        <v>782</v>
      </c>
      <c r="C37">
        <v>100</v>
      </c>
      <c r="D37">
        <v>0.50326541250059598</v>
      </c>
      <c r="E37">
        <v>0.42030364354365801</v>
      </c>
      <c r="F37">
        <v>4.92296553216209</v>
      </c>
      <c r="G37">
        <v>-2.8493513138577264</v>
      </c>
      <c r="H37">
        <v>-2.0523779321599442</v>
      </c>
      <c r="I37">
        <v>0.75531761521848295</v>
      </c>
      <c r="J37">
        <v>0.37418839605811399</v>
      </c>
      <c r="K37">
        <v>8.5376109338524395E-2</v>
      </c>
      <c r="L37">
        <v>3.8552614723733789E-5</v>
      </c>
      <c r="M37">
        <v>4.4474324745297053E-7</v>
      </c>
      <c r="N37" s="1">
        <v>1.74854201734094E-9</v>
      </c>
      <c r="O37" s="1">
        <v>2.1446423127684401E-13</v>
      </c>
      <c r="P37">
        <v>0</v>
      </c>
      <c r="R37">
        <v>7.8481407173297697</v>
      </c>
      <c r="S37">
        <v>1.90102907104768</v>
      </c>
      <c r="T37">
        <v>52.264177711094902</v>
      </c>
      <c r="V37">
        <v>36.732863188952003</v>
      </c>
      <c r="X37">
        <v>1.2537893115755701</v>
      </c>
      <c r="AJ37">
        <v>0</v>
      </c>
      <c r="AK37">
        <v>-2.8061117823793402E-2</v>
      </c>
      <c r="AL37">
        <v>0.73686755069536802</v>
      </c>
      <c r="AM37">
        <v>7.0039190344100097E-2</v>
      </c>
      <c r="AN37">
        <v>0.22115437678432501</v>
      </c>
    </row>
    <row r="38" spans="1:40" x14ac:dyDescent="0.2">
      <c r="A38">
        <v>205</v>
      </c>
      <c r="B38">
        <v>781</v>
      </c>
      <c r="C38">
        <v>100</v>
      </c>
      <c r="D38">
        <v>0.50272779016268998</v>
      </c>
      <c r="E38">
        <v>0.46731825079324102</v>
      </c>
      <c r="F38">
        <v>4.9160036273413601</v>
      </c>
      <c r="G38">
        <v>-3.1900946758879281</v>
      </c>
      <c r="H38">
        <v>-2.3035180410604932</v>
      </c>
      <c r="I38">
        <v>0.84103461066018603</v>
      </c>
      <c r="J38">
        <v>0.41618724128981699</v>
      </c>
      <c r="K38">
        <v>9.5060599262814793E-2</v>
      </c>
      <c r="L38">
        <v>3.7355339297425778E-5</v>
      </c>
      <c r="M38">
        <v>4.31632102272449E-7</v>
      </c>
      <c r="N38" s="1">
        <v>1.8857917573200398E-9</v>
      </c>
      <c r="O38" s="1">
        <v>2.3092904482998901E-13</v>
      </c>
      <c r="P38">
        <v>0</v>
      </c>
      <c r="R38">
        <v>8.73614644871191</v>
      </c>
      <c r="S38">
        <v>1.85755961665101</v>
      </c>
      <c r="T38">
        <v>50.6148813805085</v>
      </c>
      <c r="V38">
        <v>37.512575066373699</v>
      </c>
      <c r="X38">
        <v>1.2788374877548101</v>
      </c>
      <c r="AJ38">
        <v>0</v>
      </c>
      <c r="AK38">
        <v>-3.0395616551933201E-2</v>
      </c>
      <c r="AL38">
        <v>0.71303661842737298</v>
      </c>
      <c r="AM38">
        <v>7.1380603068864901E-2</v>
      </c>
      <c r="AN38">
        <v>0.24597839505569399</v>
      </c>
    </row>
    <row r="39" spans="1:40" x14ac:dyDescent="0.2">
      <c r="A39">
        <v>206</v>
      </c>
      <c r="B39">
        <v>780</v>
      </c>
      <c r="C39">
        <v>100</v>
      </c>
      <c r="D39">
        <v>0.50218914684517901</v>
      </c>
      <c r="E39">
        <v>0.49242891686214002</v>
      </c>
      <c r="F39">
        <v>4.9108769516741102</v>
      </c>
      <c r="G39">
        <v>-3.3770651295285203</v>
      </c>
      <c r="H39">
        <v>-2.4429845417461071</v>
      </c>
      <c r="I39">
        <v>0.88693974057106095</v>
      </c>
      <c r="J39">
        <v>0.43866083668748501</v>
      </c>
      <c r="K39">
        <v>0.100273112461975</v>
      </c>
      <c r="L39">
        <v>3.6648931478285765E-5</v>
      </c>
      <c r="M39">
        <v>4.2412099309682181E-7</v>
      </c>
      <c r="N39" s="1">
        <v>1.9510573028031402E-9</v>
      </c>
      <c r="O39" s="1">
        <v>2.3856872439903499E-13</v>
      </c>
      <c r="P39">
        <v>0</v>
      </c>
      <c r="R39">
        <v>9.2640580576893097</v>
      </c>
      <c r="S39">
        <v>1.85004357920839</v>
      </c>
      <c r="T39">
        <v>49.622925800022401</v>
      </c>
      <c r="V39">
        <v>37.950564292165403</v>
      </c>
      <c r="X39">
        <v>1.31240827091441</v>
      </c>
      <c r="AJ39">
        <v>0</v>
      </c>
      <c r="AK39">
        <v>-3.2411793808446498E-2</v>
      </c>
      <c r="AL39">
        <v>0.698556635803945</v>
      </c>
      <c r="AM39">
        <v>7.32014119214454E-2</v>
      </c>
      <c r="AN39">
        <v>0.26065374608305503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660F-C558-4397-B5D1-C68B1FDAC7A0}">
  <sheetPr codeName="Sheet8"/>
  <dimension ref="A1:AP2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24</v>
      </c>
      <c r="B2">
        <v>734</v>
      </c>
      <c r="C2">
        <v>300</v>
      </c>
      <c r="D2">
        <v>0.25781710768008598</v>
      </c>
      <c r="E2">
        <v>0.16081008143928799</v>
      </c>
      <c r="F2">
        <v>3.59172810081775</v>
      </c>
      <c r="G2">
        <v>-2.0395635595567483</v>
      </c>
      <c r="H2">
        <v>-1.7340544292586839</v>
      </c>
      <c r="I2">
        <v>0.30334024752823702</v>
      </c>
      <c r="J2">
        <v>0.17923475301106701</v>
      </c>
      <c r="K2">
        <v>4.4772342706753197E-2</v>
      </c>
      <c r="L2">
        <v>4.4359261078011295E-5</v>
      </c>
      <c r="M2">
        <v>9.1537943076131467E-7</v>
      </c>
      <c r="N2" s="1">
        <v>2.52658021660322E-10</v>
      </c>
      <c r="O2" s="1">
        <v>4.3453523240169798E-14</v>
      </c>
      <c r="P2" s="1">
        <v>-3.1270937113019901E-13</v>
      </c>
      <c r="Q2">
        <v>49.656923387381198</v>
      </c>
      <c r="R2">
        <v>1.5765527615738299E-2</v>
      </c>
      <c r="S2">
        <v>2.1279987988925999</v>
      </c>
      <c r="T2">
        <v>0.55356963912608304</v>
      </c>
      <c r="V2">
        <v>32.580758811579202</v>
      </c>
      <c r="X2">
        <v>14.8632102758313</v>
      </c>
      <c r="AA2">
        <v>0.184608893566299</v>
      </c>
      <c r="AB2">
        <v>1.7164666007462401E-2</v>
      </c>
      <c r="AJ2">
        <v>-1.11540379937483</v>
      </c>
      <c r="AK2">
        <v>0.99095861308544797</v>
      </c>
      <c r="AL2">
        <v>1.0661142707191</v>
      </c>
      <c r="AM2">
        <v>4.0729548304848498E-2</v>
      </c>
      <c r="AN2">
        <v>-3.9801766561570001E-2</v>
      </c>
      <c r="AO2">
        <v>5.6100960538971401E-2</v>
      </c>
      <c r="AP2">
        <v>1.3021732880277399E-3</v>
      </c>
    </row>
    <row r="3" spans="1:42" x14ac:dyDescent="0.2">
      <c r="A3">
        <v>25</v>
      </c>
      <c r="B3">
        <v>733</v>
      </c>
      <c r="C3">
        <v>300</v>
      </c>
      <c r="D3">
        <v>0.257009889181535</v>
      </c>
      <c r="E3">
        <v>0.219521917847147</v>
      </c>
      <c r="F3">
        <v>3.59410535671765</v>
      </c>
      <c r="G3">
        <v>-2.7815604121404638</v>
      </c>
      <c r="H3">
        <v>-2.3652487760985084</v>
      </c>
      <c r="I3">
        <v>0.41376696918148997</v>
      </c>
      <c r="J3">
        <v>0.244556424416662</v>
      </c>
      <c r="K3">
        <v>6.1078320210297798E-2</v>
      </c>
      <c r="L3">
        <v>4.4325244023659528E-5</v>
      </c>
      <c r="M3">
        <v>9.1540619465965674E-7</v>
      </c>
      <c r="N3" s="1">
        <v>3.5629202456141803E-10</v>
      </c>
      <c r="O3" s="1">
        <v>5.9342920493164505E-14</v>
      </c>
      <c r="P3" s="1">
        <v>-5.1531618959061296E-13</v>
      </c>
      <c r="Q3">
        <v>49.559666191189002</v>
      </c>
      <c r="R3">
        <v>1.6067907928954499E-2</v>
      </c>
      <c r="S3">
        <v>2.2407941300141001</v>
      </c>
      <c r="T3">
        <v>0.56767197994337004</v>
      </c>
      <c r="V3">
        <v>32.666545027259097</v>
      </c>
      <c r="X3">
        <v>14.7586528260456</v>
      </c>
      <c r="AA3">
        <v>0.17376938450655</v>
      </c>
      <c r="AB3">
        <v>1.6832553113112301E-2</v>
      </c>
      <c r="AJ3">
        <v>-1.1220425396293701</v>
      </c>
      <c r="AK3">
        <v>0.99143404618769704</v>
      </c>
      <c r="AL3">
        <v>1.06944305010709</v>
      </c>
      <c r="AM3">
        <v>4.31652645044769E-2</v>
      </c>
      <c r="AN3">
        <v>-4.2219226585592601E-2</v>
      </c>
      <c r="AO3">
        <v>5.89418042030855E-2</v>
      </c>
      <c r="AP3">
        <v>1.2776012126068199E-3</v>
      </c>
    </row>
    <row r="4" spans="1:42" x14ac:dyDescent="0.2">
      <c r="A4">
        <v>46</v>
      </c>
      <c r="B4">
        <v>737</v>
      </c>
      <c r="C4">
        <v>280</v>
      </c>
      <c r="D4">
        <v>0.28200811760629901</v>
      </c>
      <c r="E4">
        <v>0.14496119676698699</v>
      </c>
      <c r="F4">
        <v>3.583926673353</v>
      </c>
      <c r="G4">
        <v>-1.8473429289518437</v>
      </c>
      <c r="H4">
        <v>-1.570365885677369</v>
      </c>
      <c r="I4">
        <v>0.27419397443396898</v>
      </c>
      <c r="J4">
        <v>0.16202049019986001</v>
      </c>
      <c r="K4">
        <v>4.0447590025988397E-2</v>
      </c>
      <c r="L4">
        <v>4.4414954031221385E-5</v>
      </c>
      <c r="M4">
        <v>9.1397049041248742E-7</v>
      </c>
      <c r="N4" s="1">
        <v>2.14679374623345E-10</v>
      </c>
      <c r="O4" s="1">
        <v>3.9733197961738198E-14</v>
      </c>
      <c r="P4" s="1">
        <v>-2.4057911245998702E-13</v>
      </c>
      <c r="Q4">
        <v>49.820569700110198</v>
      </c>
      <c r="R4">
        <v>1.5878569460209799E-2</v>
      </c>
      <c r="S4">
        <v>2.0529100284676498</v>
      </c>
      <c r="T4">
        <v>0.541365151677352</v>
      </c>
      <c r="V4">
        <v>32.167739807190998</v>
      </c>
      <c r="X4">
        <v>15.2178511407784</v>
      </c>
      <c r="AA4">
        <v>0.166582027682321</v>
      </c>
      <c r="AB4">
        <v>1.7103574632728401E-2</v>
      </c>
      <c r="AJ4">
        <v>-1.09826937435818</v>
      </c>
      <c r="AK4">
        <v>0.99173755503032701</v>
      </c>
      <c r="AL4">
        <v>1.0502375265164401</v>
      </c>
      <c r="AM4">
        <v>3.90955843747917E-2</v>
      </c>
      <c r="AN4">
        <v>-3.8163246968351598E-2</v>
      </c>
      <c r="AO4">
        <v>5.4067328181557801E-2</v>
      </c>
      <c r="AP4">
        <v>1.29462722342042E-3</v>
      </c>
    </row>
    <row r="5" spans="1:42" x14ac:dyDescent="0.2">
      <c r="A5">
        <v>47</v>
      </c>
      <c r="B5">
        <v>736</v>
      </c>
      <c r="C5">
        <v>280</v>
      </c>
      <c r="D5">
        <v>0.281227270475152</v>
      </c>
      <c r="E5">
        <v>0.20554855269908101</v>
      </c>
      <c r="F5">
        <v>3.5863249929580898</v>
      </c>
      <c r="G5">
        <v>-2.6169076260159487</v>
      </c>
      <c r="H5">
        <v>-2.2248651501628625</v>
      </c>
      <c r="I5">
        <v>0.38848781236990099</v>
      </c>
      <c r="J5">
        <v>0.22963621407927101</v>
      </c>
      <c r="K5">
        <v>5.7314535939348703E-2</v>
      </c>
      <c r="L5">
        <v>4.4388232319155364E-5</v>
      </c>
      <c r="M5">
        <v>9.1402049525369311E-7</v>
      </c>
      <c r="N5" s="1">
        <v>3.1444544481842001E-10</v>
      </c>
      <c r="O5" s="1">
        <v>5.6391006500975403E-14</v>
      </c>
      <c r="P5" s="1">
        <v>-4.2865809239098201E-13</v>
      </c>
      <c r="Q5">
        <v>49.724919090941498</v>
      </c>
      <c r="R5">
        <v>1.6184389504367E-2</v>
      </c>
      <c r="S5">
        <v>2.16277979964776</v>
      </c>
      <c r="T5">
        <v>0.55523062567623505</v>
      </c>
      <c r="V5">
        <v>32.256664679031303</v>
      </c>
      <c r="X5">
        <v>15.114575523638001</v>
      </c>
      <c r="AA5">
        <v>0.15282227701898499</v>
      </c>
      <c r="AB5">
        <v>1.68236145416591E-2</v>
      </c>
      <c r="AJ5">
        <v>-1.1050423988279101</v>
      </c>
      <c r="AK5">
        <v>0.99233052023073298</v>
      </c>
      <c r="AL5">
        <v>1.05365886222311</v>
      </c>
      <c r="AM5">
        <v>4.1459512753015702E-2</v>
      </c>
      <c r="AN5">
        <v>-4.05087511428101E-2</v>
      </c>
      <c r="AO5">
        <v>5.6828192251884603E-2</v>
      </c>
      <c r="AP5">
        <v>1.27406251198381E-3</v>
      </c>
    </row>
    <row r="6" spans="1:42" x14ac:dyDescent="0.2">
      <c r="A6">
        <v>65</v>
      </c>
      <c r="B6">
        <v>740</v>
      </c>
      <c r="C6">
        <v>260</v>
      </c>
      <c r="D6">
        <v>0.30605586537038199</v>
      </c>
      <c r="E6">
        <v>0.14865597951284101</v>
      </c>
      <c r="F6">
        <v>3.5760977752059402</v>
      </c>
      <c r="G6">
        <v>-1.9034094405327058</v>
      </c>
      <c r="H6">
        <v>-1.6177329298130609</v>
      </c>
      <c r="I6">
        <v>0.28196862332294798</v>
      </c>
      <c r="J6">
        <v>0.16656026548486499</v>
      </c>
      <c r="K6">
        <v>4.1569327478547503E-2</v>
      </c>
      <c r="L6">
        <v>4.4440143840284235E-5</v>
      </c>
      <c r="M6">
        <v>9.1260542975318779E-7</v>
      </c>
      <c r="N6" s="1">
        <v>2.0726394338980899E-10</v>
      </c>
      <c r="O6" s="1">
        <v>4.12590243396267E-14</v>
      </c>
      <c r="P6" s="1">
        <v>-1.7913237624592499E-13</v>
      </c>
      <c r="Q6">
        <v>49.978525409033303</v>
      </c>
      <c r="R6">
        <v>1.5986481664523499E-2</v>
      </c>
      <c r="S6">
        <v>1.9809671330640799</v>
      </c>
      <c r="T6">
        <v>0.53012803957778998</v>
      </c>
      <c r="V6">
        <v>31.751406153897399</v>
      </c>
      <c r="X6">
        <v>15.554405065722101</v>
      </c>
      <c r="AA6">
        <v>0.17174754920409299</v>
      </c>
      <c r="AB6">
        <v>1.6834167836581902E-2</v>
      </c>
      <c r="AJ6">
        <v>-1.0802987770819601</v>
      </c>
      <c r="AK6">
        <v>0.99156028092487603</v>
      </c>
      <c r="AL6">
        <v>1.03438986815649</v>
      </c>
      <c r="AM6">
        <v>3.7537080335263102E-2</v>
      </c>
      <c r="AN6">
        <v>-3.6600448447425799E-2</v>
      </c>
      <c r="AO6">
        <v>5.2140532867047597E-2</v>
      </c>
      <c r="AP6">
        <v>1.2714632457092199E-3</v>
      </c>
    </row>
    <row r="7" spans="1:42" x14ac:dyDescent="0.2">
      <c r="A7">
        <v>66</v>
      </c>
      <c r="B7">
        <v>739</v>
      </c>
      <c r="C7">
        <v>260</v>
      </c>
      <c r="D7">
        <v>0.30530109173541498</v>
      </c>
      <c r="E7">
        <v>0.19965003153116101</v>
      </c>
      <c r="F7">
        <v>3.5784281160889502</v>
      </c>
      <c r="G7">
        <v>-2.5538876951466101</v>
      </c>
      <c r="H7">
        <v>-2.1708928998441577</v>
      </c>
      <c r="I7">
        <v>0.37839726849029598</v>
      </c>
      <c r="J7">
        <v>0.22360015657144899</v>
      </c>
      <c r="K7">
        <v>5.5792662323860903E-2</v>
      </c>
      <c r="L7">
        <v>4.4419817340327346E-5</v>
      </c>
      <c r="M7">
        <v>9.1269639577719901E-7</v>
      </c>
      <c r="N7" s="1">
        <v>2.8668918902100898E-10</v>
      </c>
      <c r="O7" s="1">
        <v>5.54897986933192E-14</v>
      </c>
      <c r="P7" s="1">
        <v>-3.2219962044734999E-13</v>
      </c>
      <c r="Q7">
        <v>49.8871149836299</v>
      </c>
      <c r="R7">
        <v>1.6283236330755901E-2</v>
      </c>
      <c r="S7">
        <v>2.0845642650769198</v>
      </c>
      <c r="T7">
        <v>0.543291209467338</v>
      </c>
      <c r="V7">
        <v>31.8396703800863</v>
      </c>
      <c r="X7">
        <v>15.4538068792339</v>
      </c>
      <c r="AA7">
        <v>0.15870932177359101</v>
      </c>
      <c r="AB7">
        <v>1.6559724401170799E-2</v>
      </c>
      <c r="AJ7">
        <v>-1.0868360793926199</v>
      </c>
      <c r="AK7">
        <v>0.992121363752133</v>
      </c>
      <c r="AL7">
        <v>1.0377690390240699</v>
      </c>
      <c r="AM7">
        <v>3.9760652973178198E-2</v>
      </c>
      <c r="AN7">
        <v>-3.8806171234784199E-2</v>
      </c>
      <c r="AO7">
        <v>5.4739852610025397E-2</v>
      </c>
      <c r="AP7">
        <v>1.25134226800348E-3</v>
      </c>
    </row>
    <row r="8" spans="1:42" x14ac:dyDescent="0.2">
      <c r="A8">
        <v>81</v>
      </c>
      <c r="B8">
        <v>743</v>
      </c>
      <c r="C8">
        <v>240</v>
      </c>
      <c r="D8">
        <v>0.32996161983958999</v>
      </c>
      <c r="E8">
        <v>0.15508300465808</v>
      </c>
      <c r="F8">
        <v>3.5684972239882602</v>
      </c>
      <c r="G8">
        <v>-1.9949217237240764</v>
      </c>
      <c r="H8">
        <v>-1.6951830736073132</v>
      </c>
      <c r="I8">
        <v>0.29497480698397199</v>
      </c>
      <c r="J8">
        <v>0.174170192573113</v>
      </c>
      <c r="K8">
        <v>4.34589113914889E-2</v>
      </c>
      <c r="L8">
        <v>4.4447491194932422E-5</v>
      </c>
      <c r="M8">
        <v>9.1118788686355417E-7</v>
      </c>
      <c r="N8" s="1">
        <v>2.0545559653971999E-10</v>
      </c>
      <c r="O8" s="1">
        <v>4.3557885156606903E-14</v>
      </c>
      <c r="P8" s="1">
        <v>-1.22475510047998E-13</v>
      </c>
      <c r="Q8">
        <v>50.126658946242699</v>
      </c>
      <c r="R8">
        <v>1.61433960061102E-2</v>
      </c>
      <c r="S8">
        <v>1.9201928601937399</v>
      </c>
      <c r="T8">
        <v>0.52074066994289803</v>
      </c>
      <c r="V8">
        <v>31.3428749845075</v>
      </c>
      <c r="X8">
        <v>15.880369836217501</v>
      </c>
      <c r="AA8">
        <v>0.176466397583045</v>
      </c>
      <c r="AB8">
        <v>1.6552909306385099E-2</v>
      </c>
      <c r="AJ8">
        <v>-1.06301476016584</v>
      </c>
      <c r="AK8">
        <v>0.99140285484460999</v>
      </c>
      <c r="AL8">
        <v>1.0189140736353799</v>
      </c>
      <c r="AM8">
        <v>3.6217752450096098E-2</v>
      </c>
      <c r="AN8">
        <v>-3.5273934176335002E-2</v>
      </c>
      <c r="AO8">
        <v>5.05064462665685E-2</v>
      </c>
      <c r="AP8">
        <v>1.2475671455162401E-3</v>
      </c>
    </row>
    <row r="9" spans="1:42" x14ac:dyDescent="0.2">
      <c r="A9">
        <v>82</v>
      </c>
      <c r="B9">
        <v>742</v>
      </c>
      <c r="C9">
        <v>240</v>
      </c>
      <c r="D9">
        <v>0.32923262572033701</v>
      </c>
      <c r="E9">
        <v>0.19569921467298701</v>
      </c>
      <c r="F9">
        <v>3.5707343822346802</v>
      </c>
      <c r="G9">
        <v>-2.515031122117839</v>
      </c>
      <c r="H9">
        <v>-2.137454972124917</v>
      </c>
      <c r="I9">
        <v>0.37194124020383401</v>
      </c>
      <c r="J9">
        <v>0.219695065908</v>
      </c>
      <c r="K9">
        <v>5.4806432997828503E-2</v>
      </c>
      <c r="L9">
        <v>4.4433043482587383E-5</v>
      </c>
      <c r="M9">
        <v>9.1131400194869864E-7</v>
      </c>
      <c r="N9" s="1">
        <v>2.6604989431092999E-10</v>
      </c>
      <c r="O9" s="1">
        <v>5.5065256701117202E-14</v>
      </c>
      <c r="P9" s="1">
        <v>-2.3039915987545202E-13</v>
      </c>
      <c r="Q9">
        <v>50.040280171521196</v>
      </c>
      <c r="R9">
        <v>1.64287117376768E-2</v>
      </c>
      <c r="S9">
        <v>2.0169629263964399</v>
      </c>
      <c r="T9">
        <v>0.53306104702595203</v>
      </c>
      <c r="V9">
        <v>31.429105597053798</v>
      </c>
      <c r="X9">
        <v>15.7837670553804</v>
      </c>
      <c r="AA9">
        <v>0.164105136777904</v>
      </c>
      <c r="AB9">
        <v>1.6289354106527001E-2</v>
      </c>
      <c r="AJ9">
        <v>-1.06925193756862</v>
      </c>
      <c r="AK9">
        <v>0.99193374622648001</v>
      </c>
      <c r="AL9">
        <v>1.02219906528325</v>
      </c>
      <c r="AM9">
        <v>3.8290588368690502E-2</v>
      </c>
      <c r="AN9">
        <v>-3.73296363185978E-2</v>
      </c>
      <c r="AO9">
        <v>5.2929891733523297E-2</v>
      </c>
      <c r="AP9">
        <v>1.22828227527905E-3</v>
      </c>
    </row>
    <row r="10" spans="1:42" x14ac:dyDescent="0.2">
      <c r="A10">
        <v>93</v>
      </c>
      <c r="B10">
        <v>747</v>
      </c>
      <c r="C10">
        <v>220</v>
      </c>
      <c r="D10">
        <v>0.35442876047640198</v>
      </c>
      <c r="E10">
        <v>8.6837732769318596E-2</v>
      </c>
      <c r="F10">
        <v>3.5578038965019099</v>
      </c>
      <c r="G10">
        <v>-1.1239281104051091</v>
      </c>
      <c r="H10">
        <v>-0.95481173333308478</v>
      </c>
      <c r="I10">
        <v>0.16577599085627001</v>
      </c>
      <c r="J10">
        <v>9.7816314875208907E-2</v>
      </c>
      <c r="K10">
        <v>2.4407678246318901E-2</v>
      </c>
      <c r="L10">
        <v>4.4441860547894781E-5</v>
      </c>
      <c r="M10">
        <v>9.0928903966865413E-7</v>
      </c>
      <c r="N10" s="1">
        <v>1.07694866593693E-10</v>
      </c>
      <c r="O10" s="1">
        <v>2.46611376284743E-14</v>
      </c>
      <c r="P10" s="1">
        <v>-1.5981502582385999E-15</v>
      </c>
      <c r="Q10">
        <v>50.372719551911302</v>
      </c>
      <c r="R10">
        <v>1.64181638886573E-2</v>
      </c>
      <c r="S10">
        <v>1.77241627204616</v>
      </c>
      <c r="T10">
        <v>0.49734228589249302</v>
      </c>
      <c r="V10">
        <v>30.7840224726183</v>
      </c>
      <c r="X10">
        <v>16.346189760788999</v>
      </c>
      <c r="AA10">
        <v>0.194319525382114</v>
      </c>
      <c r="AB10">
        <v>1.6571967471884299E-2</v>
      </c>
      <c r="AJ10">
        <v>-1.0373519978877299</v>
      </c>
      <c r="AK10">
        <v>0.99068508342574402</v>
      </c>
      <c r="AL10">
        <v>0.99783039710856503</v>
      </c>
      <c r="AM10">
        <v>3.3085474732775899E-2</v>
      </c>
      <c r="AN10">
        <v>-3.2128389313998397E-2</v>
      </c>
      <c r="AO10">
        <v>4.66340679622224E-2</v>
      </c>
      <c r="AP10">
        <v>1.24536397242203E-3</v>
      </c>
    </row>
    <row r="11" spans="1:42" x14ac:dyDescent="0.2">
      <c r="A11">
        <v>94</v>
      </c>
      <c r="B11">
        <v>746</v>
      </c>
      <c r="C11">
        <v>220</v>
      </c>
      <c r="D11">
        <v>0.35372663494088302</v>
      </c>
      <c r="E11">
        <v>0.16513759911107101</v>
      </c>
      <c r="F11">
        <v>3.5612507253918801</v>
      </c>
      <c r="G11">
        <v>-2.1338161989434581</v>
      </c>
      <c r="H11">
        <v>-1.8128254564213178</v>
      </c>
      <c r="I11">
        <v>0.31495927245463301</v>
      </c>
      <c r="J11">
        <v>0.185875671359578</v>
      </c>
      <c r="K11">
        <v>4.6370674755818901E-2</v>
      </c>
      <c r="L11">
        <v>4.4438253459556027E-5</v>
      </c>
      <c r="M11">
        <v>9.0972948616951847E-7</v>
      </c>
      <c r="N11" s="1">
        <v>2.1029244888733701E-10</v>
      </c>
      <c r="O11" s="1">
        <v>4.6921437954404203E-14</v>
      </c>
      <c r="P11" s="1">
        <v>-7.2407087618800005E-14</v>
      </c>
      <c r="Q11">
        <v>50.259665139439903</v>
      </c>
      <c r="R11">
        <v>1.637871649037E-2</v>
      </c>
      <c r="S11">
        <v>1.8764795929762601</v>
      </c>
      <c r="T11">
        <v>0.514107549603805</v>
      </c>
      <c r="V11">
        <v>30.94727451648</v>
      </c>
      <c r="X11">
        <v>16.190011986168599</v>
      </c>
      <c r="AA11">
        <v>0.17983809741572099</v>
      </c>
      <c r="AB11">
        <v>1.6244401425297698E-2</v>
      </c>
      <c r="AJ11">
        <v>-1.0467931319774999</v>
      </c>
      <c r="AK11">
        <v>0.99130346634335698</v>
      </c>
      <c r="AL11">
        <v>1.0040002431234201</v>
      </c>
      <c r="AM11">
        <v>3.5259817682004799E-2</v>
      </c>
      <c r="AN11">
        <v>-3.43041959293083E-2</v>
      </c>
      <c r="AO11">
        <v>4.9311984254991503E-2</v>
      </c>
      <c r="AP11">
        <v>1.2218165030330301E-3</v>
      </c>
    </row>
    <row r="12" spans="1:42" x14ac:dyDescent="0.2">
      <c r="A12">
        <v>95</v>
      </c>
      <c r="B12">
        <v>745</v>
      </c>
      <c r="C12">
        <v>220</v>
      </c>
      <c r="D12">
        <v>0.35302313018710402</v>
      </c>
      <c r="E12">
        <v>0.194705488264588</v>
      </c>
      <c r="F12">
        <v>3.5633630391228999</v>
      </c>
      <c r="G12">
        <v>-2.5136168419940814</v>
      </c>
      <c r="H12">
        <v>-2.1358111160394246</v>
      </c>
      <c r="I12">
        <v>0.37107079109625801</v>
      </c>
      <c r="J12">
        <v>0.219071822285479</v>
      </c>
      <c r="K12">
        <v>5.46409350175317E-2</v>
      </c>
      <c r="L12">
        <v>4.4428877204035622E-5</v>
      </c>
      <c r="M12">
        <v>9.0988213975169121E-7</v>
      </c>
      <c r="N12" s="1">
        <v>2.5340415260838802E-10</v>
      </c>
      <c r="O12" s="1">
        <v>5.5440435405205099E-14</v>
      </c>
      <c r="P12" s="1">
        <v>-1.55884566611151E-13</v>
      </c>
      <c r="Q12">
        <v>50.179259584792803</v>
      </c>
      <c r="R12">
        <v>1.6649480814817302E-2</v>
      </c>
      <c r="S12">
        <v>1.9657991794452401</v>
      </c>
      <c r="T12">
        <v>0.52541099495343102</v>
      </c>
      <c r="V12">
        <v>31.0297003838302</v>
      </c>
      <c r="X12">
        <v>16.098971885203799</v>
      </c>
      <c r="AA12">
        <v>0.168210868998138</v>
      </c>
      <c r="AB12">
        <v>1.5997621961519898E-2</v>
      </c>
      <c r="AJ12">
        <v>-1.05264565794684</v>
      </c>
      <c r="AK12">
        <v>0.99180162773151204</v>
      </c>
      <c r="AL12">
        <v>1.00712509260715</v>
      </c>
      <c r="AM12">
        <v>3.7170518195983403E-2</v>
      </c>
      <c r="AN12">
        <v>-3.6198663627332997E-2</v>
      </c>
      <c r="AO12">
        <v>5.1543289169824598E-2</v>
      </c>
      <c r="AP12">
        <v>1.2037938696972299E-3</v>
      </c>
    </row>
    <row r="13" spans="1:42" x14ac:dyDescent="0.2">
      <c r="A13">
        <v>103</v>
      </c>
      <c r="B13">
        <v>751</v>
      </c>
      <c r="C13">
        <v>200</v>
      </c>
      <c r="D13">
        <v>0.378704779573308</v>
      </c>
      <c r="E13">
        <v>4.3113491468297002E-2</v>
      </c>
      <c r="F13">
        <v>3.5540428787510399</v>
      </c>
      <c r="G13">
        <v>-0.55924863113895895</v>
      </c>
      <c r="H13">
        <v>-0.47472413603292757</v>
      </c>
      <c r="I13">
        <v>8.2531362696901103E-2</v>
      </c>
      <c r="J13">
        <v>4.8612669306720001E-2</v>
      </c>
      <c r="K13">
        <v>1.2130830420213699E-2</v>
      </c>
      <c r="L13">
        <v>4.4439877187960092E-5</v>
      </c>
      <c r="M13">
        <v>9.0874728798193987E-7</v>
      </c>
      <c r="N13" s="1">
        <v>5.2139364150153497E-11</v>
      </c>
      <c r="O13" s="1">
        <v>1.2237128149461799E-14</v>
      </c>
      <c r="P13" s="1">
        <v>1.9685213564936798E-14</v>
      </c>
      <c r="Q13">
        <v>50.447126956740398</v>
      </c>
      <c r="R13">
        <v>1.49412678769139E-2</v>
      </c>
      <c r="S13">
        <v>1.7056594092417601</v>
      </c>
      <c r="T13">
        <v>0.50159259148758895</v>
      </c>
      <c r="V13">
        <v>30.642073671181802</v>
      </c>
      <c r="X13">
        <v>16.470107755789599</v>
      </c>
      <c r="AA13">
        <v>0.202238372769451</v>
      </c>
      <c r="AB13">
        <v>1.62599749123951E-2</v>
      </c>
      <c r="AJ13">
        <v>-1.03021200890079</v>
      </c>
      <c r="AK13">
        <v>0.99038636241250499</v>
      </c>
      <c r="AL13">
        <v>0.992539521883545</v>
      </c>
      <c r="AM13">
        <v>3.1445570104063097E-2</v>
      </c>
      <c r="AN13">
        <v>-3.0575184178919201E-2</v>
      </c>
      <c r="AO13">
        <v>4.5194669159020803E-2</v>
      </c>
      <c r="AP13">
        <v>1.2210695205767601E-3</v>
      </c>
    </row>
    <row r="14" spans="1:42" x14ac:dyDescent="0.2">
      <c r="A14">
        <v>104</v>
      </c>
      <c r="B14">
        <v>750</v>
      </c>
      <c r="C14">
        <v>200</v>
      </c>
      <c r="D14">
        <v>0.37802912573913899</v>
      </c>
      <c r="E14">
        <v>0.13921015987673799</v>
      </c>
      <c r="F14">
        <v>3.5523401138680999</v>
      </c>
      <c r="G14">
        <v>-1.8082256447383993</v>
      </c>
      <c r="H14">
        <v>-1.535630614646859</v>
      </c>
      <c r="I14">
        <v>0.266427239497181</v>
      </c>
      <c r="J14">
        <v>0.15708252500746001</v>
      </c>
      <c r="K14">
        <v>3.9188297126525301E-2</v>
      </c>
      <c r="L14">
        <v>4.4418027498530058E-5</v>
      </c>
      <c r="M14">
        <v>9.0804552919212615E-7</v>
      </c>
      <c r="N14" s="1">
        <v>1.69538172681145E-10</v>
      </c>
      <c r="O14" s="1">
        <v>3.9910155458741897E-14</v>
      </c>
      <c r="P14" s="1">
        <v>2.53251863159143E-14</v>
      </c>
      <c r="Q14">
        <v>50.4519549900754</v>
      </c>
      <c r="R14">
        <v>1.6454672449097599E-2</v>
      </c>
      <c r="S14">
        <v>1.7690856193419799</v>
      </c>
      <c r="T14">
        <v>0.49980830922471903</v>
      </c>
      <c r="V14">
        <v>30.483522885376502</v>
      </c>
      <c r="X14">
        <v>16.569894516124901</v>
      </c>
      <c r="AA14">
        <v>0.19313319380074401</v>
      </c>
      <c r="AB14">
        <v>1.6145813606516599E-2</v>
      </c>
      <c r="AJ14">
        <v>-1.0260740898295599</v>
      </c>
      <c r="AK14">
        <v>0.99078042442715197</v>
      </c>
      <c r="AL14">
        <v>0.98658643847011795</v>
      </c>
      <c r="AM14">
        <v>3.2940313625897603E-2</v>
      </c>
      <c r="AN14">
        <v>-3.1982559617770703E-2</v>
      </c>
      <c r="AO14">
        <v>4.6537980274878599E-2</v>
      </c>
      <c r="AP14">
        <v>1.2114926492893001E-3</v>
      </c>
    </row>
    <row r="15" spans="1:42" x14ac:dyDescent="0.2">
      <c r="A15">
        <v>105</v>
      </c>
      <c r="B15">
        <v>749</v>
      </c>
      <c r="C15">
        <v>200</v>
      </c>
      <c r="D15">
        <v>0.37735214988015597</v>
      </c>
      <c r="E15">
        <v>0.176920234035915</v>
      </c>
      <c r="F15">
        <v>3.55447589903202</v>
      </c>
      <c r="G15">
        <v>-2.2959194117204689</v>
      </c>
      <c r="H15">
        <v>-1.9500840128498667</v>
      </c>
      <c r="I15">
        <v>0.33834114256283498</v>
      </c>
      <c r="J15">
        <v>0.19955616613687399</v>
      </c>
      <c r="K15">
        <v>4.9773929845492997E-2</v>
      </c>
      <c r="L15">
        <v>4.4414637666894174E-5</v>
      </c>
      <c r="M15">
        <v>9.0824861396905556E-7</v>
      </c>
      <c r="N15" s="1">
        <v>2.19305468510162E-10</v>
      </c>
      <c r="O15" s="1">
        <v>5.0855875840166603E-14</v>
      </c>
      <c r="P15" s="1">
        <v>-3.0456821088902101E-14</v>
      </c>
      <c r="Q15">
        <v>50.372583422863201</v>
      </c>
      <c r="R15">
        <v>1.6725938726563298E-2</v>
      </c>
      <c r="S15">
        <v>1.8553110445033301</v>
      </c>
      <c r="T15">
        <v>0.51106524774874396</v>
      </c>
      <c r="V15">
        <v>30.569515026499602</v>
      </c>
      <c r="X15">
        <v>16.477960921539601</v>
      </c>
      <c r="AA15">
        <v>0.180942576648639</v>
      </c>
      <c r="AB15">
        <v>1.5895821470237999E-2</v>
      </c>
      <c r="AJ15">
        <v>-1.03198709207592</v>
      </c>
      <c r="AK15">
        <v>0.991300635177227</v>
      </c>
      <c r="AL15">
        <v>0.98982688789791395</v>
      </c>
      <c r="AM15">
        <v>3.4776157744808703E-2</v>
      </c>
      <c r="AN15">
        <v>-3.3802164487574601E-2</v>
      </c>
      <c r="AO15">
        <v>4.8692289764817098E-2</v>
      </c>
      <c r="AP15">
        <v>1.19328597872979E-3</v>
      </c>
    </row>
    <row r="16" spans="1:42" x14ac:dyDescent="0.2">
      <c r="A16">
        <v>116</v>
      </c>
      <c r="B16">
        <v>755</v>
      </c>
      <c r="C16">
        <v>180</v>
      </c>
      <c r="D16">
        <v>0.40279190779555302</v>
      </c>
      <c r="E16">
        <v>5.8147109973739702E-2</v>
      </c>
      <c r="F16">
        <v>3.5463202583088802</v>
      </c>
      <c r="G16">
        <v>-0.75784841345445386</v>
      </c>
      <c r="H16">
        <v>-0.64302359223665073</v>
      </c>
      <c r="I16">
        <v>0.111681001038567</v>
      </c>
      <c r="J16">
        <v>6.5712536889986795E-2</v>
      </c>
      <c r="K16">
        <v>1.6396463302349298E-2</v>
      </c>
      <c r="L16">
        <v>4.4405782914676577E-5</v>
      </c>
      <c r="M16">
        <v>9.0709121258482337E-7</v>
      </c>
      <c r="N16" s="1">
        <v>6.8640887103247E-11</v>
      </c>
      <c r="O16" s="1">
        <v>1.6648731469550299E-14</v>
      </c>
      <c r="P16" s="1">
        <v>5.1996217596386902E-14</v>
      </c>
      <c r="Q16">
        <v>50.591796875412797</v>
      </c>
      <c r="R16">
        <v>1.5136858739780001E-2</v>
      </c>
      <c r="S16">
        <v>1.6493116364351901</v>
      </c>
      <c r="T16">
        <v>0.49517021759323998</v>
      </c>
      <c r="V16">
        <v>30.228156735078599</v>
      </c>
      <c r="X16">
        <v>16.794541406987801</v>
      </c>
      <c r="AA16">
        <v>0.20983948322730001</v>
      </c>
      <c r="AB16">
        <v>1.6046786525214501E-2</v>
      </c>
      <c r="AJ16">
        <v>-1.01297703362903</v>
      </c>
      <c r="AK16">
        <v>0.99010789668965304</v>
      </c>
      <c r="AL16">
        <v>0.97706206969843801</v>
      </c>
      <c r="AM16">
        <v>3.0202770725285401E-2</v>
      </c>
      <c r="AN16">
        <v>-2.9322855165679299E-2</v>
      </c>
      <c r="AO16">
        <v>4.3724639659555802E-2</v>
      </c>
      <c r="AP16">
        <v>1.2025120217762401E-3</v>
      </c>
    </row>
    <row r="17" spans="1:42" x14ac:dyDescent="0.2">
      <c r="A17">
        <v>117</v>
      </c>
      <c r="B17">
        <v>754</v>
      </c>
      <c r="C17">
        <v>180</v>
      </c>
      <c r="D17">
        <v>0.402142335588766</v>
      </c>
      <c r="E17">
        <v>0.13460526513783799</v>
      </c>
      <c r="F17">
        <v>3.5443103376138301</v>
      </c>
      <c r="G17">
        <v>-1.7569889270749213</v>
      </c>
      <c r="H17">
        <v>-1.4914876734082869</v>
      </c>
      <c r="I17">
        <v>0.25848342858066897</v>
      </c>
      <c r="J17">
        <v>0.15223686920208801</v>
      </c>
      <c r="K17">
        <v>3.7977844013642403E-2</v>
      </c>
      <c r="L17">
        <v>4.437892525375032E-5</v>
      </c>
      <c r="M17">
        <v>9.0633035733773884E-7</v>
      </c>
      <c r="N17" s="1">
        <v>1.6012525384526701E-10</v>
      </c>
      <c r="O17" s="1">
        <v>3.8939782960271498E-14</v>
      </c>
      <c r="P17" s="1">
        <v>8.6348420601598996E-14</v>
      </c>
      <c r="Q17">
        <v>50.6062867741744</v>
      </c>
      <c r="R17">
        <v>1.6715436267449299E-2</v>
      </c>
      <c r="S17">
        <v>1.70482216490933</v>
      </c>
      <c r="T17">
        <v>0.49211030302315101</v>
      </c>
      <c r="V17">
        <v>30.052977714725699</v>
      </c>
      <c r="X17">
        <v>16.9093790353499</v>
      </c>
      <c r="AA17">
        <v>0.201753294467795</v>
      </c>
      <c r="AB17">
        <v>1.59552770820795E-2</v>
      </c>
      <c r="AJ17">
        <v>-1.00799682178932</v>
      </c>
      <c r="AK17">
        <v>0.99045833527883698</v>
      </c>
      <c r="AL17">
        <v>0.970512157926813</v>
      </c>
      <c r="AM17">
        <v>3.1532056539721999E-2</v>
      </c>
      <c r="AN17">
        <v>-3.0561265100648102E-2</v>
      </c>
      <c r="AO17">
        <v>4.4860975173818797E-2</v>
      </c>
      <c r="AP17">
        <v>1.1945619707770601E-3</v>
      </c>
    </row>
    <row r="18" spans="1:42" x14ac:dyDescent="0.2">
      <c r="A18">
        <v>118</v>
      </c>
      <c r="B18">
        <v>753</v>
      </c>
      <c r="C18">
        <v>180</v>
      </c>
      <c r="D18">
        <v>0.401491497344444</v>
      </c>
      <c r="E18">
        <v>0.16919829940289699</v>
      </c>
      <c r="F18">
        <v>3.5463737004176901</v>
      </c>
      <c r="G18">
        <v>-2.2065198536650885</v>
      </c>
      <c r="H18">
        <v>-1.8733614158065948</v>
      </c>
      <c r="I18">
        <v>0.32466836023826301</v>
      </c>
      <c r="J18">
        <v>0.191288840840494</v>
      </c>
      <c r="K18">
        <v>4.7710228446305201E-2</v>
      </c>
      <c r="L18">
        <v>4.4380131181707876E-5</v>
      </c>
      <c r="M18">
        <v>9.0656599642048455E-7</v>
      </c>
      <c r="N18" s="1">
        <v>2.0392272493887E-10</v>
      </c>
      <c r="O18" s="1">
        <v>4.9093606551643599E-14</v>
      </c>
      <c r="P18" s="1">
        <v>5.2267047138132601E-14</v>
      </c>
      <c r="Q18">
        <v>50.530996486756798</v>
      </c>
      <c r="R18">
        <v>1.6977638169220301E-2</v>
      </c>
      <c r="S18">
        <v>1.7854415737498801</v>
      </c>
      <c r="T18">
        <v>0.50274554546486705</v>
      </c>
      <c r="V18">
        <v>30.1375865416822</v>
      </c>
      <c r="X18">
        <v>16.820814122602599</v>
      </c>
      <c r="AA18">
        <v>0.18972313980205199</v>
      </c>
      <c r="AB18">
        <v>1.5714951772306002E-2</v>
      </c>
      <c r="AJ18">
        <v>-1.0136895174992799</v>
      </c>
      <c r="AK18">
        <v>0.99096997856102598</v>
      </c>
      <c r="AL18">
        <v>0.97368344445742605</v>
      </c>
      <c r="AM18">
        <v>3.3243657280993599E-2</v>
      </c>
      <c r="AN18">
        <v>-3.22571930562566E-2</v>
      </c>
      <c r="AO18">
        <v>4.68725306050808E-2</v>
      </c>
      <c r="AP18">
        <v>1.1770996510085E-3</v>
      </c>
    </row>
    <row r="19" spans="1:42" x14ac:dyDescent="0.2">
      <c r="A19">
        <v>133</v>
      </c>
      <c r="B19">
        <v>759</v>
      </c>
      <c r="C19">
        <v>160</v>
      </c>
      <c r="D19">
        <v>0.42669234122947503</v>
      </c>
      <c r="E19">
        <v>0.11043099440984699</v>
      </c>
      <c r="F19">
        <v>3.5355558177089099</v>
      </c>
      <c r="G19">
        <v>-1.4490406740043671</v>
      </c>
      <c r="H19">
        <v>-1.2292875397507084</v>
      </c>
      <c r="I19">
        <v>0.21290813762888999</v>
      </c>
      <c r="J19">
        <v>0.12519915144055899</v>
      </c>
      <c r="K19">
        <v>3.1234408422211798E-2</v>
      </c>
      <c r="L19">
        <v>4.4324207295390215E-5</v>
      </c>
      <c r="M19">
        <v>9.0442818703573361E-7</v>
      </c>
      <c r="N19" s="1">
        <v>1.29584591726956E-10</v>
      </c>
      <c r="O19" s="1">
        <v>3.2149796519554798E-14</v>
      </c>
      <c r="P19" s="1">
        <v>1.3518997949709401E-13</v>
      </c>
      <c r="Q19">
        <v>50.7825066607368</v>
      </c>
      <c r="R19">
        <v>1.6903795497383901E-2</v>
      </c>
      <c r="S19">
        <v>1.61668575655539</v>
      </c>
      <c r="T19">
        <v>0.48287124778292401</v>
      </c>
      <c r="V19">
        <v>29.5942403326254</v>
      </c>
      <c r="X19">
        <v>17.2751772679764</v>
      </c>
      <c r="AA19">
        <v>0.215737938342772</v>
      </c>
      <c r="AB19">
        <v>1.5877000482806401E-2</v>
      </c>
      <c r="AJ19">
        <v>-0.98816363545568997</v>
      </c>
      <c r="AK19">
        <v>0.98990919056841997</v>
      </c>
      <c r="AL19">
        <v>0.95347003068139102</v>
      </c>
      <c r="AM19">
        <v>2.9599951691298001E-2</v>
      </c>
      <c r="AN19">
        <v>-2.86205094475885E-2</v>
      </c>
      <c r="AO19">
        <v>4.2619041644590398E-2</v>
      </c>
      <c r="AP19">
        <v>1.1859303175788E-3</v>
      </c>
    </row>
    <row r="20" spans="1:42" x14ac:dyDescent="0.2">
      <c r="A20">
        <v>134</v>
      </c>
      <c r="B20">
        <v>758</v>
      </c>
      <c r="C20">
        <v>160</v>
      </c>
      <c r="D20">
        <v>0.426068467245311</v>
      </c>
      <c r="E20">
        <v>0.15189831100564599</v>
      </c>
      <c r="F20">
        <v>3.5374042792995102</v>
      </c>
      <c r="G20">
        <v>-1.9915606595466826</v>
      </c>
      <c r="H20">
        <v>-1.6897997616986333</v>
      </c>
      <c r="I20">
        <v>0.29264500591383302</v>
      </c>
      <c r="J20">
        <v>0.17215582324258799</v>
      </c>
      <c r="K20">
        <v>4.2940613798241302E-2</v>
      </c>
      <c r="L20">
        <v>4.4328329318965171E-5</v>
      </c>
      <c r="M20">
        <v>9.0465839463794588E-7</v>
      </c>
      <c r="N20" s="1">
        <v>1.79696808051963E-10</v>
      </c>
      <c r="O20" s="1">
        <v>4.4385435338544002E-14</v>
      </c>
      <c r="P20" s="1">
        <v>1.3899960094572599E-13</v>
      </c>
      <c r="Q20">
        <v>50.713914076743599</v>
      </c>
      <c r="R20">
        <v>1.7225212537490799E-2</v>
      </c>
      <c r="S20">
        <v>1.69178659064665</v>
      </c>
      <c r="T20">
        <v>0.49258988315871399</v>
      </c>
      <c r="V20">
        <v>29.667770163364601</v>
      </c>
      <c r="X20">
        <v>17.197248048136299</v>
      </c>
      <c r="AA20">
        <v>0.203821537719614</v>
      </c>
      <c r="AB20">
        <v>1.5644487692899799E-2</v>
      </c>
      <c r="AJ20">
        <v>-0.99327505655830794</v>
      </c>
      <c r="AK20">
        <v>0.99041469177008401</v>
      </c>
      <c r="AL20">
        <v>0.95621132639200601</v>
      </c>
      <c r="AM20">
        <v>3.11941808355688E-2</v>
      </c>
      <c r="AN20">
        <v>-3.01957262454495E-2</v>
      </c>
      <c r="AO20">
        <v>4.4481565836863898E-2</v>
      </c>
      <c r="AP20">
        <v>1.16901796923469E-3</v>
      </c>
    </row>
    <row r="21" spans="1:42" x14ac:dyDescent="0.2">
      <c r="A21">
        <v>153</v>
      </c>
      <c r="B21">
        <v>765</v>
      </c>
      <c r="C21">
        <v>140</v>
      </c>
      <c r="D21">
        <v>0.45160188797380102</v>
      </c>
      <c r="E21">
        <v>8.7324562708756506E-2</v>
      </c>
      <c r="F21">
        <v>3.5303617889600898</v>
      </c>
      <c r="G21">
        <v>-1.1495512839074948</v>
      </c>
      <c r="H21">
        <v>-0.97406268116021644</v>
      </c>
      <c r="I21">
        <v>0.16903973678878501</v>
      </c>
      <c r="J21">
        <v>9.9149447853736999E-2</v>
      </c>
      <c r="K21">
        <v>2.4735301345553799E-2</v>
      </c>
      <c r="L21">
        <v>4.4293736744182728E-5</v>
      </c>
      <c r="M21">
        <v>9.033523726549564E-7</v>
      </c>
      <c r="N21" s="1">
        <v>1.02039642049585E-10</v>
      </c>
      <c r="O21" s="1">
        <v>2.5388258675009701E-14</v>
      </c>
      <c r="P21" s="1">
        <v>1.54795647354791E-13</v>
      </c>
      <c r="Q21">
        <v>50.872966615890803</v>
      </c>
      <c r="R21">
        <v>1.5958976899493799E-2</v>
      </c>
      <c r="S21">
        <v>1.5572126118005101</v>
      </c>
      <c r="T21">
        <v>0.48872789179955101</v>
      </c>
      <c r="V21">
        <v>29.367124398007</v>
      </c>
      <c r="X21">
        <v>17.454886850331398</v>
      </c>
      <c r="AA21">
        <v>0.227441664317725</v>
      </c>
      <c r="AB21">
        <v>1.5680990953291001E-2</v>
      </c>
      <c r="AJ21">
        <v>-0.97800234143285603</v>
      </c>
      <c r="AK21">
        <v>0.98945234468335996</v>
      </c>
      <c r="AL21">
        <v>0.94511333169232403</v>
      </c>
      <c r="AM21">
        <v>2.8113910489144901E-2</v>
      </c>
      <c r="AN21">
        <v>-2.7190228950963E-2</v>
      </c>
      <c r="AO21">
        <v>4.1342980900163397E-2</v>
      </c>
      <c r="AP21">
        <v>1.1700026188262199E-3</v>
      </c>
    </row>
    <row r="22" spans="1:42" x14ac:dyDescent="0.2">
      <c r="A22">
        <v>154</v>
      </c>
      <c r="B22">
        <v>764</v>
      </c>
      <c r="C22">
        <v>140</v>
      </c>
      <c r="D22">
        <v>0.45100564045702202</v>
      </c>
      <c r="E22">
        <v>0.12898066275122999</v>
      </c>
      <c r="F22">
        <v>3.5270062663871502</v>
      </c>
      <c r="G22">
        <v>-1.7016978475440445</v>
      </c>
      <c r="H22">
        <v>-1.4427473033077465</v>
      </c>
      <c r="I22">
        <v>0.24967511376011001</v>
      </c>
      <c r="J22">
        <v>0.146600644286453</v>
      </c>
      <c r="K22">
        <v>3.6569445305621798E-2</v>
      </c>
      <c r="L22">
        <v>4.4245941593464441E-5</v>
      </c>
      <c r="M22">
        <v>9.0225451343442423E-7</v>
      </c>
      <c r="N22" s="1">
        <v>1.52676025473191E-10</v>
      </c>
      <c r="O22" s="1">
        <v>3.7945518144102197E-14</v>
      </c>
      <c r="P22" s="1">
        <v>2.0217473576492E-13</v>
      </c>
      <c r="Q22">
        <v>50.923115941832698</v>
      </c>
      <c r="R22">
        <v>1.7943565548486098E-2</v>
      </c>
      <c r="S22">
        <v>1.5925339364104201</v>
      </c>
      <c r="T22">
        <v>0.48065375664757298</v>
      </c>
      <c r="V22">
        <v>29.111209336880599</v>
      </c>
      <c r="X22">
        <v>17.637421821593801</v>
      </c>
      <c r="AA22">
        <v>0.221450008934789</v>
      </c>
      <c r="AB22">
        <v>1.5671632151396199E-2</v>
      </c>
      <c r="AJ22">
        <v>-0.96946013511625095</v>
      </c>
      <c r="AK22">
        <v>0.98971382612081404</v>
      </c>
      <c r="AL22">
        <v>0.93562741096381496</v>
      </c>
      <c r="AM22">
        <v>2.90507845073033E-2</v>
      </c>
      <c r="AN22">
        <v>-2.8013623487935999E-2</v>
      </c>
      <c r="AO22">
        <v>4.1913992642859298E-2</v>
      </c>
      <c r="AP22">
        <v>1.1677443693943899E-3</v>
      </c>
    </row>
    <row r="23" spans="1:42" x14ac:dyDescent="0.2">
      <c r="A23">
        <v>177</v>
      </c>
      <c r="B23">
        <v>772</v>
      </c>
      <c r="C23">
        <v>120</v>
      </c>
      <c r="D23">
        <v>0.47679328326077502</v>
      </c>
      <c r="E23">
        <v>8.4778364594463501E-2</v>
      </c>
      <c r="F23">
        <v>3.52345556219012</v>
      </c>
      <c r="G23">
        <v>-1.1209879885430496</v>
      </c>
      <c r="H23">
        <v>-0.94863741787539257</v>
      </c>
      <c r="I23">
        <v>0.16490510516926399</v>
      </c>
      <c r="J23">
        <v>9.6458235230141007E-2</v>
      </c>
      <c r="K23">
        <v>2.40611419948678E-2</v>
      </c>
      <c r="L23">
        <v>4.4237763703262526E-5</v>
      </c>
      <c r="M23">
        <v>9.016727517100201E-7</v>
      </c>
      <c r="N23" s="1">
        <v>1.00103570457579E-10</v>
      </c>
      <c r="O23" s="1">
        <v>2.4692498981273901E-14</v>
      </c>
      <c r="P23" s="1">
        <v>1.9437715859268399E-13</v>
      </c>
      <c r="Q23">
        <v>50.983325911808599</v>
      </c>
      <c r="R23">
        <v>1.59300404345466E-2</v>
      </c>
      <c r="S23">
        <v>1.5153243461349599</v>
      </c>
      <c r="T23">
        <v>0.494335791649959</v>
      </c>
      <c r="V23">
        <v>29.021945811929601</v>
      </c>
      <c r="X23">
        <v>17.7146395886443</v>
      </c>
      <c r="AA23">
        <v>0.23896420444673599</v>
      </c>
      <c r="AB23">
        <v>1.55343049511538E-2</v>
      </c>
      <c r="AJ23">
        <v>-0.963923989174721</v>
      </c>
      <c r="AK23">
        <v>0.989006797391628</v>
      </c>
      <c r="AL23">
        <v>0.93242742161004799</v>
      </c>
      <c r="AM23">
        <v>2.7041694016620599E-2</v>
      </c>
      <c r="AN23">
        <v>-2.6121244149758301E-2</v>
      </c>
      <c r="AO23">
        <v>4.0412219490244101E-2</v>
      </c>
      <c r="AP23">
        <v>1.15710081593826E-3</v>
      </c>
    </row>
    <row r="24" spans="1:42" x14ac:dyDescent="0.2">
      <c r="A24">
        <v>178</v>
      </c>
      <c r="B24">
        <v>771</v>
      </c>
      <c r="C24">
        <v>120</v>
      </c>
      <c r="D24">
        <v>0.47622515922041903</v>
      </c>
      <c r="E24">
        <v>0.122340728945456</v>
      </c>
      <c r="F24">
        <v>3.5203877594462001</v>
      </c>
      <c r="G24">
        <v>-1.6209458878872454</v>
      </c>
      <c r="H24">
        <v>-1.3724810042251481</v>
      </c>
      <c r="I24">
        <v>0.23795899407374099</v>
      </c>
      <c r="J24">
        <v>0.13932719337136501</v>
      </c>
      <c r="K24">
        <v>3.4752060655017798E-2</v>
      </c>
      <c r="L24">
        <v>4.4189741046762602E-5</v>
      </c>
      <c r="M24">
        <v>9.0065196638089615E-7</v>
      </c>
      <c r="N24" s="1">
        <v>1.46422990664521E-10</v>
      </c>
      <c r="O24" s="1">
        <v>3.6028912160859397E-14</v>
      </c>
      <c r="P24" s="1">
        <v>2.5657892345081399E-13</v>
      </c>
      <c r="Q24">
        <v>51.029079888474399</v>
      </c>
      <c r="R24">
        <v>1.7785205474330001E-2</v>
      </c>
      <c r="S24">
        <v>1.5485936791284201</v>
      </c>
      <c r="T24">
        <v>0.487015529060014</v>
      </c>
      <c r="V24">
        <v>28.786048442809602</v>
      </c>
      <c r="X24">
        <v>17.882868234102901</v>
      </c>
      <c r="AA24">
        <v>0.23309312196927801</v>
      </c>
      <c r="AB24">
        <v>1.5515898980903799E-2</v>
      </c>
      <c r="AJ24">
        <v>-0.95611256951134505</v>
      </c>
      <c r="AK24">
        <v>0.98926303375291302</v>
      </c>
      <c r="AL24">
        <v>0.92371252694504202</v>
      </c>
      <c r="AM24">
        <v>2.7920640159808802E-2</v>
      </c>
      <c r="AN24">
        <v>-2.68942595962125E-2</v>
      </c>
      <c r="AO24">
        <v>4.0956317904529201E-2</v>
      </c>
      <c r="AP24">
        <v>1.15431034526284E-3</v>
      </c>
    </row>
    <row r="25" spans="1:42" x14ac:dyDescent="0.2">
      <c r="A25">
        <v>205</v>
      </c>
      <c r="B25">
        <v>781</v>
      </c>
      <c r="C25">
        <v>100</v>
      </c>
      <c r="D25">
        <v>0.50272779016268998</v>
      </c>
      <c r="E25">
        <v>8.09866596089589E-2</v>
      </c>
      <c r="F25">
        <v>3.5165098943608899</v>
      </c>
      <c r="G25">
        <v>-1.0757702692055005</v>
      </c>
      <c r="H25">
        <v>-0.90873017066673689</v>
      </c>
      <c r="I25">
        <v>0.15845951576034101</v>
      </c>
      <c r="J25">
        <v>9.2345302591530606E-2</v>
      </c>
      <c r="K25">
        <v>2.3030408570392399E-2</v>
      </c>
      <c r="L25">
        <v>4.4179079948321907E-5</v>
      </c>
      <c r="M25">
        <v>8.9989317117663195E-7</v>
      </c>
      <c r="N25" s="1">
        <v>9.7777353217021006E-11</v>
      </c>
      <c r="O25" s="1">
        <v>2.35636612642046E-14</v>
      </c>
      <c r="P25" s="1">
        <v>2.3300116952396301E-13</v>
      </c>
      <c r="Q25">
        <v>51.083038841246598</v>
      </c>
      <c r="R25">
        <v>1.5945742418574299E-2</v>
      </c>
      <c r="S25">
        <v>1.4804296737482701</v>
      </c>
      <c r="T25">
        <v>0.50602050586290104</v>
      </c>
      <c r="V25">
        <v>28.6860338041494</v>
      </c>
      <c r="X25">
        <v>17.960236808069901</v>
      </c>
      <c r="AA25">
        <v>0.25285459195098797</v>
      </c>
      <c r="AB25">
        <v>1.5440032553191299E-2</v>
      </c>
      <c r="AJ25">
        <v>-0.95041567855132902</v>
      </c>
      <c r="AK25">
        <v>0.98846061328995904</v>
      </c>
      <c r="AL25">
        <v>0.92015659793918603</v>
      </c>
      <c r="AM25">
        <v>2.60449276163849E-2</v>
      </c>
      <c r="AN25">
        <v>-2.5125048553909402E-2</v>
      </c>
      <c r="AO25">
        <v>3.9730354495046902E-2</v>
      </c>
      <c r="AP25">
        <v>1.14823376466069E-3</v>
      </c>
    </row>
    <row r="26" spans="1:42" x14ac:dyDescent="0.2">
      <c r="A26">
        <v>206</v>
      </c>
      <c r="B26">
        <v>780</v>
      </c>
      <c r="C26">
        <v>100</v>
      </c>
      <c r="D26">
        <v>0.50218914684517901</v>
      </c>
      <c r="E26">
        <v>0.115002425026869</v>
      </c>
      <c r="F26">
        <v>3.5137028087517099</v>
      </c>
      <c r="G26">
        <v>-1.5304447201173539</v>
      </c>
      <c r="H26">
        <v>-1.2934874480813316</v>
      </c>
      <c r="I26">
        <v>0.22499859662538299</v>
      </c>
      <c r="J26">
        <v>0.13124362108548601</v>
      </c>
      <c r="K26">
        <v>3.2729696074587901E-2</v>
      </c>
      <c r="L26">
        <v>4.4131721642394653E-5</v>
      </c>
      <c r="M26">
        <v>8.989474965343896E-7</v>
      </c>
      <c r="N26" s="1">
        <v>1.4066710884125E-10</v>
      </c>
      <c r="O26" s="1">
        <v>3.38078372134749E-14</v>
      </c>
      <c r="P26" s="1">
        <v>3.0990195760081698E-13</v>
      </c>
      <c r="Q26">
        <v>51.125002943734302</v>
      </c>
      <c r="R26">
        <v>1.76816561852472E-2</v>
      </c>
      <c r="S26">
        <v>1.5115315287176401</v>
      </c>
      <c r="T26">
        <v>0.49927126836970398</v>
      </c>
      <c r="V26">
        <v>28.4685035546965</v>
      </c>
      <c r="X26">
        <v>18.115504485758301</v>
      </c>
      <c r="AA26">
        <v>0.24709168642936499</v>
      </c>
      <c r="AB26">
        <v>1.5412876108770601E-2</v>
      </c>
      <c r="AJ26">
        <v>-0.94326266183151397</v>
      </c>
      <c r="AK26">
        <v>0.98871225199261703</v>
      </c>
      <c r="AL26">
        <v>0.91214534664091895</v>
      </c>
      <c r="AM26">
        <v>2.6865954503309801E-2</v>
      </c>
      <c r="AN26">
        <v>-2.5847088432111101E-2</v>
      </c>
      <c r="AO26">
        <v>4.0241280246717297E-2</v>
      </c>
      <c r="AP26">
        <v>1.1449168800629001E-3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2B79-DC94-4B93-8FC8-B5DD71CB46C8}">
  <sheetPr codeName="Sheet9"/>
  <dimension ref="A1:AL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23</v>
      </c>
      <c r="B2">
        <v>735</v>
      </c>
      <c r="C2">
        <v>300</v>
      </c>
      <c r="D2">
        <v>0.25862272479293502</v>
      </c>
      <c r="E2">
        <v>0.91037142693083095</v>
      </c>
      <c r="F2">
        <v>2.2588114407447502</v>
      </c>
      <c r="G2">
        <v>-15.092763694215671</v>
      </c>
      <c r="H2">
        <v>-12.764534589859952</v>
      </c>
      <c r="I2">
        <v>2.3094074337704802</v>
      </c>
      <c r="J2">
        <v>1.4116633899578801</v>
      </c>
      <c r="K2">
        <v>0.40303117405438199</v>
      </c>
      <c r="L2">
        <v>1.2464071441427713E-5</v>
      </c>
      <c r="M2">
        <v>1.5426599334056842E-6</v>
      </c>
      <c r="N2">
        <v>0</v>
      </c>
      <c r="O2" s="1">
        <v>1.02251812844163E-12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0.110684738181155</v>
      </c>
      <c r="AE2">
        <v>7.4111683614555099</v>
      </c>
      <c r="AJ2">
        <v>5.1323903306148503E-3</v>
      </c>
      <c r="AK2">
        <v>0.89849592023769398</v>
      </c>
      <c r="AL2">
        <v>9.6371689431690402E-2</v>
      </c>
    </row>
    <row r="3" spans="1:38" x14ac:dyDescent="0.2">
      <c r="A3">
        <v>24</v>
      </c>
      <c r="B3">
        <v>734</v>
      </c>
      <c r="C3">
        <v>300</v>
      </c>
      <c r="D3">
        <v>0.25781710768008598</v>
      </c>
      <c r="E3">
        <v>3.0329278412175</v>
      </c>
      <c r="F3">
        <v>2.2588307363625502</v>
      </c>
      <c r="G3">
        <v>-50.275076715865339</v>
      </c>
      <c r="H3">
        <v>-42.53051313329361</v>
      </c>
      <c r="I3">
        <v>7.6895830636665101</v>
      </c>
      <c r="J3">
        <v>4.7019822582263204</v>
      </c>
      <c r="K3">
        <v>1.34269814572361</v>
      </c>
      <c r="L3">
        <v>1.246422679644097E-5</v>
      </c>
      <c r="M3">
        <v>1.5426791614689642E-6</v>
      </c>
      <c r="N3">
        <v>0</v>
      </c>
      <c r="O3" s="1">
        <v>3.4065610701191499E-12</v>
      </c>
      <c r="P3">
        <v>0</v>
      </c>
      <c r="Q3">
        <v>55.017941986220698</v>
      </c>
      <c r="S3">
        <v>23.340955074290701</v>
      </c>
      <c r="AB3">
        <v>14.116014854518101</v>
      </c>
      <c r="AC3">
        <v>0.109725336789848</v>
      </c>
      <c r="AE3">
        <v>7.4153627481804296</v>
      </c>
      <c r="AJ3">
        <v>5.0881159663494803E-3</v>
      </c>
      <c r="AK3">
        <v>0.89904198472366803</v>
      </c>
      <c r="AL3">
        <v>9.5869899309982201E-2</v>
      </c>
    </row>
    <row r="4" spans="1:38" x14ac:dyDescent="0.2">
      <c r="A4">
        <v>25</v>
      </c>
      <c r="B4">
        <v>733</v>
      </c>
      <c r="C4">
        <v>300</v>
      </c>
      <c r="D4">
        <v>0.257009889181535</v>
      </c>
      <c r="E4">
        <v>3.6842611826806801</v>
      </c>
      <c r="F4">
        <v>2.25885008191772</v>
      </c>
      <c r="G4">
        <v>-61.063484912117666</v>
      </c>
      <c r="H4">
        <v>-51.670314712442242</v>
      </c>
      <c r="I4">
        <v>9.3357553045524302</v>
      </c>
      <c r="J4">
        <v>5.7105157383487404</v>
      </c>
      <c r="K4">
        <v>1.63103395491957</v>
      </c>
      <c r="L4">
        <v>1.2464382155327028E-5</v>
      </c>
      <c r="M4">
        <v>1.5426983900115755E-6</v>
      </c>
      <c r="N4">
        <v>0</v>
      </c>
      <c r="O4" s="1">
        <v>4.1381497750459E-12</v>
      </c>
      <c r="P4">
        <v>0</v>
      </c>
      <c r="Q4">
        <v>55.015648282388298</v>
      </c>
      <c r="S4">
        <v>23.339981987399899</v>
      </c>
      <c r="AB4">
        <v>14.116050866994801</v>
      </c>
      <c r="AC4">
        <v>0.10877155240579001</v>
      </c>
      <c r="AE4">
        <v>7.4195473108109899</v>
      </c>
      <c r="AJ4">
        <v>5.0440979513190999E-3</v>
      </c>
      <c r="AK4">
        <v>0.89958682688870195</v>
      </c>
      <c r="AL4">
        <v>9.53690751599785E-2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B07DF-A1FB-4FAF-9E3F-F8116C86D53F}">
  <sheetPr codeName="Sheet10"/>
  <dimension ref="A1:AL13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23</v>
      </c>
      <c r="B5">
        <v>735</v>
      </c>
      <c r="C5">
        <v>300</v>
      </c>
      <c r="D5">
        <v>0.25862272479293502</v>
      </c>
      <c r="E5">
        <v>19.7362748635983</v>
      </c>
      <c r="F5">
        <v>2.5272419128810699</v>
      </c>
      <c r="G5">
        <v>-310.24786829599503</v>
      </c>
      <c r="H5">
        <v>-269.57399303255818</v>
      </c>
      <c r="I5">
        <v>40.345062999986901</v>
      </c>
      <c r="J5">
        <v>23.573451412459299</v>
      </c>
      <c r="K5">
        <v>7.8094126102470502</v>
      </c>
      <c r="L5">
        <v>2.9026293110357095E-5</v>
      </c>
      <c r="M5">
        <v>1.7925769290573486E-6</v>
      </c>
      <c r="N5" s="1">
        <v>-2.7056960370420901E-7</v>
      </c>
      <c r="O5" s="1">
        <v>7.3645715651010995E-11</v>
      </c>
      <c r="P5" s="1">
        <v>9.3632357962686808E-10</v>
      </c>
      <c r="Q5">
        <v>66.006926484517294</v>
      </c>
      <c r="S5">
        <v>18.963411836458299</v>
      </c>
      <c r="AA5">
        <v>0.243195012212787</v>
      </c>
      <c r="AB5">
        <v>4.47286891844956</v>
      </c>
      <c r="AC5">
        <v>10.3135977483619</v>
      </c>
      <c r="AJ5">
        <v>0.39260313815356601</v>
      </c>
      <c r="AK5">
        <v>1.17959534384472E-2</v>
      </c>
      <c r="AL5">
        <v>0.59560090840798596</v>
      </c>
    </row>
    <row r="6" spans="1:38" x14ac:dyDescent="0.2">
      <c r="A6">
        <v>24</v>
      </c>
      <c r="B6">
        <v>734</v>
      </c>
      <c r="C6">
        <v>300</v>
      </c>
      <c r="D6">
        <v>0.25781710768008598</v>
      </c>
      <c r="E6">
        <v>34.466969799898997</v>
      </c>
      <c r="F6">
        <v>2.5272429937545402</v>
      </c>
      <c r="G6">
        <v>-541.64342555791404</v>
      </c>
      <c r="H6">
        <v>-470.73907502357469</v>
      </c>
      <c r="I6">
        <v>70.400983502298004</v>
      </c>
      <c r="J6">
        <v>41.169866257268197</v>
      </c>
      <c r="K6">
        <v>13.638170086958599</v>
      </c>
      <c r="L6">
        <v>2.9025802881630809E-5</v>
      </c>
      <c r="M6">
        <v>1.792304923472325E-6</v>
      </c>
      <c r="N6" s="1">
        <v>-4.8419440276967097E-7</v>
      </c>
      <c r="O6" s="1">
        <v>1.28555198756056E-10</v>
      </c>
      <c r="P6" s="1">
        <v>1.6678845583290299E-9</v>
      </c>
      <c r="Q6">
        <v>65.9949872661943</v>
      </c>
      <c r="S6">
        <v>18.9583494630016</v>
      </c>
      <c r="AA6">
        <v>0.241804355652533</v>
      </c>
      <c r="AB6">
        <v>4.4329913404017898</v>
      </c>
      <c r="AC6">
        <v>10.3718675747497</v>
      </c>
      <c r="AJ6">
        <v>0.38918177804000398</v>
      </c>
      <c r="AK6">
        <v>1.1730878180531E-2</v>
      </c>
      <c r="AL6">
        <v>0.59908734377946404</v>
      </c>
    </row>
    <row r="7" spans="1:38" x14ac:dyDescent="0.2">
      <c r="A7">
        <v>25</v>
      </c>
      <c r="B7">
        <v>733</v>
      </c>
      <c r="C7">
        <v>300</v>
      </c>
      <c r="D7">
        <v>0.257009889181535</v>
      </c>
      <c r="E7">
        <v>36.956296552502799</v>
      </c>
      <c r="F7">
        <v>2.5272474933772799</v>
      </c>
      <c r="G7">
        <v>-580.58640001975391</v>
      </c>
      <c r="H7">
        <v>-504.6975678005744</v>
      </c>
      <c r="I7">
        <v>75.424968661908807</v>
      </c>
      <c r="J7">
        <v>44.145646952790003</v>
      </c>
      <c r="K7">
        <v>14.623141045484299</v>
      </c>
      <c r="L7">
        <v>2.9026444735213865E-5</v>
      </c>
      <c r="M7">
        <v>1.7920433440352724E-6</v>
      </c>
      <c r="N7" s="1">
        <v>-5.3203016743855301E-7</v>
      </c>
      <c r="O7" s="1">
        <v>1.3777463638259499E-10</v>
      </c>
      <c r="P7" s="1">
        <v>1.8243459171685201E-9</v>
      </c>
      <c r="Q7">
        <v>65.983249973289702</v>
      </c>
      <c r="S7">
        <v>18.9533707527433</v>
      </c>
      <c r="AA7">
        <v>0.24043560555173699</v>
      </c>
      <c r="AB7">
        <v>4.3937830762739001</v>
      </c>
      <c r="AC7">
        <v>10.4291605921412</v>
      </c>
      <c r="AJ7">
        <v>0.38581649027594001</v>
      </c>
      <c r="AK7">
        <v>1.16667998220286E-2</v>
      </c>
      <c r="AL7">
        <v>0.60251670990202999</v>
      </c>
    </row>
    <row r="8" spans="1:38" x14ac:dyDescent="0.2">
      <c r="A8">
        <v>42</v>
      </c>
      <c r="B8">
        <v>741</v>
      </c>
      <c r="C8">
        <v>280</v>
      </c>
      <c r="D8">
        <v>0.28511610708475299</v>
      </c>
      <c r="E8">
        <v>0.62404151845146105</v>
      </c>
      <c r="F8">
        <v>2.5253414034588402</v>
      </c>
      <c r="G8">
        <v>-9.8166117189567395</v>
      </c>
      <c r="H8">
        <v>-8.5191777299122311</v>
      </c>
      <c r="I8">
        <v>1.27933144904058</v>
      </c>
      <c r="J8">
        <v>0.74325189963778604</v>
      </c>
      <c r="K8">
        <v>0.247111744018745</v>
      </c>
      <c r="L8">
        <v>2.8712188533295348E-5</v>
      </c>
      <c r="M8">
        <v>1.7920576893463108E-6</v>
      </c>
      <c r="N8" s="1">
        <v>-6.5617998843495296E-9</v>
      </c>
      <c r="O8" s="1">
        <v>2.3481970312230901E-12</v>
      </c>
      <c r="P8" s="1">
        <v>2.39167611091646E-11</v>
      </c>
      <c r="Q8">
        <v>65.997748821120794</v>
      </c>
      <c r="S8">
        <v>18.926971001021698</v>
      </c>
      <c r="AA8">
        <v>0.21527243214014799</v>
      </c>
      <c r="AB8">
        <v>4.3568825999284702</v>
      </c>
      <c r="AC8">
        <v>10.503125145788699</v>
      </c>
      <c r="AJ8">
        <v>0.38264825737736802</v>
      </c>
      <c r="AK8">
        <v>1.04477576505603E-2</v>
      </c>
      <c r="AL8">
        <v>0.60690398497207099</v>
      </c>
    </row>
    <row r="9" spans="1:38" x14ac:dyDescent="0.2">
      <c r="A9">
        <v>43</v>
      </c>
      <c r="B9">
        <v>740</v>
      </c>
      <c r="C9">
        <v>280</v>
      </c>
      <c r="D9">
        <v>0.28434141045255101</v>
      </c>
      <c r="E9">
        <v>5.5239577230105299</v>
      </c>
      <c r="F9">
        <v>2.52637615627662</v>
      </c>
      <c r="G9">
        <v>-86.993422329858163</v>
      </c>
      <c r="H9">
        <v>-75.508972013759603</v>
      </c>
      <c r="I9">
        <v>11.335389938408399</v>
      </c>
      <c r="J9">
        <v>6.5932415511089504</v>
      </c>
      <c r="K9">
        <v>2.1865143515096102</v>
      </c>
      <c r="L9">
        <v>2.8955660316934974E-5</v>
      </c>
      <c r="M9">
        <v>1.7944702802423996E-6</v>
      </c>
      <c r="N9" s="1">
        <v>-6.4696294083045102E-8</v>
      </c>
      <c r="O9" s="1">
        <v>2.0678056824813101E-11</v>
      </c>
      <c r="P9" s="1">
        <v>2.3085282961117701E-10</v>
      </c>
      <c r="Q9">
        <v>66.041839669279398</v>
      </c>
      <c r="S9">
        <v>18.989449254861199</v>
      </c>
      <c r="AA9">
        <v>0.25652963462657102</v>
      </c>
      <c r="AB9">
        <v>4.6189315561604003</v>
      </c>
      <c r="AC9">
        <v>10.093249885072201</v>
      </c>
      <c r="AJ9">
        <v>0.40512290818394803</v>
      </c>
      <c r="AK9">
        <v>1.24335059824468E-2</v>
      </c>
      <c r="AL9">
        <v>0.58244358583360401</v>
      </c>
    </row>
    <row r="10" spans="1:38" x14ac:dyDescent="0.2">
      <c r="A10">
        <v>44</v>
      </c>
      <c r="B10">
        <v>739</v>
      </c>
      <c r="C10">
        <v>280</v>
      </c>
      <c r="D10">
        <v>0.28356518302623301</v>
      </c>
      <c r="E10">
        <v>14.5856723291654</v>
      </c>
      <c r="F10">
        <v>2.5264371740626599</v>
      </c>
      <c r="G10">
        <v>-229.698163165171</v>
      </c>
      <c r="H10">
        <v>-199.41676169861259</v>
      </c>
      <c r="I10">
        <v>29.917898993783901</v>
      </c>
      <c r="J10">
        <v>17.417925381548802</v>
      </c>
      <c r="K10">
        <v>5.7732179050036496</v>
      </c>
      <c r="L10">
        <v>2.9014336295582392E-5</v>
      </c>
      <c r="M10">
        <v>1.7950621034556169E-6</v>
      </c>
      <c r="N10" s="1">
        <v>-1.78371937951885E-7</v>
      </c>
      <c r="O10" s="1">
        <v>5.4531426310746799E-11</v>
      </c>
      <c r="P10" s="1">
        <v>6.3111901116954604E-10</v>
      </c>
      <c r="Q10">
        <v>66.056145123215799</v>
      </c>
      <c r="S10">
        <v>18.988759244823498</v>
      </c>
      <c r="AA10">
        <v>0.25262238717237401</v>
      </c>
      <c r="AB10">
        <v>4.6490015422086204</v>
      </c>
      <c r="AC10">
        <v>10.0534717025795</v>
      </c>
      <c r="AJ10">
        <v>0.40769811327647498</v>
      </c>
      <c r="AK10">
        <v>1.22422610621337E-2</v>
      </c>
      <c r="AL10">
        <v>0.58005962566139002</v>
      </c>
    </row>
    <row r="11" spans="1:38" x14ac:dyDescent="0.2">
      <c r="A11">
        <v>45</v>
      </c>
      <c r="B11">
        <v>738</v>
      </c>
      <c r="C11">
        <v>280</v>
      </c>
      <c r="D11">
        <v>0.28278742026405701</v>
      </c>
      <c r="E11">
        <v>20.129127071911299</v>
      </c>
      <c r="F11">
        <v>2.5264817012077101</v>
      </c>
      <c r="G11">
        <v>-316.97275619631756</v>
      </c>
      <c r="H11">
        <v>-275.2448986734741</v>
      </c>
      <c r="I11">
        <v>41.267722417884002</v>
      </c>
      <c r="J11">
        <v>24.0476961183996</v>
      </c>
      <c r="K11">
        <v>7.9672562292017401</v>
      </c>
      <c r="L11">
        <v>2.9060368041627952E-5</v>
      </c>
      <c r="M11">
        <v>1.7954612148732898E-6</v>
      </c>
      <c r="N11" s="1">
        <v>-2.5593032328732702E-7</v>
      </c>
      <c r="O11" s="1">
        <v>7.5175475961644803E-11</v>
      </c>
      <c r="P11" s="1">
        <v>8.9881342868450003E-10</v>
      </c>
      <c r="Q11">
        <v>66.064602054633198</v>
      </c>
      <c r="S11">
        <v>18.987008224886601</v>
      </c>
      <c r="AA11">
        <v>0.24920446846279401</v>
      </c>
      <c r="AB11">
        <v>4.6632568340168401</v>
      </c>
      <c r="AC11">
        <v>10.035928418000401</v>
      </c>
      <c r="AJ11">
        <v>0.40891868141718002</v>
      </c>
      <c r="AK11">
        <v>1.20757532987643E-2</v>
      </c>
      <c r="AL11">
        <v>0.579005565284054</v>
      </c>
    </row>
    <row r="12" spans="1:38" x14ac:dyDescent="0.2">
      <c r="A12">
        <v>46</v>
      </c>
      <c r="B12">
        <v>737</v>
      </c>
      <c r="C12">
        <v>280</v>
      </c>
      <c r="D12">
        <v>0.28200811760629901</v>
      </c>
      <c r="E12">
        <v>34.845894666380602</v>
      </c>
      <c r="F12">
        <v>2.526600583924</v>
      </c>
      <c r="G12">
        <v>-548.82277702663214</v>
      </c>
      <c r="H12">
        <v>-476.67024155152654</v>
      </c>
      <c r="I12">
        <v>71.4275458843791</v>
      </c>
      <c r="J12">
        <v>41.6667908460443</v>
      </c>
      <c r="K12">
        <v>13.7916118946914</v>
      </c>
      <c r="L12">
        <v>2.9166082117266893E-5</v>
      </c>
      <c r="M12">
        <v>1.7966744144636898E-6</v>
      </c>
      <c r="N12" s="1">
        <v>-4.6813039205033402E-7</v>
      </c>
      <c r="O12" s="1">
        <v>1.2988322471481699E-10</v>
      </c>
      <c r="P12" s="1">
        <v>1.6278154787068901E-9</v>
      </c>
      <c r="Q12">
        <v>66.096898452099794</v>
      </c>
      <c r="S12">
        <v>18.989432019096899</v>
      </c>
      <c r="AA12">
        <v>0.243668200675147</v>
      </c>
      <c r="AB12">
        <v>4.7415819157444297</v>
      </c>
      <c r="AC12">
        <v>9.9284194123836702</v>
      </c>
      <c r="AJ12">
        <v>0.41562177224550301</v>
      </c>
      <c r="AK12">
        <v>1.1802789963638E-2</v>
      </c>
      <c r="AL12">
        <v>0.57257543779085796</v>
      </c>
    </row>
    <row r="13" spans="1:38" x14ac:dyDescent="0.2">
      <c r="A13">
        <v>47</v>
      </c>
      <c r="B13">
        <v>736</v>
      </c>
      <c r="C13">
        <v>280</v>
      </c>
      <c r="D13">
        <v>0.281227270475152</v>
      </c>
      <c r="E13">
        <v>37.475163588653899</v>
      </c>
      <c r="F13">
        <v>2.5266333385729101</v>
      </c>
      <c r="G13">
        <v>-590.160107538283</v>
      </c>
      <c r="H13">
        <v>-512.68402726945681</v>
      </c>
      <c r="I13">
        <v>76.773601812243996</v>
      </c>
      <c r="J13">
        <v>44.827083644319998</v>
      </c>
      <c r="K13">
        <v>14.8320545828863</v>
      </c>
      <c r="L13">
        <v>2.9205430216419597E-5</v>
      </c>
      <c r="M13">
        <v>1.7969463586288209E-6</v>
      </c>
      <c r="N13" s="1">
        <v>-5.2177826374089395E-7</v>
      </c>
      <c r="O13" s="1">
        <v>1.39540383901499E-10</v>
      </c>
      <c r="P13" s="1">
        <v>1.8026691376447801E-9</v>
      </c>
      <c r="Q13">
        <v>66.101327759718899</v>
      </c>
      <c r="S13">
        <v>18.9869291490031</v>
      </c>
      <c r="AA13">
        <v>0.24056978884003899</v>
      </c>
      <c r="AB13">
        <v>4.7448907909375002</v>
      </c>
      <c r="AC13">
        <v>9.9262825115003697</v>
      </c>
      <c r="AJ13">
        <v>0.41590485592151699</v>
      </c>
      <c r="AK13">
        <v>1.16525143718884E-2</v>
      </c>
      <c r="AL13">
        <v>0.57244262970659299</v>
      </c>
    </row>
    <row r="14" spans="1:38" x14ac:dyDescent="0.2">
      <c r="A14">
        <v>62</v>
      </c>
      <c r="B14">
        <v>743</v>
      </c>
      <c r="C14">
        <v>260</v>
      </c>
      <c r="D14">
        <v>0.30831127294198801</v>
      </c>
      <c r="E14">
        <v>7.3440396284723404</v>
      </c>
      <c r="F14">
        <v>2.5256344398496902</v>
      </c>
      <c r="G14">
        <v>-115.84343740962431</v>
      </c>
      <c r="H14">
        <v>-100.48819608429625</v>
      </c>
      <c r="I14">
        <v>15.111195517716901</v>
      </c>
      <c r="J14">
        <v>8.7666199242470597</v>
      </c>
      <c r="K14">
        <v>2.90779992250557</v>
      </c>
      <c r="L14">
        <v>2.8973329206786345E-5</v>
      </c>
      <c r="M14">
        <v>1.7970072597963E-6</v>
      </c>
      <c r="N14" s="1">
        <v>-7.9087298380305096E-8</v>
      </c>
      <c r="O14" s="1">
        <v>2.7516186778703199E-11</v>
      </c>
      <c r="P14" s="1">
        <v>2.8731611510651802E-10</v>
      </c>
      <c r="Q14">
        <v>66.087309967489901</v>
      </c>
      <c r="S14">
        <v>19.012203978176299</v>
      </c>
      <c r="AA14">
        <v>0.264692641882602</v>
      </c>
      <c r="AB14">
        <v>4.7799141431887699</v>
      </c>
      <c r="AC14">
        <v>9.8558792692622905</v>
      </c>
      <c r="AJ14">
        <v>0.41890010035516401</v>
      </c>
      <c r="AK14">
        <v>1.28186717754288E-2</v>
      </c>
      <c r="AL14">
        <v>0.56828122786940605</v>
      </c>
    </row>
    <row r="15" spans="1:38" x14ac:dyDescent="0.2">
      <c r="A15">
        <v>63</v>
      </c>
      <c r="B15">
        <v>742</v>
      </c>
      <c r="C15">
        <v>260</v>
      </c>
      <c r="D15">
        <v>0.30756095158350699</v>
      </c>
      <c r="E15">
        <v>15.6693533099355</v>
      </c>
      <c r="F15">
        <v>2.5256688014064399</v>
      </c>
      <c r="G15">
        <v>-247.13657204822886</v>
      </c>
      <c r="H15">
        <v>-214.42456938485913</v>
      </c>
      <c r="I15">
        <v>32.223811912889403</v>
      </c>
      <c r="J15">
        <v>18.710261397443201</v>
      </c>
      <c r="K15">
        <v>6.2040412033477796</v>
      </c>
      <c r="L15">
        <v>2.9007483439367326E-5</v>
      </c>
      <c r="M15">
        <v>1.7972863477935564E-6</v>
      </c>
      <c r="N15" s="1">
        <v>-1.7505085407800101E-7</v>
      </c>
      <c r="O15" s="1">
        <v>5.8658899211904504E-11</v>
      </c>
      <c r="P15" s="1">
        <v>6.3104732939761296E-10</v>
      </c>
      <c r="Q15">
        <v>66.092571992895301</v>
      </c>
      <c r="S15">
        <v>19.009801733879499</v>
      </c>
      <c r="AA15">
        <v>0.26148294404889599</v>
      </c>
      <c r="AB15">
        <v>4.7853424889290102</v>
      </c>
      <c r="AC15">
        <v>9.8508008402471798</v>
      </c>
      <c r="AJ15">
        <v>0.41936430813220799</v>
      </c>
      <c r="AK15">
        <v>1.26628830432547E-2</v>
      </c>
      <c r="AL15">
        <v>0.56797280882453605</v>
      </c>
    </row>
    <row r="16" spans="1:38" x14ac:dyDescent="0.2">
      <c r="A16">
        <v>64</v>
      </c>
      <c r="B16">
        <v>741</v>
      </c>
      <c r="C16">
        <v>260</v>
      </c>
      <c r="D16">
        <v>0.30680915052014102</v>
      </c>
      <c r="E16">
        <v>27.439011626382602</v>
      </c>
      <c r="F16">
        <v>2.52573027432615</v>
      </c>
      <c r="G16">
        <v>-432.75377916835964</v>
      </c>
      <c r="H16">
        <v>-375.55272798006388</v>
      </c>
      <c r="I16">
        <v>56.402949453528301</v>
      </c>
      <c r="J16">
        <v>32.7789315547831</v>
      </c>
      <c r="K16">
        <v>10.8637932978426</v>
      </c>
      <c r="L16">
        <v>2.9060238522444522E-5</v>
      </c>
      <c r="M16">
        <v>1.7978197801143892E-6</v>
      </c>
      <c r="N16" s="1">
        <v>-3.1960701314667699E-7</v>
      </c>
      <c r="O16" s="1">
        <v>1.02603242397591E-10</v>
      </c>
      <c r="P16" s="1">
        <v>1.1424542836769199E-9</v>
      </c>
      <c r="Q16">
        <v>66.105200793979606</v>
      </c>
      <c r="S16">
        <v>19.008795095853699</v>
      </c>
      <c r="AA16">
        <v>0.25770569928424097</v>
      </c>
      <c r="AB16">
        <v>4.81084606255979</v>
      </c>
      <c r="AC16">
        <v>9.8174523483224796</v>
      </c>
      <c r="AJ16">
        <v>0.42154481362713597</v>
      </c>
      <c r="AK16">
        <v>1.2478348295309799E-2</v>
      </c>
      <c r="AL16">
        <v>0.56597683807755295</v>
      </c>
    </row>
    <row r="17" spans="1:38" x14ac:dyDescent="0.2">
      <c r="A17">
        <v>65</v>
      </c>
      <c r="B17">
        <v>740</v>
      </c>
      <c r="C17">
        <v>260</v>
      </c>
      <c r="D17">
        <v>0.30605586537038199</v>
      </c>
      <c r="E17">
        <v>35.8628558206983</v>
      </c>
      <c r="F17">
        <v>2.52577811459282</v>
      </c>
      <c r="G17">
        <v>-565.56759032540231</v>
      </c>
      <c r="H17">
        <v>-490.91670721598979</v>
      </c>
      <c r="I17">
        <v>73.681965266162393</v>
      </c>
      <c r="J17">
        <v>42.859117699133101</v>
      </c>
      <c r="K17">
        <v>14.1987356741665</v>
      </c>
      <c r="L17">
        <v>2.9105218889989003E-5</v>
      </c>
      <c r="M17">
        <v>1.7982268932307759E-6</v>
      </c>
      <c r="N17" s="1">
        <v>-4.3431484618056797E-7</v>
      </c>
      <c r="O17" s="1">
        <v>1.3396357086764399E-10</v>
      </c>
      <c r="P17" s="1">
        <v>1.5405604470904799E-9</v>
      </c>
      <c r="Q17">
        <v>66.114005098076902</v>
      </c>
      <c r="S17">
        <v>19.007052309262701</v>
      </c>
      <c r="AA17">
        <v>0.25421351850337698</v>
      </c>
      <c r="AB17">
        <v>4.8258970405464101</v>
      </c>
      <c r="AC17">
        <v>9.7988320336105303</v>
      </c>
      <c r="AJ17">
        <v>0.42283138988886199</v>
      </c>
      <c r="AK17">
        <v>1.23083149490368E-2</v>
      </c>
      <c r="AL17">
        <v>0.56486029516210101</v>
      </c>
    </row>
    <row r="18" spans="1:38" x14ac:dyDescent="0.2">
      <c r="A18">
        <v>66</v>
      </c>
      <c r="B18">
        <v>739</v>
      </c>
      <c r="C18">
        <v>260</v>
      </c>
      <c r="D18">
        <v>0.30530109173541498</v>
      </c>
      <c r="E18">
        <v>38.055307282035997</v>
      </c>
      <c r="F18">
        <v>2.5257983359691201</v>
      </c>
      <c r="G18">
        <v>-600.046060294276</v>
      </c>
      <c r="H18">
        <v>-520.95775057101912</v>
      </c>
      <c r="I18">
        <v>78.138921823106102</v>
      </c>
      <c r="J18">
        <v>45.491295879161399</v>
      </c>
      <c r="K18">
        <v>15.066645163274501</v>
      </c>
      <c r="L18">
        <v>2.9133336755349162E-5</v>
      </c>
      <c r="M18">
        <v>1.7983803542335002E-6</v>
      </c>
      <c r="N18" s="1">
        <v>-4.7666421515552099E-7</v>
      </c>
      <c r="O18" s="1">
        <v>1.4203734362394901E-10</v>
      </c>
      <c r="P18" s="1">
        <v>1.6796709199275601E-9</v>
      </c>
      <c r="Q18">
        <v>66.115286607864405</v>
      </c>
      <c r="S18">
        <v>19.0039080664686</v>
      </c>
      <c r="AA18">
        <v>0.25132046321416801</v>
      </c>
      <c r="AB18">
        <v>4.8205097751318204</v>
      </c>
      <c r="AC18">
        <v>9.80897508732094</v>
      </c>
      <c r="AJ18">
        <v>0.422370940653575</v>
      </c>
      <c r="AK18">
        <v>1.2168574485433599E-2</v>
      </c>
      <c r="AL18">
        <v>0.56546048486099099</v>
      </c>
    </row>
    <row r="19" spans="1:38" x14ac:dyDescent="0.2">
      <c r="A19">
        <v>78</v>
      </c>
      <c r="B19">
        <v>746</v>
      </c>
      <c r="C19">
        <v>240</v>
      </c>
      <c r="D19">
        <v>0.33214001864298798</v>
      </c>
      <c r="E19">
        <v>5.4958401701884698</v>
      </c>
      <c r="F19">
        <v>2.5680292205478001</v>
      </c>
      <c r="G19">
        <v>-88.790449485205585</v>
      </c>
      <c r="H19">
        <v>-77.065998162799104</v>
      </c>
      <c r="I19">
        <v>11.5041469090972</v>
      </c>
      <c r="J19">
        <v>6.7384180997888201</v>
      </c>
      <c r="K19">
        <v>2.14010032526659</v>
      </c>
      <c r="L19">
        <v>3.1972691277109419E-5</v>
      </c>
      <c r="M19">
        <v>1.820527929898022E-6</v>
      </c>
      <c r="N19" s="1">
        <v>-1.1085613517434601E-7</v>
      </c>
      <c r="O19" s="1">
        <v>1.8803809211319599E-11</v>
      </c>
      <c r="P19" s="1">
        <v>3.6729653575727799E-10</v>
      </c>
      <c r="Q19">
        <v>65.630405461436197</v>
      </c>
      <c r="S19">
        <v>21.0147152418876</v>
      </c>
      <c r="AA19">
        <v>2.02339735872259</v>
      </c>
      <c r="AB19">
        <v>9.0115705717328307</v>
      </c>
      <c r="AC19">
        <v>2.3199113662206301</v>
      </c>
      <c r="AJ19">
        <v>0.77312510159889103</v>
      </c>
      <c r="AK19">
        <v>9.5927086662674396E-2</v>
      </c>
      <c r="AL19">
        <v>0.13094781173843401</v>
      </c>
    </row>
    <row r="20" spans="1:38" x14ac:dyDescent="0.2">
      <c r="A20">
        <v>79</v>
      </c>
      <c r="B20">
        <v>745</v>
      </c>
      <c r="C20">
        <v>240</v>
      </c>
      <c r="D20">
        <v>0.33141531208564601</v>
      </c>
      <c r="E20">
        <v>8.7849638935682997</v>
      </c>
      <c r="F20">
        <v>2.5681994588969101</v>
      </c>
      <c r="G20">
        <v>-141.91656403543416</v>
      </c>
      <c r="H20">
        <v>-123.20435432200168</v>
      </c>
      <c r="I20">
        <v>18.378637443826999</v>
      </c>
      <c r="J20">
        <v>10.7769535871579</v>
      </c>
      <c r="K20">
        <v>3.42067040904276</v>
      </c>
      <c r="L20">
        <v>3.203157569360917E-5</v>
      </c>
      <c r="M20">
        <v>1.8207918252254468E-6</v>
      </c>
      <c r="N20" s="1">
        <v>-1.8306108490400199E-7</v>
      </c>
      <c r="O20" s="1">
        <v>3.0004632101642498E-11</v>
      </c>
      <c r="P20" s="1">
        <v>6.0386584847986095E-10</v>
      </c>
      <c r="Q20">
        <v>65.629044656283</v>
      </c>
      <c r="S20">
        <v>21.018567258853199</v>
      </c>
      <c r="AA20">
        <v>2.0268928374397901</v>
      </c>
      <c r="AB20">
        <v>9.0186366536839309</v>
      </c>
      <c r="AC20">
        <v>2.3068585937399901</v>
      </c>
      <c r="AJ20">
        <v>0.77370410907812204</v>
      </c>
      <c r="AK20">
        <v>9.6089424306085205E-2</v>
      </c>
      <c r="AL20">
        <v>0.13020646661579199</v>
      </c>
    </row>
    <row r="21" spans="1:38" x14ac:dyDescent="0.2">
      <c r="A21">
        <v>80</v>
      </c>
      <c r="B21">
        <v>744</v>
      </c>
      <c r="C21">
        <v>240</v>
      </c>
      <c r="D21">
        <v>0.33068918055350899</v>
      </c>
      <c r="E21">
        <v>15.234790591028499</v>
      </c>
      <c r="F21">
        <v>2.5681250806995699</v>
      </c>
      <c r="G21">
        <v>-246.07715493322598</v>
      </c>
      <c r="H21">
        <v>-213.6761937103513</v>
      </c>
      <c r="I21">
        <v>31.854653908346499</v>
      </c>
      <c r="J21">
        <v>18.699859897580101</v>
      </c>
      <c r="K21">
        <v>5.9322619079279697</v>
      </c>
      <c r="L21">
        <v>3.2100298260656584E-5</v>
      </c>
      <c r="M21">
        <v>1.821494538173323E-6</v>
      </c>
      <c r="N21" s="1">
        <v>-3.28075479447496E-7</v>
      </c>
      <c r="O21" s="1">
        <v>5.1962230170649702E-11</v>
      </c>
      <c r="P21" s="1">
        <v>1.0775180757617899E-9</v>
      </c>
      <c r="Q21">
        <v>65.648824763976606</v>
      </c>
      <c r="S21">
        <v>21.005288246774899</v>
      </c>
      <c r="AA21">
        <v>2.0113220987900702</v>
      </c>
      <c r="AB21">
        <v>9.0279029065595502</v>
      </c>
      <c r="AC21">
        <v>2.3066619838987701</v>
      </c>
      <c r="AJ21">
        <v>0.77446367567148</v>
      </c>
      <c r="AK21">
        <v>9.5346902537157802E-2</v>
      </c>
      <c r="AL21">
        <v>0.130189421791361</v>
      </c>
    </row>
    <row r="22" spans="1:38" x14ac:dyDescent="0.2">
      <c r="A22">
        <v>81</v>
      </c>
      <c r="B22">
        <v>743</v>
      </c>
      <c r="C22">
        <v>240</v>
      </c>
      <c r="D22">
        <v>0.32996161983958999</v>
      </c>
      <c r="E22">
        <v>18.529604348362799</v>
      </c>
      <c r="F22">
        <v>2.5681738832207301</v>
      </c>
      <c r="G22">
        <v>-299.26253246235507</v>
      </c>
      <c r="H22">
        <v>-259.91499572740247</v>
      </c>
      <c r="I22">
        <v>38.7221736308149</v>
      </c>
      <c r="J22">
        <v>22.757232060047201</v>
      </c>
      <c r="K22">
        <v>7.2150894724951096</v>
      </c>
      <c r="L22">
        <v>3.2166862070304495E-5</v>
      </c>
      <c r="M22">
        <v>1.8219851015882677E-6</v>
      </c>
      <c r="N22" s="1">
        <v>-4.12328044872802E-7</v>
      </c>
      <c r="O22" s="1">
        <v>6.3095617595037495E-11</v>
      </c>
      <c r="P22" s="1">
        <v>1.3485001182170599E-9</v>
      </c>
      <c r="Q22">
        <v>65.657989180531303</v>
      </c>
      <c r="S22">
        <v>21.0006103067083</v>
      </c>
      <c r="AA22">
        <v>2.0053243590194598</v>
      </c>
      <c r="AB22">
        <v>9.0360614894169604</v>
      </c>
      <c r="AC22">
        <v>2.3000146643238999</v>
      </c>
      <c r="AJ22">
        <v>0.77513225945831199</v>
      </c>
      <c r="AK22">
        <v>9.5058740072988396E-2</v>
      </c>
      <c r="AL22">
        <v>0.129809000468698</v>
      </c>
    </row>
    <row r="23" spans="1:38" x14ac:dyDescent="0.2">
      <c r="A23">
        <v>82</v>
      </c>
      <c r="B23">
        <v>742</v>
      </c>
      <c r="C23">
        <v>240</v>
      </c>
      <c r="D23">
        <v>0.32923262572033701</v>
      </c>
      <c r="E23">
        <v>19.472208986785901</v>
      </c>
      <c r="F23">
        <v>2.5682758722663301</v>
      </c>
      <c r="G23">
        <v>-314.45390243543619</v>
      </c>
      <c r="H23">
        <v>-273.16880326623613</v>
      </c>
      <c r="I23">
        <v>40.6689643591587</v>
      </c>
      <c r="J23">
        <v>23.929152402243901</v>
      </c>
      <c r="K23">
        <v>7.5818214067490297</v>
      </c>
      <c r="L23">
        <v>3.2233608921291883E-5</v>
      </c>
      <c r="M23">
        <v>1.8223873545091871E-6</v>
      </c>
      <c r="N23" s="1">
        <v>-4.4773950163806002E-7</v>
      </c>
      <c r="O23" s="1">
        <v>6.6185430932243295E-11</v>
      </c>
      <c r="P23" s="1">
        <v>1.4582575971200501E-9</v>
      </c>
      <c r="Q23">
        <v>65.662572989773807</v>
      </c>
      <c r="S23">
        <v>20.999639300471301</v>
      </c>
      <c r="AA23">
        <v>2.0034536997095298</v>
      </c>
      <c r="AB23">
        <v>9.0437306434501199</v>
      </c>
      <c r="AC23">
        <v>2.2906033665951702</v>
      </c>
      <c r="AJ23">
        <v>0.77576062334851503</v>
      </c>
      <c r="AK23">
        <v>9.4966452083970601E-2</v>
      </c>
      <c r="AL23">
        <v>0.12927292456751299</v>
      </c>
    </row>
    <row r="24" spans="1:38" x14ac:dyDescent="0.2">
      <c r="A24">
        <v>89</v>
      </c>
      <c r="B24">
        <v>751</v>
      </c>
      <c r="C24">
        <v>220</v>
      </c>
      <c r="D24">
        <v>0.35722355123761301</v>
      </c>
      <c r="E24">
        <v>1.4046042985260101</v>
      </c>
      <c r="F24">
        <v>2.5664318840268399</v>
      </c>
      <c r="G24">
        <v>-22.71944914475986</v>
      </c>
      <c r="H24">
        <v>-19.699022467086664</v>
      </c>
      <c r="I24">
        <v>2.9492034151961999</v>
      </c>
      <c r="J24">
        <v>1.7182481622797701</v>
      </c>
      <c r="K24">
        <v>0.54729849144568998</v>
      </c>
      <c r="L24">
        <v>3.1725786740119522E-5</v>
      </c>
      <c r="M24">
        <v>1.8217290740342535E-6</v>
      </c>
      <c r="N24" s="1">
        <v>-2.3879239582232199E-8</v>
      </c>
      <c r="O24" s="1">
        <v>4.84607129255884E-12</v>
      </c>
      <c r="P24" s="1">
        <v>8.1100162590868695E-11</v>
      </c>
      <c r="Q24">
        <v>65.676973519019896</v>
      </c>
      <c r="S24">
        <v>20.987861785669899</v>
      </c>
      <c r="AA24">
        <v>1.99037696277456</v>
      </c>
      <c r="AB24">
        <v>9.0449451645163297</v>
      </c>
      <c r="AC24">
        <v>2.2998425680191898</v>
      </c>
      <c r="AJ24">
        <v>0.775860342149299</v>
      </c>
      <c r="AK24">
        <v>9.4346054311396102E-2</v>
      </c>
      <c r="AL24">
        <v>0.129793603539304</v>
      </c>
    </row>
    <row r="25" spans="1:38" x14ac:dyDescent="0.2">
      <c r="A25">
        <v>90</v>
      </c>
      <c r="B25">
        <v>750</v>
      </c>
      <c r="C25">
        <v>220</v>
      </c>
      <c r="D25">
        <v>0.356526902213751</v>
      </c>
      <c r="E25">
        <v>4.4140046026895199</v>
      </c>
      <c r="F25">
        <v>2.5651182455530699</v>
      </c>
      <c r="G25">
        <v>-71.354074535803363</v>
      </c>
      <c r="H25">
        <v>-61.877034655900651</v>
      </c>
      <c r="I25">
        <v>9.2626104480308005</v>
      </c>
      <c r="J25">
        <v>5.39983257478944</v>
      </c>
      <c r="K25">
        <v>1.7207801668955001</v>
      </c>
      <c r="L25">
        <v>3.1745611544155737E-5</v>
      </c>
      <c r="M25">
        <v>1.8227085546151336E-6</v>
      </c>
      <c r="N25" s="1">
        <v>-7.6860910119248098E-8</v>
      </c>
      <c r="O25" s="1">
        <v>1.52484962574401E-11</v>
      </c>
      <c r="P25" s="1">
        <v>2.6001823518960199E-10</v>
      </c>
      <c r="Q25">
        <v>65.740649985011601</v>
      </c>
      <c r="S25">
        <v>20.911522194118501</v>
      </c>
      <c r="AA25">
        <v>1.9125379852636299</v>
      </c>
      <c r="AB25">
        <v>8.9867105907071494</v>
      </c>
      <c r="AC25">
        <v>2.4485792448989998</v>
      </c>
      <c r="AJ25">
        <v>0.77108933702895799</v>
      </c>
      <c r="AK25">
        <v>9.0682774993917206E-2</v>
      </c>
      <c r="AL25">
        <v>0.13822788797712399</v>
      </c>
    </row>
    <row r="26" spans="1:38" x14ac:dyDescent="0.2">
      <c r="A26">
        <v>91</v>
      </c>
      <c r="B26">
        <v>749</v>
      </c>
      <c r="C26">
        <v>220</v>
      </c>
      <c r="D26">
        <v>0.35582889008462698</v>
      </c>
      <c r="E26">
        <v>8.0370954052125398</v>
      </c>
      <c r="F26">
        <v>2.5656997023294399</v>
      </c>
      <c r="G26">
        <v>-129.92142849764156</v>
      </c>
      <c r="H26">
        <v>-112.69263257918148</v>
      </c>
      <c r="I26">
        <v>16.8554477507803</v>
      </c>
      <c r="J26">
        <v>9.8365466607071301</v>
      </c>
      <c r="K26">
        <v>3.1325160142145698</v>
      </c>
      <c r="L26">
        <v>3.1785900263028846E-5</v>
      </c>
      <c r="M26">
        <v>1.8222817229622803E-6</v>
      </c>
      <c r="N26" s="1">
        <v>-1.44508383232779E-7</v>
      </c>
      <c r="O26" s="1">
        <v>2.7702235886309302E-11</v>
      </c>
      <c r="P26" s="1">
        <v>4.8653444245636598E-10</v>
      </c>
      <c r="Q26">
        <v>65.705735189617002</v>
      </c>
      <c r="S26">
        <v>20.943302127897699</v>
      </c>
      <c r="AA26">
        <v>1.9469036462215501</v>
      </c>
      <c r="AB26">
        <v>8.9922200693023004</v>
      </c>
      <c r="AC26">
        <v>2.41183896696133</v>
      </c>
      <c r="AJ26">
        <v>0.77154038596895202</v>
      </c>
      <c r="AK26">
        <v>9.2309624810933702E-2</v>
      </c>
      <c r="AL26">
        <v>0.13614998922011301</v>
      </c>
    </row>
    <row r="27" spans="1:38" x14ac:dyDescent="0.2">
      <c r="A27">
        <v>92</v>
      </c>
      <c r="B27">
        <v>748</v>
      </c>
      <c r="C27">
        <v>220</v>
      </c>
      <c r="D27">
        <v>0.355129510845618</v>
      </c>
      <c r="E27">
        <v>13.0716189893476</v>
      </c>
      <c r="F27">
        <v>2.5662259070720999</v>
      </c>
      <c r="G27">
        <v>-211.3009716483682</v>
      </c>
      <c r="H27">
        <v>-183.32395958860988</v>
      </c>
      <c r="I27">
        <v>27.397553796952799</v>
      </c>
      <c r="J27">
        <v>16.005700800357399</v>
      </c>
      <c r="K27">
        <v>5.0937132827333604</v>
      </c>
      <c r="L27">
        <v>3.1828678904376802E-5</v>
      </c>
      <c r="M27">
        <v>1.8219349730187281E-6</v>
      </c>
      <c r="N27" s="1">
        <v>-2.4269243917201399E-7</v>
      </c>
      <c r="O27" s="1">
        <v>4.4955957091501302E-11</v>
      </c>
      <c r="P27" s="1">
        <v>8.1328311281430099E-10</v>
      </c>
      <c r="Q27">
        <v>65.674861687686203</v>
      </c>
      <c r="S27">
        <v>20.971538500837301</v>
      </c>
      <c r="AA27">
        <v>1.97740285262174</v>
      </c>
      <c r="AB27">
        <v>8.9974454482606898</v>
      </c>
      <c r="AC27">
        <v>2.3787515105939199</v>
      </c>
      <c r="AJ27">
        <v>0.77196818756148999</v>
      </c>
      <c r="AK27">
        <v>9.3753206054137894E-2</v>
      </c>
      <c r="AL27">
        <v>0.134278606384371</v>
      </c>
    </row>
    <row r="28" spans="1:38" x14ac:dyDescent="0.2">
      <c r="A28">
        <v>93</v>
      </c>
      <c r="B28">
        <v>747</v>
      </c>
      <c r="C28">
        <v>220</v>
      </c>
      <c r="D28">
        <v>0.35442876047640198</v>
      </c>
      <c r="E28">
        <v>17.073455123119501</v>
      </c>
      <c r="F28">
        <v>2.5666124121480198</v>
      </c>
      <c r="G28">
        <v>-275.9765626661889</v>
      </c>
      <c r="H28">
        <v>-239.49162849187405</v>
      </c>
      <c r="I28">
        <v>35.7642838546438</v>
      </c>
      <c r="J28">
        <v>20.915897608200702</v>
      </c>
      <c r="K28">
        <v>6.6521361161931596</v>
      </c>
      <c r="L28">
        <v>3.1876818319887233E-5</v>
      </c>
      <c r="M28">
        <v>1.8218198430528817E-6</v>
      </c>
      <c r="N28" s="1">
        <v>-3.2737200732961099E-7</v>
      </c>
      <c r="O28" s="1">
        <v>5.8601317551836499E-11</v>
      </c>
      <c r="P28" s="1">
        <v>1.0920063023251701E-9</v>
      </c>
      <c r="Q28">
        <v>65.655379063651296</v>
      </c>
      <c r="S28">
        <v>20.990296655969701</v>
      </c>
      <c r="AA28">
        <v>1.9974245266481201</v>
      </c>
      <c r="AB28">
        <v>9.0032064076213398</v>
      </c>
      <c r="AC28">
        <v>2.3536933461095102</v>
      </c>
      <c r="AJ28">
        <v>0.77244003617412904</v>
      </c>
      <c r="AK28">
        <v>9.46997292363536E-2</v>
      </c>
      <c r="AL28">
        <v>0.13286023458951601</v>
      </c>
    </row>
    <row r="29" spans="1:38" x14ac:dyDescent="0.2">
      <c r="A29">
        <v>94</v>
      </c>
      <c r="B29">
        <v>746</v>
      </c>
      <c r="C29">
        <v>220</v>
      </c>
      <c r="D29">
        <v>0.35372663494088302</v>
      </c>
      <c r="E29">
        <v>18.649682756210101</v>
      </c>
      <c r="F29">
        <v>2.5668635465240399</v>
      </c>
      <c r="G29">
        <v>-301.43232473513234</v>
      </c>
      <c r="H29">
        <v>-261.64102193301045</v>
      </c>
      <c r="I29">
        <v>39.043617526489598</v>
      </c>
      <c r="J29">
        <v>22.8583792535524</v>
      </c>
      <c r="K29">
        <v>7.2655528500783904</v>
      </c>
      <c r="L29">
        <v>3.1930590767485232E-5</v>
      </c>
      <c r="M29">
        <v>1.8219382465389422E-6</v>
      </c>
      <c r="N29" s="1">
        <v>-3.6936836045824102E-7</v>
      </c>
      <c r="O29" s="1">
        <v>6.3895162165227898E-11</v>
      </c>
      <c r="P29" s="1">
        <v>1.22651468153326E-9</v>
      </c>
      <c r="Q29">
        <v>65.647222332731801</v>
      </c>
      <c r="S29">
        <v>20.9997391053409</v>
      </c>
      <c r="AA29">
        <v>2.0071179057127102</v>
      </c>
      <c r="AB29">
        <v>9.0097841787425796</v>
      </c>
      <c r="AC29">
        <v>2.3361364774719</v>
      </c>
      <c r="AJ29">
        <v>0.77297897021826101</v>
      </c>
      <c r="AK29">
        <v>9.5156172797766794E-2</v>
      </c>
      <c r="AL29">
        <v>0.13186485698397099</v>
      </c>
    </row>
    <row r="30" spans="1:38" x14ac:dyDescent="0.2">
      <c r="A30">
        <v>95</v>
      </c>
      <c r="B30">
        <v>745</v>
      </c>
      <c r="C30">
        <v>220</v>
      </c>
      <c r="D30">
        <v>0.35302313018710402</v>
      </c>
      <c r="E30">
        <v>19.283910481997999</v>
      </c>
      <c r="F30">
        <v>2.5670268184027498</v>
      </c>
      <c r="G30">
        <v>-311.65491640796409</v>
      </c>
      <c r="H30">
        <v>-270.57410522757232</v>
      </c>
      <c r="I30">
        <v>40.348486156648498</v>
      </c>
      <c r="J30">
        <v>23.648143474770499</v>
      </c>
      <c r="K30">
        <v>7.5121577787008702</v>
      </c>
      <c r="L30">
        <v>3.1988763317746189E-5</v>
      </c>
      <c r="M30">
        <v>1.8222129246253498E-6</v>
      </c>
      <c r="N30" s="1">
        <v>-3.9455992164805902E-7</v>
      </c>
      <c r="O30" s="1">
        <v>6.59549402414702E-11</v>
      </c>
      <c r="P30" s="1">
        <v>1.3043368994766599E-9</v>
      </c>
      <c r="Q30">
        <v>65.646511002840796</v>
      </c>
      <c r="S30">
        <v>21.003089521003499</v>
      </c>
      <c r="AA30">
        <v>2.01004801204546</v>
      </c>
      <c r="AB30">
        <v>9.0169825684637708</v>
      </c>
      <c r="AC30">
        <v>2.3233688956463499</v>
      </c>
      <c r="AJ30">
        <v>0.77356883998946302</v>
      </c>
      <c r="AK30">
        <v>9.5291674591634803E-2</v>
      </c>
      <c r="AL30">
        <v>0.131139485418901</v>
      </c>
    </row>
    <row r="31" spans="1:38" x14ac:dyDescent="0.2">
      <c r="A31">
        <v>98</v>
      </c>
      <c r="B31">
        <v>756</v>
      </c>
      <c r="C31">
        <v>200</v>
      </c>
      <c r="D31">
        <v>0.38206335325268598</v>
      </c>
      <c r="E31">
        <v>1.20786862444014</v>
      </c>
      <c r="F31">
        <v>2.5660396044165701</v>
      </c>
      <c r="G31">
        <v>-19.567335386180837</v>
      </c>
      <c r="H31">
        <v>-16.949431825975037</v>
      </c>
      <c r="I31">
        <v>2.5437531557166499</v>
      </c>
      <c r="J31">
        <v>1.4751689171014</v>
      </c>
      <c r="K31">
        <v>0.47071316528443202</v>
      </c>
      <c r="L31">
        <v>3.1526708159014369E-5</v>
      </c>
      <c r="M31">
        <v>1.8220470493450554E-6</v>
      </c>
      <c r="N31" s="1">
        <v>-1.7421367019381602E-8</v>
      </c>
      <c r="O31" s="1">
        <v>4.1877199137720598E-12</v>
      </c>
      <c r="P31" s="1">
        <v>6.0785267969328905E-11</v>
      </c>
      <c r="Q31">
        <v>65.657644945291096</v>
      </c>
      <c r="S31">
        <v>21.031068642456599</v>
      </c>
      <c r="AA31">
        <v>2.0305331204675299</v>
      </c>
      <c r="AB31">
        <v>9.1151448666593708</v>
      </c>
      <c r="AC31">
        <v>2.1656084251252801</v>
      </c>
      <c r="AJ31">
        <v>0.781608830609552</v>
      </c>
      <c r="AK31">
        <v>9.6215878647142802E-2</v>
      </c>
      <c r="AL31">
        <v>0.12217529074330501</v>
      </c>
    </row>
    <row r="32" spans="1:38" x14ac:dyDescent="0.2">
      <c r="A32">
        <v>99</v>
      </c>
      <c r="B32">
        <v>755</v>
      </c>
      <c r="C32">
        <v>200</v>
      </c>
      <c r="D32">
        <v>0.38139425181150599</v>
      </c>
      <c r="E32">
        <v>2.6801926331256598</v>
      </c>
      <c r="F32">
        <v>2.56378672666838</v>
      </c>
      <c r="G32">
        <v>-43.382202031818686</v>
      </c>
      <c r="H32">
        <v>-37.581909187036665</v>
      </c>
      <c r="I32">
        <v>5.6414850408812098</v>
      </c>
      <c r="J32">
        <v>3.2728640695680702</v>
      </c>
      <c r="K32">
        <v>1.04540389621587</v>
      </c>
      <c r="L32">
        <v>3.1545541105926969E-5</v>
      </c>
      <c r="M32">
        <v>1.8240303416997304E-6</v>
      </c>
      <c r="N32" s="1">
        <v>-3.94842168174085E-8</v>
      </c>
      <c r="O32" s="1">
        <v>9.3214603595018297E-12</v>
      </c>
      <c r="P32" s="1">
        <v>1.3721037494293801E-10</v>
      </c>
      <c r="Q32">
        <v>65.780678414227594</v>
      </c>
      <c r="S32">
        <v>20.897110472577101</v>
      </c>
      <c r="AA32">
        <v>1.89130808069395</v>
      </c>
      <c r="AB32">
        <v>9.0381295973040796</v>
      </c>
      <c r="AC32">
        <v>2.3927734351971099</v>
      </c>
      <c r="AJ32">
        <v>0.77530360026828204</v>
      </c>
      <c r="AK32">
        <v>8.9653305132583294E-2</v>
      </c>
      <c r="AL32">
        <v>0.13504309459913399</v>
      </c>
    </row>
    <row r="33" spans="1:38" x14ac:dyDescent="0.2">
      <c r="A33">
        <v>100</v>
      </c>
      <c r="B33">
        <v>754</v>
      </c>
      <c r="C33">
        <v>200</v>
      </c>
      <c r="D33">
        <v>0.38072384753930699</v>
      </c>
      <c r="E33">
        <v>5.0522103634196496</v>
      </c>
      <c r="F33">
        <v>2.5620918603473899</v>
      </c>
      <c r="G33">
        <v>-81.714927964369735</v>
      </c>
      <c r="H33">
        <v>-70.798569321372312</v>
      </c>
      <c r="I33">
        <v>10.627813506301299</v>
      </c>
      <c r="J33">
        <v>6.1683370133716497</v>
      </c>
      <c r="K33">
        <v>1.97190836191744</v>
      </c>
      <c r="L33">
        <v>3.1543432640944811E-5</v>
      </c>
      <c r="M33">
        <v>1.8249237725109277E-6</v>
      </c>
      <c r="N33" s="1">
        <v>-7.5939867836106405E-8</v>
      </c>
      <c r="O33" s="1">
        <v>1.7607982985926601E-11</v>
      </c>
      <c r="P33" s="1">
        <v>2.6290588534034801E-10</v>
      </c>
      <c r="Q33">
        <v>65.852148071835998</v>
      </c>
      <c r="S33">
        <v>20.803975105534199</v>
      </c>
      <c r="AA33">
        <v>1.79779398170353</v>
      </c>
      <c r="AB33">
        <v>8.9532294241075903</v>
      </c>
      <c r="AC33">
        <v>2.5928534168185799</v>
      </c>
      <c r="AJ33">
        <v>0.76834621043017004</v>
      </c>
      <c r="AK33">
        <v>8.5256588952743503E-2</v>
      </c>
      <c r="AL33">
        <v>0.146397200617085</v>
      </c>
    </row>
    <row r="34" spans="1:38" x14ac:dyDescent="0.2">
      <c r="A34">
        <v>101</v>
      </c>
      <c r="B34">
        <v>753</v>
      </c>
      <c r="C34">
        <v>200</v>
      </c>
      <c r="D34">
        <v>0.380052136627202</v>
      </c>
      <c r="E34">
        <v>8.2837785758071796</v>
      </c>
      <c r="F34">
        <v>2.5631023279470799</v>
      </c>
      <c r="G34">
        <v>-133.99370147830192</v>
      </c>
      <c r="H34">
        <v>-116.12328517914</v>
      </c>
      <c r="I34">
        <v>17.415013691138601</v>
      </c>
      <c r="J34">
        <v>10.1178796201393</v>
      </c>
      <c r="K34">
        <v>3.2319343966427101</v>
      </c>
      <c r="L34">
        <v>3.1569510262713242E-5</v>
      </c>
      <c r="M34">
        <v>1.8238822595700116E-6</v>
      </c>
      <c r="N34" s="1">
        <v>-1.2856808012120601E-7</v>
      </c>
      <c r="O34" s="1">
        <v>2.8790008237164601E-11</v>
      </c>
      <c r="P34" s="1">
        <v>4.4276872456900299E-10</v>
      </c>
      <c r="Q34">
        <v>65.785643910143307</v>
      </c>
      <c r="S34">
        <v>20.863362527812001</v>
      </c>
      <c r="AA34">
        <v>1.8623070501221799</v>
      </c>
      <c r="AB34">
        <v>8.9607203139791096</v>
      </c>
      <c r="AC34">
        <v>2.5279661979432699</v>
      </c>
      <c r="AJ34">
        <v>0.76895938176358603</v>
      </c>
      <c r="AK34">
        <v>8.8312576524741004E-2</v>
      </c>
      <c r="AL34">
        <v>0.142728041711671</v>
      </c>
    </row>
    <row r="35" spans="1:38" x14ac:dyDescent="0.2">
      <c r="A35">
        <v>102</v>
      </c>
      <c r="B35">
        <v>752</v>
      </c>
      <c r="C35">
        <v>200</v>
      </c>
      <c r="D35">
        <v>0.37937911525142798</v>
      </c>
      <c r="E35">
        <v>10.4102158881409</v>
      </c>
      <c r="F35">
        <v>2.5637811190814399</v>
      </c>
      <c r="G35">
        <v>-168.39187724199476</v>
      </c>
      <c r="H35">
        <v>-145.96941430868668</v>
      </c>
      <c r="I35">
        <v>21.8723727584334</v>
      </c>
      <c r="J35">
        <v>12.7203001144319</v>
      </c>
      <c r="K35">
        <v>4.0604932342550102</v>
      </c>
      <c r="L35">
        <v>3.1603579094648498E-5</v>
      </c>
      <c r="M35">
        <v>1.8233212355109015E-6</v>
      </c>
      <c r="N35" s="1">
        <v>-1.66827019720948E-7</v>
      </c>
      <c r="O35" s="1">
        <v>3.60986396271892E-11</v>
      </c>
      <c r="P35" s="1">
        <v>5.7156273113325295E-10</v>
      </c>
      <c r="Q35">
        <v>65.744105360334402</v>
      </c>
      <c r="S35">
        <v>20.901188761880402</v>
      </c>
      <c r="AA35">
        <v>1.9032065332678001</v>
      </c>
      <c r="AB35">
        <v>8.9673202732942805</v>
      </c>
      <c r="AC35">
        <v>2.4841790712229601</v>
      </c>
      <c r="AJ35">
        <v>0.76949984944552496</v>
      </c>
      <c r="AK35">
        <v>9.02490352934745E-2</v>
      </c>
      <c r="AL35">
        <v>0.14025111526099901</v>
      </c>
    </row>
    <row r="36" spans="1:38" x14ac:dyDescent="0.2">
      <c r="A36">
        <v>103</v>
      </c>
      <c r="B36">
        <v>751</v>
      </c>
      <c r="C36">
        <v>200</v>
      </c>
      <c r="D36">
        <v>0.378704779573308</v>
      </c>
      <c r="E36">
        <v>16.138345349441298</v>
      </c>
      <c r="F36">
        <v>2.5649246104796499</v>
      </c>
      <c r="G36">
        <v>-261.07378712832929</v>
      </c>
      <c r="H36">
        <v>-226.3697604668113</v>
      </c>
      <c r="I36">
        <v>33.885687312911102</v>
      </c>
      <c r="J36">
        <v>19.727494364251001</v>
      </c>
      <c r="K36">
        <v>6.2919375031546796</v>
      </c>
      <c r="L36">
        <v>3.162480626657089E-5</v>
      </c>
      <c r="M36">
        <v>1.8219641739452833E-6</v>
      </c>
      <c r="N36" s="1">
        <v>-2.6692022588160902E-7</v>
      </c>
      <c r="O36" s="1">
        <v>5.5786527801854197E-11</v>
      </c>
      <c r="P36" s="1">
        <v>9.0996684350355595E-10</v>
      </c>
      <c r="Q36">
        <v>65.663237937606496</v>
      </c>
      <c r="S36">
        <v>20.9711640797426</v>
      </c>
      <c r="AA36">
        <v>1.9798061945590799</v>
      </c>
      <c r="AB36">
        <v>8.9705609508705901</v>
      </c>
      <c r="AC36">
        <v>2.4152308372211801</v>
      </c>
      <c r="AJ36">
        <v>0.76976428016126097</v>
      </c>
      <c r="AK36">
        <v>9.38796846545321E-2</v>
      </c>
      <c r="AL36">
        <v>0.136356035184205</v>
      </c>
    </row>
    <row r="37" spans="1:38" x14ac:dyDescent="0.2">
      <c r="A37">
        <v>104</v>
      </c>
      <c r="B37">
        <v>750</v>
      </c>
      <c r="C37">
        <v>200</v>
      </c>
      <c r="D37">
        <v>0.37802912573913899</v>
      </c>
      <c r="E37">
        <v>17.957324039858602</v>
      </c>
      <c r="F37">
        <v>2.5653950816992999</v>
      </c>
      <c r="G37">
        <v>-290.49037015539693</v>
      </c>
      <c r="H37">
        <v>-251.93519901347042</v>
      </c>
      <c r="I37">
        <v>37.682813997875598</v>
      </c>
      <c r="J37">
        <v>21.960370322228599</v>
      </c>
      <c r="K37">
        <v>6.99982788926369</v>
      </c>
      <c r="L37">
        <v>3.1665302663136167E-5</v>
      </c>
      <c r="M37">
        <v>1.8216970179966564E-6</v>
      </c>
      <c r="N37" s="1">
        <v>-3.0666438637918599E-7</v>
      </c>
      <c r="O37" s="1">
        <v>6.1951058158455797E-11</v>
      </c>
      <c r="P37" s="1">
        <v>1.0402835559437999E-9</v>
      </c>
      <c r="Q37">
        <v>65.636937726317598</v>
      </c>
      <c r="S37">
        <v>20.995637670574101</v>
      </c>
      <c r="AA37">
        <v>2.0061339523419899</v>
      </c>
      <c r="AB37">
        <v>8.9761130403233</v>
      </c>
      <c r="AC37">
        <v>2.3851776104428102</v>
      </c>
      <c r="AJ37">
        <v>0.77021902803586495</v>
      </c>
      <c r="AK37">
        <v>9.5125433460903103E-2</v>
      </c>
      <c r="AL37">
        <v>0.134655538503231</v>
      </c>
    </row>
    <row r="38" spans="1:38" x14ac:dyDescent="0.2">
      <c r="A38">
        <v>105</v>
      </c>
      <c r="B38">
        <v>749</v>
      </c>
      <c r="C38">
        <v>200</v>
      </c>
      <c r="D38">
        <v>0.37735214988015597</v>
      </c>
      <c r="E38">
        <v>18.675978868045799</v>
      </c>
      <c r="F38">
        <v>2.5656467235532698</v>
      </c>
      <c r="G38">
        <v>-302.09344366301303</v>
      </c>
      <c r="H38">
        <v>-262.0573183288472</v>
      </c>
      <c r="I38">
        <v>39.168542126073199</v>
      </c>
      <c r="J38">
        <v>22.849428853075501</v>
      </c>
      <c r="K38">
        <v>7.2792480338761099</v>
      </c>
      <c r="L38">
        <v>3.1713529770354463E-5</v>
      </c>
      <c r="M38">
        <v>1.8217999954928401E-6</v>
      </c>
      <c r="N38" s="1">
        <v>-3.2938408046892298E-7</v>
      </c>
      <c r="O38" s="1">
        <v>6.4324523517520701E-11</v>
      </c>
      <c r="P38" s="1">
        <v>1.1118922229741301E-9</v>
      </c>
      <c r="Q38">
        <v>65.628801929652099</v>
      </c>
      <c r="S38">
        <v>21.0051185808077</v>
      </c>
      <c r="AA38">
        <v>2.0158541772898602</v>
      </c>
      <c r="AB38">
        <v>8.9828382924578793</v>
      </c>
      <c r="AC38">
        <v>2.3673870197923002</v>
      </c>
      <c r="AJ38">
        <v>0.77077019704480898</v>
      </c>
      <c r="AK38">
        <v>9.5583127208359195E-2</v>
      </c>
      <c r="AL38">
        <v>0.13364667574683101</v>
      </c>
    </row>
    <row r="39" spans="1:38" x14ac:dyDescent="0.2">
      <c r="A39">
        <v>107</v>
      </c>
      <c r="B39">
        <v>764</v>
      </c>
      <c r="C39">
        <v>180</v>
      </c>
      <c r="D39">
        <v>0.40858169020874802</v>
      </c>
      <c r="E39">
        <v>8.5864906030038393E-2</v>
      </c>
      <c r="F39">
        <v>2.56644565542245</v>
      </c>
      <c r="G39">
        <v>-1.3939543995345369</v>
      </c>
      <c r="H39">
        <v>-1.2055555501004829</v>
      </c>
      <c r="I39">
        <v>0.181650532164155</v>
      </c>
      <c r="J39">
        <v>0.104648877820561</v>
      </c>
      <c r="K39">
        <v>3.3456740394491001E-2</v>
      </c>
      <c r="L39">
        <v>3.1233707729626779E-5</v>
      </c>
      <c r="M39">
        <v>1.8201024077187389E-6</v>
      </c>
      <c r="N39" s="1">
        <v>-9.588052906850919E-10</v>
      </c>
      <c r="O39" s="1">
        <v>2.99095325635534E-13</v>
      </c>
      <c r="P39" s="1">
        <v>3.5133578170584601E-12</v>
      </c>
      <c r="Q39">
        <v>65.548308078744896</v>
      </c>
      <c r="S39">
        <v>21.147574444087201</v>
      </c>
      <c r="AA39">
        <v>2.1521638628145698</v>
      </c>
      <c r="AB39">
        <v>9.1769286277317494</v>
      </c>
      <c r="AC39">
        <v>1.9750249866215099</v>
      </c>
      <c r="AJ39">
        <v>0.78666338056729501</v>
      </c>
      <c r="AK39">
        <v>0.101947764066823</v>
      </c>
      <c r="AL39">
        <v>0.11138885536588</v>
      </c>
    </row>
    <row r="40" spans="1:38" x14ac:dyDescent="0.2">
      <c r="A40">
        <v>108</v>
      </c>
      <c r="B40">
        <v>763</v>
      </c>
      <c r="C40">
        <v>180</v>
      </c>
      <c r="D40">
        <v>0.40794334797085602</v>
      </c>
      <c r="E40">
        <v>0.53145656257768803</v>
      </c>
      <c r="F40">
        <v>2.5659050243354402</v>
      </c>
      <c r="G40">
        <v>-8.6254691868729694</v>
      </c>
      <c r="H40">
        <v>-7.4610960340735053</v>
      </c>
      <c r="I40">
        <v>1.1237496045934099</v>
      </c>
      <c r="J40">
        <v>0.647856898933864</v>
      </c>
      <c r="K40">
        <v>0.207122460705782</v>
      </c>
      <c r="L40">
        <v>3.1275155507895767E-5</v>
      </c>
      <c r="M40">
        <v>1.8211617903500359E-6</v>
      </c>
      <c r="N40" s="1">
        <v>-6.1164693684783801E-9</v>
      </c>
      <c r="O40" s="1">
        <v>1.8517237610942799E-12</v>
      </c>
      <c r="P40" s="1">
        <v>2.227102012631E-11</v>
      </c>
      <c r="Q40">
        <v>65.594993562302093</v>
      </c>
      <c r="S40">
        <v>21.106411969653401</v>
      </c>
      <c r="AA40">
        <v>2.1073109805800501</v>
      </c>
      <c r="AB40">
        <v>9.1730519464485898</v>
      </c>
      <c r="AC40">
        <v>2.0182315410156999</v>
      </c>
      <c r="AJ40">
        <v>0.78634694734639399</v>
      </c>
      <c r="AK40">
        <v>9.98251043249095E-2</v>
      </c>
      <c r="AL40">
        <v>0.113827948328696</v>
      </c>
    </row>
    <row r="41" spans="1:38" x14ac:dyDescent="0.2">
      <c r="A41">
        <v>109</v>
      </c>
      <c r="B41">
        <v>762</v>
      </c>
      <c r="C41">
        <v>180</v>
      </c>
      <c r="D41">
        <v>0.40730377240013699</v>
      </c>
      <c r="E41">
        <v>0.97905086076597603</v>
      </c>
      <c r="F41">
        <v>2.56536829178388</v>
      </c>
      <c r="G41">
        <v>-15.885510086246148</v>
      </c>
      <c r="H41">
        <v>-13.743661076948547</v>
      </c>
      <c r="I41">
        <v>2.0691194602691398</v>
      </c>
      <c r="J41">
        <v>1.19374122189988</v>
      </c>
      <c r="K41">
        <v>0.38164144458383797</v>
      </c>
      <c r="L41">
        <v>3.1316127370882887E-5</v>
      </c>
      <c r="M41">
        <v>1.8221827837909816E-6</v>
      </c>
      <c r="N41" s="1">
        <v>-1.16116102194814E-8</v>
      </c>
      <c r="O41" s="1">
        <v>3.41202916557867E-12</v>
      </c>
      <c r="P41" s="1">
        <v>4.20194431843189E-11</v>
      </c>
      <c r="Q41">
        <v>65.640211489496906</v>
      </c>
      <c r="S41">
        <v>21.066019471495</v>
      </c>
      <c r="AA41">
        <v>2.06343577087104</v>
      </c>
      <c r="AB41">
        <v>9.1679234874084194</v>
      </c>
      <c r="AC41">
        <v>2.06240978072855</v>
      </c>
      <c r="AJ41">
        <v>0.78592805791749498</v>
      </c>
      <c r="AK41">
        <v>9.7749278099437897E-2</v>
      </c>
      <c r="AL41">
        <v>0.116322663983066</v>
      </c>
    </row>
    <row r="42" spans="1:38" x14ac:dyDescent="0.2">
      <c r="A42">
        <v>110</v>
      </c>
      <c r="B42">
        <v>761</v>
      </c>
      <c r="C42">
        <v>180</v>
      </c>
      <c r="D42">
        <v>0.40666295991877599</v>
      </c>
      <c r="E42">
        <v>1.77149914715047</v>
      </c>
      <c r="F42">
        <v>2.5643340022597298</v>
      </c>
      <c r="G42">
        <v>-28.730839043793125</v>
      </c>
      <c r="H42">
        <v>-24.861068352152579</v>
      </c>
      <c r="I42">
        <v>3.7419820061311602</v>
      </c>
      <c r="J42">
        <v>2.1602067439666301</v>
      </c>
      <c r="K42">
        <v>0.69082231315788201</v>
      </c>
      <c r="L42">
        <v>3.1351724104505596E-5</v>
      </c>
      <c r="M42">
        <v>1.8235271671824337E-6</v>
      </c>
      <c r="N42" s="1">
        <v>-2.1597894030319199E-8</v>
      </c>
      <c r="O42" s="1">
        <v>6.1804825716698199E-12</v>
      </c>
      <c r="P42" s="1">
        <v>7.7717074887362702E-11</v>
      </c>
      <c r="Q42">
        <v>65.709503722125703</v>
      </c>
      <c r="S42">
        <v>20.997855131580302</v>
      </c>
      <c r="AA42">
        <v>1.99103109729596</v>
      </c>
      <c r="AB42">
        <v>9.1436358334653605</v>
      </c>
      <c r="AC42">
        <v>2.1579742155326298</v>
      </c>
      <c r="AJ42">
        <v>0.78394168117115504</v>
      </c>
      <c r="AK42">
        <v>9.4330832775854107E-2</v>
      </c>
      <c r="AL42">
        <v>0.12172748605299</v>
      </c>
    </row>
    <row r="43" spans="1:38" x14ac:dyDescent="0.2">
      <c r="A43">
        <v>111</v>
      </c>
      <c r="B43">
        <v>760</v>
      </c>
      <c r="C43">
        <v>180</v>
      </c>
      <c r="D43">
        <v>0.40602090693510101</v>
      </c>
      <c r="E43">
        <v>3.2084972270225398</v>
      </c>
      <c r="F43">
        <v>2.56228178963877</v>
      </c>
      <c r="G43">
        <v>-51.995848480086309</v>
      </c>
      <c r="H43">
        <v>-44.997468633227108</v>
      </c>
      <c r="I43">
        <v>6.7738274663497098</v>
      </c>
      <c r="J43">
        <v>3.9119242483279102</v>
      </c>
      <c r="K43">
        <v>1.2522031105231599</v>
      </c>
      <c r="L43">
        <v>3.1367150933133938E-5</v>
      </c>
      <c r="M43">
        <v>1.8253119925103318E-6</v>
      </c>
      <c r="N43" s="1">
        <v>-3.9965922801418102E-8</v>
      </c>
      <c r="O43" s="1">
        <v>1.12260880292315E-11</v>
      </c>
      <c r="P43" s="1">
        <v>1.4315936993945199E-10</v>
      </c>
      <c r="Q43">
        <v>65.820772135699301</v>
      </c>
      <c r="S43">
        <v>20.876017535740999</v>
      </c>
      <c r="AA43">
        <v>1.86455087004057</v>
      </c>
      <c r="AB43">
        <v>9.0721784296792993</v>
      </c>
      <c r="AC43">
        <v>2.3664810288397899</v>
      </c>
      <c r="AJ43">
        <v>0.77809324693437998</v>
      </c>
      <c r="AK43">
        <v>8.8370047773401295E-2</v>
      </c>
      <c r="AL43">
        <v>0.13353670529221801</v>
      </c>
    </row>
    <row r="44" spans="1:38" x14ac:dyDescent="0.2">
      <c r="A44">
        <v>112</v>
      </c>
      <c r="B44">
        <v>759</v>
      </c>
      <c r="C44">
        <v>180</v>
      </c>
      <c r="D44">
        <v>0.40537760984353299</v>
      </c>
      <c r="E44">
        <v>4.8397918676164</v>
      </c>
      <c r="F44">
        <v>2.5597429734381398</v>
      </c>
      <c r="G44">
        <v>-78.353700342591381</v>
      </c>
      <c r="H44">
        <v>-67.81372158693388</v>
      </c>
      <c r="I44">
        <v>10.211673454107901</v>
      </c>
      <c r="J44">
        <v>5.8986517754943204</v>
      </c>
      <c r="K44">
        <v>1.8907335298261501</v>
      </c>
      <c r="L44">
        <v>3.1355553042157772E-5</v>
      </c>
      <c r="M44">
        <v>1.8268391743342244E-6</v>
      </c>
      <c r="N44" s="1">
        <v>-6.12668154140741E-8</v>
      </c>
      <c r="O44" s="1">
        <v>1.69960676829991E-11</v>
      </c>
      <c r="P44" s="1">
        <v>2.18673314531092E-10</v>
      </c>
      <c r="Q44">
        <v>65.9364602118427</v>
      </c>
      <c r="S44">
        <v>20.735179495757901</v>
      </c>
      <c r="AA44">
        <v>1.7213638139776</v>
      </c>
      <c r="AB44">
        <v>8.9607578724080295</v>
      </c>
      <c r="AC44">
        <v>2.64623860601372</v>
      </c>
      <c r="AJ44">
        <v>0.76896478722492201</v>
      </c>
      <c r="AK44">
        <v>8.1629130375551404E-2</v>
      </c>
      <c r="AL44">
        <v>0.14940608239952599</v>
      </c>
    </row>
    <row r="45" spans="1:38" x14ac:dyDescent="0.2">
      <c r="A45">
        <v>113</v>
      </c>
      <c r="B45">
        <v>758</v>
      </c>
      <c r="C45">
        <v>180</v>
      </c>
      <c r="D45">
        <v>0.40473306502448703</v>
      </c>
      <c r="E45">
        <v>7.4153209180291499</v>
      </c>
      <c r="F45">
        <v>2.5596291694544799</v>
      </c>
      <c r="G45">
        <v>-120.01213733238684</v>
      </c>
      <c r="H45">
        <v>-103.88938356920913</v>
      </c>
      <c r="I45">
        <v>15.635701656575399</v>
      </c>
      <c r="J45">
        <v>9.0377258805264393</v>
      </c>
      <c r="K45">
        <v>2.8970293847719799</v>
      </c>
      <c r="L45">
        <v>3.1347822657245856E-5</v>
      </c>
      <c r="M45">
        <v>1.8261667492030155E-6</v>
      </c>
      <c r="N45" s="1">
        <v>-9.6183724574818595E-8</v>
      </c>
      <c r="O45" s="1">
        <v>2.60251695505194E-11</v>
      </c>
      <c r="P45" s="1">
        <v>3.4167954872111199E-10</v>
      </c>
      <c r="Q45">
        <v>65.913128290555804</v>
      </c>
      <c r="S45">
        <v>20.736440206493299</v>
      </c>
      <c r="AA45">
        <v>1.72784809810748</v>
      </c>
      <c r="AB45">
        <v>8.9120690539245295</v>
      </c>
      <c r="AC45">
        <v>2.7105143509187202</v>
      </c>
      <c r="AJ45">
        <v>0.76497148633290502</v>
      </c>
      <c r="AK45">
        <v>8.19564341162409E-2</v>
      </c>
      <c r="AL45">
        <v>0.153072079550853</v>
      </c>
    </row>
    <row r="46" spans="1:38" x14ac:dyDescent="0.2">
      <c r="A46">
        <v>114</v>
      </c>
      <c r="B46">
        <v>757</v>
      </c>
      <c r="C46">
        <v>180</v>
      </c>
      <c r="D46">
        <v>0.40408726884434598</v>
      </c>
      <c r="E46">
        <v>9.6206153902943399</v>
      </c>
      <c r="F46">
        <v>2.56081490581199</v>
      </c>
      <c r="G46">
        <v>-155.72342713861471</v>
      </c>
      <c r="H46">
        <v>-134.83882410154027</v>
      </c>
      <c r="I46">
        <v>20.273361196985299</v>
      </c>
      <c r="J46">
        <v>11.7298483458117</v>
      </c>
      <c r="K46">
        <v>3.75685699441201</v>
      </c>
      <c r="L46">
        <v>3.13681936874983E-5</v>
      </c>
      <c r="M46">
        <v>1.824947555711865E-6</v>
      </c>
      <c r="N46" s="1">
        <v>-1.28895766989886E-7</v>
      </c>
      <c r="O46" s="1">
        <v>3.3666626904598497E-11</v>
      </c>
      <c r="P46" s="1">
        <v>4.5519919911996699E-10</v>
      </c>
      <c r="Q46">
        <v>65.836499607731</v>
      </c>
      <c r="S46">
        <v>20.805921863076101</v>
      </c>
      <c r="AA46">
        <v>1.8030514317795201</v>
      </c>
      <c r="AB46">
        <v>8.9234613388785302</v>
      </c>
      <c r="AC46">
        <v>2.6310657585347799</v>
      </c>
      <c r="AJ46">
        <v>0.76590475683223702</v>
      </c>
      <c r="AK46">
        <v>8.5518549450542103E-2</v>
      </c>
      <c r="AL46">
        <v>0.14857669371721999</v>
      </c>
    </row>
    <row r="47" spans="1:38" x14ac:dyDescent="0.2">
      <c r="A47">
        <v>115</v>
      </c>
      <c r="B47">
        <v>756</v>
      </c>
      <c r="C47">
        <v>180</v>
      </c>
      <c r="D47">
        <v>0.40344021765534699</v>
      </c>
      <c r="E47">
        <v>13.6628400948777</v>
      </c>
      <c r="F47">
        <v>2.5624123766168401</v>
      </c>
      <c r="G47">
        <v>-221.19741138567989</v>
      </c>
      <c r="H47">
        <v>-191.58600079870618</v>
      </c>
      <c r="I47">
        <v>28.772686767695401</v>
      </c>
      <c r="J47">
        <v>16.664337309891501</v>
      </c>
      <c r="K47">
        <v>5.3320223628161001</v>
      </c>
      <c r="L47">
        <v>3.1376402044397861E-5</v>
      </c>
      <c r="M47">
        <v>1.8229998588838192E-6</v>
      </c>
      <c r="N47" s="1">
        <v>-1.8897913026171601E-7</v>
      </c>
      <c r="O47" s="1">
        <v>4.7636026758022901E-11</v>
      </c>
      <c r="P47" s="1">
        <v>6.6364186806570199E-10</v>
      </c>
      <c r="Q47">
        <v>65.724279558238095</v>
      </c>
      <c r="S47">
        <v>20.904215497624101</v>
      </c>
      <c r="AA47">
        <v>1.9103297011307501</v>
      </c>
      <c r="AB47">
        <v>8.93107451759432</v>
      </c>
      <c r="AC47">
        <v>2.5301007254125798</v>
      </c>
      <c r="AJ47">
        <v>0.76652743942118695</v>
      </c>
      <c r="AK47">
        <v>9.0603111242491402E-2</v>
      </c>
      <c r="AL47">
        <v>0.14286944933632001</v>
      </c>
    </row>
    <row r="48" spans="1:38" x14ac:dyDescent="0.2">
      <c r="A48">
        <v>116</v>
      </c>
      <c r="B48">
        <v>755</v>
      </c>
      <c r="C48">
        <v>180</v>
      </c>
      <c r="D48">
        <v>0.40279190779555302</v>
      </c>
      <c r="E48">
        <v>16.311362372830899</v>
      </c>
      <c r="F48">
        <v>2.5634292834912098</v>
      </c>
      <c r="G48">
        <v>-264.09668765329116</v>
      </c>
      <c r="H48">
        <v>-228.80148275350973</v>
      </c>
      <c r="I48">
        <v>34.3288478332747</v>
      </c>
      <c r="J48">
        <v>19.901744019664999</v>
      </c>
      <c r="K48">
        <v>6.3631021451920002</v>
      </c>
      <c r="L48">
        <v>3.1396528674301686E-5</v>
      </c>
      <c r="M48">
        <v>1.821864755879375E-6</v>
      </c>
      <c r="N48" s="1">
        <v>-2.3286404298842401E-7</v>
      </c>
      <c r="O48" s="1">
        <v>5.6715568445237202E-11</v>
      </c>
      <c r="P48" s="1">
        <v>8.1325047804403696E-10</v>
      </c>
      <c r="Q48">
        <v>65.654885467282398</v>
      </c>
      <c r="S48">
        <v>20.965149994070501</v>
      </c>
      <c r="AA48">
        <v>1.97679344706488</v>
      </c>
      <c r="AB48">
        <v>8.9361812111212604</v>
      </c>
      <c r="AC48">
        <v>2.4669898804608099</v>
      </c>
      <c r="AJ48">
        <v>0.76694517881122004</v>
      </c>
      <c r="AK48">
        <v>9.3752841161716699E-2</v>
      </c>
      <c r="AL48">
        <v>0.13930198002706201</v>
      </c>
    </row>
    <row r="49" spans="1:38" x14ac:dyDescent="0.2">
      <c r="A49">
        <v>117</v>
      </c>
      <c r="B49">
        <v>754</v>
      </c>
      <c r="C49">
        <v>180</v>
      </c>
      <c r="D49">
        <v>0.402142335588766</v>
      </c>
      <c r="E49">
        <v>17.618343442373199</v>
      </c>
      <c r="F49">
        <v>2.56398817065151</v>
      </c>
      <c r="G49">
        <v>-285.25389779579524</v>
      </c>
      <c r="H49">
        <v>-247.19012671516217</v>
      </c>
      <c r="I49">
        <v>37.057655727627903</v>
      </c>
      <c r="J49">
        <v>21.504268235370301</v>
      </c>
      <c r="K49">
        <v>6.8714605020569799</v>
      </c>
      <c r="L49">
        <v>3.1428998315727223E-5</v>
      </c>
      <c r="M49">
        <v>1.8214457484602489E-6</v>
      </c>
      <c r="N49" s="1">
        <v>-2.59652259248563E-7</v>
      </c>
      <c r="O49" s="1">
        <v>6.1140280620684099E-11</v>
      </c>
      <c r="P49" s="1">
        <v>9.0185790357969904E-10</v>
      </c>
      <c r="Q49">
        <v>65.621723995417696</v>
      </c>
      <c r="S49">
        <v>20.995508417186301</v>
      </c>
      <c r="AA49">
        <v>2.0095772330940598</v>
      </c>
      <c r="AB49">
        <v>8.9418712021801898</v>
      </c>
      <c r="AC49">
        <v>2.4313191521216</v>
      </c>
      <c r="AJ49">
        <v>0.76741128668148095</v>
      </c>
      <c r="AK49">
        <v>9.5304907558705104E-2</v>
      </c>
      <c r="AL49">
        <v>0.137283805759813</v>
      </c>
    </row>
    <row r="50" spans="1:38" x14ac:dyDescent="0.2">
      <c r="A50">
        <v>118</v>
      </c>
      <c r="B50">
        <v>753</v>
      </c>
      <c r="C50">
        <v>180</v>
      </c>
      <c r="D50">
        <v>0.401491497344444</v>
      </c>
      <c r="E50">
        <v>18.217702850512801</v>
      </c>
      <c r="F50">
        <v>2.5642965378618898</v>
      </c>
      <c r="G50">
        <v>-294.93943138349971</v>
      </c>
      <c r="H50">
        <v>-255.64148729955954</v>
      </c>
      <c r="I50">
        <v>38.296490848258202</v>
      </c>
      <c r="J50">
        <v>22.244304531152</v>
      </c>
      <c r="K50">
        <v>7.1043666680230002</v>
      </c>
      <c r="L50">
        <v>3.1469466133804807E-5</v>
      </c>
      <c r="M50">
        <v>1.8214384911864351E-6</v>
      </c>
      <c r="N50" s="1">
        <v>-2.77217430688506E-7</v>
      </c>
      <c r="O50" s="1">
        <v>6.3122175835170395E-11</v>
      </c>
      <c r="P50" s="1">
        <v>9.5768056573826995E-10</v>
      </c>
      <c r="Q50">
        <v>65.608984766669096</v>
      </c>
      <c r="S50">
        <v>21.008866100377201</v>
      </c>
      <c r="AA50">
        <v>2.02356998337038</v>
      </c>
      <c r="AB50">
        <v>8.9485014170664794</v>
      </c>
      <c r="AC50">
        <v>2.41007773251664</v>
      </c>
      <c r="AJ50">
        <v>0.76795477992951</v>
      </c>
      <c r="AK50">
        <v>9.5965328811308301E-2</v>
      </c>
      <c r="AL50">
        <v>0.13607989125918099</v>
      </c>
    </row>
    <row r="51" spans="1:38" x14ac:dyDescent="0.2">
      <c r="A51">
        <v>120</v>
      </c>
      <c r="B51">
        <v>772</v>
      </c>
      <c r="C51">
        <v>160</v>
      </c>
      <c r="D51">
        <v>0.43469406305315</v>
      </c>
      <c r="E51">
        <v>0.181596408259418</v>
      </c>
      <c r="F51">
        <v>2.5649458777639</v>
      </c>
      <c r="G51">
        <v>-2.952753742143742</v>
      </c>
      <c r="H51">
        <v>-2.5494044259498168</v>
      </c>
      <c r="I51">
        <v>0.38592481097825598</v>
      </c>
      <c r="J51">
        <v>0.22094723634300201</v>
      </c>
      <c r="K51">
        <v>7.0799313870019004E-2</v>
      </c>
      <c r="L51">
        <v>3.1005229810007082E-5</v>
      </c>
      <c r="M51">
        <v>1.8202429490096284E-6</v>
      </c>
      <c r="N51" s="1">
        <v>-1.5623715836632E-9</v>
      </c>
      <c r="O51" s="1">
        <v>6.3656255640201203E-13</v>
      </c>
      <c r="P51" s="1">
        <v>6.0762646334698404E-12</v>
      </c>
      <c r="Q51">
        <v>65.553922313626501</v>
      </c>
      <c r="S51">
        <v>21.148298978053798</v>
      </c>
      <c r="AA51">
        <v>2.1514516057975599</v>
      </c>
      <c r="AB51">
        <v>9.1913391091314391</v>
      </c>
      <c r="AC51">
        <v>1.95498799339064</v>
      </c>
      <c r="AJ51">
        <v>0.78784234844311196</v>
      </c>
      <c r="AK51">
        <v>0.101906738891064</v>
      </c>
      <c r="AL51">
        <v>0.110250912665822</v>
      </c>
    </row>
    <row r="52" spans="1:38" x14ac:dyDescent="0.2">
      <c r="A52">
        <v>121</v>
      </c>
      <c r="B52">
        <v>771</v>
      </c>
      <c r="C52">
        <v>160</v>
      </c>
      <c r="D52">
        <v>0.43408561988220001</v>
      </c>
      <c r="E52">
        <v>0.61070571713320898</v>
      </c>
      <c r="F52">
        <v>2.5644438225832902</v>
      </c>
      <c r="G52">
        <v>-9.9274718928393675</v>
      </c>
      <c r="H52">
        <v>-8.5729887271565666</v>
      </c>
      <c r="I52">
        <v>1.2972112873464501</v>
      </c>
      <c r="J52">
        <v>0.74315144677196099</v>
      </c>
      <c r="K52">
        <v>0.238143534966585</v>
      </c>
      <c r="L52">
        <v>3.1039911241750214E-5</v>
      </c>
      <c r="M52">
        <v>1.8212409171809344E-6</v>
      </c>
      <c r="N52" s="1">
        <v>-5.4160766865931699E-9</v>
      </c>
      <c r="O52" s="1">
        <v>2.1415528956534199E-12</v>
      </c>
      <c r="P52" s="1">
        <v>2.09038501174625E-11</v>
      </c>
      <c r="Q52">
        <v>65.598129198436595</v>
      </c>
      <c r="S52">
        <v>21.109559693140699</v>
      </c>
      <c r="AA52">
        <v>2.1091762268620502</v>
      </c>
      <c r="AB52">
        <v>9.1882917098019892</v>
      </c>
      <c r="AC52">
        <v>1.9948431717585899</v>
      </c>
      <c r="AJ52">
        <v>0.78759376121755698</v>
      </c>
      <c r="AK52">
        <v>9.9905903229609294E-2</v>
      </c>
      <c r="AL52">
        <v>0.112500335552832</v>
      </c>
    </row>
    <row r="53" spans="1:38" x14ac:dyDescent="0.2">
      <c r="A53">
        <v>122</v>
      </c>
      <c r="B53">
        <v>770</v>
      </c>
      <c r="C53">
        <v>160</v>
      </c>
      <c r="D53">
        <v>0.43347601016152998</v>
      </c>
      <c r="E53">
        <v>1.0413461017850001</v>
      </c>
      <c r="F53">
        <v>2.56394635495686</v>
      </c>
      <c r="G53">
        <v>-16.923400073896097</v>
      </c>
      <c r="H53">
        <v>-14.617174203409071</v>
      </c>
      <c r="I53">
        <v>2.2108286157187602</v>
      </c>
      <c r="J53">
        <v>1.2673754571190401</v>
      </c>
      <c r="K53">
        <v>0.40614972297363999</v>
      </c>
      <c r="L53">
        <v>3.1074113007614443E-5</v>
      </c>
      <c r="M53">
        <v>1.8222037137142556E-6</v>
      </c>
      <c r="N53" s="1">
        <v>-9.51801275501931E-9</v>
      </c>
      <c r="O53" s="1">
        <v>3.65293191890349E-12</v>
      </c>
      <c r="P53" s="1">
        <v>3.6464002571862701E-11</v>
      </c>
      <c r="Q53">
        <v>65.640972288110405</v>
      </c>
      <c r="S53">
        <v>21.071568069776699</v>
      </c>
      <c r="AA53">
        <v>2.0678358993108601</v>
      </c>
      <c r="AB53">
        <v>9.1841652580885995</v>
      </c>
      <c r="AC53">
        <v>2.0354584847133701</v>
      </c>
      <c r="AJ53">
        <v>0.78725687074154804</v>
      </c>
      <c r="AK53">
        <v>9.7949817456362498E-2</v>
      </c>
      <c r="AL53">
        <v>0.114793311802088</v>
      </c>
    </row>
    <row r="54" spans="1:38" x14ac:dyDescent="0.2">
      <c r="A54">
        <v>123</v>
      </c>
      <c r="B54">
        <v>769</v>
      </c>
      <c r="C54">
        <v>160</v>
      </c>
      <c r="D54">
        <v>0.43286523053303499</v>
      </c>
      <c r="E54">
        <v>1.4733563868483901</v>
      </c>
      <c r="F54">
        <v>2.5634533135550801</v>
      </c>
      <c r="G54">
        <v>-23.937858954851411</v>
      </c>
      <c r="H54">
        <v>-20.679662735298802</v>
      </c>
      <c r="I54">
        <v>3.1264177129516901</v>
      </c>
      <c r="J54">
        <v>1.7934271579858401</v>
      </c>
      <c r="K54">
        <v>0.57475452314951503</v>
      </c>
      <c r="L54">
        <v>3.1107850657857304E-5</v>
      </c>
      <c r="M54">
        <v>1.8231317447661491E-6</v>
      </c>
      <c r="N54" s="1">
        <v>-1.3876627500739899E-8</v>
      </c>
      <c r="O54" s="1">
        <v>5.1700010178085303E-12</v>
      </c>
      <c r="P54" s="1">
        <v>5.2779186039043603E-11</v>
      </c>
      <c r="Q54">
        <v>65.682467795761099</v>
      </c>
      <c r="S54">
        <v>21.034310404177599</v>
      </c>
      <c r="AA54">
        <v>2.0274155342732598</v>
      </c>
      <c r="AB54">
        <v>9.1789599577929799</v>
      </c>
      <c r="AC54">
        <v>2.0768463079949702</v>
      </c>
      <c r="AJ54">
        <v>0.78683168289346905</v>
      </c>
      <c r="AK54">
        <v>9.6037738316421595E-2</v>
      </c>
      <c r="AL54">
        <v>0.11713057879010801</v>
      </c>
    </row>
    <row r="55" spans="1:38" x14ac:dyDescent="0.2">
      <c r="A55">
        <v>124</v>
      </c>
      <c r="B55">
        <v>768</v>
      </c>
      <c r="C55">
        <v>160</v>
      </c>
      <c r="D55">
        <v>0.43225327762570398</v>
      </c>
      <c r="E55">
        <v>1.9065798211814</v>
      </c>
      <c r="F55">
        <v>2.5629645197543698</v>
      </c>
      <c r="G55">
        <v>-30.968242453998062</v>
      </c>
      <c r="H55">
        <v>-26.758217562968188</v>
      </c>
      <c r="I55">
        <v>4.0436295356383498</v>
      </c>
      <c r="J55">
        <v>2.3211199681804402</v>
      </c>
      <c r="K55">
        <v>0.74389629918252598</v>
      </c>
      <c r="L55">
        <v>3.1141140660447928E-5</v>
      </c>
      <c r="M55">
        <v>1.8240254535901958E-6</v>
      </c>
      <c r="N55" s="1">
        <v>-1.8500623776055699E-8</v>
      </c>
      <c r="O55" s="1">
        <v>6.6920754041934996E-12</v>
      </c>
      <c r="P55" s="1">
        <v>6.9872582608629198E-11</v>
      </c>
      <c r="Q55">
        <v>65.722633667854197</v>
      </c>
      <c r="S55">
        <v>20.9977716203685</v>
      </c>
      <c r="AA55">
        <v>1.98789850635321</v>
      </c>
      <c r="AB55">
        <v>9.1726762780228093</v>
      </c>
      <c r="AC55">
        <v>2.1190199274012298</v>
      </c>
      <c r="AJ55">
        <v>0.78631822246124194</v>
      </c>
      <c r="AK55">
        <v>9.4168850989433894E-2</v>
      </c>
      <c r="AL55">
        <v>0.119512926549323</v>
      </c>
    </row>
    <row r="56" spans="1:38" x14ac:dyDescent="0.2">
      <c r="A56">
        <v>125</v>
      </c>
      <c r="B56">
        <v>767</v>
      </c>
      <c r="C56">
        <v>160</v>
      </c>
      <c r="D56">
        <v>0.43164014805557099</v>
      </c>
      <c r="E56">
        <v>2.3408650029319298</v>
      </c>
      <c r="F56">
        <v>2.5624797792087399</v>
      </c>
      <c r="G56">
        <v>-38.012032594475791</v>
      </c>
      <c r="H56">
        <v>-32.850676164346311</v>
      </c>
      <c r="I56">
        <v>4.9621270298797997</v>
      </c>
      <c r="J56">
        <v>2.85027397198095</v>
      </c>
      <c r="K56">
        <v>0.91351550241491497</v>
      </c>
      <c r="L56">
        <v>3.117400027963881E-5</v>
      </c>
      <c r="M56">
        <v>1.8248853153835286E-6</v>
      </c>
      <c r="N56" s="1">
        <v>-2.3398979328210599E-8</v>
      </c>
      <c r="O56" s="1">
        <v>8.2184876993413392E-12</v>
      </c>
      <c r="P56" s="1">
        <v>8.7768154616695399E-11</v>
      </c>
      <c r="Q56">
        <v>65.761489369053507</v>
      </c>
      <c r="S56">
        <v>20.961935418614299</v>
      </c>
      <c r="AA56">
        <v>1.94926682628932</v>
      </c>
      <c r="AB56">
        <v>9.1653148628634806</v>
      </c>
      <c r="AC56">
        <v>2.16199352317925</v>
      </c>
      <c r="AJ56">
        <v>0.78571652575635298</v>
      </c>
      <c r="AK56">
        <v>9.2342277268445405E-2</v>
      </c>
      <c r="AL56">
        <v>0.121941196975201</v>
      </c>
    </row>
    <row r="57" spans="1:38" x14ac:dyDescent="0.2">
      <c r="A57">
        <v>126</v>
      </c>
      <c r="B57">
        <v>766</v>
      </c>
      <c r="C57">
        <v>160</v>
      </c>
      <c r="D57">
        <v>0.43102583842564002</v>
      </c>
      <c r="E57">
        <v>3.3970635722190599</v>
      </c>
      <c r="F57">
        <v>2.5611052495036501</v>
      </c>
      <c r="G57">
        <v>-55.131917613812149</v>
      </c>
      <c r="H57">
        <v>-47.652869862135283</v>
      </c>
      <c r="I57">
        <v>7.19727445669717</v>
      </c>
      <c r="J57">
        <v>4.1361125401583303</v>
      </c>
      <c r="K57">
        <v>1.32640529821155</v>
      </c>
      <c r="L57">
        <v>3.1193577011813253E-5</v>
      </c>
      <c r="M57">
        <v>1.8262228995206321E-6</v>
      </c>
      <c r="N57" s="1">
        <v>-3.4801455753557102E-8</v>
      </c>
      <c r="O57" s="1">
        <v>1.1947921334532199E-11</v>
      </c>
      <c r="P57" s="1">
        <v>1.2978745591320301E-10</v>
      </c>
      <c r="Q57">
        <v>65.839987626314894</v>
      </c>
      <c r="S57">
        <v>20.8779230512426</v>
      </c>
      <c r="AA57">
        <v>1.86163926779773</v>
      </c>
      <c r="AB57">
        <v>9.1199946768442199</v>
      </c>
      <c r="AC57">
        <v>2.3004553778004402</v>
      </c>
      <c r="AJ57">
        <v>0.78200870051706595</v>
      </c>
      <c r="AK57">
        <v>8.8211116996126104E-2</v>
      </c>
      <c r="AL57">
        <v>0.12978018248680701</v>
      </c>
    </row>
    <row r="58" spans="1:38" x14ac:dyDescent="0.2">
      <c r="A58">
        <v>127</v>
      </c>
      <c r="B58">
        <v>765</v>
      </c>
      <c r="C58">
        <v>160</v>
      </c>
      <c r="D58">
        <v>0.43041034532582101</v>
      </c>
      <c r="E58">
        <v>4.9101928097763201</v>
      </c>
      <c r="F58">
        <v>2.5589735514094198</v>
      </c>
      <c r="G58">
        <v>-79.621189032368093</v>
      </c>
      <c r="H58">
        <v>-68.827397786953995</v>
      </c>
      <c r="I58">
        <v>10.397140341389999</v>
      </c>
      <c r="J58">
        <v>5.9766940966003101</v>
      </c>
      <c r="K58">
        <v>1.91881342699767</v>
      </c>
      <c r="L58">
        <v>3.1189920753152131E-5</v>
      </c>
      <c r="M58">
        <v>1.8276427075004716E-6</v>
      </c>
      <c r="N58" s="1">
        <v>-5.1244762465217802E-8</v>
      </c>
      <c r="O58" s="1">
        <v>1.7322517352426301E-11</v>
      </c>
      <c r="P58" s="1">
        <v>1.9024842986583699E-10</v>
      </c>
      <c r="Q58">
        <v>65.941367557746901</v>
      </c>
      <c r="S58">
        <v>20.757536340649501</v>
      </c>
      <c r="AA58">
        <v>1.7386633778499501</v>
      </c>
      <c r="AB58">
        <v>9.0303050051058094</v>
      </c>
      <c r="AC58">
        <v>2.5321277186477098</v>
      </c>
      <c r="AJ58">
        <v>0.77466503159912603</v>
      </c>
      <c r="AK58">
        <v>8.2420990617570203E-2</v>
      </c>
      <c r="AL58">
        <v>0.142913977783303</v>
      </c>
    </row>
    <row r="59" spans="1:38" x14ac:dyDescent="0.2">
      <c r="A59">
        <v>128</v>
      </c>
      <c r="B59">
        <v>764</v>
      </c>
      <c r="C59">
        <v>160</v>
      </c>
      <c r="D59">
        <v>0.42979366533288699</v>
      </c>
      <c r="E59">
        <v>6.6865757486915198</v>
      </c>
      <c r="F59">
        <v>2.5562287563140602</v>
      </c>
      <c r="G59">
        <v>-108.30416349125503</v>
      </c>
      <c r="H59">
        <v>-93.629589092079257</v>
      </c>
      <c r="I59">
        <v>14.148941232392399</v>
      </c>
      <c r="J59">
        <v>8.1342690142435004</v>
      </c>
      <c r="K59">
        <v>2.6157970925627101</v>
      </c>
      <c r="L59">
        <v>3.1152550723044922E-5</v>
      </c>
      <c r="M59">
        <v>1.8287317322800726E-6</v>
      </c>
      <c r="N59" s="1">
        <v>-7.0586089607251194E-8</v>
      </c>
      <c r="O59" s="1">
        <v>2.3684931485191699E-11</v>
      </c>
      <c r="P59" s="1">
        <v>2.6124643206231602E-10</v>
      </c>
      <c r="Q59">
        <v>66.047966647093801</v>
      </c>
      <c r="S59">
        <v>20.613203824685399</v>
      </c>
      <c r="AA59">
        <v>1.5947141341366</v>
      </c>
      <c r="AB59">
        <v>8.8894689049934392</v>
      </c>
      <c r="AC59">
        <v>2.85464648909063</v>
      </c>
      <c r="AJ59">
        <v>0.76311946864021196</v>
      </c>
      <c r="AK59">
        <v>7.5650247293029396E-2</v>
      </c>
      <c r="AL59">
        <v>0.16123028406675699</v>
      </c>
    </row>
    <row r="60" spans="1:38" x14ac:dyDescent="0.2">
      <c r="A60">
        <v>129</v>
      </c>
      <c r="B60">
        <v>763</v>
      </c>
      <c r="C60">
        <v>160</v>
      </c>
      <c r="D60">
        <v>0.42917579501038</v>
      </c>
      <c r="E60">
        <v>8.6363323658602802</v>
      </c>
      <c r="F60">
        <v>2.5566783911440898</v>
      </c>
      <c r="G60">
        <v>-139.86147219380049</v>
      </c>
      <c r="H60">
        <v>-120.9385940480299</v>
      </c>
      <c r="I60">
        <v>18.2626821847903</v>
      </c>
      <c r="J60">
        <v>10.506518722907799</v>
      </c>
      <c r="K60">
        <v>3.3779502325263402</v>
      </c>
      <c r="L60">
        <v>3.1139144076089866E-5</v>
      </c>
      <c r="M60">
        <v>1.8275000212135466E-6</v>
      </c>
      <c r="N60" s="1">
        <v>-9.3535964651995498E-8</v>
      </c>
      <c r="O60" s="1">
        <v>3.0547854646786598E-11</v>
      </c>
      <c r="P60" s="1">
        <v>3.4427465062206999E-10</v>
      </c>
      <c r="Q60">
        <v>65.991116063322096</v>
      </c>
      <c r="S60">
        <v>20.647603236737702</v>
      </c>
      <c r="AA60">
        <v>1.6363593078273799</v>
      </c>
      <c r="AB60">
        <v>8.8529629581884794</v>
      </c>
      <c r="AC60">
        <v>2.8719584339242301</v>
      </c>
      <c r="AJ60">
        <v>0.76012281966029005</v>
      </c>
      <c r="AK60">
        <v>7.7639831660232805E-2</v>
      </c>
      <c r="AL60">
        <v>0.16223734867947601</v>
      </c>
    </row>
    <row r="61" spans="1:38" x14ac:dyDescent="0.2">
      <c r="A61">
        <v>130</v>
      </c>
      <c r="B61">
        <v>762</v>
      </c>
      <c r="C61">
        <v>160</v>
      </c>
      <c r="D61">
        <v>0.428556730908567</v>
      </c>
      <c r="E61">
        <v>10.2020706421614</v>
      </c>
      <c r="F61">
        <v>2.5581361570536298</v>
      </c>
      <c r="G61">
        <v>-165.25158682647563</v>
      </c>
      <c r="H61">
        <v>-142.93293456546513</v>
      </c>
      <c r="I61">
        <v>21.560790475786501</v>
      </c>
      <c r="J61">
        <v>12.415713790764199</v>
      </c>
      <c r="K61">
        <v>3.98808742608598</v>
      </c>
      <c r="L61">
        <v>3.1154606239867606E-5</v>
      </c>
      <c r="M61">
        <v>1.8260484772211696E-6</v>
      </c>
      <c r="N61" s="1">
        <v>-1.14237234803703E-7</v>
      </c>
      <c r="O61" s="1">
        <v>3.5971329665531502E-11</v>
      </c>
      <c r="P61" s="1">
        <v>4.1760793086537899E-10</v>
      </c>
      <c r="Q61">
        <v>65.899971882748204</v>
      </c>
      <c r="S61">
        <v>20.7322567962234</v>
      </c>
      <c r="AA61">
        <v>1.7274666097023901</v>
      </c>
      <c r="AB61">
        <v>8.8717833506405501</v>
      </c>
      <c r="AC61">
        <v>2.7685213606853698</v>
      </c>
      <c r="AJ61">
        <v>0.76166601580618598</v>
      </c>
      <c r="AK61">
        <v>8.1954744889475906E-2</v>
      </c>
      <c r="AL61">
        <v>0.156379239304337</v>
      </c>
    </row>
    <row r="62" spans="1:38" x14ac:dyDescent="0.2">
      <c r="A62">
        <v>131</v>
      </c>
      <c r="B62">
        <v>761</v>
      </c>
      <c r="C62">
        <v>160</v>
      </c>
      <c r="D62">
        <v>0.42793646956437897</v>
      </c>
      <c r="E62">
        <v>13.423667796755099</v>
      </c>
      <c r="F62">
        <v>2.5602366367974301</v>
      </c>
      <c r="G62">
        <v>-217.50497999524208</v>
      </c>
      <c r="H62">
        <v>-188.18621121481667</v>
      </c>
      <c r="I62">
        <v>28.350595929435201</v>
      </c>
      <c r="J62">
        <v>16.342038834319599</v>
      </c>
      <c r="K62">
        <v>5.2431355773217101</v>
      </c>
      <c r="L62">
        <v>3.1152361791170742E-5</v>
      </c>
      <c r="M62">
        <v>1.8235121993018557E-6</v>
      </c>
      <c r="N62" s="1">
        <v>-1.55302620935721E-7</v>
      </c>
      <c r="O62" s="1">
        <v>4.7124753199747702E-11</v>
      </c>
      <c r="P62" s="1">
        <v>5.6406248547445304E-10</v>
      </c>
      <c r="Q62">
        <v>65.755110077048499</v>
      </c>
      <c r="S62">
        <v>20.8610581995184</v>
      </c>
      <c r="AA62">
        <v>1.8675306082138801</v>
      </c>
      <c r="AB62">
        <v>8.8866362078812102</v>
      </c>
      <c r="AC62">
        <v>2.6296649073378902</v>
      </c>
      <c r="AJ62">
        <v>0.76288256567900303</v>
      </c>
      <c r="AK62">
        <v>8.8592877329043807E-2</v>
      </c>
      <c r="AL62">
        <v>0.14852455699195199</v>
      </c>
    </row>
    <row r="63" spans="1:38" x14ac:dyDescent="0.2">
      <c r="A63">
        <v>132</v>
      </c>
      <c r="B63">
        <v>760</v>
      </c>
      <c r="C63">
        <v>160</v>
      </c>
      <c r="D63">
        <v>0.427315007501331</v>
      </c>
      <c r="E63">
        <v>15.44852257102</v>
      </c>
      <c r="F63">
        <v>2.5614725246296302</v>
      </c>
      <c r="G63">
        <v>-250.3460672841004</v>
      </c>
      <c r="H63">
        <v>-216.65845022024649</v>
      </c>
      <c r="I63">
        <v>32.606704799742403</v>
      </c>
      <c r="J63">
        <v>18.8129285400701</v>
      </c>
      <c r="K63">
        <v>6.0311100050756101</v>
      </c>
      <c r="L63">
        <v>3.1163810504767264E-5</v>
      </c>
      <c r="M63">
        <v>1.8220907809099685E-6</v>
      </c>
      <c r="N63" s="1">
        <v>-1.8450403700827E-7</v>
      </c>
      <c r="O63" s="1">
        <v>5.40755534084947E-11</v>
      </c>
      <c r="P63" s="1">
        <v>6.6593508118586203E-10</v>
      </c>
      <c r="Q63">
        <v>65.670859547764096</v>
      </c>
      <c r="S63">
        <v>20.9355823472706</v>
      </c>
      <c r="AA63">
        <v>1.9486725024056899</v>
      </c>
      <c r="AB63">
        <v>8.8942631628364204</v>
      </c>
      <c r="AC63">
        <v>2.5506224397230799</v>
      </c>
      <c r="AJ63">
        <v>0.76350704135506198</v>
      </c>
      <c r="AK63">
        <v>9.2438463629291701E-2</v>
      </c>
      <c r="AL63">
        <v>0.14405449501564499</v>
      </c>
    </row>
    <row r="64" spans="1:38" x14ac:dyDescent="0.2">
      <c r="A64">
        <v>133</v>
      </c>
      <c r="B64">
        <v>759</v>
      </c>
      <c r="C64">
        <v>160</v>
      </c>
      <c r="D64">
        <v>0.42669234122947503</v>
      </c>
      <c r="E64">
        <v>16.877878072591798</v>
      </c>
      <c r="F64">
        <v>2.56233398425662</v>
      </c>
      <c r="G64">
        <v>-273.52211205245953</v>
      </c>
      <c r="H64">
        <v>-236.77544984823066</v>
      </c>
      <c r="I64">
        <v>35.602056100594702</v>
      </c>
      <c r="J64">
        <v>20.5598623759631</v>
      </c>
      <c r="K64">
        <v>6.5869157480219602</v>
      </c>
      <c r="L64">
        <v>3.1183218676474616E-5</v>
      </c>
      <c r="M64">
        <v>1.8211951554750054E-6</v>
      </c>
      <c r="N64" s="1">
        <v>-2.08055740345165E-7</v>
      </c>
      <c r="O64" s="1">
        <v>5.8943330896550604E-11</v>
      </c>
      <c r="P64" s="1">
        <v>7.46340874331776E-10</v>
      </c>
      <c r="Q64">
        <v>65.614226733267401</v>
      </c>
      <c r="S64">
        <v>20.9859908947222</v>
      </c>
      <c r="AA64">
        <v>2.0034745632381599</v>
      </c>
      <c r="AB64">
        <v>8.9002125329632893</v>
      </c>
      <c r="AC64">
        <v>2.4960952758088499</v>
      </c>
      <c r="AJ64">
        <v>0.76399426555627703</v>
      </c>
      <c r="AK64">
        <v>9.5035167499663994E-2</v>
      </c>
      <c r="AL64">
        <v>0.14097056694405699</v>
      </c>
    </row>
    <row r="65" spans="1:38" x14ac:dyDescent="0.2">
      <c r="A65">
        <v>134</v>
      </c>
      <c r="B65">
        <v>758</v>
      </c>
      <c r="C65">
        <v>160</v>
      </c>
      <c r="D65">
        <v>0.426068467245311</v>
      </c>
      <c r="E65">
        <v>17.5108238800156</v>
      </c>
      <c r="F65">
        <v>2.5627700991647901</v>
      </c>
      <c r="G65">
        <v>-283.76905568808104</v>
      </c>
      <c r="H65">
        <v>-245.70312375193311</v>
      </c>
      <c r="I65">
        <v>36.915998580369397</v>
      </c>
      <c r="J65">
        <v>21.337613797443801</v>
      </c>
      <c r="K65">
        <v>6.8327720405831203</v>
      </c>
      <c r="L65">
        <v>3.1214086504887505E-5</v>
      </c>
      <c r="M65">
        <v>1.8209678859882934E-6</v>
      </c>
      <c r="N65" s="1">
        <v>-2.2283399082143801E-7</v>
      </c>
      <c r="O65" s="1">
        <v>6.1057104616612794E-11</v>
      </c>
      <c r="P65" s="1">
        <v>7.9450540999513804E-10</v>
      </c>
      <c r="Q65">
        <v>65.591324971634407</v>
      </c>
      <c r="S65">
        <v>21.007950382665001</v>
      </c>
      <c r="AA65">
        <v>2.0269351786280501</v>
      </c>
      <c r="AB65">
        <v>8.9067468376778507</v>
      </c>
      <c r="AC65">
        <v>2.4670426293945802</v>
      </c>
      <c r="AJ65">
        <v>0.76452996129463302</v>
      </c>
      <c r="AK65">
        <v>9.6144855704894797E-2</v>
      </c>
      <c r="AL65">
        <v>0.139325183000471</v>
      </c>
    </row>
    <row r="66" spans="1:38" x14ac:dyDescent="0.2">
      <c r="A66">
        <v>137</v>
      </c>
      <c r="B66">
        <v>781</v>
      </c>
      <c r="C66">
        <v>140</v>
      </c>
      <c r="D66">
        <v>0.460987999810274</v>
      </c>
      <c r="E66">
        <v>0.36985319079560203</v>
      </c>
      <c r="F66">
        <v>2.5631383110415298</v>
      </c>
      <c r="G66">
        <v>-6.0238114111374745</v>
      </c>
      <c r="H66">
        <v>-5.1910544631241358</v>
      </c>
      <c r="I66">
        <v>0.78997955510443196</v>
      </c>
      <c r="J66">
        <v>0.44941136236297302</v>
      </c>
      <c r="K66">
        <v>0.14429700855484101</v>
      </c>
      <c r="L66">
        <v>3.0813065836481562E-5</v>
      </c>
      <c r="M66">
        <v>1.8207390890713168E-6</v>
      </c>
      <c r="N66" s="1">
        <v>-2.37071789830811E-9</v>
      </c>
      <c r="O66" s="1">
        <v>1.30408189567742E-12</v>
      </c>
      <c r="P66" s="1">
        <v>1.0000153787377399E-11</v>
      </c>
      <c r="Q66">
        <v>65.577018458456706</v>
      </c>
      <c r="S66">
        <v>21.133561360208901</v>
      </c>
      <c r="AA66">
        <v>2.1339037505228</v>
      </c>
      <c r="AB66">
        <v>9.2041710483184698</v>
      </c>
      <c r="AC66">
        <v>1.9513453824929901</v>
      </c>
      <c r="AJ66">
        <v>0.78889231482673094</v>
      </c>
      <c r="AK66">
        <v>0.101069161215026</v>
      </c>
      <c r="AL66">
        <v>0.110038523958241</v>
      </c>
    </row>
    <row r="67" spans="1:38" x14ac:dyDescent="0.2">
      <c r="A67">
        <v>138</v>
      </c>
      <c r="B67">
        <v>780</v>
      </c>
      <c r="C67">
        <v>140</v>
      </c>
      <c r="D67">
        <v>0.46040972321132001</v>
      </c>
      <c r="E67">
        <v>0.78336863762666697</v>
      </c>
      <c r="F67">
        <v>2.56267472598118</v>
      </c>
      <c r="G67">
        <v>-12.755540963510185</v>
      </c>
      <c r="H67">
        <v>-10.994261720145651</v>
      </c>
      <c r="I67">
        <v>1.6723916283193601</v>
      </c>
      <c r="J67">
        <v>0.95196234036232996</v>
      </c>
      <c r="K67">
        <v>0.30568399090397003</v>
      </c>
      <c r="L67">
        <v>3.0841443259378778E-5</v>
      </c>
      <c r="M67">
        <v>1.8216653552806579E-6</v>
      </c>
      <c r="N67" s="1">
        <v>-5.17912227265154E-9</v>
      </c>
      <c r="O67" s="1">
        <v>2.7633649151873798E-12</v>
      </c>
      <c r="P67" s="1">
        <v>2.1641099375240501E-11</v>
      </c>
      <c r="Q67">
        <v>65.618324801369099</v>
      </c>
      <c r="S67">
        <v>21.097421882578899</v>
      </c>
      <c r="AA67">
        <v>2.0944500410146598</v>
      </c>
      <c r="AB67">
        <v>9.2014756796814599</v>
      </c>
      <c r="AC67">
        <v>1.98832759535573</v>
      </c>
      <c r="AJ67">
        <v>0.78867250806215095</v>
      </c>
      <c r="AK67">
        <v>9.9201905790962205E-2</v>
      </c>
      <c r="AL67">
        <v>0.112125586146886</v>
      </c>
    </row>
    <row r="68" spans="1:38" x14ac:dyDescent="0.2">
      <c r="A68">
        <v>139</v>
      </c>
      <c r="B68">
        <v>779</v>
      </c>
      <c r="C68">
        <v>140</v>
      </c>
      <c r="D68">
        <v>0.45983034738392797</v>
      </c>
      <c r="E68">
        <v>1.19794730452391</v>
      </c>
      <c r="F68">
        <v>2.5622161059224302</v>
      </c>
      <c r="G68">
        <v>-19.501161083760408</v>
      </c>
      <c r="H68">
        <v>-16.81166651804023</v>
      </c>
      <c r="I68">
        <v>2.5561892940361801</v>
      </c>
      <c r="J68">
        <v>1.4558972740534999</v>
      </c>
      <c r="K68">
        <v>0.46754342920369502</v>
      </c>
      <c r="L68">
        <v>3.0869343465517751E-5</v>
      </c>
      <c r="M68">
        <v>1.8225596415273853E-6</v>
      </c>
      <c r="N68" s="1">
        <v>-8.1670455394040596E-9</v>
      </c>
      <c r="O68" s="1">
        <v>4.2276102785295003E-12</v>
      </c>
      <c r="P68" s="1">
        <v>3.3814055465220101E-11</v>
      </c>
      <c r="Q68">
        <v>65.658376517784106</v>
      </c>
      <c r="S68">
        <v>21.061994406868301</v>
      </c>
      <c r="AA68">
        <v>2.05587649032165</v>
      </c>
      <c r="AB68">
        <v>9.1978510487634395</v>
      </c>
      <c r="AC68">
        <v>2.0259015362624502</v>
      </c>
      <c r="AJ68">
        <v>0.78837666555790697</v>
      </c>
      <c r="AK68">
        <v>9.7376732998826904E-2</v>
      </c>
      <c r="AL68">
        <v>0.114246601443265</v>
      </c>
    </row>
    <row r="69" spans="1:38" x14ac:dyDescent="0.2">
      <c r="A69">
        <v>140</v>
      </c>
      <c r="B69">
        <v>778</v>
      </c>
      <c r="C69">
        <v>140</v>
      </c>
      <c r="D69">
        <v>0.45924986919088701</v>
      </c>
      <c r="E69">
        <v>1.6134404079350799</v>
      </c>
      <c r="F69">
        <v>2.56176233063292</v>
      </c>
      <c r="G69">
        <v>-26.258207819169218</v>
      </c>
      <c r="H69">
        <v>-22.641157160217404</v>
      </c>
      <c r="I69">
        <v>3.44104139176312</v>
      </c>
      <c r="J69">
        <v>1.96103771344092</v>
      </c>
      <c r="K69">
        <v>0.62981658705882404</v>
      </c>
      <c r="L69">
        <v>3.0896782764217129E-5</v>
      </c>
      <c r="M69">
        <v>1.823422391521878E-6</v>
      </c>
      <c r="N69" s="1">
        <v>-1.1340201653258699E-8</v>
      </c>
      <c r="O69" s="1">
        <v>5.6961832999837197E-12</v>
      </c>
      <c r="P69" s="1">
        <v>4.6533996093919702E-11</v>
      </c>
      <c r="Q69">
        <v>65.6971903404459</v>
      </c>
      <c r="S69">
        <v>21.027266635247901</v>
      </c>
      <c r="AA69">
        <v>2.0181690482516901</v>
      </c>
      <c r="AB69">
        <v>9.1933022032302407</v>
      </c>
      <c r="AC69">
        <v>2.06407177282412</v>
      </c>
      <c r="AJ69">
        <v>0.78800519210983699</v>
      </c>
      <c r="AK69">
        <v>9.5592952200625705E-2</v>
      </c>
      <c r="AL69">
        <v>0.116401855689536</v>
      </c>
    </row>
    <row r="70" spans="1:38" x14ac:dyDescent="0.2">
      <c r="A70">
        <v>141</v>
      </c>
      <c r="B70">
        <v>777</v>
      </c>
      <c r="C70">
        <v>140</v>
      </c>
      <c r="D70">
        <v>0.45866828548302802</v>
      </c>
      <c r="E70">
        <v>2.0297030574035402</v>
      </c>
      <c r="F70">
        <v>2.5613132680578201</v>
      </c>
      <c r="G70">
        <v>-33.024282470765783</v>
      </c>
      <c r="H70">
        <v>-28.480676452661829</v>
      </c>
      <c r="I70">
        <v>4.32662573737462</v>
      </c>
      <c r="J70">
        <v>2.4672101076354598</v>
      </c>
      <c r="K70">
        <v>0.79244623557610105</v>
      </c>
      <c r="L70">
        <v>3.092377835131055E-5</v>
      </c>
      <c r="M70">
        <v>1.8242540796151067E-6</v>
      </c>
      <c r="N70" s="1">
        <v>-1.4704474458633499E-8</v>
      </c>
      <c r="O70" s="1">
        <v>7.1684617924735702E-12</v>
      </c>
      <c r="P70" s="1">
        <v>5.9816384839844399E-11</v>
      </c>
      <c r="Q70">
        <v>65.734784366821998</v>
      </c>
      <c r="S70">
        <v>20.9932252621964</v>
      </c>
      <c r="AA70">
        <v>1.98131251481684</v>
      </c>
      <c r="AB70">
        <v>9.1878345901632699</v>
      </c>
      <c r="AC70">
        <v>2.1028432660013499</v>
      </c>
      <c r="AJ70">
        <v>0.78755852320379105</v>
      </c>
      <c r="AK70">
        <v>9.3849819366408405E-2</v>
      </c>
      <c r="AL70">
        <v>0.1185916574298</v>
      </c>
    </row>
    <row r="71" spans="1:38" x14ac:dyDescent="0.2">
      <c r="A71">
        <v>142</v>
      </c>
      <c r="B71">
        <v>776</v>
      </c>
      <c r="C71">
        <v>140</v>
      </c>
      <c r="D71">
        <v>0.45808559309917701</v>
      </c>
      <c r="E71">
        <v>2.4465949067388801</v>
      </c>
      <c r="F71">
        <v>2.5608687756947801</v>
      </c>
      <c r="G71">
        <v>-39.79706208655363</v>
      </c>
      <c r="H71">
        <v>-34.328230794301845</v>
      </c>
      <c r="I71">
        <v>5.2126305030279596</v>
      </c>
      <c r="J71">
        <v>2.9742466079462102</v>
      </c>
      <c r="K71">
        <v>0.95537691347542897</v>
      </c>
      <c r="L71">
        <v>3.0950348227330225E-5</v>
      </c>
      <c r="M71">
        <v>1.8250552067645123E-6</v>
      </c>
      <c r="N71" s="1">
        <v>-1.8265931433165401E-8</v>
      </c>
      <c r="O71" s="1">
        <v>8.64383860497584E-12</v>
      </c>
      <c r="P71" s="1">
        <v>7.3677218611173803E-11</v>
      </c>
      <c r="Q71">
        <v>65.771177885726502</v>
      </c>
      <c r="S71">
        <v>20.9598560983978</v>
      </c>
      <c r="AA71">
        <v>1.9452906829050201</v>
      </c>
      <c r="AB71">
        <v>9.1814539945142108</v>
      </c>
      <c r="AC71">
        <v>2.1422213384562898</v>
      </c>
      <c r="AJ71">
        <v>0.78703712002508597</v>
      </c>
      <c r="AK71">
        <v>9.2146543826738703E-2</v>
      </c>
      <c r="AL71">
        <v>0.120816336148174</v>
      </c>
    </row>
    <row r="72" spans="1:38" x14ac:dyDescent="0.2">
      <c r="A72">
        <v>143</v>
      </c>
      <c r="B72">
        <v>775</v>
      </c>
      <c r="C72">
        <v>140</v>
      </c>
      <c r="D72">
        <v>0.45750178886609999</v>
      </c>
      <c r="E72">
        <v>2.8639807183739601</v>
      </c>
      <c r="F72">
        <v>2.56042870210175</v>
      </c>
      <c r="G72">
        <v>-46.574308533785832</v>
      </c>
      <c r="H72">
        <v>-40.18189805540181</v>
      </c>
      <c r="I72">
        <v>6.0987554056041802</v>
      </c>
      <c r="J72">
        <v>3.4819857654422002</v>
      </c>
      <c r="K72">
        <v>1.11855515290194</v>
      </c>
      <c r="L72">
        <v>3.0976511123614925E-5</v>
      </c>
      <c r="M72">
        <v>1.8258262966339775E-6</v>
      </c>
      <c r="N72" s="1">
        <v>-2.20308379264971E-8</v>
      </c>
      <c r="O72" s="1">
        <v>1.01217238222315E-11</v>
      </c>
      <c r="P72" s="1">
        <v>8.8133072072702403E-11</v>
      </c>
      <c r="Q72">
        <v>65.806391204725102</v>
      </c>
      <c r="S72">
        <v>20.927144198528499</v>
      </c>
      <c r="AA72">
        <v>1.91008648397831</v>
      </c>
      <c r="AB72">
        <v>9.1741664894950894</v>
      </c>
      <c r="AC72">
        <v>2.1822116232729298</v>
      </c>
      <c r="AJ72">
        <v>0.78644146544633897</v>
      </c>
      <c r="AK72">
        <v>9.0482295157251702E-2</v>
      </c>
      <c r="AL72">
        <v>0.12307623939640901</v>
      </c>
    </row>
    <row r="73" spans="1:38" x14ac:dyDescent="0.2">
      <c r="A73">
        <v>144</v>
      </c>
      <c r="B73">
        <v>774</v>
      </c>
      <c r="C73">
        <v>140</v>
      </c>
      <c r="D73">
        <v>0.45691686959843703</v>
      </c>
      <c r="E73">
        <v>3.2817308296353498</v>
      </c>
      <c r="F73">
        <v>2.5599928885598802</v>
      </c>
      <c r="G73">
        <v>-53.353875972384643</v>
      </c>
      <c r="H73">
        <v>-46.039834089086341</v>
      </c>
      <c r="I73">
        <v>6.9847126804166502</v>
      </c>
      <c r="J73">
        <v>3.9902731094220498</v>
      </c>
      <c r="K73">
        <v>1.2819296664068001</v>
      </c>
      <c r="L73">
        <v>3.1002286435824074E-5</v>
      </c>
      <c r="M73">
        <v>1.8265678917931601E-6</v>
      </c>
      <c r="N73" s="1">
        <v>-2.6005671768732301E-8</v>
      </c>
      <c r="O73" s="1">
        <v>1.1601546582521401E-11</v>
      </c>
      <c r="P73" s="1">
        <v>1.03201142243102E-10</v>
      </c>
      <c r="Q73">
        <v>65.840445476559495</v>
      </c>
      <c r="S73">
        <v>20.895073994311801</v>
      </c>
      <c r="AA73">
        <v>1.87568213834613</v>
      </c>
      <c r="AB73">
        <v>9.1659783985961596</v>
      </c>
      <c r="AC73">
        <v>2.2228199921862299</v>
      </c>
      <c r="AJ73">
        <v>0.78577206096803598</v>
      </c>
      <c r="AK73">
        <v>8.8856210270460603E-2</v>
      </c>
      <c r="AL73">
        <v>0.12537172876150299</v>
      </c>
    </row>
    <row r="74" spans="1:38" x14ac:dyDescent="0.2">
      <c r="A74">
        <v>145</v>
      </c>
      <c r="B74">
        <v>773</v>
      </c>
      <c r="C74">
        <v>140</v>
      </c>
      <c r="D74">
        <v>0.456330832098647</v>
      </c>
      <c r="E74">
        <v>3.7694518752883801</v>
      </c>
      <c r="F74">
        <v>2.5594657302970099</v>
      </c>
      <c r="G74">
        <v>-61.265140550052486</v>
      </c>
      <c r="H74">
        <v>-52.876527421791579</v>
      </c>
      <c r="I74">
        <v>8.0185567349432798</v>
      </c>
      <c r="J74">
        <v>4.5836533552150396</v>
      </c>
      <c r="K74">
        <v>1.4727495002837701</v>
      </c>
      <c r="L74">
        <v>3.1026268708630817E-5</v>
      </c>
      <c r="M74">
        <v>1.8273310963492355E-6</v>
      </c>
      <c r="N74" s="1">
        <v>-3.0748539802120403E-8</v>
      </c>
      <c r="O74" s="1">
        <v>1.333149930901E-11</v>
      </c>
      <c r="P74" s="1">
        <v>1.21085998347059E-10</v>
      </c>
      <c r="Q74">
        <v>65.877584094585799</v>
      </c>
      <c r="S74">
        <v>20.8584769753292</v>
      </c>
      <c r="AA74">
        <v>1.8368234341629599</v>
      </c>
      <c r="AB74">
        <v>9.1527959743746301</v>
      </c>
      <c r="AC74">
        <v>2.2743195215472398</v>
      </c>
      <c r="AJ74">
        <v>0.78469395815090903</v>
      </c>
      <c r="AK74">
        <v>8.7021132099995693E-2</v>
      </c>
      <c r="AL74">
        <v>0.12828490974909401</v>
      </c>
    </row>
    <row r="75" spans="1:38" x14ac:dyDescent="0.2">
      <c r="A75">
        <v>146</v>
      </c>
      <c r="B75">
        <v>772</v>
      </c>
      <c r="C75">
        <v>140</v>
      </c>
      <c r="D75">
        <v>0.45574367315696301</v>
      </c>
      <c r="E75">
        <v>5.2066712603072904</v>
      </c>
      <c r="F75">
        <v>2.55759238308698</v>
      </c>
      <c r="G75">
        <v>-84.559801425234014</v>
      </c>
      <c r="H75">
        <v>-72.990346581325397</v>
      </c>
      <c r="I75">
        <v>11.069659708088301</v>
      </c>
      <c r="J75">
        <v>6.3296008585398198</v>
      </c>
      <c r="K75">
        <v>2.0357705530944998</v>
      </c>
      <c r="L75">
        <v>3.1023400254837342E-5</v>
      </c>
      <c r="M75">
        <v>1.8286063507067102E-6</v>
      </c>
      <c r="N75" s="1">
        <v>-4.3317591277234701E-8</v>
      </c>
      <c r="O75" s="1">
        <v>1.8464078919446699E-11</v>
      </c>
      <c r="P75" s="1">
        <v>1.6964771865834699E-10</v>
      </c>
      <c r="Q75">
        <v>65.967468789659307</v>
      </c>
      <c r="S75">
        <v>20.752084682617198</v>
      </c>
      <c r="AA75">
        <v>1.7280753385127201</v>
      </c>
      <c r="AB75">
        <v>9.0741779706347003</v>
      </c>
      <c r="AC75">
        <v>2.4781932185760298</v>
      </c>
      <c r="AJ75">
        <v>0.77825929347799305</v>
      </c>
      <c r="AK75">
        <v>8.1901241564369301E-2</v>
      </c>
      <c r="AL75">
        <v>0.13983946495763699</v>
      </c>
    </row>
    <row r="76" spans="1:38" x14ac:dyDescent="0.2">
      <c r="A76">
        <v>147</v>
      </c>
      <c r="B76">
        <v>771</v>
      </c>
      <c r="C76">
        <v>140</v>
      </c>
      <c r="D76">
        <v>0.45515538955130802</v>
      </c>
      <c r="E76">
        <v>6.83065440972935</v>
      </c>
      <c r="F76">
        <v>2.5553248529299402</v>
      </c>
      <c r="G76">
        <v>-110.82947655674904</v>
      </c>
      <c r="H76">
        <v>-95.675637627996338</v>
      </c>
      <c r="I76">
        <v>14.5130861741633</v>
      </c>
      <c r="J76">
        <v>8.3000672521023908</v>
      </c>
      <c r="K76">
        <v>2.6731060835170499</v>
      </c>
      <c r="L76">
        <v>3.0997702485897857E-5</v>
      </c>
      <c r="M76">
        <v>1.8296127930343149E-6</v>
      </c>
      <c r="N76" s="1">
        <v>-5.7664485318224103E-8</v>
      </c>
      <c r="O76" s="1">
        <v>2.43030175409429E-11</v>
      </c>
      <c r="P76" s="1">
        <v>2.2487966564060001E-10</v>
      </c>
      <c r="Q76">
        <v>66.058702067667895</v>
      </c>
      <c r="S76">
        <v>20.6311437981458</v>
      </c>
      <c r="AA76">
        <v>1.6070098323036801</v>
      </c>
      <c r="AB76">
        <v>8.9604241869145405</v>
      </c>
      <c r="AC76">
        <v>2.7427201149679998</v>
      </c>
      <c r="AJ76">
        <v>0.76893931375315605</v>
      </c>
      <c r="AK76">
        <v>7.6206641165155006E-2</v>
      </c>
      <c r="AL76">
        <v>0.15485404508168801</v>
      </c>
    </row>
    <row r="77" spans="1:38" x14ac:dyDescent="0.2">
      <c r="A77">
        <v>148</v>
      </c>
      <c r="B77">
        <v>770</v>
      </c>
      <c r="C77">
        <v>140</v>
      </c>
      <c r="D77">
        <v>0.45456597804726301</v>
      </c>
      <c r="E77">
        <v>8.8462119844748095</v>
      </c>
      <c r="F77">
        <v>2.55223337618229</v>
      </c>
      <c r="G77">
        <v>-143.34293172678707</v>
      </c>
      <c r="H77">
        <v>-123.75194570012</v>
      </c>
      <c r="I77">
        <v>18.780603006918501</v>
      </c>
      <c r="J77">
        <v>10.7403071685674</v>
      </c>
      <c r="K77">
        <v>3.4660670403532001</v>
      </c>
      <c r="L77">
        <v>3.0926789197952264E-5</v>
      </c>
      <c r="M77">
        <v>1.8301534002290824E-6</v>
      </c>
      <c r="N77" s="1">
        <v>-7.4989726136997306E-8</v>
      </c>
      <c r="O77" s="1">
        <v>3.1619403159508599E-11</v>
      </c>
      <c r="P77" s="1">
        <v>2.9191776806223098E-10</v>
      </c>
      <c r="Q77">
        <v>66.156025725737805</v>
      </c>
      <c r="S77">
        <v>20.478129018963699</v>
      </c>
      <c r="AA77">
        <v>1.4580619276214799</v>
      </c>
      <c r="AB77">
        <v>8.7761566037328809</v>
      </c>
      <c r="AC77">
        <v>3.1316267239441</v>
      </c>
      <c r="AJ77">
        <v>0.75381881838783404</v>
      </c>
      <c r="AK77">
        <v>6.92068959835659E-2</v>
      </c>
      <c r="AL77">
        <v>0.17697428562859899</v>
      </c>
    </row>
    <row r="78" spans="1:38" x14ac:dyDescent="0.2">
      <c r="A78">
        <v>149</v>
      </c>
      <c r="B78">
        <v>769</v>
      </c>
      <c r="C78">
        <v>140</v>
      </c>
      <c r="D78">
        <v>0.45397543539797802</v>
      </c>
      <c r="E78">
        <v>9.8523250562399607</v>
      </c>
      <c r="F78">
        <v>2.5535091378044998</v>
      </c>
      <c r="G78">
        <v>-159.6609814686332</v>
      </c>
      <c r="H78">
        <v>-137.87614217783576</v>
      </c>
      <c r="I78">
        <v>20.903746380844801</v>
      </c>
      <c r="J78">
        <v>11.963865463464399</v>
      </c>
      <c r="K78">
        <v>3.8583472878076002</v>
      </c>
      <c r="L78">
        <v>3.0920100663256101E-5</v>
      </c>
      <c r="M78">
        <v>1.8284746750100817E-6</v>
      </c>
      <c r="N78" s="1">
        <v>-8.6080220711095797E-8</v>
      </c>
      <c r="O78" s="1">
        <v>3.5122722856970797E-11</v>
      </c>
      <c r="P78" s="1">
        <v>3.3262606836038398E-10</v>
      </c>
      <c r="Q78">
        <v>66.062556332833097</v>
      </c>
      <c r="S78">
        <v>20.5561419463927</v>
      </c>
      <c r="AA78">
        <v>1.5442331965647</v>
      </c>
      <c r="AB78">
        <v>8.7723861049011003</v>
      </c>
      <c r="AC78">
        <v>3.0646824193083102</v>
      </c>
      <c r="AJ78">
        <v>0.75350768716467897</v>
      </c>
      <c r="AK78">
        <v>7.3298252974650105E-2</v>
      </c>
      <c r="AL78">
        <v>0.17319405986066999</v>
      </c>
    </row>
    <row r="79" spans="1:38" x14ac:dyDescent="0.2">
      <c r="A79">
        <v>150</v>
      </c>
      <c r="B79">
        <v>768</v>
      </c>
      <c r="C79">
        <v>140</v>
      </c>
      <c r="D79">
        <v>0.45338375834414102</v>
      </c>
      <c r="E79">
        <v>10.749654016201699</v>
      </c>
      <c r="F79">
        <v>2.5552151241097301</v>
      </c>
      <c r="G79">
        <v>-174.25216154121998</v>
      </c>
      <c r="H79">
        <v>-150.51947278633571</v>
      </c>
      <c r="I79">
        <v>22.794687369624199</v>
      </c>
      <c r="J79">
        <v>13.058182351409201</v>
      </c>
      <c r="K79">
        <v>4.20694677124182</v>
      </c>
      <c r="L79">
        <v>3.0934347370703842E-5</v>
      </c>
      <c r="M79">
        <v>1.8269173686911111E-6</v>
      </c>
      <c r="N79" s="1">
        <v>-9.7276315881959406E-8</v>
      </c>
      <c r="O79" s="1">
        <v>3.8191524595812502E-11</v>
      </c>
      <c r="P79" s="1">
        <v>3.7278094128466198E-10</v>
      </c>
      <c r="Q79">
        <v>65.961845138080704</v>
      </c>
      <c r="S79">
        <v>20.653160027781599</v>
      </c>
      <c r="AA79">
        <v>1.6477736875815201</v>
      </c>
      <c r="AB79">
        <v>8.8023021208859706</v>
      </c>
      <c r="AC79">
        <v>2.9349190256701299</v>
      </c>
      <c r="AJ79">
        <v>0.75596320362255198</v>
      </c>
      <c r="AK79">
        <v>7.8201078019791995E-2</v>
      </c>
      <c r="AL79">
        <v>0.16583571835765501</v>
      </c>
    </row>
    <row r="80" spans="1:38" x14ac:dyDescent="0.2">
      <c r="A80">
        <v>151</v>
      </c>
      <c r="B80">
        <v>767</v>
      </c>
      <c r="C80">
        <v>140</v>
      </c>
      <c r="D80">
        <v>0.45279094361390498</v>
      </c>
      <c r="E80">
        <v>13.0748883825887</v>
      </c>
      <c r="F80">
        <v>2.5577859356754198</v>
      </c>
      <c r="G80">
        <v>-212.04034140944876</v>
      </c>
      <c r="H80">
        <v>-183.22023725648367</v>
      </c>
      <c r="I80">
        <v>27.7076423140557</v>
      </c>
      <c r="J80">
        <v>15.888552678345301</v>
      </c>
      <c r="K80">
        <v>5.1117993105768198</v>
      </c>
      <c r="L80">
        <v>3.092716482411544E-5</v>
      </c>
      <c r="M80">
        <v>1.8239780783933699E-6</v>
      </c>
      <c r="N80" s="1">
        <v>-1.22472301101282E-7</v>
      </c>
      <c r="O80" s="1">
        <v>4.6223878784500503E-11</v>
      </c>
      <c r="P80" s="1">
        <v>4.6566381448231104E-10</v>
      </c>
      <c r="Q80">
        <v>65.791519043075596</v>
      </c>
      <c r="S80">
        <v>20.8083893348246</v>
      </c>
      <c r="AA80">
        <v>1.81558272107549</v>
      </c>
      <c r="AB80">
        <v>8.8296933602873793</v>
      </c>
      <c r="AC80">
        <v>2.7548155407368502</v>
      </c>
      <c r="AJ80">
        <v>0.75820964684807002</v>
      </c>
      <c r="AK80">
        <v>8.6153021913393801E-2</v>
      </c>
      <c r="AL80">
        <v>0.15563733123853499</v>
      </c>
    </row>
    <row r="81" spans="1:38" x14ac:dyDescent="0.2">
      <c r="A81">
        <v>152</v>
      </c>
      <c r="B81">
        <v>766</v>
      </c>
      <c r="C81">
        <v>140</v>
      </c>
      <c r="D81">
        <v>0.45219698792282498</v>
      </c>
      <c r="E81">
        <v>14.7891489458433</v>
      </c>
      <c r="F81">
        <v>2.5593938922670798</v>
      </c>
      <c r="G81">
        <v>-239.89313044482097</v>
      </c>
      <c r="H81">
        <v>-207.34616260209975</v>
      </c>
      <c r="I81">
        <v>31.320760085378598</v>
      </c>
      <c r="J81">
        <v>17.976759708102598</v>
      </c>
      <c r="K81">
        <v>5.77837940089137</v>
      </c>
      <c r="L81">
        <v>3.0928601647658668E-5</v>
      </c>
      <c r="M81">
        <v>1.8220963753039023E-6</v>
      </c>
      <c r="N81" s="1">
        <v>-1.4309946840076801E-7</v>
      </c>
      <c r="O81" s="1">
        <v>5.2108943324578601E-11</v>
      </c>
      <c r="P81" s="1">
        <v>5.4010506730221895E-10</v>
      </c>
      <c r="Q81">
        <v>65.682495167239296</v>
      </c>
      <c r="S81">
        <v>20.905805253685699</v>
      </c>
      <c r="AA81">
        <v>1.92139108256973</v>
      </c>
      <c r="AB81">
        <v>8.8421279948408902</v>
      </c>
      <c r="AC81">
        <v>2.6481805016642501</v>
      </c>
      <c r="AJ81">
        <v>0.75922876077344403</v>
      </c>
      <c r="AK81">
        <v>9.11679974245478E-2</v>
      </c>
      <c r="AL81">
        <v>0.14960324180200699</v>
      </c>
    </row>
    <row r="82" spans="1:38" x14ac:dyDescent="0.2">
      <c r="A82">
        <v>153</v>
      </c>
      <c r="B82">
        <v>765</v>
      </c>
      <c r="C82">
        <v>140</v>
      </c>
      <c r="D82">
        <v>0.45160188797380102</v>
      </c>
      <c r="E82">
        <v>16.024309331567899</v>
      </c>
      <c r="F82">
        <v>2.5604857846651798</v>
      </c>
      <c r="G82">
        <v>-259.95441287499739</v>
      </c>
      <c r="H82">
        <v>-224.74455622615213</v>
      </c>
      <c r="I82">
        <v>33.915962672874997</v>
      </c>
      <c r="J82">
        <v>19.483167335445</v>
      </c>
      <c r="K82">
        <v>6.2583082583539298</v>
      </c>
      <c r="L82">
        <v>3.0938380612670925E-5</v>
      </c>
      <c r="M82">
        <v>1.820878471219333E-6</v>
      </c>
      <c r="N82" s="1">
        <v>-1.60071810144186E-7</v>
      </c>
      <c r="O82" s="1">
        <v>5.6319427420716E-11</v>
      </c>
      <c r="P82" s="1">
        <v>5.9986725905416696E-10</v>
      </c>
      <c r="Q82">
        <v>65.609519504984405</v>
      </c>
      <c r="S82">
        <v>20.9708452862683</v>
      </c>
      <c r="AA82">
        <v>1.9920776485529601</v>
      </c>
      <c r="AB82">
        <v>8.8500165455007593</v>
      </c>
      <c r="AC82">
        <v>2.5775410146934998</v>
      </c>
      <c r="AJ82">
        <v>0.75987516234437302</v>
      </c>
      <c r="AK82">
        <v>9.4518151502227504E-2</v>
      </c>
      <c r="AL82">
        <v>0.145606686153398</v>
      </c>
    </row>
    <row r="83" spans="1:38" x14ac:dyDescent="0.2">
      <c r="A83">
        <v>154</v>
      </c>
      <c r="B83">
        <v>764</v>
      </c>
      <c r="C83">
        <v>140</v>
      </c>
      <c r="D83">
        <v>0.45100564045702202</v>
      </c>
      <c r="E83">
        <v>16.642078982048499</v>
      </c>
      <c r="F83">
        <v>2.5610427342787099</v>
      </c>
      <c r="G83">
        <v>-269.97313747618858</v>
      </c>
      <c r="H83">
        <v>-233.46206611409653</v>
      </c>
      <c r="I83">
        <v>35.203269885833301</v>
      </c>
      <c r="J83">
        <v>20.2394504900745</v>
      </c>
      <c r="K83">
        <v>6.4981652821718896</v>
      </c>
      <c r="L83">
        <v>3.0960626556032184E-5</v>
      </c>
      <c r="M83">
        <v>1.8204589937898307E-6</v>
      </c>
      <c r="N83" s="1">
        <v>-1.7162023327974801E-7</v>
      </c>
      <c r="O83" s="1">
        <v>5.8396670328065004E-11</v>
      </c>
      <c r="P83" s="1">
        <v>6.3863000769689295E-10</v>
      </c>
      <c r="Q83">
        <v>65.577570933118096</v>
      </c>
      <c r="S83">
        <v>21.000706117435101</v>
      </c>
      <c r="AA83">
        <v>2.0241679024960701</v>
      </c>
      <c r="AB83">
        <v>8.8571049171875096</v>
      </c>
      <c r="AC83">
        <v>2.5404501297630802</v>
      </c>
      <c r="AJ83">
        <v>0.76045646407346901</v>
      </c>
      <c r="AK83">
        <v>9.6037288759597703E-2</v>
      </c>
      <c r="AL83">
        <v>0.143506247166932</v>
      </c>
    </row>
    <row r="84" spans="1:38" x14ac:dyDescent="0.2">
      <c r="A84">
        <v>156</v>
      </c>
      <c r="B84">
        <v>793</v>
      </c>
      <c r="C84">
        <v>120</v>
      </c>
      <c r="D84">
        <v>0.488477700136005</v>
      </c>
      <c r="E84">
        <v>3.8253773256175801E-2</v>
      </c>
      <c r="F84">
        <v>2.5616341453078499</v>
      </c>
      <c r="G84">
        <v>-0.6243971389018631</v>
      </c>
      <c r="H84">
        <v>-0.53671535541549287</v>
      </c>
      <c r="I84">
        <v>8.2241507748787801E-2</v>
      </c>
      <c r="J84">
        <v>4.6436982018580902E-2</v>
      </c>
      <c r="K84">
        <v>1.49333476547559E-2</v>
      </c>
      <c r="L84">
        <v>3.0618701784858521E-5</v>
      </c>
      <c r="M84">
        <v>1.8202174386716113E-6</v>
      </c>
      <c r="N84" s="1">
        <v>-1.63978934306686E-10</v>
      </c>
      <c r="O84" s="1">
        <v>1.35528693673742E-13</v>
      </c>
      <c r="P84" s="1">
        <v>7.9495625927863804E-13</v>
      </c>
      <c r="Q84">
        <v>65.558187653562797</v>
      </c>
      <c r="S84">
        <v>21.1549153713053</v>
      </c>
      <c r="AA84">
        <v>2.1559149392132801</v>
      </c>
      <c r="AB84">
        <v>9.2181899255799191</v>
      </c>
      <c r="AC84">
        <v>1.9127921103385399</v>
      </c>
      <c r="AJ84">
        <v>0.79003855253609101</v>
      </c>
      <c r="AK84">
        <v>0.102104538121918</v>
      </c>
      <c r="AL84">
        <v>0.10785690934198899</v>
      </c>
    </row>
    <row r="85" spans="1:38" x14ac:dyDescent="0.2">
      <c r="A85">
        <v>157</v>
      </c>
      <c r="B85">
        <v>792</v>
      </c>
      <c r="C85">
        <v>120</v>
      </c>
      <c r="D85">
        <v>0.48793174670234402</v>
      </c>
      <c r="E85">
        <v>0.43592744631265301</v>
      </c>
      <c r="F85">
        <v>2.5612016293433202</v>
      </c>
      <c r="G85">
        <v>-7.113704366334896</v>
      </c>
      <c r="H85">
        <v>-6.1159321251996577</v>
      </c>
      <c r="I85">
        <v>0.93674340809767398</v>
      </c>
      <c r="J85">
        <v>0.52920042494453401</v>
      </c>
      <c r="K85">
        <v>0.17020426713707101</v>
      </c>
      <c r="L85">
        <v>3.0641888396927523E-5</v>
      </c>
      <c r="M85">
        <v>1.8211074296883322E-6</v>
      </c>
      <c r="N85" s="1">
        <v>-1.93158875911356E-9</v>
      </c>
      <c r="O85" s="1">
        <v>1.54526698081764E-12</v>
      </c>
      <c r="P85" s="1">
        <v>9.2438541682308996E-12</v>
      </c>
      <c r="Q85">
        <v>65.597972123371505</v>
      </c>
      <c r="S85">
        <v>21.120524797000002</v>
      </c>
      <c r="AA85">
        <v>2.1182592011388</v>
      </c>
      <c r="AB85">
        <v>9.2166881217694208</v>
      </c>
      <c r="AC85">
        <v>1.9465557567201801</v>
      </c>
      <c r="AJ85">
        <v>0.789916364514339</v>
      </c>
      <c r="AK85">
        <v>0.100321983711083</v>
      </c>
      <c r="AL85">
        <v>0.109761651774576</v>
      </c>
    </row>
    <row r="86" spans="1:38" x14ac:dyDescent="0.2">
      <c r="A86">
        <v>158</v>
      </c>
      <c r="B86">
        <v>791</v>
      </c>
      <c r="C86">
        <v>120</v>
      </c>
      <c r="D86">
        <v>0.48738476718508</v>
      </c>
      <c r="E86">
        <v>0.83440343295218999</v>
      </c>
      <c r="F86">
        <v>2.5607743830212302</v>
      </c>
      <c r="G86">
        <v>-13.612947766183604</v>
      </c>
      <c r="H86">
        <v>-11.705848224371593</v>
      </c>
      <c r="I86">
        <v>1.7921341369280701</v>
      </c>
      <c r="J86">
        <v>1.0129745218128401</v>
      </c>
      <c r="K86">
        <v>0.32584027647439601</v>
      </c>
      <c r="L86">
        <v>3.0664586771974233E-5</v>
      </c>
      <c r="M86">
        <v>1.8219679756675317E-6</v>
      </c>
      <c r="N86" s="1">
        <v>-3.8203297423657802E-9</v>
      </c>
      <c r="O86" s="1">
        <v>2.9592932032915199E-12</v>
      </c>
      <c r="P86" s="1">
        <v>1.8054807636969802E-11</v>
      </c>
      <c r="Q86">
        <v>65.636590769298806</v>
      </c>
      <c r="S86">
        <v>21.086817830427101</v>
      </c>
      <c r="AA86">
        <v>2.0814394755079402</v>
      </c>
      <c r="AB86">
        <v>9.2143805084937807</v>
      </c>
      <c r="AC86">
        <v>1.9807714162723</v>
      </c>
      <c r="AJ86">
        <v>0.78972825508172195</v>
      </c>
      <c r="AK86">
        <v>9.8579386562541296E-2</v>
      </c>
      <c r="AL86">
        <v>0.111692358355735</v>
      </c>
    </row>
    <row r="87" spans="1:38" x14ac:dyDescent="0.2">
      <c r="A87">
        <v>159</v>
      </c>
      <c r="B87">
        <v>790</v>
      </c>
      <c r="C87">
        <v>120</v>
      </c>
      <c r="D87">
        <v>0.486836758688802</v>
      </c>
      <c r="E87">
        <v>1.23354333576486</v>
      </c>
      <c r="F87">
        <v>2.5603523213500399</v>
      </c>
      <c r="G87">
        <v>-20.11984017154774</v>
      </c>
      <c r="H87">
        <v>-17.304507343962193</v>
      </c>
      <c r="I87">
        <v>2.64810499702351</v>
      </c>
      <c r="J87">
        <v>1.4975921839214901</v>
      </c>
      <c r="K87">
        <v>0.48178655940383802</v>
      </c>
      <c r="L87">
        <v>3.0686811784521728E-5</v>
      </c>
      <c r="M87">
        <v>1.8227995050176566E-6</v>
      </c>
      <c r="N87" s="1">
        <v>-5.8337798554180004E-9</v>
      </c>
      <c r="O87" s="1">
        <v>4.3770270270604397E-12</v>
      </c>
      <c r="P87" s="1">
        <v>2.7236924772562099E-11</v>
      </c>
      <c r="Q87">
        <v>65.674059186690499</v>
      </c>
      <c r="S87">
        <v>21.0537840681618</v>
      </c>
      <c r="AA87">
        <v>2.0454435404281899</v>
      </c>
      <c r="AB87">
        <v>9.2112745652145804</v>
      </c>
      <c r="AC87">
        <v>2.0154386395047399</v>
      </c>
      <c r="AJ87">
        <v>0.78947483152787501</v>
      </c>
      <c r="AK87">
        <v>9.6876144914523996E-2</v>
      </c>
      <c r="AL87">
        <v>0.1136490235576</v>
      </c>
    </row>
    <row r="88" spans="1:38" x14ac:dyDescent="0.2">
      <c r="A88">
        <v>160</v>
      </c>
      <c r="B88">
        <v>789</v>
      </c>
      <c r="C88">
        <v>120</v>
      </c>
      <c r="D88">
        <v>0.48628771830721002</v>
      </c>
      <c r="E88">
        <v>1.6332117381217299</v>
      </c>
      <c r="F88">
        <v>2.5599353497253601</v>
      </c>
      <c r="G88">
        <v>-26.632145163857828</v>
      </c>
      <c r="H88">
        <v>-22.90999519128674</v>
      </c>
      <c r="I88">
        <v>3.50435434973505</v>
      </c>
      <c r="J88">
        <v>1.98289009871775</v>
      </c>
      <c r="K88">
        <v>0.63798944699792604</v>
      </c>
      <c r="L88">
        <v>3.0708579111358637E-5</v>
      </c>
      <c r="M88">
        <v>1.8236024737456348E-6</v>
      </c>
      <c r="N88" s="1">
        <v>-7.9756108583107702E-9</v>
      </c>
      <c r="O88" s="1">
        <v>5.7978977350075898E-12</v>
      </c>
      <c r="P88" s="1">
        <v>3.6799590323838399E-11</v>
      </c>
      <c r="Q88">
        <v>65.710394175055299</v>
      </c>
      <c r="S88">
        <v>21.021412253488901</v>
      </c>
      <c r="AA88">
        <v>2.0102581890583302</v>
      </c>
      <c r="AB88">
        <v>9.2073782177929608</v>
      </c>
      <c r="AC88">
        <v>2.05055716460445</v>
      </c>
      <c r="AJ88">
        <v>0.78915673619349302</v>
      </c>
      <c r="AK88">
        <v>9.5211611297309998E-2</v>
      </c>
      <c r="AL88">
        <v>0.11563165250919601</v>
      </c>
    </row>
    <row r="89" spans="1:38" x14ac:dyDescent="0.2">
      <c r="A89">
        <v>161</v>
      </c>
      <c r="B89">
        <v>788</v>
      </c>
      <c r="C89">
        <v>120</v>
      </c>
      <c r="D89">
        <v>0.48573764312303003</v>
      </c>
      <c r="E89">
        <v>2.0332767421789901</v>
      </c>
      <c r="F89">
        <v>2.5595233649446598</v>
      </c>
      <c r="G89">
        <v>-33.147685777982275</v>
      </c>
      <c r="H89">
        <v>-28.520447008036417</v>
      </c>
      <c r="I89">
        <v>4.3605887668527998</v>
      </c>
      <c r="J89">
        <v>2.46870939231819</v>
      </c>
      <c r="K89">
        <v>0.79439663260231896</v>
      </c>
      <c r="L89">
        <v>3.0729905164206098E-5</v>
      </c>
      <c r="M89">
        <v>1.8243773621667104E-6</v>
      </c>
      <c r="N89" s="1">
        <v>-1.0249596472093401E-8</v>
      </c>
      <c r="O89" s="1">
        <v>7.22134634387672E-12</v>
      </c>
      <c r="P89" s="1">
        <v>4.6752493137824502E-11</v>
      </c>
      <c r="Q89">
        <v>65.745613599224697</v>
      </c>
      <c r="S89">
        <v>20.9896903730872</v>
      </c>
      <c r="AA89">
        <v>1.9758693417712601</v>
      </c>
      <c r="AB89">
        <v>9.2026997825655599</v>
      </c>
      <c r="AC89">
        <v>2.08612690335121</v>
      </c>
      <c r="AJ89">
        <v>0.78877464195016</v>
      </c>
      <c r="AK89">
        <v>9.3585097845805598E-2</v>
      </c>
      <c r="AL89">
        <v>0.117640260204033</v>
      </c>
    </row>
    <row r="90" spans="1:38" x14ac:dyDescent="0.2">
      <c r="A90">
        <v>162</v>
      </c>
      <c r="B90">
        <v>787</v>
      </c>
      <c r="C90">
        <v>120</v>
      </c>
      <c r="D90">
        <v>0.48518653020799002</v>
      </c>
      <c r="E90">
        <v>2.4336104425139502</v>
      </c>
      <c r="F90">
        <v>2.5591162563002898</v>
      </c>
      <c r="G90">
        <v>-39.664352148483886</v>
      </c>
      <c r="H90">
        <v>-34.134054188337217</v>
      </c>
      <c r="I90">
        <v>5.2165240391894203</v>
      </c>
      <c r="J90">
        <v>2.9548962135463599</v>
      </c>
      <c r="K90">
        <v>0.95095736136357301</v>
      </c>
      <c r="L90">
        <v>3.0750807026435617E-5</v>
      </c>
      <c r="M90">
        <v>1.8251246716817856E-6</v>
      </c>
      <c r="N90" s="1">
        <v>-1.26596209295368E-8</v>
      </c>
      <c r="O90" s="1">
        <v>8.6468274712396405E-12</v>
      </c>
      <c r="P90" s="1">
        <v>5.71056541675259E-11</v>
      </c>
      <c r="Q90">
        <v>65.779736250533304</v>
      </c>
      <c r="S90">
        <v>20.9586057561316</v>
      </c>
      <c r="AA90">
        <v>1.9422621603055801</v>
      </c>
      <c r="AB90">
        <v>9.1972479167985295</v>
      </c>
      <c r="AC90">
        <v>2.1221479162308299</v>
      </c>
      <c r="AJ90">
        <v>0.78832924820405104</v>
      </c>
      <c r="AK90">
        <v>9.1995881698256607E-2</v>
      </c>
      <c r="AL90">
        <v>0.119674870097692</v>
      </c>
    </row>
    <row r="91" spans="1:38" x14ac:dyDescent="0.2">
      <c r="A91">
        <v>163</v>
      </c>
      <c r="B91">
        <v>786</v>
      </c>
      <c r="C91">
        <v>120</v>
      </c>
      <c r="D91">
        <v>0.48463437662276798</v>
      </c>
      <c r="E91">
        <v>2.8340893336669302</v>
      </c>
      <c r="F91">
        <v>2.5587139067361599</v>
      </c>
      <c r="G91">
        <v>-46.18010807210424</v>
      </c>
      <c r="H91">
        <v>-39.749069974204545</v>
      </c>
      <c r="I91">
        <v>6.07188603870999</v>
      </c>
      <c r="J91">
        <v>3.4413022374853002</v>
      </c>
      <c r="K91">
        <v>1.1076225936029001</v>
      </c>
      <c r="L91">
        <v>3.0771302395037898E-5</v>
      </c>
      <c r="M91">
        <v>1.8258449216691901E-6</v>
      </c>
      <c r="N91" s="1">
        <v>-1.52096878793529E-8</v>
      </c>
      <c r="O91" s="1">
        <v>1.00738109439069E-11</v>
      </c>
      <c r="P91" s="1">
        <v>6.78694549388634E-11</v>
      </c>
      <c r="Q91">
        <v>65.812781710008593</v>
      </c>
      <c r="S91">
        <v>20.9281451744422</v>
      </c>
      <c r="AA91">
        <v>1.90942116231218</v>
      </c>
      <c r="AB91">
        <v>9.1910315763678394</v>
      </c>
      <c r="AC91">
        <v>2.1586203768690502</v>
      </c>
      <c r="AJ91">
        <v>0.78782127749231401</v>
      </c>
      <c r="AK91">
        <v>9.0443210406343205E-2</v>
      </c>
      <c r="AL91">
        <v>0.12173551210134199</v>
      </c>
    </row>
    <row r="92" spans="1:38" x14ac:dyDescent="0.2">
      <c r="A92">
        <v>164</v>
      </c>
      <c r="B92">
        <v>785</v>
      </c>
      <c r="C92">
        <v>120</v>
      </c>
      <c r="D92">
        <v>0.48408117941691098</v>
      </c>
      <c r="E92">
        <v>3.2345946408392399</v>
      </c>
      <c r="F92">
        <v>2.55831619408068</v>
      </c>
      <c r="G92">
        <v>-52.692996314979119</v>
      </c>
      <c r="H92">
        <v>-45.363814079610663</v>
      </c>
      <c r="I92">
        <v>6.9264114117737998</v>
      </c>
      <c r="J92">
        <v>3.92778507561906</v>
      </c>
      <c r="K92">
        <v>1.2643451377602499</v>
      </c>
      <c r="L92">
        <v>3.0791409528972248E-5</v>
      </c>
      <c r="M92">
        <v>1.8265386465093446E-6</v>
      </c>
      <c r="N92" s="1">
        <v>-1.7903929570075798E-8</v>
      </c>
      <c r="O92" s="1">
        <v>1.15017831070824E-11</v>
      </c>
      <c r="P92" s="1">
        <v>7.9054666167056899E-11</v>
      </c>
      <c r="Q92">
        <v>65.844770213873502</v>
      </c>
      <c r="S92">
        <v>20.898294944005801</v>
      </c>
      <c r="AA92">
        <v>1.8773303364942899</v>
      </c>
      <c r="AB92">
        <v>9.1840599821921298</v>
      </c>
      <c r="AC92">
        <v>2.19554452343408</v>
      </c>
      <c r="AJ92">
        <v>0.78725147279659002</v>
      </c>
      <c r="AK92">
        <v>8.8926307366478802E-2</v>
      </c>
      <c r="AL92">
        <v>0.12382221983692999</v>
      </c>
    </row>
    <row r="93" spans="1:38" x14ac:dyDescent="0.2">
      <c r="A93">
        <v>165</v>
      </c>
      <c r="B93">
        <v>784</v>
      </c>
      <c r="C93">
        <v>120</v>
      </c>
      <c r="D93">
        <v>0.48352693562881199</v>
      </c>
      <c r="E93">
        <v>3.6350125806410101</v>
      </c>
      <c r="F93">
        <v>2.5579229923336899</v>
      </c>
      <c r="G93">
        <v>-59.201142780607739</v>
      </c>
      <c r="H93">
        <v>-50.97667634164624</v>
      </c>
      <c r="I93">
        <v>7.7798481189627697</v>
      </c>
      <c r="J93">
        <v>4.4142086010757504</v>
      </c>
      <c r="K93">
        <v>1.42107975554207</v>
      </c>
      <c r="L93">
        <v>3.0811147205278681E-5</v>
      </c>
      <c r="M93">
        <v>1.8272063927990959E-6</v>
      </c>
      <c r="N93" s="1">
        <v>-2.0746616327343599E-8</v>
      </c>
      <c r="O93" s="1">
        <v>1.2930247856986801E-11</v>
      </c>
      <c r="P93" s="1">
        <v>9.06724766139166E-11</v>
      </c>
      <c r="Q93">
        <v>65.8757225238883</v>
      </c>
      <c r="S93">
        <v>20.869041026032999</v>
      </c>
      <c r="AA93">
        <v>1.8459732562337801</v>
      </c>
      <c r="AB93">
        <v>9.1763425962288991</v>
      </c>
      <c r="AC93">
        <v>2.2329205976158901</v>
      </c>
      <c r="AJ93">
        <v>0.78662059563979103</v>
      </c>
      <c r="AK93">
        <v>8.7444377173276494E-2</v>
      </c>
      <c r="AL93">
        <v>0.125935027186931</v>
      </c>
    </row>
    <row r="94" spans="1:38" x14ac:dyDescent="0.2">
      <c r="A94">
        <v>166</v>
      </c>
      <c r="B94">
        <v>783</v>
      </c>
      <c r="C94">
        <v>120</v>
      </c>
      <c r="D94">
        <v>0.48297164228566197</v>
      </c>
      <c r="E94">
        <v>4.0352345463842303</v>
      </c>
      <c r="F94">
        <v>2.5575341730082801</v>
      </c>
      <c r="G94">
        <v>-65.70275945274669</v>
      </c>
      <c r="H94">
        <v>-56.586119323565505</v>
      </c>
      <c r="I94">
        <v>8.6319558104257599</v>
      </c>
      <c r="J94">
        <v>4.9004431824577601</v>
      </c>
      <c r="K94">
        <v>1.57778323706142</v>
      </c>
      <c r="L94">
        <v>3.0830534683929491E-5</v>
      </c>
      <c r="M94">
        <v>1.8278487167781952E-6</v>
      </c>
      <c r="N94" s="1">
        <v>-2.3742166276703699E-8</v>
      </c>
      <c r="O94" s="1">
        <v>1.43587273757062E-11</v>
      </c>
      <c r="P94" s="1">
        <v>1.02734521995133E-10</v>
      </c>
      <c r="Q94">
        <v>65.905659803270296</v>
      </c>
      <c r="S94">
        <v>20.8403691272974</v>
      </c>
      <c r="AA94">
        <v>1.81533319132515</v>
      </c>
      <c r="AB94">
        <v>9.1678891080224201</v>
      </c>
      <c r="AC94">
        <v>2.2707487700845799</v>
      </c>
      <c r="AJ94">
        <v>0.78592942504701302</v>
      </c>
      <c r="AK94">
        <v>8.5996610877899296E-2</v>
      </c>
      <c r="AL94">
        <v>0.128073964075087</v>
      </c>
    </row>
    <row r="95" spans="1:38" x14ac:dyDescent="0.2">
      <c r="A95">
        <v>167</v>
      </c>
      <c r="B95">
        <v>782</v>
      </c>
      <c r="C95">
        <v>120</v>
      </c>
      <c r="D95">
        <v>0.48241529640335601</v>
      </c>
      <c r="E95">
        <v>4.4351572182589898</v>
      </c>
      <c r="F95">
        <v>2.5571496065267101</v>
      </c>
      <c r="G95">
        <v>-72.196146122804265</v>
      </c>
      <c r="H95">
        <v>-62.190679876547868</v>
      </c>
      <c r="I95">
        <v>9.4825060382470703</v>
      </c>
      <c r="J95">
        <v>5.3863658268612102</v>
      </c>
      <c r="K95">
        <v>1.7344144460452999</v>
      </c>
      <c r="L95">
        <v>3.0849591682437219E-5</v>
      </c>
      <c r="M95">
        <v>1.8284661819924621E-6</v>
      </c>
      <c r="N95" s="1">
        <v>-2.6895155294143298E-8</v>
      </c>
      <c r="O95" s="1">
        <v>1.57867625680052E-11</v>
      </c>
      <c r="P95" s="1">
        <v>1.15252913882796E-10</v>
      </c>
      <c r="Q95">
        <v>65.934603499056394</v>
      </c>
      <c r="S95">
        <v>20.812264799385801</v>
      </c>
      <c r="AA95">
        <v>1.7853932173067899</v>
      </c>
      <c r="AB95">
        <v>9.1587094327505607</v>
      </c>
      <c r="AC95">
        <v>2.3090290515003402</v>
      </c>
      <c r="AJ95">
        <v>0.78517875744828902</v>
      </c>
      <c r="AK95">
        <v>8.4582191127771003E-2</v>
      </c>
      <c r="AL95">
        <v>0.13023905142393899</v>
      </c>
    </row>
    <row r="96" spans="1:38" x14ac:dyDescent="0.2">
      <c r="A96">
        <v>168</v>
      </c>
      <c r="B96">
        <v>781</v>
      </c>
      <c r="C96">
        <v>120</v>
      </c>
      <c r="D96">
        <v>0.48185789498648202</v>
      </c>
      <c r="E96">
        <v>4.9816194497413298</v>
      </c>
      <c r="F96">
        <v>2.5565749112532501</v>
      </c>
      <c r="G96">
        <v>-81.065530656511541</v>
      </c>
      <c r="H96">
        <v>-69.843864383391093</v>
      </c>
      <c r="I96">
        <v>10.6452272192007</v>
      </c>
      <c r="J96">
        <v>6.0500276435103997</v>
      </c>
      <c r="K96">
        <v>1.94855211471167</v>
      </c>
      <c r="L96">
        <v>3.0864874572090266E-5</v>
      </c>
      <c r="M96">
        <v>1.829140708036782E-6</v>
      </c>
      <c r="N96" s="1">
        <v>-3.1085414222241603E-8</v>
      </c>
      <c r="O96" s="1">
        <v>1.7742776942668899E-11</v>
      </c>
      <c r="P96" s="1">
        <v>1.3200515553986901E-10</v>
      </c>
      <c r="Q96">
        <v>65.970412280599007</v>
      </c>
      <c r="S96">
        <v>20.7745493192492</v>
      </c>
      <c r="AA96">
        <v>1.7459220703829601</v>
      </c>
      <c r="AB96">
        <v>9.13963134790305</v>
      </c>
      <c r="AC96">
        <v>2.3694849818656798</v>
      </c>
      <c r="AJ96">
        <v>0.78361804360179199</v>
      </c>
      <c r="AK96">
        <v>8.2720165419807007E-2</v>
      </c>
      <c r="AL96">
        <v>0.1336617909784</v>
      </c>
    </row>
    <row r="97" spans="1:38" x14ac:dyDescent="0.2">
      <c r="A97">
        <v>169</v>
      </c>
      <c r="B97">
        <v>780</v>
      </c>
      <c r="C97">
        <v>120</v>
      </c>
      <c r="D97">
        <v>0.48129943502824801</v>
      </c>
      <c r="E97">
        <v>6.4287396469876903</v>
      </c>
      <c r="F97">
        <v>2.5547653193519002</v>
      </c>
      <c r="G97">
        <v>-104.53426394231823</v>
      </c>
      <c r="H97">
        <v>-90.075001723046057</v>
      </c>
      <c r="I97">
        <v>13.729537311182799</v>
      </c>
      <c r="J97">
        <v>7.8048643418813404</v>
      </c>
      <c r="K97">
        <v>2.5163718946280902</v>
      </c>
      <c r="L97">
        <v>3.0851628435729616E-5</v>
      </c>
      <c r="M97">
        <v>1.8301379744923055E-6</v>
      </c>
      <c r="N97" s="1">
        <v>-4.0866838255850199E-8</v>
      </c>
      <c r="O97" s="1">
        <v>2.2956966929067099E-11</v>
      </c>
      <c r="P97" s="1">
        <v>1.7247596086116499E-10</v>
      </c>
      <c r="Q97">
        <v>66.049447303647497</v>
      </c>
      <c r="S97">
        <v>20.674975657864799</v>
      </c>
      <c r="AA97">
        <v>1.64533103803762</v>
      </c>
      <c r="AB97">
        <v>9.0547113602994305</v>
      </c>
      <c r="AC97">
        <v>2.5755346401506398</v>
      </c>
      <c r="AJ97">
        <v>0.77666615493176905</v>
      </c>
      <c r="AK97">
        <v>7.7987293771238905E-2</v>
      </c>
      <c r="AL97">
        <v>0.14534655129699101</v>
      </c>
    </row>
    <row r="98" spans="1:38" x14ac:dyDescent="0.2">
      <c r="A98">
        <v>170</v>
      </c>
      <c r="B98">
        <v>779</v>
      </c>
      <c r="C98">
        <v>120</v>
      </c>
      <c r="D98">
        <v>0.48073991351043299</v>
      </c>
      <c r="E98">
        <v>8.0680829503078506</v>
      </c>
      <c r="F98">
        <v>2.5525852868363401</v>
      </c>
      <c r="G98">
        <v>-131.0671889270422</v>
      </c>
      <c r="H98">
        <v>-112.95003575983311</v>
      </c>
      <c r="I98">
        <v>17.2191732806244</v>
      </c>
      <c r="J98">
        <v>9.7901092628239805</v>
      </c>
      <c r="K98">
        <v>3.1607496101755599</v>
      </c>
      <c r="L98">
        <v>3.0816590407124101E-5</v>
      </c>
      <c r="M98">
        <v>1.8308567673668511E-6</v>
      </c>
      <c r="N98" s="1">
        <v>-5.19674756947827E-8</v>
      </c>
      <c r="O98" s="1">
        <v>2.8902537041054602E-11</v>
      </c>
      <c r="P98" s="1">
        <v>2.1832588196041E-10</v>
      </c>
      <c r="Q98">
        <v>66.128769792350198</v>
      </c>
      <c r="S98">
        <v>20.5620564432243</v>
      </c>
      <c r="AA98">
        <v>1.5336627114280601</v>
      </c>
      <c r="AB98">
        <v>8.9354448715921695</v>
      </c>
      <c r="AC98">
        <v>2.84006618140518</v>
      </c>
      <c r="AJ98">
        <v>0.76689208199348402</v>
      </c>
      <c r="AK98">
        <v>7.2737559074119107E-2</v>
      </c>
      <c r="AL98">
        <v>0.16037035893239601</v>
      </c>
    </row>
    <row r="99" spans="1:38" x14ac:dyDescent="0.2">
      <c r="A99">
        <v>171</v>
      </c>
      <c r="B99">
        <v>778</v>
      </c>
      <c r="C99">
        <v>120</v>
      </c>
      <c r="D99">
        <v>0.48017932740332298</v>
      </c>
      <c r="E99">
        <v>10.095895252694</v>
      </c>
      <c r="F99">
        <v>2.5496786255536898</v>
      </c>
      <c r="G99">
        <v>-163.79899099691661</v>
      </c>
      <c r="H99">
        <v>-141.16839376092716</v>
      </c>
      <c r="I99">
        <v>21.529369962412002</v>
      </c>
      <c r="J99">
        <v>12.2403648543086</v>
      </c>
      <c r="K99">
        <v>3.9596736433799</v>
      </c>
      <c r="L99">
        <v>3.0740593747983492E-5</v>
      </c>
      <c r="M99">
        <v>1.831100976657153E-6</v>
      </c>
      <c r="N99" s="1">
        <v>-6.5204780365953904E-8</v>
      </c>
      <c r="O99" s="1">
        <v>3.6322030927081101E-11</v>
      </c>
      <c r="P99" s="1">
        <v>2.7350104689525301E-10</v>
      </c>
      <c r="Q99">
        <v>66.211100426158595</v>
      </c>
      <c r="S99">
        <v>20.421660127636599</v>
      </c>
      <c r="AA99">
        <v>1.3986235856575799</v>
      </c>
      <c r="AB99">
        <v>8.7508470805624601</v>
      </c>
      <c r="AC99">
        <v>3.2177687799847101</v>
      </c>
      <c r="AJ99">
        <v>0.75174044542837404</v>
      </c>
      <c r="AK99">
        <v>6.6394095725119298E-2</v>
      </c>
      <c r="AL99">
        <v>0.18186545884650601</v>
      </c>
    </row>
    <row r="100" spans="1:38" x14ac:dyDescent="0.2">
      <c r="A100">
        <v>172</v>
      </c>
      <c r="B100">
        <v>777</v>
      </c>
      <c r="C100">
        <v>120</v>
      </c>
      <c r="D100">
        <v>0.47961767366567098</v>
      </c>
      <c r="E100">
        <v>11.181618560075901</v>
      </c>
      <c r="F100">
        <v>2.5485823548815798</v>
      </c>
      <c r="G100">
        <v>-181.27613506470436</v>
      </c>
      <c r="H100">
        <v>-156.25586139186794</v>
      </c>
      <c r="I100">
        <v>23.8254284367342</v>
      </c>
      <c r="J100">
        <v>13.549285100529</v>
      </c>
      <c r="K100">
        <v>4.3873875759433503</v>
      </c>
      <c r="L100">
        <v>3.0671992638773755E-5</v>
      </c>
      <c r="M100">
        <v>1.8299790747153231E-6</v>
      </c>
      <c r="N100" s="1">
        <v>-7.3000313898368096E-8</v>
      </c>
      <c r="O100" s="1">
        <v>4.02821831825129E-11</v>
      </c>
      <c r="P100" s="1">
        <v>3.0508792440924998E-10</v>
      </c>
      <c r="Q100">
        <v>66.199412404028905</v>
      </c>
      <c r="S100">
        <v>20.3820490462736</v>
      </c>
      <c r="AA100">
        <v>1.36867127812658</v>
      </c>
      <c r="AB100">
        <v>8.6209553503484102</v>
      </c>
      <c r="AC100">
        <v>3.42891192122236</v>
      </c>
      <c r="AJ100">
        <v>0.74106126428013896</v>
      </c>
      <c r="AK100">
        <v>6.5014265601259905E-2</v>
      </c>
      <c r="AL100">
        <v>0.19392447011860001</v>
      </c>
    </row>
    <row r="101" spans="1:38" x14ac:dyDescent="0.2">
      <c r="A101">
        <v>173</v>
      </c>
      <c r="B101">
        <v>776</v>
      </c>
      <c r="C101">
        <v>120</v>
      </c>
      <c r="D101">
        <v>0.47905494924462999</v>
      </c>
      <c r="E101">
        <v>11.027547574643901</v>
      </c>
      <c r="F101">
        <v>2.5509116473034501</v>
      </c>
      <c r="G101">
        <v>-178.86786389188757</v>
      </c>
      <c r="H101">
        <v>-154.22778140726743</v>
      </c>
      <c r="I101">
        <v>23.4857575033313</v>
      </c>
      <c r="J101">
        <v>13.3688138217037</v>
      </c>
      <c r="K101">
        <v>4.3229829564269897</v>
      </c>
      <c r="L101">
        <v>3.0694238675289413E-5</v>
      </c>
      <c r="M101">
        <v>1.8282704136492682E-6</v>
      </c>
      <c r="N101" s="1">
        <v>-7.5011327066435604E-8</v>
      </c>
      <c r="O101" s="1">
        <v>3.95616250240193E-11</v>
      </c>
      <c r="P101" s="1">
        <v>3.0985347763595298E-10</v>
      </c>
      <c r="Q101">
        <v>66.077737612376794</v>
      </c>
      <c r="S101">
        <v>20.5090318987499</v>
      </c>
      <c r="AA101">
        <v>1.5018245808509501</v>
      </c>
      <c r="AB101">
        <v>8.6827116577570198</v>
      </c>
      <c r="AC101">
        <v>3.2286942502652098</v>
      </c>
      <c r="AJ101">
        <v>0.74613843803410196</v>
      </c>
      <c r="AK101">
        <v>7.1317158863894295E-2</v>
      </c>
      <c r="AL101">
        <v>0.18254440310200301</v>
      </c>
    </row>
    <row r="102" spans="1:38" x14ac:dyDescent="0.2">
      <c r="A102">
        <v>174</v>
      </c>
      <c r="B102">
        <v>775</v>
      </c>
      <c r="C102">
        <v>120</v>
      </c>
      <c r="D102">
        <v>0.478491151075708</v>
      </c>
      <c r="E102">
        <v>11.368480431607299</v>
      </c>
      <c r="F102">
        <v>2.5526183753602401</v>
      </c>
      <c r="G102">
        <v>-184.45428217757473</v>
      </c>
      <c r="H102">
        <v>-159.09012396449413</v>
      </c>
      <c r="I102">
        <v>24.198977448915301</v>
      </c>
      <c r="J102">
        <v>13.786844031405201</v>
      </c>
      <c r="K102">
        <v>4.4536545459925598</v>
      </c>
      <c r="L102">
        <v>3.0709531302431677E-5</v>
      </c>
      <c r="M102">
        <v>1.8268811096890609E-6</v>
      </c>
      <c r="N102" s="1">
        <v>-8.0250038596877806E-8</v>
      </c>
      <c r="O102" s="1">
        <v>4.0653686512282503E-11</v>
      </c>
      <c r="P102" s="1">
        <v>3.2807244496371502E-10</v>
      </c>
      <c r="Q102">
        <v>65.983334673563704</v>
      </c>
      <c r="S102">
        <v>20.603613009775</v>
      </c>
      <c r="AA102">
        <v>1.6018826010810401</v>
      </c>
      <c r="AB102">
        <v>8.7202964492309398</v>
      </c>
      <c r="AC102">
        <v>3.09087326634923</v>
      </c>
      <c r="AJ102">
        <v>0.74922655087521495</v>
      </c>
      <c r="AK102">
        <v>7.6054231944734305E-2</v>
      </c>
      <c r="AL102">
        <v>0.17471921718004901</v>
      </c>
    </row>
    <row r="103" spans="1:38" x14ac:dyDescent="0.2">
      <c r="A103">
        <v>175</v>
      </c>
      <c r="B103">
        <v>774</v>
      </c>
      <c r="C103">
        <v>120</v>
      </c>
      <c r="D103">
        <v>0.47792627608270499</v>
      </c>
      <c r="E103">
        <v>13.2563252710217</v>
      </c>
      <c r="F103">
        <v>2.5560049939577101</v>
      </c>
      <c r="G103">
        <v>-215.22779917686233</v>
      </c>
      <c r="H103">
        <v>-185.69846521354563</v>
      </c>
      <c r="I103">
        <v>28.199717292953899</v>
      </c>
      <c r="J103">
        <v>16.082854871535201</v>
      </c>
      <c r="K103">
        <v>5.1863456066631901</v>
      </c>
      <c r="L103">
        <v>3.069324722546437E-5</v>
      </c>
      <c r="M103">
        <v>1.8231176017917386E-6</v>
      </c>
      <c r="N103" s="1">
        <v>-9.7158640470741202E-8</v>
      </c>
      <c r="O103" s="1">
        <v>4.7115873776682403E-11</v>
      </c>
      <c r="P103" s="1">
        <v>3.9325180435853698E-10</v>
      </c>
      <c r="Q103">
        <v>65.764290203982895</v>
      </c>
      <c r="S103">
        <v>20.806764576969002</v>
      </c>
      <c r="AA103">
        <v>1.8205957565686799</v>
      </c>
      <c r="AB103">
        <v>8.7647558383700694</v>
      </c>
      <c r="AC103">
        <v>2.8435936241092201</v>
      </c>
      <c r="AJ103">
        <v>0.75287637703239996</v>
      </c>
      <c r="AK103">
        <v>8.6418786700345099E-2</v>
      </c>
      <c r="AL103">
        <v>0.16070483626725399</v>
      </c>
    </row>
    <row r="104" spans="1:38" x14ac:dyDescent="0.2">
      <c r="A104">
        <v>176</v>
      </c>
      <c r="B104">
        <v>773</v>
      </c>
      <c r="C104">
        <v>120</v>
      </c>
      <c r="D104">
        <v>0.47736032117765198</v>
      </c>
      <c r="E104">
        <v>14.340899848041801</v>
      </c>
      <c r="F104">
        <v>2.5575198633835101</v>
      </c>
      <c r="G104">
        <v>-232.88466719542987</v>
      </c>
      <c r="H104">
        <v>-200.98913583638796</v>
      </c>
      <c r="I104">
        <v>30.488487653818201</v>
      </c>
      <c r="J104">
        <v>17.402866032847001</v>
      </c>
      <c r="K104">
        <v>5.60734641922559</v>
      </c>
      <c r="L104">
        <v>3.069387676721549E-5</v>
      </c>
      <c r="M104">
        <v>1.8214323123240908E-6</v>
      </c>
      <c r="N104" s="1">
        <v>-1.0867026489996E-7</v>
      </c>
      <c r="O104" s="1">
        <v>5.0816612482766201E-11</v>
      </c>
      <c r="P104" s="1">
        <v>4.3593240402464898E-10</v>
      </c>
      <c r="Q104">
        <v>65.665003482294694</v>
      </c>
      <c r="S104">
        <v>20.897056231824699</v>
      </c>
      <c r="AA104">
        <v>1.91825449550676</v>
      </c>
      <c r="AB104">
        <v>8.7802120145495497</v>
      </c>
      <c r="AC104">
        <v>2.7394737758241199</v>
      </c>
      <c r="AJ104">
        <v>0.75414449208072598</v>
      </c>
      <c r="AK104">
        <v>9.1047196071845499E-2</v>
      </c>
      <c r="AL104">
        <v>0.15480831184742799</v>
      </c>
    </row>
    <row r="105" spans="1:38" x14ac:dyDescent="0.2">
      <c r="A105">
        <v>177</v>
      </c>
      <c r="B105">
        <v>772</v>
      </c>
      <c r="C105">
        <v>120</v>
      </c>
      <c r="D105">
        <v>0.47679328326077502</v>
      </c>
      <c r="E105">
        <v>15.272681228227301</v>
      </c>
      <c r="F105">
        <v>2.5586941279205502</v>
      </c>
      <c r="G105">
        <v>-248.04642001270403</v>
      </c>
      <c r="H105">
        <v>-214.13131673133216</v>
      </c>
      <c r="I105">
        <v>32.449986395609997</v>
      </c>
      <c r="J105">
        <v>18.5375870070547</v>
      </c>
      <c r="K105">
        <v>5.9689358964681496</v>
      </c>
      <c r="L105">
        <v>3.0698230009259905E-5</v>
      </c>
      <c r="M105">
        <v>1.8201296083199997E-6</v>
      </c>
      <c r="N105" s="1">
        <v>-1.1955850548103501E-7</v>
      </c>
      <c r="O105" s="1">
        <v>5.3984187198487E-11</v>
      </c>
      <c r="P105" s="1">
        <v>4.7550696356130996E-10</v>
      </c>
      <c r="Q105">
        <v>65.587609644102599</v>
      </c>
      <c r="S105">
        <v>20.966776602821501</v>
      </c>
      <c r="AA105">
        <v>1.9938333095591301</v>
      </c>
      <c r="AB105">
        <v>8.7905250126648795</v>
      </c>
      <c r="AC105">
        <v>2.6612554308517602</v>
      </c>
      <c r="AJ105">
        <v>0.75499035044871998</v>
      </c>
      <c r="AK105">
        <v>9.4629430064096007E-2</v>
      </c>
      <c r="AL105">
        <v>0.150380219487183</v>
      </c>
    </row>
    <row r="106" spans="1:38" x14ac:dyDescent="0.2">
      <c r="A106">
        <v>178</v>
      </c>
      <c r="B106">
        <v>771</v>
      </c>
      <c r="C106">
        <v>120</v>
      </c>
      <c r="D106">
        <v>0.47622515922041903</v>
      </c>
      <c r="E106">
        <v>15.7786061659488</v>
      </c>
      <c r="F106">
        <v>2.5593084367472398</v>
      </c>
      <c r="G106">
        <v>-256.26396787127106</v>
      </c>
      <c r="H106">
        <v>-221.2787901743323</v>
      </c>
      <c r="I106">
        <v>33.505892541242901</v>
      </c>
      <c r="J106">
        <v>19.155542023705198</v>
      </c>
      <c r="K106">
        <v>6.1651835079333699</v>
      </c>
      <c r="L106">
        <v>3.0714185424353502E-5</v>
      </c>
      <c r="M106">
        <v>1.8196272768212816E-6</v>
      </c>
      <c r="N106" s="1">
        <v>-1.2756813293663601E-7</v>
      </c>
      <c r="O106" s="1">
        <v>5.56866066575686E-11</v>
      </c>
      <c r="P106" s="1">
        <v>5.0310512834104198E-10</v>
      </c>
      <c r="Q106">
        <v>65.551953570024395</v>
      </c>
      <c r="S106">
        <v>21.000172851665202</v>
      </c>
      <c r="AA106">
        <v>2.0297054142418198</v>
      </c>
      <c r="AB106">
        <v>8.7986199715362705</v>
      </c>
      <c r="AC106">
        <v>2.61954819253216</v>
      </c>
      <c r="AJ106">
        <v>0.75565460612007596</v>
      </c>
      <c r="AK106">
        <v>9.6328006867415203E-2</v>
      </c>
      <c r="AL106">
        <v>0.14801738701250799</v>
      </c>
    </row>
    <row r="107" spans="1:38" x14ac:dyDescent="0.2">
      <c r="A107">
        <v>180</v>
      </c>
      <c r="B107">
        <v>806</v>
      </c>
      <c r="C107">
        <v>100</v>
      </c>
      <c r="D107">
        <v>0.51586943427697896</v>
      </c>
      <c r="E107">
        <v>0.261574017131255</v>
      </c>
      <c r="F107">
        <v>2.55914333908026</v>
      </c>
      <c r="G107">
        <v>-4.278583157591191</v>
      </c>
      <c r="H107">
        <v>-3.6674539844620084</v>
      </c>
      <c r="I107">
        <v>0.56630604932509998</v>
      </c>
      <c r="J107">
        <v>0.31739276983241499</v>
      </c>
      <c r="K107">
        <v>0.102211553818342</v>
      </c>
      <c r="L107">
        <v>3.0494205328858377E-5</v>
      </c>
      <c r="M107">
        <v>1.8211602494780401E-6</v>
      </c>
      <c r="N107" s="1">
        <v>-6.9420595850517898E-10</v>
      </c>
      <c r="O107" s="1">
        <v>9.3159210454537208E-13</v>
      </c>
      <c r="P107" s="1">
        <v>4.1648770084885099E-12</v>
      </c>
      <c r="Q107">
        <v>65.610219917323803</v>
      </c>
      <c r="S107">
        <v>21.114851429503702</v>
      </c>
      <c r="AA107">
        <v>2.11072075958301</v>
      </c>
      <c r="AB107">
        <v>9.2291082034120997</v>
      </c>
      <c r="AC107">
        <v>1.9350996901772399</v>
      </c>
      <c r="AJ107">
        <v>0.79093221870705599</v>
      </c>
      <c r="AK107">
        <v>9.9958815487814601E-2</v>
      </c>
      <c r="AL107">
        <v>0.10910896580512899</v>
      </c>
    </row>
    <row r="108" spans="1:38" x14ac:dyDescent="0.2">
      <c r="A108">
        <v>181</v>
      </c>
      <c r="B108">
        <v>805</v>
      </c>
      <c r="C108">
        <v>100</v>
      </c>
      <c r="D108">
        <v>0.51535547001808601</v>
      </c>
      <c r="E108">
        <v>0.64637345148932301</v>
      </c>
      <c r="F108">
        <v>2.5587485640088601</v>
      </c>
      <c r="G108">
        <v>-10.570291050153275</v>
      </c>
      <c r="H108">
        <v>-9.0622572233562266</v>
      </c>
      <c r="I108">
        <v>1.3987235790910799</v>
      </c>
      <c r="J108">
        <v>0.784300956327869</v>
      </c>
      <c r="K108">
        <v>0.25261311743606002</v>
      </c>
      <c r="L108">
        <v>3.0511959594820935E-5</v>
      </c>
      <c r="M108">
        <v>1.8219669491536557E-6</v>
      </c>
      <c r="N108" s="1">
        <v>-1.7817740769560301E-9</v>
      </c>
      <c r="O108" s="1">
        <v>2.3033406137935401E-12</v>
      </c>
      <c r="P108" s="1">
        <v>1.04879263513519E-11</v>
      </c>
      <c r="Q108">
        <v>65.646612013949905</v>
      </c>
      <c r="S108">
        <v>21.083244494352702</v>
      </c>
      <c r="AA108">
        <v>2.0761531162184101</v>
      </c>
      <c r="AB108">
        <v>9.2273443497967005</v>
      </c>
      <c r="AC108">
        <v>1.96664602568219</v>
      </c>
      <c r="AJ108">
        <v>0.79078856249218299</v>
      </c>
      <c r="AK108">
        <v>9.8322705676253105E-2</v>
      </c>
      <c r="AL108">
        <v>0.110888731831562</v>
      </c>
    </row>
    <row r="109" spans="1:38" x14ac:dyDescent="0.2">
      <c r="A109">
        <v>182</v>
      </c>
      <c r="B109">
        <v>804</v>
      </c>
      <c r="C109">
        <v>100</v>
      </c>
      <c r="D109">
        <v>0.514840551455232</v>
      </c>
      <c r="E109">
        <v>1.03152555684273</v>
      </c>
      <c r="F109">
        <v>2.5583591056569199</v>
      </c>
      <c r="G109">
        <v>-16.864798272532649</v>
      </c>
      <c r="H109">
        <v>-14.461570797126452</v>
      </c>
      <c r="I109">
        <v>2.23109824574682</v>
      </c>
      <c r="J109">
        <v>1.2516302059836799</v>
      </c>
      <c r="K109">
        <v>0.403198110289473</v>
      </c>
      <c r="L109">
        <v>3.0529243167416499E-5</v>
      </c>
      <c r="M109">
        <v>1.8227471991642735E-6</v>
      </c>
      <c r="N109" s="1">
        <v>-2.9514541868819601E-9</v>
      </c>
      <c r="O109" s="1">
        <v>3.6778143009539797E-12</v>
      </c>
      <c r="P109" s="1">
        <v>1.7056506013843901E-11</v>
      </c>
      <c r="Q109">
        <v>65.681945952195207</v>
      </c>
      <c r="S109">
        <v>21.052274551868901</v>
      </c>
      <c r="AA109">
        <v>2.0423579051187599</v>
      </c>
      <c r="AB109">
        <v>9.2248924060579096</v>
      </c>
      <c r="AC109">
        <v>1.99852918475907</v>
      </c>
      <c r="AJ109">
        <v>0.79058861899738198</v>
      </c>
      <c r="AK109">
        <v>9.6723474672697499E-2</v>
      </c>
      <c r="AL109">
        <v>0.112687906329919</v>
      </c>
    </row>
    <row r="110" spans="1:38" x14ac:dyDescent="0.2">
      <c r="A110">
        <v>183</v>
      </c>
      <c r="B110">
        <v>803</v>
      </c>
      <c r="C110">
        <v>100</v>
      </c>
      <c r="D110">
        <v>0.51432467592807896</v>
      </c>
      <c r="E110">
        <v>1.4169070697414901</v>
      </c>
      <c r="F110">
        <v>2.5579748865094398</v>
      </c>
      <c r="G110">
        <v>-23.160072523725351</v>
      </c>
      <c r="H110">
        <v>-19.863658603006858</v>
      </c>
      <c r="I110">
        <v>3.0631546909989198</v>
      </c>
      <c r="J110">
        <v>1.7192310833622599</v>
      </c>
      <c r="K110">
        <v>0.55391750607644696</v>
      </c>
      <c r="L110">
        <v>3.0546070330867752E-5</v>
      </c>
      <c r="M110">
        <v>1.8235014480697366E-6</v>
      </c>
      <c r="N110" s="1">
        <v>-4.2054597802707097E-9</v>
      </c>
      <c r="O110" s="1">
        <v>5.0544985095977002E-12</v>
      </c>
      <c r="P110" s="1">
        <v>2.3876012882497099E-11</v>
      </c>
      <c r="Q110">
        <v>65.716238114516699</v>
      </c>
      <c r="S110">
        <v>21.021931271133301</v>
      </c>
      <c r="AA110">
        <v>2.00932278054775</v>
      </c>
      <c r="AB110">
        <v>9.2217617957751603</v>
      </c>
      <c r="AC110">
        <v>2.03074603802692</v>
      </c>
      <c r="AJ110">
        <v>0.79033315489758305</v>
      </c>
      <c r="AK110">
        <v>9.5160518492856394E-2</v>
      </c>
      <c r="AL110">
        <v>0.11450632660955901</v>
      </c>
    </row>
    <row r="111" spans="1:38" x14ac:dyDescent="0.2">
      <c r="A111">
        <v>184</v>
      </c>
      <c r="B111">
        <v>802</v>
      </c>
      <c r="C111">
        <v>100</v>
      </c>
      <c r="D111">
        <v>0.51380784076640695</v>
      </c>
      <c r="E111">
        <v>1.8023978866502099</v>
      </c>
      <c r="F111">
        <v>2.5575958222350201</v>
      </c>
      <c r="G111">
        <v>-29.454135227040958</v>
      </c>
      <c r="H111">
        <v>-25.266829139999661</v>
      </c>
      <c r="I111">
        <v>3.8946250170127898</v>
      </c>
      <c r="J111">
        <v>2.1869581407370098</v>
      </c>
      <c r="K111">
        <v>0.70472350282271601</v>
      </c>
      <c r="L111">
        <v>3.0562455938147408E-5</v>
      </c>
      <c r="M111">
        <v>1.8242301637504046E-6</v>
      </c>
      <c r="N111" s="1">
        <v>-5.5460567191270002E-9</v>
      </c>
      <c r="O111" s="1">
        <v>6.4328894758468098E-12</v>
      </c>
      <c r="P111" s="1">
        <v>3.0952009826575598E-11</v>
      </c>
      <c r="Q111">
        <v>65.749505734696001</v>
      </c>
      <c r="S111">
        <v>20.992203724696001</v>
      </c>
      <c r="AA111">
        <v>1.9770347059798901</v>
      </c>
      <c r="AB111">
        <v>9.2179622757758999</v>
      </c>
      <c r="AC111">
        <v>2.06329355885212</v>
      </c>
      <c r="AJ111">
        <v>0.79002296310490105</v>
      </c>
      <c r="AK111">
        <v>9.3633201271118197E-2</v>
      </c>
      <c r="AL111">
        <v>0.116343835623979</v>
      </c>
    </row>
    <row r="112" spans="1:38" x14ac:dyDescent="0.2">
      <c r="A112">
        <v>185</v>
      </c>
      <c r="B112">
        <v>801</v>
      </c>
      <c r="C112">
        <v>100</v>
      </c>
      <c r="D112">
        <v>0.51329004329004402</v>
      </c>
      <c r="E112">
        <v>2.1878814290040798</v>
      </c>
      <c r="F112">
        <v>2.5572218225235401</v>
      </c>
      <c r="G112">
        <v>-35.745067429922038</v>
      </c>
      <c r="H112">
        <v>-30.669440605906818</v>
      </c>
      <c r="I112">
        <v>4.7252495685101898</v>
      </c>
      <c r="J112">
        <v>2.65467036692944</v>
      </c>
      <c r="K112">
        <v>0.85556966929251899</v>
      </c>
      <c r="L112">
        <v>3.0578415357151625E-5</v>
      </c>
      <c r="M112">
        <v>1.8249338307666645E-6</v>
      </c>
      <c r="N112" s="1">
        <v>-6.9755679290547499E-9</v>
      </c>
      <c r="O112" s="1">
        <v>7.8124957901410101E-12</v>
      </c>
      <c r="P112" s="1">
        <v>3.8290242002200703E-11</v>
      </c>
      <c r="Q112">
        <v>65.781766785472598</v>
      </c>
      <c r="S112">
        <v>20.963080467163898</v>
      </c>
      <c r="AA112">
        <v>1.9454800451556999</v>
      </c>
      <c r="AB112">
        <v>9.2135038917608707</v>
      </c>
      <c r="AC112">
        <v>2.0961688104468701</v>
      </c>
      <c r="AJ112">
        <v>0.78965885919484502</v>
      </c>
      <c r="AK112">
        <v>9.2140859564933494E-2</v>
      </c>
      <c r="AL112">
        <v>0.118200281240221</v>
      </c>
    </row>
    <row r="113" spans="1:38" x14ac:dyDescent="0.2">
      <c r="A113">
        <v>186</v>
      </c>
      <c r="B113">
        <v>800</v>
      </c>
      <c r="C113">
        <v>100</v>
      </c>
      <c r="D113">
        <v>0.51277128080883805</v>
      </c>
      <c r="E113">
        <v>2.5732449565000399</v>
      </c>
      <c r="F113">
        <v>2.5568527919550599</v>
      </c>
      <c r="G113">
        <v>-42.031014852067869</v>
      </c>
      <c r="H113">
        <v>-36.069905271339977</v>
      </c>
      <c r="I113">
        <v>5.5547775993364201</v>
      </c>
      <c r="J113">
        <v>3.1222315729098802</v>
      </c>
      <c r="K113">
        <v>1.00641107090582</v>
      </c>
      <c r="L113">
        <v>3.0593964420561156E-5</v>
      </c>
      <c r="M113">
        <v>1.8256129478152364E-6</v>
      </c>
      <c r="N113" s="1">
        <v>-8.49637830249348E-9</v>
      </c>
      <c r="O113" s="1">
        <v>9.1928396567866102E-12</v>
      </c>
      <c r="P113" s="1">
        <v>4.5896653348388801E-11</v>
      </c>
      <c r="Q113">
        <v>65.813039868502997</v>
      </c>
      <c r="S113">
        <v>20.934549613658401</v>
      </c>
      <c r="AA113">
        <v>1.91464465248641</v>
      </c>
      <c r="AB113">
        <v>9.2083969387698001</v>
      </c>
      <c r="AC113">
        <v>2.1293689265823099</v>
      </c>
      <c r="AJ113">
        <v>0.78924167822921598</v>
      </c>
      <c r="AK113">
        <v>9.0682806623165094E-2</v>
      </c>
      <c r="AL113">
        <v>0.12007551514761799</v>
      </c>
    </row>
    <row r="114" spans="1:38" x14ac:dyDescent="0.2">
      <c r="A114">
        <v>187</v>
      </c>
      <c r="B114">
        <v>799</v>
      </c>
      <c r="C114">
        <v>100</v>
      </c>
      <c r="D114">
        <v>0.51225155062258299</v>
      </c>
      <c r="E114">
        <v>2.9583798213191401</v>
      </c>
      <c r="F114">
        <v>2.55648863090684</v>
      </c>
      <c r="G114">
        <v>-48.310191964976099</v>
      </c>
      <c r="H114">
        <v>-41.466693029432179</v>
      </c>
      <c r="I114">
        <v>6.3829678081834702</v>
      </c>
      <c r="J114">
        <v>3.58951070538469</v>
      </c>
      <c r="K114">
        <v>1.15720437226029</v>
      </c>
      <c r="L114">
        <v>3.0609119379827568E-5</v>
      </c>
      <c r="M114">
        <v>1.8262680252880784E-6</v>
      </c>
      <c r="N114" s="1">
        <v>-1.01109397753133E-8</v>
      </c>
      <c r="O114" s="1">
        <v>1.0573457923705199E-11</v>
      </c>
      <c r="P114" s="1">
        <v>5.37774031060832E-11</v>
      </c>
      <c r="Q114">
        <v>65.843344106674095</v>
      </c>
      <c r="S114">
        <v>20.9065989183669</v>
      </c>
      <c r="AA114">
        <v>1.8845139629869501</v>
      </c>
      <c r="AB114">
        <v>9.2026519271409999</v>
      </c>
      <c r="AC114">
        <v>2.16289108483087</v>
      </c>
      <c r="AJ114">
        <v>0.78877227202872002</v>
      </c>
      <c r="AK114">
        <v>8.9258336627336204E-2</v>
      </c>
      <c r="AL114">
        <v>0.121969391343943</v>
      </c>
    </row>
    <row r="115" spans="1:38" x14ac:dyDescent="0.2">
      <c r="A115">
        <v>188</v>
      </c>
      <c r="B115">
        <v>798</v>
      </c>
      <c r="C115">
        <v>100</v>
      </c>
      <c r="D115">
        <v>0.51173085002101004</v>
      </c>
      <c r="E115">
        <v>3.3431816772076202</v>
      </c>
      <c r="F115">
        <v>2.5561292364585402</v>
      </c>
      <c r="G115">
        <v>-54.580885332362861</v>
      </c>
      <c r="H115">
        <v>-46.858334317050179</v>
      </c>
      <c r="I115">
        <v>7.2095887740397604</v>
      </c>
      <c r="J115">
        <v>4.0563821053474598</v>
      </c>
      <c r="K115">
        <v>1.3079079216822</v>
      </c>
      <c r="L115">
        <v>3.0623896864063309E-5</v>
      </c>
      <c r="M115">
        <v>1.8268995829907412E-6</v>
      </c>
      <c r="N115" s="1">
        <v>-1.1821776607594899E-8</v>
      </c>
      <c r="O115" s="1">
        <v>1.19539029316063E-11</v>
      </c>
      <c r="P115" s="1">
        <v>6.1938882560307702E-11</v>
      </c>
      <c r="Q115">
        <v>65.8726990417548</v>
      </c>
      <c r="S115">
        <v>20.8792158505494</v>
      </c>
      <c r="AA115">
        <v>1.85507307886393</v>
      </c>
      <c r="AB115">
        <v>9.1962795536942306</v>
      </c>
      <c r="AC115">
        <v>2.1967324751375101</v>
      </c>
      <c r="AJ115">
        <v>0.78825150687290602</v>
      </c>
      <c r="AK115">
        <v>8.7866728770565006E-2</v>
      </c>
      <c r="AL115">
        <v>0.12388176435652801</v>
      </c>
    </row>
    <row r="116" spans="1:38" x14ac:dyDescent="0.2">
      <c r="A116">
        <v>189</v>
      </c>
      <c r="B116">
        <v>797</v>
      </c>
      <c r="C116">
        <v>100</v>
      </c>
      <c r="D116">
        <v>0.511209176283699</v>
      </c>
      <c r="E116">
        <v>3.72755062889554</v>
      </c>
      <c r="F116">
        <v>2.5557745033340402</v>
      </c>
      <c r="G116">
        <v>-60.841455977074141</v>
      </c>
      <c r="H116">
        <v>-52.24342220543457</v>
      </c>
      <c r="I116">
        <v>8.0344192605144702</v>
      </c>
      <c r="J116">
        <v>4.5227256941040803</v>
      </c>
      <c r="K116">
        <v>1.45848181208197</v>
      </c>
      <c r="L116">
        <v>3.0638313844606499E-5</v>
      </c>
      <c r="M116">
        <v>1.8275081480058687E-6</v>
      </c>
      <c r="N116" s="1">
        <v>-1.36314908124471E-8</v>
      </c>
      <c r="O116" s="1">
        <v>1.3333743129367299E-11</v>
      </c>
      <c r="P116" s="1">
        <v>7.0387731719645095E-11</v>
      </c>
      <c r="Q116">
        <v>65.901124535916296</v>
      </c>
      <c r="S116">
        <v>20.8523876699951</v>
      </c>
      <c r="AA116">
        <v>1.8263068547468</v>
      </c>
      <c r="AB116">
        <v>9.1892906800945795</v>
      </c>
      <c r="AC116">
        <v>2.2308902592470399</v>
      </c>
      <c r="AJ116">
        <v>0.78768026178735095</v>
      </c>
      <c r="AK116">
        <v>8.6507251268178903E-2</v>
      </c>
      <c r="AL116">
        <v>0.125812486944469</v>
      </c>
    </row>
    <row r="117" spans="1:38" x14ac:dyDescent="0.2">
      <c r="A117">
        <v>190</v>
      </c>
      <c r="B117">
        <v>796</v>
      </c>
      <c r="C117">
        <v>100</v>
      </c>
      <c r="D117">
        <v>0.51068652668007097</v>
      </c>
      <c r="E117">
        <v>4.1113913331575498</v>
      </c>
      <c r="F117">
        <v>2.5554243248323401</v>
      </c>
      <c r="G117">
        <v>-67.090340960737592</v>
      </c>
      <c r="H117">
        <v>-57.620613818949785</v>
      </c>
      <c r="I117">
        <v>8.8572484139623207</v>
      </c>
      <c r="J117">
        <v>4.9884271005613101</v>
      </c>
      <c r="K117">
        <v>1.6088879225282</v>
      </c>
      <c r="L117">
        <v>3.0652387604952933E-5</v>
      </c>
      <c r="M117">
        <v>1.8280942527336513E-6</v>
      </c>
      <c r="N117" s="1">
        <v>-1.5542767754227899E-8</v>
      </c>
      <c r="O117" s="1">
        <v>1.4712563496153601E-11</v>
      </c>
      <c r="P117" s="1">
        <v>7.9130856083500799E-11</v>
      </c>
      <c r="Q117">
        <v>65.928640679442907</v>
      </c>
      <c r="S117">
        <v>20.8261014992692</v>
      </c>
      <c r="AA117">
        <v>1.7981999788269201</v>
      </c>
      <c r="AB117">
        <v>9.1816963165936496</v>
      </c>
      <c r="AC117">
        <v>2.2653615258671498</v>
      </c>
      <c r="AJ117">
        <v>0.78705942727052003</v>
      </c>
      <c r="AK117">
        <v>8.5179165171926904E-2</v>
      </c>
      <c r="AL117">
        <v>0.127761407557552</v>
      </c>
    </row>
    <row r="118" spans="1:38" x14ac:dyDescent="0.2">
      <c r="A118">
        <v>191</v>
      </c>
      <c r="B118">
        <v>795</v>
      </c>
      <c r="C118">
        <v>100</v>
      </c>
      <c r="D118">
        <v>0.51016289846931695</v>
      </c>
      <c r="E118">
        <v>4.4946130486675298</v>
      </c>
      <c r="F118">
        <v>2.5550785937721399</v>
      </c>
      <c r="G118">
        <v>-73.326054132324131</v>
      </c>
      <c r="H118">
        <v>-62.988631043368471</v>
      </c>
      <c r="I118">
        <v>9.6778758497923096</v>
      </c>
      <c r="J118">
        <v>5.4533777264696601</v>
      </c>
      <c r="K118">
        <v>1.7590899393947801</v>
      </c>
      <c r="L118">
        <v>3.0666135717231948E-5</v>
      </c>
      <c r="M118">
        <v>1.8286584331176915E-6</v>
      </c>
      <c r="N118" s="1">
        <v>-1.75583819001046E-8</v>
      </c>
      <c r="O118" s="1">
        <v>1.6089965759379999E-11</v>
      </c>
      <c r="P118" s="1">
        <v>8.8175443423719403E-11</v>
      </c>
      <c r="Q118">
        <v>65.955267704294698</v>
      </c>
      <c r="S118">
        <v>20.8003443938169</v>
      </c>
      <c r="AA118">
        <v>1.77073705086271</v>
      </c>
      <c r="AB118">
        <v>9.1735076131963709</v>
      </c>
      <c r="AC118">
        <v>2.3001432378292099</v>
      </c>
      <c r="AJ118">
        <v>0.78638990462786595</v>
      </c>
      <c r="AK118">
        <v>8.3881728032887903E-2</v>
      </c>
      <c r="AL118">
        <v>0.129728367339245</v>
      </c>
    </row>
    <row r="119" spans="1:38" x14ac:dyDescent="0.2">
      <c r="A119">
        <v>192</v>
      </c>
      <c r="B119">
        <v>794</v>
      </c>
      <c r="C119">
        <v>100</v>
      </c>
      <c r="D119">
        <v>0.50963828890034402</v>
      </c>
      <c r="E119">
        <v>4.8771296394122698</v>
      </c>
      <c r="F119">
        <v>2.5547372034279401</v>
      </c>
      <c r="G119">
        <v>-79.547186125107217</v>
      </c>
      <c r="H119">
        <v>-68.346260590879169</v>
      </c>
      <c r="I119">
        <v>10.4961116377529</v>
      </c>
      <c r="J119">
        <v>5.9174747554979401</v>
      </c>
      <c r="K119">
        <v>1.9090533589396701</v>
      </c>
      <c r="L119">
        <v>3.0679576024918304E-5</v>
      </c>
      <c r="M119">
        <v>1.8292012270643174E-6</v>
      </c>
      <c r="N119" s="1">
        <v>-1.96812027307436E-8</v>
      </c>
      <c r="O119" s="1">
        <v>1.74655684258123E-11</v>
      </c>
      <c r="P119" s="1">
        <v>9.7528980632228803E-11</v>
      </c>
      <c r="Q119">
        <v>65.981025904377404</v>
      </c>
      <c r="S119">
        <v>20.775103408787199</v>
      </c>
      <c r="AA119">
        <v>1.7439026559140101</v>
      </c>
      <c r="AB119">
        <v>9.1647358571738202</v>
      </c>
      <c r="AC119">
        <v>2.3352321737474599</v>
      </c>
      <c r="AJ119">
        <v>0.78567260582500698</v>
      </c>
      <c r="AK119">
        <v>8.2614197360252495E-2</v>
      </c>
      <c r="AL119">
        <v>0.131713196814739</v>
      </c>
    </row>
    <row r="120" spans="1:38" x14ac:dyDescent="0.2">
      <c r="A120">
        <v>193</v>
      </c>
      <c r="B120">
        <v>793</v>
      </c>
      <c r="C120">
        <v>100</v>
      </c>
      <c r="D120">
        <v>0.50911269521174396</v>
      </c>
      <c r="E120">
        <v>5.2588595286619801</v>
      </c>
      <c r="F120">
        <v>2.55440004847109</v>
      </c>
      <c r="G120">
        <v>-85.752403555423882</v>
      </c>
      <c r="H120">
        <v>-73.692353380845731</v>
      </c>
      <c r="I120">
        <v>11.3117761802543</v>
      </c>
      <c r="J120">
        <v>6.3806211026357698</v>
      </c>
      <c r="K120">
        <v>2.0587454701191401</v>
      </c>
      <c r="L120">
        <v>3.0692726632227353E-5</v>
      </c>
      <c r="M120">
        <v>1.8297231730525837E-6</v>
      </c>
      <c r="N120" s="1">
        <v>-2.1914200792489301E-8</v>
      </c>
      <c r="O120" s="1">
        <v>1.88390066147355E-11</v>
      </c>
      <c r="P120" s="1">
        <v>1.0719927055508901E-10</v>
      </c>
      <c r="Q120">
        <v>66.005935562085497</v>
      </c>
      <c r="S120">
        <v>20.750365663260901</v>
      </c>
      <c r="AA120">
        <v>1.7176814344712299</v>
      </c>
      <c r="AB120">
        <v>9.1553924777503308</v>
      </c>
      <c r="AC120">
        <v>2.3706248624319302</v>
      </c>
      <c r="AJ120">
        <v>0.78490845392797304</v>
      </c>
      <c r="AK120">
        <v>8.13758339076633E-2</v>
      </c>
      <c r="AL120">
        <v>0.13371571216436301</v>
      </c>
    </row>
    <row r="121" spans="1:38" x14ac:dyDescent="0.2">
      <c r="A121">
        <v>194</v>
      </c>
      <c r="B121">
        <v>792</v>
      </c>
      <c r="C121">
        <v>100</v>
      </c>
      <c r="D121">
        <v>0.50858611463174297</v>
      </c>
      <c r="E121">
        <v>5.6397256139132299</v>
      </c>
      <c r="F121">
        <v>2.5540670258931102</v>
      </c>
      <c r="G121">
        <v>-91.940447594635671</v>
      </c>
      <c r="H121">
        <v>-79.02582338253255</v>
      </c>
      <c r="I121">
        <v>12.124700006668601</v>
      </c>
      <c r="J121">
        <v>6.8427253166632998</v>
      </c>
      <c r="K121">
        <v>2.2081353217193298</v>
      </c>
      <c r="L121">
        <v>3.0705605900176811E-5</v>
      </c>
      <c r="M121">
        <v>1.8302248089504947E-6</v>
      </c>
      <c r="N121" s="1">
        <v>-2.42604539235843E-8</v>
      </c>
      <c r="O121" s="1">
        <v>2.0209931731168698E-11</v>
      </c>
      <c r="P121" s="1">
        <v>1.1719444898900699E-10</v>
      </c>
      <c r="Q121">
        <v>66.030016882232303</v>
      </c>
      <c r="S121">
        <v>20.726118400657398</v>
      </c>
      <c r="AA121">
        <v>1.6920581477077301</v>
      </c>
      <c r="AB121">
        <v>9.1454890572343803</v>
      </c>
      <c r="AC121">
        <v>2.4063175121681</v>
      </c>
      <c r="AJ121">
        <v>0.784098384071094</v>
      </c>
      <c r="AK121">
        <v>8.0165904727633394E-2</v>
      </c>
      <c r="AL121">
        <v>0.13573571120127101</v>
      </c>
    </row>
    <row r="122" spans="1:38" x14ac:dyDescent="0.2">
      <c r="A122">
        <v>195</v>
      </c>
      <c r="B122">
        <v>791</v>
      </c>
      <c r="C122">
        <v>100</v>
      </c>
      <c r="D122">
        <v>0.50805854437814801</v>
      </c>
      <c r="E122">
        <v>6.6367828031942304</v>
      </c>
      <c r="F122">
        <v>2.5529498438873302</v>
      </c>
      <c r="G122">
        <v>-108.13769891839648</v>
      </c>
      <c r="H122">
        <v>-92.962613403463735</v>
      </c>
      <c r="I122">
        <v>14.260288037337499</v>
      </c>
      <c r="J122">
        <v>8.0507707661988697</v>
      </c>
      <c r="K122">
        <v>2.5996526406834901</v>
      </c>
      <c r="L122">
        <v>3.0701228460506667E-5</v>
      </c>
      <c r="M122">
        <v>1.830926553361008E-6</v>
      </c>
      <c r="N122" s="1">
        <v>-2.92563695017295E-8</v>
      </c>
      <c r="O122" s="1">
        <v>2.38201116564353E-11</v>
      </c>
      <c r="P122" s="1">
        <v>1.3995588919727601E-10</v>
      </c>
      <c r="Q122">
        <v>66.081230532502303</v>
      </c>
      <c r="S122">
        <v>20.6627221571581</v>
      </c>
      <c r="AA122">
        <v>1.62780559254015</v>
      </c>
      <c r="AB122">
        <v>9.09341443648756</v>
      </c>
      <c r="AC122">
        <v>2.5348272813117698</v>
      </c>
      <c r="AJ122">
        <v>0.77983633353052895</v>
      </c>
      <c r="AK122">
        <v>7.7141806955181497E-2</v>
      </c>
      <c r="AL122">
        <v>0.143021859514288</v>
      </c>
    </row>
    <row r="123" spans="1:38" x14ac:dyDescent="0.2">
      <c r="A123">
        <v>196</v>
      </c>
      <c r="B123">
        <v>790</v>
      </c>
      <c r="C123">
        <v>100</v>
      </c>
      <c r="D123">
        <v>0.507529981658283</v>
      </c>
      <c r="E123">
        <v>8.1368116542116304</v>
      </c>
      <c r="F123">
        <v>2.55113498556118</v>
      </c>
      <c r="G123">
        <v>-132.47197146282036</v>
      </c>
      <c r="H123">
        <v>-113.89619579347674</v>
      </c>
      <c r="I123">
        <v>17.472393988941899</v>
      </c>
      <c r="J123">
        <v>9.8660504066767505</v>
      </c>
      <c r="K123">
        <v>3.1894869147513001</v>
      </c>
      <c r="L123">
        <v>3.0673531618429009E-5</v>
      </c>
      <c r="M123">
        <v>1.8315783742307031E-6</v>
      </c>
      <c r="N123" s="1">
        <v>-3.6461795790543298E-8</v>
      </c>
      <c r="O123" s="1">
        <v>2.92809811779791E-11</v>
      </c>
      <c r="P123" s="1">
        <v>1.7324793554237501E-10</v>
      </c>
      <c r="Q123">
        <v>66.148866872495006</v>
      </c>
      <c r="S123">
        <v>20.567653398760701</v>
      </c>
      <c r="AA123">
        <v>1.53359087814678</v>
      </c>
      <c r="AB123">
        <v>8.9949032837251703</v>
      </c>
      <c r="AC123">
        <v>2.7549855668721901</v>
      </c>
      <c r="AJ123">
        <v>0.77176716708069804</v>
      </c>
      <c r="AK123">
        <v>7.2712672587698701E-2</v>
      </c>
      <c r="AL123">
        <v>0.15552016033160199</v>
      </c>
    </row>
    <row r="124" spans="1:38" x14ac:dyDescent="0.2">
      <c r="A124">
        <v>197</v>
      </c>
      <c r="B124">
        <v>789</v>
      </c>
      <c r="C124">
        <v>100</v>
      </c>
      <c r="D124">
        <v>0.50700042366897302</v>
      </c>
      <c r="E124">
        <v>9.8648134266433605</v>
      </c>
      <c r="F124">
        <v>2.5489296434628801</v>
      </c>
      <c r="G124">
        <v>-160.44502790825337</v>
      </c>
      <c r="H124">
        <v>-137.96170275883833</v>
      </c>
      <c r="I124">
        <v>21.167749516937398</v>
      </c>
      <c r="J124">
        <v>11.9538392752377</v>
      </c>
      <c r="K124">
        <v>3.8701787834525598</v>
      </c>
      <c r="L124">
        <v>3.0622594983104878E-5</v>
      </c>
      <c r="M124">
        <v>1.8319133504800129E-6</v>
      </c>
      <c r="N124" s="1">
        <v>-4.46347925253911E-8</v>
      </c>
      <c r="O124" s="1">
        <v>3.5613134728497003E-11</v>
      </c>
      <c r="P124" s="1">
        <v>2.11171592478838E-10</v>
      </c>
      <c r="Q124">
        <v>66.215897421238196</v>
      </c>
      <c r="S124">
        <v>20.458735322156201</v>
      </c>
      <c r="AA124">
        <v>1.4280916875331899</v>
      </c>
      <c r="AB124">
        <v>8.8587343694300298</v>
      </c>
      <c r="AC124">
        <v>3.0385411996423102</v>
      </c>
      <c r="AJ124">
        <v>0.76059994089497995</v>
      </c>
      <c r="AK124">
        <v>6.7756581948576297E-2</v>
      </c>
      <c r="AL124">
        <v>0.17164347715644299</v>
      </c>
    </row>
    <row r="125" spans="1:38" x14ac:dyDescent="0.2">
      <c r="A125">
        <v>198</v>
      </c>
      <c r="B125">
        <v>788</v>
      </c>
      <c r="C125">
        <v>100</v>
      </c>
      <c r="D125">
        <v>0.50646986759647905</v>
      </c>
      <c r="E125">
        <v>12.0549401058753</v>
      </c>
      <c r="F125">
        <v>2.5459861833464101</v>
      </c>
      <c r="G125">
        <v>-195.8005557047976</v>
      </c>
      <c r="H125">
        <v>-168.37619591349517</v>
      </c>
      <c r="I125">
        <v>25.843999237904502</v>
      </c>
      <c r="J125">
        <v>14.5935856350586</v>
      </c>
      <c r="K125">
        <v>4.7348804108710798</v>
      </c>
      <c r="L125">
        <v>3.0528527706381234E-5</v>
      </c>
      <c r="M125">
        <v>1.8316923158967508E-6</v>
      </c>
      <c r="N125" s="1">
        <v>-5.4371325071489599E-8</v>
      </c>
      <c r="O125" s="1">
        <v>4.3706936433266302E-11</v>
      </c>
      <c r="P125" s="1">
        <v>2.5731664649664998E-10</v>
      </c>
      <c r="Q125">
        <v>66.283249337627396</v>
      </c>
      <c r="S125">
        <v>20.3226743346337</v>
      </c>
      <c r="AA125">
        <v>1.30012433074436</v>
      </c>
      <c r="AB125">
        <v>8.6521229359125904</v>
      </c>
      <c r="AC125">
        <v>3.4418290610818598</v>
      </c>
      <c r="AJ125">
        <v>0.74362620949188296</v>
      </c>
      <c r="AK125">
        <v>6.1748680673102303E-2</v>
      </c>
      <c r="AL125">
        <v>0.19462510983501299</v>
      </c>
    </row>
    <row r="126" spans="1:38" x14ac:dyDescent="0.2">
      <c r="A126">
        <v>199</v>
      </c>
      <c r="B126">
        <v>787</v>
      </c>
      <c r="C126">
        <v>100</v>
      </c>
      <c r="D126">
        <v>0.50593831061642502</v>
      </c>
      <c r="E126">
        <v>14.3067011497774</v>
      </c>
      <c r="F126">
        <v>2.5425703583227799</v>
      </c>
      <c r="G126">
        <v>-231.97762098735222</v>
      </c>
      <c r="H126">
        <v>-199.49959761182842</v>
      </c>
      <c r="I126">
        <v>30.635309508582498</v>
      </c>
      <c r="J126">
        <v>17.295637986567399</v>
      </c>
      <c r="K126">
        <v>5.6268653895638501</v>
      </c>
      <c r="L126">
        <v>3.0375060419993044E-5</v>
      </c>
      <c r="M126">
        <v>1.8302851026648968E-6</v>
      </c>
      <c r="N126" s="1">
        <v>-6.32730883696514E-8</v>
      </c>
      <c r="O126" s="1">
        <v>5.2129508146617097E-11</v>
      </c>
      <c r="P126" s="1">
        <v>3.0135350059679502E-10</v>
      </c>
      <c r="Q126">
        <v>66.322491684861006</v>
      </c>
      <c r="S126">
        <v>20.178600836287</v>
      </c>
      <c r="AA126">
        <v>1.172105554164</v>
      </c>
      <c r="AB126">
        <v>8.3618649958836109</v>
      </c>
      <c r="AC126">
        <v>3.9649369288042999</v>
      </c>
      <c r="AJ126">
        <v>0.71972068061772798</v>
      </c>
      <c r="AK126">
        <v>5.5749162141719801E-2</v>
      </c>
      <c r="AL126">
        <v>0.224530157240551</v>
      </c>
    </row>
    <row r="127" spans="1:38" x14ac:dyDescent="0.2">
      <c r="A127">
        <v>200</v>
      </c>
      <c r="B127">
        <v>786</v>
      </c>
      <c r="C127">
        <v>100</v>
      </c>
      <c r="D127">
        <v>0.50540574989378495</v>
      </c>
      <c r="E127">
        <v>11.863398925408401</v>
      </c>
      <c r="F127">
        <v>2.5457128878968298</v>
      </c>
      <c r="G127">
        <v>-192.52533845144947</v>
      </c>
      <c r="H127">
        <v>-165.62687186150373</v>
      </c>
      <c r="I127">
        <v>25.3962768162637</v>
      </c>
      <c r="J127">
        <v>14.352399854495999</v>
      </c>
      <c r="K127">
        <v>4.6601480401858897</v>
      </c>
      <c r="L127">
        <v>3.042799556797733E-5</v>
      </c>
      <c r="M127">
        <v>1.8289145768921852E-6</v>
      </c>
      <c r="N127" s="1">
        <v>-5.5511485438768598E-8</v>
      </c>
      <c r="O127" s="1">
        <v>4.3003603683212902E-11</v>
      </c>
      <c r="P127" s="1">
        <v>2.59066931209597E-10</v>
      </c>
      <c r="Q127">
        <v>66.191727423706595</v>
      </c>
      <c r="S127">
        <v>20.338325565072999</v>
      </c>
      <c r="AA127">
        <v>1.33439214354128</v>
      </c>
      <c r="AB127">
        <v>8.4892029933445805</v>
      </c>
      <c r="AC127">
        <v>3.6463518743344201</v>
      </c>
      <c r="AJ127">
        <v>0.73021504469252596</v>
      </c>
      <c r="AK127">
        <v>6.3427577500222501E-2</v>
      </c>
      <c r="AL127">
        <v>0.20635737780725</v>
      </c>
    </row>
    <row r="128" spans="1:38" x14ac:dyDescent="0.2">
      <c r="A128">
        <v>201</v>
      </c>
      <c r="B128">
        <v>785</v>
      </c>
      <c r="C128">
        <v>100</v>
      </c>
      <c r="D128">
        <v>0.50487218258281097</v>
      </c>
      <c r="E128">
        <v>11.291123496183699</v>
      </c>
      <c r="F128">
        <v>2.5479717687594001</v>
      </c>
      <c r="G128">
        <v>-183.3335077656607</v>
      </c>
      <c r="H128">
        <v>-157.76766164240743</v>
      </c>
      <c r="I128">
        <v>24.1608903494336</v>
      </c>
      <c r="J128">
        <v>13.6664003124614</v>
      </c>
      <c r="K128">
        <v>4.4314162482582304</v>
      </c>
      <c r="L128">
        <v>3.0455142998786368E-5</v>
      </c>
      <c r="M128">
        <v>1.8275508689269973E-6</v>
      </c>
      <c r="N128" s="1">
        <v>-5.53082934135031E-8</v>
      </c>
      <c r="O128" s="1">
        <v>4.0771197999734299E-11</v>
      </c>
      <c r="P128" s="1">
        <v>2.5399433858564302E-10</v>
      </c>
      <c r="Q128">
        <v>66.084377424310702</v>
      </c>
      <c r="S128">
        <v>20.457522420690299</v>
      </c>
      <c r="AA128">
        <v>1.4577794246942499</v>
      </c>
      <c r="AB128">
        <v>8.56246932921702</v>
      </c>
      <c r="AC128">
        <v>3.43785140108761</v>
      </c>
      <c r="AJ128">
        <v>0.73624663894957598</v>
      </c>
      <c r="AK128">
        <v>6.9267083645637204E-2</v>
      </c>
      <c r="AL128">
        <v>0.194486277404786</v>
      </c>
    </row>
    <row r="129" spans="1:38" x14ac:dyDescent="0.2">
      <c r="A129">
        <v>202</v>
      </c>
      <c r="B129">
        <v>784</v>
      </c>
      <c r="C129">
        <v>100</v>
      </c>
      <c r="D129">
        <v>0.50433760582698905</v>
      </c>
      <c r="E129">
        <v>11.7160828920138</v>
      </c>
      <c r="F129">
        <v>2.5514125411662301</v>
      </c>
      <c r="G129">
        <v>-190.38050650088888</v>
      </c>
      <c r="H129">
        <v>-163.89062466871226</v>
      </c>
      <c r="I129">
        <v>25.057827018092599</v>
      </c>
      <c r="J129">
        <v>14.188087037149099</v>
      </c>
      <c r="K129">
        <v>4.5919986293782404</v>
      </c>
      <c r="L129">
        <v>3.046076291149902E-5</v>
      </c>
      <c r="M129">
        <v>1.8245415013608345E-6</v>
      </c>
      <c r="N129" s="1">
        <v>-6.0074311325944699E-8</v>
      </c>
      <c r="O129" s="1">
        <v>4.2057716641976303E-11</v>
      </c>
      <c r="P129" s="1">
        <v>2.7166714171798298E-10</v>
      </c>
      <c r="Q129">
        <v>65.890193029346605</v>
      </c>
      <c r="S129">
        <v>20.652543437727498</v>
      </c>
      <c r="AA129">
        <v>1.66398403449957</v>
      </c>
      <c r="AB129">
        <v>8.6410127674158304</v>
      </c>
      <c r="AC129">
        <v>3.1522667310103398</v>
      </c>
      <c r="AJ129">
        <v>0.74270656676859304</v>
      </c>
      <c r="AK129">
        <v>7.9033745175740702E-2</v>
      </c>
      <c r="AL129">
        <v>0.178259688055666</v>
      </c>
    </row>
    <row r="130" spans="1:38" x14ac:dyDescent="0.2">
      <c r="A130">
        <v>203</v>
      </c>
      <c r="B130">
        <v>783</v>
      </c>
      <c r="C130">
        <v>100</v>
      </c>
      <c r="D130">
        <v>0.50380201675898495</v>
      </c>
      <c r="E130">
        <v>12.6826194154073</v>
      </c>
      <c r="F130">
        <v>2.5539364380488601</v>
      </c>
      <c r="G130">
        <v>-206.18444630827929</v>
      </c>
      <c r="H130">
        <v>-177.55289805441851</v>
      </c>
      <c r="I130">
        <v>27.109357812678802</v>
      </c>
      <c r="J130">
        <v>15.363436887612799</v>
      </c>
      <c r="K130">
        <v>4.9659103595767098</v>
      </c>
      <c r="L130">
        <v>3.0453434271085731E-5</v>
      </c>
      <c r="M130">
        <v>1.821919270652664E-6</v>
      </c>
      <c r="N130" s="1">
        <v>-6.7596070399910401E-8</v>
      </c>
      <c r="O130" s="1">
        <v>4.5323379551481299E-11</v>
      </c>
      <c r="P130" s="1">
        <v>3.0178773063365599E-10</v>
      </c>
      <c r="Q130">
        <v>65.7333146572592</v>
      </c>
      <c r="S130">
        <v>20.800991798172301</v>
      </c>
      <c r="AA130">
        <v>1.82306087531803</v>
      </c>
      <c r="AB130">
        <v>8.6805944032108204</v>
      </c>
      <c r="AC130">
        <v>2.9620382660395101</v>
      </c>
      <c r="AJ130">
        <v>0.74595920132341398</v>
      </c>
      <c r="AK130">
        <v>8.6572024149092403E-2</v>
      </c>
      <c r="AL130">
        <v>0.16746877452749301</v>
      </c>
    </row>
    <row r="131" spans="1:38" x14ac:dyDescent="0.2">
      <c r="A131">
        <v>204</v>
      </c>
      <c r="B131">
        <v>782</v>
      </c>
      <c r="C131">
        <v>100</v>
      </c>
      <c r="D131">
        <v>0.50326541250059598</v>
      </c>
      <c r="E131">
        <v>13.419031171224599</v>
      </c>
      <c r="F131">
        <v>2.5553849320595199</v>
      </c>
      <c r="G131">
        <v>-218.2004809715032</v>
      </c>
      <c r="H131">
        <v>-187.95260501093281</v>
      </c>
      <c r="I131">
        <v>28.666896612396702</v>
      </c>
      <c r="J131">
        <v>16.258828885097198</v>
      </c>
      <c r="K131">
        <v>5.2512758461049298</v>
      </c>
      <c r="L131">
        <v>3.0453123743542104E-5</v>
      </c>
      <c r="M131">
        <v>1.8204035832500206E-6</v>
      </c>
      <c r="N131" s="1">
        <v>-7.4086320681067497E-8</v>
      </c>
      <c r="O131" s="1">
        <v>4.78234561830689E-11</v>
      </c>
      <c r="P131" s="1">
        <v>3.26944039965256E-10</v>
      </c>
      <c r="Q131">
        <v>65.642154349739101</v>
      </c>
      <c r="S131">
        <v>20.885768436844302</v>
      </c>
      <c r="AA131">
        <v>1.9142734817843601</v>
      </c>
      <c r="AB131">
        <v>8.6997015257162502</v>
      </c>
      <c r="AC131">
        <v>2.85810220591588</v>
      </c>
      <c r="AJ131">
        <v>0.74752863772316003</v>
      </c>
      <c r="AK131">
        <v>9.0894636191342096E-2</v>
      </c>
      <c r="AL131">
        <v>0.161576726085496</v>
      </c>
    </row>
    <row r="132" spans="1:38" x14ac:dyDescent="0.2">
      <c r="A132">
        <v>205</v>
      </c>
      <c r="B132">
        <v>781</v>
      </c>
      <c r="C132">
        <v>100</v>
      </c>
      <c r="D132">
        <v>0.50272779016268998</v>
      </c>
      <c r="E132">
        <v>14.146147940642001</v>
      </c>
      <c r="F132">
        <v>2.5566375345334</v>
      </c>
      <c r="G132">
        <v>-230.05766495804994</v>
      </c>
      <c r="H132">
        <v>-198.21962063888071</v>
      </c>
      <c r="I132">
        <v>30.202574888933398</v>
      </c>
      <c r="J132">
        <v>17.1428968429822</v>
      </c>
      <c r="K132">
        <v>5.5331065704719897</v>
      </c>
      <c r="L132">
        <v>3.0453024439153512E-5</v>
      </c>
      <c r="M132">
        <v>1.8190464408436636E-6</v>
      </c>
      <c r="N132" s="1">
        <v>-8.0818006237373199E-8</v>
      </c>
      <c r="O132" s="1">
        <v>5.0291359924141597E-11</v>
      </c>
      <c r="P132" s="1">
        <v>3.5272317882352898E-10</v>
      </c>
      <c r="Q132">
        <v>65.561489670228795</v>
      </c>
      <c r="S132">
        <v>20.959584659990298</v>
      </c>
      <c r="AA132">
        <v>1.9939946219043401</v>
      </c>
      <c r="AB132">
        <v>8.7134634382358005</v>
      </c>
      <c r="AC132">
        <v>2.7714676096406499</v>
      </c>
      <c r="AJ132">
        <v>0.74865861068911199</v>
      </c>
      <c r="AK132">
        <v>9.4673358475057798E-2</v>
      </c>
      <c r="AL132">
        <v>0.156668030835829</v>
      </c>
    </row>
    <row r="133" spans="1:38" x14ac:dyDescent="0.2">
      <c r="A133">
        <v>206</v>
      </c>
      <c r="B133">
        <v>780</v>
      </c>
      <c r="C133">
        <v>100</v>
      </c>
      <c r="D133">
        <v>0.50218914684517901</v>
      </c>
      <c r="E133">
        <v>14.577545465237201</v>
      </c>
      <c r="F133">
        <v>2.5573125884975498</v>
      </c>
      <c r="G133">
        <v>-237.07799365742341</v>
      </c>
      <c r="H133">
        <v>-204.31844279128813</v>
      </c>
      <c r="I133">
        <v>31.1062534929831</v>
      </c>
      <c r="J133">
        <v>17.6684074953234</v>
      </c>
      <c r="K133">
        <v>5.7003377415827199</v>
      </c>
      <c r="L133">
        <v>3.0463193184600149E-5</v>
      </c>
      <c r="M133">
        <v>1.8184701173586261E-6</v>
      </c>
      <c r="N133" s="1">
        <v>-8.6121953270544398E-8</v>
      </c>
      <c r="O133" s="1">
        <v>5.1748041632886597E-11</v>
      </c>
      <c r="P133" s="1">
        <v>3.7185435310820901E-10</v>
      </c>
      <c r="Q133">
        <v>65.522340423836297</v>
      </c>
      <c r="S133">
        <v>20.996557528928999</v>
      </c>
      <c r="AA133">
        <v>2.03363255879191</v>
      </c>
      <c r="AB133">
        <v>8.7231506244727193</v>
      </c>
      <c r="AC133">
        <v>2.7243188639698799</v>
      </c>
      <c r="AJ133">
        <v>0.74945418337722303</v>
      </c>
      <c r="AK133">
        <v>9.6550603617677394E-2</v>
      </c>
      <c r="AL133">
        <v>0.153995213005098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3D5E-9E6A-40A4-B52E-2E8DAC5705BC}">
  <sheetPr codeName="Sheet11"/>
  <dimension ref="A1:AL6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22</v>
      </c>
      <c r="B2">
        <v>736</v>
      </c>
      <c r="C2">
        <v>300</v>
      </c>
      <c r="D2">
        <v>0.25942674528068399</v>
      </c>
      <c r="E2">
        <v>4.6874777692984599</v>
      </c>
      <c r="F2">
        <v>2.5755844318564201</v>
      </c>
      <c r="G2">
        <v>-75.59332796727422</v>
      </c>
      <c r="H2">
        <v>-65.755328923650623</v>
      </c>
      <c r="I2">
        <v>9.7487975460770002</v>
      </c>
      <c r="J2">
        <v>5.7899738106504302</v>
      </c>
      <c r="K2">
        <v>1.81996664963525</v>
      </c>
      <c r="L2">
        <v>3.2711901512915208E-5</v>
      </c>
      <c r="M2">
        <v>1.8145129924232508E-6</v>
      </c>
      <c r="N2" s="1">
        <v>-1.3789079150225E-7</v>
      </c>
      <c r="O2" s="1">
        <v>1.5564974457628101E-11</v>
      </c>
      <c r="P2" s="1">
        <v>4.3693478582725798E-10</v>
      </c>
      <c r="Q2">
        <v>65.342490821655403</v>
      </c>
      <c r="S2">
        <v>21.271860264354999</v>
      </c>
      <c r="AA2">
        <v>2.30272558036024</v>
      </c>
      <c r="AB2">
        <v>9.0441073418794709</v>
      </c>
      <c r="AC2">
        <v>2.0388159917497499</v>
      </c>
      <c r="AJ2">
        <v>0.77578650458611598</v>
      </c>
      <c r="AK2">
        <v>0.109151444626401</v>
      </c>
      <c r="AL2">
        <v>0.115062050787481</v>
      </c>
    </row>
    <row r="3" spans="1:38" x14ac:dyDescent="0.2">
      <c r="A3">
        <v>23</v>
      </c>
      <c r="B3">
        <v>735</v>
      </c>
      <c r="C3">
        <v>300</v>
      </c>
      <c r="D3">
        <v>0.25862272479293502</v>
      </c>
      <c r="E3">
        <v>7.4497572947078998</v>
      </c>
      <c r="F3">
        <v>2.5761518460032899</v>
      </c>
      <c r="G3">
        <v>-120.13593190095402</v>
      </c>
      <c r="H3">
        <v>-104.52599812619414</v>
      </c>
      <c r="I3">
        <v>15.483741283300899</v>
      </c>
      <c r="J3">
        <v>9.2086331654603093</v>
      </c>
      <c r="K3">
        <v>2.89181606521589</v>
      </c>
      <c r="L3">
        <v>3.2776300088838557E-5</v>
      </c>
      <c r="M3">
        <v>1.8139956297575825E-6</v>
      </c>
      <c r="N3" s="1">
        <v>-2.2624356902853799E-7</v>
      </c>
      <c r="O3" s="1">
        <v>2.4656407809941699E-11</v>
      </c>
      <c r="P3" s="1">
        <v>7.1449537740915096E-10</v>
      </c>
      <c r="Q3">
        <v>65.301946435456799</v>
      </c>
      <c r="S3">
        <v>21.305664581497599</v>
      </c>
      <c r="AA3">
        <v>2.3400749663735501</v>
      </c>
      <c r="AB3">
        <v>9.0423787633892907</v>
      </c>
      <c r="AC3">
        <v>2.0099352532826802</v>
      </c>
      <c r="AJ3">
        <v>0.77564426650757801</v>
      </c>
      <c r="AK3">
        <v>0.110922705262053</v>
      </c>
      <c r="AL3">
        <v>0.11343302823036799</v>
      </c>
    </row>
    <row r="4" spans="1:38" x14ac:dyDescent="0.2">
      <c r="A4">
        <v>24</v>
      </c>
      <c r="B4">
        <v>734</v>
      </c>
      <c r="C4">
        <v>300</v>
      </c>
      <c r="D4">
        <v>0.25781710768008598</v>
      </c>
      <c r="E4">
        <v>15.0129902645409</v>
      </c>
      <c r="F4">
        <v>2.5768191465897399</v>
      </c>
      <c r="G4">
        <v>-242.09772478293002</v>
      </c>
      <c r="H4">
        <v>-210.69193493620469</v>
      </c>
      <c r="I4">
        <v>31.182832593680502</v>
      </c>
      <c r="J4">
        <v>18.571153568989399</v>
      </c>
      <c r="K4">
        <v>5.82617149690528</v>
      </c>
      <c r="L4">
        <v>3.2837877562511121E-5</v>
      </c>
      <c r="M4">
        <v>1.8132598113980958E-6</v>
      </c>
      <c r="N4" s="1">
        <v>-4.7055161612562999E-7</v>
      </c>
      <c r="O4" s="1">
        <v>4.9512995706532497E-11</v>
      </c>
      <c r="P4" s="1">
        <v>1.4811978692442299E-9</v>
      </c>
      <c r="Q4">
        <v>65.251198157554001</v>
      </c>
      <c r="S4">
        <v>21.3471913840221</v>
      </c>
      <c r="AA4">
        <v>2.38617642053197</v>
      </c>
      <c r="AB4">
        <v>9.0381568587676604</v>
      </c>
      <c r="AC4">
        <v>1.9772771791241099</v>
      </c>
      <c r="AJ4">
        <v>0.77529760333442899</v>
      </c>
      <c r="AK4">
        <v>0.113110235676</v>
      </c>
      <c r="AL4">
        <v>0.11159216098956901</v>
      </c>
    </row>
    <row r="5" spans="1:38" x14ac:dyDescent="0.2">
      <c r="A5">
        <v>25</v>
      </c>
      <c r="B5">
        <v>733</v>
      </c>
      <c r="C5">
        <v>300</v>
      </c>
      <c r="D5">
        <v>0.257009889181535</v>
      </c>
      <c r="E5">
        <v>16.080079303940298</v>
      </c>
      <c r="F5">
        <v>2.5774806300033699</v>
      </c>
      <c r="G5">
        <v>-259.30045869357275</v>
      </c>
      <c r="H5">
        <v>-225.71799730256737</v>
      </c>
      <c r="I5">
        <v>33.3771916622823</v>
      </c>
      <c r="J5">
        <v>19.906169165747201</v>
      </c>
      <c r="K5">
        <v>6.2386809494352402</v>
      </c>
      <c r="L5">
        <v>3.290142843419394E-5</v>
      </c>
      <c r="M5">
        <v>1.8125226478602468E-6</v>
      </c>
      <c r="N5" s="1">
        <v>-5.2011690726450597E-7</v>
      </c>
      <c r="O5" s="1">
        <v>5.2841289398676301E-11</v>
      </c>
      <c r="P5" s="1">
        <v>1.63199340027077E-9</v>
      </c>
      <c r="Q5">
        <v>65.200350424209304</v>
      </c>
      <c r="S5">
        <v>21.388589442023701</v>
      </c>
      <c r="AA5">
        <v>2.4321948657083898</v>
      </c>
      <c r="AB5">
        <v>9.0333758025212703</v>
      </c>
      <c r="AC5">
        <v>1.9454894655372601</v>
      </c>
      <c r="AJ5">
        <v>0.77490511403428997</v>
      </c>
      <c r="AK5">
        <v>0.115294238923139</v>
      </c>
      <c r="AL5">
        <v>0.10980064704256901</v>
      </c>
    </row>
    <row r="6" spans="1:38" x14ac:dyDescent="0.2">
      <c r="A6">
        <v>43</v>
      </c>
      <c r="B6">
        <v>740</v>
      </c>
      <c r="C6">
        <v>280</v>
      </c>
      <c r="D6">
        <v>0.28434141045255101</v>
      </c>
      <c r="E6">
        <v>0.92577585366360704</v>
      </c>
      <c r="F6">
        <v>2.57364155371401</v>
      </c>
      <c r="G6">
        <v>-14.941496859090222</v>
      </c>
      <c r="H6">
        <v>-12.985927894624043</v>
      </c>
      <c r="I6">
        <v>1.9301870053458801</v>
      </c>
      <c r="J6">
        <v>1.1397756095706699</v>
      </c>
      <c r="K6">
        <v>0.35971437138463302</v>
      </c>
      <c r="L6">
        <v>3.2362895357922772E-5</v>
      </c>
      <c r="M6">
        <v>1.8150178158063075E-6</v>
      </c>
      <c r="N6" s="1">
        <v>-2.34660265274588E-8</v>
      </c>
      <c r="O6" s="1">
        <v>3.10880762567938E-12</v>
      </c>
      <c r="P6" s="1">
        <v>7.5581942662771198E-11</v>
      </c>
      <c r="Q6">
        <v>65.380387859718098</v>
      </c>
      <c r="S6">
        <v>21.231737647797502</v>
      </c>
      <c r="AA6">
        <v>2.26078125513131</v>
      </c>
      <c r="AB6">
        <v>9.0233722036425696</v>
      </c>
      <c r="AC6">
        <v>2.1037210337104302</v>
      </c>
      <c r="AJ6">
        <v>0.77408828051199097</v>
      </c>
      <c r="AK6">
        <v>0.10717437375264</v>
      </c>
      <c r="AL6">
        <v>0.118737345735367</v>
      </c>
    </row>
    <row r="7" spans="1:38" x14ac:dyDescent="0.2">
      <c r="A7">
        <v>44</v>
      </c>
      <c r="B7">
        <v>739</v>
      </c>
      <c r="C7">
        <v>280</v>
      </c>
      <c r="D7">
        <v>0.28356518302623301</v>
      </c>
      <c r="E7">
        <v>5.9774786198297196</v>
      </c>
      <c r="F7">
        <v>2.5729726102178199</v>
      </c>
      <c r="G7">
        <v>-96.450834872615388</v>
      </c>
      <c r="H7">
        <v>-83.842750494617476</v>
      </c>
      <c r="I7">
        <v>12.4567350471747</v>
      </c>
      <c r="J7">
        <v>7.3648014304580203</v>
      </c>
      <c r="K7">
        <v>2.3231800432277598</v>
      </c>
      <c r="L7">
        <v>3.2469138851415063E-5</v>
      </c>
      <c r="M7">
        <v>1.8169491949848249E-6</v>
      </c>
      <c r="N7" s="1">
        <v>-1.5681547146680201E-7</v>
      </c>
      <c r="O7" s="1">
        <v>2.0059025724615101E-11</v>
      </c>
      <c r="P7" s="1">
        <v>5.0307277380852404E-10</v>
      </c>
      <c r="Q7">
        <v>65.456138023382906</v>
      </c>
      <c r="S7">
        <v>21.1746376107778</v>
      </c>
      <c r="AA7">
        <v>2.1959978748123499</v>
      </c>
      <c r="AB7">
        <v>9.0424822112497107</v>
      </c>
      <c r="AC7">
        <v>2.1307442797771401</v>
      </c>
      <c r="AJ7">
        <v>0.77565513898424499</v>
      </c>
      <c r="AK7">
        <v>0.10409352531060601</v>
      </c>
      <c r="AL7">
        <v>0.120251335705148</v>
      </c>
    </row>
    <row r="8" spans="1:38" x14ac:dyDescent="0.2">
      <c r="A8">
        <v>45</v>
      </c>
      <c r="B8">
        <v>738</v>
      </c>
      <c r="C8">
        <v>280</v>
      </c>
      <c r="D8">
        <v>0.28278742026405701</v>
      </c>
      <c r="E8">
        <v>9.1302349066352999</v>
      </c>
      <c r="F8">
        <v>2.5726007184220299</v>
      </c>
      <c r="G8">
        <v>-147.29585918284721</v>
      </c>
      <c r="H8">
        <v>-128.06674025940475</v>
      </c>
      <c r="I8">
        <v>19.017078498187601</v>
      </c>
      <c r="J8">
        <v>11.2577364260486</v>
      </c>
      <c r="K8">
        <v>3.5490291366456401</v>
      </c>
      <c r="L8">
        <v>3.2565258778502076E-5</v>
      </c>
      <c r="M8">
        <v>1.8182933388193151E-6</v>
      </c>
      <c r="N8" s="1">
        <v>-2.4775882128435198E-7</v>
      </c>
      <c r="O8" s="1">
        <v>3.0599310565342902E-11</v>
      </c>
      <c r="P8" s="1">
        <v>7.91782541074094E-10</v>
      </c>
      <c r="Q8">
        <v>65.504012189750696</v>
      </c>
      <c r="S8">
        <v>21.139356477170999</v>
      </c>
      <c r="AA8">
        <v>2.1557197960966801</v>
      </c>
      <c r="AB8">
        <v>9.0566731454796408</v>
      </c>
      <c r="AC8">
        <v>2.1442383915018501</v>
      </c>
      <c r="AJ8">
        <v>0.77681835514855302</v>
      </c>
      <c r="AK8">
        <v>0.102177173478101</v>
      </c>
      <c r="AL8">
        <v>0.121004471373345</v>
      </c>
    </row>
    <row r="9" spans="1:38" x14ac:dyDescent="0.2">
      <c r="A9">
        <v>46</v>
      </c>
      <c r="B9">
        <v>737</v>
      </c>
      <c r="C9">
        <v>280</v>
      </c>
      <c r="D9">
        <v>0.28200811760629901</v>
      </c>
      <c r="E9">
        <v>18.125374085405301</v>
      </c>
      <c r="F9">
        <v>2.5710568244987901</v>
      </c>
      <c r="G9">
        <v>-292.29960912913771</v>
      </c>
      <c r="H9">
        <v>-254.17846788118473</v>
      </c>
      <c r="I9">
        <v>37.738099537645802</v>
      </c>
      <c r="J9">
        <v>22.368517856506202</v>
      </c>
      <c r="K9">
        <v>7.0497757625169299</v>
      </c>
      <c r="L9">
        <v>3.2707746355590758E-5</v>
      </c>
      <c r="M9">
        <v>1.8218388067177391E-6</v>
      </c>
      <c r="N9" s="1">
        <v>-5.0970248645909099E-7</v>
      </c>
      <c r="O9" s="1">
        <v>6.0791602331711896E-11</v>
      </c>
      <c r="P9" s="1">
        <v>1.62244150355996E-9</v>
      </c>
      <c r="Q9">
        <v>65.657083361935307</v>
      </c>
      <c r="S9">
        <v>21.020261659398599</v>
      </c>
      <c r="AA9">
        <v>2.0217482865887701</v>
      </c>
      <c r="AB9">
        <v>9.0855614971718808</v>
      </c>
      <c r="AC9">
        <v>2.2153451949052401</v>
      </c>
      <c r="AJ9">
        <v>0.77918667177271195</v>
      </c>
      <c r="AK9">
        <v>9.5813701202527801E-2</v>
      </c>
      <c r="AL9">
        <v>0.124999627024759</v>
      </c>
    </row>
    <row r="10" spans="1:38" x14ac:dyDescent="0.2">
      <c r="A10">
        <v>47</v>
      </c>
      <c r="B10">
        <v>736</v>
      </c>
      <c r="C10">
        <v>280</v>
      </c>
      <c r="D10">
        <v>0.281227270475152</v>
      </c>
      <c r="E10">
        <v>19.826354641829901</v>
      </c>
      <c r="F10">
        <v>2.5708894097006199</v>
      </c>
      <c r="G10">
        <v>-319.68260182328135</v>
      </c>
      <c r="H10">
        <v>-278.04799417226553</v>
      </c>
      <c r="I10">
        <v>41.2571051389939</v>
      </c>
      <c r="J10">
        <v>24.486790476360799</v>
      </c>
      <c r="K10">
        <v>7.71186600521205</v>
      </c>
      <c r="L10">
        <v>3.2800131051317494E-5</v>
      </c>
      <c r="M10">
        <v>1.8227848230737425E-6</v>
      </c>
      <c r="N10" s="1">
        <v>-5.7645780805959295E-7</v>
      </c>
      <c r="O10" s="1">
        <v>6.6376024346443196E-11</v>
      </c>
      <c r="P10" s="1">
        <v>1.82831741005605E-9</v>
      </c>
      <c r="Q10">
        <v>65.685664942835501</v>
      </c>
      <c r="S10">
        <v>21.000044267937302</v>
      </c>
      <c r="AA10">
        <v>1.9983996104557999</v>
      </c>
      <c r="AB10">
        <v>9.0962514975684599</v>
      </c>
      <c r="AC10">
        <v>2.2196396812028798</v>
      </c>
      <c r="AJ10">
        <v>0.78006244885101095</v>
      </c>
      <c r="AK10">
        <v>9.4702193727906198E-2</v>
      </c>
      <c r="AL10">
        <v>0.12523535742108099</v>
      </c>
    </row>
    <row r="11" spans="1:38" x14ac:dyDescent="0.2">
      <c r="A11">
        <v>62</v>
      </c>
      <c r="B11">
        <v>743</v>
      </c>
      <c r="C11">
        <v>260</v>
      </c>
      <c r="D11">
        <v>0.30831127294198801</v>
      </c>
      <c r="E11">
        <v>3.06893931210519</v>
      </c>
      <c r="F11">
        <v>2.5707079064724301</v>
      </c>
      <c r="G11">
        <v>-49.555598866232856</v>
      </c>
      <c r="H11">
        <v>-43.040555928941494</v>
      </c>
      <c r="I11">
        <v>6.4114972565973103</v>
      </c>
      <c r="J11">
        <v>3.7702284162491799</v>
      </c>
      <c r="K11">
        <v>1.1938109749374199</v>
      </c>
      <c r="L11">
        <v>3.2164312928589419E-5</v>
      </c>
      <c r="M11">
        <v>1.8180763930530196E-6</v>
      </c>
      <c r="N11" s="1">
        <v>-6.9416530759893302E-8</v>
      </c>
      <c r="O11" s="1">
        <v>1.0409109582227701E-11</v>
      </c>
      <c r="P11" s="1">
        <v>2.2663295329827599E-10</v>
      </c>
      <c r="Q11">
        <v>65.520150058461496</v>
      </c>
      <c r="S11">
        <v>21.112627525113599</v>
      </c>
      <c r="AA11">
        <v>2.1299025859218501</v>
      </c>
      <c r="AB11">
        <v>9.0225620978043501</v>
      </c>
      <c r="AC11">
        <v>2.2147577326985801</v>
      </c>
      <c r="AJ11">
        <v>0.77402407114731597</v>
      </c>
      <c r="AK11">
        <v>0.100970642147396</v>
      </c>
      <c r="AL11">
        <v>0.12500528670528699</v>
      </c>
    </row>
    <row r="12" spans="1:38" x14ac:dyDescent="0.2">
      <c r="A12">
        <v>63</v>
      </c>
      <c r="B12">
        <v>742</v>
      </c>
      <c r="C12">
        <v>260</v>
      </c>
      <c r="D12">
        <v>0.30756095158350699</v>
      </c>
      <c r="E12">
        <v>7.3136678263009802</v>
      </c>
      <c r="F12">
        <v>2.5705072221190601</v>
      </c>
      <c r="G12">
        <v>-118.07885932459996</v>
      </c>
      <c r="H12">
        <v>-102.57624239388913</v>
      </c>
      <c r="I12">
        <v>15.271257381382799</v>
      </c>
      <c r="J12">
        <v>8.9905695978698308</v>
      </c>
      <c r="K12">
        <v>2.8452236054298101</v>
      </c>
      <c r="L12">
        <v>3.224292896865775E-5</v>
      </c>
      <c r="M12">
        <v>1.8190396079119831E-6</v>
      </c>
      <c r="N12" s="1">
        <v>-1.7102028164912099E-7</v>
      </c>
      <c r="O12" s="1">
        <v>2.4774004255627899E-11</v>
      </c>
      <c r="P12" s="1">
        <v>5.5602817309568199E-10</v>
      </c>
      <c r="Q12">
        <v>65.551595588013797</v>
      </c>
      <c r="S12">
        <v>21.090131225607699</v>
      </c>
      <c r="AA12">
        <v>2.10400552405269</v>
      </c>
      <c r="AB12">
        <v>9.0336598004963999</v>
      </c>
      <c r="AC12">
        <v>2.2206078618293401</v>
      </c>
      <c r="AJ12">
        <v>0.77493383906812496</v>
      </c>
      <c r="AK12">
        <v>9.9737518885958207E-2</v>
      </c>
      <c r="AL12">
        <v>0.12532864204591601</v>
      </c>
    </row>
    <row r="13" spans="1:38" x14ac:dyDescent="0.2">
      <c r="A13">
        <v>64</v>
      </c>
      <c r="B13">
        <v>741</v>
      </c>
      <c r="C13">
        <v>260</v>
      </c>
      <c r="D13">
        <v>0.30680915052014102</v>
      </c>
      <c r="E13">
        <v>13.6810207582822</v>
      </c>
      <c r="F13">
        <v>2.5699457736172802</v>
      </c>
      <c r="G13">
        <v>-220.83114464779717</v>
      </c>
      <c r="H13">
        <v>-191.87473151672845</v>
      </c>
      <c r="I13">
        <v>28.552396717515801</v>
      </c>
      <c r="J13">
        <v>16.829203546318102</v>
      </c>
      <c r="K13">
        <v>5.3234667045234199</v>
      </c>
      <c r="L13">
        <v>3.2336419512985612E-5</v>
      </c>
      <c r="M13">
        <v>1.820669992171428E-6</v>
      </c>
      <c r="N13" s="1">
        <v>-3.3091106859229001E-7</v>
      </c>
      <c r="O13" s="1">
        <v>4.6309530107152298E-11</v>
      </c>
      <c r="P13" s="1">
        <v>1.0714134418474901E-9</v>
      </c>
      <c r="Q13">
        <v>65.614947354245302</v>
      </c>
      <c r="S13">
        <v>21.0420454775176</v>
      </c>
      <c r="AA13">
        <v>2.0495520209437301</v>
      </c>
      <c r="AB13">
        <v>9.0487727745654798</v>
      </c>
      <c r="AC13">
        <v>2.2446823727277798</v>
      </c>
      <c r="AJ13">
        <v>0.77617293089881201</v>
      </c>
      <c r="AK13">
        <v>9.7149047325391494E-2</v>
      </c>
      <c r="AL13">
        <v>0.12667802177579601</v>
      </c>
    </row>
    <row r="14" spans="1:38" x14ac:dyDescent="0.2">
      <c r="A14">
        <v>65</v>
      </c>
      <c r="B14">
        <v>740</v>
      </c>
      <c r="C14">
        <v>260</v>
      </c>
      <c r="D14">
        <v>0.30605586537038199</v>
      </c>
      <c r="E14">
        <v>18.359222897717402</v>
      </c>
      <c r="F14">
        <v>2.5695734258535201</v>
      </c>
      <c r="G14">
        <v>-296.28866857007091</v>
      </c>
      <c r="H14">
        <v>-257.48912752574347</v>
      </c>
      <c r="I14">
        <v>38.295949310889199</v>
      </c>
      <c r="J14">
        <v>22.599326117510198</v>
      </c>
      <c r="K14">
        <v>7.1448524151899502</v>
      </c>
      <c r="L14">
        <v>3.2424940196075752E-5</v>
      </c>
      <c r="M14">
        <v>1.821948618846835E-6</v>
      </c>
      <c r="N14" s="1">
        <v>-4.5920293341870001E-7</v>
      </c>
      <c r="O14" s="1">
        <v>6.2075486268960205E-11</v>
      </c>
      <c r="P14" s="1">
        <v>1.48083241205826E-9</v>
      </c>
      <c r="Q14">
        <v>65.661215852721796</v>
      </c>
      <c r="S14">
        <v>21.007536664800899</v>
      </c>
      <c r="AA14">
        <v>2.0102857755218402</v>
      </c>
      <c r="AB14">
        <v>9.0614103036138403</v>
      </c>
      <c r="AC14">
        <v>2.25955140334159</v>
      </c>
      <c r="AJ14">
        <v>0.77720881938476105</v>
      </c>
      <c r="AK14">
        <v>9.5281923148573297E-2</v>
      </c>
      <c r="AL14">
        <v>0.127509257466665</v>
      </c>
    </row>
    <row r="15" spans="1:38" x14ac:dyDescent="0.2">
      <c r="A15">
        <v>66</v>
      </c>
      <c r="B15">
        <v>739</v>
      </c>
      <c r="C15">
        <v>260</v>
      </c>
      <c r="D15">
        <v>0.30530109173541498</v>
      </c>
      <c r="E15">
        <v>19.657559460774898</v>
      </c>
      <c r="F15">
        <v>2.5695655840252498</v>
      </c>
      <c r="G15">
        <v>-317.203034089938</v>
      </c>
      <c r="H15">
        <v>-275.72383765263987</v>
      </c>
      <c r="I15">
        <v>40.981273958699902</v>
      </c>
      <c r="J15">
        <v>24.213973877165301</v>
      </c>
      <c r="K15">
        <v>7.6501489524081903</v>
      </c>
      <c r="L15">
        <v>3.250294689395102E-5</v>
      </c>
      <c r="M15">
        <v>1.8225718770695358E-6</v>
      </c>
      <c r="N15" s="1">
        <v>-5.0820256817884503E-7</v>
      </c>
      <c r="O15" s="1">
        <v>6.6342925816381397E-11</v>
      </c>
      <c r="P15" s="1">
        <v>1.6325296581452401E-9</v>
      </c>
      <c r="Q15">
        <v>65.675463206673797</v>
      </c>
      <c r="S15">
        <v>20.998767817242399</v>
      </c>
      <c r="AA15">
        <v>1.99972696122937</v>
      </c>
      <c r="AB15">
        <v>9.0701710940809797</v>
      </c>
      <c r="AC15">
        <v>2.2558709207733001</v>
      </c>
      <c r="AJ15">
        <v>0.777926581325599</v>
      </c>
      <c r="AK15">
        <v>9.4777363690677394E-2</v>
      </c>
      <c r="AL15">
        <v>0.12729605498372201</v>
      </c>
    </row>
    <row r="16" spans="1:38" x14ac:dyDescent="0.2">
      <c r="A16">
        <v>78</v>
      </c>
      <c r="B16">
        <v>746</v>
      </c>
      <c r="C16">
        <v>240</v>
      </c>
      <c r="D16">
        <v>0.33214001864298798</v>
      </c>
      <c r="E16">
        <v>10.2483105116586</v>
      </c>
      <c r="F16">
        <v>2.5249286661191901</v>
      </c>
      <c r="G16">
        <v>-161.90918364253216</v>
      </c>
      <c r="H16">
        <v>-140.3616416688279</v>
      </c>
      <c r="I16">
        <v>21.142660034052099</v>
      </c>
      <c r="J16">
        <v>12.234642730313</v>
      </c>
      <c r="K16">
        <v>4.0588515030843304</v>
      </c>
      <c r="L16">
        <v>2.8986812300204155E-5</v>
      </c>
      <c r="M16">
        <v>1.7994280049845723E-6</v>
      </c>
      <c r="N16" s="1">
        <v>-1.0115671694368099E-7</v>
      </c>
      <c r="O16" s="1">
        <v>3.84306651738229E-11</v>
      </c>
      <c r="P16" s="1">
        <v>3.7476977275253401E-10</v>
      </c>
      <c r="Q16">
        <v>66.127945230206905</v>
      </c>
      <c r="S16">
        <v>19.0352720284274</v>
      </c>
      <c r="AA16">
        <v>0.274242336502313</v>
      </c>
      <c r="AB16">
        <v>4.9309435401619801</v>
      </c>
      <c r="AC16">
        <v>9.6315968647013701</v>
      </c>
      <c r="AJ16">
        <v>0.431805013752946</v>
      </c>
      <c r="AK16">
        <v>1.3270978376885701E-2</v>
      </c>
      <c r="AL16">
        <v>0.55492400787016705</v>
      </c>
    </row>
    <row r="17" spans="1:38" x14ac:dyDescent="0.2">
      <c r="A17">
        <v>79</v>
      </c>
      <c r="B17">
        <v>745</v>
      </c>
      <c r="C17">
        <v>240</v>
      </c>
      <c r="D17">
        <v>0.33141531208564601</v>
      </c>
      <c r="E17">
        <v>17.392371534009602</v>
      </c>
      <c r="F17">
        <v>2.5249298007665799</v>
      </c>
      <c r="G17">
        <v>-274.71921475680267</v>
      </c>
      <c r="H17">
        <v>-238.21069920554109</v>
      </c>
      <c r="I17">
        <v>35.857698326633098</v>
      </c>
      <c r="J17">
        <v>20.766215796083099</v>
      </c>
      <c r="K17">
        <v>6.8882594394225203</v>
      </c>
      <c r="L17">
        <v>2.9001059127950944E-5</v>
      </c>
      <c r="M17">
        <v>1.7994439344338371E-6</v>
      </c>
      <c r="N17" s="1">
        <v>-1.77136351086624E-7</v>
      </c>
      <c r="O17" s="1">
        <v>6.5185343229086601E-11</v>
      </c>
      <c r="P17" s="1">
        <v>6.5161707361165796E-10</v>
      </c>
      <c r="Q17">
        <v>66.125771429583693</v>
      </c>
      <c r="S17">
        <v>19.031256420354602</v>
      </c>
      <c r="AA17">
        <v>0.27143664538339402</v>
      </c>
      <c r="AB17">
        <v>4.9155719034003802</v>
      </c>
      <c r="AC17">
        <v>9.6559636012778292</v>
      </c>
      <c r="AJ17">
        <v>0.43049248407172003</v>
      </c>
      <c r="AK17">
        <v>1.31362313967821E-2</v>
      </c>
      <c r="AL17">
        <v>0.55637128453149698</v>
      </c>
    </row>
    <row r="18" spans="1:38" x14ac:dyDescent="0.2">
      <c r="A18">
        <v>80</v>
      </c>
      <c r="B18">
        <v>744</v>
      </c>
      <c r="C18">
        <v>240</v>
      </c>
      <c r="D18">
        <v>0.33068918055350899</v>
      </c>
      <c r="E18">
        <v>30.463548024756498</v>
      </c>
      <c r="F18">
        <v>2.5249533265974602</v>
      </c>
      <c r="G18">
        <v>-481.11345390892171</v>
      </c>
      <c r="H18">
        <v>-417.26705868812019</v>
      </c>
      <c r="I18">
        <v>62.769891580200998</v>
      </c>
      <c r="J18">
        <v>36.381675047177801</v>
      </c>
      <c r="K18">
        <v>12.064994510535399</v>
      </c>
      <c r="L18">
        <v>2.9027831700017276E-5</v>
      </c>
      <c r="M18">
        <v>1.7996351834264615E-6</v>
      </c>
      <c r="N18" s="1">
        <v>-3.2127163092963301E-7</v>
      </c>
      <c r="O18" s="1">
        <v>1.1409251828945E-10</v>
      </c>
      <c r="P18" s="1">
        <v>1.1728178731053399E-9</v>
      </c>
      <c r="Q18">
        <v>66.128623968447201</v>
      </c>
      <c r="S18">
        <v>19.028291428652299</v>
      </c>
      <c r="AA18">
        <v>0.26832489592279801</v>
      </c>
      <c r="AB18">
        <v>4.9141555220878299</v>
      </c>
      <c r="AC18">
        <v>9.6606041848897792</v>
      </c>
      <c r="AJ18">
        <v>0.43037156087464001</v>
      </c>
      <c r="AK18">
        <v>1.2985731781762501E-2</v>
      </c>
      <c r="AL18">
        <v>0.556642707343596</v>
      </c>
    </row>
    <row r="19" spans="1:38" x14ac:dyDescent="0.2">
      <c r="A19">
        <v>81</v>
      </c>
      <c r="B19">
        <v>743</v>
      </c>
      <c r="C19">
        <v>240</v>
      </c>
      <c r="D19">
        <v>0.32996161983958999</v>
      </c>
      <c r="E19">
        <v>37.0041846990663</v>
      </c>
      <c r="F19">
        <v>2.5249662600203902</v>
      </c>
      <c r="G19">
        <v>-584.30780690190772</v>
      </c>
      <c r="H19">
        <v>-506.87759508470128</v>
      </c>
      <c r="I19">
        <v>76.199588463520598</v>
      </c>
      <c r="J19">
        <v>44.201825748951201</v>
      </c>
      <c r="K19">
        <v>14.6553184828566</v>
      </c>
      <c r="L19">
        <v>2.9049486273409884E-5</v>
      </c>
      <c r="M19">
        <v>1.7997407384065808E-6</v>
      </c>
      <c r="N19" s="1">
        <v>-4.0335703455552901E-7</v>
      </c>
      <c r="O19" s="1">
        <v>1.3849618362390001E-10</v>
      </c>
      <c r="P19" s="1">
        <v>1.4620277524441099E-9</v>
      </c>
      <c r="Q19">
        <v>66.128897379414099</v>
      </c>
      <c r="S19">
        <v>19.024825653805099</v>
      </c>
      <c r="AA19">
        <v>0.26540179947585102</v>
      </c>
      <c r="AB19">
        <v>4.9056788244246503</v>
      </c>
      <c r="AC19">
        <v>9.6751963428801293</v>
      </c>
      <c r="AJ19">
        <v>0.42964768056743402</v>
      </c>
      <c r="AK19">
        <v>1.28448197315542E-2</v>
      </c>
      <c r="AL19">
        <v>0.55750749970101099</v>
      </c>
    </row>
    <row r="20" spans="1:38" x14ac:dyDescent="0.2">
      <c r="A20">
        <v>82</v>
      </c>
      <c r="B20">
        <v>742</v>
      </c>
      <c r="C20">
        <v>240</v>
      </c>
      <c r="D20">
        <v>0.32923262572033701</v>
      </c>
      <c r="E20">
        <v>38.721659972792899</v>
      </c>
      <c r="F20">
        <v>2.52497508319501</v>
      </c>
      <c r="G20">
        <v>-611.3122412310563</v>
      </c>
      <c r="H20">
        <v>-530.41950948969668</v>
      </c>
      <c r="I20">
        <v>79.685496469841397</v>
      </c>
      <c r="J20">
        <v>46.2621123082629</v>
      </c>
      <c r="K20">
        <v>15.3354622112927</v>
      </c>
      <c r="L20">
        <v>2.9069360790801863E-5</v>
      </c>
      <c r="M20">
        <v>1.7998103025037392E-6</v>
      </c>
      <c r="N20" s="1">
        <v>-4.3590729893427002E-7</v>
      </c>
      <c r="O20" s="1">
        <v>1.4482923502516499E-10</v>
      </c>
      <c r="P20" s="1">
        <v>1.56928972831667E-9</v>
      </c>
      <c r="Q20">
        <v>66.128037757849299</v>
      </c>
      <c r="S20">
        <v>19.021160847748199</v>
      </c>
      <c r="AA20">
        <v>0.26257887789465501</v>
      </c>
      <c r="AB20">
        <v>4.8941554383230397</v>
      </c>
      <c r="AC20">
        <v>9.6940670781846592</v>
      </c>
      <c r="AJ20">
        <v>0.42866351299101602</v>
      </c>
      <c r="AK20">
        <v>1.2708940275105499E-2</v>
      </c>
      <c r="AL20">
        <v>0.55862754673387804</v>
      </c>
    </row>
    <row r="21" spans="1:38" x14ac:dyDescent="0.2">
      <c r="A21">
        <v>90</v>
      </c>
      <c r="B21">
        <v>750</v>
      </c>
      <c r="C21">
        <v>220</v>
      </c>
      <c r="D21">
        <v>0.356526902213751</v>
      </c>
      <c r="E21">
        <v>5.2201102614827501</v>
      </c>
      <c r="F21">
        <v>2.5242910779826899</v>
      </c>
      <c r="G21">
        <v>-82.620156554158442</v>
      </c>
      <c r="H21">
        <v>-71.565191175596055</v>
      </c>
      <c r="I21">
        <v>10.804833483421101</v>
      </c>
      <c r="J21">
        <v>6.23241896539274</v>
      </c>
      <c r="K21">
        <v>2.0679510009814002</v>
      </c>
      <c r="L21">
        <v>2.8998905310867578E-5</v>
      </c>
      <c r="M21">
        <v>1.8019368873047988E-6</v>
      </c>
      <c r="N21" s="1">
        <v>-4.5844104566016099E-8</v>
      </c>
      <c r="O21" s="1">
        <v>1.9596032750143601E-11</v>
      </c>
      <c r="P21" s="1">
        <v>1.74682014049483E-10</v>
      </c>
      <c r="Q21">
        <v>66.171968435563699</v>
      </c>
      <c r="S21">
        <v>19.064254944156499</v>
      </c>
      <c r="AA21">
        <v>0.28788132560594798</v>
      </c>
      <c r="AB21">
        <v>5.1050293744897903</v>
      </c>
      <c r="AC21">
        <v>9.3708659201839399</v>
      </c>
      <c r="AJ21">
        <v>0.44665548976344399</v>
      </c>
      <c r="AK21">
        <v>1.3918701304203199E-2</v>
      </c>
      <c r="AL21">
        <v>0.53942580893235104</v>
      </c>
    </row>
    <row r="22" spans="1:38" x14ac:dyDescent="0.2">
      <c r="A22">
        <v>91</v>
      </c>
      <c r="B22">
        <v>749</v>
      </c>
      <c r="C22">
        <v>220</v>
      </c>
      <c r="D22">
        <v>0.35582889008462698</v>
      </c>
      <c r="E22">
        <v>14.257297713179099</v>
      </c>
      <c r="F22">
        <v>2.5242390010379299</v>
      </c>
      <c r="G22">
        <v>-225.58423615434532</v>
      </c>
      <c r="H22">
        <v>-195.44345536671352</v>
      </c>
      <c r="I22">
        <v>29.487629787831299</v>
      </c>
      <c r="J22">
        <v>17.021346087907101</v>
      </c>
      <c r="K22">
        <v>5.6481568137235199</v>
      </c>
      <c r="L22">
        <v>2.8990779025235012E-5</v>
      </c>
      <c r="M22">
        <v>1.8016435603938401E-6</v>
      </c>
      <c r="N22" s="1">
        <v>-1.2838849101108801E-7</v>
      </c>
      <c r="O22" s="1">
        <v>5.3510847351723202E-11</v>
      </c>
      <c r="P22" s="1">
        <v>4.8614389650982105E-10</v>
      </c>
      <c r="Q22">
        <v>66.161279607759695</v>
      </c>
      <c r="S22">
        <v>19.058074611523601</v>
      </c>
      <c r="AA22">
        <v>0.285276579744631</v>
      </c>
      <c r="AB22">
        <v>5.0650073493454002</v>
      </c>
      <c r="AC22">
        <v>9.4303618516265502</v>
      </c>
      <c r="AJ22">
        <v>0.44324370591498202</v>
      </c>
      <c r="AK22">
        <v>1.3795562299294699E-2</v>
      </c>
      <c r="AL22">
        <v>0.54296073178572302</v>
      </c>
    </row>
    <row r="23" spans="1:38" x14ac:dyDescent="0.2">
      <c r="A23">
        <v>92</v>
      </c>
      <c r="B23">
        <v>748</v>
      </c>
      <c r="C23">
        <v>220</v>
      </c>
      <c r="D23">
        <v>0.355129510845618</v>
      </c>
      <c r="E23">
        <v>25.959076392186098</v>
      </c>
      <c r="F23">
        <v>2.5241966425325502</v>
      </c>
      <c r="G23">
        <v>-410.61294484944756</v>
      </c>
      <c r="H23">
        <v>-355.82907398036366</v>
      </c>
      <c r="I23">
        <v>53.649190490215901</v>
      </c>
      <c r="J23">
        <v>30.991123361521499</v>
      </c>
      <c r="K23">
        <v>10.2840943351153</v>
      </c>
      <c r="L23">
        <v>2.898590494381953E-5</v>
      </c>
      <c r="M23">
        <v>1.8013951478428208E-6</v>
      </c>
      <c r="N23" s="1">
        <v>-2.39913212364152E-7</v>
      </c>
      <c r="O23" s="1">
        <v>9.7406336549374105E-11</v>
      </c>
      <c r="P23" s="1">
        <v>9.0266136661213804E-10</v>
      </c>
      <c r="Q23">
        <v>66.151774831646605</v>
      </c>
      <c r="S23">
        <v>19.052246174331099</v>
      </c>
      <c r="AA23">
        <v>0.28268586894982001</v>
      </c>
      <c r="AB23">
        <v>5.02854645955445</v>
      </c>
      <c r="AC23">
        <v>9.4847466655179105</v>
      </c>
      <c r="AJ23">
        <v>0.440134297775368</v>
      </c>
      <c r="AK23">
        <v>1.3672805479152599E-2</v>
      </c>
      <c r="AL23">
        <v>0.546192896745478</v>
      </c>
    </row>
    <row r="24" spans="1:38" x14ac:dyDescent="0.2">
      <c r="A24">
        <v>93</v>
      </c>
      <c r="B24">
        <v>747</v>
      </c>
      <c r="C24">
        <v>220</v>
      </c>
      <c r="D24">
        <v>0.35442876047640198</v>
      </c>
      <c r="E24">
        <v>34.901205356366503</v>
      </c>
      <c r="F24">
        <v>2.5241716139326802</v>
      </c>
      <c r="G24">
        <v>-551.91378853181379</v>
      </c>
      <c r="H24">
        <v>-478.38327433889776</v>
      </c>
      <c r="I24">
        <v>72.078139678396298</v>
      </c>
      <c r="J24">
        <v>41.668268430544401</v>
      </c>
      <c r="K24">
        <v>13.826795754980401</v>
      </c>
      <c r="L24">
        <v>2.8988319316020346E-5</v>
      </c>
      <c r="M24">
        <v>1.8012512283758483E-6</v>
      </c>
      <c r="N24" s="1">
        <v>-3.31747537646859E-7</v>
      </c>
      <c r="O24" s="1">
        <v>1.3091365690268001E-10</v>
      </c>
      <c r="P24" s="1">
        <v>1.2398149298289799E-9</v>
      </c>
      <c r="Q24">
        <v>66.145189898366397</v>
      </c>
      <c r="S24">
        <v>19.047129976544401</v>
      </c>
      <c r="AA24">
        <v>0.28000145754927602</v>
      </c>
      <c r="AB24">
        <v>5.0004595111606402</v>
      </c>
      <c r="AC24">
        <v>9.5272191563791502</v>
      </c>
      <c r="AJ24">
        <v>0.437738247623493</v>
      </c>
      <c r="AK24">
        <v>1.3544895608989801E-2</v>
      </c>
      <c r="AL24">
        <v>0.54871685676751603</v>
      </c>
    </row>
    <row r="25" spans="1:38" x14ac:dyDescent="0.2">
      <c r="A25">
        <v>94</v>
      </c>
      <c r="B25">
        <v>746</v>
      </c>
      <c r="C25">
        <v>220</v>
      </c>
      <c r="D25">
        <v>0.35372663494088302</v>
      </c>
      <c r="E25">
        <v>38.307412804121</v>
      </c>
      <c r="F25">
        <v>2.5241619224615</v>
      </c>
      <c r="G25">
        <v>-605.64176721058709</v>
      </c>
      <c r="H25">
        <v>-525.06859418926638</v>
      </c>
      <c r="I25">
        <v>79.059189541599096</v>
      </c>
      <c r="J25">
        <v>45.739339589815302</v>
      </c>
      <c r="K25">
        <v>15.176289786815399</v>
      </c>
      <c r="L25">
        <v>2.8997838957451908E-5</v>
      </c>
      <c r="M25">
        <v>1.8012069254055001E-6</v>
      </c>
      <c r="N25" s="1">
        <v>-3.7525959969685503E-7</v>
      </c>
      <c r="O25" s="1">
        <v>1.43624174015516E-10</v>
      </c>
      <c r="P25" s="1">
        <v>1.39260493908238E-9</v>
      </c>
      <c r="Q25">
        <v>66.1414009860123</v>
      </c>
      <c r="S25">
        <v>19.042672723194499</v>
      </c>
      <c r="AA25">
        <v>0.277208268797002</v>
      </c>
      <c r="AB25">
        <v>4.9803308539935998</v>
      </c>
      <c r="AC25">
        <v>9.5583871680024792</v>
      </c>
      <c r="AJ25">
        <v>0.436020694392527</v>
      </c>
      <c r="AK25">
        <v>1.3411145625752E-2</v>
      </c>
      <c r="AL25">
        <v>0.55056815998172004</v>
      </c>
    </row>
    <row r="26" spans="1:38" x14ac:dyDescent="0.2">
      <c r="A26">
        <v>95</v>
      </c>
      <c r="B26">
        <v>745</v>
      </c>
      <c r="C26">
        <v>220</v>
      </c>
      <c r="D26">
        <v>0.35302313018710402</v>
      </c>
      <c r="E26">
        <v>39.517935922373802</v>
      </c>
      <c r="F26">
        <v>2.5241618973819202</v>
      </c>
      <c r="G26">
        <v>-624.65312610550279</v>
      </c>
      <c r="H26">
        <v>-541.66941072632505</v>
      </c>
      <c r="I26">
        <v>81.504410331658207</v>
      </c>
      <c r="J26">
        <v>47.191199849054598</v>
      </c>
      <c r="K26">
        <v>15.6558642151131</v>
      </c>
      <c r="L26">
        <v>2.9012246260941431E-5</v>
      </c>
      <c r="M26">
        <v>1.8012273428473306E-6</v>
      </c>
      <c r="N26" s="1">
        <v>-3.9947072934391101E-7</v>
      </c>
      <c r="O26" s="1">
        <v>1.48083041578298E-10</v>
      </c>
      <c r="P26" s="1">
        <v>1.47188627118332E-9</v>
      </c>
      <c r="Q26">
        <v>66.139405553231498</v>
      </c>
      <c r="S26">
        <v>19.0386401304369</v>
      </c>
      <c r="AA26">
        <v>0.27434694544166299</v>
      </c>
      <c r="AB26">
        <v>4.9653121728455103</v>
      </c>
      <c r="AC26">
        <v>9.5822951980443403</v>
      </c>
      <c r="AJ26">
        <v>0.43473894801735502</v>
      </c>
      <c r="AK26">
        <v>1.3273727923787899E-2</v>
      </c>
      <c r="AL26">
        <v>0.55198732405885598</v>
      </c>
    </row>
    <row r="27" spans="1:38" x14ac:dyDescent="0.2">
      <c r="A27">
        <v>100</v>
      </c>
      <c r="B27">
        <v>754</v>
      </c>
      <c r="C27">
        <v>200</v>
      </c>
      <c r="D27">
        <v>0.38072384753930699</v>
      </c>
      <c r="E27">
        <v>3.49553404519349</v>
      </c>
      <c r="F27">
        <v>2.5237476713293798</v>
      </c>
      <c r="G27">
        <v>-55.42815776674032</v>
      </c>
      <c r="H27">
        <v>-47.971805375685555</v>
      </c>
      <c r="I27">
        <v>7.2592633900158301</v>
      </c>
      <c r="J27">
        <v>4.1744334007769899</v>
      </c>
      <c r="K27">
        <v>1.3850568679681901</v>
      </c>
      <c r="L27">
        <v>2.9027420830055799E-5</v>
      </c>
      <c r="M27">
        <v>1.8045958529851127E-6</v>
      </c>
      <c r="N27" s="1">
        <v>-2.7386506225683499E-8</v>
      </c>
      <c r="O27" s="1">
        <v>1.3130737430838099E-11</v>
      </c>
      <c r="P27" s="1">
        <v>1.07492468880644E-10</v>
      </c>
      <c r="Q27">
        <v>66.218046857990103</v>
      </c>
      <c r="S27">
        <v>19.095966476505801</v>
      </c>
      <c r="AA27">
        <v>0.30329189455338201</v>
      </c>
      <c r="AB27">
        <v>5.2908485730747401</v>
      </c>
      <c r="AC27">
        <v>9.0918461978759009</v>
      </c>
      <c r="AJ27">
        <v>0.462478000215163</v>
      </c>
      <c r="AK27">
        <v>1.4649990423611901E-2</v>
      </c>
      <c r="AL27">
        <v>0.52287200936122402</v>
      </c>
    </row>
    <row r="28" spans="1:38" x14ac:dyDescent="0.2">
      <c r="A28">
        <v>101</v>
      </c>
      <c r="B28">
        <v>753</v>
      </c>
      <c r="C28">
        <v>200</v>
      </c>
      <c r="D28">
        <v>0.380052136627202</v>
      </c>
      <c r="E28">
        <v>13.048610846072499</v>
      </c>
      <c r="F28">
        <v>2.5236190409726</v>
      </c>
      <c r="G28">
        <v>-206.82104449913106</v>
      </c>
      <c r="H28">
        <v>-179.03911992207213</v>
      </c>
      <c r="I28">
        <v>27.073941019401499</v>
      </c>
      <c r="J28">
        <v>15.579273738814701</v>
      </c>
      <c r="K28">
        <v>5.1705945446677299</v>
      </c>
      <c r="L28">
        <v>2.8996111289482073E-5</v>
      </c>
      <c r="M28">
        <v>1.8039610211272747E-6</v>
      </c>
      <c r="N28" s="1">
        <v>-1.04101953544013E-7</v>
      </c>
      <c r="O28" s="1">
        <v>4.9023783203818397E-11</v>
      </c>
      <c r="P28" s="1">
        <v>4.0654261595508899E-10</v>
      </c>
      <c r="Q28">
        <v>66.198209869459106</v>
      </c>
      <c r="S28">
        <v>19.087022576048799</v>
      </c>
      <c r="AA28">
        <v>0.30054177518289898</v>
      </c>
      <c r="AB28">
        <v>5.223195309916</v>
      </c>
      <c r="AC28">
        <v>9.1910304693930591</v>
      </c>
      <c r="AJ28">
        <v>0.45672074107369898</v>
      </c>
      <c r="AK28">
        <v>1.4522122860654799E-2</v>
      </c>
      <c r="AL28">
        <v>0.52875713606564501</v>
      </c>
    </row>
    <row r="29" spans="1:38" x14ac:dyDescent="0.2">
      <c r="A29">
        <v>102</v>
      </c>
      <c r="B29">
        <v>752</v>
      </c>
      <c r="C29">
        <v>200</v>
      </c>
      <c r="D29">
        <v>0.37937911525142798</v>
      </c>
      <c r="E29">
        <v>19.0617506778501</v>
      </c>
      <c r="F29">
        <v>2.5235422014148998</v>
      </c>
      <c r="G29">
        <v>-302.02704372378923</v>
      </c>
      <c r="H29">
        <v>-261.51447218340894</v>
      </c>
      <c r="I29">
        <v>39.518676818397601</v>
      </c>
      <c r="J29">
        <v>22.756274632102201</v>
      </c>
      <c r="K29">
        <v>7.5535692120237199</v>
      </c>
      <c r="L29">
        <v>2.8981490408079061E-5</v>
      </c>
      <c r="M29">
        <v>1.8035850988698064E-6</v>
      </c>
      <c r="N29" s="1">
        <v>-1.5567740882025699E-7</v>
      </c>
      <c r="O29" s="1">
        <v>7.1609864228521799E-11</v>
      </c>
      <c r="P29" s="1">
        <v>6.0415009918493702E-10</v>
      </c>
      <c r="Q29">
        <v>66.185545397882194</v>
      </c>
      <c r="S29">
        <v>19.079995948629001</v>
      </c>
      <c r="AA29">
        <v>0.29769981692268099</v>
      </c>
      <c r="AB29">
        <v>5.1765519967437399</v>
      </c>
      <c r="AC29">
        <v>9.2602068398222599</v>
      </c>
      <c r="AJ29">
        <v>0.45274913025575803</v>
      </c>
      <c r="AK29">
        <v>1.43881978755316E-2</v>
      </c>
      <c r="AL29">
        <v>0.53286267186870895</v>
      </c>
    </row>
    <row r="30" spans="1:38" x14ac:dyDescent="0.2">
      <c r="A30">
        <v>103</v>
      </c>
      <c r="B30">
        <v>751</v>
      </c>
      <c r="C30">
        <v>200</v>
      </c>
      <c r="D30">
        <v>0.378704779573308</v>
      </c>
      <c r="E30">
        <v>33.658975504352597</v>
      </c>
      <c r="F30">
        <v>2.5234163774132399</v>
      </c>
      <c r="G30">
        <v>-533.07263424434177</v>
      </c>
      <c r="H30">
        <v>-461.67307358507003</v>
      </c>
      <c r="I30">
        <v>69.715921163180795</v>
      </c>
      <c r="J30">
        <v>40.171929251870303</v>
      </c>
      <c r="K30">
        <v>13.3386530283426</v>
      </c>
      <c r="L30">
        <v>2.8945431678245445E-5</v>
      </c>
      <c r="M30">
        <v>1.8028764047527223E-6</v>
      </c>
      <c r="N30" s="1">
        <v>-2.7944214305849399E-7</v>
      </c>
      <c r="O30" s="1">
        <v>1.2647348356302899E-10</v>
      </c>
      <c r="P30" s="1">
        <v>1.0795681275619201E-9</v>
      </c>
      <c r="Q30">
        <v>66.163210048031601</v>
      </c>
      <c r="S30">
        <v>19.0708209512545</v>
      </c>
      <c r="AA30">
        <v>0.29534199868810601</v>
      </c>
      <c r="AB30">
        <v>5.1027254187269397</v>
      </c>
      <c r="AC30">
        <v>9.3679015832987798</v>
      </c>
      <c r="AJ30">
        <v>0.44645904611980503</v>
      </c>
      <c r="AK30">
        <v>1.4279579795923101E-2</v>
      </c>
      <c r="AL30">
        <v>0.53926137408427099</v>
      </c>
    </row>
    <row r="31" spans="1:38" x14ac:dyDescent="0.2">
      <c r="A31">
        <v>104</v>
      </c>
      <c r="B31">
        <v>750</v>
      </c>
      <c r="C31">
        <v>200</v>
      </c>
      <c r="D31">
        <v>0.37802912573913899</v>
      </c>
      <c r="E31">
        <v>38.098271916159398</v>
      </c>
      <c r="F31">
        <v>2.5233758856167601</v>
      </c>
      <c r="G31">
        <v>-603.20996449358972</v>
      </c>
      <c r="H31">
        <v>-522.53190500452263</v>
      </c>
      <c r="I31">
        <v>78.852621305836905</v>
      </c>
      <c r="J31">
        <v>45.469595439448803</v>
      </c>
      <c r="K31">
        <v>15.0981358478217</v>
      </c>
      <c r="L31">
        <v>2.8941946548111653E-5</v>
      </c>
      <c r="M31">
        <v>1.8026669030899183E-6</v>
      </c>
      <c r="N31" s="1">
        <v>-3.2489567366063999E-7</v>
      </c>
      <c r="O31" s="1">
        <v>1.43119977125609E-10</v>
      </c>
      <c r="P31" s="1">
        <v>1.24650688135685E-9</v>
      </c>
      <c r="Q31">
        <v>66.155034150332995</v>
      </c>
      <c r="S31">
        <v>19.0651081019146</v>
      </c>
      <c r="AA31">
        <v>0.292536573444107</v>
      </c>
      <c r="AB31">
        <v>5.06952889181429</v>
      </c>
      <c r="AC31">
        <v>9.4177922824938491</v>
      </c>
      <c r="AJ31">
        <v>0.44362915852486501</v>
      </c>
      <c r="AK31">
        <v>1.41463188080023E-2</v>
      </c>
      <c r="AL31">
        <v>0.54222452266713195</v>
      </c>
    </row>
    <row r="32" spans="1:38" x14ac:dyDescent="0.2">
      <c r="A32">
        <v>105</v>
      </c>
      <c r="B32">
        <v>749</v>
      </c>
      <c r="C32">
        <v>200</v>
      </c>
      <c r="D32">
        <v>0.37735214988015597</v>
      </c>
      <c r="E32">
        <v>39.6812826706972</v>
      </c>
      <c r="F32">
        <v>2.5233617955128702</v>
      </c>
      <c r="G32">
        <v>-628.13179610175462</v>
      </c>
      <c r="H32">
        <v>-544.24006566228104</v>
      </c>
      <c r="I32">
        <v>82.073795861149094</v>
      </c>
      <c r="J32">
        <v>47.362345629498101</v>
      </c>
      <c r="K32">
        <v>15.725562121634599</v>
      </c>
      <c r="L32">
        <v>2.8949351391794162E-5</v>
      </c>
      <c r="M32">
        <v>1.8026177070962203E-6</v>
      </c>
      <c r="N32" s="1">
        <v>-3.4875643928330601E-7</v>
      </c>
      <c r="O32" s="1">
        <v>1.4900800554525899E-10</v>
      </c>
      <c r="P32" s="1">
        <v>1.3279599877583701E-9</v>
      </c>
      <c r="Q32">
        <v>66.151383595942505</v>
      </c>
      <c r="S32">
        <v>19.060505543965199</v>
      </c>
      <c r="AA32">
        <v>0.28959122297010598</v>
      </c>
      <c r="AB32">
        <v>5.0493276230520303</v>
      </c>
      <c r="AC32">
        <v>9.4491920140701104</v>
      </c>
      <c r="AJ32">
        <v>0.44190661708729101</v>
      </c>
      <c r="AK32">
        <v>1.40053233281267E-2</v>
      </c>
      <c r="AL32">
        <v>0.54408805958458095</v>
      </c>
    </row>
    <row r="33" spans="1:38" x14ac:dyDescent="0.2">
      <c r="A33">
        <v>113</v>
      </c>
      <c r="B33">
        <v>758</v>
      </c>
      <c r="C33">
        <v>180</v>
      </c>
      <c r="D33">
        <v>0.40473306502448703</v>
      </c>
      <c r="E33">
        <v>7.3162234192460804</v>
      </c>
      <c r="F33">
        <v>2.52320198314791</v>
      </c>
      <c r="G33">
        <v>-116.21404519702108</v>
      </c>
      <c r="H33">
        <v>-100.49789403743003</v>
      </c>
      <c r="I33">
        <v>15.2413821069592</v>
      </c>
      <c r="J33">
        <v>8.7383883510308404</v>
      </c>
      <c r="K33">
        <v>2.89957897469565</v>
      </c>
      <c r="L33">
        <v>2.903807995039559E-5</v>
      </c>
      <c r="M33">
        <v>1.8068706392827628E-6</v>
      </c>
      <c r="N33" s="1">
        <v>-5.0717244267093498E-8</v>
      </c>
      <c r="O33" s="1">
        <v>2.7502656238092999E-11</v>
      </c>
      <c r="P33" s="1">
        <v>2.0598465695302601E-10</v>
      </c>
      <c r="Q33">
        <v>66.251104713578798</v>
      </c>
      <c r="S33">
        <v>19.1268554674119</v>
      </c>
      <c r="AA33">
        <v>0.32106202965712899</v>
      </c>
      <c r="AB33">
        <v>5.4454957372658699</v>
      </c>
      <c r="AC33">
        <v>8.8554820520862005</v>
      </c>
      <c r="AJ33">
        <v>0.475623483432072</v>
      </c>
      <c r="AK33">
        <v>1.54962139574575E-2</v>
      </c>
      <c r="AL33">
        <v>0.50888030261046902</v>
      </c>
    </row>
    <row r="34" spans="1:38" x14ac:dyDescent="0.2">
      <c r="A34">
        <v>114</v>
      </c>
      <c r="B34">
        <v>757</v>
      </c>
      <c r="C34">
        <v>180</v>
      </c>
      <c r="D34">
        <v>0.40408726884434598</v>
      </c>
      <c r="E34">
        <v>15.222549004113</v>
      </c>
      <c r="F34">
        <v>2.5230181115871599</v>
      </c>
      <c r="G34">
        <v>-241.68401299742612</v>
      </c>
      <c r="H34">
        <v>-209.04698920096067</v>
      </c>
      <c r="I34">
        <v>31.681817013508098</v>
      </c>
      <c r="J34">
        <v>18.175776737822801</v>
      </c>
      <c r="K34">
        <v>6.0334679859023597</v>
      </c>
      <c r="L34">
        <v>2.8996138021439684E-5</v>
      </c>
      <c r="M34">
        <v>1.8060807127742871E-6</v>
      </c>
      <c r="N34" s="1">
        <v>-1.0710920175353E-7</v>
      </c>
      <c r="O34" s="1">
        <v>5.7242545766704498E-11</v>
      </c>
      <c r="P34" s="1">
        <v>4.3303041267885602E-10</v>
      </c>
      <c r="Q34">
        <v>66.227601965220401</v>
      </c>
      <c r="S34">
        <v>19.116110048107899</v>
      </c>
      <c r="AA34">
        <v>0.317680993733296</v>
      </c>
      <c r="AB34">
        <v>5.3649506090110304</v>
      </c>
      <c r="AC34">
        <v>8.9736563839272492</v>
      </c>
      <c r="AJ34">
        <v>0.46877940784470101</v>
      </c>
      <c r="AK34">
        <v>1.5339274555535101E-2</v>
      </c>
      <c r="AL34">
        <v>0.51588131759976297</v>
      </c>
    </row>
    <row r="35" spans="1:38" x14ac:dyDescent="0.2">
      <c r="A35">
        <v>115</v>
      </c>
      <c r="B35">
        <v>756</v>
      </c>
      <c r="C35">
        <v>180</v>
      </c>
      <c r="D35">
        <v>0.40344021765534699</v>
      </c>
      <c r="E35">
        <v>27.734289903120999</v>
      </c>
      <c r="F35">
        <v>2.5227921770576698</v>
      </c>
      <c r="G35">
        <v>-440.07074574127665</v>
      </c>
      <c r="H35">
        <v>-380.73041523695412</v>
      </c>
      <c r="I35">
        <v>57.659554490912399</v>
      </c>
      <c r="J35">
        <v>33.099566091342503</v>
      </c>
      <c r="K35">
        <v>10.993489735435601</v>
      </c>
      <c r="L35">
        <v>2.8935789101897635E-5</v>
      </c>
      <c r="M35">
        <v>1.8050016900730893E-6</v>
      </c>
      <c r="N35" s="1">
        <v>-1.96826100897478E-7</v>
      </c>
      <c r="O35" s="1">
        <v>1.04350571627718E-10</v>
      </c>
      <c r="P35" s="1">
        <v>7.9348603243917604E-10</v>
      </c>
      <c r="Q35">
        <v>66.195642176452694</v>
      </c>
      <c r="S35">
        <v>19.103463084909901</v>
      </c>
      <c r="AA35">
        <v>0.31470449939101802</v>
      </c>
      <c r="AB35">
        <v>5.2605742751164399</v>
      </c>
      <c r="AC35">
        <v>9.1256159641299206</v>
      </c>
      <c r="AJ35">
        <v>0.45990203279209302</v>
      </c>
      <c r="AK35">
        <v>1.5203581789210699E-2</v>
      </c>
      <c r="AL35">
        <v>0.52489438541869604</v>
      </c>
    </row>
    <row r="36" spans="1:38" x14ac:dyDescent="0.2">
      <c r="A36">
        <v>116</v>
      </c>
      <c r="B36">
        <v>755</v>
      </c>
      <c r="C36">
        <v>180</v>
      </c>
      <c r="D36">
        <v>0.40279190779555302</v>
      </c>
      <c r="E36">
        <v>35.336120259955997</v>
      </c>
      <c r="F36">
        <v>2.52266500030554</v>
      </c>
      <c r="G36">
        <v>-560.45249592862808</v>
      </c>
      <c r="H36">
        <v>-484.98859336420855</v>
      </c>
      <c r="I36">
        <v>73.397755740329202</v>
      </c>
      <c r="J36">
        <v>42.1618375224975</v>
      </c>
      <c r="K36">
        <v>14.007456501626701</v>
      </c>
      <c r="L36">
        <v>2.8904051003169512E-5</v>
      </c>
      <c r="M36">
        <v>1.8043785026569659E-6</v>
      </c>
      <c r="N36" s="1">
        <v>-2.5535079746262001E-7</v>
      </c>
      <c r="O36" s="1">
        <v>1.32976867994075E-10</v>
      </c>
      <c r="P36" s="1">
        <v>1.0239191672321299E-9</v>
      </c>
      <c r="Q36">
        <v>66.176229035701596</v>
      </c>
      <c r="S36">
        <v>19.094400502022101</v>
      </c>
      <c r="AA36">
        <v>0.31175756671481297</v>
      </c>
      <c r="AB36">
        <v>5.1935543925872798</v>
      </c>
      <c r="AC36">
        <v>9.2240585029741204</v>
      </c>
      <c r="AJ36">
        <v>0.45419694767941798</v>
      </c>
      <c r="AK36">
        <v>1.50663246142541E-2</v>
      </c>
      <c r="AL36">
        <v>0.53073672770632596</v>
      </c>
    </row>
    <row r="37" spans="1:38" x14ac:dyDescent="0.2">
      <c r="A37">
        <v>117</v>
      </c>
      <c r="B37">
        <v>754</v>
      </c>
      <c r="C37">
        <v>180</v>
      </c>
      <c r="D37">
        <v>0.402142335588766</v>
      </c>
      <c r="E37">
        <v>38.859726872233402</v>
      </c>
      <c r="F37">
        <v>2.5226045528969498</v>
      </c>
      <c r="G37">
        <v>-616.1503996649742</v>
      </c>
      <c r="H37">
        <v>-533.30514832549215</v>
      </c>
      <c r="I37">
        <v>80.655455716771698</v>
      </c>
      <c r="J37">
        <v>46.362842347135</v>
      </c>
      <c r="K37">
        <v>15.404605064875099</v>
      </c>
      <c r="L37">
        <v>2.8894306888413558E-5</v>
      </c>
      <c r="M37">
        <v>1.8040989424661044E-6</v>
      </c>
      <c r="N37" s="1">
        <v>-2.8804648967650701E-7</v>
      </c>
      <c r="O37" s="1">
        <v>1.4622013338054199E-10</v>
      </c>
      <c r="P37" s="1">
        <v>1.1467132997376399E-9</v>
      </c>
      <c r="Q37">
        <v>66.166428683336406</v>
      </c>
      <c r="S37">
        <v>19.087942369635101</v>
      </c>
      <c r="AA37">
        <v>0.3087163196146</v>
      </c>
      <c r="AB37">
        <v>5.1547839991483499</v>
      </c>
      <c r="AC37">
        <v>9.2821286282654594</v>
      </c>
      <c r="AJ37">
        <v>0.45089485269949198</v>
      </c>
      <c r="AK37">
        <v>1.49222799807579E-2</v>
      </c>
      <c r="AL37">
        <v>0.53418286731974995</v>
      </c>
    </row>
    <row r="38" spans="1:38" x14ac:dyDescent="0.2">
      <c r="A38">
        <v>118</v>
      </c>
      <c r="B38">
        <v>753</v>
      </c>
      <c r="C38">
        <v>180</v>
      </c>
      <c r="D38">
        <v>0.401491497344444</v>
      </c>
      <c r="E38">
        <v>40.295946408949902</v>
      </c>
      <c r="F38">
        <v>2.5225780566110698</v>
      </c>
      <c r="G38">
        <v>-638.76861557428606</v>
      </c>
      <c r="H38">
        <v>-553.00386359445793</v>
      </c>
      <c r="I38">
        <v>83.579157023659306</v>
      </c>
      <c r="J38">
        <v>48.077597577948701</v>
      </c>
      <c r="K38">
        <v>15.974112794386601</v>
      </c>
      <c r="L38">
        <v>2.889669486871172E-5</v>
      </c>
      <c r="M38">
        <v>1.8040038699636465E-6</v>
      </c>
      <c r="N38" s="1">
        <v>-3.0759847811467001E-7</v>
      </c>
      <c r="O38" s="1">
        <v>1.5158131389524099E-10</v>
      </c>
      <c r="P38" s="1">
        <v>1.2146559235668299E-9</v>
      </c>
      <c r="Q38">
        <v>66.161801766254698</v>
      </c>
      <c r="S38">
        <v>19.0828623936052</v>
      </c>
      <c r="AA38">
        <v>0.30560491522209299</v>
      </c>
      <c r="AB38">
        <v>5.1311553449127096</v>
      </c>
      <c r="AC38">
        <v>9.3185755800052608</v>
      </c>
      <c r="AJ38">
        <v>0.44888176388714801</v>
      </c>
      <c r="AK38">
        <v>1.4773654031188899E-2</v>
      </c>
      <c r="AL38">
        <v>0.53634458208166202</v>
      </c>
    </row>
    <row r="39" spans="1:38" x14ac:dyDescent="0.2">
      <c r="A39">
        <v>129</v>
      </c>
      <c r="B39">
        <v>763</v>
      </c>
      <c r="C39">
        <v>160</v>
      </c>
      <c r="D39">
        <v>0.42917579501038</v>
      </c>
      <c r="E39">
        <v>7.8414973445470499</v>
      </c>
      <c r="F39">
        <v>2.5228200655698498</v>
      </c>
      <c r="G39">
        <v>-124.81413414540347</v>
      </c>
      <c r="H39">
        <v>-107.82278148787209</v>
      </c>
      <c r="I39">
        <v>16.398545246857399</v>
      </c>
      <c r="J39">
        <v>9.3687426079351894</v>
      </c>
      <c r="K39">
        <v>3.1082269606000601</v>
      </c>
      <c r="L39">
        <v>2.9067397625843582E-5</v>
      </c>
      <c r="M39">
        <v>1.8094318686547253E-6</v>
      </c>
      <c r="N39" s="1">
        <v>-4.6862659944458698E-8</v>
      </c>
      <c r="O39" s="1">
        <v>2.9491358813811198E-11</v>
      </c>
      <c r="P39" s="1">
        <v>1.9914459100283399E-10</v>
      </c>
      <c r="Q39">
        <v>66.290937892943703</v>
      </c>
      <c r="S39">
        <v>19.167205093323101</v>
      </c>
      <c r="AA39">
        <v>0.345056356330599</v>
      </c>
      <c r="AB39">
        <v>5.6400436318462104</v>
      </c>
      <c r="AC39">
        <v>8.5567570255562906</v>
      </c>
      <c r="AJ39">
        <v>0.49213145042914502</v>
      </c>
      <c r="AK39">
        <v>1.6637937126413101E-2</v>
      </c>
      <c r="AL39">
        <v>0.49123061244444</v>
      </c>
    </row>
    <row r="40" spans="1:38" x14ac:dyDescent="0.2">
      <c r="A40">
        <v>130</v>
      </c>
      <c r="B40">
        <v>762</v>
      </c>
      <c r="C40">
        <v>160</v>
      </c>
      <c r="D40">
        <v>0.428556730908567</v>
      </c>
      <c r="E40">
        <v>15.393010849180399</v>
      </c>
      <c r="F40">
        <v>2.5225418154488199</v>
      </c>
      <c r="G40">
        <v>-244.87115794839596</v>
      </c>
      <c r="H40">
        <v>-211.58359124127256</v>
      </c>
      <c r="I40">
        <v>32.157239730592998</v>
      </c>
      <c r="J40">
        <v>18.382845426982399</v>
      </c>
      <c r="K40">
        <v>6.1021826298017601</v>
      </c>
      <c r="L40">
        <v>2.9009748677095735E-5</v>
      </c>
      <c r="M40">
        <v>1.8083996018033634E-6</v>
      </c>
      <c r="N40" s="1">
        <v>-9.2889755691945798E-8</v>
      </c>
      <c r="O40" s="1">
        <v>5.7925872118158397E-11</v>
      </c>
      <c r="P40" s="1">
        <v>3.9338458646201598E-10</v>
      </c>
      <c r="Q40">
        <v>66.261807296381406</v>
      </c>
      <c r="S40">
        <v>19.1533900170006</v>
      </c>
      <c r="AA40">
        <v>0.34045600337652399</v>
      </c>
      <c r="AB40">
        <v>5.5389096406653904</v>
      </c>
      <c r="AC40">
        <v>8.7054370425760208</v>
      </c>
      <c r="AJ40">
        <v>0.48355390098162498</v>
      </c>
      <c r="AK40">
        <v>1.6424509091235402E-2</v>
      </c>
      <c r="AL40">
        <v>0.50002158992713897</v>
      </c>
    </row>
    <row r="41" spans="1:38" x14ac:dyDescent="0.2">
      <c r="A41">
        <v>131</v>
      </c>
      <c r="B41">
        <v>761</v>
      </c>
      <c r="C41">
        <v>160</v>
      </c>
      <c r="D41">
        <v>0.42793646956437897</v>
      </c>
      <c r="E41">
        <v>27.627573918580001</v>
      </c>
      <c r="F41">
        <v>2.5221838092625002</v>
      </c>
      <c r="G41">
        <v>-439.17245249022</v>
      </c>
      <c r="H41">
        <v>-379.55880194396696</v>
      </c>
      <c r="I41">
        <v>57.645071359331801</v>
      </c>
      <c r="J41">
        <v>32.971841699159</v>
      </c>
      <c r="K41">
        <v>10.953830492892701</v>
      </c>
      <c r="L41">
        <v>2.8923352432048393E-5</v>
      </c>
      <c r="M41">
        <v>1.8069059240469382E-6</v>
      </c>
      <c r="N41" s="1">
        <v>-1.6660660132986699E-7</v>
      </c>
      <c r="O41" s="1">
        <v>1.04064990659344E-10</v>
      </c>
      <c r="P41" s="1">
        <v>7.0535984864173902E-10</v>
      </c>
      <c r="Q41">
        <v>66.219402247264597</v>
      </c>
      <c r="S41">
        <v>19.136238769513302</v>
      </c>
      <c r="AA41">
        <v>0.336200687082015</v>
      </c>
      <c r="AB41">
        <v>5.3994480372742197</v>
      </c>
      <c r="AC41">
        <v>8.9087102588658205</v>
      </c>
      <c r="AJ41">
        <v>0.47171122797336501</v>
      </c>
      <c r="AK41">
        <v>1.6230662035492501E-2</v>
      </c>
      <c r="AL41">
        <v>0.51205810999114099</v>
      </c>
    </row>
    <row r="42" spans="1:38" x14ac:dyDescent="0.2">
      <c r="A42">
        <v>132</v>
      </c>
      <c r="B42">
        <v>760</v>
      </c>
      <c r="C42">
        <v>160</v>
      </c>
      <c r="D42">
        <v>0.427315007501331</v>
      </c>
      <c r="E42">
        <v>34.4298945751381</v>
      </c>
      <c r="F42">
        <v>2.5219975738353</v>
      </c>
      <c r="G42">
        <v>-547.03339376533916</v>
      </c>
      <c r="H42">
        <v>-472.88519131882884</v>
      </c>
      <c r="I42">
        <v>71.7690581682333</v>
      </c>
      <c r="J42">
        <v>41.076006159803697</v>
      </c>
      <c r="K42">
        <v>13.651834931299801</v>
      </c>
      <c r="L42">
        <v>2.8879422364462872E-5</v>
      </c>
      <c r="M42">
        <v>1.8061056499204015E-6</v>
      </c>
      <c r="N42" s="1">
        <v>-2.10576755427447E-7</v>
      </c>
      <c r="O42" s="1">
        <v>1.2973716793324699E-10</v>
      </c>
      <c r="P42" s="1">
        <v>8.8730529532183699E-10</v>
      </c>
      <c r="Q42">
        <v>66.195694480699103</v>
      </c>
      <c r="S42">
        <v>19.125108742392801</v>
      </c>
      <c r="AA42">
        <v>0.33255018396736302</v>
      </c>
      <c r="AB42">
        <v>5.3174377375442097</v>
      </c>
      <c r="AC42">
        <v>9.0292088553964103</v>
      </c>
      <c r="AJ42">
        <v>0.46473935963965202</v>
      </c>
      <c r="AK42">
        <v>1.6061090328072701E-2</v>
      </c>
      <c r="AL42">
        <v>0.51919955003227403</v>
      </c>
    </row>
    <row r="43" spans="1:38" x14ac:dyDescent="0.2">
      <c r="A43">
        <v>133</v>
      </c>
      <c r="B43">
        <v>759</v>
      </c>
      <c r="C43">
        <v>160</v>
      </c>
      <c r="D43">
        <v>0.42669234122947503</v>
      </c>
      <c r="E43">
        <v>38.859552793183902</v>
      </c>
      <c r="F43">
        <v>2.5218799046184102</v>
      </c>
      <c r="G43">
        <v>-617.17319074395812</v>
      </c>
      <c r="H43">
        <v>-533.63703867779941</v>
      </c>
      <c r="I43">
        <v>80.934120104789699</v>
      </c>
      <c r="J43">
        <v>46.351394049759001</v>
      </c>
      <c r="K43">
        <v>15.4089624656665</v>
      </c>
      <c r="L43">
        <v>2.8853579376501822E-5</v>
      </c>
      <c r="M43">
        <v>1.8055966401896776E-6</v>
      </c>
      <c r="N43" s="1">
        <v>-2.4258566274474799E-7</v>
      </c>
      <c r="O43" s="1">
        <v>1.4644931902122501E-10</v>
      </c>
      <c r="P43" s="1">
        <v>1.0154823731459601E-9</v>
      </c>
      <c r="Q43">
        <v>66.179909128724404</v>
      </c>
      <c r="S43">
        <v>19.116478169281599</v>
      </c>
      <c r="AA43">
        <v>0.32911316886438702</v>
      </c>
      <c r="AB43">
        <v>5.2596347575833002</v>
      </c>
      <c r="AC43">
        <v>9.1148647755461898</v>
      </c>
      <c r="AJ43">
        <v>0.45982193759935602</v>
      </c>
      <c r="AK43">
        <v>1.5899744698410701E-2</v>
      </c>
      <c r="AL43">
        <v>0.52427831770223199</v>
      </c>
    </row>
    <row r="44" spans="1:38" x14ac:dyDescent="0.2">
      <c r="A44">
        <v>134</v>
      </c>
      <c r="B44">
        <v>758</v>
      </c>
      <c r="C44">
        <v>160</v>
      </c>
      <c r="D44">
        <v>0.426068467245311</v>
      </c>
      <c r="E44">
        <v>40.609804229398399</v>
      </c>
      <c r="F44">
        <v>2.5218279513819799</v>
      </c>
      <c r="G44">
        <v>-644.79306814184622</v>
      </c>
      <c r="H44">
        <v>-557.64156461821528</v>
      </c>
      <c r="I44">
        <v>84.5187446284544</v>
      </c>
      <c r="J44">
        <v>48.4367977022304</v>
      </c>
      <c r="K44">
        <v>16.103320691303999</v>
      </c>
      <c r="L44">
        <v>2.8847692730310889E-5</v>
      </c>
      <c r="M44">
        <v>1.8054038164450266E-6</v>
      </c>
      <c r="N44" s="1">
        <v>-2.6058323976613502E-7</v>
      </c>
      <c r="O44" s="1">
        <v>1.5302578350368099E-10</v>
      </c>
      <c r="P44" s="1">
        <v>1.0815574465189001E-9</v>
      </c>
      <c r="Q44">
        <v>66.172912984185899</v>
      </c>
      <c r="S44">
        <v>19.110413083189801</v>
      </c>
      <c r="AA44">
        <v>0.32574186542172801</v>
      </c>
      <c r="AB44">
        <v>5.2281438128929301</v>
      </c>
      <c r="AC44">
        <v>9.1627882543095005</v>
      </c>
      <c r="AJ44">
        <v>0.45714174001214197</v>
      </c>
      <c r="AK44">
        <v>1.5739383633513401E-2</v>
      </c>
      <c r="AL44">
        <v>0.52711887635434396</v>
      </c>
    </row>
    <row r="45" spans="1:38" x14ac:dyDescent="0.2">
      <c r="A45">
        <v>149</v>
      </c>
      <c r="B45">
        <v>769</v>
      </c>
      <c r="C45">
        <v>140</v>
      </c>
      <c r="D45">
        <v>0.45397543539797802</v>
      </c>
      <c r="E45">
        <v>8.6342000634356495</v>
      </c>
      <c r="F45">
        <v>2.5226123673552898</v>
      </c>
      <c r="G45">
        <v>-137.74985410479619</v>
      </c>
      <c r="H45">
        <v>-118.8484527307257</v>
      </c>
      <c r="I45">
        <v>18.136929783688</v>
      </c>
      <c r="J45">
        <v>10.3204824859477</v>
      </c>
      <c r="K45">
        <v>3.4227216892969299</v>
      </c>
      <c r="L45">
        <v>2.9106740912689462E-5</v>
      </c>
      <c r="M45">
        <v>1.8120677148968338E-6</v>
      </c>
      <c r="N45" s="1">
        <v>-4.31097086867214E-8</v>
      </c>
      <c r="O45" s="1">
        <v>3.2480395540044097E-11</v>
      </c>
      <c r="P45" s="1">
        <v>1.94674274390474E-10</v>
      </c>
      <c r="Q45">
        <v>66.329884595984097</v>
      </c>
      <c r="S45">
        <v>19.217429026905801</v>
      </c>
      <c r="AA45">
        <v>0.37740393506938502</v>
      </c>
      <c r="AB45">
        <v>5.8585028427769599</v>
      </c>
      <c r="AC45">
        <v>8.2167795992635799</v>
      </c>
      <c r="AJ45">
        <v>0.51062965498007495</v>
      </c>
      <c r="AK45">
        <v>1.8177602508383999E-2</v>
      </c>
      <c r="AL45">
        <v>0.47119274251153898</v>
      </c>
    </row>
    <row r="46" spans="1:38" x14ac:dyDescent="0.2">
      <c r="A46">
        <v>150</v>
      </c>
      <c r="B46">
        <v>768</v>
      </c>
      <c r="C46">
        <v>140</v>
      </c>
      <c r="D46">
        <v>0.45338375834414102</v>
      </c>
      <c r="E46">
        <v>15.7782619443774</v>
      </c>
      <c r="F46">
        <v>2.5222121748431201</v>
      </c>
      <c r="G46">
        <v>-251.55713597308136</v>
      </c>
      <c r="H46">
        <v>-217.08806704965033</v>
      </c>
      <c r="I46">
        <v>33.106727103136897</v>
      </c>
      <c r="J46">
        <v>18.849200004632099</v>
      </c>
      <c r="K46">
        <v>6.2557234881949597</v>
      </c>
      <c r="L46">
        <v>2.9034388156196868E-5</v>
      </c>
      <c r="M46">
        <v>1.8108047344426187E-6</v>
      </c>
      <c r="N46" s="1">
        <v>-7.9122507017801203E-8</v>
      </c>
      <c r="O46" s="1">
        <v>5.9404802163614105E-11</v>
      </c>
      <c r="P46" s="1">
        <v>3.5660021704313799E-10</v>
      </c>
      <c r="Q46">
        <v>66.296128310662993</v>
      </c>
      <c r="S46">
        <v>19.199648616425499</v>
      </c>
      <c r="AA46">
        <v>0.37061148206799999</v>
      </c>
      <c r="AB46">
        <v>5.7366651131932702</v>
      </c>
      <c r="AC46">
        <v>8.3969464776501397</v>
      </c>
      <c r="AJ46">
        <v>0.50031786296890501</v>
      </c>
      <c r="AK46">
        <v>1.78614277608872E-2</v>
      </c>
      <c r="AL46">
        <v>0.48182070927020698</v>
      </c>
    </row>
    <row r="47" spans="1:38" x14ac:dyDescent="0.2">
      <c r="A47">
        <v>151</v>
      </c>
      <c r="B47">
        <v>767</v>
      </c>
      <c r="C47">
        <v>140</v>
      </c>
      <c r="D47">
        <v>0.45279094361390498</v>
      </c>
      <c r="E47">
        <v>27.515006013648101</v>
      </c>
      <c r="F47">
        <v>2.5216836446865298</v>
      </c>
      <c r="G47">
        <v>-438.28500960426612</v>
      </c>
      <c r="H47">
        <v>-378.31650633226587</v>
      </c>
      <c r="I47">
        <v>57.653706938422502</v>
      </c>
      <c r="J47">
        <v>32.8421865252757</v>
      </c>
      <c r="K47">
        <v>10.9113631567644</v>
      </c>
      <c r="L47">
        <v>2.8923489765013837E-5</v>
      </c>
      <c r="M47">
        <v>1.8089076684035907E-6</v>
      </c>
      <c r="N47" s="1">
        <v>-1.3652810661909901E-7</v>
      </c>
      <c r="O47" s="1">
        <v>1.03731036220575E-10</v>
      </c>
      <c r="P47" s="1">
        <v>6.1725329694763698E-10</v>
      </c>
      <c r="Q47">
        <v>66.244459173412196</v>
      </c>
      <c r="S47">
        <v>19.1768166663771</v>
      </c>
      <c r="AA47">
        <v>0.36383117631271</v>
      </c>
      <c r="AB47">
        <v>5.5616662858104897</v>
      </c>
      <c r="AC47">
        <v>8.6532266980874102</v>
      </c>
      <c r="AJ47">
        <v>0.48548450438055202</v>
      </c>
      <c r="AK47">
        <v>1.7550162704141802E-2</v>
      </c>
      <c r="AL47">
        <v>0.49696533291530498</v>
      </c>
    </row>
    <row r="48" spans="1:38" x14ac:dyDescent="0.2">
      <c r="A48">
        <v>152</v>
      </c>
      <c r="B48">
        <v>766</v>
      </c>
      <c r="C48">
        <v>140</v>
      </c>
      <c r="D48">
        <v>0.45219698792282498</v>
      </c>
      <c r="E48">
        <v>34.490321330347697</v>
      </c>
      <c r="F48">
        <v>2.5213933793309402</v>
      </c>
      <c r="G48">
        <v>-549.06127176551183</v>
      </c>
      <c r="H48">
        <v>-474.04297848235001</v>
      </c>
      <c r="I48">
        <v>72.191977369159204</v>
      </c>
      <c r="J48">
        <v>41.147740600557697</v>
      </c>
      <c r="K48">
        <v>13.679071902496901</v>
      </c>
      <c r="L48">
        <v>2.8860511287583687E-5</v>
      </c>
      <c r="M48">
        <v>1.8078111394338358E-6</v>
      </c>
      <c r="N48" s="1">
        <v>-1.7234497685632701E-7</v>
      </c>
      <c r="O48" s="1">
        <v>1.3011626053451299E-10</v>
      </c>
      <c r="P48" s="1">
        <v>7.7694402221821099E-10</v>
      </c>
      <c r="Q48">
        <v>66.2135414231536</v>
      </c>
      <c r="S48">
        <v>19.162024631041401</v>
      </c>
      <c r="AA48">
        <v>0.35884183005254799</v>
      </c>
      <c r="AB48">
        <v>5.4539884933745801</v>
      </c>
      <c r="AC48">
        <v>8.8116036223777101</v>
      </c>
      <c r="AJ48">
        <v>0.47634441509971098</v>
      </c>
      <c r="AK48">
        <v>1.73189163081259E-2</v>
      </c>
      <c r="AL48">
        <v>0.50633666859216198</v>
      </c>
    </row>
    <row r="49" spans="1:38" x14ac:dyDescent="0.2">
      <c r="A49">
        <v>153</v>
      </c>
      <c r="B49">
        <v>765</v>
      </c>
      <c r="C49">
        <v>140</v>
      </c>
      <c r="D49">
        <v>0.45160188797380102</v>
      </c>
      <c r="E49">
        <v>38.935054914134298</v>
      </c>
      <c r="F49">
        <v>2.5212144655786699</v>
      </c>
      <c r="G49">
        <v>-619.53504203027171</v>
      </c>
      <c r="H49">
        <v>-535.00780227793189</v>
      </c>
      <c r="I49">
        <v>81.421027551259101</v>
      </c>
      <c r="J49">
        <v>46.4363034501323</v>
      </c>
      <c r="K49">
        <v>15.442976171088199</v>
      </c>
      <c r="L49">
        <v>2.8822259661666879E-5</v>
      </c>
      <c r="M49">
        <v>1.8071236458966317E-6</v>
      </c>
      <c r="N49" s="1">
        <v>-1.97765795023532E-7</v>
      </c>
      <c r="O49" s="1">
        <v>1.4693519776104401E-10</v>
      </c>
      <c r="P49" s="1">
        <v>8.8617609519219905E-10</v>
      </c>
      <c r="Q49">
        <v>66.1934717103412</v>
      </c>
      <c r="S49">
        <v>19.151170173657899</v>
      </c>
      <c r="AA49">
        <v>0.35456978468464001</v>
      </c>
      <c r="AB49">
        <v>5.3808078432605102</v>
      </c>
      <c r="AC49">
        <v>8.9199804880556197</v>
      </c>
      <c r="AJ49">
        <v>0.47012689659229101</v>
      </c>
      <c r="AK49">
        <v>1.7119068488553098E-2</v>
      </c>
      <c r="AL49">
        <v>0.51275403491915506</v>
      </c>
    </row>
    <row r="50" spans="1:38" x14ac:dyDescent="0.2">
      <c r="A50">
        <v>154</v>
      </c>
      <c r="B50">
        <v>764</v>
      </c>
      <c r="C50">
        <v>140</v>
      </c>
      <c r="D50">
        <v>0.45100564045702202</v>
      </c>
      <c r="E50">
        <v>40.850880291377003</v>
      </c>
      <c r="F50">
        <v>2.5211313846670098</v>
      </c>
      <c r="G50">
        <v>-649.81790765101732</v>
      </c>
      <c r="H50">
        <v>-561.28312622816225</v>
      </c>
      <c r="I50">
        <v>85.363526416482699</v>
      </c>
      <c r="J50">
        <v>48.715632179397403</v>
      </c>
      <c r="K50">
        <v>16.2033920722352</v>
      </c>
      <c r="L50">
        <v>2.8808658261364788E-5</v>
      </c>
      <c r="M50">
        <v>1.8068380884700354E-6</v>
      </c>
      <c r="N50" s="1">
        <v>-2.1291862831342099E-7</v>
      </c>
      <c r="O50" s="1">
        <v>1.5416805358067999E-10</v>
      </c>
      <c r="P50" s="1">
        <v>9.4540986546867605E-10</v>
      </c>
      <c r="Q50">
        <v>66.1843728072391</v>
      </c>
      <c r="S50">
        <v>19.1439367050864</v>
      </c>
      <c r="AA50">
        <v>0.35072520369724802</v>
      </c>
      <c r="AB50">
        <v>5.3415679472859896</v>
      </c>
      <c r="AC50">
        <v>8.9793973366911093</v>
      </c>
      <c r="AJ50">
        <v>0.46679114590279502</v>
      </c>
      <c r="AK50">
        <v>1.6936810134298898E-2</v>
      </c>
      <c r="AL50">
        <v>0.51627204396290505</v>
      </c>
    </row>
    <row r="51" spans="1:38" x14ac:dyDescent="0.2">
      <c r="A51">
        <v>172</v>
      </c>
      <c r="B51">
        <v>777</v>
      </c>
      <c r="C51">
        <v>120</v>
      </c>
      <c r="D51">
        <v>0.47961767366567098</v>
      </c>
      <c r="E51">
        <v>4.8223053300276897</v>
      </c>
      <c r="F51">
        <v>2.52313860472661</v>
      </c>
      <c r="G51">
        <v>-77.184765177093624</v>
      </c>
      <c r="H51">
        <v>-66.48189371072236</v>
      </c>
      <c r="I51">
        <v>10.191754955359899</v>
      </c>
      <c r="J51">
        <v>5.7708804412822303</v>
      </c>
      <c r="K51">
        <v>1.9112328276354</v>
      </c>
      <c r="L51">
        <v>2.9227940349081676E-5</v>
      </c>
      <c r="M51">
        <v>1.8159216268131859E-6</v>
      </c>
      <c r="N51" s="1">
        <v>-1.9321210227035401E-8</v>
      </c>
      <c r="O51" s="1">
        <v>1.8121415193151801E-11</v>
      </c>
      <c r="P51" s="1">
        <v>9.4915858868709196E-11</v>
      </c>
      <c r="Q51">
        <v>66.393251798467404</v>
      </c>
      <c r="S51">
        <v>19.301066412080498</v>
      </c>
      <c r="AA51">
        <v>0.43161976380251199</v>
      </c>
      <c r="AB51">
        <v>6.21897953473451</v>
      </c>
      <c r="AC51">
        <v>7.6550824909149604</v>
      </c>
      <c r="AJ51">
        <v>0.54106423522108105</v>
      </c>
      <c r="AK51">
        <v>2.07511329600867E-2</v>
      </c>
      <c r="AL51">
        <v>0.43818463181883099</v>
      </c>
    </row>
    <row r="52" spans="1:38" x14ac:dyDescent="0.2">
      <c r="A52">
        <v>173</v>
      </c>
      <c r="B52">
        <v>776</v>
      </c>
      <c r="C52">
        <v>120</v>
      </c>
      <c r="D52">
        <v>0.47905494924462999</v>
      </c>
      <c r="E52">
        <v>13.1193767915597</v>
      </c>
      <c r="F52">
        <v>2.5224096178621398</v>
      </c>
      <c r="G52">
        <v>-209.79386301117165</v>
      </c>
      <c r="H52">
        <v>-180.74206616727304</v>
      </c>
      <c r="I52">
        <v>27.690794303863701</v>
      </c>
      <c r="J52">
        <v>15.686890149685899</v>
      </c>
      <c r="K52">
        <v>5.2011285949182904</v>
      </c>
      <c r="L52">
        <v>2.9120265065325624E-5</v>
      </c>
      <c r="M52">
        <v>1.8140838386145109E-6</v>
      </c>
      <c r="N52" s="1">
        <v>-5.2061256460545698E-8</v>
      </c>
      <c r="O52" s="1">
        <v>4.9371218279270701E-11</v>
      </c>
      <c r="P52" s="1">
        <v>2.5660115641748699E-10</v>
      </c>
      <c r="Q52">
        <v>66.348460253357104</v>
      </c>
      <c r="S52">
        <v>19.2723898286694</v>
      </c>
      <c r="AA52">
        <v>0.418412783575485</v>
      </c>
      <c r="AB52">
        <v>6.0439845864605397</v>
      </c>
      <c r="AC52">
        <v>7.9167525479373602</v>
      </c>
      <c r="AJ52">
        <v>0.52630331099900896</v>
      </c>
      <c r="AK52">
        <v>2.0133926982351901E-2</v>
      </c>
      <c r="AL52">
        <v>0.45356276201863799</v>
      </c>
    </row>
    <row r="53" spans="1:38" x14ac:dyDescent="0.2">
      <c r="A53">
        <v>174</v>
      </c>
      <c r="B53">
        <v>775</v>
      </c>
      <c r="C53">
        <v>120</v>
      </c>
      <c r="D53">
        <v>0.478491151075708</v>
      </c>
      <c r="E53">
        <v>18.8569630719293</v>
      </c>
      <c r="F53">
        <v>2.5219331700314198</v>
      </c>
      <c r="G53">
        <v>-301.33586663985085</v>
      </c>
      <c r="H53">
        <v>-259.6647374833118</v>
      </c>
      <c r="I53">
        <v>39.7568374340877</v>
      </c>
      <c r="J53">
        <v>22.534219133856901</v>
      </c>
      <c r="K53">
        <v>7.4771858731269996</v>
      </c>
      <c r="L53">
        <v>2.9046295267149505E-5</v>
      </c>
      <c r="M53">
        <v>1.8128132935330659E-6</v>
      </c>
      <c r="N53" s="1">
        <v>-7.5064862592820499E-8</v>
      </c>
      <c r="O53" s="1">
        <v>7.1029089625536103E-11</v>
      </c>
      <c r="P53" s="1">
        <v>3.69357948215198E-10</v>
      </c>
      <c r="Q53">
        <v>66.316358416111598</v>
      </c>
      <c r="S53">
        <v>19.251957376566899</v>
      </c>
      <c r="AA53">
        <v>0.409046326240317</v>
      </c>
      <c r="AB53">
        <v>5.9188810338039399</v>
      </c>
      <c r="AC53">
        <v>8.1037568472771699</v>
      </c>
      <c r="AJ53">
        <v>0.515734775208885</v>
      </c>
      <c r="AK53">
        <v>1.9695639750146099E-2</v>
      </c>
      <c r="AL53">
        <v>0.46456958504096801</v>
      </c>
    </row>
    <row r="54" spans="1:38" x14ac:dyDescent="0.2">
      <c r="A54">
        <v>175</v>
      </c>
      <c r="B54">
        <v>774</v>
      </c>
      <c r="C54">
        <v>120</v>
      </c>
      <c r="D54">
        <v>0.47792627608270499</v>
      </c>
      <c r="E54">
        <v>31.372988639147401</v>
      </c>
      <c r="F54">
        <v>2.5211234026624698</v>
      </c>
      <c r="G54">
        <v>-500.75989993348782</v>
      </c>
      <c r="H54">
        <v>-431.60924089085216</v>
      </c>
      <c r="I54">
        <v>66.037013840076</v>
      </c>
      <c r="J54">
        <v>37.447673998966202</v>
      </c>
      <c r="K54">
        <v>12.444051174177099</v>
      </c>
      <c r="L54">
        <v>2.8896448157357313E-5</v>
      </c>
      <c r="M54">
        <v>1.810264476266511E-6</v>
      </c>
      <c r="N54" s="1">
        <v>-1.2133626675068399E-7</v>
      </c>
      <c r="O54" s="1">
        <v>1.1840080521552901E-10</v>
      </c>
      <c r="P54" s="1">
        <v>6.0363592893887096E-10</v>
      </c>
      <c r="Q54">
        <v>66.249731103388299</v>
      </c>
      <c r="S54">
        <v>19.219285056412499</v>
      </c>
      <c r="AA54">
        <v>0.39763790014544598</v>
      </c>
      <c r="AB54">
        <v>5.6847509048379097</v>
      </c>
      <c r="AC54">
        <v>8.4485950352156909</v>
      </c>
      <c r="AJ54">
        <v>0.49591990026121002</v>
      </c>
      <c r="AK54">
        <v>1.9168964741288701E-2</v>
      </c>
      <c r="AL54">
        <v>0.48491113499749999</v>
      </c>
    </row>
    <row r="55" spans="1:38" x14ac:dyDescent="0.2">
      <c r="A55">
        <v>176</v>
      </c>
      <c r="B55">
        <v>773</v>
      </c>
      <c r="C55">
        <v>120</v>
      </c>
      <c r="D55">
        <v>0.47736032117765198</v>
      </c>
      <c r="E55">
        <v>36.444764513225103</v>
      </c>
      <c r="F55">
        <v>2.52080827154639</v>
      </c>
      <c r="G55">
        <v>-581.36932586297928</v>
      </c>
      <c r="H55">
        <v>-501.19961377790679</v>
      </c>
      <c r="I55">
        <v>76.633094761814704</v>
      </c>
      <c r="J55">
        <v>43.480838260715103</v>
      </c>
      <c r="K55">
        <v>14.4575709801475</v>
      </c>
      <c r="L55">
        <v>2.8836685256191986E-5</v>
      </c>
      <c r="M55">
        <v>1.8092386953622521E-6</v>
      </c>
      <c r="N55" s="1">
        <v>-1.4207225784161499E-7</v>
      </c>
      <c r="O55" s="1">
        <v>1.37636247268847E-10</v>
      </c>
      <c r="P55" s="1">
        <v>7.0425197581049104E-10</v>
      </c>
      <c r="Q55">
        <v>66.221816192941006</v>
      </c>
      <c r="S55">
        <v>19.203649972697001</v>
      </c>
      <c r="AA55">
        <v>0.39125235872132003</v>
      </c>
      <c r="AB55">
        <v>5.5815546189839997</v>
      </c>
      <c r="AC55">
        <v>8.6017268566565708</v>
      </c>
      <c r="AJ55">
        <v>0.48717132954429998</v>
      </c>
      <c r="AK55">
        <v>1.8870973376793401E-2</v>
      </c>
      <c r="AL55">
        <v>0.49395769707890502</v>
      </c>
    </row>
    <row r="56" spans="1:38" x14ac:dyDescent="0.2">
      <c r="A56">
        <v>177</v>
      </c>
      <c r="B56">
        <v>772</v>
      </c>
      <c r="C56">
        <v>120</v>
      </c>
      <c r="D56">
        <v>0.47679328326077502</v>
      </c>
      <c r="E56">
        <v>40.201233638052202</v>
      </c>
      <c r="F56">
        <v>2.5205840254057201</v>
      </c>
      <c r="G56">
        <v>-640.98062683428566</v>
      </c>
      <c r="H56">
        <v>-552.71421995695925</v>
      </c>
      <c r="I56">
        <v>84.453338637828395</v>
      </c>
      <c r="J56">
        <v>47.945726586105998</v>
      </c>
      <c r="K56">
        <v>15.949174172672601</v>
      </c>
      <c r="L56">
        <v>2.8793274221362764E-5</v>
      </c>
      <c r="M56">
        <v>1.8084882960434685E-6</v>
      </c>
      <c r="N56" s="1">
        <v>-1.5903985295339601E-7</v>
      </c>
      <c r="O56" s="1">
        <v>1.5189292311970799E-10</v>
      </c>
      <c r="P56" s="1">
        <v>7.83423502255144E-10</v>
      </c>
      <c r="Q56">
        <v>66.200862168260997</v>
      </c>
      <c r="S56">
        <v>19.1911634987597</v>
      </c>
      <c r="AA56">
        <v>0.385840225070958</v>
      </c>
      <c r="AB56">
        <v>5.5021247837157397</v>
      </c>
      <c r="AC56">
        <v>8.7200093241924108</v>
      </c>
      <c r="AJ56">
        <v>0.480431371589921</v>
      </c>
      <c r="AK56">
        <v>1.8617407962469801E-2</v>
      </c>
      <c r="AL56">
        <v>0.50095122044760798</v>
      </c>
    </row>
    <row r="57" spans="1:38" x14ac:dyDescent="0.2">
      <c r="A57">
        <v>178</v>
      </c>
      <c r="B57">
        <v>771</v>
      </c>
      <c r="C57">
        <v>120</v>
      </c>
      <c r="D57">
        <v>0.47622515922041903</v>
      </c>
      <c r="E57">
        <v>41.882441516021203</v>
      </c>
      <c r="F57">
        <v>2.5204747630342998</v>
      </c>
      <c r="G57">
        <v>-667.56649844063656</v>
      </c>
      <c r="H57">
        <v>-575.76639160365517</v>
      </c>
      <c r="I57">
        <v>87.918504847944604</v>
      </c>
      <c r="J57">
        <v>49.942920530239597</v>
      </c>
      <c r="K57">
        <v>16.616885886054401</v>
      </c>
      <c r="L57">
        <v>2.8775160397235714E-5</v>
      </c>
      <c r="M57">
        <v>1.8081594026730141E-6</v>
      </c>
      <c r="N57" s="1">
        <v>-1.6996238886852199E-7</v>
      </c>
      <c r="O57" s="1">
        <v>1.5826441677270999E-10</v>
      </c>
      <c r="P57" s="1">
        <v>8.2854661267662597E-10</v>
      </c>
      <c r="Q57">
        <v>66.191146125271601</v>
      </c>
      <c r="S57">
        <v>19.182955077295301</v>
      </c>
      <c r="AA57">
        <v>0.38133529912001801</v>
      </c>
      <c r="AB57">
        <v>5.4589536588303798</v>
      </c>
      <c r="AC57">
        <v>8.7856098394826603</v>
      </c>
      <c r="AJ57">
        <v>0.47676586378200397</v>
      </c>
      <c r="AK57">
        <v>1.8404055905340399E-2</v>
      </c>
      <c r="AL57">
        <v>0.50483008031265397</v>
      </c>
    </row>
    <row r="58" spans="1:38" x14ac:dyDescent="0.2">
      <c r="A58">
        <v>199</v>
      </c>
      <c r="B58">
        <v>787</v>
      </c>
      <c r="C58">
        <v>100</v>
      </c>
      <c r="D58">
        <v>0.50593831061642502</v>
      </c>
      <c r="E58">
        <v>1.7285026098604801</v>
      </c>
      <c r="F58">
        <v>2.5247242670706802</v>
      </c>
      <c r="G58">
        <v>-27.779133001910566</v>
      </c>
      <c r="H58">
        <v>-23.877186115517613</v>
      </c>
      <c r="I58">
        <v>3.68056113417247</v>
      </c>
      <c r="J58">
        <v>2.0722009790288101</v>
      </c>
      <c r="K58">
        <v>0.68463025147137102</v>
      </c>
      <c r="L58">
        <v>2.9406678306419401E-5</v>
      </c>
      <c r="M58">
        <v>1.8203152071819124E-6</v>
      </c>
      <c r="N58" s="1">
        <v>-5.2462008290272804E-9</v>
      </c>
      <c r="O58" s="1">
        <v>6.4784261420315503E-12</v>
      </c>
      <c r="P58" s="1">
        <v>2.9120911738469299E-11</v>
      </c>
      <c r="Q58">
        <v>66.449341059471394</v>
      </c>
      <c r="S58">
        <v>19.432323220400001</v>
      </c>
      <c r="AA58">
        <v>0.52682031236235305</v>
      </c>
      <c r="AB58">
        <v>6.6880782330548101</v>
      </c>
      <c r="AC58">
        <v>6.9034371747112502</v>
      </c>
      <c r="AJ58">
        <v>0.58050413012831803</v>
      </c>
      <c r="AK58">
        <v>2.5268372540669E-2</v>
      </c>
      <c r="AL58">
        <v>0.39422749733101198</v>
      </c>
    </row>
    <row r="59" spans="1:38" x14ac:dyDescent="0.2">
      <c r="A59">
        <v>200</v>
      </c>
      <c r="B59">
        <v>786</v>
      </c>
      <c r="C59">
        <v>100</v>
      </c>
      <c r="D59">
        <v>0.50540574989378495</v>
      </c>
      <c r="E59">
        <v>11.568041342156899</v>
      </c>
      <c r="F59">
        <v>2.5233386056071501</v>
      </c>
      <c r="G59">
        <v>-185.67268827254622</v>
      </c>
      <c r="H59">
        <v>-159.62460188214342</v>
      </c>
      <c r="I59">
        <v>24.5933875186733</v>
      </c>
      <c r="J59">
        <v>13.851448088630001</v>
      </c>
      <c r="K59">
        <v>4.5844189584589801</v>
      </c>
      <c r="L59">
        <v>2.9252506977958665E-5</v>
      </c>
      <c r="M59">
        <v>1.8177743115678931E-6</v>
      </c>
      <c r="N59" s="1">
        <v>-3.4018015661065602E-8</v>
      </c>
      <c r="O59" s="1">
        <v>4.3462227538137499E-11</v>
      </c>
      <c r="P59" s="1">
        <v>1.9151371172678699E-10</v>
      </c>
      <c r="Q59">
        <v>66.397391793526793</v>
      </c>
      <c r="S59">
        <v>19.3802606678315</v>
      </c>
      <c r="AA59">
        <v>0.49598982443163903</v>
      </c>
      <c r="AB59">
        <v>6.4358233291537301</v>
      </c>
      <c r="AC59">
        <v>7.2905343850561497</v>
      </c>
      <c r="AJ59">
        <v>0.55931848165954601</v>
      </c>
      <c r="AK59">
        <v>2.3819827573582E-2</v>
      </c>
      <c r="AL59">
        <v>0.41686169076687102</v>
      </c>
    </row>
    <row r="60" spans="1:38" x14ac:dyDescent="0.2">
      <c r="A60">
        <v>201</v>
      </c>
      <c r="B60">
        <v>785</v>
      </c>
      <c r="C60">
        <v>100</v>
      </c>
      <c r="D60">
        <v>0.50487218258281097</v>
      </c>
      <c r="E60">
        <v>17.907530323473399</v>
      </c>
      <c r="F60">
        <v>2.5224846668283099</v>
      </c>
      <c r="G60">
        <v>-287.15846232550308</v>
      </c>
      <c r="H60">
        <v>-246.92523870923003</v>
      </c>
      <c r="I60">
        <v>38.022230890018399</v>
      </c>
      <c r="J60">
        <v>21.4245180769508</v>
      </c>
      <c r="K60">
        <v>7.0991632016497999</v>
      </c>
      <c r="L60">
        <v>2.9147919624795572E-5</v>
      </c>
      <c r="M60">
        <v>1.8160306450055207E-6</v>
      </c>
      <c r="N60" s="1">
        <v>-5.2077602477094501E-8</v>
      </c>
      <c r="O60" s="1">
        <v>6.7383812858387598E-11</v>
      </c>
      <c r="P60" s="1">
        <v>2.9458352303979801E-10</v>
      </c>
      <c r="Q60">
        <v>66.358855274981494</v>
      </c>
      <c r="S60">
        <v>19.3465592154168</v>
      </c>
      <c r="AA60">
        <v>0.477177750888858</v>
      </c>
      <c r="AB60">
        <v>6.26159402482822</v>
      </c>
      <c r="AC60">
        <v>7.5558137338844702</v>
      </c>
      <c r="AJ60">
        <v>0.54465435031151799</v>
      </c>
      <c r="AK60">
        <v>2.2936494679251899E-2</v>
      </c>
      <c r="AL60">
        <v>0.432409155009229</v>
      </c>
    </row>
    <row r="61" spans="1:38" x14ac:dyDescent="0.2">
      <c r="A61">
        <v>202</v>
      </c>
      <c r="B61">
        <v>784</v>
      </c>
      <c r="C61">
        <v>100</v>
      </c>
      <c r="D61">
        <v>0.50433760582698905</v>
      </c>
      <c r="E61">
        <v>27.914281071440499</v>
      </c>
      <c r="F61">
        <v>2.5213859743327101</v>
      </c>
      <c r="G61">
        <v>-447.05884904125293</v>
      </c>
      <c r="H61">
        <v>-384.50576116145038</v>
      </c>
      <c r="I61">
        <v>59.171440079272102</v>
      </c>
      <c r="J61">
        <v>33.3558838105752</v>
      </c>
      <c r="K61">
        <v>11.071006722335699</v>
      </c>
      <c r="L61">
        <v>2.8991330086748287E-5</v>
      </c>
      <c r="M61">
        <v>1.8133843383416848E-6</v>
      </c>
      <c r="N61" s="1">
        <v>-7.8244745888671299E-8</v>
      </c>
      <c r="O61" s="1">
        <v>1.05269654947583E-10</v>
      </c>
      <c r="P61" s="1">
        <v>4.5018508065737902E-10</v>
      </c>
      <c r="Q61">
        <v>66.295950415338694</v>
      </c>
      <c r="S61">
        <v>19.3040620407135</v>
      </c>
      <c r="AA61">
        <v>0.45679513565545399</v>
      </c>
      <c r="AB61">
        <v>6.0100020494436004</v>
      </c>
      <c r="AC61">
        <v>7.9331903588486599</v>
      </c>
      <c r="AJ61">
        <v>0.52343337663942202</v>
      </c>
      <c r="AK61">
        <v>2.1984624522038702E-2</v>
      </c>
      <c r="AL61">
        <v>0.454581998838538</v>
      </c>
    </row>
    <row r="62" spans="1:38" x14ac:dyDescent="0.2">
      <c r="A62">
        <v>203</v>
      </c>
      <c r="B62">
        <v>783</v>
      </c>
      <c r="C62">
        <v>100</v>
      </c>
      <c r="D62">
        <v>0.50380201675898495</v>
      </c>
      <c r="E62">
        <v>34.919664799034699</v>
      </c>
      <c r="F62">
        <v>2.5207010258975302</v>
      </c>
      <c r="G62">
        <v>-558.73644445837681</v>
      </c>
      <c r="H62">
        <v>-480.66418464675843</v>
      </c>
      <c r="I62">
        <v>73.921563993389498</v>
      </c>
      <c r="J62">
        <v>41.6913845043983</v>
      </c>
      <c r="K62">
        <v>13.8531561023192</v>
      </c>
      <c r="L62">
        <v>2.8883093415160686E-5</v>
      </c>
      <c r="M62">
        <v>1.8115550651809873E-6</v>
      </c>
      <c r="N62" s="1">
        <v>-9.6351675621612294E-8</v>
      </c>
      <c r="O62" s="1">
        <v>1.3187876924584399E-10</v>
      </c>
      <c r="P62" s="1">
        <v>5.58339721083331E-10</v>
      </c>
      <c r="Q62">
        <v>66.250209894443501</v>
      </c>
      <c r="S62">
        <v>19.275392334866201</v>
      </c>
      <c r="AA62">
        <v>0.44381526001504001</v>
      </c>
      <c r="AB62">
        <v>5.8329103899427599</v>
      </c>
      <c r="AC62">
        <v>8.1976721207323795</v>
      </c>
      <c r="AJ62">
        <v>0.50846392630908899</v>
      </c>
      <c r="AK62">
        <v>2.1379023436437598E-2</v>
      </c>
      <c r="AL62">
        <v>0.47015705025447202</v>
      </c>
    </row>
    <row r="63" spans="1:38" x14ac:dyDescent="0.2">
      <c r="A63">
        <v>204</v>
      </c>
      <c r="B63">
        <v>782</v>
      </c>
      <c r="C63">
        <v>100</v>
      </c>
      <c r="D63">
        <v>0.50326541250059598</v>
      </c>
      <c r="E63">
        <v>38.643767275670001</v>
      </c>
      <c r="F63">
        <v>2.5203474470923801</v>
      </c>
      <c r="G63">
        <v>-617.96348753311042</v>
      </c>
      <c r="H63">
        <v>-531.73360196783335</v>
      </c>
      <c r="I63">
        <v>81.722869322159994</v>
      </c>
      <c r="J63">
        <v>46.116074299718903</v>
      </c>
      <c r="K63">
        <v>15.3327142732846</v>
      </c>
      <c r="L63">
        <v>2.8825407569414073E-5</v>
      </c>
      <c r="M63">
        <v>1.8105884865215826E-6</v>
      </c>
      <c r="N63" s="1">
        <v>-1.07551736266548E-7</v>
      </c>
      <c r="O63" s="1">
        <v>1.4604904036536099E-10</v>
      </c>
      <c r="P63" s="1">
        <v>6.2040746904514999E-10</v>
      </c>
      <c r="Q63">
        <v>66.225281828935096</v>
      </c>
      <c r="S63">
        <v>19.258309146525701</v>
      </c>
      <c r="AA63">
        <v>0.43553807801419497</v>
      </c>
      <c r="AB63">
        <v>5.7325737333462099</v>
      </c>
      <c r="AC63">
        <v>8.3482972131786699</v>
      </c>
      <c r="AJ63">
        <v>0.499970656458611</v>
      </c>
      <c r="AK63">
        <v>2.0990935170000901E-2</v>
      </c>
      <c r="AL63">
        <v>0.479038408371387</v>
      </c>
    </row>
    <row r="64" spans="1:38" x14ac:dyDescent="0.2">
      <c r="A64">
        <v>205</v>
      </c>
      <c r="B64">
        <v>781</v>
      </c>
      <c r="C64">
        <v>100</v>
      </c>
      <c r="D64">
        <v>0.50272779016268998</v>
      </c>
      <c r="E64">
        <v>41.776676903754598</v>
      </c>
      <c r="F64">
        <v>2.5200649927165499</v>
      </c>
      <c r="G64">
        <v>-667.71660200990277</v>
      </c>
      <c r="H64">
        <v>-574.67214746124546</v>
      </c>
      <c r="I64">
        <v>88.264909688998202</v>
      </c>
      <c r="J64">
        <v>49.835087525152097</v>
      </c>
      <c r="K64">
        <v>16.577618840981</v>
      </c>
      <c r="L64">
        <v>2.877731634841257E-5</v>
      </c>
      <c r="M64">
        <v>1.8097849000487888E-6</v>
      </c>
      <c r="N64" s="1">
        <v>-1.17817953044521E-7</v>
      </c>
      <c r="O64" s="1">
        <v>1.57981137879128E-10</v>
      </c>
      <c r="P64" s="1">
        <v>6.7507068447393296E-10</v>
      </c>
      <c r="Q64">
        <v>66.204070764825602</v>
      </c>
      <c r="S64">
        <v>19.243660813350399</v>
      </c>
      <c r="AA64">
        <v>0.42840236499378898</v>
      </c>
      <c r="AB64">
        <v>5.6469035044378098</v>
      </c>
      <c r="AC64">
        <v>8.4769625523922407</v>
      </c>
      <c r="AJ64">
        <v>0.49271205157702502</v>
      </c>
      <c r="AK64">
        <v>2.0655964029829599E-2</v>
      </c>
      <c r="AL64">
        <v>0.48663198439314398</v>
      </c>
    </row>
    <row r="65" spans="1:38" x14ac:dyDescent="0.2">
      <c r="A65">
        <v>206</v>
      </c>
      <c r="B65">
        <v>780</v>
      </c>
      <c r="C65">
        <v>100</v>
      </c>
      <c r="D65">
        <v>0.50218914684517901</v>
      </c>
      <c r="E65">
        <v>43.232333850274699</v>
      </c>
      <c r="F65">
        <v>2.5199209684407302</v>
      </c>
      <c r="G65">
        <v>-690.74025817003701</v>
      </c>
      <c r="H65">
        <v>-594.61883389215393</v>
      </c>
      <c r="I65">
        <v>91.270402390811199</v>
      </c>
      <c r="J65">
        <v>51.561164428898003</v>
      </c>
      <c r="K65">
        <v>17.1562260847513</v>
      </c>
      <c r="L65">
        <v>2.8754748266505353E-5</v>
      </c>
      <c r="M65">
        <v>1.8094144115384081E-6</v>
      </c>
      <c r="N65" s="1">
        <v>-1.2512324726285899E-7</v>
      </c>
      <c r="O65" s="1">
        <v>1.6352345962750201E-10</v>
      </c>
      <c r="P65" s="1">
        <v>7.0789688312206104E-10</v>
      </c>
      <c r="Q65">
        <v>66.193997066765604</v>
      </c>
      <c r="S65">
        <v>19.234127128882299</v>
      </c>
      <c r="AA65">
        <v>0.422887537416479</v>
      </c>
      <c r="AB65">
        <v>5.5994610151444304</v>
      </c>
      <c r="AC65">
        <v>8.5495272517910799</v>
      </c>
      <c r="AJ65">
        <v>0.48868969128995599</v>
      </c>
      <c r="AK65">
        <v>2.0394949272405399E-2</v>
      </c>
      <c r="AL65">
        <v>0.49091535943763798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4669E-81E3-4B73-BBB1-B5DA1CC0A084}">
  <sheetPr codeName="Sheet12"/>
  <dimension ref="A1:AL19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22</v>
      </c>
      <c r="B5">
        <v>736</v>
      </c>
      <c r="C5">
        <v>300</v>
      </c>
      <c r="D5">
        <v>0.25942674528068399</v>
      </c>
      <c r="E5">
        <v>4.6874777692984599</v>
      </c>
      <c r="F5">
        <v>2.5755844318564201</v>
      </c>
      <c r="G5">
        <v>-75.59332796727422</v>
      </c>
      <c r="H5">
        <v>-65.755328923650623</v>
      </c>
      <c r="I5">
        <v>9.7487975460770002</v>
      </c>
      <c r="J5">
        <v>5.7899738106504302</v>
      </c>
      <c r="K5">
        <v>1.81996664963525</v>
      </c>
      <c r="L5">
        <v>3.2711901512915208E-5</v>
      </c>
      <c r="M5">
        <v>1.8145129924232508E-6</v>
      </c>
      <c r="N5" s="1">
        <v>-1.3789079150225E-7</v>
      </c>
      <c r="O5" s="1">
        <v>1.5564974457628101E-11</v>
      </c>
      <c r="P5" s="1">
        <v>4.3693478582725798E-10</v>
      </c>
      <c r="Q5">
        <v>65.342490821655403</v>
      </c>
      <c r="S5">
        <v>21.271860264354999</v>
      </c>
      <c r="AA5">
        <v>2.30272558036024</v>
      </c>
      <c r="AB5">
        <v>9.0441073418794709</v>
      </c>
      <c r="AC5">
        <v>2.0388159917497499</v>
      </c>
      <c r="AJ5">
        <v>0.77578650458611598</v>
      </c>
      <c r="AK5">
        <v>0.109151444626401</v>
      </c>
      <c r="AL5">
        <v>0.115062050787481</v>
      </c>
    </row>
    <row r="6" spans="1:38" x14ac:dyDescent="0.2">
      <c r="A6">
        <v>23</v>
      </c>
      <c r="B6">
        <v>735</v>
      </c>
      <c r="C6">
        <v>300</v>
      </c>
      <c r="D6">
        <v>0.25862272479293502</v>
      </c>
      <c r="E6">
        <v>19.7362748635983</v>
      </c>
      <c r="F6">
        <v>2.5272419128810699</v>
      </c>
      <c r="G6">
        <v>-310.24786829599503</v>
      </c>
      <c r="H6">
        <v>-269.57399303255818</v>
      </c>
      <c r="I6">
        <v>40.345062999986901</v>
      </c>
      <c r="J6">
        <v>23.573451412459299</v>
      </c>
      <c r="K6">
        <v>7.8094126102470502</v>
      </c>
      <c r="L6">
        <v>2.9026293110357095E-5</v>
      </c>
      <c r="M6">
        <v>1.7925769290573486E-6</v>
      </c>
      <c r="N6" s="1">
        <v>-2.7056960370420901E-7</v>
      </c>
      <c r="O6" s="1">
        <v>7.3645715651010995E-11</v>
      </c>
      <c r="P6" s="1">
        <v>9.3632357962686808E-10</v>
      </c>
      <c r="Q6">
        <v>66.006926484517294</v>
      </c>
      <c r="S6">
        <v>18.963411836458299</v>
      </c>
      <c r="AA6">
        <v>0.243195012212787</v>
      </c>
      <c r="AB6">
        <v>4.47286891844956</v>
      </c>
      <c r="AC6">
        <v>10.3135977483619</v>
      </c>
      <c r="AJ6">
        <v>0.39260313815356601</v>
      </c>
      <c r="AK6">
        <v>1.17959534384472E-2</v>
      </c>
      <c r="AL6">
        <v>0.59560090840798596</v>
      </c>
    </row>
    <row r="7" spans="1:38" x14ac:dyDescent="0.2">
      <c r="A7">
        <v>23</v>
      </c>
      <c r="B7">
        <v>735</v>
      </c>
      <c r="C7">
        <v>300</v>
      </c>
      <c r="D7">
        <v>0.25862272479293502</v>
      </c>
      <c r="E7">
        <v>7.4497572947078998</v>
      </c>
      <c r="F7">
        <v>2.5761518460032899</v>
      </c>
      <c r="G7">
        <v>-120.13593190095402</v>
      </c>
      <c r="H7">
        <v>-104.52599812619414</v>
      </c>
      <c r="I7">
        <v>15.483741283300899</v>
      </c>
      <c r="J7">
        <v>9.2086331654603093</v>
      </c>
      <c r="K7">
        <v>2.89181606521589</v>
      </c>
      <c r="L7">
        <v>3.2776300088838557E-5</v>
      </c>
      <c r="M7">
        <v>1.8139956297575825E-6</v>
      </c>
      <c r="N7" s="1">
        <v>-2.2624356902853799E-7</v>
      </c>
      <c r="O7" s="1">
        <v>2.4656407809941699E-11</v>
      </c>
      <c r="P7" s="1">
        <v>7.1449537740915096E-10</v>
      </c>
      <c r="Q7">
        <v>65.301946435456799</v>
      </c>
      <c r="S7">
        <v>21.305664581497599</v>
      </c>
      <c r="AA7">
        <v>2.3400749663735501</v>
      </c>
      <c r="AB7">
        <v>9.0423787633892907</v>
      </c>
      <c r="AC7">
        <v>2.0099352532826802</v>
      </c>
      <c r="AJ7">
        <v>0.77564426650757801</v>
      </c>
      <c r="AK7">
        <v>0.110922705262053</v>
      </c>
      <c r="AL7">
        <v>0.11343302823036799</v>
      </c>
    </row>
    <row r="8" spans="1:38" x14ac:dyDescent="0.2">
      <c r="A8">
        <v>24</v>
      </c>
      <c r="B8">
        <v>734</v>
      </c>
      <c r="C8">
        <v>300</v>
      </c>
      <c r="D8">
        <v>0.25781710768008598</v>
      </c>
      <c r="E8">
        <v>34.466969799898997</v>
      </c>
      <c r="F8">
        <v>2.5272429937545402</v>
      </c>
      <c r="G8">
        <v>-541.64342555791404</v>
      </c>
      <c r="H8">
        <v>-470.73907502357469</v>
      </c>
      <c r="I8">
        <v>70.400983502298004</v>
      </c>
      <c r="J8">
        <v>41.169866257268197</v>
      </c>
      <c r="K8">
        <v>13.638170086958599</v>
      </c>
      <c r="L8">
        <v>2.9025802881630809E-5</v>
      </c>
      <c r="M8">
        <v>1.792304923472325E-6</v>
      </c>
      <c r="N8" s="1">
        <v>-4.8419440276967097E-7</v>
      </c>
      <c r="O8" s="1">
        <v>1.28555198756056E-10</v>
      </c>
      <c r="P8" s="1">
        <v>1.6678845583290299E-9</v>
      </c>
      <c r="Q8">
        <v>65.9949872661943</v>
      </c>
      <c r="S8">
        <v>18.9583494630016</v>
      </c>
      <c r="AA8">
        <v>0.241804355652533</v>
      </c>
      <c r="AB8">
        <v>4.4329913404017898</v>
      </c>
      <c r="AC8">
        <v>10.3718675747497</v>
      </c>
      <c r="AJ8">
        <v>0.38918177804000398</v>
      </c>
      <c r="AK8">
        <v>1.1730878180531E-2</v>
      </c>
      <c r="AL8">
        <v>0.59908734377946404</v>
      </c>
    </row>
    <row r="9" spans="1:38" x14ac:dyDescent="0.2">
      <c r="A9">
        <v>24</v>
      </c>
      <c r="B9">
        <v>734</v>
      </c>
      <c r="C9">
        <v>300</v>
      </c>
      <c r="D9">
        <v>0.25781710768008598</v>
      </c>
      <c r="E9">
        <v>15.0129902645409</v>
      </c>
      <c r="F9">
        <v>2.5768191465897399</v>
      </c>
      <c r="G9">
        <v>-242.09772478293002</v>
      </c>
      <c r="H9">
        <v>-210.69193493620469</v>
      </c>
      <c r="I9">
        <v>31.182832593680502</v>
      </c>
      <c r="J9">
        <v>18.571153568989399</v>
      </c>
      <c r="K9">
        <v>5.82617149690528</v>
      </c>
      <c r="L9">
        <v>3.2837877562511121E-5</v>
      </c>
      <c r="M9">
        <v>1.8132598113980958E-6</v>
      </c>
      <c r="N9" s="1">
        <v>-4.7055161612562999E-7</v>
      </c>
      <c r="O9" s="1">
        <v>4.9512995706532497E-11</v>
      </c>
      <c r="P9" s="1">
        <v>1.4811978692442299E-9</v>
      </c>
      <c r="Q9">
        <v>65.251198157554001</v>
      </c>
      <c r="S9">
        <v>21.3471913840221</v>
      </c>
      <c r="AA9">
        <v>2.38617642053197</v>
      </c>
      <c r="AB9">
        <v>9.0381568587676604</v>
      </c>
      <c r="AC9">
        <v>1.9772771791241099</v>
      </c>
      <c r="AJ9">
        <v>0.77529760333442899</v>
      </c>
      <c r="AK9">
        <v>0.113110235676</v>
      </c>
      <c r="AL9">
        <v>0.11159216098956901</v>
      </c>
    </row>
    <row r="10" spans="1:38" x14ac:dyDescent="0.2">
      <c r="A10">
        <v>25</v>
      </c>
      <c r="B10">
        <v>733</v>
      </c>
      <c r="C10">
        <v>300</v>
      </c>
      <c r="D10">
        <v>0.257009889181535</v>
      </c>
      <c r="E10">
        <v>36.956296552502799</v>
      </c>
      <c r="F10">
        <v>2.5272474933772799</v>
      </c>
      <c r="G10">
        <v>-580.58640001975391</v>
      </c>
      <c r="H10">
        <v>-504.6975678005744</v>
      </c>
      <c r="I10">
        <v>75.424968661908807</v>
      </c>
      <c r="J10">
        <v>44.145646952790003</v>
      </c>
      <c r="K10">
        <v>14.623141045484299</v>
      </c>
      <c r="L10">
        <v>2.9026444735213865E-5</v>
      </c>
      <c r="M10">
        <v>1.7920433440352724E-6</v>
      </c>
      <c r="N10" s="1">
        <v>-5.3203016743855301E-7</v>
      </c>
      <c r="O10" s="1">
        <v>1.3777463638259499E-10</v>
      </c>
      <c r="P10" s="1">
        <v>1.8243459171685201E-9</v>
      </c>
      <c r="Q10">
        <v>65.983249973289702</v>
      </c>
      <c r="S10">
        <v>18.9533707527433</v>
      </c>
      <c r="AA10">
        <v>0.24043560555173699</v>
      </c>
      <c r="AB10">
        <v>4.3937830762739001</v>
      </c>
      <c r="AC10">
        <v>10.4291605921412</v>
      </c>
      <c r="AJ10">
        <v>0.38581649027594001</v>
      </c>
      <c r="AK10">
        <v>1.16667998220286E-2</v>
      </c>
      <c r="AL10">
        <v>0.60251670990202999</v>
      </c>
    </row>
    <row r="11" spans="1:38" x14ac:dyDescent="0.2">
      <c r="A11">
        <v>25</v>
      </c>
      <c r="B11">
        <v>733</v>
      </c>
      <c r="C11">
        <v>300</v>
      </c>
      <c r="D11">
        <v>0.257009889181535</v>
      </c>
      <c r="E11">
        <v>16.080079303940298</v>
      </c>
      <c r="F11">
        <v>2.5774806300033699</v>
      </c>
      <c r="G11">
        <v>-259.30045869357275</v>
      </c>
      <c r="H11">
        <v>-225.71799730256737</v>
      </c>
      <c r="I11">
        <v>33.3771916622823</v>
      </c>
      <c r="J11">
        <v>19.906169165747201</v>
      </c>
      <c r="K11">
        <v>6.2386809494352402</v>
      </c>
      <c r="L11">
        <v>3.290142843419394E-5</v>
      </c>
      <c r="M11">
        <v>1.8125226478602468E-6</v>
      </c>
      <c r="N11" s="1">
        <v>-5.2011690726450597E-7</v>
      </c>
      <c r="O11" s="1">
        <v>5.2841289398676301E-11</v>
      </c>
      <c r="P11" s="1">
        <v>1.63199340027077E-9</v>
      </c>
      <c r="Q11">
        <v>65.200350424209304</v>
      </c>
      <c r="S11">
        <v>21.388589442023701</v>
      </c>
      <c r="AA11">
        <v>2.4321948657083898</v>
      </c>
      <c r="AB11">
        <v>9.0333758025212703</v>
      </c>
      <c r="AC11">
        <v>1.9454894655372601</v>
      </c>
      <c r="AJ11">
        <v>0.77490511403428997</v>
      </c>
      <c r="AK11">
        <v>0.115294238923139</v>
      </c>
      <c r="AL11">
        <v>0.10980064704256901</v>
      </c>
    </row>
    <row r="12" spans="1:38" x14ac:dyDescent="0.2">
      <c r="A12">
        <v>42</v>
      </c>
      <c r="B12">
        <v>741</v>
      </c>
      <c r="C12">
        <v>280</v>
      </c>
      <c r="D12">
        <v>0.28511610708475299</v>
      </c>
      <c r="E12">
        <v>0.62404151845146105</v>
      </c>
      <c r="F12">
        <v>2.5253414034588402</v>
      </c>
      <c r="G12">
        <v>-9.8166117189567395</v>
      </c>
      <c r="H12">
        <v>-8.5191777299122311</v>
      </c>
      <c r="I12">
        <v>1.27933144904058</v>
      </c>
      <c r="J12">
        <v>0.74325189963778604</v>
      </c>
      <c r="K12">
        <v>0.247111744018745</v>
      </c>
      <c r="L12">
        <v>2.8712188533295348E-5</v>
      </c>
      <c r="M12">
        <v>1.7920576893463108E-6</v>
      </c>
      <c r="N12" s="1">
        <v>-6.5617998843495296E-9</v>
      </c>
      <c r="O12" s="1">
        <v>2.3481970312230901E-12</v>
      </c>
      <c r="P12" s="1">
        <v>2.39167611091646E-11</v>
      </c>
      <c r="Q12">
        <v>65.997748821120794</v>
      </c>
      <c r="S12">
        <v>18.926971001021698</v>
      </c>
      <c r="AA12">
        <v>0.21527243214014799</v>
      </c>
      <c r="AB12">
        <v>4.3568825999284702</v>
      </c>
      <c r="AC12">
        <v>10.503125145788699</v>
      </c>
      <c r="AJ12">
        <v>0.38264825737736802</v>
      </c>
      <c r="AK12">
        <v>1.04477576505603E-2</v>
      </c>
      <c r="AL12">
        <v>0.60690398497207099</v>
      </c>
    </row>
    <row r="13" spans="1:38" x14ac:dyDescent="0.2">
      <c r="A13">
        <v>43</v>
      </c>
      <c r="B13">
        <v>740</v>
      </c>
      <c r="C13">
        <v>280</v>
      </c>
      <c r="D13">
        <v>0.28434141045255101</v>
      </c>
      <c r="E13">
        <v>5.5239577230105299</v>
      </c>
      <c r="F13">
        <v>2.52637615627662</v>
      </c>
      <c r="G13">
        <v>-86.993422329858163</v>
      </c>
      <c r="H13">
        <v>-75.508972013759603</v>
      </c>
      <c r="I13">
        <v>11.335389938408399</v>
      </c>
      <c r="J13">
        <v>6.5932415511089504</v>
      </c>
      <c r="K13">
        <v>2.1865143515096102</v>
      </c>
      <c r="L13">
        <v>2.8955660316934974E-5</v>
      </c>
      <c r="M13">
        <v>1.7944702802423996E-6</v>
      </c>
      <c r="N13" s="1">
        <v>-6.4696294083045102E-8</v>
      </c>
      <c r="O13" s="1">
        <v>2.0678056824813101E-11</v>
      </c>
      <c r="P13" s="1">
        <v>2.3085282961117701E-10</v>
      </c>
      <c r="Q13">
        <v>66.041839669279398</v>
      </c>
      <c r="S13">
        <v>18.989449254861199</v>
      </c>
      <c r="AA13">
        <v>0.25652963462657102</v>
      </c>
      <c r="AB13">
        <v>4.6189315561604003</v>
      </c>
      <c r="AC13">
        <v>10.093249885072201</v>
      </c>
      <c r="AJ13">
        <v>0.40512290818394803</v>
      </c>
      <c r="AK13">
        <v>1.24335059824468E-2</v>
      </c>
      <c r="AL13">
        <v>0.58244358583360401</v>
      </c>
    </row>
    <row r="14" spans="1:38" x14ac:dyDescent="0.2">
      <c r="A14">
        <v>43</v>
      </c>
      <c r="B14">
        <v>740</v>
      </c>
      <c r="C14">
        <v>280</v>
      </c>
      <c r="D14">
        <v>0.28434141045255101</v>
      </c>
      <c r="E14">
        <v>0.92577585366360704</v>
      </c>
      <c r="F14">
        <v>2.57364155371401</v>
      </c>
      <c r="G14">
        <v>-14.941496859090222</v>
      </c>
      <c r="H14">
        <v>-12.985927894624043</v>
      </c>
      <c r="I14">
        <v>1.9301870053458801</v>
      </c>
      <c r="J14">
        <v>1.1397756095706699</v>
      </c>
      <c r="K14">
        <v>0.35971437138463302</v>
      </c>
      <c r="L14">
        <v>3.2362895357922772E-5</v>
      </c>
      <c r="M14">
        <v>1.8150178158063075E-6</v>
      </c>
      <c r="N14" s="1">
        <v>-2.34660265274588E-8</v>
      </c>
      <c r="O14" s="1">
        <v>3.10880762567938E-12</v>
      </c>
      <c r="P14" s="1">
        <v>7.5581942662771198E-11</v>
      </c>
      <c r="Q14">
        <v>65.380387859718098</v>
      </c>
      <c r="S14">
        <v>21.231737647797502</v>
      </c>
      <c r="AA14">
        <v>2.26078125513131</v>
      </c>
      <c r="AB14">
        <v>9.0233722036425696</v>
      </c>
      <c r="AC14">
        <v>2.1037210337104302</v>
      </c>
      <c r="AJ14">
        <v>0.77408828051199097</v>
      </c>
      <c r="AK14">
        <v>0.10717437375264</v>
      </c>
      <c r="AL14">
        <v>0.118737345735367</v>
      </c>
    </row>
    <row r="15" spans="1:38" x14ac:dyDescent="0.2">
      <c r="A15">
        <v>44</v>
      </c>
      <c r="B15">
        <v>739</v>
      </c>
      <c r="C15">
        <v>280</v>
      </c>
      <c r="D15">
        <v>0.28356518302623301</v>
      </c>
      <c r="E15">
        <v>14.5856723291654</v>
      </c>
      <c r="F15">
        <v>2.5264371740626599</v>
      </c>
      <c r="G15">
        <v>-229.698163165171</v>
      </c>
      <c r="H15">
        <v>-199.41676169861259</v>
      </c>
      <c r="I15">
        <v>29.917898993783901</v>
      </c>
      <c r="J15">
        <v>17.417925381548802</v>
      </c>
      <c r="K15">
        <v>5.7732179050036496</v>
      </c>
      <c r="L15">
        <v>2.9014336295582392E-5</v>
      </c>
      <c r="M15">
        <v>1.7950621034556169E-6</v>
      </c>
      <c r="N15" s="1">
        <v>-1.78371937951885E-7</v>
      </c>
      <c r="O15" s="1">
        <v>5.4531426310746799E-11</v>
      </c>
      <c r="P15" s="1">
        <v>6.3111901116954604E-10</v>
      </c>
      <c r="Q15">
        <v>66.056145123215799</v>
      </c>
      <c r="S15">
        <v>18.988759244823498</v>
      </c>
      <c r="AA15">
        <v>0.25262238717237401</v>
      </c>
      <c r="AB15">
        <v>4.6490015422086204</v>
      </c>
      <c r="AC15">
        <v>10.0534717025795</v>
      </c>
      <c r="AJ15">
        <v>0.40769811327647498</v>
      </c>
      <c r="AK15">
        <v>1.22422610621337E-2</v>
      </c>
      <c r="AL15">
        <v>0.58005962566139002</v>
      </c>
    </row>
    <row r="16" spans="1:38" x14ac:dyDescent="0.2">
      <c r="A16">
        <v>44</v>
      </c>
      <c r="B16">
        <v>739</v>
      </c>
      <c r="C16">
        <v>280</v>
      </c>
      <c r="D16">
        <v>0.28356518302623301</v>
      </c>
      <c r="E16">
        <v>5.9774786198297196</v>
      </c>
      <c r="F16">
        <v>2.5729726102178199</v>
      </c>
      <c r="G16">
        <v>-96.450834872615388</v>
      </c>
      <c r="H16">
        <v>-83.842750494617476</v>
      </c>
      <c r="I16">
        <v>12.4567350471747</v>
      </c>
      <c r="J16">
        <v>7.3648014304580203</v>
      </c>
      <c r="K16">
        <v>2.3231800432277598</v>
      </c>
      <c r="L16">
        <v>3.2469138851415063E-5</v>
      </c>
      <c r="M16">
        <v>1.8169491949848249E-6</v>
      </c>
      <c r="N16" s="1">
        <v>-1.5681547146680201E-7</v>
      </c>
      <c r="O16" s="1">
        <v>2.0059025724615101E-11</v>
      </c>
      <c r="P16" s="1">
        <v>5.0307277380852404E-10</v>
      </c>
      <c r="Q16">
        <v>65.456138023382906</v>
      </c>
      <c r="S16">
        <v>21.1746376107778</v>
      </c>
      <c r="AA16">
        <v>2.1959978748123499</v>
      </c>
      <c r="AB16">
        <v>9.0424822112497107</v>
      </c>
      <c r="AC16">
        <v>2.1307442797771401</v>
      </c>
      <c r="AJ16">
        <v>0.77565513898424499</v>
      </c>
      <c r="AK16">
        <v>0.10409352531060601</v>
      </c>
      <c r="AL16">
        <v>0.120251335705148</v>
      </c>
    </row>
    <row r="17" spans="1:38" x14ac:dyDescent="0.2">
      <c r="A17">
        <v>45</v>
      </c>
      <c r="B17">
        <v>738</v>
      </c>
      <c r="C17">
        <v>280</v>
      </c>
      <c r="D17">
        <v>0.28278742026405701</v>
      </c>
      <c r="E17">
        <v>20.129127071911299</v>
      </c>
      <c r="F17">
        <v>2.5264817012077101</v>
      </c>
      <c r="G17">
        <v>-316.97275619631756</v>
      </c>
      <c r="H17">
        <v>-275.2448986734741</v>
      </c>
      <c r="I17">
        <v>41.267722417884002</v>
      </c>
      <c r="J17">
        <v>24.0476961183996</v>
      </c>
      <c r="K17">
        <v>7.9672562292017401</v>
      </c>
      <c r="L17">
        <v>2.9060368041627952E-5</v>
      </c>
      <c r="M17">
        <v>1.7954612148732898E-6</v>
      </c>
      <c r="N17" s="1">
        <v>-2.5593032328732702E-7</v>
      </c>
      <c r="O17" s="1">
        <v>7.5175475961644803E-11</v>
      </c>
      <c r="P17" s="1">
        <v>8.9881342868450003E-10</v>
      </c>
      <c r="Q17">
        <v>66.064602054633198</v>
      </c>
      <c r="S17">
        <v>18.987008224886601</v>
      </c>
      <c r="AA17">
        <v>0.24920446846279401</v>
      </c>
      <c r="AB17">
        <v>4.6632568340168401</v>
      </c>
      <c r="AC17">
        <v>10.035928418000401</v>
      </c>
      <c r="AJ17">
        <v>0.40891868141718002</v>
      </c>
      <c r="AK17">
        <v>1.20757532987643E-2</v>
      </c>
      <c r="AL17">
        <v>0.579005565284054</v>
      </c>
    </row>
    <row r="18" spans="1:38" x14ac:dyDescent="0.2">
      <c r="A18">
        <v>45</v>
      </c>
      <c r="B18">
        <v>738</v>
      </c>
      <c r="C18">
        <v>280</v>
      </c>
      <c r="D18">
        <v>0.28278742026405701</v>
      </c>
      <c r="E18">
        <v>9.1302349066352999</v>
      </c>
      <c r="F18">
        <v>2.5726007184220299</v>
      </c>
      <c r="G18">
        <v>-147.29585918284721</v>
      </c>
      <c r="H18">
        <v>-128.06674025940475</v>
      </c>
      <c r="I18">
        <v>19.017078498187601</v>
      </c>
      <c r="J18">
        <v>11.2577364260486</v>
      </c>
      <c r="K18">
        <v>3.5490291366456401</v>
      </c>
      <c r="L18">
        <v>3.2565258778502076E-5</v>
      </c>
      <c r="M18">
        <v>1.8182933388193151E-6</v>
      </c>
      <c r="N18" s="1">
        <v>-2.4775882128435198E-7</v>
      </c>
      <c r="O18" s="1">
        <v>3.0599310565342902E-11</v>
      </c>
      <c r="P18" s="1">
        <v>7.91782541074094E-10</v>
      </c>
      <c r="Q18">
        <v>65.504012189750696</v>
      </c>
      <c r="S18">
        <v>21.139356477170999</v>
      </c>
      <c r="AA18">
        <v>2.1557197960966801</v>
      </c>
      <c r="AB18">
        <v>9.0566731454796408</v>
      </c>
      <c r="AC18">
        <v>2.1442383915018501</v>
      </c>
      <c r="AJ18">
        <v>0.77681835514855302</v>
      </c>
      <c r="AK18">
        <v>0.102177173478101</v>
      </c>
      <c r="AL18">
        <v>0.121004471373345</v>
      </c>
    </row>
    <row r="19" spans="1:38" x14ac:dyDescent="0.2">
      <c r="A19">
        <v>46</v>
      </c>
      <c r="B19">
        <v>737</v>
      </c>
      <c r="C19">
        <v>280</v>
      </c>
      <c r="D19">
        <v>0.28200811760629901</v>
      </c>
      <c r="E19">
        <v>34.845894666380602</v>
      </c>
      <c r="F19">
        <v>2.526600583924</v>
      </c>
      <c r="G19">
        <v>-548.82277702663214</v>
      </c>
      <c r="H19">
        <v>-476.67024155152654</v>
      </c>
      <c r="I19">
        <v>71.4275458843791</v>
      </c>
      <c r="J19">
        <v>41.6667908460443</v>
      </c>
      <c r="K19">
        <v>13.7916118946914</v>
      </c>
      <c r="L19">
        <v>2.9166082117266893E-5</v>
      </c>
      <c r="M19">
        <v>1.7966744144636898E-6</v>
      </c>
      <c r="N19" s="1">
        <v>-4.6813039205033402E-7</v>
      </c>
      <c r="O19" s="1">
        <v>1.2988322471481699E-10</v>
      </c>
      <c r="P19" s="1">
        <v>1.6278154787068901E-9</v>
      </c>
      <c r="Q19">
        <v>66.096898452099794</v>
      </c>
      <c r="S19">
        <v>18.989432019096899</v>
      </c>
      <c r="AA19">
        <v>0.243668200675147</v>
      </c>
      <c r="AB19">
        <v>4.7415819157444297</v>
      </c>
      <c r="AC19">
        <v>9.9284194123836702</v>
      </c>
      <c r="AJ19">
        <v>0.41562177224550301</v>
      </c>
      <c r="AK19">
        <v>1.1802789963638E-2</v>
      </c>
      <c r="AL19">
        <v>0.57257543779085796</v>
      </c>
    </row>
    <row r="20" spans="1:38" x14ac:dyDescent="0.2">
      <c r="A20">
        <v>46</v>
      </c>
      <c r="B20">
        <v>737</v>
      </c>
      <c r="C20">
        <v>280</v>
      </c>
      <c r="D20">
        <v>0.28200811760629901</v>
      </c>
      <c r="E20">
        <v>18.125374085405301</v>
      </c>
      <c r="F20">
        <v>2.5710568244987901</v>
      </c>
      <c r="G20">
        <v>-292.29960912913771</v>
      </c>
      <c r="H20">
        <v>-254.17846788118473</v>
      </c>
      <c r="I20">
        <v>37.738099537645802</v>
      </c>
      <c r="J20">
        <v>22.368517856506202</v>
      </c>
      <c r="K20">
        <v>7.0497757625169299</v>
      </c>
      <c r="L20">
        <v>3.2707746355590758E-5</v>
      </c>
      <c r="M20">
        <v>1.8218388067177391E-6</v>
      </c>
      <c r="N20" s="1">
        <v>-5.0970248645909099E-7</v>
      </c>
      <c r="O20" s="1">
        <v>6.0791602331711896E-11</v>
      </c>
      <c r="P20" s="1">
        <v>1.62244150355996E-9</v>
      </c>
      <c r="Q20">
        <v>65.657083361935307</v>
      </c>
      <c r="S20">
        <v>21.020261659398599</v>
      </c>
      <c r="AA20">
        <v>2.0217482865887701</v>
      </c>
      <c r="AB20">
        <v>9.0855614971718808</v>
      </c>
      <c r="AC20">
        <v>2.2153451949052401</v>
      </c>
      <c r="AJ20">
        <v>0.77918667177271195</v>
      </c>
      <c r="AK20">
        <v>9.5813701202527801E-2</v>
      </c>
      <c r="AL20">
        <v>0.124999627024759</v>
      </c>
    </row>
    <row r="21" spans="1:38" x14ac:dyDescent="0.2">
      <c r="A21">
        <v>47</v>
      </c>
      <c r="B21">
        <v>736</v>
      </c>
      <c r="C21">
        <v>280</v>
      </c>
      <c r="D21">
        <v>0.281227270475152</v>
      </c>
      <c r="E21">
        <v>37.475163588653899</v>
      </c>
      <c r="F21">
        <v>2.5266333385729101</v>
      </c>
      <c r="G21">
        <v>-590.160107538283</v>
      </c>
      <c r="H21">
        <v>-512.68402726945681</v>
      </c>
      <c r="I21">
        <v>76.773601812243996</v>
      </c>
      <c r="J21">
        <v>44.827083644319998</v>
      </c>
      <c r="K21">
        <v>14.8320545828863</v>
      </c>
      <c r="L21">
        <v>2.9205430216419597E-5</v>
      </c>
      <c r="M21">
        <v>1.7969463586288209E-6</v>
      </c>
      <c r="N21" s="1">
        <v>-5.2177826374089395E-7</v>
      </c>
      <c r="O21" s="1">
        <v>1.39540383901499E-10</v>
      </c>
      <c r="P21" s="1">
        <v>1.8026691376447801E-9</v>
      </c>
      <c r="Q21">
        <v>66.101327759718899</v>
      </c>
      <c r="S21">
        <v>18.9869291490031</v>
      </c>
      <c r="AA21">
        <v>0.24056978884003899</v>
      </c>
      <c r="AB21">
        <v>4.7448907909375002</v>
      </c>
      <c r="AC21">
        <v>9.9262825115003697</v>
      </c>
      <c r="AJ21">
        <v>0.41590485592151699</v>
      </c>
      <c r="AK21">
        <v>1.16525143718884E-2</v>
      </c>
      <c r="AL21">
        <v>0.57244262970659299</v>
      </c>
    </row>
    <row r="22" spans="1:38" x14ac:dyDescent="0.2">
      <c r="A22">
        <v>47</v>
      </c>
      <c r="B22">
        <v>736</v>
      </c>
      <c r="C22">
        <v>280</v>
      </c>
      <c r="D22">
        <v>0.281227270475152</v>
      </c>
      <c r="E22">
        <v>19.826354641829901</v>
      </c>
      <c r="F22">
        <v>2.5708894097006199</v>
      </c>
      <c r="G22">
        <v>-319.68260182328135</v>
      </c>
      <c r="H22">
        <v>-278.04799417226553</v>
      </c>
      <c r="I22">
        <v>41.2571051389939</v>
      </c>
      <c r="J22">
        <v>24.486790476360799</v>
      </c>
      <c r="K22">
        <v>7.71186600521205</v>
      </c>
      <c r="L22">
        <v>3.2800131051317494E-5</v>
      </c>
      <c r="M22">
        <v>1.8227848230737425E-6</v>
      </c>
      <c r="N22" s="1">
        <v>-5.7645780805959295E-7</v>
      </c>
      <c r="O22" s="1">
        <v>6.6376024346443196E-11</v>
      </c>
      <c r="P22" s="1">
        <v>1.82831741005605E-9</v>
      </c>
      <c r="Q22">
        <v>65.685664942835501</v>
      </c>
      <c r="S22">
        <v>21.000044267937302</v>
      </c>
      <c r="AA22">
        <v>1.9983996104557999</v>
      </c>
      <c r="AB22">
        <v>9.0962514975684599</v>
      </c>
      <c r="AC22">
        <v>2.2196396812028798</v>
      </c>
      <c r="AJ22">
        <v>0.78006244885101095</v>
      </c>
      <c r="AK22">
        <v>9.4702193727906198E-2</v>
      </c>
      <c r="AL22">
        <v>0.12523535742108099</v>
      </c>
    </row>
    <row r="23" spans="1:38" x14ac:dyDescent="0.2">
      <c r="A23">
        <v>62</v>
      </c>
      <c r="B23">
        <v>743</v>
      </c>
      <c r="C23">
        <v>260</v>
      </c>
      <c r="D23">
        <v>0.30831127294198801</v>
      </c>
      <c r="E23">
        <v>7.3440396284723404</v>
      </c>
      <c r="F23">
        <v>2.5256344398496902</v>
      </c>
      <c r="G23">
        <v>-115.84343740962431</v>
      </c>
      <c r="H23">
        <v>-100.48819608429625</v>
      </c>
      <c r="I23">
        <v>15.111195517716901</v>
      </c>
      <c r="J23">
        <v>8.7666199242470597</v>
      </c>
      <c r="K23">
        <v>2.90779992250557</v>
      </c>
      <c r="L23">
        <v>2.8973329206786345E-5</v>
      </c>
      <c r="M23">
        <v>1.7970072597963E-6</v>
      </c>
      <c r="N23" s="1">
        <v>-7.9087298380305096E-8</v>
      </c>
      <c r="O23" s="1">
        <v>2.7516186778703199E-11</v>
      </c>
      <c r="P23" s="1">
        <v>2.8731611510651802E-10</v>
      </c>
      <c r="Q23">
        <v>66.087309967489901</v>
      </c>
      <c r="S23">
        <v>19.012203978176299</v>
      </c>
      <c r="AA23">
        <v>0.264692641882602</v>
      </c>
      <c r="AB23">
        <v>4.7799141431887699</v>
      </c>
      <c r="AC23">
        <v>9.8558792692622905</v>
      </c>
      <c r="AJ23">
        <v>0.41890010035516401</v>
      </c>
      <c r="AK23">
        <v>1.28186717754288E-2</v>
      </c>
      <c r="AL23">
        <v>0.56828122786940605</v>
      </c>
    </row>
    <row r="24" spans="1:38" x14ac:dyDescent="0.2">
      <c r="A24">
        <v>62</v>
      </c>
      <c r="B24">
        <v>743</v>
      </c>
      <c r="C24">
        <v>260</v>
      </c>
      <c r="D24">
        <v>0.30831127294198801</v>
      </c>
      <c r="E24">
        <v>3.06893931210519</v>
      </c>
      <c r="F24">
        <v>2.5707079064724301</v>
      </c>
      <c r="G24">
        <v>-49.555598866232856</v>
      </c>
      <c r="H24">
        <v>-43.040555928941494</v>
      </c>
      <c r="I24">
        <v>6.4114972565973103</v>
      </c>
      <c r="J24">
        <v>3.7702284162491799</v>
      </c>
      <c r="K24">
        <v>1.1938109749374199</v>
      </c>
      <c r="L24">
        <v>3.2164312928589419E-5</v>
      </c>
      <c r="M24">
        <v>1.8180763930530196E-6</v>
      </c>
      <c r="N24" s="1">
        <v>-6.9416530759893302E-8</v>
      </c>
      <c r="O24" s="1">
        <v>1.0409109582227701E-11</v>
      </c>
      <c r="P24" s="1">
        <v>2.2663295329827599E-10</v>
      </c>
      <c r="Q24">
        <v>65.520150058461496</v>
      </c>
      <c r="S24">
        <v>21.112627525113599</v>
      </c>
      <c r="AA24">
        <v>2.1299025859218501</v>
      </c>
      <c r="AB24">
        <v>9.0225620978043501</v>
      </c>
      <c r="AC24">
        <v>2.2147577326985801</v>
      </c>
      <c r="AJ24">
        <v>0.77402407114731597</v>
      </c>
      <c r="AK24">
        <v>0.100970642147396</v>
      </c>
      <c r="AL24">
        <v>0.12500528670528699</v>
      </c>
    </row>
    <row r="25" spans="1:38" x14ac:dyDescent="0.2">
      <c r="A25">
        <v>63</v>
      </c>
      <c r="B25">
        <v>742</v>
      </c>
      <c r="C25">
        <v>260</v>
      </c>
      <c r="D25">
        <v>0.30756095158350699</v>
      </c>
      <c r="E25">
        <v>15.6693533099355</v>
      </c>
      <c r="F25">
        <v>2.5256688014064399</v>
      </c>
      <c r="G25">
        <v>-247.13657204822886</v>
      </c>
      <c r="H25">
        <v>-214.42456938485913</v>
      </c>
      <c r="I25">
        <v>32.223811912889403</v>
      </c>
      <c r="J25">
        <v>18.710261397443201</v>
      </c>
      <c r="K25">
        <v>6.2040412033477796</v>
      </c>
      <c r="L25">
        <v>2.9007483439367326E-5</v>
      </c>
      <c r="M25">
        <v>1.7972863477935564E-6</v>
      </c>
      <c r="N25" s="1">
        <v>-1.7505085407800101E-7</v>
      </c>
      <c r="O25" s="1">
        <v>5.8658899211904504E-11</v>
      </c>
      <c r="P25" s="1">
        <v>6.3104732939761296E-10</v>
      </c>
      <c r="Q25">
        <v>66.092571992895301</v>
      </c>
      <c r="S25">
        <v>19.009801733879499</v>
      </c>
      <c r="AA25">
        <v>0.26148294404889599</v>
      </c>
      <c r="AB25">
        <v>4.7853424889290102</v>
      </c>
      <c r="AC25">
        <v>9.8508008402471798</v>
      </c>
      <c r="AJ25">
        <v>0.41936430813220799</v>
      </c>
      <c r="AK25">
        <v>1.26628830432547E-2</v>
      </c>
      <c r="AL25">
        <v>0.56797280882453605</v>
      </c>
    </row>
    <row r="26" spans="1:38" x14ac:dyDescent="0.2">
      <c r="A26">
        <v>63</v>
      </c>
      <c r="B26">
        <v>742</v>
      </c>
      <c r="C26">
        <v>260</v>
      </c>
      <c r="D26">
        <v>0.30756095158350699</v>
      </c>
      <c r="E26">
        <v>7.3136678263009802</v>
      </c>
      <c r="F26">
        <v>2.5705072221190601</v>
      </c>
      <c r="G26">
        <v>-118.07885932459996</v>
      </c>
      <c r="H26">
        <v>-102.57624239388913</v>
      </c>
      <c r="I26">
        <v>15.271257381382799</v>
      </c>
      <c r="J26">
        <v>8.9905695978698308</v>
      </c>
      <c r="K26">
        <v>2.8452236054298101</v>
      </c>
      <c r="L26">
        <v>3.224292896865775E-5</v>
      </c>
      <c r="M26">
        <v>1.8190396079119831E-6</v>
      </c>
      <c r="N26" s="1">
        <v>-1.7102028164912099E-7</v>
      </c>
      <c r="O26" s="1">
        <v>2.4774004255627899E-11</v>
      </c>
      <c r="P26" s="1">
        <v>5.5602817309568199E-10</v>
      </c>
      <c r="Q26">
        <v>65.551595588013797</v>
      </c>
      <c r="S26">
        <v>21.090131225607699</v>
      </c>
      <c r="AA26">
        <v>2.10400552405269</v>
      </c>
      <c r="AB26">
        <v>9.0336598004963999</v>
      </c>
      <c r="AC26">
        <v>2.2206078618293401</v>
      </c>
      <c r="AJ26">
        <v>0.77493383906812496</v>
      </c>
      <c r="AK26">
        <v>9.9737518885958207E-2</v>
      </c>
      <c r="AL26">
        <v>0.12532864204591601</v>
      </c>
    </row>
    <row r="27" spans="1:38" x14ac:dyDescent="0.2">
      <c r="A27">
        <v>64</v>
      </c>
      <c r="B27">
        <v>741</v>
      </c>
      <c r="C27">
        <v>260</v>
      </c>
      <c r="D27">
        <v>0.30680915052014102</v>
      </c>
      <c r="E27">
        <v>27.439011626382602</v>
      </c>
      <c r="F27">
        <v>2.52573027432615</v>
      </c>
      <c r="G27">
        <v>-432.75377916835964</v>
      </c>
      <c r="H27">
        <v>-375.55272798006388</v>
      </c>
      <c r="I27">
        <v>56.402949453528301</v>
      </c>
      <c r="J27">
        <v>32.7789315547831</v>
      </c>
      <c r="K27">
        <v>10.8637932978426</v>
      </c>
      <c r="L27">
        <v>2.9060238522444522E-5</v>
      </c>
      <c r="M27">
        <v>1.7978197801143892E-6</v>
      </c>
      <c r="N27" s="1">
        <v>-3.1960701314667699E-7</v>
      </c>
      <c r="O27" s="1">
        <v>1.02603242397591E-10</v>
      </c>
      <c r="P27" s="1">
        <v>1.1424542836769199E-9</v>
      </c>
      <c r="Q27">
        <v>66.105200793979606</v>
      </c>
      <c r="S27">
        <v>19.008795095853699</v>
      </c>
      <c r="AA27">
        <v>0.25770569928424097</v>
      </c>
      <c r="AB27">
        <v>4.81084606255979</v>
      </c>
      <c r="AC27">
        <v>9.8174523483224796</v>
      </c>
      <c r="AJ27">
        <v>0.42154481362713597</v>
      </c>
      <c r="AK27">
        <v>1.2478348295309799E-2</v>
      </c>
      <c r="AL27">
        <v>0.56597683807755295</v>
      </c>
    </row>
    <row r="28" spans="1:38" x14ac:dyDescent="0.2">
      <c r="A28">
        <v>64</v>
      </c>
      <c r="B28">
        <v>741</v>
      </c>
      <c r="C28">
        <v>260</v>
      </c>
      <c r="D28">
        <v>0.30680915052014102</v>
      </c>
      <c r="E28">
        <v>13.6810207582822</v>
      </c>
      <c r="F28">
        <v>2.5699457736172802</v>
      </c>
      <c r="G28">
        <v>-220.83114464779717</v>
      </c>
      <c r="H28">
        <v>-191.87473151672845</v>
      </c>
      <c r="I28">
        <v>28.552396717515801</v>
      </c>
      <c r="J28">
        <v>16.829203546318102</v>
      </c>
      <c r="K28">
        <v>5.3234667045234199</v>
      </c>
      <c r="L28">
        <v>3.2336419512985612E-5</v>
      </c>
      <c r="M28">
        <v>1.820669992171428E-6</v>
      </c>
      <c r="N28" s="1">
        <v>-3.3091106859229001E-7</v>
      </c>
      <c r="O28" s="1">
        <v>4.6309530107152298E-11</v>
      </c>
      <c r="P28" s="1">
        <v>1.0714134418474901E-9</v>
      </c>
      <c r="Q28">
        <v>65.614947354245302</v>
      </c>
      <c r="S28">
        <v>21.0420454775176</v>
      </c>
      <c r="AA28">
        <v>2.0495520209437301</v>
      </c>
      <c r="AB28">
        <v>9.0487727745654798</v>
      </c>
      <c r="AC28">
        <v>2.2446823727277798</v>
      </c>
      <c r="AJ28">
        <v>0.77617293089881201</v>
      </c>
      <c r="AK28">
        <v>9.7149047325391494E-2</v>
      </c>
      <c r="AL28">
        <v>0.12667802177579601</v>
      </c>
    </row>
    <row r="29" spans="1:38" x14ac:dyDescent="0.2">
      <c r="A29">
        <v>65</v>
      </c>
      <c r="B29">
        <v>740</v>
      </c>
      <c r="C29">
        <v>260</v>
      </c>
      <c r="D29">
        <v>0.30605586537038199</v>
      </c>
      <c r="E29">
        <v>35.8628558206983</v>
      </c>
      <c r="F29">
        <v>2.52577811459282</v>
      </c>
      <c r="G29">
        <v>-565.56759032540231</v>
      </c>
      <c r="H29">
        <v>-490.91670721598979</v>
      </c>
      <c r="I29">
        <v>73.681965266162393</v>
      </c>
      <c r="J29">
        <v>42.859117699133101</v>
      </c>
      <c r="K29">
        <v>14.1987356741665</v>
      </c>
      <c r="L29">
        <v>2.9105218889989003E-5</v>
      </c>
      <c r="M29">
        <v>1.7982268932307759E-6</v>
      </c>
      <c r="N29" s="1">
        <v>-4.3431484618056797E-7</v>
      </c>
      <c r="O29" s="1">
        <v>1.3396357086764399E-10</v>
      </c>
      <c r="P29" s="1">
        <v>1.5405604470904799E-9</v>
      </c>
      <c r="Q29">
        <v>66.114005098076902</v>
      </c>
      <c r="S29">
        <v>19.007052309262701</v>
      </c>
      <c r="AA29">
        <v>0.25421351850337698</v>
      </c>
      <c r="AB29">
        <v>4.8258970405464101</v>
      </c>
      <c r="AC29">
        <v>9.7988320336105303</v>
      </c>
      <c r="AJ29">
        <v>0.42283138988886199</v>
      </c>
      <c r="AK29">
        <v>1.23083149490368E-2</v>
      </c>
      <c r="AL29">
        <v>0.56486029516210101</v>
      </c>
    </row>
    <row r="30" spans="1:38" x14ac:dyDescent="0.2">
      <c r="A30">
        <v>65</v>
      </c>
      <c r="B30">
        <v>740</v>
      </c>
      <c r="C30">
        <v>260</v>
      </c>
      <c r="D30">
        <v>0.30605586537038199</v>
      </c>
      <c r="E30">
        <v>18.359222897717402</v>
      </c>
      <c r="F30">
        <v>2.5695734258535201</v>
      </c>
      <c r="G30">
        <v>-296.28866857007091</v>
      </c>
      <c r="H30">
        <v>-257.48912752574347</v>
      </c>
      <c r="I30">
        <v>38.295949310889199</v>
      </c>
      <c r="J30">
        <v>22.599326117510198</v>
      </c>
      <c r="K30">
        <v>7.1448524151899502</v>
      </c>
      <c r="L30">
        <v>3.2424940196075752E-5</v>
      </c>
      <c r="M30">
        <v>1.821948618846835E-6</v>
      </c>
      <c r="N30" s="1">
        <v>-4.5920293341870001E-7</v>
      </c>
      <c r="O30" s="1">
        <v>6.2075486268960205E-11</v>
      </c>
      <c r="P30" s="1">
        <v>1.48083241205826E-9</v>
      </c>
      <c r="Q30">
        <v>65.661215852721796</v>
      </c>
      <c r="S30">
        <v>21.007536664800899</v>
      </c>
      <c r="AA30">
        <v>2.0102857755218402</v>
      </c>
      <c r="AB30">
        <v>9.0614103036138403</v>
      </c>
      <c r="AC30">
        <v>2.25955140334159</v>
      </c>
      <c r="AJ30">
        <v>0.77720881938476105</v>
      </c>
      <c r="AK30">
        <v>9.5281923148573297E-2</v>
      </c>
      <c r="AL30">
        <v>0.127509257466665</v>
      </c>
    </row>
    <row r="31" spans="1:38" x14ac:dyDescent="0.2">
      <c r="A31">
        <v>66</v>
      </c>
      <c r="B31">
        <v>739</v>
      </c>
      <c r="C31">
        <v>260</v>
      </c>
      <c r="D31">
        <v>0.30530109173541498</v>
      </c>
      <c r="E31">
        <v>38.055307282035997</v>
      </c>
      <c r="F31">
        <v>2.5257983359691201</v>
      </c>
      <c r="G31">
        <v>-600.046060294276</v>
      </c>
      <c r="H31">
        <v>-520.95775057101912</v>
      </c>
      <c r="I31">
        <v>78.138921823106102</v>
      </c>
      <c r="J31">
        <v>45.491295879161399</v>
      </c>
      <c r="K31">
        <v>15.066645163274501</v>
      </c>
      <c r="L31">
        <v>2.9133336755349162E-5</v>
      </c>
      <c r="M31">
        <v>1.7983803542335002E-6</v>
      </c>
      <c r="N31" s="1">
        <v>-4.7666421515552099E-7</v>
      </c>
      <c r="O31" s="1">
        <v>1.4203734362394901E-10</v>
      </c>
      <c r="P31" s="1">
        <v>1.6796709199275601E-9</v>
      </c>
      <c r="Q31">
        <v>66.115286607864405</v>
      </c>
      <c r="S31">
        <v>19.0039080664686</v>
      </c>
      <c r="AA31">
        <v>0.25132046321416801</v>
      </c>
      <c r="AB31">
        <v>4.8205097751318204</v>
      </c>
      <c r="AC31">
        <v>9.80897508732094</v>
      </c>
      <c r="AJ31">
        <v>0.422370940653575</v>
      </c>
      <c r="AK31">
        <v>1.2168574485433599E-2</v>
      </c>
      <c r="AL31">
        <v>0.56546048486099099</v>
      </c>
    </row>
    <row r="32" spans="1:38" x14ac:dyDescent="0.2">
      <c r="A32">
        <v>66</v>
      </c>
      <c r="B32">
        <v>739</v>
      </c>
      <c r="C32">
        <v>260</v>
      </c>
      <c r="D32">
        <v>0.30530109173541498</v>
      </c>
      <c r="E32">
        <v>19.657559460774898</v>
      </c>
      <c r="F32">
        <v>2.5695655840252498</v>
      </c>
      <c r="G32">
        <v>-317.203034089938</v>
      </c>
      <c r="H32">
        <v>-275.72383765263987</v>
      </c>
      <c r="I32">
        <v>40.981273958699902</v>
      </c>
      <c r="J32">
        <v>24.213973877165301</v>
      </c>
      <c r="K32">
        <v>7.6501489524081903</v>
      </c>
      <c r="L32">
        <v>3.250294689395102E-5</v>
      </c>
      <c r="M32">
        <v>1.8225718770695358E-6</v>
      </c>
      <c r="N32" s="1">
        <v>-5.0820256817884503E-7</v>
      </c>
      <c r="O32" s="1">
        <v>6.6342925816381397E-11</v>
      </c>
      <c r="P32" s="1">
        <v>1.6325296581452401E-9</v>
      </c>
      <c r="Q32">
        <v>65.675463206673797</v>
      </c>
      <c r="S32">
        <v>20.998767817242399</v>
      </c>
      <c r="AA32">
        <v>1.99972696122937</v>
      </c>
      <c r="AB32">
        <v>9.0701710940809797</v>
      </c>
      <c r="AC32">
        <v>2.2558709207733001</v>
      </c>
      <c r="AJ32">
        <v>0.777926581325599</v>
      </c>
      <c r="AK32">
        <v>9.4777363690677394E-2</v>
      </c>
      <c r="AL32">
        <v>0.12729605498372201</v>
      </c>
    </row>
    <row r="33" spans="1:38" x14ac:dyDescent="0.2">
      <c r="A33">
        <v>78</v>
      </c>
      <c r="B33">
        <v>746</v>
      </c>
      <c r="C33">
        <v>240</v>
      </c>
      <c r="D33">
        <v>0.33214001864298798</v>
      </c>
      <c r="E33">
        <v>5.4958401701884698</v>
      </c>
      <c r="F33">
        <v>2.5680292205478001</v>
      </c>
      <c r="G33">
        <v>-88.790449485205585</v>
      </c>
      <c r="H33">
        <v>-77.065998162799104</v>
      </c>
      <c r="I33">
        <v>11.5041469090972</v>
      </c>
      <c r="J33">
        <v>6.7384180997888201</v>
      </c>
      <c r="K33">
        <v>2.14010032526659</v>
      </c>
      <c r="L33">
        <v>3.1972691277109419E-5</v>
      </c>
      <c r="M33">
        <v>1.820527929898022E-6</v>
      </c>
      <c r="N33" s="1">
        <v>-1.1085613517434601E-7</v>
      </c>
      <c r="O33" s="1">
        <v>1.8803809211319599E-11</v>
      </c>
      <c r="P33" s="1">
        <v>3.6729653575727799E-10</v>
      </c>
      <c r="Q33">
        <v>65.630405461436197</v>
      </c>
      <c r="S33">
        <v>21.0147152418876</v>
      </c>
      <c r="AA33">
        <v>2.02339735872259</v>
      </c>
      <c r="AB33">
        <v>9.0115705717328307</v>
      </c>
      <c r="AC33">
        <v>2.3199113662206301</v>
      </c>
      <c r="AJ33">
        <v>0.77312510159889103</v>
      </c>
      <c r="AK33">
        <v>9.5927086662674396E-2</v>
      </c>
      <c r="AL33">
        <v>0.13094781173843401</v>
      </c>
    </row>
    <row r="34" spans="1:38" x14ac:dyDescent="0.2">
      <c r="A34">
        <v>78</v>
      </c>
      <c r="B34">
        <v>746</v>
      </c>
      <c r="C34">
        <v>240</v>
      </c>
      <c r="D34">
        <v>0.33214001864298798</v>
      </c>
      <c r="E34">
        <v>10.2483105116586</v>
      </c>
      <c r="F34">
        <v>2.5249286661191901</v>
      </c>
      <c r="G34">
        <v>-161.90918364253216</v>
      </c>
      <c r="H34">
        <v>-140.3616416688279</v>
      </c>
      <c r="I34">
        <v>21.142660034052099</v>
      </c>
      <c r="J34">
        <v>12.234642730313</v>
      </c>
      <c r="K34">
        <v>4.0588515030843304</v>
      </c>
      <c r="L34">
        <v>2.8986812300204155E-5</v>
      </c>
      <c r="M34">
        <v>1.7994280049845723E-6</v>
      </c>
      <c r="N34" s="1">
        <v>-1.0115671694368099E-7</v>
      </c>
      <c r="O34" s="1">
        <v>3.84306651738229E-11</v>
      </c>
      <c r="P34" s="1">
        <v>3.7476977275253401E-10</v>
      </c>
      <c r="Q34">
        <v>66.127945230206905</v>
      </c>
      <c r="S34">
        <v>19.0352720284274</v>
      </c>
      <c r="AA34">
        <v>0.274242336502313</v>
      </c>
      <c r="AB34">
        <v>4.9309435401619801</v>
      </c>
      <c r="AC34">
        <v>9.6315968647013701</v>
      </c>
      <c r="AJ34">
        <v>0.431805013752946</v>
      </c>
      <c r="AK34">
        <v>1.3270978376885701E-2</v>
      </c>
      <c r="AL34">
        <v>0.55492400787016705</v>
      </c>
    </row>
    <row r="35" spans="1:38" x14ac:dyDescent="0.2">
      <c r="A35">
        <v>79</v>
      </c>
      <c r="B35">
        <v>745</v>
      </c>
      <c r="C35">
        <v>240</v>
      </c>
      <c r="D35">
        <v>0.33141531208564601</v>
      </c>
      <c r="E35">
        <v>8.7849638935682997</v>
      </c>
      <c r="F35">
        <v>2.5681994588969101</v>
      </c>
      <c r="G35">
        <v>-141.91656403543416</v>
      </c>
      <c r="H35">
        <v>-123.20435432200168</v>
      </c>
      <c r="I35">
        <v>18.378637443826999</v>
      </c>
      <c r="J35">
        <v>10.7769535871579</v>
      </c>
      <c r="K35">
        <v>3.42067040904276</v>
      </c>
      <c r="L35">
        <v>3.203157569360917E-5</v>
      </c>
      <c r="M35">
        <v>1.8207918252254468E-6</v>
      </c>
      <c r="N35" s="1">
        <v>-1.8306108490400199E-7</v>
      </c>
      <c r="O35" s="1">
        <v>3.0004632101642498E-11</v>
      </c>
      <c r="P35" s="1">
        <v>6.0386584847986095E-10</v>
      </c>
      <c r="Q35">
        <v>65.629044656283</v>
      </c>
      <c r="S35">
        <v>21.018567258853199</v>
      </c>
      <c r="AA35">
        <v>2.0268928374397901</v>
      </c>
      <c r="AB35">
        <v>9.0186366536839309</v>
      </c>
      <c r="AC35">
        <v>2.3068585937399901</v>
      </c>
      <c r="AJ35">
        <v>0.77370410907812204</v>
      </c>
      <c r="AK35">
        <v>9.6089424306085205E-2</v>
      </c>
      <c r="AL35">
        <v>0.13020646661579199</v>
      </c>
    </row>
    <row r="36" spans="1:38" x14ac:dyDescent="0.2">
      <c r="A36">
        <v>79</v>
      </c>
      <c r="B36">
        <v>745</v>
      </c>
      <c r="C36">
        <v>240</v>
      </c>
      <c r="D36">
        <v>0.33141531208564601</v>
      </c>
      <c r="E36">
        <v>17.392371534009602</v>
      </c>
      <c r="F36">
        <v>2.5249298007665799</v>
      </c>
      <c r="G36">
        <v>-274.71921475680267</v>
      </c>
      <c r="H36">
        <v>-238.21069920554109</v>
      </c>
      <c r="I36">
        <v>35.857698326633098</v>
      </c>
      <c r="J36">
        <v>20.766215796083099</v>
      </c>
      <c r="K36">
        <v>6.8882594394225203</v>
      </c>
      <c r="L36">
        <v>2.9001059127950944E-5</v>
      </c>
      <c r="M36">
        <v>1.7994439344338371E-6</v>
      </c>
      <c r="N36" s="1">
        <v>-1.77136351086624E-7</v>
      </c>
      <c r="O36" s="1">
        <v>6.5185343229086601E-11</v>
      </c>
      <c r="P36" s="1">
        <v>6.5161707361165796E-10</v>
      </c>
      <c r="Q36">
        <v>66.125771429583693</v>
      </c>
      <c r="S36">
        <v>19.031256420354602</v>
      </c>
      <c r="AA36">
        <v>0.27143664538339402</v>
      </c>
      <c r="AB36">
        <v>4.9155719034003802</v>
      </c>
      <c r="AC36">
        <v>9.6559636012778292</v>
      </c>
      <c r="AJ36">
        <v>0.43049248407172003</v>
      </c>
      <c r="AK36">
        <v>1.31362313967821E-2</v>
      </c>
      <c r="AL36">
        <v>0.55637128453149698</v>
      </c>
    </row>
    <row r="37" spans="1:38" x14ac:dyDescent="0.2">
      <c r="A37">
        <v>80</v>
      </c>
      <c r="B37">
        <v>744</v>
      </c>
      <c r="C37">
        <v>240</v>
      </c>
      <c r="D37">
        <v>0.33068918055350899</v>
      </c>
      <c r="E37">
        <v>15.234790591028499</v>
      </c>
      <c r="F37">
        <v>2.5681250806995699</v>
      </c>
      <c r="G37">
        <v>-246.07715493322598</v>
      </c>
      <c r="H37">
        <v>-213.6761937103513</v>
      </c>
      <c r="I37">
        <v>31.854653908346499</v>
      </c>
      <c r="J37">
        <v>18.699859897580101</v>
      </c>
      <c r="K37">
        <v>5.9322619079279697</v>
      </c>
      <c r="L37">
        <v>3.2100298260656584E-5</v>
      </c>
      <c r="M37">
        <v>1.821494538173323E-6</v>
      </c>
      <c r="N37" s="1">
        <v>-3.28075479447496E-7</v>
      </c>
      <c r="O37" s="1">
        <v>5.1962230170649702E-11</v>
      </c>
      <c r="P37" s="1">
        <v>1.0775180757617899E-9</v>
      </c>
      <c r="Q37">
        <v>65.648824763976606</v>
      </c>
      <c r="S37">
        <v>21.005288246774899</v>
      </c>
      <c r="AA37">
        <v>2.0113220987900702</v>
      </c>
      <c r="AB37">
        <v>9.0279029065595502</v>
      </c>
      <c r="AC37">
        <v>2.3066619838987701</v>
      </c>
      <c r="AJ37">
        <v>0.77446367567148</v>
      </c>
      <c r="AK37">
        <v>9.5346902537157802E-2</v>
      </c>
      <c r="AL37">
        <v>0.130189421791361</v>
      </c>
    </row>
    <row r="38" spans="1:38" x14ac:dyDescent="0.2">
      <c r="A38">
        <v>80</v>
      </c>
      <c r="B38">
        <v>744</v>
      </c>
      <c r="C38">
        <v>240</v>
      </c>
      <c r="D38">
        <v>0.33068918055350899</v>
      </c>
      <c r="E38">
        <v>30.463548024756498</v>
      </c>
      <c r="F38">
        <v>2.5249533265974602</v>
      </c>
      <c r="G38">
        <v>-481.11345390892171</v>
      </c>
      <c r="H38">
        <v>-417.26705868812019</v>
      </c>
      <c r="I38">
        <v>62.769891580200998</v>
      </c>
      <c r="J38">
        <v>36.381675047177801</v>
      </c>
      <c r="K38">
        <v>12.064994510535399</v>
      </c>
      <c r="L38">
        <v>2.9027831700017276E-5</v>
      </c>
      <c r="M38">
        <v>1.7996351834264615E-6</v>
      </c>
      <c r="N38" s="1">
        <v>-3.2127163092963301E-7</v>
      </c>
      <c r="O38" s="1">
        <v>1.1409251828945E-10</v>
      </c>
      <c r="P38" s="1">
        <v>1.1728178731053399E-9</v>
      </c>
      <c r="Q38">
        <v>66.128623968447201</v>
      </c>
      <c r="S38">
        <v>19.028291428652299</v>
      </c>
      <c r="AA38">
        <v>0.26832489592279801</v>
      </c>
      <c r="AB38">
        <v>4.9141555220878299</v>
      </c>
      <c r="AC38">
        <v>9.6606041848897792</v>
      </c>
      <c r="AJ38">
        <v>0.43037156087464001</v>
      </c>
      <c r="AK38">
        <v>1.2985731781762501E-2</v>
      </c>
      <c r="AL38">
        <v>0.556642707343596</v>
      </c>
    </row>
    <row r="39" spans="1:38" x14ac:dyDescent="0.2">
      <c r="A39">
        <v>81</v>
      </c>
      <c r="B39">
        <v>743</v>
      </c>
      <c r="C39">
        <v>240</v>
      </c>
      <c r="D39">
        <v>0.32996161983958999</v>
      </c>
      <c r="E39">
        <v>18.529604348362799</v>
      </c>
      <c r="F39">
        <v>2.5681738832207301</v>
      </c>
      <c r="G39">
        <v>-299.26253246235507</v>
      </c>
      <c r="H39">
        <v>-259.91499572740247</v>
      </c>
      <c r="I39">
        <v>38.7221736308149</v>
      </c>
      <c r="J39">
        <v>22.757232060047201</v>
      </c>
      <c r="K39">
        <v>7.2150894724951096</v>
      </c>
      <c r="L39">
        <v>3.2166862070304495E-5</v>
      </c>
      <c r="M39">
        <v>1.8219851015882677E-6</v>
      </c>
      <c r="N39" s="1">
        <v>-4.12328044872802E-7</v>
      </c>
      <c r="O39" s="1">
        <v>6.3095617595037495E-11</v>
      </c>
      <c r="P39" s="1">
        <v>1.3485001182170599E-9</v>
      </c>
      <c r="Q39">
        <v>65.657989180531303</v>
      </c>
      <c r="S39">
        <v>21.0006103067083</v>
      </c>
      <c r="AA39">
        <v>2.0053243590194598</v>
      </c>
      <c r="AB39">
        <v>9.0360614894169604</v>
      </c>
      <c r="AC39">
        <v>2.3000146643238999</v>
      </c>
      <c r="AJ39">
        <v>0.77513225945831199</v>
      </c>
      <c r="AK39">
        <v>9.5058740072988396E-2</v>
      </c>
      <c r="AL39">
        <v>0.129809000468698</v>
      </c>
    </row>
    <row r="40" spans="1:38" x14ac:dyDescent="0.2">
      <c r="A40">
        <v>81</v>
      </c>
      <c r="B40">
        <v>743</v>
      </c>
      <c r="C40">
        <v>240</v>
      </c>
      <c r="D40">
        <v>0.32996161983958999</v>
      </c>
      <c r="E40">
        <v>37.0041846990663</v>
      </c>
      <c r="F40">
        <v>2.5249662600203902</v>
      </c>
      <c r="G40">
        <v>-584.30780690190772</v>
      </c>
      <c r="H40">
        <v>-506.87759508470128</v>
      </c>
      <c r="I40">
        <v>76.199588463520598</v>
      </c>
      <c r="J40">
        <v>44.201825748951201</v>
      </c>
      <c r="K40">
        <v>14.6553184828566</v>
      </c>
      <c r="L40">
        <v>2.9049486273409884E-5</v>
      </c>
      <c r="M40">
        <v>1.7997407384065808E-6</v>
      </c>
      <c r="N40" s="1">
        <v>-4.0335703455552901E-7</v>
      </c>
      <c r="O40" s="1">
        <v>1.3849618362390001E-10</v>
      </c>
      <c r="P40" s="1">
        <v>1.4620277524441099E-9</v>
      </c>
      <c r="Q40">
        <v>66.128897379414099</v>
      </c>
      <c r="S40">
        <v>19.024825653805099</v>
      </c>
      <c r="AA40">
        <v>0.26540179947585102</v>
      </c>
      <c r="AB40">
        <v>4.9056788244246503</v>
      </c>
      <c r="AC40">
        <v>9.6751963428801293</v>
      </c>
      <c r="AJ40">
        <v>0.42964768056743402</v>
      </c>
      <c r="AK40">
        <v>1.28448197315542E-2</v>
      </c>
      <c r="AL40">
        <v>0.55750749970101099</v>
      </c>
    </row>
    <row r="41" spans="1:38" x14ac:dyDescent="0.2">
      <c r="A41">
        <v>82</v>
      </c>
      <c r="B41">
        <v>742</v>
      </c>
      <c r="C41">
        <v>240</v>
      </c>
      <c r="D41">
        <v>0.32923262572033701</v>
      </c>
      <c r="E41">
        <v>19.472208986785901</v>
      </c>
      <c r="F41">
        <v>2.5682758722663301</v>
      </c>
      <c r="G41">
        <v>-314.45390243543619</v>
      </c>
      <c r="H41">
        <v>-273.16880326623613</v>
      </c>
      <c r="I41">
        <v>40.6689643591587</v>
      </c>
      <c r="J41">
        <v>23.929152402243901</v>
      </c>
      <c r="K41">
        <v>7.5818214067490297</v>
      </c>
      <c r="L41">
        <v>3.2233608921291883E-5</v>
      </c>
      <c r="M41">
        <v>1.8223873545091871E-6</v>
      </c>
      <c r="N41" s="1">
        <v>-4.4773950163806002E-7</v>
      </c>
      <c r="O41" s="1">
        <v>6.6185430932243295E-11</v>
      </c>
      <c r="P41" s="1">
        <v>1.4582575971200501E-9</v>
      </c>
      <c r="Q41">
        <v>65.662572989773807</v>
      </c>
      <c r="S41">
        <v>20.999639300471301</v>
      </c>
      <c r="AA41">
        <v>2.0034536997095298</v>
      </c>
      <c r="AB41">
        <v>9.0437306434501199</v>
      </c>
      <c r="AC41">
        <v>2.2906033665951702</v>
      </c>
      <c r="AJ41">
        <v>0.77576062334851503</v>
      </c>
      <c r="AK41">
        <v>9.4966452083970601E-2</v>
      </c>
      <c r="AL41">
        <v>0.12927292456751299</v>
      </c>
    </row>
    <row r="42" spans="1:38" x14ac:dyDescent="0.2">
      <c r="A42">
        <v>82</v>
      </c>
      <c r="B42">
        <v>742</v>
      </c>
      <c r="C42">
        <v>240</v>
      </c>
      <c r="D42">
        <v>0.32923262572033701</v>
      </c>
      <c r="E42">
        <v>38.721659972792899</v>
      </c>
      <c r="F42">
        <v>2.52497508319501</v>
      </c>
      <c r="G42">
        <v>-611.3122412310563</v>
      </c>
      <c r="H42">
        <v>-530.41950948969668</v>
      </c>
      <c r="I42">
        <v>79.685496469841397</v>
      </c>
      <c r="J42">
        <v>46.2621123082629</v>
      </c>
      <c r="K42">
        <v>15.3354622112927</v>
      </c>
      <c r="L42">
        <v>2.9069360790801863E-5</v>
      </c>
      <c r="M42">
        <v>1.7998103025037392E-6</v>
      </c>
      <c r="N42" s="1">
        <v>-4.3590729893427002E-7</v>
      </c>
      <c r="O42" s="1">
        <v>1.4482923502516499E-10</v>
      </c>
      <c r="P42" s="1">
        <v>1.56928972831667E-9</v>
      </c>
      <c r="Q42">
        <v>66.128037757849299</v>
      </c>
      <c r="S42">
        <v>19.021160847748199</v>
      </c>
      <c r="AA42">
        <v>0.26257887789465501</v>
      </c>
      <c r="AB42">
        <v>4.8941554383230397</v>
      </c>
      <c r="AC42">
        <v>9.6940670781846592</v>
      </c>
      <c r="AJ42">
        <v>0.42866351299101602</v>
      </c>
      <c r="AK42">
        <v>1.2708940275105499E-2</v>
      </c>
      <c r="AL42">
        <v>0.55862754673387804</v>
      </c>
    </row>
    <row r="43" spans="1:38" x14ac:dyDescent="0.2">
      <c r="A43">
        <v>89</v>
      </c>
      <c r="B43">
        <v>751</v>
      </c>
      <c r="C43">
        <v>220</v>
      </c>
      <c r="D43">
        <v>0.35722355123761301</v>
      </c>
      <c r="E43">
        <v>1.4046042985260101</v>
      </c>
      <c r="F43">
        <v>2.5664318840268399</v>
      </c>
      <c r="G43">
        <v>-22.71944914475986</v>
      </c>
      <c r="H43">
        <v>-19.699022467086664</v>
      </c>
      <c r="I43">
        <v>2.9492034151961999</v>
      </c>
      <c r="J43">
        <v>1.7182481622797701</v>
      </c>
      <c r="K43">
        <v>0.54729849144568998</v>
      </c>
      <c r="L43">
        <v>3.1725786740119522E-5</v>
      </c>
      <c r="M43">
        <v>1.8217290740342535E-6</v>
      </c>
      <c r="N43" s="1">
        <v>-2.3879239582232199E-8</v>
      </c>
      <c r="O43" s="1">
        <v>4.84607129255884E-12</v>
      </c>
      <c r="P43" s="1">
        <v>8.1100162590868695E-11</v>
      </c>
      <c r="Q43">
        <v>65.676973519019896</v>
      </c>
      <c r="S43">
        <v>20.987861785669899</v>
      </c>
      <c r="AA43">
        <v>1.99037696277456</v>
      </c>
      <c r="AB43">
        <v>9.0449451645163297</v>
      </c>
      <c r="AC43">
        <v>2.2998425680191898</v>
      </c>
      <c r="AJ43">
        <v>0.775860342149299</v>
      </c>
      <c r="AK43">
        <v>9.4346054311396102E-2</v>
      </c>
      <c r="AL43">
        <v>0.129793603539304</v>
      </c>
    </row>
    <row r="44" spans="1:38" x14ac:dyDescent="0.2">
      <c r="A44">
        <v>90</v>
      </c>
      <c r="B44">
        <v>750</v>
      </c>
      <c r="C44">
        <v>220</v>
      </c>
      <c r="D44">
        <v>0.356526902213751</v>
      </c>
      <c r="E44">
        <v>4.4140046026895199</v>
      </c>
      <c r="F44">
        <v>2.5651182455530699</v>
      </c>
      <c r="G44">
        <v>-71.354074535803363</v>
      </c>
      <c r="H44">
        <v>-61.877034655900651</v>
      </c>
      <c r="I44">
        <v>9.2626104480308005</v>
      </c>
      <c r="J44">
        <v>5.39983257478944</v>
      </c>
      <c r="K44">
        <v>1.7207801668955001</v>
      </c>
      <c r="L44">
        <v>3.1745611544155737E-5</v>
      </c>
      <c r="M44">
        <v>1.8227085546151336E-6</v>
      </c>
      <c r="N44" s="1">
        <v>-7.6860910119248098E-8</v>
      </c>
      <c r="O44" s="1">
        <v>1.52484962574401E-11</v>
      </c>
      <c r="P44" s="1">
        <v>2.6001823518960199E-10</v>
      </c>
      <c r="Q44">
        <v>65.740649985011601</v>
      </c>
      <c r="S44">
        <v>20.911522194118501</v>
      </c>
      <c r="AA44">
        <v>1.9125379852636299</v>
      </c>
      <c r="AB44">
        <v>8.9867105907071494</v>
      </c>
      <c r="AC44">
        <v>2.4485792448989998</v>
      </c>
      <c r="AJ44">
        <v>0.77108933702895799</v>
      </c>
      <c r="AK44">
        <v>9.0682774993917206E-2</v>
      </c>
      <c r="AL44">
        <v>0.13822788797712399</v>
      </c>
    </row>
    <row r="45" spans="1:38" x14ac:dyDescent="0.2">
      <c r="A45">
        <v>90</v>
      </c>
      <c r="B45">
        <v>750</v>
      </c>
      <c r="C45">
        <v>220</v>
      </c>
      <c r="D45">
        <v>0.356526902213751</v>
      </c>
      <c r="E45">
        <v>5.2201102614827501</v>
      </c>
      <c r="F45">
        <v>2.5242910779826899</v>
      </c>
      <c r="G45">
        <v>-82.620156554158442</v>
      </c>
      <c r="H45">
        <v>-71.565191175596055</v>
      </c>
      <c r="I45">
        <v>10.804833483421101</v>
      </c>
      <c r="J45">
        <v>6.23241896539274</v>
      </c>
      <c r="K45">
        <v>2.0679510009814002</v>
      </c>
      <c r="L45">
        <v>2.8998905310867578E-5</v>
      </c>
      <c r="M45">
        <v>1.8019368873047988E-6</v>
      </c>
      <c r="N45" s="1">
        <v>-4.5844104566016099E-8</v>
      </c>
      <c r="O45" s="1">
        <v>1.9596032750143601E-11</v>
      </c>
      <c r="P45" s="1">
        <v>1.74682014049483E-10</v>
      </c>
      <c r="Q45">
        <v>66.171968435563699</v>
      </c>
      <c r="S45">
        <v>19.064254944156499</v>
      </c>
      <c r="AA45">
        <v>0.28788132560594798</v>
      </c>
      <c r="AB45">
        <v>5.1050293744897903</v>
      </c>
      <c r="AC45">
        <v>9.3708659201839399</v>
      </c>
      <c r="AJ45">
        <v>0.44665548976344399</v>
      </c>
      <c r="AK45">
        <v>1.3918701304203199E-2</v>
      </c>
      <c r="AL45">
        <v>0.53942580893235104</v>
      </c>
    </row>
    <row r="46" spans="1:38" x14ac:dyDescent="0.2">
      <c r="A46">
        <v>91</v>
      </c>
      <c r="B46">
        <v>749</v>
      </c>
      <c r="C46">
        <v>220</v>
      </c>
      <c r="D46">
        <v>0.35582889008462698</v>
      </c>
      <c r="E46">
        <v>8.0370954052125398</v>
      </c>
      <c r="F46">
        <v>2.5656997023294399</v>
      </c>
      <c r="G46">
        <v>-129.92142849764156</v>
      </c>
      <c r="H46">
        <v>-112.69263257918148</v>
      </c>
      <c r="I46">
        <v>16.8554477507803</v>
      </c>
      <c r="J46">
        <v>9.8365466607071301</v>
      </c>
      <c r="K46">
        <v>3.1325160142145698</v>
      </c>
      <c r="L46">
        <v>3.1785900263028846E-5</v>
      </c>
      <c r="M46">
        <v>1.8222817229622803E-6</v>
      </c>
      <c r="N46" s="1">
        <v>-1.44508383232779E-7</v>
      </c>
      <c r="O46" s="1">
        <v>2.7702235886309302E-11</v>
      </c>
      <c r="P46" s="1">
        <v>4.8653444245636598E-10</v>
      </c>
      <c r="Q46">
        <v>65.705735189617002</v>
      </c>
      <c r="S46">
        <v>20.943302127897699</v>
      </c>
      <c r="AA46">
        <v>1.9469036462215501</v>
      </c>
      <c r="AB46">
        <v>8.9922200693023004</v>
      </c>
      <c r="AC46">
        <v>2.41183896696133</v>
      </c>
      <c r="AJ46">
        <v>0.77154038596895202</v>
      </c>
      <c r="AK46">
        <v>9.2309624810933702E-2</v>
      </c>
      <c r="AL46">
        <v>0.13614998922011301</v>
      </c>
    </row>
    <row r="47" spans="1:38" x14ac:dyDescent="0.2">
      <c r="A47">
        <v>91</v>
      </c>
      <c r="B47">
        <v>749</v>
      </c>
      <c r="C47">
        <v>220</v>
      </c>
      <c r="D47">
        <v>0.35582889008462698</v>
      </c>
      <c r="E47">
        <v>14.257297713179099</v>
      </c>
      <c r="F47">
        <v>2.5242390010379299</v>
      </c>
      <c r="G47">
        <v>-225.58423615434532</v>
      </c>
      <c r="H47">
        <v>-195.44345536671352</v>
      </c>
      <c r="I47">
        <v>29.487629787831299</v>
      </c>
      <c r="J47">
        <v>17.021346087907101</v>
      </c>
      <c r="K47">
        <v>5.6481568137235199</v>
      </c>
      <c r="L47">
        <v>2.8990779025235012E-5</v>
      </c>
      <c r="M47">
        <v>1.8016435603938401E-6</v>
      </c>
      <c r="N47" s="1">
        <v>-1.2838849101108801E-7</v>
      </c>
      <c r="O47" s="1">
        <v>5.3510847351723202E-11</v>
      </c>
      <c r="P47" s="1">
        <v>4.8614389650982105E-10</v>
      </c>
      <c r="Q47">
        <v>66.161279607759695</v>
      </c>
      <c r="S47">
        <v>19.058074611523601</v>
      </c>
      <c r="AA47">
        <v>0.285276579744631</v>
      </c>
      <c r="AB47">
        <v>5.0650073493454002</v>
      </c>
      <c r="AC47">
        <v>9.4303618516265502</v>
      </c>
      <c r="AJ47">
        <v>0.44324370591498202</v>
      </c>
      <c r="AK47">
        <v>1.3795562299294699E-2</v>
      </c>
      <c r="AL47">
        <v>0.54296073178572302</v>
      </c>
    </row>
    <row r="48" spans="1:38" x14ac:dyDescent="0.2">
      <c r="A48">
        <v>92</v>
      </c>
      <c r="B48">
        <v>748</v>
      </c>
      <c r="C48">
        <v>220</v>
      </c>
      <c r="D48">
        <v>0.355129510845618</v>
      </c>
      <c r="E48">
        <v>13.0716189893476</v>
      </c>
      <c r="F48">
        <v>2.5662259070720999</v>
      </c>
      <c r="G48">
        <v>-211.3009716483682</v>
      </c>
      <c r="H48">
        <v>-183.32395958860988</v>
      </c>
      <c r="I48">
        <v>27.397553796952799</v>
      </c>
      <c r="J48">
        <v>16.005700800357399</v>
      </c>
      <c r="K48">
        <v>5.0937132827333604</v>
      </c>
      <c r="L48">
        <v>3.1828678904376802E-5</v>
      </c>
      <c r="M48">
        <v>1.8219349730187281E-6</v>
      </c>
      <c r="N48" s="1">
        <v>-2.4269243917201399E-7</v>
      </c>
      <c r="O48" s="1">
        <v>4.4955957091501302E-11</v>
      </c>
      <c r="P48" s="1">
        <v>8.1328311281430099E-10</v>
      </c>
      <c r="Q48">
        <v>65.674861687686203</v>
      </c>
      <c r="S48">
        <v>20.971538500837301</v>
      </c>
      <c r="AA48">
        <v>1.97740285262174</v>
      </c>
      <c r="AB48">
        <v>8.9974454482606898</v>
      </c>
      <c r="AC48">
        <v>2.3787515105939199</v>
      </c>
      <c r="AJ48">
        <v>0.77196818756148999</v>
      </c>
      <c r="AK48">
        <v>9.3753206054137894E-2</v>
      </c>
      <c r="AL48">
        <v>0.134278606384371</v>
      </c>
    </row>
    <row r="49" spans="1:38" x14ac:dyDescent="0.2">
      <c r="A49">
        <v>92</v>
      </c>
      <c r="B49">
        <v>748</v>
      </c>
      <c r="C49">
        <v>220</v>
      </c>
      <c r="D49">
        <v>0.355129510845618</v>
      </c>
      <c r="E49">
        <v>25.959076392186098</v>
      </c>
      <c r="F49">
        <v>2.5241966425325502</v>
      </c>
      <c r="G49">
        <v>-410.61294484944756</v>
      </c>
      <c r="H49">
        <v>-355.82907398036366</v>
      </c>
      <c r="I49">
        <v>53.649190490215901</v>
      </c>
      <c r="J49">
        <v>30.991123361521499</v>
      </c>
      <c r="K49">
        <v>10.2840943351153</v>
      </c>
      <c r="L49">
        <v>2.898590494381953E-5</v>
      </c>
      <c r="M49">
        <v>1.8013951478428208E-6</v>
      </c>
      <c r="N49" s="1">
        <v>-2.39913212364152E-7</v>
      </c>
      <c r="O49" s="1">
        <v>9.7406336549374105E-11</v>
      </c>
      <c r="P49" s="1">
        <v>9.0266136661213804E-10</v>
      </c>
      <c r="Q49">
        <v>66.151774831646605</v>
      </c>
      <c r="S49">
        <v>19.052246174331099</v>
      </c>
      <c r="AA49">
        <v>0.28268586894982001</v>
      </c>
      <c r="AB49">
        <v>5.02854645955445</v>
      </c>
      <c r="AC49">
        <v>9.4847466655179105</v>
      </c>
      <c r="AJ49">
        <v>0.440134297775368</v>
      </c>
      <c r="AK49">
        <v>1.3672805479152599E-2</v>
      </c>
      <c r="AL49">
        <v>0.546192896745478</v>
      </c>
    </row>
    <row r="50" spans="1:38" x14ac:dyDescent="0.2">
      <c r="A50">
        <v>93</v>
      </c>
      <c r="B50">
        <v>747</v>
      </c>
      <c r="C50">
        <v>220</v>
      </c>
      <c r="D50">
        <v>0.35442876047640198</v>
      </c>
      <c r="E50">
        <v>17.073455123119501</v>
      </c>
      <c r="F50">
        <v>2.5666124121480198</v>
      </c>
      <c r="G50">
        <v>-275.9765626661889</v>
      </c>
      <c r="H50">
        <v>-239.49162849187405</v>
      </c>
      <c r="I50">
        <v>35.7642838546438</v>
      </c>
      <c r="J50">
        <v>20.915897608200702</v>
      </c>
      <c r="K50">
        <v>6.6521361161931596</v>
      </c>
      <c r="L50">
        <v>3.1876818319887233E-5</v>
      </c>
      <c r="M50">
        <v>1.8218198430528817E-6</v>
      </c>
      <c r="N50" s="1">
        <v>-3.2737200732961099E-7</v>
      </c>
      <c r="O50" s="1">
        <v>5.8601317551836499E-11</v>
      </c>
      <c r="P50" s="1">
        <v>1.0920063023251701E-9</v>
      </c>
      <c r="Q50">
        <v>65.655379063651296</v>
      </c>
      <c r="S50">
        <v>20.990296655969701</v>
      </c>
      <c r="AA50">
        <v>1.9974245266481201</v>
      </c>
      <c r="AB50">
        <v>9.0032064076213398</v>
      </c>
      <c r="AC50">
        <v>2.3536933461095102</v>
      </c>
      <c r="AJ50">
        <v>0.77244003617412904</v>
      </c>
      <c r="AK50">
        <v>9.46997292363536E-2</v>
      </c>
      <c r="AL50">
        <v>0.13286023458951601</v>
      </c>
    </row>
    <row r="51" spans="1:38" x14ac:dyDescent="0.2">
      <c r="A51">
        <v>93</v>
      </c>
      <c r="B51">
        <v>747</v>
      </c>
      <c r="C51">
        <v>220</v>
      </c>
      <c r="D51">
        <v>0.35442876047640198</v>
      </c>
      <c r="E51">
        <v>34.901205356366503</v>
      </c>
      <c r="F51">
        <v>2.5241716139326802</v>
      </c>
      <c r="G51">
        <v>-551.91378853181379</v>
      </c>
      <c r="H51">
        <v>-478.38327433889776</v>
      </c>
      <c r="I51">
        <v>72.078139678396298</v>
      </c>
      <c r="J51">
        <v>41.668268430544401</v>
      </c>
      <c r="K51">
        <v>13.826795754980401</v>
      </c>
      <c r="L51">
        <v>2.8988319316020346E-5</v>
      </c>
      <c r="M51">
        <v>1.8012512283758483E-6</v>
      </c>
      <c r="N51" s="1">
        <v>-3.31747537646859E-7</v>
      </c>
      <c r="O51" s="1">
        <v>1.3091365690268001E-10</v>
      </c>
      <c r="P51" s="1">
        <v>1.2398149298289799E-9</v>
      </c>
      <c r="Q51">
        <v>66.145189898366397</v>
      </c>
      <c r="S51">
        <v>19.047129976544401</v>
      </c>
      <c r="AA51">
        <v>0.28000145754927602</v>
      </c>
      <c r="AB51">
        <v>5.0004595111606402</v>
      </c>
      <c r="AC51">
        <v>9.5272191563791502</v>
      </c>
      <c r="AJ51">
        <v>0.437738247623493</v>
      </c>
      <c r="AK51">
        <v>1.3544895608989801E-2</v>
      </c>
      <c r="AL51">
        <v>0.54871685676751603</v>
      </c>
    </row>
    <row r="52" spans="1:38" x14ac:dyDescent="0.2">
      <c r="A52">
        <v>94</v>
      </c>
      <c r="B52">
        <v>746</v>
      </c>
      <c r="C52">
        <v>220</v>
      </c>
      <c r="D52">
        <v>0.35372663494088302</v>
      </c>
      <c r="E52">
        <v>18.649682756210101</v>
      </c>
      <c r="F52">
        <v>2.5668635465240399</v>
      </c>
      <c r="G52">
        <v>-301.43232473513234</v>
      </c>
      <c r="H52">
        <v>-261.64102193301045</v>
      </c>
      <c r="I52">
        <v>39.043617526489598</v>
      </c>
      <c r="J52">
        <v>22.8583792535524</v>
      </c>
      <c r="K52">
        <v>7.2655528500783904</v>
      </c>
      <c r="L52">
        <v>3.1930590767485232E-5</v>
      </c>
      <c r="M52">
        <v>1.8219382465389422E-6</v>
      </c>
      <c r="N52" s="1">
        <v>-3.6936836045824102E-7</v>
      </c>
      <c r="O52" s="1">
        <v>6.3895162165227898E-11</v>
      </c>
      <c r="P52" s="1">
        <v>1.22651468153326E-9</v>
      </c>
      <c r="Q52">
        <v>65.647222332731801</v>
      </c>
      <c r="S52">
        <v>20.9997391053409</v>
      </c>
      <c r="AA52">
        <v>2.0071179057127102</v>
      </c>
      <c r="AB52">
        <v>9.0097841787425796</v>
      </c>
      <c r="AC52">
        <v>2.3361364774719</v>
      </c>
      <c r="AJ52">
        <v>0.77297897021826101</v>
      </c>
      <c r="AK52">
        <v>9.5156172797766794E-2</v>
      </c>
      <c r="AL52">
        <v>0.13186485698397099</v>
      </c>
    </row>
    <row r="53" spans="1:38" x14ac:dyDescent="0.2">
      <c r="A53">
        <v>94</v>
      </c>
      <c r="B53">
        <v>746</v>
      </c>
      <c r="C53">
        <v>220</v>
      </c>
      <c r="D53">
        <v>0.35372663494088302</v>
      </c>
      <c r="E53">
        <v>38.307412804121</v>
      </c>
      <c r="F53">
        <v>2.5241619224615</v>
      </c>
      <c r="G53">
        <v>-605.64176721058709</v>
      </c>
      <c r="H53">
        <v>-525.06859418926638</v>
      </c>
      <c r="I53">
        <v>79.059189541599096</v>
      </c>
      <c r="J53">
        <v>45.739339589815302</v>
      </c>
      <c r="K53">
        <v>15.176289786815399</v>
      </c>
      <c r="L53">
        <v>2.8997838957451908E-5</v>
      </c>
      <c r="M53">
        <v>1.8012069254055001E-6</v>
      </c>
      <c r="N53" s="1">
        <v>-3.7525959969685503E-7</v>
      </c>
      <c r="O53" s="1">
        <v>1.43624174015516E-10</v>
      </c>
      <c r="P53" s="1">
        <v>1.39260493908238E-9</v>
      </c>
      <c r="Q53">
        <v>66.1414009860123</v>
      </c>
      <c r="S53">
        <v>19.042672723194499</v>
      </c>
      <c r="AA53">
        <v>0.277208268797002</v>
      </c>
      <c r="AB53">
        <v>4.9803308539935998</v>
      </c>
      <c r="AC53">
        <v>9.5583871680024792</v>
      </c>
      <c r="AJ53">
        <v>0.436020694392527</v>
      </c>
      <c r="AK53">
        <v>1.3411145625752E-2</v>
      </c>
      <c r="AL53">
        <v>0.55056815998172004</v>
      </c>
    </row>
    <row r="54" spans="1:38" x14ac:dyDescent="0.2">
      <c r="A54">
        <v>95</v>
      </c>
      <c r="B54">
        <v>745</v>
      </c>
      <c r="C54">
        <v>220</v>
      </c>
      <c r="D54">
        <v>0.35302313018710402</v>
      </c>
      <c r="E54">
        <v>19.283910481997999</v>
      </c>
      <c r="F54">
        <v>2.5670268184027498</v>
      </c>
      <c r="G54">
        <v>-311.65491640796409</v>
      </c>
      <c r="H54">
        <v>-270.57410522757232</v>
      </c>
      <c r="I54">
        <v>40.348486156648498</v>
      </c>
      <c r="J54">
        <v>23.648143474770499</v>
      </c>
      <c r="K54">
        <v>7.5121577787008702</v>
      </c>
      <c r="L54">
        <v>3.1988763317746189E-5</v>
      </c>
      <c r="M54">
        <v>1.8222129246253498E-6</v>
      </c>
      <c r="N54" s="1">
        <v>-3.9455992164805902E-7</v>
      </c>
      <c r="O54" s="1">
        <v>6.59549402414702E-11</v>
      </c>
      <c r="P54" s="1">
        <v>1.3043368994766599E-9</v>
      </c>
      <c r="Q54">
        <v>65.646511002840796</v>
      </c>
      <c r="S54">
        <v>21.003089521003499</v>
      </c>
      <c r="AA54">
        <v>2.01004801204546</v>
      </c>
      <c r="AB54">
        <v>9.0169825684637708</v>
      </c>
      <c r="AC54">
        <v>2.3233688956463499</v>
      </c>
      <c r="AJ54">
        <v>0.77356883998946302</v>
      </c>
      <c r="AK54">
        <v>9.5291674591634803E-2</v>
      </c>
      <c r="AL54">
        <v>0.131139485418901</v>
      </c>
    </row>
    <row r="55" spans="1:38" x14ac:dyDescent="0.2">
      <c r="A55">
        <v>95</v>
      </c>
      <c r="B55">
        <v>745</v>
      </c>
      <c r="C55">
        <v>220</v>
      </c>
      <c r="D55">
        <v>0.35302313018710402</v>
      </c>
      <c r="E55">
        <v>39.517935922373802</v>
      </c>
      <c r="F55">
        <v>2.5241618973819202</v>
      </c>
      <c r="G55">
        <v>-624.65312610550279</v>
      </c>
      <c r="H55">
        <v>-541.66941072632505</v>
      </c>
      <c r="I55">
        <v>81.504410331658207</v>
      </c>
      <c r="J55">
        <v>47.191199849054598</v>
      </c>
      <c r="K55">
        <v>15.6558642151131</v>
      </c>
      <c r="L55">
        <v>2.9012246260941431E-5</v>
      </c>
      <c r="M55">
        <v>1.8012273428473306E-6</v>
      </c>
      <c r="N55" s="1">
        <v>-3.9947072934391101E-7</v>
      </c>
      <c r="O55" s="1">
        <v>1.48083041578298E-10</v>
      </c>
      <c r="P55" s="1">
        <v>1.47188627118332E-9</v>
      </c>
      <c r="Q55">
        <v>66.139405553231498</v>
      </c>
      <c r="S55">
        <v>19.0386401304369</v>
      </c>
      <c r="AA55">
        <v>0.27434694544166299</v>
      </c>
      <c r="AB55">
        <v>4.9653121728455103</v>
      </c>
      <c r="AC55">
        <v>9.5822951980443403</v>
      </c>
      <c r="AJ55">
        <v>0.43473894801735502</v>
      </c>
      <c r="AK55">
        <v>1.3273727923787899E-2</v>
      </c>
      <c r="AL55">
        <v>0.55198732405885598</v>
      </c>
    </row>
    <row r="56" spans="1:38" x14ac:dyDescent="0.2">
      <c r="A56">
        <v>98</v>
      </c>
      <c r="B56">
        <v>756</v>
      </c>
      <c r="C56">
        <v>200</v>
      </c>
      <c r="D56">
        <v>0.38206335325268598</v>
      </c>
      <c r="E56">
        <v>1.20786862444014</v>
      </c>
      <c r="F56">
        <v>2.5660396044165701</v>
      </c>
      <c r="G56">
        <v>-19.567335386180837</v>
      </c>
      <c r="H56">
        <v>-16.949431825975037</v>
      </c>
      <c r="I56">
        <v>2.5437531557166499</v>
      </c>
      <c r="J56">
        <v>1.4751689171014</v>
      </c>
      <c r="K56">
        <v>0.47071316528443202</v>
      </c>
      <c r="L56">
        <v>3.1526708159014369E-5</v>
      </c>
      <c r="M56">
        <v>1.8220470493450554E-6</v>
      </c>
      <c r="N56" s="1">
        <v>-1.7421367019381602E-8</v>
      </c>
      <c r="O56" s="1">
        <v>4.1877199137720598E-12</v>
      </c>
      <c r="P56" s="1">
        <v>6.0785267969328905E-11</v>
      </c>
      <c r="Q56">
        <v>65.657644945291096</v>
      </c>
      <c r="S56">
        <v>21.031068642456599</v>
      </c>
      <c r="AA56">
        <v>2.0305331204675299</v>
      </c>
      <c r="AB56">
        <v>9.1151448666593708</v>
      </c>
      <c r="AC56">
        <v>2.1656084251252801</v>
      </c>
      <c r="AJ56">
        <v>0.781608830609552</v>
      </c>
      <c r="AK56">
        <v>9.6215878647142802E-2</v>
      </c>
      <c r="AL56">
        <v>0.12217529074330501</v>
      </c>
    </row>
    <row r="57" spans="1:38" x14ac:dyDescent="0.2">
      <c r="A57">
        <v>99</v>
      </c>
      <c r="B57">
        <v>755</v>
      </c>
      <c r="C57">
        <v>200</v>
      </c>
      <c r="D57">
        <v>0.38139425181150599</v>
      </c>
      <c r="E57">
        <v>2.6801926331256598</v>
      </c>
      <c r="F57">
        <v>2.56378672666838</v>
      </c>
      <c r="G57">
        <v>-43.382202031818686</v>
      </c>
      <c r="H57">
        <v>-37.581909187036665</v>
      </c>
      <c r="I57">
        <v>5.6414850408812098</v>
      </c>
      <c r="J57">
        <v>3.2728640695680702</v>
      </c>
      <c r="K57">
        <v>1.04540389621587</v>
      </c>
      <c r="L57">
        <v>3.1545541105926969E-5</v>
      </c>
      <c r="M57">
        <v>1.8240303416997304E-6</v>
      </c>
      <c r="N57" s="1">
        <v>-3.94842168174085E-8</v>
      </c>
      <c r="O57" s="1">
        <v>9.3214603595018297E-12</v>
      </c>
      <c r="P57" s="1">
        <v>1.3721037494293801E-10</v>
      </c>
      <c r="Q57">
        <v>65.780678414227594</v>
      </c>
      <c r="S57">
        <v>20.897110472577101</v>
      </c>
      <c r="AA57">
        <v>1.89130808069395</v>
      </c>
      <c r="AB57">
        <v>9.0381295973040796</v>
      </c>
      <c r="AC57">
        <v>2.3927734351971099</v>
      </c>
      <c r="AJ57">
        <v>0.77530360026828204</v>
      </c>
      <c r="AK57">
        <v>8.9653305132583294E-2</v>
      </c>
      <c r="AL57">
        <v>0.13504309459913399</v>
      </c>
    </row>
    <row r="58" spans="1:38" x14ac:dyDescent="0.2">
      <c r="A58">
        <v>100</v>
      </c>
      <c r="B58">
        <v>754</v>
      </c>
      <c r="C58">
        <v>200</v>
      </c>
      <c r="D58">
        <v>0.38072384753930699</v>
      </c>
      <c r="E58">
        <v>5.0522103634196496</v>
      </c>
      <c r="F58">
        <v>2.5620918603473899</v>
      </c>
      <c r="G58">
        <v>-81.714927964369735</v>
      </c>
      <c r="H58">
        <v>-70.798569321372312</v>
      </c>
      <c r="I58">
        <v>10.627813506301299</v>
      </c>
      <c r="J58">
        <v>6.1683370133716497</v>
      </c>
      <c r="K58">
        <v>1.97190836191744</v>
      </c>
      <c r="L58">
        <v>3.1543432640944811E-5</v>
      </c>
      <c r="M58">
        <v>1.8249237725109277E-6</v>
      </c>
      <c r="N58" s="1">
        <v>-7.5939867836106405E-8</v>
      </c>
      <c r="O58" s="1">
        <v>1.7607982985926601E-11</v>
      </c>
      <c r="P58" s="1">
        <v>2.6290588534034801E-10</v>
      </c>
      <c r="Q58">
        <v>65.852148071835998</v>
      </c>
      <c r="S58">
        <v>20.803975105534199</v>
      </c>
      <c r="AA58">
        <v>1.79779398170353</v>
      </c>
      <c r="AB58">
        <v>8.9532294241075903</v>
      </c>
      <c r="AC58">
        <v>2.5928534168185799</v>
      </c>
      <c r="AJ58">
        <v>0.76834621043017004</v>
      </c>
      <c r="AK58">
        <v>8.5256588952743503E-2</v>
      </c>
      <c r="AL58">
        <v>0.146397200617085</v>
      </c>
    </row>
    <row r="59" spans="1:38" x14ac:dyDescent="0.2">
      <c r="A59">
        <v>100</v>
      </c>
      <c r="B59">
        <v>754</v>
      </c>
      <c r="C59">
        <v>200</v>
      </c>
      <c r="D59">
        <v>0.38072384753930699</v>
      </c>
      <c r="E59">
        <v>3.49553404519349</v>
      </c>
      <c r="F59">
        <v>2.5237476713293798</v>
      </c>
      <c r="G59">
        <v>-55.42815776674032</v>
      </c>
      <c r="H59">
        <v>-47.971805375685555</v>
      </c>
      <c r="I59">
        <v>7.2592633900158301</v>
      </c>
      <c r="J59">
        <v>4.1744334007769899</v>
      </c>
      <c r="K59">
        <v>1.3850568679681901</v>
      </c>
      <c r="L59">
        <v>2.9027420830055799E-5</v>
      </c>
      <c r="M59">
        <v>1.8045958529851127E-6</v>
      </c>
      <c r="N59" s="1">
        <v>-2.7386506225683499E-8</v>
      </c>
      <c r="O59" s="1">
        <v>1.3130737430838099E-11</v>
      </c>
      <c r="P59" s="1">
        <v>1.07492468880644E-10</v>
      </c>
      <c r="Q59">
        <v>66.218046857990103</v>
      </c>
      <c r="S59">
        <v>19.095966476505801</v>
      </c>
      <c r="AA59">
        <v>0.30329189455338201</v>
      </c>
      <c r="AB59">
        <v>5.2908485730747401</v>
      </c>
      <c r="AC59">
        <v>9.0918461978759009</v>
      </c>
      <c r="AJ59">
        <v>0.462478000215163</v>
      </c>
      <c r="AK59">
        <v>1.4649990423611901E-2</v>
      </c>
      <c r="AL59">
        <v>0.52287200936122402</v>
      </c>
    </row>
    <row r="60" spans="1:38" x14ac:dyDescent="0.2">
      <c r="A60">
        <v>101</v>
      </c>
      <c r="B60">
        <v>753</v>
      </c>
      <c r="C60">
        <v>200</v>
      </c>
      <c r="D60">
        <v>0.380052136627202</v>
      </c>
      <c r="E60">
        <v>8.2837785758071796</v>
      </c>
      <c r="F60">
        <v>2.5631023279470799</v>
      </c>
      <c r="G60">
        <v>-133.99370147830192</v>
      </c>
      <c r="H60">
        <v>-116.12328517914</v>
      </c>
      <c r="I60">
        <v>17.415013691138601</v>
      </c>
      <c r="J60">
        <v>10.1178796201393</v>
      </c>
      <c r="K60">
        <v>3.2319343966427101</v>
      </c>
      <c r="L60">
        <v>3.1569510262713242E-5</v>
      </c>
      <c r="M60">
        <v>1.8238822595700116E-6</v>
      </c>
      <c r="N60" s="1">
        <v>-1.2856808012120601E-7</v>
      </c>
      <c r="O60" s="1">
        <v>2.8790008237164601E-11</v>
      </c>
      <c r="P60" s="1">
        <v>4.4276872456900299E-10</v>
      </c>
      <c r="Q60">
        <v>65.785643910143307</v>
      </c>
      <c r="S60">
        <v>20.863362527812001</v>
      </c>
      <c r="AA60">
        <v>1.8623070501221799</v>
      </c>
      <c r="AB60">
        <v>8.9607203139791096</v>
      </c>
      <c r="AC60">
        <v>2.5279661979432699</v>
      </c>
      <c r="AJ60">
        <v>0.76895938176358603</v>
      </c>
      <c r="AK60">
        <v>8.8312576524741004E-2</v>
      </c>
      <c r="AL60">
        <v>0.142728041711671</v>
      </c>
    </row>
    <row r="61" spans="1:38" x14ac:dyDescent="0.2">
      <c r="A61">
        <v>101</v>
      </c>
      <c r="B61">
        <v>753</v>
      </c>
      <c r="C61">
        <v>200</v>
      </c>
      <c r="D61">
        <v>0.380052136627202</v>
      </c>
      <c r="E61">
        <v>13.048610846072499</v>
      </c>
      <c r="F61">
        <v>2.5236190409726</v>
      </c>
      <c r="G61">
        <v>-206.82104449913106</v>
      </c>
      <c r="H61">
        <v>-179.03911992207213</v>
      </c>
      <c r="I61">
        <v>27.073941019401499</v>
      </c>
      <c r="J61">
        <v>15.579273738814701</v>
      </c>
      <c r="K61">
        <v>5.1705945446677299</v>
      </c>
      <c r="L61">
        <v>2.8996111289482073E-5</v>
      </c>
      <c r="M61">
        <v>1.8039610211272747E-6</v>
      </c>
      <c r="N61" s="1">
        <v>-1.04101953544013E-7</v>
      </c>
      <c r="O61" s="1">
        <v>4.9023783203818397E-11</v>
      </c>
      <c r="P61" s="1">
        <v>4.0654261595508899E-10</v>
      </c>
      <c r="Q61">
        <v>66.198209869459106</v>
      </c>
      <c r="S61">
        <v>19.087022576048799</v>
      </c>
      <c r="AA61">
        <v>0.30054177518289898</v>
      </c>
      <c r="AB61">
        <v>5.223195309916</v>
      </c>
      <c r="AC61">
        <v>9.1910304693930591</v>
      </c>
      <c r="AJ61">
        <v>0.45672074107369898</v>
      </c>
      <c r="AK61">
        <v>1.4522122860654799E-2</v>
      </c>
      <c r="AL61">
        <v>0.52875713606564501</v>
      </c>
    </row>
    <row r="62" spans="1:38" x14ac:dyDescent="0.2">
      <c r="A62">
        <v>102</v>
      </c>
      <c r="B62">
        <v>752</v>
      </c>
      <c r="C62">
        <v>200</v>
      </c>
      <c r="D62">
        <v>0.37937911525142798</v>
      </c>
      <c r="E62">
        <v>10.4102158881409</v>
      </c>
      <c r="F62">
        <v>2.5637811190814399</v>
      </c>
      <c r="G62">
        <v>-168.39187724199476</v>
      </c>
      <c r="H62">
        <v>-145.96941430868668</v>
      </c>
      <c r="I62">
        <v>21.8723727584334</v>
      </c>
      <c r="J62">
        <v>12.7203001144319</v>
      </c>
      <c r="K62">
        <v>4.0604932342550102</v>
      </c>
      <c r="L62">
        <v>3.1603579094648498E-5</v>
      </c>
      <c r="M62">
        <v>1.8233212355109015E-6</v>
      </c>
      <c r="N62" s="1">
        <v>-1.66827019720948E-7</v>
      </c>
      <c r="O62" s="1">
        <v>3.60986396271892E-11</v>
      </c>
      <c r="P62" s="1">
        <v>5.7156273113325295E-10</v>
      </c>
      <c r="Q62">
        <v>65.744105360334402</v>
      </c>
      <c r="S62">
        <v>20.901188761880402</v>
      </c>
      <c r="AA62">
        <v>1.9032065332678001</v>
      </c>
      <c r="AB62">
        <v>8.9673202732942805</v>
      </c>
      <c r="AC62">
        <v>2.4841790712229601</v>
      </c>
      <c r="AJ62">
        <v>0.76949984944552496</v>
      </c>
      <c r="AK62">
        <v>9.02490352934745E-2</v>
      </c>
      <c r="AL62">
        <v>0.14025111526099901</v>
      </c>
    </row>
    <row r="63" spans="1:38" x14ac:dyDescent="0.2">
      <c r="A63">
        <v>102</v>
      </c>
      <c r="B63">
        <v>752</v>
      </c>
      <c r="C63">
        <v>200</v>
      </c>
      <c r="D63">
        <v>0.37937911525142798</v>
      </c>
      <c r="E63">
        <v>19.0617506778501</v>
      </c>
      <c r="F63">
        <v>2.5235422014148998</v>
      </c>
      <c r="G63">
        <v>-302.02704372378923</v>
      </c>
      <c r="H63">
        <v>-261.51447218340894</v>
      </c>
      <c r="I63">
        <v>39.518676818397601</v>
      </c>
      <c r="J63">
        <v>22.756274632102201</v>
      </c>
      <c r="K63">
        <v>7.5535692120237199</v>
      </c>
      <c r="L63">
        <v>2.8981490408079061E-5</v>
      </c>
      <c r="M63">
        <v>1.8035850988698064E-6</v>
      </c>
      <c r="N63" s="1">
        <v>-1.5567740882025699E-7</v>
      </c>
      <c r="O63" s="1">
        <v>7.1609864228521799E-11</v>
      </c>
      <c r="P63" s="1">
        <v>6.0415009918493702E-10</v>
      </c>
      <c r="Q63">
        <v>66.185545397882194</v>
      </c>
      <c r="S63">
        <v>19.079995948629001</v>
      </c>
      <c r="AA63">
        <v>0.29769981692268099</v>
      </c>
      <c r="AB63">
        <v>5.1765519967437399</v>
      </c>
      <c r="AC63">
        <v>9.2602068398222599</v>
      </c>
      <c r="AJ63">
        <v>0.45274913025575803</v>
      </c>
      <c r="AK63">
        <v>1.43881978755316E-2</v>
      </c>
      <c r="AL63">
        <v>0.53286267186870895</v>
      </c>
    </row>
    <row r="64" spans="1:38" x14ac:dyDescent="0.2">
      <c r="A64">
        <v>103</v>
      </c>
      <c r="B64">
        <v>751</v>
      </c>
      <c r="C64">
        <v>200</v>
      </c>
      <c r="D64">
        <v>0.378704779573308</v>
      </c>
      <c r="E64">
        <v>16.138345349441298</v>
      </c>
      <c r="F64">
        <v>2.5649246104796499</v>
      </c>
      <c r="G64">
        <v>-261.07378712832929</v>
      </c>
      <c r="H64">
        <v>-226.3697604668113</v>
      </c>
      <c r="I64">
        <v>33.885687312911102</v>
      </c>
      <c r="J64">
        <v>19.727494364251001</v>
      </c>
      <c r="K64">
        <v>6.2919375031546796</v>
      </c>
      <c r="L64">
        <v>3.162480626657089E-5</v>
      </c>
      <c r="M64">
        <v>1.8219641739452833E-6</v>
      </c>
      <c r="N64" s="1">
        <v>-2.6692022588160902E-7</v>
      </c>
      <c r="O64" s="1">
        <v>5.5786527801854197E-11</v>
      </c>
      <c r="P64" s="1">
        <v>9.0996684350355595E-10</v>
      </c>
      <c r="Q64">
        <v>65.663237937606496</v>
      </c>
      <c r="S64">
        <v>20.9711640797426</v>
      </c>
      <c r="AA64">
        <v>1.9798061945590799</v>
      </c>
      <c r="AB64">
        <v>8.9705609508705901</v>
      </c>
      <c r="AC64">
        <v>2.4152308372211801</v>
      </c>
      <c r="AJ64">
        <v>0.76976428016126097</v>
      </c>
      <c r="AK64">
        <v>9.38796846545321E-2</v>
      </c>
      <c r="AL64">
        <v>0.136356035184205</v>
      </c>
    </row>
    <row r="65" spans="1:38" x14ac:dyDescent="0.2">
      <c r="A65">
        <v>103</v>
      </c>
      <c r="B65">
        <v>751</v>
      </c>
      <c r="C65">
        <v>200</v>
      </c>
      <c r="D65">
        <v>0.378704779573308</v>
      </c>
      <c r="E65">
        <v>33.658975504352597</v>
      </c>
      <c r="F65">
        <v>2.5234163774132399</v>
      </c>
      <c r="G65">
        <v>-533.07263424434177</v>
      </c>
      <c r="H65">
        <v>-461.67307358507003</v>
      </c>
      <c r="I65">
        <v>69.715921163180795</v>
      </c>
      <c r="J65">
        <v>40.171929251870303</v>
      </c>
      <c r="K65">
        <v>13.3386530283426</v>
      </c>
      <c r="L65">
        <v>2.8945431678245445E-5</v>
      </c>
      <c r="M65">
        <v>1.8028764047527223E-6</v>
      </c>
      <c r="N65" s="1">
        <v>-2.7944214305849399E-7</v>
      </c>
      <c r="O65" s="1">
        <v>1.2647348356302899E-10</v>
      </c>
      <c r="P65" s="1">
        <v>1.0795681275619201E-9</v>
      </c>
      <c r="Q65">
        <v>66.163210048031601</v>
      </c>
      <c r="S65">
        <v>19.0708209512545</v>
      </c>
      <c r="AA65">
        <v>0.29534199868810601</v>
      </c>
      <c r="AB65">
        <v>5.1027254187269397</v>
      </c>
      <c r="AC65">
        <v>9.3679015832987798</v>
      </c>
      <c r="AJ65">
        <v>0.44645904611980503</v>
      </c>
      <c r="AK65">
        <v>1.4279579795923101E-2</v>
      </c>
      <c r="AL65">
        <v>0.53926137408427099</v>
      </c>
    </row>
    <row r="66" spans="1:38" x14ac:dyDescent="0.2">
      <c r="A66">
        <v>104</v>
      </c>
      <c r="B66">
        <v>750</v>
      </c>
      <c r="C66">
        <v>200</v>
      </c>
      <c r="D66">
        <v>0.37802912573913899</v>
      </c>
      <c r="E66">
        <v>17.957324039858602</v>
      </c>
      <c r="F66">
        <v>2.5653950816992999</v>
      </c>
      <c r="G66">
        <v>-290.49037015539693</v>
      </c>
      <c r="H66">
        <v>-251.93519901347042</v>
      </c>
      <c r="I66">
        <v>37.682813997875598</v>
      </c>
      <c r="J66">
        <v>21.960370322228599</v>
      </c>
      <c r="K66">
        <v>6.99982788926369</v>
      </c>
      <c r="L66">
        <v>3.1665302663136167E-5</v>
      </c>
      <c r="M66">
        <v>1.8216970179966564E-6</v>
      </c>
      <c r="N66" s="1">
        <v>-3.0666438637918599E-7</v>
      </c>
      <c r="O66" s="1">
        <v>6.1951058158455797E-11</v>
      </c>
      <c r="P66" s="1">
        <v>1.0402835559437999E-9</v>
      </c>
      <c r="Q66">
        <v>65.636937726317598</v>
      </c>
      <c r="S66">
        <v>20.995637670574101</v>
      </c>
      <c r="AA66">
        <v>2.0061339523419899</v>
      </c>
      <c r="AB66">
        <v>8.9761130403233</v>
      </c>
      <c r="AC66">
        <v>2.3851776104428102</v>
      </c>
      <c r="AJ66">
        <v>0.77021902803586495</v>
      </c>
      <c r="AK66">
        <v>9.5125433460903103E-2</v>
      </c>
      <c r="AL66">
        <v>0.134655538503231</v>
      </c>
    </row>
    <row r="67" spans="1:38" x14ac:dyDescent="0.2">
      <c r="A67">
        <v>104</v>
      </c>
      <c r="B67">
        <v>750</v>
      </c>
      <c r="C67">
        <v>200</v>
      </c>
      <c r="D67">
        <v>0.37802912573913899</v>
      </c>
      <c r="E67">
        <v>38.098271916159398</v>
      </c>
      <c r="F67">
        <v>2.5233758856167601</v>
      </c>
      <c r="G67">
        <v>-603.20996449358972</v>
      </c>
      <c r="H67">
        <v>-522.53190500452263</v>
      </c>
      <c r="I67">
        <v>78.852621305836905</v>
      </c>
      <c r="J67">
        <v>45.469595439448803</v>
      </c>
      <c r="K67">
        <v>15.0981358478217</v>
      </c>
      <c r="L67">
        <v>2.8941946548111653E-5</v>
      </c>
      <c r="M67">
        <v>1.8026669030899183E-6</v>
      </c>
      <c r="N67" s="1">
        <v>-3.2489567366063999E-7</v>
      </c>
      <c r="O67" s="1">
        <v>1.43119977125609E-10</v>
      </c>
      <c r="P67" s="1">
        <v>1.24650688135685E-9</v>
      </c>
      <c r="Q67">
        <v>66.155034150332995</v>
      </c>
      <c r="S67">
        <v>19.0651081019146</v>
      </c>
      <c r="AA67">
        <v>0.292536573444107</v>
      </c>
      <c r="AB67">
        <v>5.06952889181429</v>
      </c>
      <c r="AC67">
        <v>9.4177922824938491</v>
      </c>
      <c r="AJ67">
        <v>0.44362915852486501</v>
      </c>
      <c r="AK67">
        <v>1.41463188080023E-2</v>
      </c>
      <c r="AL67">
        <v>0.54222452266713195</v>
      </c>
    </row>
    <row r="68" spans="1:38" x14ac:dyDescent="0.2">
      <c r="A68">
        <v>105</v>
      </c>
      <c r="B68">
        <v>749</v>
      </c>
      <c r="C68">
        <v>200</v>
      </c>
      <c r="D68">
        <v>0.37735214988015597</v>
      </c>
      <c r="E68">
        <v>18.675978868045799</v>
      </c>
      <c r="F68">
        <v>2.5656467235532698</v>
      </c>
      <c r="G68">
        <v>-302.09344366301303</v>
      </c>
      <c r="H68">
        <v>-262.0573183288472</v>
      </c>
      <c r="I68">
        <v>39.168542126073199</v>
      </c>
      <c r="J68">
        <v>22.849428853075501</v>
      </c>
      <c r="K68">
        <v>7.2792480338761099</v>
      </c>
      <c r="L68">
        <v>3.1713529770354463E-5</v>
      </c>
      <c r="M68">
        <v>1.8217999954928401E-6</v>
      </c>
      <c r="N68" s="1">
        <v>-3.2938408046892298E-7</v>
      </c>
      <c r="O68" s="1">
        <v>6.4324523517520701E-11</v>
      </c>
      <c r="P68" s="1">
        <v>1.1118922229741301E-9</v>
      </c>
      <c r="Q68">
        <v>65.628801929652099</v>
      </c>
      <c r="S68">
        <v>21.0051185808077</v>
      </c>
      <c r="AA68">
        <v>2.0158541772898602</v>
      </c>
      <c r="AB68">
        <v>8.9828382924578793</v>
      </c>
      <c r="AC68">
        <v>2.3673870197923002</v>
      </c>
      <c r="AJ68">
        <v>0.77077019704480898</v>
      </c>
      <c r="AK68">
        <v>9.5583127208359195E-2</v>
      </c>
      <c r="AL68">
        <v>0.13364667574683101</v>
      </c>
    </row>
    <row r="69" spans="1:38" x14ac:dyDescent="0.2">
      <c r="A69">
        <v>105</v>
      </c>
      <c r="B69">
        <v>749</v>
      </c>
      <c r="C69">
        <v>200</v>
      </c>
      <c r="D69">
        <v>0.37735214988015597</v>
      </c>
      <c r="E69">
        <v>39.6812826706972</v>
      </c>
      <c r="F69">
        <v>2.5233617955128702</v>
      </c>
      <c r="G69">
        <v>-628.13179610175462</v>
      </c>
      <c r="H69">
        <v>-544.24006566228104</v>
      </c>
      <c r="I69">
        <v>82.073795861149094</v>
      </c>
      <c r="J69">
        <v>47.362345629498101</v>
      </c>
      <c r="K69">
        <v>15.725562121634599</v>
      </c>
      <c r="L69">
        <v>2.8949351391794162E-5</v>
      </c>
      <c r="M69">
        <v>1.8026177070962203E-6</v>
      </c>
      <c r="N69" s="1">
        <v>-3.4875643928330601E-7</v>
      </c>
      <c r="O69" s="1">
        <v>1.4900800554525899E-10</v>
      </c>
      <c r="P69" s="1">
        <v>1.3279599877583701E-9</v>
      </c>
      <c r="Q69">
        <v>66.151383595942505</v>
      </c>
      <c r="S69">
        <v>19.060505543965199</v>
      </c>
      <c r="AA69">
        <v>0.28959122297010598</v>
      </c>
      <c r="AB69">
        <v>5.0493276230520303</v>
      </c>
      <c r="AC69">
        <v>9.4491920140701104</v>
      </c>
      <c r="AJ69">
        <v>0.44190661708729101</v>
      </c>
      <c r="AK69">
        <v>1.40053233281267E-2</v>
      </c>
      <c r="AL69">
        <v>0.54408805958458095</v>
      </c>
    </row>
    <row r="70" spans="1:38" x14ac:dyDescent="0.2">
      <c r="A70">
        <v>107</v>
      </c>
      <c r="B70">
        <v>764</v>
      </c>
      <c r="C70">
        <v>180</v>
      </c>
      <c r="D70">
        <v>0.40858169020874802</v>
      </c>
      <c r="E70">
        <v>8.5864906030038393E-2</v>
      </c>
      <c r="F70">
        <v>2.56644565542245</v>
      </c>
      <c r="G70">
        <v>-1.3939543995345369</v>
      </c>
      <c r="H70">
        <v>-1.2055555501004829</v>
      </c>
      <c r="I70">
        <v>0.181650532164155</v>
      </c>
      <c r="J70">
        <v>0.104648877820561</v>
      </c>
      <c r="K70">
        <v>3.3456740394491001E-2</v>
      </c>
      <c r="L70">
        <v>3.1233707729626779E-5</v>
      </c>
      <c r="M70">
        <v>1.8201024077187389E-6</v>
      </c>
      <c r="N70" s="1">
        <v>-9.588052906850919E-10</v>
      </c>
      <c r="O70" s="1">
        <v>2.99095325635534E-13</v>
      </c>
      <c r="P70" s="1">
        <v>3.5133578170584601E-12</v>
      </c>
      <c r="Q70">
        <v>65.548308078744896</v>
      </c>
      <c r="S70">
        <v>21.147574444087201</v>
      </c>
      <c r="AA70">
        <v>2.1521638628145698</v>
      </c>
      <c r="AB70">
        <v>9.1769286277317494</v>
      </c>
      <c r="AC70">
        <v>1.9750249866215099</v>
      </c>
      <c r="AJ70">
        <v>0.78666338056729501</v>
      </c>
      <c r="AK70">
        <v>0.101947764066823</v>
      </c>
      <c r="AL70">
        <v>0.11138885536588</v>
      </c>
    </row>
    <row r="71" spans="1:38" x14ac:dyDescent="0.2">
      <c r="A71">
        <v>108</v>
      </c>
      <c r="B71">
        <v>763</v>
      </c>
      <c r="C71">
        <v>180</v>
      </c>
      <c r="D71">
        <v>0.40794334797085602</v>
      </c>
      <c r="E71">
        <v>0.53145656257768803</v>
      </c>
      <c r="F71">
        <v>2.5659050243354402</v>
      </c>
      <c r="G71">
        <v>-8.6254691868729694</v>
      </c>
      <c r="H71">
        <v>-7.4610960340735053</v>
      </c>
      <c r="I71">
        <v>1.1237496045934099</v>
      </c>
      <c r="J71">
        <v>0.647856898933864</v>
      </c>
      <c r="K71">
        <v>0.207122460705782</v>
      </c>
      <c r="L71">
        <v>3.1275155507895767E-5</v>
      </c>
      <c r="M71">
        <v>1.8211617903500359E-6</v>
      </c>
      <c r="N71" s="1">
        <v>-6.1164693684783801E-9</v>
      </c>
      <c r="O71" s="1">
        <v>1.8517237610942799E-12</v>
      </c>
      <c r="P71" s="1">
        <v>2.227102012631E-11</v>
      </c>
      <c r="Q71">
        <v>65.594993562302093</v>
      </c>
      <c r="S71">
        <v>21.106411969653401</v>
      </c>
      <c r="AA71">
        <v>2.1073109805800501</v>
      </c>
      <c r="AB71">
        <v>9.1730519464485898</v>
      </c>
      <c r="AC71">
        <v>2.0182315410156999</v>
      </c>
      <c r="AJ71">
        <v>0.78634694734639399</v>
      </c>
      <c r="AK71">
        <v>9.98251043249095E-2</v>
      </c>
      <c r="AL71">
        <v>0.113827948328696</v>
      </c>
    </row>
    <row r="72" spans="1:38" x14ac:dyDescent="0.2">
      <c r="A72">
        <v>109</v>
      </c>
      <c r="B72">
        <v>762</v>
      </c>
      <c r="C72">
        <v>180</v>
      </c>
      <c r="D72">
        <v>0.40730377240013699</v>
      </c>
      <c r="E72">
        <v>0.97905086076597603</v>
      </c>
      <c r="F72">
        <v>2.56536829178388</v>
      </c>
      <c r="G72">
        <v>-15.885510086246148</v>
      </c>
      <c r="H72">
        <v>-13.743661076948547</v>
      </c>
      <c r="I72">
        <v>2.0691194602691398</v>
      </c>
      <c r="J72">
        <v>1.19374122189988</v>
      </c>
      <c r="K72">
        <v>0.38164144458383797</v>
      </c>
      <c r="L72">
        <v>3.1316127370882887E-5</v>
      </c>
      <c r="M72">
        <v>1.8221827837909816E-6</v>
      </c>
      <c r="N72" s="1">
        <v>-1.16116102194814E-8</v>
      </c>
      <c r="O72" s="1">
        <v>3.41202916557867E-12</v>
      </c>
      <c r="P72" s="1">
        <v>4.20194431843189E-11</v>
      </c>
      <c r="Q72">
        <v>65.640211489496906</v>
      </c>
      <c r="S72">
        <v>21.066019471495</v>
      </c>
      <c r="AA72">
        <v>2.06343577087104</v>
      </c>
      <c r="AB72">
        <v>9.1679234874084194</v>
      </c>
      <c r="AC72">
        <v>2.06240978072855</v>
      </c>
      <c r="AJ72">
        <v>0.78592805791749498</v>
      </c>
      <c r="AK72">
        <v>9.7749278099437897E-2</v>
      </c>
      <c r="AL72">
        <v>0.116322663983066</v>
      </c>
    </row>
    <row r="73" spans="1:38" x14ac:dyDescent="0.2">
      <c r="A73">
        <v>110</v>
      </c>
      <c r="B73">
        <v>761</v>
      </c>
      <c r="C73">
        <v>180</v>
      </c>
      <c r="D73">
        <v>0.40666295991877599</v>
      </c>
      <c r="E73">
        <v>1.77149914715047</v>
      </c>
      <c r="F73">
        <v>2.5643340022597298</v>
      </c>
      <c r="G73">
        <v>-28.730839043793125</v>
      </c>
      <c r="H73">
        <v>-24.861068352152579</v>
      </c>
      <c r="I73">
        <v>3.7419820061311602</v>
      </c>
      <c r="J73">
        <v>2.1602067439666301</v>
      </c>
      <c r="K73">
        <v>0.69082231315788201</v>
      </c>
      <c r="L73">
        <v>3.1351724104505596E-5</v>
      </c>
      <c r="M73">
        <v>1.8235271671824337E-6</v>
      </c>
      <c r="N73" s="1">
        <v>-2.1597894030319199E-8</v>
      </c>
      <c r="O73" s="1">
        <v>6.1804825716698199E-12</v>
      </c>
      <c r="P73" s="1">
        <v>7.7717074887362702E-11</v>
      </c>
      <c r="Q73">
        <v>65.709503722125703</v>
      </c>
      <c r="S73">
        <v>20.997855131580302</v>
      </c>
      <c r="AA73">
        <v>1.99103109729596</v>
      </c>
      <c r="AB73">
        <v>9.1436358334653605</v>
      </c>
      <c r="AC73">
        <v>2.1579742155326298</v>
      </c>
      <c r="AJ73">
        <v>0.78394168117115504</v>
      </c>
      <c r="AK73">
        <v>9.4330832775854107E-2</v>
      </c>
      <c r="AL73">
        <v>0.12172748605299</v>
      </c>
    </row>
    <row r="74" spans="1:38" x14ac:dyDescent="0.2">
      <c r="A74">
        <v>111</v>
      </c>
      <c r="B74">
        <v>760</v>
      </c>
      <c r="C74">
        <v>180</v>
      </c>
      <c r="D74">
        <v>0.40602090693510101</v>
      </c>
      <c r="E74">
        <v>3.2084972270225398</v>
      </c>
      <c r="F74">
        <v>2.56228178963877</v>
      </c>
      <c r="G74">
        <v>-51.995848480086309</v>
      </c>
      <c r="H74">
        <v>-44.997468633227108</v>
      </c>
      <c r="I74">
        <v>6.7738274663497098</v>
      </c>
      <c r="J74">
        <v>3.9119242483279102</v>
      </c>
      <c r="K74">
        <v>1.2522031105231599</v>
      </c>
      <c r="L74">
        <v>3.1367150933133938E-5</v>
      </c>
      <c r="M74">
        <v>1.8253119925103318E-6</v>
      </c>
      <c r="N74" s="1">
        <v>-3.9965922801418102E-8</v>
      </c>
      <c r="O74" s="1">
        <v>1.12260880292315E-11</v>
      </c>
      <c r="P74" s="1">
        <v>1.4315936993945199E-10</v>
      </c>
      <c r="Q74">
        <v>65.820772135699301</v>
      </c>
      <c r="S74">
        <v>20.876017535740999</v>
      </c>
      <c r="AA74">
        <v>1.86455087004057</v>
      </c>
      <c r="AB74">
        <v>9.0721784296792993</v>
      </c>
      <c r="AC74">
        <v>2.3664810288397899</v>
      </c>
      <c r="AJ74">
        <v>0.77809324693437998</v>
      </c>
      <c r="AK74">
        <v>8.8370047773401295E-2</v>
      </c>
      <c r="AL74">
        <v>0.13353670529221801</v>
      </c>
    </row>
    <row r="75" spans="1:38" x14ac:dyDescent="0.2">
      <c r="A75">
        <v>112</v>
      </c>
      <c r="B75">
        <v>759</v>
      </c>
      <c r="C75">
        <v>180</v>
      </c>
      <c r="D75">
        <v>0.40537760984353299</v>
      </c>
      <c r="E75">
        <v>4.8397918676164</v>
      </c>
      <c r="F75">
        <v>2.5597429734381398</v>
      </c>
      <c r="G75">
        <v>-78.353700342591381</v>
      </c>
      <c r="H75">
        <v>-67.81372158693388</v>
      </c>
      <c r="I75">
        <v>10.211673454107901</v>
      </c>
      <c r="J75">
        <v>5.8986517754943204</v>
      </c>
      <c r="K75">
        <v>1.8907335298261501</v>
      </c>
      <c r="L75">
        <v>3.1355553042157772E-5</v>
      </c>
      <c r="M75">
        <v>1.8268391743342244E-6</v>
      </c>
      <c r="N75" s="1">
        <v>-6.12668154140741E-8</v>
      </c>
      <c r="O75" s="1">
        <v>1.69960676829991E-11</v>
      </c>
      <c r="P75" s="1">
        <v>2.18673314531092E-10</v>
      </c>
      <c r="Q75">
        <v>65.9364602118427</v>
      </c>
      <c r="S75">
        <v>20.735179495757901</v>
      </c>
      <c r="AA75">
        <v>1.7213638139776</v>
      </c>
      <c r="AB75">
        <v>8.9607578724080295</v>
      </c>
      <c r="AC75">
        <v>2.64623860601372</v>
      </c>
      <c r="AJ75">
        <v>0.76896478722492201</v>
      </c>
      <c r="AK75">
        <v>8.1629130375551404E-2</v>
      </c>
      <c r="AL75">
        <v>0.14940608239952599</v>
      </c>
    </row>
    <row r="76" spans="1:38" x14ac:dyDescent="0.2">
      <c r="A76">
        <v>113</v>
      </c>
      <c r="B76">
        <v>758</v>
      </c>
      <c r="C76">
        <v>180</v>
      </c>
      <c r="D76">
        <v>0.40473306502448703</v>
      </c>
      <c r="E76">
        <v>7.4153209180291499</v>
      </c>
      <c r="F76">
        <v>2.5596291694544799</v>
      </c>
      <c r="G76">
        <v>-120.01213733238684</v>
      </c>
      <c r="H76">
        <v>-103.88938356920913</v>
      </c>
      <c r="I76">
        <v>15.635701656575399</v>
      </c>
      <c r="J76">
        <v>9.0377258805264393</v>
      </c>
      <c r="K76">
        <v>2.8970293847719799</v>
      </c>
      <c r="L76">
        <v>3.1347822657245856E-5</v>
      </c>
      <c r="M76">
        <v>1.8261667492030155E-6</v>
      </c>
      <c r="N76" s="1">
        <v>-9.6183724574818595E-8</v>
      </c>
      <c r="O76" s="1">
        <v>2.60251695505194E-11</v>
      </c>
      <c r="P76" s="1">
        <v>3.4167954872111199E-10</v>
      </c>
      <c r="Q76">
        <v>65.913128290555804</v>
      </c>
      <c r="S76">
        <v>20.736440206493299</v>
      </c>
      <c r="AA76">
        <v>1.72784809810748</v>
      </c>
      <c r="AB76">
        <v>8.9120690539245295</v>
      </c>
      <c r="AC76">
        <v>2.7105143509187202</v>
      </c>
      <c r="AJ76">
        <v>0.76497148633290502</v>
      </c>
      <c r="AK76">
        <v>8.19564341162409E-2</v>
      </c>
      <c r="AL76">
        <v>0.153072079550853</v>
      </c>
    </row>
    <row r="77" spans="1:38" x14ac:dyDescent="0.2">
      <c r="A77">
        <v>113</v>
      </c>
      <c r="B77">
        <v>758</v>
      </c>
      <c r="C77">
        <v>180</v>
      </c>
      <c r="D77">
        <v>0.40473306502448703</v>
      </c>
      <c r="E77">
        <v>7.3162234192460804</v>
      </c>
      <c r="F77">
        <v>2.52320198314791</v>
      </c>
      <c r="G77">
        <v>-116.21404519702108</v>
      </c>
      <c r="H77">
        <v>-100.49789403743003</v>
      </c>
      <c r="I77">
        <v>15.2413821069592</v>
      </c>
      <c r="J77">
        <v>8.7383883510308404</v>
      </c>
      <c r="K77">
        <v>2.89957897469565</v>
      </c>
      <c r="L77">
        <v>2.903807995039559E-5</v>
      </c>
      <c r="M77">
        <v>1.8068706392827628E-6</v>
      </c>
      <c r="N77" s="1">
        <v>-5.0717244267093498E-8</v>
      </c>
      <c r="O77" s="1">
        <v>2.7502656238092999E-11</v>
      </c>
      <c r="P77" s="1">
        <v>2.0598465695302601E-10</v>
      </c>
      <c r="Q77">
        <v>66.251104713578798</v>
      </c>
      <c r="S77">
        <v>19.1268554674119</v>
      </c>
      <c r="AA77">
        <v>0.32106202965712899</v>
      </c>
      <c r="AB77">
        <v>5.4454957372658699</v>
      </c>
      <c r="AC77">
        <v>8.8554820520862005</v>
      </c>
      <c r="AJ77">
        <v>0.475623483432072</v>
      </c>
      <c r="AK77">
        <v>1.54962139574575E-2</v>
      </c>
      <c r="AL77">
        <v>0.50888030261046902</v>
      </c>
    </row>
    <row r="78" spans="1:38" x14ac:dyDescent="0.2">
      <c r="A78">
        <v>114</v>
      </c>
      <c r="B78">
        <v>757</v>
      </c>
      <c r="C78">
        <v>180</v>
      </c>
      <c r="D78">
        <v>0.40408726884434598</v>
      </c>
      <c r="E78">
        <v>9.6206153902943399</v>
      </c>
      <c r="F78">
        <v>2.56081490581199</v>
      </c>
      <c r="G78">
        <v>-155.72342713861471</v>
      </c>
      <c r="H78">
        <v>-134.83882410154027</v>
      </c>
      <c r="I78">
        <v>20.273361196985299</v>
      </c>
      <c r="J78">
        <v>11.7298483458117</v>
      </c>
      <c r="K78">
        <v>3.75685699441201</v>
      </c>
      <c r="L78">
        <v>3.13681936874983E-5</v>
      </c>
      <c r="M78">
        <v>1.824947555711865E-6</v>
      </c>
      <c r="N78" s="1">
        <v>-1.28895766989886E-7</v>
      </c>
      <c r="O78" s="1">
        <v>3.3666626904598497E-11</v>
      </c>
      <c r="P78" s="1">
        <v>4.5519919911996699E-10</v>
      </c>
      <c r="Q78">
        <v>65.836499607731</v>
      </c>
      <c r="S78">
        <v>20.805921863076101</v>
      </c>
      <c r="AA78">
        <v>1.8030514317795201</v>
      </c>
      <c r="AB78">
        <v>8.9234613388785302</v>
      </c>
      <c r="AC78">
        <v>2.6310657585347799</v>
      </c>
      <c r="AJ78">
        <v>0.76590475683223702</v>
      </c>
      <c r="AK78">
        <v>8.5518549450542103E-2</v>
      </c>
      <c r="AL78">
        <v>0.14857669371721999</v>
      </c>
    </row>
    <row r="79" spans="1:38" x14ac:dyDescent="0.2">
      <c r="A79">
        <v>114</v>
      </c>
      <c r="B79">
        <v>757</v>
      </c>
      <c r="C79">
        <v>180</v>
      </c>
      <c r="D79">
        <v>0.40408726884434598</v>
      </c>
      <c r="E79">
        <v>15.222549004113</v>
      </c>
      <c r="F79">
        <v>2.5230181115871599</v>
      </c>
      <c r="G79">
        <v>-241.68401299742612</v>
      </c>
      <c r="H79">
        <v>-209.04698920096067</v>
      </c>
      <c r="I79">
        <v>31.681817013508098</v>
      </c>
      <c r="J79">
        <v>18.175776737822801</v>
      </c>
      <c r="K79">
        <v>6.0334679859023597</v>
      </c>
      <c r="L79">
        <v>2.8996138021439684E-5</v>
      </c>
      <c r="M79">
        <v>1.8060807127742871E-6</v>
      </c>
      <c r="N79" s="1">
        <v>-1.0710920175353E-7</v>
      </c>
      <c r="O79" s="1">
        <v>5.7242545766704498E-11</v>
      </c>
      <c r="P79" s="1">
        <v>4.3303041267885602E-10</v>
      </c>
      <c r="Q79">
        <v>66.227601965220401</v>
      </c>
      <c r="S79">
        <v>19.116110048107899</v>
      </c>
      <c r="AA79">
        <v>0.317680993733296</v>
      </c>
      <c r="AB79">
        <v>5.3649506090110304</v>
      </c>
      <c r="AC79">
        <v>8.9736563839272492</v>
      </c>
      <c r="AJ79">
        <v>0.46877940784470101</v>
      </c>
      <c r="AK79">
        <v>1.5339274555535101E-2</v>
      </c>
      <c r="AL79">
        <v>0.51588131759976297</v>
      </c>
    </row>
    <row r="80" spans="1:38" x14ac:dyDescent="0.2">
      <c r="A80">
        <v>115</v>
      </c>
      <c r="B80">
        <v>756</v>
      </c>
      <c r="C80">
        <v>180</v>
      </c>
      <c r="D80">
        <v>0.40344021765534699</v>
      </c>
      <c r="E80">
        <v>13.6628400948777</v>
      </c>
      <c r="F80">
        <v>2.5624123766168401</v>
      </c>
      <c r="G80">
        <v>-221.19741138567989</v>
      </c>
      <c r="H80">
        <v>-191.58600079870618</v>
      </c>
      <c r="I80">
        <v>28.772686767695401</v>
      </c>
      <c r="J80">
        <v>16.664337309891501</v>
      </c>
      <c r="K80">
        <v>5.3320223628161001</v>
      </c>
      <c r="L80">
        <v>3.1376402044397861E-5</v>
      </c>
      <c r="M80">
        <v>1.8229998588838192E-6</v>
      </c>
      <c r="N80" s="1">
        <v>-1.8897913026171601E-7</v>
      </c>
      <c r="O80" s="1">
        <v>4.7636026758022901E-11</v>
      </c>
      <c r="P80" s="1">
        <v>6.6364186806570199E-10</v>
      </c>
      <c r="Q80">
        <v>65.724279558238095</v>
      </c>
      <c r="S80">
        <v>20.904215497624101</v>
      </c>
      <c r="AA80">
        <v>1.9103297011307501</v>
      </c>
      <c r="AB80">
        <v>8.93107451759432</v>
      </c>
      <c r="AC80">
        <v>2.5301007254125798</v>
      </c>
      <c r="AJ80">
        <v>0.76652743942118695</v>
      </c>
      <c r="AK80">
        <v>9.0603111242491402E-2</v>
      </c>
      <c r="AL80">
        <v>0.14286944933632001</v>
      </c>
    </row>
    <row r="81" spans="1:38" x14ac:dyDescent="0.2">
      <c r="A81">
        <v>115</v>
      </c>
      <c r="B81">
        <v>756</v>
      </c>
      <c r="C81">
        <v>180</v>
      </c>
      <c r="D81">
        <v>0.40344021765534699</v>
      </c>
      <c r="E81">
        <v>27.734289903120999</v>
      </c>
      <c r="F81">
        <v>2.5227921770576698</v>
      </c>
      <c r="G81">
        <v>-440.07074574127665</v>
      </c>
      <c r="H81">
        <v>-380.73041523695412</v>
      </c>
      <c r="I81">
        <v>57.659554490912399</v>
      </c>
      <c r="J81">
        <v>33.099566091342503</v>
      </c>
      <c r="K81">
        <v>10.993489735435601</v>
      </c>
      <c r="L81">
        <v>2.8935789101897635E-5</v>
      </c>
      <c r="M81">
        <v>1.8050016900730893E-6</v>
      </c>
      <c r="N81" s="1">
        <v>-1.96826100897478E-7</v>
      </c>
      <c r="O81" s="1">
        <v>1.04350571627718E-10</v>
      </c>
      <c r="P81" s="1">
        <v>7.9348603243917604E-10</v>
      </c>
      <c r="Q81">
        <v>66.195642176452694</v>
      </c>
      <c r="S81">
        <v>19.103463084909901</v>
      </c>
      <c r="AA81">
        <v>0.31470449939101802</v>
      </c>
      <c r="AB81">
        <v>5.2605742751164399</v>
      </c>
      <c r="AC81">
        <v>9.1256159641299206</v>
      </c>
      <c r="AJ81">
        <v>0.45990203279209302</v>
      </c>
      <c r="AK81">
        <v>1.5203581789210699E-2</v>
      </c>
      <c r="AL81">
        <v>0.52489438541869604</v>
      </c>
    </row>
    <row r="82" spans="1:38" x14ac:dyDescent="0.2">
      <c r="A82">
        <v>116</v>
      </c>
      <c r="B82">
        <v>755</v>
      </c>
      <c r="C82">
        <v>180</v>
      </c>
      <c r="D82">
        <v>0.40279190779555302</v>
      </c>
      <c r="E82">
        <v>16.311362372830899</v>
      </c>
      <c r="F82">
        <v>2.5634292834912098</v>
      </c>
      <c r="G82">
        <v>-264.09668765329116</v>
      </c>
      <c r="H82">
        <v>-228.80148275350973</v>
      </c>
      <c r="I82">
        <v>34.3288478332747</v>
      </c>
      <c r="J82">
        <v>19.901744019664999</v>
      </c>
      <c r="K82">
        <v>6.3631021451920002</v>
      </c>
      <c r="L82">
        <v>3.1396528674301686E-5</v>
      </c>
      <c r="M82">
        <v>1.821864755879375E-6</v>
      </c>
      <c r="N82" s="1">
        <v>-2.3286404298842401E-7</v>
      </c>
      <c r="O82" s="1">
        <v>5.6715568445237202E-11</v>
      </c>
      <c r="P82" s="1">
        <v>8.1325047804403696E-10</v>
      </c>
      <c r="Q82">
        <v>65.654885467282398</v>
      </c>
      <c r="S82">
        <v>20.965149994070501</v>
      </c>
      <c r="AA82">
        <v>1.97679344706488</v>
      </c>
      <c r="AB82">
        <v>8.9361812111212604</v>
      </c>
      <c r="AC82">
        <v>2.4669898804608099</v>
      </c>
      <c r="AJ82">
        <v>0.76694517881122004</v>
      </c>
      <c r="AK82">
        <v>9.3752841161716699E-2</v>
      </c>
      <c r="AL82">
        <v>0.13930198002706201</v>
      </c>
    </row>
    <row r="83" spans="1:38" x14ac:dyDescent="0.2">
      <c r="A83">
        <v>116</v>
      </c>
      <c r="B83">
        <v>755</v>
      </c>
      <c r="C83">
        <v>180</v>
      </c>
      <c r="D83">
        <v>0.40279190779555302</v>
      </c>
      <c r="E83">
        <v>35.336120259955997</v>
      </c>
      <c r="F83">
        <v>2.52266500030554</v>
      </c>
      <c r="G83">
        <v>-560.45249592862808</v>
      </c>
      <c r="H83">
        <v>-484.98859336420855</v>
      </c>
      <c r="I83">
        <v>73.397755740329202</v>
      </c>
      <c r="J83">
        <v>42.1618375224975</v>
      </c>
      <c r="K83">
        <v>14.007456501626701</v>
      </c>
      <c r="L83">
        <v>2.8904051003169512E-5</v>
      </c>
      <c r="M83">
        <v>1.8043785026569659E-6</v>
      </c>
      <c r="N83" s="1">
        <v>-2.5535079746262001E-7</v>
      </c>
      <c r="O83" s="1">
        <v>1.32976867994075E-10</v>
      </c>
      <c r="P83" s="1">
        <v>1.0239191672321299E-9</v>
      </c>
      <c r="Q83">
        <v>66.176229035701596</v>
      </c>
      <c r="S83">
        <v>19.094400502022101</v>
      </c>
      <c r="AA83">
        <v>0.31175756671481297</v>
      </c>
      <c r="AB83">
        <v>5.1935543925872798</v>
      </c>
      <c r="AC83">
        <v>9.2240585029741204</v>
      </c>
      <c r="AJ83">
        <v>0.45419694767941798</v>
      </c>
      <c r="AK83">
        <v>1.50663246142541E-2</v>
      </c>
      <c r="AL83">
        <v>0.53073672770632596</v>
      </c>
    </row>
    <row r="84" spans="1:38" x14ac:dyDescent="0.2">
      <c r="A84">
        <v>117</v>
      </c>
      <c r="B84">
        <v>754</v>
      </c>
      <c r="C84">
        <v>180</v>
      </c>
      <c r="D84">
        <v>0.402142335588766</v>
      </c>
      <c r="E84">
        <v>17.618343442373199</v>
      </c>
      <c r="F84">
        <v>2.56398817065151</v>
      </c>
      <c r="G84">
        <v>-285.25389779579524</v>
      </c>
      <c r="H84">
        <v>-247.19012671516217</v>
      </c>
      <c r="I84">
        <v>37.057655727627903</v>
      </c>
      <c r="J84">
        <v>21.504268235370301</v>
      </c>
      <c r="K84">
        <v>6.8714605020569799</v>
      </c>
      <c r="L84">
        <v>3.1428998315727223E-5</v>
      </c>
      <c r="M84">
        <v>1.8214457484602489E-6</v>
      </c>
      <c r="N84" s="1">
        <v>-2.59652259248563E-7</v>
      </c>
      <c r="O84" s="1">
        <v>6.1140280620684099E-11</v>
      </c>
      <c r="P84" s="1">
        <v>9.0185790357969904E-10</v>
      </c>
      <c r="Q84">
        <v>65.621723995417696</v>
      </c>
      <c r="S84">
        <v>20.995508417186301</v>
      </c>
      <c r="AA84">
        <v>2.0095772330940598</v>
      </c>
      <c r="AB84">
        <v>8.9418712021801898</v>
      </c>
      <c r="AC84">
        <v>2.4313191521216</v>
      </c>
      <c r="AJ84">
        <v>0.76741128668148095</v>
      </c>
      <c r="AK84">
        <v>9.5304907558705104E-2</v>
      </c>
      <c r="AL84">
        <v>0.137283805759813</v>
      </c>
    </row>
    <row r="85" spans="1:38" x14ac:dyDescent="0.2">
      <c r="A85">
        <v>117</v>
      </c>
      <c r="B85">
        <v>754</v>
      </c>
      <c r="C85">
        <v>180</v>
      </c>
      <c r="D85">
        <v>0.402142335588766</v>
      </c>
      <c r="E85">
        <v>38.859726872233402</v>
      </c>
      <c r="F85">
        <v>2.5226045528969498</v>
      </c>
      <c r="G85">
        <v>-616.1503996649742</v>
      </c>
      <c r="H85">
        <v>-533.30514832549215</v>
      </c>
      <c r="I85">
        <v>80.655455716771698</v>
      </c>
      <c r="J85">
        <v>46.362842347135</v>
      </c>
      <c r="K85">
        <v>15.404605064875099</v>
      </c>
      <c r="L85">
        <v>2.8894306888413558E-5</v>
      </c>
      <c r="M85">
        <v>1.8040989424661044E-6</v>
      </c>
      <c r="N85" s="1">
        <v>-2.8804648967650701E-7</v>
      </c>
      <c r="O85" s="1">
        <v>1.4622013338054199E-10</v>
      </c>
      <c r="P85" s="1">
        <v>1.1467132997376399E-9</v>
      </c>
      <c r="Q85">
        <v>66.166428683336406</v>
      </c>
      <c r="S85">
        <v>19.087942369635101</v>
      </c>
      <c r="AA85">
        <v>0.3087163196146</v>
      </c>
      <c r="AB85">
        <v>5.1547839991483499</v>
      </c>
      <c r="AC85">
        <v>9.2821286282654594</v>
      </c>
      <c r="AJ85">
        <v>0.45089485269949198</v>
      </c>
      <c r="AK85">
        <v>1.49222799807579E-2</v>
      </c>
      <c r="AL85">
        <v>0.53418286731974995</v>
      </c>
    </row>
    <row r="86" spans="1:38" x14ac:dyDescent="0.2">
      <c r="A86">
        <v>118</v>
      </c>
      <c r="B86">
        <v>753</v>
      </c>
      <c r="C86">
        <v>180</v>
      </c>
      <c r="D86">
        <v>0.401491497344444</v>
      </c>
      <c r="E86">
        <v>18.217702850512801</v>
      </c>
      <c r="F86">
        <v>2.5642965378618898</v>
      </c>
      <c r="G86">
        <v>-294.93943138349971</v>
      </c>
      <c r="H86">
        <v>-255.64148729955954</v>
      </c>
      <c r="I86">
        <v>38.296490848258202</v>
      </c>
      <c r="J86">
        <v>22.244304531152</v>
      </c>
      <c r="K86">
        <v>7.1043666680230002</v>
      </c>
      <c r="L86">
        <v>3.1469466133804807E-5</v>
      </c>
      <c r="M86">
        <v>1.8214384911864351E-6</v>
      </c>
      <c r="N86" s="1">
        <v>-2.77217430688506E-7</v>
      </c>
      <c r="O86" s="1">
        <v>6.3122175835170395E-11</v>
      </c>
      <c r="P86" s="1">
        <v>9.5768056573826995E-10</v>
      </c>
      <c r="Q86">
        <v>65.608984766669096</v>
      </c>
      <c r="S86">
        <v>21.008866100377201</v>
      </c>
      <c r="AA86">
        <v>2.02356998337038</v>
      </c>
      <c r="AB86">
        <v>8.9485014170664794</v>
      </c>
      <c r="AC86">
        <v>2.41007773251664</v>
      </c>
      <c r="AJ86">
        <v>0.76795477992951</v>
      </c>
      <c r="AK86">
        <v>9.5965328811308301E-2</v>
      </c>
      <c r="AL86">
        <v>0.13607989125918099</v>
      </c>
    </row>
    <row r="87" spans="1:38" x14ac:dyDescent="0.2">
      <c r="A87">
        <v>118</v>
      </c>
      <c r="B87">
        <v>753</v>
      </c>
      <c r="C87">
        <v>180</v>
      </c>
      <c r="D87">
        <v>0.401491497344444</v>
      </c>
      <c r="E87">
        <v>40.295946408949902</v>
      </c>
      <c r="F87">
        <v>2.5225780566110698</v>
      </c>
      <c r="G87">
        <v>-638.76861557428606</v>
      </c>
      <c r="H87">
        <v>-553.00386359445793</v>
      </c>
      <c r="I87">
        <v>83.579157023659306</v>
      </c>
      <c r="J87">
        <v>48.077597577948701</v>
      </c>
      <c r="K87">
        <v>15.974112794386601</v>
      </c>
      <c r="L87">
        <v>2.889669486871172E-5</v>
      </c>
      <c r="M87">
        <v>1.8040038699636465E-6</v>
      </c>
      <c r="N87" s="1">
        <v>-3.0759847811467001E-7</v>
      </c>
      <c r="O87" s="1">
        <v>1.5158131389524099E-10</v>
      </c>
      <c r="P87" s="1">
        <v>1.2146559235668299E-9</v>
      </c>
      <c r="Q87">
        <v>66.161801766254698</v>
      </c>
      <c r="S87">
        <v>19.0828623936052</v>
      </c>
      <c r="AA87">
        <v>0.30560491522209299</v>
      </c>
      <c r="AB87">
        <v>5.1311553449127096</v>
      </c>
      <c r="AC87">
        <v>9.3185755800052608</v>
      </c>
      <c r="AJ87">
        <v>0.44888176388714801</v>
      </c>
      <c r="AK87">
        <v>1.4773654031188899E-2</v>
      </c>
      <c r="AL87">
        <v>0.53634458208166202</v>
      </c>
    </row>
    <row r="88" spans="1:38" x14ac:dyDescent="0.2">
      <c r="A88">
        <v>120</v>
      </c>
      <c r="B88">
        <v>772</v>
      </c>
      <c r="C88">
        <v>160</v>
      </c>
      <c r="D88">
        <v>0.43469406305315</v>
      </c>
      <c r="E88">
        <v>0.181596408259418</v>
      </c>
      <c r="F88">
        <v>2.5649458777639</v>
      </c>
      <c r="G88">
        <v>-2.952753742143742</v>
      </c>
      <c r="H88">
        <v>-2.5494044259498168</v>
      </c>
      <c r="I88">
        <v>0.38592481097825598</v>
      </c>
      <c r="J88">
        <v>0.22094723634300201</v>
      </c>
      <c r="K88">
        <v>7.0799313870019004E-2</v>
      </c>
      <c r="L88">
        <v>3.1005229810007082E-5</v>
      </c>
      <c r="M88">
        <v>1.8202429490096284E-6</v>
      </c>
      <c r="N88" s="1">
        <v>-1.5623715836632E-9</v>
      </c>
      <c r="O88" s="1">
        <v>6.3656255640201203E-13</v>
      </c>
      <c r="P88" s="1">
        <v>6.0762646334698404E-12</v>
      </c>
      <c r="Q88">
        <v>65.553922313626501</v>
      </c>
      <c r="S88">
        <v>21.148298978053798</v>
      </c>
      <c r="AA88">
        <v>2.1514516057975599</v>
      </c>
      <c r="AB88">
        <v>9.1913391091314391</v>
      </c>
      <c r="AC88">
        <v>1.95498799339064</v>
      </c>
      <c r="AJ88">
        <v>0.78784234844311196</v>
      </c>
      <c r="AK88">
        <v>0.101906738891064</v>
      </c>
      <c r="AL88">
        <v>0.110250912665822</v>
      </c>
    </row>
    <row r="89" spans="1:38" x14ac:dyDescent="0.2">
      <c r="A89">
        <v>121</v>
      </c>
      <c r="B89">
        <v>771</v>
      </c>
      <c r="C89">
        <v>160</v>
      </c>
      <c r="D89">
        <v>0.43408561988220001</v>
      </c>
      <c r="E89">
        <v>0.61070571713320898</v>
      </c>
      <c r="F89">
        <v>2.5644438225832902</v>
      </c>
      <c r="G89">
        <v>-9.9274718928393675</v>
      </c>
      <c r="H89">
        <v>-8.5729887271565666</v>
      </c>
      <c r="I89">
        <v>1.2972112873464501</v>
      </c>
      <c r="J89">
        <v>0.74315144677196099</v>
      </c>
      <c r="K89">
        <v>0.238143534966585</v>
      </c>
      <c r="L89">
        <v>3.1039911241750214E-5</v>
      </c>
      <c r="M89">
        <v>1.8212409171809344E-6</v>
      </c>
      <c r="N89" s="1">
        <v>-5.4160766865931699E-9</v>
      </c>
      <c r="O89" s="1">
        <v>2.1415528956534199E-12</v>
      </c>
      <c r="P89" s="1">
        <v>2.09038501174625E-11</v>
      </c>
      <c r="Q89">
        <v>65.598129198436595</v>
      </c>
      <c r="S89">
        <v>21.109559693140699</v>
      </c>
      <c r="AA89">
        <v>2.1091762268620502</v>
      </c>
      <c r="AB89">
        <v>9.1882917098019892</v>
      </c>
      <c r="AC89">
        <v>1.9948431717585899</v>
      </c>
      <c r="AJ89">
        <v>0.78759376121755698</v>
      </c>
      <c r="AK89">
        <v>9.9905903229609294E-2</v>
      </c>
      <c r="AL89">
        <v>0.112500335552832</v>
      </c>
    </row>
    <row r="90" spans="1:38" x14ac:dyDescent="0.2">
      <c r="A90">
        <v>122</v>
      </c>
      <c r="B90">
        <v>770</v>
      </c>
      <c r="C90">
        <v>160</v>
      </c>
      <c r="D90">
        <v>0.43347601016152998</v>
      </c>
      <c r="E90">
        <v>1.0413461017850001</v>
      </c>
      <c r="F90">
        <v>2.56394635495686</v>
      </c>
      <c r="G90">
        <v>-16.923400073896097</v>
      </c>
      <c r="H90">
        <v>-14.617174203409071</v>
      </c>
      <c r="I90">
        <v>2.2108286157187602</v>
      </c>
      <c r="J90">
        <v>1.2673754571190401</v>
      </c>
      <c r="K90">
        <v>0.40614972297363999</v>
      </c>
      <c r="L90">
        <v>3.1074113007614443E-5</v>
      </c>
      <c r="M90">
        <v>1.8222037137142556E-6</v>
      </c>
      <c r="N90" s="1">
        <v>-9.51801275501931E-9</v>
      </c>
      <c r="O90" s="1">
        <v>3.65293191890349E-12</v>
      </c>
      <c r="P90" s="1">
        <v>3.6464002571862701E-11</v>
      </c>
      <c r="Q90">
        <v>65.640972288110405</v>
      </c>
      <c r="S90">
        <v>21.071568069776699</v>
      </c>
      <c r="AA90">
        <v>2.0678358993108601</v>
      </c>
      <c r="AB90">
        <v>9.1841652580885995</v>
      </c>
      <c r="AC90">
        <v>2.0354584847133701</v>
      </c>
      <c r="AJ90">
        <v>0.78725687074154804</v>
      </c>
      <c r="AK90">
        <v>9.7949817456362498E-2</v>
      </c>
      <c r="AL90">
        <v>0.114793311802088</v>
      </c>
    </row>
    <row r="91" spans="1:38" x14ac:dyDescent="0.2">
      <c r="A91">
        <v>123</v>
      </c>
      <c r="B91">
        <v>769</v>
      </c>
      <c r="C91">
        <v>160</v>
      </c>
      <c r="D91">
        <v>0.43286523053303499</v>
      </c>
      <c r="E91">
        <v>1.4733563868483901</v>
      </c>
      <c r="F91">
        <v>2.5634533135550801</v>
      </c>
      <c r="G91">
        <v>-23.937858954851411</v>
      </c>
      <c r="H91">
        <v>-20.679662735298802</v>
      </c>
      <c r="I91">
        <v>3.1264177129516901</v>
      </c>
      <c r="J91">
        <v>1.7934271579858401</v>
      </c>
      <c r="K91">
        <v>0.57475452314951503</v>
      </c>
      <c r="L91">
        <v>3.1107850657857304E-5</v>
      </c>
      <c r="M91">
        <v>1.8231317447661491E-6</v>
      </c>
      <c r="N91" s="1">
        <v>-1.3876627500739899E-8</v>
      </c>
      <c r="O91" s="1">
        <v>5.1700010178085303E-12</v>
      </c>
      <c r="P91" s="1">
        <v>5.2779186039043603E-11</v>
      </c>
      <c r="Q91">
        <v>65.682467795761099</v>
      </c>
      <c r="S91">
        <v>21.034310404177599</v>
      </c>
      <c r="AA91">
        <v>2.0274155342732598</v>
      </c>
      <c r="AB91">
        <v>9.1789599577929799</v>
      </c>
      <c r="AC91">
        <v>2.0768463079949702</v>
      </c>
      <c r="AJ91">
        <v>0.78683168289346905</v>
      </c>
      <c r="AK91">
        <v>9.6037738316421595E-2</v>
      </c>
      <c r="AL91">
        <v>0.11713057879010801</v>
      </c>
    </row>
    <row r="92" spans="1:38" x14ac:dyDescent="0.2">
      <c r="A92">
        <v>124</v>
      </c>
      <c r="B92">
        <v>768</v>
      </c>
      <c r="C92">
        <v>160</v>
      </c>
      <c r="D92">
        <v>0.43225327762570398</v>
      </c>
      <c r="E92">
        <v>1.9065798211814</v>
      </c>
      <c r="F92">
        <v>2.5629645197543698</v>
      </c>
      <c r="G92">
        <v>-30.968242453998062</v>
      </c>
      <c r="H92">
        <v>-26.758217562968188</v>
      </c>
      <c r="I92">
        <v>4.0436295356383498</v>
      </c>
      <c r="J92">
        <v>2.3211199681804402</v>
      </c>
      <c r="K92">
        <v>0.74389629918252598</v>
      </c>
      <c r="L92">
        <v>3.1141140660447928E-5</v>
      </c>
      <c r="M92">
        <v>1.8240254535901958E-6</v>
      </c>
      <c r="N92" s="1">
        <v>-1.8500623776055699E-8</v>
      </c>
      <c r="O92" s="1">
        <v>6.6920754041934996E-12</v>
      </c>
      <c r="P92" s="1">
        <v>6.9872582608629198E-11</v>
      </c>
      <c r="Q92">
        <v>65.722633667854197</v>
      </c>
      <c r="S92">
        <v>20.9977716203685</v>
      </c>
      <c r="AA92">
        <v>1.98789850635321</v>
      </c>
      <c r="AB92">
        <v>9.1726762780228093</v>
      </c>
      <c r="AC92">
        <v>2.1190199274012298</v>
      </c>
      <c r="AJ92">
        <v>0.78631822246124194</v>
      </c>
      <c r="AK92">
        <v>9.4168850989433894E-2</v>
      </c>
      <c r="AL92">
        <v>0.119512926549323</v>
      </c>
    </row>
    <row r="93" spans="1:38" x14ac:dyDescent="0.2">
      <c r="A93">
        <v>125</v>
      </c>
      <c r="B93">
        <v>767</v>
      </c>
      <c r="C93">
        <v>160</v>
      </c>
      <c r="D93">
        <v>0.43164014805557099</v>
      </c>
      <c r="E93">
        <v>2.3408650029319298</v>
      </c>
      <c r="F93">
        <v>2.5624797792087399</v>
      </c>
      <c r="G93">
        <v>-38.012032594475791</v>
      </c>
      <c r="H93">
        <v>-32.850676164346311</v>
      </c>
      <c r="I93">
        <v>4.9621270298797997</v>
      </c>
      <c r="J93">
        <v>2.85027397198095</v>
      </c>
      <c r="K93">
        <v>0.91351550241491497</v>
      </c>
      <c r="L93">
        <v>3.117400027963881E-5</v>
      </c>
      <c r="M93">
        <v>1.8248853153835286E-6</v>
      </c>
      <c r="N93" s="1">
        <v>-2.3398979328210599E-8</v>
      </c>
      <c r="O93" s="1">
        <v>8.2184876993413392E-12</v>
      </c>
      <c r="P93" s="1">
        <v>8.7768154616695399E-11</v>
      </c>
      <c r="Q93">
        <v>65.761489369053507</v>
      </c>
      <c r="S93">
        <v>20.961935418614299</v>
      </c>
      <c r="AA93">
        <v>1.94926682628932</v>
      </c>
      <c r="AB93">
        <v>9.1653148628634806</v>
      </c>
      <c r="AC93">
        <v>2.16199352317925</v>
      </c>
      <c r="AJ93">
        <v>0.78571652575635298</v>
      </c>
      <c r="AK93">
        <v>9.2342277268445405E-2</v>
      </c>
      <c r="AL93">
        <v>0.121941196975201</v>
      </c>
    </row>
    <row r="94" spans="1:38" x14ac:dyDescent="0.2">
      <c r="A94">
        <v>126</v>
      </c>
      <c r="B94">
        <v>766</v>
      </c>
      <c r="C94">
        <v>160</v>
      </c>
      <c r="D94">
        <v>0.43102583842564002</v>
      </c>
      <c r="E94">
        <v>3.3970635722190599</v>
      </c>
      <c r="F94">
        <v>2.5611052495036501</v>
      </c>
      <c r="G94">
        <v>-55.131917613812149</v>
      </c>
      <c r="H94">
        <v>-47.652869862135283</v>
      </c>
      <c r="I94">
        <v>7.19727445669717</v>
      </c>
      <c r="J94">
        <v>4.1361125401583303</v>
      </c>
      <c r="K94">
        <v>1.32640529821155</v>
      </c>
      <c r="L94">
        <v>3.1193577011813253E-5</v>
      </c>
      <c r="M94">
        <v>1.8262228995206321E-6</v>
      </c>
      <c r="N94" s="1">
        <v>-3.4801455753557102E-8</v>
      </c>
      <c r="O94" s="1">
        <v>1.1947921334532199E-11</v>
      </c>
      <c r="P94" s="1">
        <v>1.2978745591320301E-10</v>
      </c>
      <c r="Q94">
        <v>65.839987626314894</v>
      </c>
      <c r="S94">
        <v>20.8779230512426</v>
      </c>
      <c r="AA94">
        <v>1.86163926779773</v>
      </c>
      <c r="AB94">
        <v>9.1199946768442199</v>
      </c>
      <c r="AC94">
        <v>2.3004553778004402</v>
      </c>
      <c r="AJ94">
        <v>0.78200870051706595</v>
      </c>
      <c r="AK94">
        <v>8.8211116996126104E-2</v>
      </c>
      <c r="AL94">
        <v>0.12978018248680701</v>
      </c>
    </row>
    <row r="95" spans="1:38" x14ac:dyDescent="0.2">
      <c r="A95">
        <v>127</v>
      </c>
      <c r="B95">
        <v>765</v>
      </c>
      <c r="C95">
        <v>160</v>
      </c>
      <c r="D95">
        <v>0.43041034532582101</v>
      </c>
      <c r="E95">
        <v>4.9101928097763201</v>
      </c>
      <c r="F95">
        <v>2.5589735514094198</v>
      </c>
      <c r="G95">
        <v>-79.621189032368093</v>
      </c>
      <c r="H95">
        <v>-68.827397786953995</v>
      </c>
      <c r="I95">
        <v>10.397140341389999</v>
      </c>
      <c r="J95">
        <v>5.9766940966003101</v>
      </c>
      <c r="K95">
        <v>1.91881342699767</v>
      </c>
      <c r="L95">
        <v>3.1189920753152131E-5</v>
      </c>
      <c r="M95">
        <v>1.8276427075004716E-6</v>
      </c>
      <c r="N95" s="1">
        <v>-5.1244762465217802E-8</v>
      </c>
      <c r="O95" s="1">
        <v>1.7322517352426301E-11</v>
      </c>
      <c r="P95" s="1">
        <v>1.9024842986583699E-10</v>
      </c>
      <c r="Q95">
        <v>65.941367557746901</v>
      </c>
      <c r="S95">
        <v>20.757536340649501</v>
      </c>
      <c r="AA95">
        <v>1.7386633778499501</v>
      </c>
      <c r="AB95">
        <v>9.0303050051058094</v>
      </c>
      <c r="AC95">
        <v>2.5321277186477098</v>
      </c>
      <c r="AJ95">
        <v>0.77466503159912603</v>
      </c>
      <c r="AK95">
        <v>8.2420990617570203E-2</v>
      </c>
      <c r="AL95">
        <v>0.142913977783303</v>
      </c>
    </row>
    <row r="96" spans="1:38" x14ac:dyDescent="0.2">
      <c r="A96">
        <v>128</v>
      </c>
      <c r="B96">
        <v>764</v>
      </c>
      <c r="C96">
        <v>160</v>
      </c>
      <c r="D96">
        <v>0.42979366533288699</v>
      </c>
      <c r="E96">
        <v>6.6865757486915198</v>
      </c>
      <c r="F96">
        <v>2.5562287563140602</v>
      </c>
      <c r="G96">
        <v>-108.30416349125503</v>
      </c>
      <c r="H96">
        <v>-93.629589092079257</v>
      </c>
      <c r="I96">
        <v>14.148941232392399</v>
      </c>
      <c r="J96">
        <v>8.1342690142435004</v>
      </c>
      <c r="K96">
        <v>2.6157970925627101</v>
      </c>
      <c r="L96">
        <v>3.1152550723044922E-5</v>
      </c>
      <c r="M96">
        <v>1.8287317322800726E-6</v>
      </c>
      <c r="N96" s="1">
        <v>-7.0586089607251194E-8</v>
      </c>
      <c r="O96" s="1">
        <v>2.3684931485191699E-11</v>
      </c>
      <c r="P96" s="1">
        <v>2.6124643206231602E-10</v>
      </c>
      <c r="Q96">
        <v>66.047966647093801</v>
      </c>
      <c r="S96">
        <v>20.613203824685399</v>
      </c>
      <c r="AA96">
        <v>1.5947141341366</v>
      </c>
      <c r="AB96">
        <v>8.8894689049934392</v>
      </c>
      <c r="AC96">
        <v>2.85464648909063</v>
      </c>
      <c r="AJ96">
        <v>0.76311946864021196</v>
      </c>
      <c r="AK96">
        <v>7.5650247293029396E-2</v>
      </c>
      <c r="AL96">
        <v>0.16123028406675699</v>
      </c>
    </row>
    <row r="97" spans="1:38" x14ac:dyDescent="0.2">
      <c r="A97">
        <v>129</v>
      </c>
      <c r="B97">
        <v>763</v>
      </c>
      <c r="C97">
        <v>160</v>
      </c>
      <c r="D97">
        <v>0.42917579501038</v>
      </c>
      <c r="E97">
        <v>8.6363323658602802</v>
      </c>
      <c r="F97">
        <v>2.5566783911440898</v>
      </c>
      <c r="G97">
        <v>-139.86147219380049</v>
      </c>
      <c r="H97">
        <v>-120.9385940480299</v>
      </c>
      <c r="I97">
        <v>18.2626821847903</v>
      </c>
      <c r="J97">
        <v>10.506518722907799</v>
      </c>
      <c r="K97">
        <v>3.3779502325263402</v>
      </c>
      <c r="L97">
        <v>3.1139144076089866E-5</v>
      </c>
      <c r="M97">
        <v>1.8275000212135466E-6</v>
      </c>
      <c r="N97" s="1">
        <v>-9.3535964651995498E-8</v>
      </c>
      <c r="O97" s="1">
        <v>3.0547854646786598E-11</v>
      </c>
      <c r="P97" s="1">
        <v>3.4427465062206999E-10</v>
      </c>
      <c r="Q97">
        <v>65.991116063322096</v>
      </c>
      <c r="S97">
        <v>20.647603236737702</v>
      </c>
      <c r="AA97">
        <v>1.6363593078273799</v>
      </c>
      <c r="AB97">
        <v>8.8529629581884794</v>
      </c>
      <c r="AC97">
        <v>2.8719584339242301</v>
      </c>
      <c r="AJ97">
        <v>0.76012281966029005</v>
      </c>
      <c r="AK97">
        <v>7.7639831660232805E-2</v>
      </c>
      <c r="AL97">
        <v>0.16223734867947601</v>
      </c>
    </row>
    <row r="98" spans="1:38" x14ac:dyDescent="0.2">
      <c r="A98">
        <v>129</v>
      </c>
      <c r="B98">
        <v>763</v>
      </c>
      <c r="C98">
        <v>160</v>
      </c>
      <c r="D98">
        <v>0.42917579501038</v>
      </c>
      <c r="E98">
        <v>7.8414973445470499</v>
      </c>
      <c r="F98">
        <v>2.5228200655698498</v>
      </c>
      <c r="G98">
        <v>-124.81413414540347</v>
      </c>
      <c r="H98">
        <v>-107.82278148787209</v>
      </c>
      <c r="I98">
        <v>16.398545246857399</v>
      </c>
      <c r="J98">
        <v>9.3687426079351894</v>
      </c>
      <c r="K98">
        <v>3.1082269606000601</v>
      </c>
      <c r="L98">
        <v>2.9067397625843582E-5</v>
      </c>
      <c r="M98">
        <v>1.8094318686547253E-6</v>
      </c>
      <c r="N98" s="1">
        <v>-4.6862659944458698E-8</v>
      </c>
      <c r="O98" s="1">
        <v>2.9491358813811198E-11</v>
      </c>
      <c r="P98" s="1">
        <v>1.9914459100283399E-10</v>
      </c>
      <c r="Q98">
        <v>66.290937892943703</v>
      </c>
      <c r="S98">
        <v>19.167205093323101</v>
      </c>
      <c r="AA98">
        <v>0.345056356330599</v>
      </c>
      <c r="AB98">
        <v>5.6400436318462104</v>
      </c>
      <c r="AC98">
        <v>8.5567570255562906</v>
      </c>
      <c r="AJ98">
        <v>0.49213145042914502</v>
      </c>
      <c r="AK98">
        <v>1.6637937126413101E-2</v>
      </c>
      <c r="AL98">
        <v>0.49123061244444</v>
      </c>
    </row>
    <row r="99" spans="1:38" x14ac:dyDescent="0.2">
      <c r="A99">
        <v>130</v>
      </c>
      <c r="B99">
        <v>762</v>
      </c>
      <c r="C99">
        <v>160</v>
      </c>
      <c r="D99">
        <v>0.428556730908567</v>
      </c>
      <c r="E99">
        <v>10.2020706421614</v>
      </c>
      <c r="F99">
        <v>2.5581361570536298</v>
      </c>
      <c r="G99">
        <v>-165.25158682647563</v>
      </c>
      <c r="H99">
        <v>-142.93293456546513</v>
      </c>
      <c r="I99">
        <v>21.560790475786501</v>
      </c>
      <c r="J99">
        <v>12.415713790764199</v>
      </c>
      <c r="K99">
        <v>3.98808742608598</v>
      </c>
      <c r="L99">
        <v>3.1154606239867606E-5</v>
      </c>
      <c r="M99">
        <v>1.8260484772211696E-6</v>
      </c>
      <c r="N99" s="1">
        <v>-1.14237234803703E-7</v>
      </c>
      <c r="O99" s="1">
        <v>3.5971329665531502E-11</v>
      </c>
      <c r="P99" s="1">
        <v>4.1760793086537899E-10</v>
      </c>
      <c r="Q99">
        <v>65.899971882748204</v>
      </c>
      <c r="S99">
        <v>20.7322567962234</v>
      </c>
      <c r="AA99">
        <v>1.7274666097023901</v>
      </c>
      <c r="AB99">
        <v>8.8717833506405501</v>
      </c>
      <c r="AC99">
        <v>2.7685213606853698</v>
      </c>
      <c r="AJ99">
        <v>0.76166601580618598</v>
      </c>
      <c r="AK99">
        <v>8.1954744889475906E-2</v>
      </c>
      <c r="AL99">
        <v>0.156379239304337</v>
      </c>
    </row>
    <row r="100" spans="1:38" x14ac:dyDescent="0.2">
      <c r="A100">
        <v>130</v>
      </c>
      <c r="B100">
        <v>762</v>
      </c>
      <c r="C100">
        <v>160</v>
      </c>
      <c r="D100">
        <v>0.428556730908567</v>
      </c>
      <c r="E100">
        <v>15.393010849180399</v>
      </c>
      <c r="F100">
        <v>2.5225418154488199</v>
      </c>
      <c r="G100">
        <v>-244.87115794839596</v>
      </c>
      <c r="H100">
        <v>-211.58359124127256</v>
      </c>
      <c r="I100">
        <v>32.157239730592998</v>
      </c>
      <c r="J100">
        <v>18.382845426982399</v>
      </c>
      <c r="K100">
        <v>6.1021826298017601</v>
      </c>
      <c r="L100">
        <v>2.9009748677095735E-5</v>
      </c>
      <c r="M100">
        <v>1.8083996018033634E-6</v>
      </c>
      <c r="N100" s="1">
        <v>-9.2889755691945798E-8</v>
      </c>
      <c r="O100" s="1">
        <v>5.7925872118158397E-11</v>
      </c>
      <c r="P100" s="1">
        <v>3.9338458646201598E-10</v>
      </c>
      <c r="Q100">
        <v>66.261807296381406</v>
      </c>
      <c r="S100">
        <v>19.1533900170006</v>
      </c>
      <c r="AA100">
        <v>0.34045600337652399</v>
      </c>
      <c r="AB100">
        <v>5.5389096406653904</v>
      </c>
      <c r="AC100">
        <v>8.7054370425760208</v>
      </c>
      <c r="AJ100">
        <v>0.48355390098162498</v>
      </c>
      <c r="AK100">
        <v>1.6424509091235402E-2</v>
      </c>
      <c r="AL100">
        <v>0.50002158992713897</v>
      </c>
    </row>
    <row r="101" spans="1:38" x14ac:dyDescent="0.2">
      <c r="A101">
        <v>131</v>
      </c>
      <c r="B101">
        <v>761</v>
      </c>
      <c r="C101">
        <v>160</v>
      </c>
      <c r="D101">
        <v>0.42793646956437897</v>
      </c>
      <c r="E101">
        <v>13.423667796755099</v>
      </c>
      <c r="F101">
        <v>2.5602366367974301</v>
      </c>
      <c r="G101">
        <v>-217.50497999524208</v>
      </c>
      <c r="H101">
        <v>-188.18621121481667</v>
      </c>
      <c r="I101">
        <v>28.350595929435201</v>
      </c>
      <c r="J101">
        <v>16.342038834319599</v>
      </c>
      <c r="K101">
        <v>5.2431355773217101</v>
      </c>
      <c r="L101">
        <v>3.1152361791170742E-5</v>
      </c>
      <c r="M101">
        <v>1.8235121993018557E-6</v>
      </c>
      <c r="N101" s="1">
        <v>-1.55302620935721E-7</v>
      </c>
      <c r="O101" s="1">
        <v>4.7124753199747702E-11</v>
      </c>
      <c r="P101" s="1">
        <v>5.6406248547445304E-10</v>
      </c>
      <c r="Q101">
        <v>65.755110077048499</v>
      </c>
      <c r="S101">
        <v>20.8610581995184</v>
      </c>
      <c r="AA101">
        <v>1.8675306082138801</v>
      </c>
      <c r="AB101">
        <v>8.8866362078812102</v>
      </c>
      <c r="AC101">
        <v>2.6296649073378902</v>
      </c>
      <c r="AJ101">
        <v>0.76288256567900303</v>
      </c>
      <c r="AK101">
        <v>8.8592877329043807E-2</v>
      </c>
      <c r="AL101">
        <v>0.14852455699195199</v>
      </c>
    </row>
    <row r="102" spans="1:38" x14ac:dyDescent="0.2">
      <c r="A102">
        <v>131</v>
      </c>
      <c r="B102">
        <v>761</v>
      </c>
      <c r="C102">
        <v>160</v>
      </c>
      <c r="D102">
        <v>0.42793646956437897</v>
      </c>
      <c r="E102">
        <v>27.627573918580001</v>
      </c>
      <c r="F102">
        <v>2.5221838092625002</v>
      </c>
      <c r="G102">
        <v>-439.17245249022</v>
      </c>
      <c r="H102">
        <v>-379.55880194396696</v>
      </c>
      <c r="I102">
        <v>57.645071359331801</v>
      </c>
      <c r="J102">
        <v>32.971841699159</v>
      </c>
      <c r="K102">
        <v>10.953830492892701</v>
      </c>
      <c r="L102">
        <v>2.8923352432048393E-5</v>
      </c>
      <c r="M102">
        <v>1.8069059240469382E-6</v>
      </c>
      <c r="N102" s="1">
        <v>-1.6660660132986699E-7</v>
      </c>
      <c r="O102" s="1">
        <v>1.04064990659344E-10</v>
      </c>
      <c r="P102" s="1">
        <v>7.0535984864173902E-10</v>
      </c>
      <c r="Q102">
        <v>66.219402247264597</v>
      </c>
      <c r="S102">
        <v>19.136238769513302</v>
      </c>
      <c r="AA102">
        <v>0.336200687082015</v>
      </c>
      <c r="AB102">
        <v>5.3994480372742197</v>
      </c>
      <c r="AC102">
        <v>8.9087102588658205</v>
      </c>
      <c r="AJ102">
        <v>0.47171122797336501</v>
      </c>
      <c r="AK102">
        <v>1.6230662035492501E-2</v>
      </c>
      <c r="AL102">
        <v>0.51205810999114099</v>
      </c>
    </row>
    <row r="103" spans="1:38" x14ac:dyDescent="0.2">
      <c r="A103">
        <v>132</v>
      </c>
      <c r="B103">
        <v>760</v>
      </c>
      <c r="C103">
        <v>160</v>
      </c>
      <c r="D103">
        <v>0.427315007501331</v>
      </c>
      <c r="E103">
        <v>15.44852257102</v>
      </c>
      <c r="F103">
        <v>2.5614725246296302</v>
      </c>
      <c r="G103">
        <v>-250.3460672841004</v>
      </c>
      <c r="H103">
        <v>-216.65845022024649</v>
      </c>
      <c r="I103">
        <v>32.606704799742403</v>
      </c>
      <c r="J103">
        <v>18.8129285400701</v>
      </c>
      <c r="K103">
        <v>6.0311100050756101</v>
      </c>
      <c r="L103">
        <v>3.1163810504767264E-5</v>
      </c>
      <c r="M103">
        <v>1.8220907809099685E-6</v>
      </c>
      <c r="N103" s="1">
        <v>-1.8450403700827E-7</v>
      </c>
      <c r="O103" s="1">
        <v>5.40755534084947E-11</v>
      </c>
      <c r="P103" s="1">
        <v>6.6593508118586203E-10</v>
      </c>
      <c r="Q103">
        <v>65.670859547764096</v>
      </c>
      <c r="S103">
        <v>20.9355823472706</v>
      </c>
      <c r="AA103">
        <v>1.9486725024056899</v>
      </c>
      <c r="AB103">
        <v>8.8942631628364204</v>
      </c>
      <c r="AC103">
        <v>2.5506224397230799</v>
      </c>
      <c r="AJ103">
        <v>0.76350704135506198</v>
      </c>
      <c r="AK103">
        <v>9.2438463629291701E-2</v>
      </c>
      <c r="AL103">
        <v>0.14405449501564499</v>
      </c>
    </row>
    <row r="104" spans="1:38" x14ac:dyDescent="0.2">
      <c r="A104">
        <v>132</v>
      </c>
      <c r="B104">
        <v>760</v>
      </c>
      <c r="C104">
        <v>160</v>
      </c>
      <c r="D104">
        <v>0.427315007501331</v>
      </c>
      <c r="E104">
        <v>34.4298945751381</v>
      </c>
      <c r="F104">
        <v>2.5219975738353</v>
      </c>
      <c r="G104">
        <v>-547.03339376533916</v>
      </c>
      <c r="H104">
        <v>-472.88519131882884</v>
      </c>
      <c r="I104">
        <v>71.7690581682333</v>
      </c>
      <c r="J104">
        <v>41.076006159803697</v>
      </c>
      <c r="K104">
        <v>13.651834931299801</v>
      </c>
      <c r="L104">
        <v>2.8879422364462872E-5</v>
      </c>
      <c r="M104">
        <v>1.8061056499204015E-6</v>
      </c>
      <c r="N104" s="1">
        <v>-2.10576755427447E-7</v>
      </c>
      <c r="O104" s="1">
        <v>1.2973716793324699E-10</v>
      </c>
      <c r="P104" s="1">
        <v>8.8730529532183699E-10</v>
      </c>
      <c r="Q104">
        <v>66.195694480699103</v>
      </c>
      <c r="S104">
        <v>19.125108742392801</v>
      </c>
      <c r="AA104">
        <v>0.33255018396736302</v>
      </c>
      <c r="AB104">
        <v>5.3174377375442097</v>
      </c>
      <c r="AC104">
        <v>9.0292088553964103</v>
      </c>
      <c r="AJ104">
        <v>0.46473935963965202</v>
      </c>
      <c r="AK104">
        <v>1.6061090328072701E-2</v>
      </c>
      <c r="AL104">
        <v>0.51919955003227403</v>
      </c>
    </row>
    <row r="105" spans="1:38" x14ac:dyDescent="0.2">
      <c r="A105">
        <v>133</v>
      </c>
      <c r="B105">
        <v>759</v>
      </c>
      <c r="C105">
        <v>160</v>
      </c>
      <c r="D105">
        <v>0.42669234122947503</v>
      </c>
      <c r="E105">
        <v>16.877878072591798</v>
      </c>
      <c r="F105">
        <v>2.56233398425662</v>
      </c>
      <c r="G105">
        <v>-273.52211205245953</v>
      </c>
      <c r="H105">
        <v>-236.77544984823066</v>
      </c>
      <c r="I105">
        <v>35.602056100594702</v>
      </c>
      <c r="J105">
        <v>20.5598623759631</v>
      </c>
      <c r="K105">
        <v>6.5869157480219602</v>
      </c>
      <c r="L105">
        <v>3.1183218676474616E-5</v>
      </c>
      <c r="M105">
        <v>1.8211951554750054E-6</v>
      </c>
      <c r="N105" s="1">
        <v>-2.08055740345165E-7</v>
      </c>
      <c r="O105" s="1">
        <v>5.8943330896550604E-11</v>
      </c>
      <c r="P105" s="1">
        <v>7.46340874331776E-10</v>
      </c>
      <c r="Q105">
        <v>65.614226733267401</v>
      </c>
      <c r="S105">
        <v>20.9859908947222</v>
      </c>
      <c r="AA105">
        <v>2.0034745632381599</v>
      </c>
      <c r="AB105">
        <v>8.9002125329632893</v>
      </c>
      <c r="AC105">
        <v>2.4960952758088499</v>
      </c>
      <c r="AJ105">
        <v>0.76399426555627703</v>
      </c>
      <c r="AK105">
        <v>9.5035167499663994E-2</v>
      </c>
      <c r="AL105">
        <v>0.14097056694405699</v>
      </c>
    </row>
    <row r="106" spans="1:38" x14ac:dyDescent="0.2">
      <c r="A106">
        <v>133</v>
      </c>
      <c r="B106">
        <v>759</v>
      </c>
      <c r="C106">
        <v>160</v>
      </c>
      <c r="D106">
        <v>0.42669234122947503</v>
      </c>
      <c r="E106">
        <v>38.859552793183902</v>
      </c>
      <c r="F106">
        <v>2.5218799046184102</v>
      </c>
      <c r="G106">
        <v>-617.17319074395812</v>
      </c>
      <c r="H106">
        <v>-533.63703867779941</v>
      </c>
      <c r="I106">
        <v>80.934120104789699</v>
      </c>
      <c r="J106">
        <v>46.351394049759001</v>
      </c>
      <c r="K106">
        <v>15.4089624656665</v>
      </c>
      <c r="L106">
        <v>2.8853579376501822E-5</v>
      </c>
      <c r="M106">
        <v>1.8055966401896776E-6</v>
      </c>
      <c r="N106" s="1">
        <v>-2.4258566274474799E-7</v>
      </c>
      <c r="O106" s="1">
        <v>1.4644931902122501E-10</v>
      </c>
      <c r="P106" s="1">
        <v>1.0154823731459601E-9</v>
      </c>
      <c r="Q106">
        <v>66.179909128724404</v>
      </c>
      <c r="S106">
        <v>19.116478169281599</v>
      </c>
      <c r="AA106">
        <v>0.32911316886438702</v>
      </c>
      <c r="AB106">
        <v>5.2596347575833002</v>
      </c>
      <c r="AC106">
        <v>9.1148647755461898</v>
      </c>
      <c r="AJ106">
        <v>0.45982193759935602</v>
      </c>
      <c r="AK106">
        <v>1.5899744698410701E-2</v>
      </c>
      <c r="AL106">
        <v>0.52427831770223199</v>
      </c>
    </row>
    <row r="107" spans="1:38" x14ac:dyDescent="0.2">
      <c r="A107">
        <v>134</v>
      </c>
      <c r="B107">
        <v>758</v>
      </c>
      <c r="C107">
        <v>160</v>
      </c>
      <c r="D107">
        <v>0.426068467245311</v>
      </c>
      <c r="E107">
        <v>17.5108238800156</v>
      </c>
      <c r="F107">
        <v>2.5627700991647901</v>
      </c>
      <c r="G107">
        <v>-283.76905568808104</v>
      </c>
      <c r="H107">
        <v>-245.70312375193311</v>
      </c>
      <c r="I107">
        <v>36.915998580369397</v>
      </c>
      <c r="J107">
        <v>21.337613797443801</v>
      </c>
      <c r="K107">
        <v>6.8327720405831203</v>
      </c>
      <c r="L107">
        <v>3.1214086504887505E-5</v>
      </c>
      <c r="M107">
        <v>1.8209678859882934E-6</v>
      </c>
      <c r="N107" s="1">
        <v>-2.2283399082143801E-7</v>
      </c>
      <c r="O107" s="1">
        <v>6.1057104616612794E-11</v>
      </c>
      <c r="P107" s="1">
        <v>7.9450540999513804E-10</v>
      </c>
      <c r="Q107">
        <v>65.591324971634407</v>
      </c>
      <c r="S107">
        <v>21.007950382665001</v>
      </c>
      <c r="AA107">
        <v>2.0269351786280501</v>
      </c>
      <c r="AB107">
        <v>8.9067468376778507</v>
      </c>
      <c r="AC107">
        <v>2.4670426293945802</v>
      </c>
      <c r="AJ107">
        <v>0.76452996129463302</v>
      </c>
      <c r="AK107">
        <v>9.6144855704894797E-2</v>
      </c>
      <c r="AL107">
        <v>0.139325183000471</v>
      </c>
    </row>
    <row r="108" spans="1:38" x14ac:dyDescent="0.2">
      <c r="A108">
        <v>134</v>
      </c>
      <c r="B108">
        <v>758</v>
      </c>
      <c r="C108">
        <v>160</v>
      </c>
      <c r="D108">
        <v>0.426068467245311</v>
      </c>
      <c r="E108">
        <v>40.609804229398399</v>
      </c>
      <c r="F108">
        <v>2.5218279513819799</v>
      </c>
      <c r="G108">
        <v>-644.79306814184622</v>
      </c>
      <c r="H108">
        <v>-557.64156461821528</v>
      </c>
      <c r="I108">
        <v>84.5187446284544</v>
      </c>
      <c r="J108">
        <v>48.4367977022304</v>
      </c>
      <c r="K108">
        <v>16.103320691303999</v>
      </c>
      <c r="L108">
        <v>2.8847692730310889E-5</v>
      </c>
      <c r="M108">
        <v>1.8054038164450266E-6</v>
      </c>
      <c r="N108" s="1">
        <v>-2.6058323976613502E-7</v>
      </c>
      <c r="O108" s="1">
        <v>1.5302578350368099E-10</v>
      </c>
      <c r="P108" s="1">
        <v>1.0815574465189001E-9</v>
      </c>
      <c r="Q108">
        <v>66.172912984185899</v>
      </c>
      <c r="S108">
        <v>19.110413083189801</v>
      </c>
      <c r="AA108">
        <v>0.32574186542172801</v>
      </c>
      <c r="AB108">
        <v>5.2281438128929301</v>
      </c>
      <c r="AC108">
        <v>9.1627882543095005</v>
      </c>
      <c r="AJ108">
        <v>0.45714174001214197</v>
      </c>
      <c r="AK108">
        <v>1.5739383633513401E-2</v>
      </c>
      <c r="AL108">
        <v>0.52711887635434396</v>
      </c>
    </row>
    <row r="109" spans="1:38" x14ac:dyDescent="0.2">
      <c r="A109">
        <v>137</v>
      </c>
      <c r="B109">
        <v>781</v>
      </c>
      <c r="C109">
        <v>140</v>
      </c>
      <c r="D109">
        <v>0.460987999810274</v>
      </c>
      <c r="E109">
        <v>0.36985319079560203</v>
      </c>
      <c r="F109">
        <v>2.5631383110415298</v>
      </c>
      <c r="G109">
        <v>-6.0238114111374745</v>
      </c>
      <c r="H109">
        <v>-5.1910544631241358</v>
      </c>
      <c r="I109">
        <v>0.78997955510443196</v>
      </c>
      <c r="J109">
        <v>0.44941136236297302</v>
      </c>
      <c r="K109">
        <v>0.14429700855484101</v>
      </c>
      <c r="L109">
        <v>3.0813065836481562E-5</v>
      </c>
      <c r="M109">
        <v>1.8207390890713168E-6</v>
      </c>
      <c r="N109" s="1">
        <v>-2.37071789830811E-9</v>
      </c>
      <c r="O109" s="1">
        <v>1.30408189567742E-12</v>
      </c>
      <c r="P109" s="1">
        <v>1.0000153787377399E-11</v>
      </c>
      <c r="Q109">
        <v>65.577018458456706</v>
      </c>
      <c r="S109">
        <v>21.133561360208901</v>
      </c>
      <c r="AA109">
        <v>2.1339037505228</v>
      </c>
      <c r="AB109">
        <v>9.2041710483184698</v>
      </c>
      <c r="AC109">
        <v>1.9513453824929901</v>
      </c>
      <c r="AJ109">
        <v>0.78889231482673094</v>
      </c>
      <c r="AK109">
        <v>0.101069161215026</v>
      </c>
      <c r="AL109">
        <v>0.110038523958241</v>
      </c>
    </row>
    <row r="110" spans="1:38" x14ac:dyDescent="0.2">
      <c r="A110">
        <v>138</v>
      </c>
      <c r="B110">
        <v>780</v>
      </c>
      <c r="C110">
        <v>140</v>
      </c>
      <c r="D110">
        <v>0.46040972321132001</v>
      </c>
      <c r="E110">
        <v>0.78336863762666697</v>
      </c>
      <c r="F110">
        <v>2.56267472598118</v>
      </c>
      <c r="G110">
        <v>-12.755540963510185</v>
      </c>
      <c r="H110">
        <v>-10.994261720145651</v>
      </c>
      <c r="I110">
        <v>1.6723916283193601</v>
      </c>
      <c r="J110">
        <v>0.95196234036232996</v>
      </c>
      <c r="K110">
        <v>0.30568399090397003</v>
      </c>
      <c r="L110">
        <v>3.0841443259378778E-5</v>
      </c>
      <c r="M110">
        <v>1.8216653552806579E-6</v>
      </c>
      <c r="N110" s="1">
        <v>-5.17912227265154E-9</v>
      </c>
      <c r="O110" s="1">
        <v>2.7633649151873798E-12</v>
      </c>
      <c r="P110" s="1">
        <v>2.1641099375240501E-11</v>
      </c>
      <c r="Q110">
        <v>65.618324801369099</v>
      </c>
      <c r="S110">
        <v>21.097421882578899</v>
      </c>
      <c r="AA110">
        <v>2.0944500410146598</v>
      </c>
      <c r="AB110">
        <v>9.2014756796814599</v>
      </c>
      <c r="AC110">
        <v>1.98832759535573</v>
      </c>
      <c r="AJ110">
        <v>0.78867250806215095</v>
      </c>
      <c r="AK110">
        <v>9.9201905790962205E-2</v>
      </c>
      <c r="AL110">
        <v>0.112125586146886</v>
      </c>
    </row>
    <row r="111" spans="1:38" x14ac:dyDescent="0.2">
      <c r="A111">
        <v>139</v>
      </c>
      <c r="B111">
        <v>779</v>
      </c>
      <c r="C111">
        <v>140</v>
      </c>
      <c r="D111">
        <v>0.45983034738392797</v>
      </c>
      <c r="E111">
        <v>1.19794730452391</v>
      </c>
      <c r="F111">
        <v>2.5622161059224302</v>
      </c>
      <c r="G111">
        <v>-19.501161083760408</v>
      </c>
      <c r="H111">
        <v>-16.81166651804023</v>
      </c>
      <c r="I111">
        <v>2.5561892940361801</v>
      </c>
      <c r="J111">
        <v>1.4558972740534999</v>
      </c>
      <c r="K111">
        <v>0.46754342920369502</v>
      </c>
      <c r="L111">
        <v>3.0869343465517751E-5</v>
      </c>
      <c r="M111">
        <v>1.8225596415273853E-6</v>
      </c>
      <c r="N111" s="1">
        <v>-8.1670455394040596E-9</v>
      </c>
      <c r="O111" s="1">
        <v>4.2276102785295003E-12</v>
      </c>
      <c r="P111" s="1">
        <v>3.3814055465220101E-11</v>
      </c>
      <c r="Q111">
        <v>65.658376517784106</v>
      </c>
      <c r="S111">
        <v>21.061994406868301</v>
      </c>
      <c r="AA111">
        <v>2.05587649032165</v>
      </c>
      <c r="AB111">
        <v>9.1978510487634395</v>
      </c>
      <c r="AC111">
        <v>2.0259015362624502</v>
      </c>
      <c r="AJ111">
        <v>0.78837666555790697</v>
      </c>
      <c r="AK111">
        <v>9.7376732998826904E-2</v>
      </c>
      <c r="AL111">
        <v>0.114246601443265</v>
      </c>
    </row>
    <row r="112" spans="1:38" x14ac:dyDescent="0.2">
      <c r="A112">
        <v>140</v>
      </c>
      <c r="B112">
        <v>778</v>
      </c>
      <c r="C112">
        <v>140</v>
      </c>
      <c r="D112">
        <v>0.45924986919088701</v>
      </c>
      <c r="E112">
        <v>1.6134404079350799</v>
      </c>
      <c r="F112">
        <v>2.56176233063292</v>
      </c>
      <c r="G112">
        <v>-26.258207819169218</v>
      </c>
      <c r="H112">
        <v>-22.641157160217404</v>
      </c>
      <c r="I112">
        <v>3.44104139176312</v>
      </c>
      <c r="J112">
        <v>1.96103771344092</v>
      </c>
      <c r="K112">
        <v>0.62981658705882404</v>
      </c>
      <c r="L112">
        <v>3.0896782764217129E-5</v>
      </c>
      <c r="M112">
        <v>1.823422391521878E-6</v>
      </c>
      <c r="N112" s="1">
        <v>-1.1340201653258699E-8</v>
      </c>
      <c r="O112" s="1">
        <v>5.6961832999837197E-12</v>
      </c>
      <c r="P112" s="1">
        <v>4.6533996093919702E-11</v>
      </c>
      <c r="Q112">
        <v>65.6971903404459</v>
      </c>
      <c r="S112">
        <v>21.027266635247901</v>
      </c>
      <c r="AA112">
        <v>2.0181690482516901</v>
      </c>
      <c r="AB112">
        <v>9.1933022032302407</v>
      </c>
      <c r="AC112">
        <v>2.06407177282412</v>
      </c>
      <c r="AJ112">
        <v>0.78800519210983699</v>
      </c>
      <c r="AK112">
        <v>9.5592952200625705E-2</v>
      </c>
      <c r="AL112">
        <v>0.116401855689536</v>
      </c>
    </row>
    <row r="113" spans="1:38" x14ac:dyDescent="0.2">
      <c r="A113">
        <v>141</v>
      </c>
      <c r="B113">
        <v>777</v>
      </c>
      <c r="C113">
        <v>140</v>
      </c>
      <c r="D113">
        <v>0.45866828548302802</v>
      </c>
      <c r="E113">
        <v>2.0297030574035402</v>
      </c>
      <c r="F113">
        <v>2.5613132680578201</v>
      </c>
      <c r="G113">
        <v>-33.024282470765783</v>
      </c>
      <c r="H113">
        <v>-28.480676452661829</v>
      </c>
      <c r="I113">
        <v>4.32662573737462</v>
      </c>
      <c r="J113">
        <v>2.4672101076354598</v>
      </c>
      <c r="K113">
        <v>0.79244623557610105</v>
      </c>
      <c r="L113">
        <v>3.092377835131055E-5</v>
      </c>
      <c r="M113">
        <v>1.8242540796151067E-6</v>
      </c>
      <c r="N113" s="1">
        <v>-1.4704474458633499E-8</v>
      </c>
      <c r="O113" s="1">
        <v>7.1684617924735702E-12</v>
      </c>
      <c r="P113" s="1">
        <v>5.9816384839844399E-11</v>
      </c>
      <c r="Q113">
        <v>65.734784366821998</v>
      </c>
      <c r="S113">
        <v>20.9932252621964</v>
      </c>
      <c r="AA113">
        <v>1.98131251481684</v>
      </c>
      <c r="AB113">
        <v>9.1878345901632699</v>
      </c>
      <c r="AC113">
        <v>2.1028432660013499</v>
      </c>
      <c r="AJ113">
        <v>0.78755852320379105</v>
      </c>
      <c r="AK113">
        <v>9.3849819366408405E-2</v>
      </c>
      <c r="AL113">
        <v>0.1185916574298</v>
      </c>
    </row>
    <row r="114" spans="1:38" x14ac:dyDescent="0.2">
      <c r="A114">
        <v>142</v>
      </c>
      <c r="B114">
        <v>776</v>
      </c>
      <c r="C114">
        <v>140</v>
      </c>
      <c r="D114">
        <v>0.45808559309917701</v>
      </c>
      <c r="E114">
        <v>2.4465949067388801</v>
      </c>
      <c r="F114">
        <v>2.5608687756947801</v>
      </c>
      <c r="G114">
        <v>-39.79706208655363</v>
      </c>
      <c r="H114">
        <v>-34.328230794301845</v>
      </c>
      <c r="I114">
        <v>5.2126305030279596</v>
      </c>
      <c r="J114">
        <v>2.9742466079462102</v>
      </c>
      <c r="K114">
        <v>0.95537691347542897</v>
      </c>
      <c r="L114">
        <v>3.0950348227330225E-5</v>
      </c>
      <c r="M114">
        <v>1.8250552067645123E-6</v>
      </c>
      <c r="N114" s="1">
        <v>-1.8265931433165401E-8</v>
      </c>
      <c r="O114" s="1">
        <v>8.64383860497584E-12</v>
      </c>
      <c r="P114" s="1">
        <v>7.3677218611173803E-11</v>
      </c>
      <c r="Q114">
        <v>65.771177885726502</v>
      </c>
      <c r="S114">
        <v>20.9598560983978</v>
      </c>
      <c r="AA114">
        <v>1.9452906829050201</v>
      </c>
      <c r="AB114">
        <v>9.1814539945142108</v>
      </c>
      <c r="AC114">
        <v>2.1422213384562898</v>
      </c>
      <c r="AJ114">
        <v>0.78703712002508597</v>
      </c>
      <c r="AK114">
        <v>9.2146543826738703E-2</v>
      </c>
      <c r="AL114">
        <v>0.120816336148174</v>
      </c>
    </row>
    <row r="115" spans="1:38" x14ac:dyDescent="0.2">
      <c r="A115">
        <v>143</v>
      </c>
      <c r="B115">
        <v>775</v>
      </c>
      <c r="C115">
        <v>140</v>
      </c>
      <c r="D115">
        <v>0.45750178886609999</v>
      </c>
      <c r="E115">
        <v>2.8639807183739601</v>
      </c>
      <c r="F115">
        <v>2.56042870210175</v>
      </c>
      <c r="G115">
        <v>-46.574308533785832</v>
      </c>
      <c r="H115">
        <v>-40.18189805540181</v>
      </c>
      <c r="I115">
        <v>6.0987554056041802</v>
      </c>
      <c r="J115">
        <v>3.4819857654422002</v>
      </c>
      <c r="K115">
        <v>1.11855515290194</v>
      </c>
      <c r="L115">
        <v>3.0976511123614925E-5</v>
      </c>
      <c r="M115">
        <v>1.8258262966339775E-6</v>
      </c>
      <c r="N115" s="1">
        <v>-2.20308379264971E-8</v>
      </c>
      <c r="O115" s="1">
        <v>1.01217238222315E-11</v>
      </c>
      <c r="P115" s="1">
        <v>8.8133072072702403E-11</v>
      </c>
      <c r="Q115">
        <v>65.806391204725102</v>
      </c>
      <c r="S115">
        <v>20.927144198528499</v>
      </c>
      <c r="AA115">
        <v>1.91008648397831</v>
      </c>
      <c r="AB115">
        <v>9.1741664894950894</v>
      </c>
      <c r="AC115">
        <v>2.1822116232729298</v>
      </c>
      <c r="AJ115">
        <v>0.78644146544633897</v>
      </c>
      <c r="AK115">
        <v>9.0482295157251702E-2</v>
      </c>
      <c r="AL115">
        <v>0.12307623939640901</v>
      </c>
    </row>
    <row r="116" spans="1:38" x14ac:dyDescent="0.2">
      <c r="A116">
        <v>144</v>
      </c>
      <c r="B116">
        <v>774</v>
      </c>
      <c r="C116">
        <v>140</v>
      </c>
      <c r="D116">
        <v>0.45691686959843703</v>
      </c>
      <c r="E116">
        <v>3.2817308296353498</v>
      </c>
      <c r="F116">
        <v>2.5599928885598802</v>
      </c>
      <c r="G116">
        <v>-53.353875972384643</v>
      </c>
      <c r="H116">
        <v>-46.039834089086341</v>
      </c>
      <c r="I116">
        <v>6.9847126804166502</v>
      </c>
      <c r="J116">
        <v>3.9902731094220498</v>
      </c>
      <c r="K116">
        <v>1.2819296664068001</v>
      </c>
      <c r="L116">
        <v>3.1002286435824074E-5</v>
      </c>
      <c r="M116">
        <v>1.8265678917931601E-6</v>
      </c>
      <c r="N116" s="1">
        <v>-2.6005671768732301E-8</v>
      </c>
      <c r="O116" s="1">
        <v>1.1601546582521401E-11</v>
      </c>
      <c r="P116" s="1">
        <v>1.03201142243102E-10</v>
      </c>
      <c r="Q116">
        <v>65.840445476559495</v>
      </c>
      <c r="S116">
        <v>20.895073994311801</v>
      </c>
      <c r="AA116">
        <v>1.87568213834613</v>
      </c>
      <c r="AB116">
        <v>9.1659783985961596</v>
      </c>
      <c r="AC116">
        <v>2.2228199921862299</v>
      </c>
      <c r="AJ116">
        <v>0.78577206096803598</v>
      </c>
      <c r="AK116">
        <v>8.8856210270460603E-2</v>
      </c>
      <c r="AL116">
        <v>0.12537172876150299</v>
      </c>
    </row>
    <row r="117" spans="1:38" x14ac:dyDescent="0.2">
      <c r="A117">
        <v>145</v>
      </c>
      <c r="B117">
        <v>773</v>
      </c>
      <c r="C117">
        <v>140</v>
      </c>
      <c r="D117">
        <v>0.456330832098647</v>
      </c>
      <c r="E117">
        <v>3.7694518752883801</v>
      </c>
      <c r="F117">
        <v>2.5594657302970099</v>
      </c>
      <c r="G117">
        <v>-61.265140550052486</v>
      </c>
      <c r="H117">
        <v>-52.876527421791579</v>
      </c>
      <c r="I117">
        <v>8.0185567349432798</v>
      </c>
      <c r="J117">
        <v>4.5836533552150396</v>
      </c>
      <c r="K117">
        <v>1.4727495002837701</v>
      </c>
      <c r="L117">
        <v>3.1026268708630817E-5</v>
      </c>
      <c r="M117">
        <v>1.8273310963492355E-6</v>
      </c>
      <c r="N117" s="1">
        <v>-3.0748539802120403E-8</v>
      </c>
      <c r="O117" s="1">
        <v>1.333149930901E-11</v>
      </c>
      <c r="P117" s="1">
        <v>1.21085998347059E-10</v>
      </c>
      <c r="Q117">
        <v>65.877584094585799</v>
      </c>
      <c r="S117">
        <v>20.8584769753292</v>
      </c>
      <c r="AA117">
        <v>1.8368234341629599</v>
      </c>
      <c r="AB117">
        <v>9.1527959743746301</v>
      </c>
      <c r="AC117">
        <v>2.2743195215472398</v>
      </c>
      <c r="AJ117">
        <v>0.78469395815090903</v>
      </c>
      <c r="AK117">
        <v>8.7021132099995693E-2</v>
      </c>
      <c r="AL117">
        <v>0.12828490974909401</v>
      </c>
    </row>
    <row r="118" spans="1:38" x14ac:dyDescent="0.2">
      <c r="A118">
        <v>146</v>
      </c>
      <c r="B118">
        <v>772</v>
      </c>
      <c r="C118">
        <v>140</v>
      </c>
      <c r="D118">
        <v>0.45574367315696301</v>
      </c>
      <c r="E118">
        <v>5.2066712603072904</v>
      </c>
      <c r="F118">
        <v>2.55759238308698</v>
      </c>
      <c r="G118">
        <v>-84.559801425234014</v>
      </c>
      <c r="H118">
        <v>-72.990346581325397</v>
      </c>
      <c r="I118">
        <v>11.069659708088301</v>
      </c>
      <c r="J118">
        <v>6.3296008585398198</v>
      </c>
      <c r="K118">
        <v>2.0357705530944998</v>
      </c>
      <c r="L118">
        <v>3.1023400254837342E-5</v>
      </c>
      <c r="M118">
        <v>1.8286063507067102E-6</v>
      </c>
      <c r="N118" s="1">
        <v>-4.3317591277234701E-8</v>
      </c>
      <c r="O118" s="1">
        <v>1.8464078919446699E-11</v>
      </c>
      <c r="P118" s="1">
        <v>1.6964771865834699E-10</v>
      </c>
      <c r="Q118">
        <v>65.967468789659307</v>
      </c>
      <c r="S118">
        <v>20.752084682617198</v>
      </c>
      <c r="AA118">
        <v>1.7280753385127201</v>
      </c>
      <c r="AB118">
        <v>9.0741779706347003</v>
      </c>
      <c r="AC118">
        <v>2.4781932185760298</v>
      </c>
      <c r="AJ118">
        <v>0.77825929347799305</v>
      </c>
      <c r="AK118">
        <v>8.1901241564369301E-2</v>
      </c>
      <c r="AL118">
        <v>0.13983946495763699</v>
      </c>
    </row>
    <row r="119" spans="1:38" x14ac:dyDescent="0.2">
      <c r="A119">
        <v>147</v>
      </c>
      <c r="B119">
        <v>771</v>
      </c>
      <c r="C119">
        <v>140</v>
      </c>
      <c r="D119">
        <v>0.45515538955130802</v>
      </c>
      <c r="E119">
        <v>6.83065440972935</v>
      </c>
      <c r="F119">
        <v>2.5553248529299402</v>
      </c>
      <c r="G119">
        <v>-110.82947655674904</v>
      </c>
      <c r="H119">
        <v>-95.675637627996338</v>
      </c>
      <c r="I119">
        <v>14.5130861741633</v>
      </c>
      <c r="J119">
        <v>8.3000672521023908</v>
      </c>
      <c r="K119">
        <v>2.6731060835170499</v>
      </c>
      <c r="L119">
        <v>3.0997702485897857E-5</v>
      </c>
      <c r="M119">
        <v>1.8296127930343149E-6</v>
      </c>
      <c r="N119" s="1">
        <v>-5.7664485318224103E-8</v>
      </c>
      <c r="O119" s="1">
        <v>2.43030175409429E-11</v>
      </c>
      <c r="P119" s="1">
        <v>2.2487966564060001E-10</v>
      </c>
      <c r="Q119">
        <v>66.058702067667895</v>
      </c>
      <c r="S119">
        <v>20.6311437981458</v>
      </c>
      <c r="AA119">
        <v>1.6070098323036801</v>
      </c>
      <c r="AB119">
        <v>8.9604241869145405</v>
      </c>
      <c r="AC119">
        <v>2.7427201149679998</v>
      </c>
      <c r="AJ119">
        <v>0.76893931375315605</v>
      </c>
      <c r="AK119">
        <v>7.6206641165155006E-2</v>
      </c>
      <c r="AL119">
        <v>0.15485404508168801</v>
      </c>
    </row>
    <row r="120" spans="1:38" x14ac:dyDescent="0.2">
      <c r="A120">
        <v>148</v>
      </c>
      <c r="B120">
        <v>770</v>
      </c>
      <c r="C120">
        <v>140</v>
      </c>
      <c r="D120">
        <v>0.45456597804726301</v>
      </c>
      <c r="E120">
        <v>8.8462119844748095</v>
      </c>
      <c r="F120">
        <v>2.55223337618229</v>
      </c>
      <c r="G120">
        <v>-143.34293172678707</v>
      </c>
      <c r="H120">
        <v>-123.75194570012</v>
      </c>
      <c r="I120">
        <v>18.780603006918501</v>
      </c>
      <c r="J120">
        <v>10.7403071685674</v>
      </c>
      <c r="K120">
        <v>3.4660670403532001</v>
      </c>
      <c r="L120">
        <v>3.0926789197952264E-5</v>
      </c>
      <c r="M120">
        <v>1.8301534002290824E-6</v>
      </c>
      <c r="N120" s="1">
        <v>-7.4989726136997306E-8</v>
      </c>
      <c r="O120" s="1">
        <v>3.1619403159508599E-11</v>
      </c>
      <c r="P120" s="1">
        <v>2.9191776806223098E-10</v>
      </c>
      <c r="Q120">
        <v>66.156025725737805</v>
      </c>
      <c r="S120">
        <v>20.478129018963699</v>
      </c>
      <c r="AA120">
        <v>1.4580619276214799</v>
      </c>
      <c r="AB120">
        <v>8.7761566037328809</v>
      </c>
      <c r="AC120">
        <v>3.1316267239441</v>
      </c>
      <c r="AJ120">
        <v>0.75381881838783404</v>
      </c>
      <c r="AK120">
        <v>6.92068959835659E-2</v>
      </c>
      <c r="AL120">
        <v>0.17697428562859899</v>
      </c>
    </row>
    <row r="121" spans="1:38" x14ac:dyDescent="0.2">
      <c r="A121">
        <v>149</v>
      </c>
      <c r="B121">
        <v>769</v>
      </c>
      <c r="C121">
        <v>140</v>
      </c>
      <c r="D121">
        <v>0.45397543539797802</v>
      </c>
      <c r="E121">
        <v>9.8523250562399607</v>
      </c>
      <c r="F121">
        <v>2.5535091378044998</v>
      </c>
      <c r="G121">
        <v>-159.6609814686332</v>
      </c>
      <c r="H121">
        <v>-137.87614217783576</v>
      </c>
      <c r="I121">
        <v>20.903746380844801</v>
      </c>
      <c r="J121">
        <v>11.963865463464399</v>
      </c>
      <c r="K121">
        <v>3.8583472878076002</v>
      </c>
      <c r="L121">
        <v>3.0920100663256101E-5</v>
      </c>
      <c r="M121">
        <v>1.8284746750100817E-6</v>
      </c>
      <c r="N121" s="1">
        <v>-8.6080220711095797E-8</v>
      </c>
      <c r="O121" s="1">
        <v>3.5122722856970797E-11</v>
      </c>
      <c r="P121" s="1">
        <v>3.3262606836038398E-10</v>
      </c>
      <c r="Q121">
        <v>66.062556332833097</v>
      </c>
      <c r="S121">
        <v>20.5561419463927</v>
      </c>
      <c r="AA121">
        <v>1.5442331965647</v>
      </c>
      <c r="AB121">
        <v>8.7723861049011003</v>
      </c>
      <c r="AC121">
        <v>3.0646824193083102</v>
      </c>
      <c r="AJ121">
        <v>0.75350768716467897</v>
      </c>
      <c r="AK121">
        <v>7.3298252974650105E-2</v>
      </c>
      <c r="AL121">
        <v>0.17319405986066999</v>
      </c>
    </row>
    <row r="122" spans="1:38" x14ac:dyDescent="0.2">
      <c r="A122">
        <v>149</v>
      </c>
      <c r="B122">
        <v>769</v>
      </c>
      <c r="C122">
        <v>140</v>
      </c>
      <c r="D122">
        <v>0.45397543539797802</v>
      </c>
      <c r="E122">
        <v>8.6342000634356495</v>
      </c>
      <c r="F122">
        <v>2.5226123673552898</v>
      </c>
      <c r="G122">
        <v>-137.74985410479619</v>
      </c>
      <c r="H122">
        <v>-118.8484527307257</v>
      </c>
      <c r="I122">
        <v>18.136929783688</v>
      </c>
      <c r="J122">
        <v>10.3204824859477</v>
      </c>
      <c r="K122">
        <v>3.4227216892969299</v>
      </c>
      <c r="L122">
        <v>2.9106740912689462E-5</v>
      </c>
      <c r="M122">
        <v>1.8120677148968338E-6</v>
      </c>
      <c r="N122" s="1">
        <v>-4.31097086867214E-8</v>
      </c>
      <c r="O122" s="1">
        <v>3.2480395540044097E-11</v>
      </c>
      <c r="P122" s="1">
        <v>1.94674274390474E-10</v>
      </c>
      <c r="Q122">
        <v>66.329884595984097</v>
      </c>
      <c r="S122">
        <v>19.217429026905801</v>
      </c>
      <c r="AA122">
        <v>0.37740393506938502</v>
      </c>
      <c r="AB122">
        <v>5.8585028427769599</v>
      </c>
      <c r="AC122">
        <v>8.2167795992635799</v>
      </c>
      <c r="AJ122">
        <v>0.51062965498007495</v>
      </c>
      <c r="AK122">
        <v>1.8177602508383999E-2</v>
      </c>
      <c r="AL122">
        <v>0.47119274251153898</v>
      </c>
    </row>
    <row r="123" spans="1:38" x14ac:dyDescent="0.2">
      <c r="A123">
        <v>150</v>
      </c>
      <c r="B123">
        <v>768</v>
      </c>
      <c r="C123">
        <v>140</v>
      </c>
      <c r="D123">
        <v>0.45338375834414102</v>
      </c>
      <c r="E123">
        <v>10.749654016201699</v>
      </c>
      <c r="F123">
        <v>2.5552151241097301</v>
      </c>
      <c r="G123">
        <v>-174.25216154121998</v>
      </c>
      <c r="H123">
        <v>-150.51947278633571</v>
      </c>
      <c r="I123">
        <v>22.794687369624199</v>
      </c>
      <c r="J123">
        <v>13.058182351409201</v>
      </c>
      <c r="K123">
        <v>4.20694677124182</v>
      </c>
      <c r="L123">
        <v>3.0934347370703842E-5</v>
      </c>
      <c r="M123">
        <v>1.8269173686911111E-6</v>
      </c>
      <c r="N123" s="1">
        <v>-9.7276315881959406E-8</v>
      </c>
      <c r="O123" s="1">
        <v>3.8191524595812502E-11</v>
      </c>
      <c r="P123" s="1">
        <v>3.7278094128466198E-10</v>
      </c>
      <c r="Q123">
        <v>65.961845138080704</v>
      </c>
      <c r="S123">
        <v>20.653160027781599</v>
      </c>
      <c r="AA123">
        <v>1.6477736875815201</v>
      </c>
      <c r="AB123">
        <v>8.8023021208859706</v>
      </c>
      <c r="AC123">
        <v>2.9349190256701299</v>
      </c>
      <c r="AJ123">
        <v>0.75596320362255198</v>
      </c>
      <c r="AK123">
        <v>7.8201078019791995E-2</v>
      </c>
      <c r="AL123">
        <v>0.16583571835765501</v>
      </c>
    </row>
    <row r="124" spans="1:38" x14ac:dyDescent="0.2">
      <c r="A124">
        <v>150</v>
      </c>
      <c r="B124">
        <v>768</v>
      </c>
      <c r="C124">
        <v>140</v>
      </c>
      <c r="D124">
        <v>0.45338375834414102</v>
      </c>
      <c r="E124">
        <v>15.7782619443774</v>
      </c>
      <c r="F124">
        <v>2.5222121748431201</v>
      </c>
      <c r="G124">
        <v>-251.55713597308136</v>
      </c>
      <c r="H124">
        <v>-217.08806704965033</v>
      </c>
      <c r="I124">
        <v>33.106727103136897</v>
      </c>
      <c r="J124">
        <v>18.849200004632099</v>
      </c>
      <c r="K124">
        <v>6.2557234881949597</v>
      </c>
      <c r="L124">
        <v>2.9034388156196868E-5</v>
      </c>
      <c r="M124">
        <v>1.8108047344426187E-6</v>
      </c>
      <c r="N124" s="1">
        <v>-7.9122507017801203E-8</v>
      </c>
      <c r="O124" s="1">
        <v>5.9404802163614105E-11</v>
      </c>
      <c r="P124" s="1">
        <v>3.5660021704313799E-10</v>
      </c>
      <c r="Q124">
        <v>66.296128310662993</v>
      </c>
      <c r="S124">
        <v>19.199648616425499</v>
      </c>
      <c r="AA124">
        <v>0.37061148206799999</v>
      </c>
      <c r="AB124">
        <v>5.7366651131932702</v>
      </c>
      <c r="AC124">
        <v>8.3969464776501397</v>
      </c>
      <c r="AJ124">
        <v>0.50031786296890501</v>
      </c>
      <c r="AK124">
        <v>1.78614277608872E-2</v>
      </c>
      <c r="AL124">
        <v>0.48182070927020698</v>
      </c>
    </row>
    <row r="125" spans="1:38" x14ac:dyDescent="0.2">
      <c r="A125">
        <v>151</v>
      </c>
      <c r="B125">
        <v>767</v>
      </c>
      <c r="C125">
        <v>140</v>
      </c>
      <c r="D125">
        <v>0.45279094361390498</v>
      </c>
      <c r="E125">
        <v>13.0748883825887</v>
      </c>
      <c r="F125">
        <v>2.5577859356754198</v>
      </c>
      <c r="G125">
        <v>-212.04034140944876</v>
      </c>
      <c r="H125">
        <v>-183.22023725648367</v>
      </c>
      <c r="I125">
        <v>27.7076423140557</v>
      </c>
      <c r="J125">
        <v>15.888552678345301</v>
      </c>
      <c r="K125">
        <v>5.1117993105768198</v>
      </c>
      <c r="L125">
        <v>3.092716482411544E-5</v>
      </c>
      <c r="M125">
        <v>1.8239780783933699E-6</v>
      </c>
      <c r="N125" s="1">
        <v>-1.22472301101282E-7</v>
      </c>
      <c r="O125" s="1">
        <v>4.6223878784500503E-11</v>
      </c>
      <c r="P125" s="1">
        <v>4.6566381448231104E-10</v>
      </c>
      <c r="Q125">
        <v>65.791519043075596</v>
      </c>
      <c r="S125">
        <v>20.8083893348246</v>
      </c>
      <c r="AA125">
        <v>1.81558272107549</v>
      </c>
      <c r="AB125">
        <v>8.8296933602873793</v>
      </c>
      <c r="AC125">
        <v>2.7548155407368502</v>
      </c>
      <c r="AJ125">
        <v>0.75820964684807002</v>
      </c>
      <c r="AK125">
        <v>8.6153021913393801E-2</v>
      </c>
      <c r="AL125">
        <v>0.15563733123853499</v>
      </c>
    </row>
    <row r="126" spans="1:38" x14ac:dyDescent="0.2">
      <c r="A126">
        <v>151</v>
      </c>
      <c r="B126">
        <v>767</v>
      </c>
      <c r="C126">
        <v>140</v>
      </c>
      <c r="D126">
        <v>0.45279094361390498</v>
      </c>
      <c r="E126">
        <v>27.515006013648101</v>
      </c>
      <c r="F126">
        <v>2.5216836446865298</v>
      </c>
      <c r="G126">
        <v>-438.28500960426612</v>
      </c>
      <c r="H126">
        <v>-378.31650633226587</v>
      </c>
      <c r="I126">
        <v>57.653706938422502</v>
      </c>
      <c r="J126">
        <v>32.8421865252757</v>
      </c>
      <c r="K126">
        <v>10.9113631567644</v>
      </c>
      <c r="L126">
        <v>2.8923489765013837E-5</v>
      </c>
      <c r="M126">
        <v>1.8089076684035907E-6</v>
      </c>
      <c r="N126" s="1">
        <v>-1.3652810661909901E-7</v>
      </c>
      <c r="O126" s="1">
        <v>1.03731036220575E-10</v>
      </c>
      <c r="P126" s="1">
        <v>6.1725329694763698E-10</v>
      </c>
      <c r="Q126">
        <v>66.244459173412196</v>
      </c>
      <c r="S126">
        <v>19.1768166663771</v>
      </c>
      <c r="AA126">
        <v>0.36383117631271</v>
      </c>
      <c r="AB126">
        <v>5.5616662858104897</v>
      </c>
      <c r="AC126">
        <v>8.6532266980874102</v>
      </c>
      <c r="AJ126">
        <v>0.48548450438055202</v>
      </c>
      <c r="AK126">
        <v>1.7550162704141802E-2</v>
      </c>
      <c r="AL126">
        <v>0.49696533291530498</v>
      </c>
    </row>
    <row r="127" spans="1:38" x14ac:dyDescent="0.2">
      <c r="A127">
        <v>152</v>
      </c>
      <c r="B127">
        <v>766</v>
      </c>
      <c r="C127">
        <v>140</v>
      </c>
      <c r="D127">
        <v>0.45219698792282498</v>
      </c>
      <c r="E127">
        <v>14.7891489458433</v>
      </c>
      <c r="F127">
        <v>2.5593938922670798</v>
      </c>
      <c r="G127">
        <v>-239.89313044482097</v>
      </c>
      <c r="H127">
        <v>-207.34616260209975</v>
      </c>
      <c r="I127">
        <v>31.320760085378598</v>
      </c>
      <c r="J127">
        <v>17.976759708102598</v>
      </c>
      <c r="K127">
        <v>5.77837940089137</v>
      </c>
      <c r="L127">
        <v>3.0928601647658668E-5</v>
      </c>
      <c r="M127">
        <v>1.8220963753039023E-6</v>
      </c>
      <c r="N127" s="1">
        <v>-1.4309946840076801E-7</v>
      </c>
      <c r="O127" s="1">
        <v>5.2108943324578601E-11</v>
      </c>
      <c r="P127" s="1">
        <v>5.4010506730221895E-10</v>
      </c>
      <c r="Q127">
        <v>65.682495167239296</v>
      </c>
      <c r="S127">
        <v>20.905805253685699</v>
      </c>
      <c r="AA127">
        <v>1.92139108256973</v>
      </c>
      <c r="AB127">
        <v>8.8421279948408902</v>
      </c>
      <c r="AC127">
        <v>2.6481805016642501</v>
      </c>
      <c r="AJ127">
        <v>0.75922876077344403</v>
      </c>
      <c r="AK127">
        <v>9.11679974245478E-2</v>
      </c>
      <c r="AL127">
        <v>0.14960324180200699</v>
      </c>
    </row>
    <row r="128" spans="1:38" x14ac:dyDescent="0.2">
      <c r="A128">
        <v>152</v>
      </c>
      <c r="B128">
        <v>766</v>
      </c>
      <c r="C128">
        <v>140</v>
      </c>
      <c r="D128">
        <v>0.45219698792282498</v>
      </c>
      <c r="E128">
        <v>34.490321330347697</v>
      </c>
      <c r="F128">
        <v>2.5213933793309402</v>
      </c>
      <c r="G128">
        <v>-549.06127176551183</v>
      </c>
      <c r="H128">
        <v>-474.04297848235001</v>
      </c>
      <c r="I128">
        <v>72.191977369159204</v>
      </c>
      <c r="J128">
        <v>41.147740600557697</v>
      </c>
      <c r="K128">
        <v>13.679071902496901</v>
      </c>
      <c r="L128">
        <v>2.8860511287583687E-5</v>
      </c>
      <c r="M128">
        <v>1.8078111394338358E-6</v>
      </c>
      <c r="N128" s="1">
        <v>-1.7234497685632701E-7</v>
      </c>
      <c r="O128" s="1">
        <v>1.3011626053451299E-10</v>
      </c>
      <c r="P128" s="1">
        <v>7.7694402221821099E-10</v>
      </c>
      <c r="Q128">
        <v>66.2135414231536</v>
      </c>
      <c r="S128">
        <v>19.162024631041401</v>
      </c>
      <c r="AA128">
        <v>0.35884183005254799</v>
      </c>
      <c r="AB128">
        <v>5.4539884933745801</v>
      </c>
      <c r="AC128">
        <v>8.8116036223777101</v>
      </c>
      <c r="AJ128">
        <v>0.47634441509971098</v>
      </c>
      <c r="AK128">
        <v>1.73189163081259E-2</v>
      </c>
      <c r="AL128">
        <v>0.50633666859216198</v>
      </c>
    </row>
    <row r="129" spans="1:38" x14ac:dyDescent="0.2">
      <c r="A129">
        <v>153</v>
      </c>
      <c r="B129">
        <v>765</v>
      </c>
      <c r="C129">
        <v>140</v>
      </c>
      <c r="D129">
        <v>0.45160188797380102</v>
      </c>
      <c r="E129">
        <v>16.024309331567899</v>
      </c>
      <c r="F129">
        <v>2.5604857846651798</v>
      </c>
      <c r="G129">
        <v>-259.95441287499739</v>
      </c>
      <c r="H129">
        <v>-224.74455622615213</v>
      </c>
      <c r="I129">
        <v>33.915962672874997</v>
      </c>
      <c r="J129">
        <v>19.483167335445</v>
      </c>
      <c r="K129">
        <v>6.2583082583539298</v>
      </c>
      <c r="L129">
        <v>3.0938380612670925E-5</v>
      </c>
      <c r="M129">
        <v>1.820878471219333E-6</v>
      </c>
      <c r="N129" s="1">
        <v>-1.60071810144186E-7</v>
      </c>
      <c r="O129" s="1">
        <v>5.6319427420716E-11</v>
      </c>
      <c r="P129" s="1">
        <v>5.9986725905416696E-10</v>
      </c>
      <c r="Q129">
        <v>65.609519504984405</v>
      </c>
      <c r="S129">
        <v>20.9708452862683</v>
      </c>
      <c r="AA129">
        <v>1.9920776485529601</v>
      </c>
      <c r="AB129">
        <v>8.8500165455007593</v>
      </c>
      <c r="AC129">
        <v>2.5775410146934998</v>
      </c>
      <c r="AJ129">
        <v>0.75987516234437302</v>
      </c>
      <c r="AK129">
        <v>9.4518151502227504E-2</v>
      </c>
      <c r="AL129">
        <v>0.145606686153398</v>
      </c>
    </row>
    <row r="130" spans="1:38" x14ac:dyDescent="0.2">
      <c r="A130">
        <v>153</v>
      </c>
      <c r="B130">
        <v>765</v>
      </c>
      <c r="C130">
        <v>140</v>
      </c>
      <c r="D130">
        <v>0.45160188797380102</v>
      </c>
      <c r="E130">
        <v>38.935054914134298</v>
      </c>
      <c r="F130">
        <v>2.5212144655786699</v>
      </c>
      <c r="G130">
        <v>-619.53504203027171</v>
      </c>
      <c r="H130">
        <v>-535.00780227793189</v>
      </c>
      <c r="I130">
        <v>81.421027551259101</v>
      </c>
      <c r="J130">
        <v>46.4363034501323</v>
      </c>
      <c r="K130">
        <v>15.442976171088199</v>
      </c>
      <c r="L130">
        <v>2.8822259661666879E-5</v>
      </c>
      <c r="M130">
        <v>1.8071236458966317E-6</v>
      </c>
      <c r="N130" s="1">
        <v>-1.97765795023532E-7</v>
      </c>
      <c r="O130" s="1">
        <v>1.4693519776104401E-10</v>
      </c>
      <c r="P130" s="1">
        <v>8.8617609519219905E-10</v>
      </c>
      <c r="Q130">
        <v>66.1934717103412</v>
      </c>
      <c r="S130">
        <v>19.151170173657899</v>
      </c>
      <c r="AA130">
        <v>0.35456978468464001</v>
      </c>
      <c r="AB130">
        <v>5.3808078432605102</v>
      </c>
      <c r="AC130">
        <v>8.9199804880556197</v>
      </c>
      <c r="AJ130">
        <v>0.47012689659229101</v>
      </c>
      <c r="AK130">
        <v>1.7119068488553098E-2</v>
      </c>
      <c r="AL130">
        <v>0.51275403491915506</v>
      </c>
    </row>
    <row r="131" spans="1:38" x14ac:dyDescent="0.2">
      <c r="A131">
        <v>154</v>
      </c>
      <c r="B131">
        <v>764</v>
      </c>
      <c r="C131">
        <v>140</v>
      </c>
      <c r="D131">
        <v>0.45100564045702202</v>
      </c>
      <c r="E131">
        <v>16.642078982048499</v>
      </c>
      <c r="F131">
        <v>2.5610427342787099</v>
      </c>
      <c r="G131">
        <v>-269.97313747618858</v>
      </c>
      <c r="H131">
        <v>-233.46206611409653</v>
      </c>
      <c r="I131">
        <v>35.203269885833301</v>
      </c>
      <c r="J131">
        <v>20.2394504900745</v>
      </c>
      <c r="K131">
        <v>6.4981652821718896</v>
      </c>
      <c r="L131">
        <v>3.0960626556032184E-5</v>
      </c>
      <c r="M131">
        <v>1.8204589937898307E-6</v>
      </c>
      <c r="N131" s="1">
        <v>-1.7162023327974801E-7</v>
      </c>
      <c r="O131" s="1">
        <v>5.8396670328065004E-11</v>
      </c>
      <c r="P131" s="1">
        <v>6.3863000769689295E-10</v>
      </c>
      <c r="Q131">
        <v>65.577570933118096</v>
      </c>
      <c r="S131">
        <v>21.000706117435101</v>
      </c>
      <c r="AA131">
        <v>2.0241679024960701</v>
      </c>
      <c r="AB131">
        <v>8.8571049171875096</v>
      </c>
      <c r="AC131">
        <v>2.5404501297630802</v>
      </c>
      <c r="AJ131">
        <v>0.76045646407346901</v>
      </c>
      <c r="AK131">
        <v>9.6037288759597703E-2</v>
      </c>
      <c r="AL131">
        <v>0.143506247166932</v>
      </c>
    </row>
    <row r="132" spans="1:38" x14ac:dyDescent="0.2">
      <c r="A132">
        <v>154</v>
      </c>
      <c r="B132">
        <v>764</v>
      </c>
      <c r="C132">
        <v>140</v>
      </c>
      <c r="D132">
        <v>0.45100564045702202</v>
      </c>
      <c r="E132">
        <v>40.850880291377003</v>
      </c>
      <c r="F132">
        <v>2.5211313846670098</v>
      </c>
      <c r="G132">
        <v>-649.81790765101732</v>
      </c>
      <c r="H132">
        <v>-561.28312622816225</v>
      </c>
      <c r="I132">
        <v>85.363526416482699</v>
      </c>
      <c r="J132">
        <v>48.715632179397403</v>
      </c>
      <c r="K132">
        <v>16.2033920722352</v>
      </c>
      <c r="L132">
        <v>2.8808658261364788E-5</v>
      </c>
      <c r="M132">
        <v>1.8068380884700354E-6</v>
      </c>
      <c r="N132" s="1">
        <v>-2.1291862831342099E-7</v>
      </c>
      <c r="O132" s="1">
        <v>1.5416805358067999E-10</v>
      </c>
      <c r="P132" s="1">
        <v>9.4540986546867605E-10</v>
      </c>
      <c r="Q132">
        <v>66.1843728072391</v>
      </c>
      <c r="S132">
        <v>19.1439367050864</v>
      </c>
      <c r="AA132">
        <v>0.35072520369724802</v>
      </c>
      <c r="AB132">
        <v>5.3415679472859896</v>
      </c>
      <c r="AC132">
        <v>8.9793973366911093</v>
      </c>
      <c r="AJ132">
        <v>0.46679114590279502</v>
      </c>
      <c r="AK132">
        <v>1.6936810134298898E-2</v>
      </c>
      <c r="AL132">
        <v>0.51627204396290505</v>
      </c>
    </row>
    <row r="133" spans="1:38" x14ac:dyDescent="0.2">
      <c r="A133">
        <v>156</v>
      </c>
      <c r="B133">
        <v>793</v>
      </c>
      <c r="C133">
        <v>120</v>
      </c>
      <c r="D133">
        <v>0.488477700136005</v>
      </c>
      <c r="E133">
        <v>3.8253773256175801E-2</v>
      </c>
      <c r="F133">
        <v>2.5616341453078499</v>
      </c>
      <c r="G133">
        <v>-0.6243971389018631</v>
      </c>
      <c r="H133">
        <v>-0.53671535541549287</v>
      </c>
      <c r="I133">
        <v>8.2241507748787801E-2</v>
      </c>
      <c r="J133">
        <v>4.6436982018580902E-2</v>
      </c>
      <c r="K133">
        <v>1.49333476547559E-2</v>
      </c>
      <c r="L133">
        <v>3.0618701784858521E-5</v>
      </c>
      <c r="M133">
        <v>1.8202174386716113E-6</v>
      </c>
      <c r="N133" s="1">
        <v>-1.63978934306686E-10</v>
      </c>
      <c r="O133" s="1">
        <v>1.35528693673742E-13</v>
      </c>
      <c r="P133" s="1">
        <v>7.9495625927863804E-13</v>
      </c>
      <c r="Q133">
        <v>65.558187653562797</v>
      </c>
      <c r="S133">
        <v>21.1549153713053</v>
      </c>
      <c r="AA133">
        <v>2.1559149392132801</v>
      </c>
      <c r="AB133">
        <v>9.2181899255799191</v>
      </c>
      <c r="AC133">
        <v>1.9127921103385399</v>
      </c>
      <c r="AJ133">
        <v>0.79003855253609101</v>
      </c>
      <c r="AK133">
        <v>0.102104538121918</v>
      </c>
      <c r="AL133">
        <v>0.10785690934198899</v>
      </c>
    </row>
    <row r="134" spans="1:38" x14ac:dyDescent="0.2">
      <c r="A134">
        <v>157</v>
      </c>
      <c r="B134">
        <v>792</v>
      </c>
      <c r="C134">
        <v>120</v>
      </c>
      <c r="D134">
        <v>0.48793174670234402</v>
      </c>
      <c r="E134">
        <v>0.43592744631265301</v>
      </c>
      <c r="F134">
        <v>2.5612016293433202</v>
      </c>
      <c r="G134">
        <v>-7.113704366334896</v>
      </c>
      <c r="H134">
        <v>-6.1159321251996577</v>
      </c>
      <c r="I134">
        <v>0.93674340809767398</v>
      </c>
      <c r="J134">
        <v>0.52920042494453401</v>
      </c>
      <c r="K134">
        <v>0.17020426713707101</v>
      </c>
      <c r="L134">
        <v>3.0641888396927523E-5</v>
      </c>
      <c r="M134">
        <v>1.8211074296883322E-6</v>
      </c>
      <c r="N134" s="1">
        <v>-1.93158875911356E-9</v>
      </c>
      <c r="O134" s="1">
        <v>1.54526698081764E-12</v>
      </c>
      <c r="P134" s="1">
        <v>9.2438541682308996E-12</v>
      </c>
      <c r="Q134">
        <v>65.597972123371505</v>
      </c>
      <c r="S134">
        <v>21.120524797000002</v>
      </c>
      <c r="AA134">
        <v>2.1182592011388</v>
      </c>
      <c r="AB134">
        <v>9.2166881217694208</v>
      </c>
      <c r="AC134">
        <v>1.9465557567201801</v>
      </c>
      <c r="AJ134">
        <v>0.789916364514339</v>
      </c>
      <c r="AK134">
        <v>0.100321983711083</v>
      </c>
      <c r="AL134">
        <v>0.109761651774576</v>
      </c>
    </row>
    <row r="135" spans="1:38" x14ac:dyDescent="0.2">
      <c r="A135">
        <v>158</v>
      </c>
      <c r="B135">
        <v>791</v>
      </c>
      <c r="C135">
        <v>120</v>
      </c>
      <c r="D135">
        <v>0.48738476718508</v>
      </c>
      <c r="E135">
        <v>0.83440343295218999</v>
      </c>
      <c r="F135">
        <v>2.5607743830212302</v>
      </c>
      <c r="G135">
        <v>-13.612947766183604</v>
      </c>
      <c r="H135">
        <v>-11.705848224371593</v>
      </c>
      <c r="I135">
        <v>1.7921341369280701</v>
      </c>
      <c r="J135">
        <v>1.0129745218128401</v>
      </c>
      <c r="K135">
        <v>0.32584027647439601</v>
      </c>
      <c r="L135">
        <v>3.0664586771974233E-5</v>
      </c>
      <c r="M135">
        <v>1.8219679756675317E-6</v>
      </c>
      <c r="N135" s="1">
        <v>-3.8203297423657802E-9</v>
      </c>
      <c r="O135" s="1">
        <v>2.9592932032915199E-12</v>
      </c>
      <c r="P135" s="1">
        <v>1.8054807636969802E-11</v>
      </c>
      <c r="Q135">
        <v>65.636590769298806</v>
      </c>
      <c r="S135">
        <v>21.086817830427101</v>
      </c>
      <c r="AA135">
        <v>2.0814394755079402</v>
      </c>
      <c r="AB135">
        <v>9.2143805084937807</v>
      </c>
      <c r="AC135">
        <v>1.9807714162723</v>
      </c>
      <c r="AJ135">
        <v>0.78972825508172195</v>
      </c>
      <c r="AK135">
        <v>9.8579386562541296E-2</v>
      </c>
      <c r="AL135">
        <v>0.111692358355735</v>
      </c>
    </row>
    <row r="136" spans="1:38" x14ac:dyDescent="0.2">
      <c r="A136">
        <v>159</v>
      </c>
      <c r="B136">
        <v>790</v>
      </c>
      <c r="C136">
        <v>120</v>
      </c>
      <c r="D136">
        <v>0.486836758688802</v>
      </c>
      <c r="E136">
        <v>1.23354333576486</v>
      </c>
      <c r="F136">
        <v>2.5603523213500399</v>
      </c>
      <c r="G136">
        <v>-20.11984017154774</v>
      </c>
      <c r="H136">
        <v>-17.304507343962193</v>
      </c>
      <c r="I136">
        <v>2.64810499702351</v>
      </c>
      <c r="J136">
        <v>1.4975921839214901</v>
      </c>
      <c r="K136">
        <v>0.48178655940383802</v>
      </c>
      <c r="L136">
        <v>3.0686811784521728E-5</v>
      </c>
      <c r="M136">
        <v>1.8227995050176566E-6</v>
      </c>
      <c r="N136" s="1">
        <v>-5.8337798554180004E-9</v>
      </c>
      <c r="O136" s="1">
        <v>4.3770270270604397E-12</v>
      </c>
      <c r="P136" s="1">
        <v>2.7236924772562099E-11</v>
      </c>
      <c r="Q136">
        <v>65.674059186690499</v>
      </c>
      <c r="S136">
        <v>21.0537840681618</v>
      </c>
      <c r="AA136">
        <v>2.0454435404281899</v>
      </c>
      <c r="AB136">
        <v>9.2112745652145804</v>
      </c>
      <c r="AC136">
        <v>2.0154386395047399</v>
      </c>
      <c r="AJ136">
        <v>0.78947483152787501</v>
      </c>
      <c r="AK136">
        <v>9.6876144914523996E-2</v>
      </c>
      <c r="AL136">
        <v>0.1136490235576</v>
      </c>
    </row>
    <row r="137" spans="1:38" x14ac:dyDescent="0.2">
      <c r="A137">
        <v>160</v>
      </c>
      <c r="B137">
        <v>789</v>
      </c>
      <c r="C137">
        <v>120</v>
      </c>
      <c r="D137">
        <v>0.48628771830721002</v>
      </c>
      <c r="E137">
        <v>1.6332117381217299</v>
      </c>
      <c r="F137">
        <v>2.5599353497253601</v>
      </c>
      <c r="G137">
        <v>-26.632145163857828</v>
      </c>
      <c r="H137">
        <v>-22.90999519128674</v>
      </c>
      <c r="I137">
        <v>3.50435434973505</v>
      </c>
      <c r="J137">
        <v>1.98289009871775</v>
      </c>
      <c r="K137">
        <v>0.63798944699792604</v>
      </c>
      <c r="L137">
        <v>3.0708579111358637E-5</v>
      </c>
      <c r="M137">
        <v>1.8236024737456348E-6</v>
      </c>
      <c r="N137" s="1">
        <v>-7.9756108583107702E-9</v>
      </c>
      <c r="O137" s="1">
        <v>5.7978977350075898E-12</v>
      </c>
      <c r="P137" s="1">
        <v>3.6799590323838399E-11</v>
      </c>
      <c r="Q137">
        <v>65.710394175055299</v>
      </c>
      <c r="S137">
        <v>21.021412253488901</v>
      </c>
      <c r="AA137">
        <v>2.0102581890583302</v>
      </c>
      <c r="AB137">
        <v>9.2073782177929608</v>
      </c>
      <c r="AC137">
        <v>2.05055716460445</v>
      </c>
      <c r="AJ137">
        <v>0.78915673619349302</v>
      </c>
      <c r="AK137">
        <v>9.5211611297309998E-2</v>
      </c>
      <c r="AL137">
        <v>0.11563165250919601</v>
      </c>
    </row>
    <row r="138" spans="1:38" x14ac:dyDescent="0.2">
      <c r="A138">
        <v>161</v>
      </c>
      <c r="B138">
        <v>788</v>
      </c>
      <c r="C138">
        <v>120</v>
      </c>
      <c r="D138">
        <v>0.48573764312303003</v>
      </c>
      <c r="E138">
        <v>2.0332767421789901</v>
      </c>
      <c r="F138">
        <v>2.5595233649446598</v>
      </c>
      <c r="G138">
        <v>-33.147685777982275</v>
      </c>
      <c r="H138">
        <v>-28.520447008036417</v>
      </c>
      <c r="I138">
        <v>4.3605887668527998</v>
      </c>
      <c r="J138">
        <v>2.46870939231819</v>
      </c>
      <c r="K138">
        <v>0.79439663260231896</v>
      </c>
      <c r="L138">
        <v>3.0729905164206098E-5</v>
      </c>
      <c r="M138">
        <v>1.8243773621667104E-6</v>
      </c>
      <c r="N138" s="1">
        <v>-1.0249596472093401E-8</v>
      </c>
      <c r="O138" s="1">
        <v>7.22134634387672E-12</v>
      </c>
      <c r="P138" s="1">
        <v>4.6752493137824502E-11</v>
      </c>
      <c r="Q138">
        <v>65.745613599224697</v>
      </c>
      <c r="S138">
        <v>20.9896903730872</v>
      </c>
      <c r="AA138">
        <v>1.9758693417712601</v>
      </c>
      <c r="AB138">
        <v>9.2026997825655599</v>
      </c>
      <c r="AC138">
        <v>2.08612690335121</v>
      </c>
      <c r="AJ138">
        <v>0.78877464195016</v>
      </c>
      <c r="AK138">
        <v>9.3585097845805598E-2</v>
      </c>
      <c r="AL138">
        <v>0.117640260204033</v>
      </c>
    </row>
    <row r="139" spans="1:38" x14ac:dyDescent="0.2">
      <c r="A139">
        <v>162</v>
      </c>
      <c r="B139">
        <v>787</v>
      </c>
      <c r="C139">
        <v>120</v>
      </c>
      <c r="D139">
        <v>0.48518653020799002</v>
      </c>
      <c r="E139">
        <v>2.4336104425139502</v>
      </c>
      <c r="F139">
        <v>2.5591162563002898</v>
      </c>
      <c r="G139">
        <v>-39.664352148483886</v>
      </c>
      <c r="H139">
        <v>-34.134054188337217</v>
      </c>
      <c r="I139">
        <v>5.2165240391894203</v>
      </c>
      <c r="J139">
        <v>2.9548962135463599</v>
      </c>
      <c r="K139">
        <v>0.95095736136357301</v>
      </c>
      <c r="L139">
        <v>3.0750807026435617E-5</v>
      </c>
      <c r="M139">
        <v>1.8251246716817856E-6</v>
      </c>
      <c r="N139" s="1">
        <v>-1.26596209295368E-8</v>
      </c>
      <c r="O139" s="1">
        <v>8.6468274712396405E-12</v>
      </c>
      <c r="P139" s="1">
        <v>5.71056541675259E-11</v>
      </c>
      <c r="Q139">
        <v>65.779736250533304</v>
      </c>
      <c r="S139">
        <v>20.9586057561316</v>
      </c>
      <c r="AA139">
        <v>1.9422621603055801</v>
      </c>
      <c r="AB139">
        <v>9.1972479167985295</v>
      </c>
      <c r="AC139">
        <v>2.1221479162308299</v>
      </c>
      <c r="AJ139">
        <v>0.78832924820405104</v>
      </c>
      <c r="AK139">
        <v>9.1995881698256607E-2</v>
      </c>
      <c r="AL139">
        <v>0.119674870097692</v>
      </c>
    </row>
    <row r="140" spans="1:38" x14ac:dyDescent="0.2">
      <c r="A140">
        <v>163</v>
      </c>
      <c r="B140">
        <v>786</v>
      </c>
      <c r="C140">
        <v>120</v>
      </c>
      <c r="D140">
        <v>0.48463437662276798</v>
      </c>
      <c r="E140">
        <v>2.8340893336669302</v>
      </c>
      <c r="F140">
        <v>2.5587139067361599</v>
      </c>
      <c r="G140">
        <v>-46.18010807210424</v>
      </c>
      <c r="H140">
        <v>-39.749069974204545</v>
      </c>
      <c r="I140">
        <v>6.07188603870999</v>
      </c>
      <c r="J140">
        <v>3.4413022374853002</v>
      </c>
      <c r="K140">
        <v>1.1076225936029001</v>
      </c>
      <c r="L140">
        <v>3.0771302395037898E-5</v>
      </c>
      <c r="M140">
        <v>1.8258449216691901E-6</v>
      </c>
      <c r="N140" s="1">
        <v>-1.52096878793529E-8</v>
      </c>
      <c r="O140" s="1">
        <v>1.00738109439069E-11</v>
      </c>
      <c r="P140" s="1">
        <v>6.78694549388634E-11</v>
      </c>
      <c r="Q140">
        <v>65.812781710008593</v>
      </c>
      <c r="S140">
        <v>20.9281451744422</v>
      </c>
      <c r="AA140">
        <v>1.90942116231218</v>
      </c>
      <c r="AB140">
        <v>9.1910315763678394</v>
      </c>
      <c r="AC140">
        <v>2.1586203768690502</v>
      </c>
      <c r="AJ140">
        <v>0.78782127749231401</v>
      </c>
      <c r="AK140">
        <v>9.0443210406343205E-2</v>
      </c>
      <c r="AL140">
        <v>0.12173551210134199</v>
      </c>
    </row>
    <row r="141" spans="1:38" x14ac:dyDescent="0.2">
      <c r="A141">
        <v>164</v>
      </c>
      <c r="B141">
        <v>785</v>
      </c>
      <c r="C141">
        <v>120</v>
      </c>
      <c r="D141">
        <v>0.48408117941691098</v>
      </c>
      <c r="E141">
        <v>3.2345946408392399</v>
      </c>
      <c r="F141">
        <v>2.55831619408068</v>
      </c>
      <c r="G141">
        <v>-52.692996314979119</v>
      </c>
      <c r="H141">
        <v>-45.363814079610663</v>
      </c>
      <c r="I141">
        <v>6.9264114117737998</v>
      </c>
      <c r="J141">
        <v>3.92778507561906</v>
      </c>
      <c r="K141">
        <v>1.2643451377602499</v>
      </c>
      <c r="L141">
        <v>3.0791409528972248E-5</v>
      </c>
      <c r="M141">
        <v>1.8265386465093446E-6</v>
      </c>
      <c r="N141" s="1">
        <v>-1.7903929570075798E-8</v>
      </c>
      <c r="O141" s="1">
        <v>1.15017831070824E-11</v>
      </c>
      <c r="P141" s="1">
        <v>7.9054666167056899E-11</v>
      </c>
      <c r="Q141">
        <v>65.844770213873502</v>
      </c>
      <c r="S141">
        <v>20.898294944005801</v>
      </c>
      <c r="AA141">
        <v>1.8773303364942899</v>
      </c>
      <c r="AB141">
        <v>9.1840599821921298</v>
      </c>
      <c r="AC141">
        <v>2.19554452343408</v>
      </c>
      <c r="AJ141">
        <v>0.78725147279659002</v>
      </c>
      <c r="AK141">
        <v>8.8926307366478802E-2</v>
      </c>
      <c r="AL141">
        <v>0.12382221983692999</v>
      </c>
    </row>
    <row r="142" spans="1:38" x14ac:dyDescent="0.2">
      <c r="A142">
        <v>165</v>
      </c>
      <c r="B142">
        <v>784</v>
      </c>
      <c r="C142">
        <v>120</v>
      </c>
      <c r="D142">
        <v>0.48352693562881199</v>
      </c>
      <c r="E142">
        <v>3.6350125806410101</v>
      </c>
      <c r="F142">
        <v>2.5579229923336899</v>
      </c>
      <c r="G142">
        <v>-59.201142780607739</v>
      </c>
      <c r="H142">
        <v>-50.97667634164624</v>
      </c>
      <c r="I142">
        <v>7.7798481189627697</v>
      </c>
      <c r="J142">
        <v>4.4142086010757504</v>
      </c>
      <c r="K142">
        <v>1.42107975554207</v>
      </c>
      <c r="L142">
        <v>3.0811147205278681E-5</v>
      </c>
      <c r="M142">
        <v>1.8272063927990959E-6</v>
      </c>
      <c r="N142" s="1">
        <v>-2.0746616327343599E-8</v>
      </c>
      <c r="O142" s="1">
        <v>1.2930247856986801E-11</v>
      </c>
      <c r="P142" s="1">
        <v>9.06724766139166E-11</v>
      </c>
      <c r="Q142">
        <v>65.8757225238883</v>
      </c>
      <c r="S142">
        <v>20.869041026032999</v>
      </c>
      <c r="AA142">
        <v>1.8459732562337801</v>
      </c>
      <c r="AB142">
        <v>9.1763425962288991</v>
      </c>
      <c r="AC142">
        <v>2.2329205976158901</v>
      </c>
      <c r="AJ142">
        <v>0.78662059563979103</v>
      </c>
      <c r="AK142">
        <v>8.7444377173276494E-2</v>
      </c>
      <c r="AL142">
        <v>0.125935027186931</v>
      </c>
    </row>
    <row r="143" spans="1:38" x14ac:dyDescent="0.2">
      <c r="A143">
        <v>166</v>
      </c>
      <c r="B143">
        <v>783</v>
      </c>
      <c r="C143">
        <v>120</v>
      </c>
      <c r="D143">
        <v>0.48297164228566197</v>
      </c>
      <c r="E143">
        <v>4.0352345463842303</v>
      </c>
      <c r="F143">
        <v>2.5575341730082801</v>
      </c>
      <c r="G143">
        <v>-65.70275945274669</v>
      </c>
      <c r="H143">
        <v>-56.586119323565505</v>
      </c>
      <c r="I143">
        <v>8.6319558104257599</v>
      </c>
      <c r="J143">
        <v>4.9004431824577601</v>
      </c>
      <c r="K143">
        <v>1.57778323706142</v>
      </c>
      <c r="L143">
        <v>3.0830534683929491E-5</v>
      </c>
      <c r="M143">
        <v>1.8278487167781952E-6</v>
      </c>
      <c r="N143" s="1">
        <v>-2.3742166276703699E-8</v>
      </c>
      <c r="O143" s="1">
        <v>1.43587273757062E-11</v>
      </c>
      <c r="P143" s="1">
        <v>1.02734521995133E-10</v>
      </c>
      <c r="Q143">
        <v>65.905659803270296</v>
      </c>
      <c r="S143">
        <v>20.8403691272974</v>
      </c>
      <c r="AA143">
        <v>1.81533319132515</v>
      </c>
      <c r="AB143">
        <v>9.1678891080224201</v>
      </c>
      <c r="AC143">
        <v>2.2707487700845799</v>
      </c>
      <c r="AJ143">
        <v>0.78592942504701302</v>
      </c>
      <c r="AK143">
        <v>8.5996610877899296E-2</v>
      </c>
      <c r="AL143">
        <v>0.128073964075087</v>
      </c>
    </row>
    <row r="144" spans="1:38" x14ac:dyDescent="0.2">
      <c r="A144">
        <v>167</v>
      </c>
      <c r="B144">
        <v>782</v>
      </c>
      <c r="C144">
        <v>120</v>
      </c>
      <c r="D144">
        <v>0.48241529640335601</v>
      </c>
      <c r="E144">
        <v>4.4351572182589898</v>
      </c>
      <c r="F144">
        <v>2.5571496065267101</v>
      </c>
      <c r="G144">
        <v>-72.196146122804265</v>
      </c>
      <c r="H144">
        <v>-62.190679876547868</v>
      </c>
      <c r="I144">
        <v>9.4825060382470703</v>
      </c>
      <c r="J144">
        <v>5.3863658268612102</v>
      </c>
      <c r="K144">
        <v>1.7344144460452999</v>
      </c>
      <c r="L144">
        <v>3.0849591682437219E-5</v>
      </c>
      <c r="M144">
        <v>1.8284661819924621E-6</v>
      </c>
      <c r="N144" s="1">
        <v>-2.6895155294143298E-8</v>
      </c>
      <c r="O144" s="1">
        <v>1.57867625680052E-11</v>
      </c>
      <c r="P144" s="1">
        <v>1.15252913882796E-10</v>
      </c>
      <c r="Q144">
        <v>65.934603499056394</v>
      </c>
      <c r="S144">
        <v>20.812264799385801</v>
      </c>
      <c r="AA144">
        <v>1.7853932173067899</v>
      </c>
      <c r="AB144">
        <v>9.1587094327505607</v>
      </c>
      <c r="AC144">
        <v>2.3090290515003402</v>
      </c>
      <c r="AJ144">
        <v>0.78517875744828902</v>
      </c>
      <c r="AK144">
        <v>8.4582191127771003E-2</v>
      </c>
      <c r="AL144">
        <v>0.13023905142393899</v>
      </c>
    </row>
    <row r="145" spans="1:38" x14ac:dyDescent="0.2">
      <c r="A145">
        <v>168</v>
      </c>
      <c r="B145">
        <v>781</v>
      </c>
      <c r="C145">
        <v>120</v>
      </c>
      <c r="D145">
        <v>0.48185789498648202</v>
      </c>
      <c r="E145">
        <v>4.9816194497413298</v>
      </c>
      <c r="F145">
        <v>2.5565749112532501</v>
      </c>
      <c r="G145">
        <v>-81.065530656511541</v>
      </c>
      <c r="H145">
        <v>-69.843864383391093</v>
      </c>
      <c r="I145">
        <v>10.6452272192007</v>
      </c>
      <c r="J145">
        <v>6.0500276435103997</v>
      </c>
      <c r="K145">
        <v>1.94855211471167</v>
      </c>
      <c r="L145">
        <v>3.0864874572090266E-5</v>
      </c>
      <c r="M145">
        <v>1.829140708036782E-6</v>
      </c>
      <c r="N145" s="1">
        <v>-3.1085414222241603E-8</v>
      </c>
      <c r="O145" s="1">
        <v>1.7742776942668899E-11</v>
      </c>
      <c r="P145" s="1">
        <v>1.3200515553986901E-10</v>
      </c>
      <c r="Q145">
        <v>65.970412280599007</v>
      </c>
      <c r="S145">
        <v>20.7745493192492</v>
      </c>
      <c r="AA145">
        <v>1.7459220703829601</v>
      </c>
      <c r="AB145">
        <v>9.13963134790305</v>
      </c>
      <c r="AC145">
        <v>2.3694849818656798</v>
      </c>
      <c r="AJ145">
        <v>0.78361804360179199</v>
      </c>
      <c r="AK145">
        <v>8.2720165419807007E-2</v>
      </c>
      <c r="AL145">
        <v>0.1336617909784</v>
      </c>
    </row>
    <row r="146" spans="1:38" x14ac:dyDescent="0.2">
      <c r="A146">
        <v>169</v>
      </c>
      <c r="B146">
        <v>780</v>
      </c>
      <c r="C146">
        <v>120</v>
      </c>
      <c r="D146">
        <v>0.48129943502824801</v>
      </c>
      <c r="E146">
        <v>6.4287396469876903</v>
      </c>
      <c r="F146">
        <v>2.5547653193519002</v>
      </c>
      <c r="G146">
        <v>-104.53426394231823</v>
      </c>
      <c r="H146">
        <v>-90.075001723046057</v>
      </c>
      <c r="I146">
        <v>13.729537311182799</v>
      </c>
      <c r="J146">
        <v>7.8048643418813404</v>
      </c>
      <c r="K146">
        <v>2.5163718946280902</v>
      </c>
      <c r="L146">
        <v>3.0851628435729616E-5</v>
      </c>
      <c r="M146">
        <v>1.8301379744923055E-6</v>
      </c>
      <c r="N146" s="1">
        <v>-4.0866838255850199E-8</v>
      </c>
      <c r="O146" s="1">
        <v>2.2956966929067099E-11</v>
      </c>
      <c r="P146" s="1">
        <v>1.7247596086116499E-10</v>
      </c>
      <c r="Q146">
        <v>66.049447303647497</v>
      </c>
      <c r="S146">
        <v>20.674975657864799</v>
      </c>
      <c r="AA146">
        <v>1.64533103803762</v>
      </c>
      <c r="AB146">
        <v>9.0547113602994305</v>
      </c>
      <c r="AC146">
        <v>2.5755346401506398</v>
      </c>
      <c r="AJ146">
        <v>0.77666615493176905</v>
      </c>
      <c r="AK146">
        <v>7.7987293771238905E-2</v>
      </c>
      <c r="AL146">
        <v>0.14534655129699101</v>
      </c>
    </row>
    <row r="147" spans="1:38" x14ac:dyDescent="0.2">
      <c r="A147">
        <v>170</v>
      </c>
      <c r="B147">
        <v>779</v>
      </c>
      <c r="C147">
        <v>120</v>
      </c>
      <c r="D147">
        <v>0.48073991351043299</v>
      </c>
      <c r="E147">
        <v>8.0680829503078506</v>
      </c>
      <c r="F147">
        <v>2.5525852868363401</v>
      </c>
      <c r="G147">
        <v>-131.0671889270422</v>
      </c>
      <c r="H147">
        <v>-112.95003575983311</v>
      </c>
      <c r="I147">
        <v>17.2191732806244</v>
      </c>
      <c r="J147">
        <v>9.7901092628239805</v>
      </c>
      <c r="K147">
        <v>3.1607496101755599</v>
      </c>
      <c r="L147">
        <v>3.0816590407124101E-5</v>
      </c>
      <c r="M147">
        <v>1.8308567673668511E-6</v>
      </c>
      <c r="N147" s="1">
        <v>-5.19674756947827E-8</v>
      </c>
      <c r="O147" s="1">
        <v>2.8902537041054602E-11</v>
      </c>
      <c r="P147" s="1">
        <v>2.1832588196041E-10</v>
      </c>
      <c r="Q147">
        <v>66.128769792350198</v>
      </c>
      <c r="S147">
        <v>20.5620564432243</v>
      </c>
      <c r="AA147">
        <v>1.5336627114280601</v>
      </c>
      <c r="AB147">
        <v>8.9354448715921695</v>
      </c>
      <c r="AC147">
        <v>2.84006618140518</v>
      </c>
      <c r="AJ147">
        <v>0.76689208199348402</v>
      </c>
      <c r="AK147">
        <v>7.2737559074119107E-2</v>
      </c>
      <c r="AL147">
        <v>0.16037035893239601</v>
      </c>
    </row>
    <row r="148" spans="1:38" x14ac:dyDescent="0.2">
      <c r="A148">
        <v>171</v>
      </c>
      <c r="B148">
        <v>778</v>
      </c>
      <c r="C148">
        <v>120</v>
      </c>
      <c r="D148">
        <v>0.48017932740332298</v>
      </c>
      <c r="E148">
        <v>10.095895252694</v>
      </c>
      <c r="F148">
        <v>2.5496786255536898</v>
      </c>
      <c r="G148">
        <v>-163.79899099691661</v>
      </c>
      <c r="H148">
        <v>-141.16839376092716</v>
      </c>
      <c r="I148">
        <v>21.529369962412002</v>
      </c>
      <c r="J148">
        <v>12.2403648543086</v>
      </c>
      <c r="K148">
        <v>3.9596736433799</v>
      </c>
      <c r="L148">
        <v>3.0740593747983492E-5</v>
      </c>
      <c r="M148">
        <v>1.831100976657153E-6</v>
      </c>
      <c r="N148" s="1">
        <v>-6.5204780365953904E-8</v>
      </c>
      <c r="O148" s="1">
        <v>3.6322030927081101E-11</v>
      </c>
      <c r="P148" s="1">
        <v>2.7350104689525301E-10</v>
      </c>
      <c r="Q148">
        <v>66.211100426158595</v>
      </c>
      <c r="S148">
        <v>20.421660127636599</v>
      </c>
      <c r="AA148">
        <v>1.3986235856575799</v>
      </c>
      <c r="AB148">
        <v>8.7508470805624601</v>
      </c>
      <c r="AC148">
        <v>3.2177687799847101</v>
      </c>
      <c r="AJ148">
        <v>0.75174044542837404</v>
      </c>
      <c r="AK148">
        <v>6.6394095725119298E-2</v>
      </c>
      <c r="AL148">
        <v>0.18186545884650601</v>
      </c>
    </row>
    <row r="149" spans="1:38" x14ac:dyDescent="0.2">
      <c r="A149">
        <v>172</v>
      </c>
      <c r="B149">
        <v>777</v>
      </c>
      <c r="C149">
        <v>120</v>
      </c>
      <c r="D149">
        <v>0.47961767366567098</v>
      </c>
      <c r="E149">
        <v>11.181618560075901</v>
      </c>
      <c r="F149">
        <v>2.5485823548815798</v>
      </c>
      <c r="G149">
        <v>-181.27613506470436</v>
      </c>
      <c r="H149">
        <v>-156.25586139186794</v>
      </c>
      <c r="I149">
        <v>23.8254284367342</v>
      </c>
      <c r="J149">
        <v>13.549285100529</v>
      </c>
      <c r="K149">
        <v>4.3873875759433503</v>
      </c>
      <c r="L149">
        <v>3.0671992638773755E-5</v>
      </c>
      <c r="M149">
        <v>1.8299790747153231E-6</v>
      </c>
      <c r="N149" s="1">
        <v>-7.3000313898368096E-8</v>
      </c>
      <c r="O149" s="1">
        <v>4.02821831825129E-11</v>
      </c>
      <c r="P149" s="1">
        <v>3.0508792440924998E-10</v>
      </c>
      <c r="Q149">
        <v>66.199412404028905</v>
      </c>
      <c r="S149">
        <v>20.3820490462736</v>
      </c>
      <c r="AA149">
        <v>1.36867127812658</v>
      </c>
      <c r="AB149">
        <v>8.6209553503484102</v>
      </c>
      <c r="AC149">
        <v>3.42891192122236</v>
      </c>
      <c r="AJ149">
        <v>0.74106126428013896</v>
      </c>
      <c r="AK149">
        <v>6.5014265601259905E-2</v>
      </c>
      <c r="AL149">
        <v>0.19392447011860001</v>
      </c>
    </row>
    <row r="150" spans="1:38" x14ac:dyDescent="0.2">
      <c r="A150">
        <v>172</v>
      </c>
      <c r="B150">
        <v>777</v>
      </c>
      <c r="C150">
        <v>120</v>
      </c>
      <c r="D150">
        <v>0.47961767366567098</v>
      </c>
      <c r="E150">
        <v>4.8223053300276897</v>
      </c>
      <c r="F150">
        <v>2.52313860472661</v>
      </c>
      <c r="G150">
        <v>-77.184765177093624</v>
      </c>
      <c r="H150">
        <v>-66.48189371072236</v>
      </c>
      <c r="I150">
        <v>10.191754955359899</v>
      </c>
      <c r="J150">
        <v>5.7708804412822303</v>
      </c>
      <c r="K150">
        <v>1.9112328276354</v>
      </c>
      <c r="L150">
        <v>2.9227940349081676E-5</v>
      </c>
      <c r="M150">
        <v>1.8159216268131859E-6</v>
      </c>
      <c r="N150" s="1">
        <v>-1.9321210227035401E-8</v>
      </c>
      <c r="O150" s="1">
        <v>1.8121415193151801E-11</v>
      </c>
      <c r="P150" s="1">
        <v>9.4915858868709196E-11</v>
      </c>
      <c r="Q150">
        <v>66.393251798467404</v>
      </c>
      <c r="S150">
        <v>19.301066412080498</v>
      </c>
      <c r="AA150">
        <v>0.43161976380251199</v>
      </c>
      <c r="AB150">
        <v>6.21897953473451</v>
      </c>
      <c r="AC150">
        <v>7.6550824909149604</v>
      </c>
      <c r="AJ150">
        <v>0.54106423522108105</v>
      </c>
      <c r="AK150">
        <v>2.07511329600867E-2</v>
      </c>
      <c r="AL150">
        <v>0.43818463181883099</v>
      </c>
    </row>
    <row r="151" spans="1:38" x14ac:dyDescent="0.2">
      <c r="A151">
        <v>173</v>
      </c>
      <c r="B151">
        <v>776</v>
      </c>
      <c r="C151">
        <v>120</v>
      </c>
      <c r="D151">
        <v>0.47905494924462999</v>
      </c>
      <c r="E151">
        <v>11.027547574643901</v>
      </c>
      <c r="F151">
        <v>2.5509116473034501</v>
      </c>
      <c r="G151">
        <v>-178.86786389188757</v>
      </c>
      <c r="H151">
        <v>-154.22778140726743</v>
      </c>
      <c r="I151">
        <v>23.4857575033313</v>
      </c>
      <c r="J151">
        <v>13.3688138217037</v>
      </c>
      <c r="K151">
        <v>4.3229829564269897</v>
      </c>
      <c r="L151">
        <v>3.0694238675289413E-5</v>
      </c>
      <c r="M151">
        <v>1.8282704136492682E-6</v>
      </c>
      <c r="N151" s="1">
        <v>-7.5011327066435604E-8</v>
      </c>
      <c r="O151" s="1">
        <v>3.95616250240193E-11</v>
      </c>
      <c r="P151" s="1">
        <v>3.0985347763595298E-10</v>
      </c>
      <c r="Q151">
        <v>66.077737612376794</v>
      </c>
      <c r="S151">
        <v>20.5090318987499</v>
      </c>
      <c r="AA151">
        <v>1.5018245808509501</v>
      </c>
      <c r="AB151">
        <v>8.6827116577570198</v>
      </c>
      <c r="AC151">
        <v>3.2286942502652098</v>
      </c>
      <c r="AJ151">
        <v>0.74613843803410196</v>
      </c>
      <c r="AK151">
        <v>7.1317158863894295E-2</v>
      </c>
      <c r="AL151">
        <v>0.18254440310200301</v>
      </c>
    </row>
    <row r="152" spans="1:38" x14ac:dyDescent="0.2">
      <c r="A152">
        <v>173</v>
      </c>
      <c r="B152">
        <v>776</v>
      </c>
      <c r="C152">
        <v>120</v>
      </c>
      <c r="D152">
        <v>0.47905494924462999</v>
      </c>
      <c r="E152">
        <v>13.1193767915597</v>
      </c>
      <c r="F152">
        <v>2.5224096178621398</v>
      </c>
      <c r="G152">
        <v>-209.79386301117165</v>
      </c>
      <c r="H152">
        <v>-180.74206616727304</v>
      </c>
      <c r="I152">
        <v>27.690794303863701</v>
      </c>
      <c r="J152">
        <v>15.686890149685899</v>
      </c>
      <c r="K152">
        <v>5.2011285949182904</v>
      </c>
      <c r="L152">
        <v>2.9120265065325624E-5</v>
      </c>
      <c r="M152">
        <v>1.8140838386145109E-6</v>
      </c>
      <c r="N152" s="1">
        <v>-5.2061256460545698E-8</v>
      </c>
      <c r="O152" s="1">
        <v>4.9371218279270701E-11</v>
      </c>
      <c r="P152" s="1">
        <v>2.5660115641748699E-10</v>
      </c>
      <c r="Q152">
        <v>66.348460253357104</v>
      </c>
      <c r="S152">
        <v>19.2723898286694</v>
      </c>
      <c r="AA152">
        <v>0.418412783575485</v>
      </c>
      <c r="AB152">
        <v>6.0439845864605397</v>
      </c>
      <c r="AC152">
        <v>7.9167525479373602</v>
      </c>
      <c r="AJ152">
        <v>0.52630331099900896</v>
      </c>
      <c r="AK152">
        <v>2.0133926982351901E-2</v>
      </c>
      <c r="AL152">
        <v>0.45356276201863799</v>
      </c>
    </row>
    <row r="153" spans="1:38" x14ac:dyDescent="0.2">
      <c r="A153">
        <v>174</v>
      </c>
      <c r="B153">
        <v>775</v>
      </c>
      <c r="C153">
        <v>120</v>
      </c>
      <c r="D153">
        <v>0.478491151075708</v>
      </c>
      <c r="E153">
        <v>11.368480431607299</v>
      </c>
      <c r="F153">
        <v>2.5526183753602401</v>
      </c>
      <c r="G153">
        <v>-184.45428217757473</v>
      </c>
      <c r="H153">
        <v>-159.09012396449413</v>
      </c>
      <c r="I153">
        <v>24.198977448915301</v>
      </c>
      <c r="J153">
        <v>13.786844031405201</v>
      </c>
      <c r="K153">
        <v>4.4536545459925598</v>
      </c>
      <c r="L153">
        <v>3.0709531302431677E-5</v>
      </c>
      <c r="M153">
        <v>1.8268811096890609E-6</v>
      </c>
      <c r="N153" s="1">
        <v>-8.0250038596877806E-8</v>
      </c>
      <c r="O153" s="1">
        <v>4.0653686512282503E-11</v>
      </c>
      <c r="P153" s="1">
        <v>3.2807244496371502E-10</v>
      </c>
      <c r="Q153">
        <v>65.983334673563704</v>
      </c>
      <c r="S153">
        <v>20.603613009775</v>
      </c>
      <c r="AA153">
        <v>1.6018826010810401</v>
      </c>
      <c r="AB153">
        <v>8.7202964492309398</v>
      </c>
      <c r="AC153">
        <v>3.09087326634923</v>
      </c>
      <c r="AJ153">
        <v>0.74922655087521495</v>
      </c>
      <c r="AK153">
        <v>7.6054231944734305E-2</v>
      </c>
      <c r="AL153">
        <v>0.17471921718004901</v>
      </c>
    </row>
    <row r="154" spans="1:38" x14ac:dyDescent="0.2">
      <c r="A154">
        <v>174</v>
      </c>
      <c r="B154">
        <v>775</v>
      </c>
      <c r="C154">
        <v>120</v>
      </c>
      <c r="D154">
        <v>0.478491151075708</v>
      </c>
      <c r="E154">
        <v>18.8569630719293</v>
      </c>
      <c r="F154">
        <v>2.5219331700314198</v>
      </c>
      <c r="G154">
        <v>-301.33586663985085</v>
      </c>
      <c r="H154">
        <v>-259.6647374833118</v>
      </c>
      <c r="I154">
        <v>39.7568374340877</v>
      </c>
      <c r="J154">
        <v>22.534219133856901</v>
      </c>
      <c r="K154">
        <v>7.4771858731269996</v>
      </c>
      <c r="L154">
        <v>2.9046295267149505E-5</v>
      </c>
      <c r="M154">
        <v>1.8128132935330659E-6</v>
      </c>
      <c r="N154" s="1">
        <v>-7.5064862592820499E-8</v>
      </c>
      <c r="O154" s="1">
        <v>7.1029089625536103E-11</v>
      </c>
      <c r="P154" s="1">
        <v>3.69357948215198E-10</v>
      </c>
      <c r="Q154">
        <v>66.316358416111598</v>
      </c>
      <c r="S154">
        <v>19.251957376566899</v>
      </c>
      <c r="AA154">
        <v>0.409046326240317</v>
      </c>
      <c r="AB154">
        <v>5.9188810338039399</v>
      </c>
      <c r="AC154">
        <v>8.1037568472771699</v>
      </c>
      <c r="AJ154">
        <v>0.515734775208885</v>
      </c>
      <c r="AK154">
        <v>1.9695639750146099E-2</v>
      </c>
      <c r="AL154">
        <v>0.46456958504096801</v>
      </c>
    </row>
    <row r="155" spans="1:38" x14ac:dyDescent="0.2">
      <c r="A155">
        <v>175</v>
      </c>
      <c r="B155">
        <v>774</v>
      </c>
      <c r="C155">
        <v>120</v>
      </c>
      <c r="D155">
        <v>0.47792627608270499</v>
      </c>
      <c r="E155">
        <v>13.2563252710217</v>
      </c>
      <c r="F155">
        <v>2.5560049939577101</v>
      </c>
      <c r="G155">
        <v>-215.22779917686233</v>
      </c>
      <c r="H155">
        <v>-185.69846521354563</v>
      </c>
      <c r="I155">
        <v>28.199717292953899</v>
      </c>
      <c r="J155">
        <v>16.082854871535201</v>
      </c>
      <c r="K155">
        <v>5.1863456066631901</v>
      </c>
      <c r="L155">
        <v>3.069324722546437E-5</v>
      </c>
      <c r="M155">
        <v>1.8231176017917386E-6</v>
      </c>
      <c r="N155" s="1">
        <v>-9.7158640470741202E-8</v>
      </c>
      <c r="O155" s="1">
        <v>4.7115873776682403E-11</v>
      </c>
      <c r="P155" s="1">
        <v>3.9325180435853698E-10</v>
      </c>
      <c r="Q155">
        <v>65.764290203982895</v>
      </c>
      <c r="S155">
        <v>20.806764576969002</v>
      </c>
      <c r="AA155">
        <v>1.8205957565686799</v>
      </c>
      <c r="AB155">
        <v>8.7647558383700694</v>
      </c>
      <c r="AC155">
        <v>2.8435936241092201</v>
      </c>
      <c r="AJ155">
        <v>0.75287637703239996</v>
      </c>
      <c r="AK155">
        <v>8.6418786700345099E-2</v>
      </c>
      <c r="AL155">
        <v>0.16070483626725399</v>
      </c>
    </row>
    <row r="156" spans="1:38" x14ac:dyDescent="0.2">
      <c r="A156">
        <v>175</v>
      </c>
      <c r="B156">
        <v>774</v>
      </c>
      <c r="C156">
        <v>120</v>
      </c>
      <c r="D156">
        <v>0.47792627608270499</v>
      </c>
      <c r="E156">
        <v>31.372988639147401</v>
      </c>
      <c r="F156">
        <v>2.5211234026624698</v>
      </c>
      <c r="G156">
        <v>-500.75989993348782</v>
      </c>
      <c r="H156">
        <v>-431.60924089085216</v>
      </c>
      <c r="I156">
        <v>66.037013840076</v>
      </c>
      <c r="J156">
        <v>37.447673998966202</v>
      </c>
      <c r="K156">
        <v>12.444051174177099</v>
      </c>
      <c r="L156">
        <v>2.8896448157357313E-5</v>
      </c>
      <c r="M156">
        <v>1.810264476266511E-6</v>
      </c>
      <c r="N156" s="1">
        <v>-1.2133626675068399E-7</v>
      </c>
      <c r="O156" s="1">
        <v>1.1840080521552901E-10</v>
      </c>
      <c r="P156" s="1">
        <v>6.0363592893887096E-10</v>
      </c>
      <c r="Q156">
        <v>66.249731103388299</v>
      </c>
      <c r="S156">
        <v>19.219285056412499</v>
      </c>
      <c r="AA156">
        <v>0.39763790014544598</v>
      </c>
      <c r="AB156">
        <v>5.6847509048379097</v>
      </c>
      <c r="AC156">
        <v>8.4485950352156909</v>
      </c>
      <c r="AJ156">
        <v>0.49591990026121002</v>
      </c>
      <c r="AK156">
        <v>1.9168964741288701E-2</v>
      </c>
      <c r="AL156">
        <v>0.48491113499749999</v>
      </c>
    </row>
    <row r="157" spans="1:38" x14ac:dyDescent="0.2">
      <c r="A157">
        <v>176</v>
      </c>
      <c r="B157">
        <v>773</v>
      </c>
      <c r="C157">
        <v>120</v>
      </c>
      <c r="D157">
        <v>0.47736032117765198</v>
      </c>
      <c r="E157">
        <v>14.340899848041801</v>
      </c>
      <c r="F157">
        <v>2.5575198633835101</v>
      </c>
      <c r="G157">
        <v>-232.88466719542987</v>
      </c>
      <c r="H157">
        <v>-200.98913583638796</v>
      </c>
      <c r="I157">
        <v>30.488487653818201</v>
      </c>
      <c r="J157">
        <v>17.402866032847001</v>
      </c>
      <c r="K157">
        <v>5.60734641922559</v>
      </c>
      <c r="L157">
        <v>3.069387676721549E-5</v>
      </c>
      <c r="M157">
        <v>1.8214323123240908E-6</v>
      </c>
      <c r="N157" s="1">
        <v>-1.0867026489996E-7</v>
      </c>
      <c r="O157" s="1">
        <v>5.0816612482766201E-11</v>
      </c>
      <c r="P157" s="1">
        <v>4.3593240402464898E-10</v>
      </c>
      <c r="Q157">
        <v>65.665003482294694</v>
      </c>
      <c r="S157">
        <v>20.897056231824699</v>
      </c>
      <c r="AA157">
        <v>1.91825449550676</v>
      </c>
      <c r="AB157">
        <v>8.7802120145495497</v>
      </c>
      <c r="AC157">
        <v>2.7394737758241199</v>
      </c>
      <c r="AJ157">
        <v>0.75414449208072598</v>
      </c>
      <c r="AK157">
        <v>9.1047196071845499E-2</v>
      </c>
      <c r="AL157">
        <v>0.15480831184742799</v>
      </c>
    </row>
    <row r="158" spans="1:38" x14ac:dyDescent="0.2">
      <c r="A158">
        <v>176</v>
      </c>
      <c r="B158">
        <v>773</v>
      </c>
      <c r="C158">
        <v>120</v>
      </c>
      <c r="D158">
        <v>0.47736032117765198</v>
      </c>
      <c r="E158">
        <v>36.444764513225103</v>
      </c>
      <c r="F158">
        <v>2.52080827154639</v>
      </c>
      <c r="G158">
        <v>-581.36932586297928</v>
      </c>
      <c r="H158">
        <v>-501.19961377790679</v>
      </c>
      <c r="I158">
        <v>76.633094761814704</v>
      </c>
      <c r="J158">
        <v>43.480838260715103</v>
      </c>
      <c r="K158">
        <v>14.4575709801475</v>
      </c>
      <c r="L158">
        <v>2.8836685256191986E-5</v>
      </c>
      <c r="M158">
        <v>1.8092386953622521E-6</v>
      </c>
      <c r="N158" s="1">
        <v>-1.4207225784161499E-7</v>
      </c>
      <c r="O158" s="1">
        <v>1.37636247268847E-10</v>
      </c>
      <c r="P158" s="1">
        <v>7.0425197581049104E-10</v>
      </c>
      <c r="Q158">
        <v>66.221816192941006</v>
      </c>
      <c r="S158">
        <v>19.203649972697001</v>
      </c>
      <c r="AA158">
        <v>0.39125235872132003</v>
      </c>
      <c r="AB158">
        <v>5.5815546189839997</v>
      </c>
      <c r="AC158">
        <v>8.6017268566565708</v>
      </c>
      <c r="AJ158">
        <v>0.48717132954429998</v>
      </c>
      <c r="AK158">
        <v>1.8870973376793401E-2</v>
      </c>
      <c r="AL158">
        <v>0.49395769707890502</v>
      </c>
    </row>
    <row r="159" spans="1:38" x14ac:dyDescent="0.2">
      <c r="A159">
        <v>177</v>
      </c>
      <c r="B159">
        <v>772</v>
      </c>
      <c r="C159">
        <v>120</v>
      </c>
      <c r="D159">
        <v>0.47679328326077502</v>
      </c>
      <c r="E159">
        <v>15.272681228227301</v>
      </c>
      <c r="F159">
        <v>2.5586941279205502</v>
      </c>
      <c r="G159">
        <v>-248.04642001270403</v>
      </c>
      <c r="H159">
        <v>-214.13131673133216</v>
      </c>
      <c r="I159">
        <v>32.449986395609997</v>
      </c>
      <c r="J159">
        <v>18.5375870070547</v>
      </c>
      <c r="K159">
        <v>5.9689358964681496</v>
      </c>
      <c r="L159">
        <v>3.0698230009259905E-5</v>
      </c>
      <c r="M159">
        <v>1.8201296083199997E-6</v>
      </c>
      <c r="N159" s="1">
        <v>-1.1955850548103501E-7</v>
      </c>
      <c r="O159" s="1">
        <v>5.3984187198487E-11</v>
      </c>
      <c r="P159" s="1">
        <v>4.7550696356130996E-10</v>
      </c>
      <c r="Q159">
        <v>65.587609644102599</v>
      </c>
      <c r="S159">
        <v>20.966776602821501</v>
      </c>
      <c r="AA159">
        <v>1.9938333095591301</v>
      </c>
      <c r="AB159">
        <v>8.7905250126648795</v>
      </c>
      <c r="AC159">
        <v>2.6612554308517602</v>
      </c>
      <c r="AJ159">
        <v>0.75499035044871998</v>
      </c>
      <c r="AK159">
        <v>9.4629430064096007E-2</v>
      </c>
      <c r="AL159">
        <v>0.150380219487183</v>
      </c>
    </row>
    <row r="160" spans="1:38" x14ac:dyDescent="0.2">
      <c r="A160">
        <v>177</v>
      </c>
      <c r="B160">
        <v>772</v>
      </c>
      <c r="C160">
        <v>120</v>
      </c>
      <c r="D160">
        <v>0.47679328326077502</v>
      </c>
      <c r="E160">
        <v>40.201233638052202</v>
      </c>
      <c r="F160">
        <v>2.5205840254057201</v>
      </c>
      <c r="G160">
        <v>-640.98062683428566</v>
      </c>
      <c r="H160">
        <v>-552.71421995695925</v>
      </c>
      <c r="I160">
        <v>84.453338637828395</v>
      </c>
      <c r="J160">
        <v>47.945726586105998</v>
      </c>
      <c r="K160">
        <v>15.949174172672601</v>
      </c>
      <c r="L160">
        <v>2.8793274221362764E-5</v>
      </c>
      <c r="M160">
        <v>1.8084882960434685E-6</v>
      </c>
      <c r="N160" s="1">
        <v>-1.5903985295339601E-7</v>
      </c>
      <c r="O160" s="1">
        <v>1.5189292311970799E-10</v>
      </c>
      <c r="P160" s="1">
        <v>7.83423502255144E-10</v>
      </c>
      <c r="Q160">
        <v>66.200862168260997</v>
      </c>
      <c r="S160">
        <v>19.1911634987597</v>
      </c>
      <c r="AA160">
        <v>0.385840225070958</v>
      </c>
      <c r="AB160">
        <v>5.5021247837157397</v>
      </c>
      <c r="AC160">
        <v>8.7200093241924108</v>
      </c>
      <c r="AJ160">
        <v>0.480431371589921</v>
      </c>
      <c r="AK160">
        <v>1.8617407962469801E-2</v>
      </c>
      <c r="AL160">
        <v>0.50095122044760798</v>
      </c>
    </row>
    <row r="161" spans="1:38" x14ac:dyDescent="0.2">
      <c r="A161">
        <v>178</v>
      </c>
      <c r="B161">
        <v>771</v>
      </c>
      <c r="C161">
        <v>120</v>
      </c>
      <c r="D161">
        <v>0.47622515922041903</v>
      </c>
      <c r="E161">
        <v>15.7786061659488</v>
      </c>
      <c r="F161">
        <v>2.5593084367472398</v>
      </c>
      <c r="G161">
        <v>-256.26396787127106</v>
      </c>
      <c r="H161">
        <v>-221.2787901743323</v>
      </c>
      <c r="I161">
        <v>33.505892541242901</v>
      </c>
      <c r="J161">
        <v>19.155542023705198</v>
      </c>
      <c r="K161">
        <v>6.1651835079333699</v>
      </c>
      <c r="L161">
        <v>3.0714185424353502E-5</v>
      </c>
      <c r="M161">
        <v>1.8196272768212816E-6</v>
      </c>
      <c r="N161" s="1">
        <v>-1.2756813293663601E-7</v>
      </c>
      <c r="O161" s="1">
        <v>5.56866066575686E-11</v>
      </c>
      <c r="P161" s="1">
        <v>5.0310512834104198E-10</v>
      </c>
      <c r="Q161">
        <v>65.551953570024395</v>
      </c>
      <c r="S161">
        <v>21.000172851665202</v>
      </c>
      <c r="AA161">
        <v>2.0297054142418198</v>
      </c>
      <c r="AB161">
        <v>8.7986199715362705</v>
      </c>
      <c r="AC161">
        <v>2.61954819253216</v>
      </c>
      <c r="AJ161">
        <v>0.75565460612007596</v>
      </c>
      <c r="AK161">
        <v>9.6328006867415203E-2</v>
      </c>
      <c r="AL161">
        <v>0.14801738701250799</v>
      </c>
    </row>
    <row r="162" spans="1:38" x14ac:dyDescent="0.2">
      <c r="A162">
        <v>178</v>
      </c>
      <c r="B162">
        <v>771</v>
      </c>
      <c r="C162">
        <v>120</v>
      </c>
      <c r="D162">
        <v>0.47622515922041903</v>
      </c>
      <c r="E162">
        <v>41.882441516021203</v>
      </c>
      <c r="F162">
        <v>2.5204747630342998</v>
      </c>
      <c r="G162">
        <v>-667.56649844063656</v>
      </c>
      <c r="H162">
        <v>-575.76639160365517</v>
      </c>
      <c r="I162">
        <v>87.918504847944604</v>
      </c>
      <c r="J162">
        <v>49.942920530239597</v>
      </c>
      <c r="K162">
        <v>16.616885886054401</v>
      </c>
      <c r="L162">
        <v>2.8775160397235714E-5</v>
      </c>
      <c r="M162">
        <v>1.8081594026730141E-6</v>
      </c>
      <c r="N162" s="1">
        <v>-1.6996238886852199E-7</v>
      </c>
      <c r="O162" s="1">
        <v>1.5826441677270999E-10</v>
      </c>
      <c r="P162" s="1">
        <v>8.2854661267662597E-10</v>
      </c>
      <c r="Q162">
        <v>66.191146125271601</v>
      </c>
      <c r="S162">
        <v>19.182955077295301</v>
      </c>
      <c r="AA162">
        <v>0.38133529912001801</v>
      </c>
      <c r="AB162">
        <v>5.4589536588303798</v>
      </c>
      <c r="AC162">
        <v>8.7856098394826603</v>
      </c>
      <c r="AJ162">
        <v>0.47676586378200397</v>
      </c>
      <c r="AK162">
        <v>1.8404055905340399E-2</v>
      </c>
      <c r="AL162">
        <v>0.50483008031265397</v>
      </c>
    </row>
    <row r="163" spans="1:38" x14ac:dyDescent="0.2">
      <c r="A163">
        <v>180</v>
      </c>
      <c r="B163">
        <v>806</v>
      </c>
      <c r="C163">
        <v>100</v>
      </c>
      <c r="D163">
        <v>0.51586943427697896</v>
      </c>
      <c r="E163">
        <v>0.261574017131255</v>
      </c>
      <c r="F163">
        <v>2.55914333908026</v>
      </c>
      <c r="G163">
        <v>-4.278583157591191</v>
      </c>
      <c r="H163">
        <v>-3.6674539844620084</v>
      </c>
      <c r="I163">
        <v>0.56630604932509998</v>
      </c>
      <c r="J163">
        <v>0.31739276983241499</v>
      </c>
      <c r="K163">
        <v>0.102211553818342</v>
      </c>
      <c r="L163">
        <v>3.0494205328858377E-5</v>
      </c>
      <c r="M163">
        <v>1.8211602494780401E-6</v>
      </c>
      <c r="N163" s="1">
        <v>-6.9420595850517898E-10</v>
      </c>
      <c r="O163" s="1">
        <v>9.3159210454537208E-13</v>
      </c>
      <c r="P163" s="1">
        <v>4.1648770084885099E-12</v>
      </c>
      <c r="Q163">
        <v>65.610219917323803</v>
      </c>
      <c r="S163">
        <v>21.114851429503702</v>
      </c>
      <c r="AA163">
        <v>2.11072075958301</v>
      </c>
      <c r="AB163">
        <v>9.2291082034120997</v>
      </c>
      <c r="AC163">
        <v>1.9350996901772399</v>
      </c>
      <c r="AJ163">
        <v>0.79093221870705599</v>
      </c>
      <c r="AK163">
        <v>9.9958815487814601E-2</v>
      </c>
      <c r="AL163">
        <v>0.10910896580512899</v>
      </c>
    </row>
    <row r="164" spans="1:38" x14ac:dyDescent="0.2">
      <c r="A164">
        <v>181</v>
      </c>
      <c r="B164">
        <v>805</v>
      </c>
      <c r="C164">
        <v>100</v>
      </c>
      <c r="D164">
        <v>0.51535547001808601</v>
      </c>
      <c r="E164">
        <v>0.64637345148932301</v>
      </c>
      <c r="F164">
        <v>2.5587485640088601</v>
      </c>
      <c r="G164">
        <v>-10.570291050153275</v>
      </c>
      <c r="H164">
        <v>-9.0622572233562266</v>
      </c>
      <c r="I164">
        <v>1.3987235790910799</v>
      </c>
      <c r="J164">
        <v>0.784300956327869</v>
      </c>
      <c r="K164">
        <v>0.25261311743606002</v>
      </c>
      <c r="L164">
        <v>3.0511959594820935E-5</v>
      </c>
      <c r="M164">
        <v>1.8219669491536557E-6</v>
      </c>
      <c r="N164" s="1">
        <v>-1.7817740769560301E-9</v>
      </c>
      <c r="O164" s="1">
        <v>2.3033406137935401E-12</v>
      </c>
      <c r="P164" s="1">
        <v>1.04879263513519E-11</v>
      </c>
      <c r="Q164">
        <v>65.646612013949905</v>
      </c>
      <c r="S164">
        <v>21.083244494352702</v>
      </c>
      <c r="AA164">
        <v>2.0761531162184101</v>
      </c>
      <c r="AB164">
        <v>9.2273443497967005</v>
      </c>
      <c r="AC164">
        <v>1.96664602568219</v>
      </c>
      <c r="AJ164">
        <v>0.79078856249218299</v>
      </c>
      <c r="AK164">
        <v>9.8322705676253105E-2</v>
      </c>
      <c r="AL164">
        <v>0.110888731831562</v>
      </c>
    </row>
    <row r="165" spans="1:38" x14ac:dyDescent="0.2">
      <c r="A165">
        <v>182</v>
      </c>
      <c r="B165">
        <v>804</v>
      </c>
      <c r="C165">
        <v>100</v>
      </c>
      <c r="D165">
        <v>0.514840551455232</v>
      </c>
      <c r="E165">
        <v>1.03152555684273</v>
      </c>
      <c r="F165">
        <v>2.5583591056569199</v>
      </c>
      <c r="G165">
        <v>-16.864798272532649</v>
      </c>
      <c r="H165">
        <v>-14.461570797126452</v>
      </c>
      <c r="I165">
        <v>2.23109824574682</v>
      </c>
      <c r="J165">
        <v>1.2516302059836799</v>
      </c>
      <c r="K165">
        <v>0.403198110289473</v>
      </c>
      <c r="L165">
        <v>3.0529243167416499E-5</v>
      </c>
      <c r="M165">
        <v>1.8227471991642735E-6</v>
      </c>
      <c r="N165" s="1">
        <v>-2.9514541868819601E-9</v>
      </c>
      <c r="O165" s="1">
        <v>3.6778143009539797E-12</v>
      </c>
      <c r="P165" s="1">
        <v>1.7056506013843901E-11</v>
      </c>
      <c r="Q165">
        <v>65.681945952195207</v>
      </c>
      <c r="S165">
        <v>21.052274551868901</v>
      </c>
      <c r="AA165">
        <v>2.0423579051187599</v>
      </c>
      <c r="AB165">
        <v>9.2248924060579096</v>
      </c>
      <c r="AC165">
        <v>1.99852918475907</v>
      </c>
      <c r="AJ165">
        <v>0.79058861899738198</v>
      </c>
      <c r="AK165">
        <v>9.6723474672697499E-2</v>
      </c>
      <c r="AL165">
        <v>0.112687906329919</v>
      </c>
    </row>
    <row r="166" spans="1:38" x14ac:dyDescent="0.2">
      <c r="A166">
        <v>183</v>
      </c>
      <c r="B166">
        <v>803</v>
      </c>
      <c r="C166">
        <v>100</v>
      </c>
      <c r="D166">
        <v>0.51432467592807896</v>
      </c>
      <c r="E166">
        <v>1.4169070697414901</v>
      </c>
      <c r="F166">
        <v>2.5579748865094398</v>
      </c>
      <c r="G166">
        <v>-23.160072523725351</v>
      </c>
      <c r="H166">
        <v>-19.863658603006858</v>
      </c>
      <c r="I166">
        <v>3.0631546909989198</v>
      </c>
      <c r="J166">
        <v>1.7192310833622599</v>
      </c>
      <c r="K166">
        <v>0.55391750607644696</v>
      </c>
      <c r="L166">
        <v>3.0546070330867752E-5</v>
      </c>
      <c r="M166">
        <v>1.8235014480697366E-6</v>
      </c>
      <c r="N166" s="1">
        <v>-4.2054597802707097E-9</v>
      </c>
      <c r="O166" s="1">
        <v>5.0544985095977002E-12</v>
      </c>
      <c r="P166" s="1">
        <v>2.3876012882497099E-11</v>
      </c>
      <c r="Q166">
        <v>65.716238114516699</v>
      </c>
      <c r="S166">
        <v>21.021931271133301</v>
      </c>
      <c r="AA166">
        <v>2.00932278054775</v>
      </c>
      <c r="AB166">
        <v>9.2217617957751603</v>
      </c>
      <c r="AC166">
        <v>2.03074603802692</v>
      </c>
      <c r="AJ166">
        <v>0.79033315489758305</v>
      </c>
      <c r="AK166">
        <v>9.5160518492856394E-2</v>
      </c>
      <c r="AL166">
        <v>0.11450632660955901</v>
      </c>
    </row>
    <row r="167" spans="1:38" x14ac:dyDescent="0.2">
      <c r="A167">
        <v>184</v>
      </c>
      <c r="B167">
        <v>802</v>
      </c>
      <c r="C167">
        <v>100</v>
      </c>
      <c r="D167">
        <v>0.51380784076640695</v>
      </c>
      <c r="E167">
        <v>1.8023978866502099</v>
      </c>
      <c r="F167">
        <v>2.5575958222350201</v>
      </c>
      <c r="G167">
        <v>-29.454135227040958</v>
      </c>
      <c r="H167">
        <v>-25.266829139999661</v>
      </c>
      <c r="I167">
        <v>3.8946250170127898</v>
      </c>
      <c r="J167">
        <v>2.1869581407370098</v>
      </c>
      <c r="K167">
        <v>0.70472350282271601</v>
      </c>
      <c r="L167">
        <v>3.0562455938147408E-5</v>
      </c>
      <c r="M167">
        <v>1.8242301637504046E-6</v>
      </c>
      <c r="N167" s="1">
        <v>-5.5460567191270002E-9</v>
      </c>
      <c r="O167" s="1">
        <v>6.4328894758468098E-12</v>
      </c>
      <c r="P167" s="1">
        <v>3.0952009826575598E-11</v>
      </c>
      <c r="Q167">
        <v>65.749505734696001</v>
      </c>
      <c r="S167">
        <v>20.992203724696001</v>
      </c>
      <c r="AA167">
        <v>1.9770347059798901</v>
      </c>
      <c r="AB167">
        <v>9.2179622757758999</v>
      </c>
      <c r="AC167">
        <v>2.06329355885212</v>
      </c>
      <c r="AJ167">
        <v>0.79002296310490105</v>
      </c>
      <c r="AK167">
        <v>9.3633201271118197E-2</v>
      </c>
      <c r="AL167">
        <v>0.116343835623979</v>
      </c>
    </row>
    <row r="168" spans="1:38" x14ac:dyDescent="0.2">
      <c r="A168">
        <v>185</v>
      </c>
      <c r="B168">
        <v>801</v>
      </c>
      <c r="C168">
        <v>100</v>
      </c>
      <c r="D168">
        <v>0.51329004329004402</v>
      </c>
      <c r="E168">
        <v>2.1878814290040798</v>
      </c>
      <c r="F168">
        <v>2.5572218225235401</v>
      </c>
      <c r="G168">
        <v>-35.745067429922038</v>
      </c>
      <c r="H168">
        <v>-30.669440605906818</v>
      </c>
      <c r="I168">
        <v>4.7252495685101898</v>
      </c>
      <c r="J168">
        <v>2.65467036692944</v>
      </c>
      <c r="K168">
        <v>0.85556966929251899</v>
      </c>
      <c r="L168">
        <v>3.0578415357151625E-5</v>
      </c>
      <c r="M168">
        <v>1.8249338307666645E-6</v>
      </c>
      <c r="N168" s="1">
        <v>-6.9755679290547499E-9</v>
      </c>
      <c r="O168" s="1">
        <v>7.8124957901410101E-12</v>
      </c>
      <c r="P168" s="1">
        <v>3.8290242002200703E-11</v>
      </c>
      <c r="Q168">
        <v>65.781766785472598</v>
      </c>
      <c r="S168">
        <v>20.963080467163898</v>
      </c>
      <c r="AA168">
        <v>1.9454800451556999</v>
      </c>
      <c r="AB168">
        <v>9.2135038917608707</v>
      </c>
      <c r="AC168">
        <v>2.0961688104468701</v>
      </c>
      <c r="AJ168">
        <v>0.78965885919484502</v>
      </c>
      <c r="AK168">
        <v>9.2140859564933494E-2</v>
      </c>
      <c r="AL168">
        <v>0.118200281240221</v>
      </c>
    </row>
    <row r="169" spans="1:38" x14ac:dyDescent="0.2">
      <c r="A169">
        <v>186</v>
      </c>
      <c r="B169">
        <v>800</v>
      </c>
      <c r="C169">
        <v>100</v>
      </c>
      <c r="D169">
        <v>0.51277128080883805</v>
      </c>
      <c r="E169">
        <v>2.5732449565000399</v>
      </c>
      <c r="F169">
        <v>2.5568527919550599</v>
      </c>
      <c r="G169">
        <v>-42.031014852067869</v>
      </c>
      <c r="H169">
        <v>-36.069905271339977</v>
      </c>
      <c r="I169">
        <v>5.5547775993364201</v>
      </c>
      <c r="J169">
        <v>3.1222315729098802</v>
      </c>
      <c r="K169">
        <v>1.00641107090582</v>
      </c>
      <c r="L169">
        <v>3.0593964420561156E-5</v>
      </c>
      <c r="M169">
        <v>1.8256129478152364E-6</v>
      </c>
      <c r="N169" s="1">
        <v>-8.49637830249348E-9</v>
      </c>
      <c r="O169" s="1">
        <v>9.1928396567866102E-12</v>
      </c>
      <c r="P169" s="1">
        <v>4.5896653348388801E-11</v>
      </c>
      <c r="Q169">
        <v>65.813039868502997</v>
      </c>
      <c r="S169">
        <v>20.934549613658401</v>
      </c>
      <c r="AA169">
        <v>1.91464465248641</v>
      </c>
      <c r="AB169">
        <v>9.2083969387698001</v>
      </c>
      <c r="AC169">
        <v>2.1293689265823099</v>
      </c>
      <c r="AJ169">
        <v>0.78924167822921598</v>
      </c>
      <c r="AK169">
        <v>9.0682806623165094E-2</v>
      </c>
      <c r="AL169">
        <v>0.12007551514761799</v>
      </c>
    </row>
    <row r="170" spans="1:38" x14ac:dyDescent="0.2">
      <c r="A170">
        <v>187</v>
      </c>
      <c r="B170">
        <v>799</v>
      </c>
      <c r="C170">
        <v>100</v>
      </c>
      <c r="D170">
        <v>0.51225155062258299</v>
      </c>
      <c r="E170">
        <v>2.9583798213191401</v>
      </c>
      <c r="F170">
        <v>2.55648863090684</v>
      </c>
      <c r="G170">
        <v>-48.310191964976099</v>
      </c>
      <c r="H170">
        <v>-41.466693029432179</v>
      </c>
      <c r="I170">
        <v>6.3829678081834702</v>
      </c>
      <c r="J170">
        <v>3.58951070538469</v>
      </c>
      <c r="K170">
        <v>1.15720437226029</v>
      </c>
      <c r="L170">
        <v>3.0609119379827568E-5</v>
      </c>
      <c r="M170">
        <v>1.8262680252880784E-6</v>
      </c>
      <c r="N170" s="1">
        <v>-1.01109397753133E-8</v>
      </c>
      <c r="O170" s="1">
        <v>1.0573457923705199E-11</v>
      </c>
      <c r="P170" s="1">
        <v>5.37774031060832E-11</v>
      </c>
      <c r="Q170">
        <v>65.843344106674095</v>
      </c>
      <c r="S170">
        <v>20.9065989183669</v>
      </c>
      <c r="AA170">
        <v>1.8845139629869501</v>
      </c>
      <c r="AB170">
        <v>9.2026519271409999</v>
      </c>
      <c r="AC170">
        <v>2.16289108483087</v>
      </c>
      <c r="AJ170">
        <v>0.78877227202872002</v>
      </c>
      <c r="AK170">
        <v>8.9258336627336204E-2</v>
      </c>
      <c r="AL170">
        <v>0.121969391343943</v>
      </c>
    </row>
    <row r="171" spans="1:38" x14ac:dyDescent="0.2">
      <c r="A171">
        <v>188</v>
      </c>
      <c r="B171">
        <v>798</v>
      </c>
      <c r="C171">
        <v>100</v>
      </c>
      <c r="D171">
        <v>0.51173085002101004</v>
      </c>
      <c r="E171">
        <v>3.3431816772076202</v>
      </c>
      <c r="F171">
        <v>2.5561292364585402</v>
      </c>
      <c r="G171">
        <v>-54.580885332362861</v>
      </c>
      <c r="H171">
        <v>-46.858334317050179</v>
      </c>
      <c r="I171">
        <v>7.2095887740397604</v>
      </c>
      <c r="J171">
        <v>4.0563821053474598</v>
      </c>
      <c r="K171">
        <v>1.3079079216822</v>
      </c>
      <c r="L171">
        <v>3.0623896864063309E-5</v>
      </c>
      <c r="M171">
        <v>1.8268995829907412E-6</v>
      </c>
      <c r="N171" s="1">
        <v>-1.1821776607594899E-8</v>
      </c>
      <c r="O171" s="1">
        <v>1.19539029316063E-11</v>
      </c>
      <c r="P171" s="1">
        <v>6.1938882560307702E-11</v>
      </c>
      <c r="Q171">
        <v>65.8726990417548</v>
      </c>
      <c r="S171">
        <v>20.8792158505494</v>
      </c>
      <c r="AA171">
        <v>1.85507307886393</v>
      </c>
      <c r="AB171">
        <v>9.1962795536942306</v>
      </c>
      <c r="AC171">
        <v>2.1967324751375101</v>
      </c>
      <c r="AJ171">
        <v>0.78825150687290602</v>
      </c>
      <c r="AK171">
        <v>8.7866728770565006E-2</v>
      </c>
      <c r="AL171">
        <v>0.12388176435652801</v>
      </c>
    </row>
    <row r="172" spans="1:38" x14ac:dyDescent="0.2">
      <c r="A172">
        <v>189</v>
      </c>
      <c r="B172">
        <v>797</v>
      </c>
      <c r="C172">
        <v>100</v>
      </c>
      <c r="D172">
        <v>0.511209176283699</v>
      </c>
      <c r="E172">
        <v>3.72755062889554</v>
      </c>
      <c r="F172">
        <v>2.5557745033340402</v>
      </c>
      <c r="G172">
        <v>-60.841455977074141</v>
      </c>
      <c r="H172">
        <v>-52.24342220543457</v>
      </c>
      <c r="I172">
        <v>8.0344192605144702</v>
      </c>
      <c r="J172">
        <v>4.5227256941040803</v>
      </c>
      <c r="K172">
        <v>1.45848181208197</v>
      </c>
      <c r="L172">
        <v>3.0638313844606499E-5</v>
      </c>
      <c r="M172">
        <v>1.8275081480058687E-6</v>
      </c>
      <c r="N172" s="1">
        <v>-1.36314908124471E-8</v>
      </c>
      <c r="O172" s="1">
        <v>1.3333743129367299E-11</v>
      </c>
      <c r="P172" s="1">
        <v>7.0387731719645095E-11</v>
      </c>
      <c r="Q172">
        <v>65.901124535916296</v>
      </c>
      <c r="S172">
        <v>20.8523876699951</v>
      </c>
      <c r="AA172">
        <v>1.8263068547468</v>
      </c>
      <c r="AB172">
        <v>9.1892906800945795</v>
      </c>
      <c r="AC172">
        <v>2.2308902592470399</v>
      </c>
      <c r="AJ172">
        <v>0.78768026178735095</v>
      </c>
      <c r="AK172">
        <v>8.6507251268178903E-2</v>
      </c>
      <c r="AL172">
        <v>0.125812486944469</v>
      </c>
    </row>
    <row r="173" spans="1:38" x14ac:dyDescent="0.2">
      <c r="A173">
        <v>190</v>
      </c>
      <c r="B173">
        <v>796</v>
      </c>
      <c r="C173">
        <v>100</v>
      </c>
      <c r="D173">
        <v>0.51068652668007097</v>
      </c>
      <c r="E173">
        <v>4.1113913331575498</v>
      </c>
      <c r="F173">
        <v>2.5554243248323401</v>
      </c>
      <c r="G173">
        <v>-67.090340960737592</v>
      </c>
      <c r="H173">
        <v>-57.620613818949785</v>
      </c>
      <c r="I173">
        <v>8.8572484139623207</v>
      </c>
      <c r="J173">
        <v>4.9884271005613101</v>
      </c>
      <c r="K173">
        <v>1.6088879225282</v>
      </c>
      <c r="L173">
        <v>3.0652387604952933E-5</v>
      </c>
      <c r="M173">
        <v>1.8280942527336513E-6</v>
      </c>
      <c r="N173" s="1">
        <v>-1.5542767754227899E-8</v>
      </c>
      <c r="O173" s="1">
        <v>1.4712563496153601E-11</v>
      </c>
      <c r="P173" s="1">
        <v>7.9130856083500799E-11</v>
      </c>
      <c r="Q173">
        <v>65.928640679442907</v>
      </c>
      <c r="S173">
        <v>20.8261014992692</v>
      </c>
      <c r="AA173">
        <v>1.7981999788269201</v>
      </c>
      <c r="AB173">
        <v>9.1816963165936496</v>
      </c>
      <c r="AC173">
        <v>2.2653615258671498</v>
      </c>
      <c r="AJ173">
        <v>0.78705942727052003</v>
      </c>
      <c r="AK173">
        <v>8.5179165171926904E-2</v>
      </c>
      <c r="AL173">
        <v>0.127761407557552</v>
      </c>
    </row>
    <row r="174" spans="1:38" x14ac:dyDescent="0.2">
      <c r="A174">
        <v>191</v>
      </c>
      <c r="B174">
        <v>795</v>
      </c>
      <c r="C174">
        <v>100</v>
      </c>
      <c r="D174">
        <v>0.51016289846931695</v>
      </c>
      <c r="E174">
        <v>4.4946130486675298</v>
      </c>
      <c r="F174">
        <v>2.5550785937721399</v>
      </c>
      <c r="G174">
        <v>-73.326054132324131</v>
      </c>
      <c r="H174">
        <v>-62.988631043368471</v>
      </c>
      <c r="I174">
        <v>9.6778758497923096</v>
      </c>
      <c r="J174">
        <v>5.4533777264696601</v>
      </c>
      <c r="K174">
        <v>1.7590899393947801</v>
      </c>
      <c r="L174">
        <v>3.0666135717231948E-5</v>
      </c>
      <c r="M174">
        <v>1.8286584331176915E-6</v>
      </c>
      <c r="N174" s="1">
        <v>-1.75583819001046E-8</v>
      </c>
      <c r="O174" s="1">
        <v>1.6089965759379999E-11</v>
      </c>
      <c r="P174" s="1">
        <v>8.8175443423719403E-11</v>
      </c>
      <c r="Q174">
        <v>65.955267704294698</v>
      </c>
      <c r="S174">
        <v>20.8003443938169</v>
      </c>
      <c r="AA174">
        <v>1.77073705086271</v>
      </c>
      <c r="AB174">
        <v>9.1735076131963709</v>
      </c>
      <c r="AC174">
        <v>2.3001432378292099</v>
      </c>
      <c r="AJ174">
        <v>0.78638990462786595</v>
      </c>
      <c r="AK174">
        <v>8.3881728032887903E-2</v>
      </c>
      <c r="AL174">
        <v>0.129728367339245</v>
      </c>
    </row>
    <row r="175" spans="1:38" x14ac:dyDescent="0.2">
      <c r="A175">
        <v>192</v>
      </c>
      <c r="B175">
        <v>794</v>
      </c>
      <c r="C175">
        <v>100</v>
      </c>
      <c r="D175">
        <v>0.50963828890034402</v>
      </c>
      <c r="E175">
        <v>4.8771296394122698</v>
      </c>
      <c r="F175">
        <v>2.5547372034279401</v>
      </c>
      <c r="G175">
        <v>-79.547186125107217</v>
      </c>
      <c r="H175">
        <v>-68.346260590879169</v>
      </c>
      <c r="I175">
        <v>10.4961116377529</v>
      </c>
      <c r="J175">
        <v>5.9174747554979401</v>
      </c>
      <c r="K175">
        <v>1.9090533589396701</v>
      </c>
      <c r="L175">
        <v>3.0679576024918304E-5</v>
      </c>
      <c r="M175">
        <v>1.8292012270643174E-6</v>
      </c>
      <c r="N175" s="1">
        <v>-1.96812027307436E-8</v>
      </c>
      <c r="O175" s="1">
        <v>1.74655684258123E-11</v>
      </c>
      <c r="P175" s="1">
        <v>9.7528980632228803E-11</v>
      </c>
      <c r="Q175">
        <v>65.981025904377404</v>
      </c>
      <c r="S175">
        <v>20.775103408787199</v>
      </c>
      <c r="AA175">
        <v>1.7439026559140101</v>
      </c>
      <c r="AB175">
        <v>9.1647358571738202</v>
      </c>
      <c r="AC175">
        <v>2.3352321737474599</v>
      </c>
      <c r="AJ175">
        <v>0.78567260582500698</v>
      </c>
      <c r="AK175">
        <v>8.2614197360252495E-2</v>
      </c>
      <c r="AL175">
        <v>0.131713196814739</v>
      </c>
    </row>
    <row r="176" spans="1:38" x14ac:dyDescent="0.2">
      <c r="A176">
        <v>193</v>
      </c>
      <c r="B176">
        <v>793</v>
      </c>
      <c r="C176">
        <v>100</v>
      </c>
      <c r="D176">
        <v>0.50911269521174396</v>
      </c>
      <c r="E176">
        <v>5.2588595286619801</v>
      </c>
      <c r="F176">
        <v>2.55440004847109</v>
      </c>
      <c r="G176">
        <v>-85.752403555423882</v>
      </c>
      <c r="H176">
        <v>-73.692353380845731</v>
      </c>
      <c r="I176">
        <v>11.3117761802543</v>
      </c>
      <c r="J176">
        <v>6.3806211026357698</v>
      </c>
      <c r="K176">
        <v>2.0587454701191401</v>
      </c>
      <c r="L176">
        <v>3.0692726632227353E-5</v>
      </c>
      <c r="M176">
        <v>1.8297231730525837E-6</v>
      </c>
      <c r="N176" s="1">
        <v>-2.1914200792489301E-8</v>
      </c>
      <c r="O176" s="1">
        <v>1.88390066147355E-11</v>
      </c>
      <c r="P176" s="1">
        <v>1.0719927055508901E-10</v>
      </c>
      <c r="Q176">
        <v>66.005935562085497</v>
      </c>
      <c r="S176">
        <v>20.750365663260901</v>
      </c>
      <c r="AA176">
        <v>1.7176814344712299</v>
      </c>
      <c r="AB176">
        <v>9.1553924777503308</v>
      </c>
      <c r="AC176">
        <v>2.3706248624319302</v>
      </c>
      <c r="AJ176">
        <v>0.78490845392797304</v>
      </c>
      <c r="AK176">
        <v>8.13758339076633E-2</v>
      </c>
      <c r="AL176">
        <v>0.13371571216436301</v>
      </c>
    </row>
    <row r="177" spans="1:38" x14ac:dyDescent="0.2">
      <c r="A177">
        <v>194</v>
      </c>
      <c r="B177">
        <v>792</v>
      </c>
      <c r="C177">
        <v>100</v>
      </c>
      <c r="D177">
        <v>0.50858611463174297</v>
      </c>
      <c r="E177">
        <v>5.6397256139132299</v>
      </c>
      <c r="F177">
        <v>2.5540670258931102</v>
      </c>
      <c r="G177">
        <v>-91.940447594635671</v>
      </c>
      <c r="H177">
        <v>-79.02582338253255</v>
      </c>
      <c r="I177">
        <v>12.124700006668601</v>
      </c>
      <c r="J177">
        <v>6.8427253166632998</v>
      </c>
      <c r="K177">
        <v>2.2081353217193298</v>
      </c>
      <c r="L177">
        <v>3.0705605900176811E-5</v>
      </c>
      <c r="M177">
        <v>1.8302248089504947E-6</v>
      </c>
      <c r="N177" s="1">
        <v>-2.42604539235843E-8</v>
      </c>
      <c r="O177" s="1">
        <v>2.0209931731168698E-11</v>
      </c>
      <c r="P177" s="1">
        <v>1.1719444898900699E-10</v>
      </c>
      <c r="Q177">
        <v>66.030016882232303</v>
      </c>
      <c r="S177">
        <v>20.726118400657398</v>
      </c>
      <c r="AA177">
        <v>1.6920581477077301</v>
      </c>
      <c r="AB177">
        <v>9.1454890572343803</v>
      </c>
      <c r="AC177">
        <v>2.4063175121681</v>
      </c>
      <c r="AJ177">
        <v>0.784098384071094</v>
      </c>
      <c r="AK177">
        <v>8.0165904727633394E-2</v>
      </c>
      <c r="AL177">
        <v>0.13573571120127101</v>
      </c>
    </row>
    <row r="178" spans="1:38" x14ac:dyDescent="0.2">
      <c r="A178">
        <v>195</v>
      </c>
      <c r="B178">
        <v>791</v>
      </c>
      <c r="C178">
        <v>100</v>
      </c>
      <c r="D178">
        <v>0.50805854437814801</v>
      </c>
      <c r="E178">
        <v>6.6367828031942304</v>
      </c>
      <c r="F178">
        <v>2.5529498438873302</v>
      </c>
      <c r="G178">
        <v>-108.13769891839648</v>
      </c>
      <c r="H178">
        <v>-92.962613403463735</v>
      </c>
      <c r="I178">
        <v>14.260288037337499</v>
      </c>
      <c r="J178">
        <v>8.0507707661988697</v>
      </c>
      <c r="K178">
        <v>2.5996526406834901</v>
      </c>
      <c r="L178">
        <v>3.0701228460506667E-5</v>
      </c>
      <c r="M178">
        <v>1.830926553361008E-6</v>
      </c>
      <c r="N178" s="1">
        <v>-2.92563695017295E-8</v>
      </c>
      <c r="O178" s="1">
        <v>2.38201116564353E-11</v>
      </c>
      <c r="P178" s="1">
        <v>1.3995588919727601E-10</v>
      </c>
      <c r="Q178">
        <v>66.081230532502303</v>
      </c>
      <c r="S178">
        <v>20.6627221571581</v>
      </c>
      <c r="AA178">
        <v>1.62780559254015</v>
      </c>
      <c r="AB178">
        <v>9.09341443648756</v>
      </c>
      <c r="AC178">
        <v>2.5348272813117698</v>
      </c>
      <c r="AJ178">
        <v>0.77983633353052895</v>
      </c>
      <c r="AK178">
        <v>7.7141806955181497E-2</v>
      </c>
      <c r="AL178">
        <v>0.143021859514288</v>
      </c>
    </row>
    <row r="179" spans="1:38" x14ac:dyDescent="0.2">
      <c r="A179">
        <v>196</v>
      </c>
      <c r="B179">
        <v>790</v>
      </c>
      <c r="C179">
        <v>100</v>
      </c>
      <c r="D179">
        <v>0.507529981658283</v>
      </c>
      <c r="E179">
        <v>8.1368116542116304</v>
      </c>
      <c r="F179">
        <v>2.55113498556118</v>
      </c>
      <c r="G179">
        <v>-132.47197146282036</v>
      </c>
      <c r="H179">
        <v>-113.89619579347674</v>
      </c>
      <c r="I179">
        <v>17.472393988941899</v>
      </c>
      <c r="J179">
        <v>9.8660504066767505</v>
      </c>
      <c r="K179">
        <v>3.1894869147513001</v>
      </c>
      <c r="L179">
        <v>3.0673531618429009E-5</v>
      </c>
      <c r="M179">
        <v>1.8315783742307031E-6</v>
      </c>
      <c r="N179" s="1">
        <v>-3.6461795790543298E-8</v>
      </c>
      <c r="O179" s="1">
        <v>2.92809811779791E-11</v>
      </c>
      <c r="P179" s="1">
        <v>1.7324793554237501E-10</v>
      </c>
      <c r="Q179">
        <v>66.148866872495006</v>
      </c>
      <c r="S179">
        <v>20.567653398760701</v>
      </c>
      <c r="AA179">
        <v>1.53359087814678</v>
      </c>
      <c r="AB179">
        <v>8.9949032837251703</v>
      </c>
      <c r="AC179">
        <v>2.7549855668721901</v>
      </c>
      <c r="AJ179">
        <v>0.77176716708069804</v>
      </c>
      <c r="AK179">
        <v>7.2712672587698701E-2</v>
      </c>
      <c r="AL179">
        <v>0.15552016033160199</v>
      </c>
    </row>
    <row r="180" spans="1:38" x14ac:dyDescent="0.2">
      <c r="A180">
        <v>197</v>
      </c>
      <c r="B180">
        <v>789</v>
      </c>
      <c r="C180">
        <v>100</v>
      </c>
      <c r="D180">
        <v>0.50700042366897302</v>
      </c>
      <c r="E180">
        <v>9.8648134266433605</v>
      </c>
      <c r="F180">
        <v>2.5489296434628801</v>
      </c>
      <c r="G180">
        <v>-160.44502790825337</v>
      </c>
      <c r="H180">
        <v>-137.96170275883833</v>
      </c>
      <c r="I180">
        <v>21.167749516937398</v>
      </c>
      <c r="J180">
        <v>11.9538392752377</v>
      </c>
      <c r="K180">
        <v>3.8701787834525598</v>
      </c>
      <c r="L180">
        <v>3.0622594983104878E-5</v>
      </c>
      <c r="M180">
        <v>1.8319133504800129E-6</v>
      </c>
      <c r="N180" s="1">
        <v>-4.46347925253911E-8</v>
      </c>
      <c r="O180" s="1">
        <v>3.5613134728497003E-11</v>
      </c>
      <c r="P180" s="1">
        <v>2.11171592478838E-10</v>
      </c>
      <c r="Q180">
        <v>66.215897421238196</v>
      </c>
      <c r="S180">
        <v>20.458735322156201</v>
      </c>
      <c r="AA180">
        <v>1.4280916875331899</v>
      </c>
      <c r="AB180">
        <v>8.8587343694300298</v>
      </c>
      <c r="AC180">
        <v>3.0385411996423102</v>
      </c>
      <c r="AJ180">
        <v>0.76059994089497995</v>
      </c>
      <c r="AK180">
        <v>6.7756581948576297E-2</v>
      </c>
      <c r="AL180">
        <v>0.17164347715644299</v>
      </c>
    </row>
    <row r="181" spans="1:38" x14ac:dyDescent="0.2">
      <c r="A181">
        <v>198</v>
      </c>
      <c r="B181">
        <v>788</v>
      </c>
      <c r="C181">
        <v>100</v>
      </c>
      <c r="D181">
        <v>0.50646986759647905</v>
      </c>
      <c r="E181">
        <v>12.0549401058753</v>
      </c>
      <c r="F181">
        <v>2.5459861833464101</v>
      </c>
      <c r="G181">
        <v>-195.8005557047976</v>
      </c>
      <c r="H181">
        <v>-168.37619591349517</v>
      </c>
      <c r="I181">
        <v>25.843999237904502</v>
      </c>
      <c r="J181">
        <v>14.5935856350586</v>
      </c>
      <c r="K181">
        <v>4.7348804108710798</v>
      </c>
      <c r="L181">
        <v>3.0528527706381234E-5</v>
      </c>
      <c r="M181">
        <v>1.8316923158967508E-6</v>
      </c>
      <c r="N181" s="1">
        <v>-5.4371325071489599E-8</v>
      </c>
      <c r="O181" s="1">
        <v>4.3706936433266302E-11</v>
      </c>
      <c r="P181" s="1">
        <v>2.5731664649664998E-10</v>
      </c>
      <c r="Q181">
        <v>66.283249337627396</v>
      </c>
      <c r="S181">
        <v>20.3226743346337</v>
      </c>
      <c r="AA181">
        <v>1.30012433074436</v>
      </c>
      <c r="AB181">
        <v>8.6521229359125904</v>
      </c>
      <c r="AC181">
        <v>3.4418290610818598</v>
      </c>
      <c r="AJ181">
        <v>0.74362620949188296</v>
      </c>
      <c r="AK181">
        <v>6.1748680673102303E-2</v>
      </c>
      <c r="AL181">
        <v>0.19462510983501299</v>
      </c>
    </row>
    <row r="182" spans="1:38" x14ac:dyDescent="0.2">
      <c r="A182">
        <v>199</v>
      </c>
      <c r="B182">
        <v>787</v>
      </c>
      <c r="C182">
        <v>100</v>
      </c>
      <c r="D182">
        <v>0.50593831061642502</v>
      </c>
      <c r="E182">
        <v>14.3067011497774</v>
      </c>
      <c r="F182">
        <v>2.5425703583227799</v>
      </c>
      <c r="G182">
        <v>-231.97762098735222</v>
      </c>
      <c r="H182">
        <v>-199.49959761182842</v>
      </c>
      <c r="I182">
        <v>30.635309508582498</v>
      </c>
      <c r="J182">
        <v>17.295637986567399</v>
      </c>
      <c r="K182">
        <v>5.6268653895638501</v>
      </c>
      <c r="L182">
        <v>3.0375060419993044E-5</v>
      </c>
      <c r="M182">
        <v>1.8302851026648968E-6</v>
      </c>
      <c r="N182" s="1">
        <v>-6.32730883696514E-8</v>
      </c>
      <c r="O182" s="1">
        <v>5.2129508146617097E-11</v>
      </c>
      <c r="P182" s="1">
        <v>3.0135350059679502E-10</v>
      </c>
      <c r="Q182">
        <v>66.322491684861006</v>
      </c>
      <c r="S182">
        <v>20.178600836287</v>
      </c>
      <c r="AA182">
        <v>1.172105554164</v>
      </c>
      <c r="AB182">
        <v>8.3618649958836109</v>
      </c>
      <c r="AC182">
        <v>3.9649369288042999</v>
      </c>
      <c r="AJ182">
        <v>0.71972068061772798</v>
      </c>
      <c r="AK182">
        <v>5.5749162141719801E-2</v>
      </c>
      <c r="AL182">
        <v>0.224530157240551</v>
      </c>
    </row>
    <row r="183" spans="1:38" x14ac:dyDescent="0.2">
      <c r="A183">
        <v>199</v>
      </c>
      <c r="B183">
        <v>787</v>
      </c>
      <c r="C183">
        <v>100</v>
      </c>
      <c r="D183">
        <v>0.50593831061642502</v>
      </c>
      <c r="E183">
        <v>1.7285026098604801</v>
      </c>
      <c r="F183">
        <v>2.5247242670706802</v>
      </c>
      <c r="G183">
        <v>-27.779133001910566</v>
      </c>
      <c r="H183">
        <v>-23.877186115517613</v>
      </c>
      <c r="I183">
        <v>3.68056113417247</v>
      </c>
      <c r="J183">
        <v>2.0722009790288101</v>
      </c>
      <c r="K183">
        <v>0.68463025147137102</v>
      </c>
      <c r="L183">
        <v>2.9406678306419401E-5</v>
      </c>
      <c r="M183">
        <v>1.8203152071819124E-6</v>
      </c>
      <c r="N183" s="1">
        <v>-5.2462008290272804E-9</v>
      </c>
      <c r="O183" s="1">
        <v>6.4784261420315503E-12</v>
      </c>
      <c r="P183" s="1">
        <v>2.9120911738469299E-11</v>
      </c>
      <c r="Q183">
        <v>66.449341059471394</v>
      </c>
      <c r="S183">
        <v>19.432323220400001</v>
      </c>
      <c r="AA183">
        <v>0.52682031236235305</v>
      </c>
      <c r="AB183">
        <v>6.6880782330548101</v>
      </c>
      <c r="AC183">
        <v>6.9034371747112502</v>
      </c>
      <c r="AJ183">
        <v>0.58050413012831803</v>
      </c>
      <c r="AK183">
        <v>2.5268372540669E-2</v>
      </c>
      <c r="AL183">
        <v>0.39422749733101198</v>
      </c>
    </row>
    <row r="184" spans="1:38" x14ac:dyDescent="0.2">
      <c r="A184">
        <v>200</v>
      </c>
      <c r="B184">
        <v>786</v>
      </c>
      <c r="C184">
        <v>100</v>
      </c>
      <c r="D184">
        <v>0.50540574989378495</v>
      </c>
      <c r="E184">
        <v>11.863398925408401</v>
      </c>
      <c r="F184">
        <v>2.5457128878968298</v>
      </c>
      <c r="G184">
        <v>-192.52533845144947</v>
      </c>
      <c r="H184">
        <v>-165.62687186150373</v>
      </c>
      <c r="I184">
        <v>25.3962768162637</v>
      </c>
      <c r="J184">
        <v>14.352399854495999</v>
      </c>
      <c r="K184">
        <v>4.6601480401858897</v>
      </c>
      <c r="L184">
        <v>3.042799556797733E-5</v>
      </c>
      <c r="M184">
        <v>1.8289145768921852E-6</v>
      </c>
      <c r="N184" s="1">
        <v>-5.5511485438768598E-8</v>
      </c>
      <c r="O184" s="1">
        <v>4.3003603683212902E-11</v>
      </c>
      <c r="P184" s="1">
        <v>2.59066931209597E-10</v>
      </c>
      <c r="Q184">
        <v>66.191727423706595</v>
      </c>
      <c r="S184">
        <v>20.338325565072999</v>
      </c>
      <c r="AA184">
        <v>1.33439214354128</v>
      </c>
      <c r="AB184">
        <v>8.4892029933445805</v>
      </c>
      <c r="AC184">
        <v>3.6463518743344201</v>
      </c>
      <c r="AJ184">
        <v>0.73021504469252596</v>
      </c>
      <c r="AK184">
        <v>6.3427577500222501E-2</v>
      </c>
      <c r="AL184">
        <v>0.20635737780725</v>
      </c>
    </row>
    <row r="185" spans="1:38" x14ac:dyDescent="0.2">
      <c r="A185">
        <v>200</v>
      </c>
      <c r="B185">
        <v>786</v>
      </c>
      <c r="C185">
        <v>100</v>
      </c>
      <c r="D185">
        <v>0.50540574989378495</v>
      </c>
      <c r="E185">
        <v>11.568041342156899</v>
      </c>
      <c r="F185">
        <v>2.5233386056071501</v>
      </c>
      <c r="G185">
        <v>-185.67268827254622</v>
      </c>
      <c r="H185">
        <v>-159.62460188214342</v>
      </c>
      <c r="I185">
        <v>24.5933875186733</v>
      </c>
      <c r="J185">
        <v>13.851448088630001</v>
      </c>
      <c r="K185">
        <v>4.5844189584589801</v>
      </c>
      <c r="L185">
        <v>2.9252506977958665E-5</v>
      </c>
      <c r="M185">
        <v>1.8177743115678931E-6</v>
      </c>
      <c r="N185" s="1">
        <v>-3.4018015661065602E-8</v>
      </c>
      <c r="O185" s="1">
        <v>4.3462227538137499E-11</v>
      </c>
      <c r="P185" s="1">
        <v>1.9151371172678699E-10</v>
      </c>
      <c r="Q185">
        <v>66.397391793526793</v>
      </c>
      <c r="S185">
        <v>19.3802606678315</v>
      </c>
      <c r="AA185">
        <v>0.49598982443163903</v>
      </c>
      <c r="AB185">
        <v>6.4358233291537301</v>
      </c>
      <c r="AC185">
        <v>7.2905343850561497</v>
      </c>
      <c r="AJ185">
        <v>0.55931848165954601</v>
      </c>
      <c r="AK185">
        <v>2.3819827573582E-2</v>
      </c>
      <c r="AL185">
        <v>0.41686169076687102</v>
      </c>
    </row>
    <row r="186" spans="1:38" x14ac:dyDescent="0.2">
      <c r="A186">
        <v>201</v>
      </c>
      <c r="B186">
        <v>785</v>
      </c>
      <c r="C186">
        <v>100</v>
      </c>
      <c r="D186">
        <v>0.50487218258281097</v>
      </c>
      <c r="E186">
        <v>11.291123496183699</v>
      </c>
      <c r="F186">
        <v>2.5479717687594001</v>
      </c>
      <c r="G186">
        <v>-183.3335077656607</v>
      </c>
      <c r="H186">
        <v>-157.76766164240743</v>
      </c>
      <c r="I186">
        <v>24.1608903494336</v>
      </c>
      <c r="J186">
        <v>13.6664003124614</v>
      </c>
      <c r="K186">
        <v>4.4314162482582304</v>
      </c>
      <c r="L186">
        <v>3.0455142998786368E-5</v>
      </c>
      <c r="M186">
        <v>1.8275508689269973E-6</v>
      </c>
      <c r="N186" s="1">
        <v>-5.53082934135031E-8</v>
      </c>
      <c r="O186" s="1">
        <v>4.0771197999734299E-11</v>
      </c>
      <c r="P186" s="1">
        <v>2.5399433858564302E-10</v>
      </c>
      <c r="Q186">
        <v>66.084377424310702</v>
      </c>
      <c r="S186">
        <v>20.457522420690299</v>
      </c>
      <c r="AA186">
        <v>1.4577794246942499</v>
      </c>
      <c r="AB186">
        <v>8.56246932921702</v>
      </c>
      <c r="AC186">
        <v>3.43785140108761</v>
      </c>
      <c r="AJ186">
        <v>0.73624663894957598</v>
      </c>
      <c r="AK186">
        <v>6.9267083645637204E-2</v>
      </c>
      <c r="AL186">
        <v>0.194486277404786</v>
      </c>
    </row>
    <row r="187" spans="1:38" x14ac:dyDescent="0.2">
      <c r="A187">
        <v>201</v>
      </c>
      <c r="B187">
        <v>785</v>
      </c>
      <c r="C187">
        <v>100</v>
      </c>
      <c r="D187">
        <v>0.50487218258281097</v>
      </c>
      <c r="E187">
        <v>17.907530323473399</v>
      </c>
      <c r="F187">
        <v>2.5224846668283099</v>
      </c>
      <c r="G187">
        <v>-287.15846232550308</v>
      </c>
      <c r="H187">
        <v>-246.92523870923003</v>
      </c>
      <c r="I187">
        <v>38.022230890018399</v>
      </c>
      <c r="J187">
        <v>21.4245180769508</v>
      </c>
      <c r="K187">
        <v>7.0991632016497999</v>
      </c>
      <c r="L187">
        <v>2.9147919624795572E-5</v>
      </c>
      <c r="M187">
        <v>1.8160306450055207E-6</v>
      </c>
      <c r="N187" s="1">
        <v>-5.2077602477094501E-8</v>
      </c>
      <c r="O187" s="1">
        <v>6.7383812858387598E-11</v>
      </c>
      <c r="P187" s="1">
        <v>2.9458352303979801E-10</v>
      </c>
      <c r="Q187">
        <v>66.358855274981494</v>
      </c>
      <c r="S187">
        <v>19.3465592154168</v>
      </c>
      <c r="AA187">
        <v>0.477177750888858</v>
      </c>
      <c r="AB187">
        <v>6.26159402482822</v>
      </c>
      <c r="AC187">
        <v>7.5558137338844702</v>
      </c>
      <c r="AJ187">
        <v>0.54465435031151799</v>
      </c>
      <c r="AK187">
        <v>2.2936494679251899E-2</v>
      </c>
      <c r="AL187">
        <v>0.432409155009229</v>
      </c>
    </row>
    <row r="188" spans="1:38" x14ac:dyDescent="0.2">
      <c r="A188">
        <v>202</v>
      </c>
      <c r="B188">
        <v>784</v>
      </c>
      <c r="C188">
        <v>100</v>
      </c>
      <c r="D188">
        <v>0.50433760582698905</v>
      </c>
      <c r="E188">
        <v>11.7160828920138</v>
      </c>
      <c r="F188">
        <v>2.5514125411662301</v>
      </c>
      <c r="G188">
        <v>-190.38050650088888</v>
      </c>
      <c r="H188">
        <v>-163.89062466871226</v>
      </c>
      <c r="I188">
        <v>25.057827018092599</v>
      </c>
      <c r="J188">
        <v>14.188087037149099</v>
      </c>
      <c r="K188">
        <v>4.5919986293782404</v>
      </c>
      <c r="L188">
        <v>3.046076291149902E-5</v>
      </c>
      <c r="M188">
        <v>1.8245415013608345E-6</v>
      </c>
      <c r="N188" s="1">
        <v>-6.0074311325944699E-8</v>
      </c>
      <c r="O188" s="1">
        <v>4.2057716641976303E-11</v>
      </c>
      <c r="P188" s="1">
        <v>2.7166714171798298E-10</v>
      </c>
      <c r="Q188">
        <v>65.890193029346605</v>
      </c>
      <c r="S188">
        <v>20.652543437727498</v>
      </c>
      <c r="AA188">
        <v>1.66398403449957</v>
      </c>
      <c r="AB188">
        <v>8.6410127674158304</v>
      </c>
      <c r="AC188">
        <v>3.1522667310103398</v>
      </c>
      <c r="AJ188">
        <v>0.74270656676859304</v>
      </c>
      <c r="AK188">
        <v>7.9033745175740702E-2</v>
      </c>
      <c r="AL188">
        <v>0.178259688055666</v>
      </c>
    </row>
    <row r="189" spans="1:38" x14ac:dyDescent="0.2">
      <c r="A189">
        <v>202</v>
      </c>
      <c r="B189">
        <v>784</v>
      </c>
      <c r="C189">
        <v>100</v>
      </c>
      <c r="D189">
        <v>0.50433760582698905</v>
      </c>
      <c r="E189">
        <v>27.914281071440499</v>
      </c>
      <c r="F189">
        <v>2.5213859743327101</v>
      </c>
      <c r="G189">
        <v>-447.05884904125293</v>
      </c>
      <c r="H189">
        <v>-384.50576116145038</v>
      </c>
      <c r="I189">
        <v>59.171440079272102</v>
      </c>
      <c r="J189">
        <v>33.3558838105752</v>
      </c>
      <c r="K189">
        <v>11.071006722335699</v>
      </c>
      <c r="L189">
        <v>2.8991330086748287E-5</v>
      </c>
      <c r="M189">
        <v>1.8133843383416848E-6</v>
      </c>
      <c r="N189" s="1">
        <v>-7.8244745888671299E-8</v>
      </c>
      <c r="O189" s="1">
        <v>1.05269654947583E-10</v>
      </c>
      <c r="P189" s="1">
        <v>4.5018508065737902E-10</v>
      </c>
      <c r="Q189">
        <v>66.295950415338694</v>
      </c>
      <c r="S189">
        <v>19.3040620407135</v>
      </c>
      <c r="AA189">
        <v>0.45679513565545399</v>
      </c>
      <c r="AB189">
        <v>6.0100020494436004</v>
      </c>
      <c r="AC189">
        <v>7.9331903588486599</v>
      </c>
      <c r="AJ189">
        <v>0.52343337663942202</v>
      </c>
      <c r="AK189">
        <v>2.1984624522038702E-2</v>
      </c>
      <c r="AL189">
        <v>0.454581998838538</v>
      </c>
    </row>
    <row r="190" spans="1:38" x14ac:dyDescent="0.2">
      <c r="A190">
        <v>203</v>
      </c>
      <c r="B190">
        <v>783</v>
      </c>
      <c r="C190">
        <v>100</v>
      </c>
      <c r="D190">
        <v>0.50380201675898495</v>
      </c>
      <c r="E190">
        <v>12.6826194154073</v>
      </c>
      <c r="F190">
        <v>2.5539364380488601</v>
      </c>
      <c r="G190">
        <v>-206.18444630827929</v>
      </c>
      <c r="H190">
        <v>-177.55289805441851</v>
      </c>
      <c r="I190">
        <v>27.109357812678802</v>
      </c>
      <c r="J190">
        <v>15.363436887612799</v>
      </c>
      <c r="K190">
        <v>4.9659103595767098</v>
      </c>
      <c r="L190">
        <v>3.0453434271085731E-5</v>
      </c>
      <c r="M190">
        <v>1.821919270652664E-6</v>
      </c>
      <c r="N190" s="1">
        <v>-6.7596070399910401E-8</v>
      </c>
      <c r="O190" s="1">
        <v>4.5323379551481299E-11</v>
      </c>
      <c r="P190" s="1">
        <v>3.0178773063365599E-10</v>
      </c>
      <c r="Q190">
        <v>65.7333146572592</v>
      </c>
      <c r="S190">
        <v>20.800991798172301</v>
      </c>
      <c r="AA190">
        <v>1.82306087531803</v>
      </c>
      <c r="AB190">
        <v>8.6805944032108204</v>
      </c>
      <c r="AC190">
        <v>2.9620382660395101</v>
      </c>
      <c r="AJ190">
        <v>0.74595920132341398</v>
      </c>
      <c r="AK190">
        <v>8.6572024149092403E-2</v>
      </c>
      <c r="AL190">
        <v>0.16746877452749301</v>
      </c>
    </row>
    <row r="191" spans="1:38" x14ac:dyDescent="0.2">
      <c r="A191">
        <v>203</v>
      </c>
      <c r="B191">
        <v>783</v>
      </c>
      <c r="C191">
        <v>100</v>
      </c>
      <c r="D191">
        <v>0.50380201675898495</v>
      </c>
      <c r="E191">
        <v>34.919664799034699</v>
      </c>
      <c r="F191">
        <v>2.5207010258975302</v>
      </c>
      <c r="G191">
        <v>-558.73644445837681</v>
      </c>
      <c r="H191">
        <v>-480.66418464675843</v>
      </c>
      <c r="I191">
        <v>73.921563993389498</v>
      </c>
      <c r="J191">
        <v>41.6913845043983</v>
      </c>
      <c r="K191">
        <v>13.8531561023192</v>
      </c>
      <c r="L191">
        <v>2.8883093415160686E-5</v>
      </c>
      <c r="M191">
        <v>1.8115550651809873E-6</v>
      </c>
      <c r="N191" s="1">
        <v>-9.6351675621612294E-8</v>
      </c>
      <c r="O191" s="1">
        <v>1.3187876924584399E-10</v>
      </c>
      <c r="P191" s="1">
        <v>5.58339721083331E-10</v>
      </c>
      <c r="Q191">
        <v>66.250209894443501</v>
      </c>
      <c r="S191">
        <v>19.275392334866201</v>
      </c>
      <c r="AA191">
        <v>0.44381526001504001</v>
      </c>
      <c r="AB191">
        <v>5.8329103899427599</v>
      </c>
      <c r="AC191">
        <v>8.1976721207323795</v>
      </c>
      <c r="AJ191">
        <v>0.50846392630908899</v>
      </c>
      <c r="AK191">
        <v>2.1379023436437598E-2</v>
      </c>
      <c r="AL191">
        <v>0.47015705025447202</v>
      </c>
    </row>
    <row r="192" spans="1:38" x14ac:dyDescent="0.2">
      <c r="A192">
        <v>204</v>
      </c>
      <c r="B192">
        <v>782</v>
      </c>
      <c r="C192">
        <v>100</v>
      </c>
      <c r="D192">
        <v>0.50326541250059598</v>
      </c>
      <c r="E192">
        <v>13.419031171224599</v>
      </c>
      <c r="F192">
        <v>2.5553849320595199</v>
      </c>
      <c r="G192">
        <v>-218.2004809715032</v>
      </c>
      <c r="H192">
        <v>-187.95260501093281</v>
      </c>
      <c r="I192">
        <v>28.666896612396702</v>
      </c>
      <c r="J192">
        <v>16.258828885097198</v>
      </c>
      <c r="K192">
        <v>5.2512758461049298</v>
      </c>
      <c r="L192">
        <v>3.0453123743542104E-5</v>
      </c>
      <c r="M192">
        <v>1.8204035832500206E-6</v>
      </c>
      <c r="N192" s="1">
        <v>-7.4086320681067497E-8</v>
      </c>
      <c r="O192" s="1">
        <v>4.78234561830689E-11</v>
      </c>
      <c r="P192" s="1">
        <v>3.26944039965256E-10</v>
      </c>
      <c r="Q192">
        <v>65.642154349739101</v>
      </c>
      <c r="S192">
        <v>20.885768436844302</v>
      </c>
      <c r="AA192">
        <v>1.9142734817843601</v>
      </c>
      <c r="AB192">
        <v>8.6997015257162502</v>
      </c>
      <c r="AC192">
        <v>2.85810220591588</v>
      </c>
      <c r="AJ192">
        <v>0.74752863772316003</v>
      </c>
      <c r="AK192">
        <v>9.0894636191342096E-2</v>
      </c>
      <c r="AL192">
        <v>0.161576726085496</v>
      </c>
    </row>
    <row r="193" spans="1:38" x14ac:dyDescent="0.2">
      <c r="A193">
        <v>204</v>
      </c>
      <c r="B193">
        <v>782</v>
      </c>
      <c r="C193">
        <v>100</v>
      </c>
      <c r="D193">
        <v>0.50326541250059598</v>
      </c>
      <c r="E193">
        <v>38.643767275670001</v>
      </c>
      <c r="F193">
        <v>2.5203474470923801</v>
      </c>
      <c r="G193">
        <v>-617.96348753311042</v>
      </c>
      <c r="H193">
        <v>-531.73360196783335</v>
      </c>
      <c r="I193">
        <v>81.722869322159994</v>
      </c>
      <c r="J193">
        <v>46.116074299718903</v>
      </c>
      <c r="K193">
        <v>15.3327142732846</v>
      </c>
      <c r="L193">
        <v>2.8825407569414073E-5</v>
      </c>
      <c r="M193">
        <v>1.8105884865215826E-6</v>
      </c>
      <c r="N193" s="1">
        <v>-1.07551736266548E-7</v>
      </c>
      <c r="O193" s="1">
        <v>1.4604904036536099E-10</v>
      </c>
      <c r="P193" s="1">
        <v>6.2040746904514999E-10</v>
      </c>
      <c r="Q193">
        <v>66.225281828935096</v>
      </c>
      <c r="S193">
        <v>19.258309146525701</v>
      </c>
      <c r="AA193">
        <v>0.43553807801419497</v>
      </c>
      <c r="AB193">
        <v>5.7325737333462099</v>
      </c>
      <c r="AC193">
        <v>8.3482972131786699</v>
      </c>
      <c r="AJ193">
        <v>0.499970656458611</v>
      </c>
      <c r="AK193">
        <v>2.0990935170000901E-2</v>
      </c>
      <c r="AL193">
        <v>0.479038408371387</v>
      </c>
    </row>
    <row r="194" spans="1:38" x14ac:dyDescent="0.2">
      <c r="A194">
        <v>205</v>
      </c>
      <c r="B194">
        <v>781</v>
      </c>
      <c r="C194">
        <v>100</v>
      </c>
      <c r="D194">
        <v>0.50272779016268998</v>
      </c>
      <c r="E194">
        <v>14.146147940642001</v>
      </c>
      <c r="F194">
        <v>2.5566375345334</v>
      </c>
      <c r="G194">
        <v>-230.05766495804994</v>
      </c>
      <c r="H194">
        <v>-198.21962063888071</v>
      </c>
      <c r="I194">
        <v>30.202574888933398</v>
      </c>
      <c r="J194">
        <v>17.1428968429822</v>
      </c>
      <c r="K194">
        <v>5.5331065704719897</v>
      </c>
      <c r="L194">
        <v>3.0453024439153512E-5</v>
      </c>
      <c r="M194">
        <v>1.8190464408436636E-6</v>
      </c>
      <c r="N194" s="1">
        <v>-8.0818006237373199E-8</v>
      </c>
      <c r="O194" s="1">
        <v>5.0291359924141597E-11</v>
      </c>
      <c r="P194" s="1">
        <v>3.5272317882352898E-10</v>
      </c>
      <c r="Q194">
        <v>65.561489670228795</v>
      </c>
      <c r="S194">
        <v>20.959584659990298</v>
      </c>
      <c r="AA194">
        <v>1.9939946219043401</v>
      </c>
      <c r="AB194">
        <v>8.7134634382358005</v>
      </c>
      <c r="AC194">
        <v>2.7714676096406499</v>
      </c>
      <c r="AJ194">
        <v>0.74865861068911199</v>
      </c>
      <c r="AK194">
        <v>9.4673358475057798E-2</v>
      </c>
      <c r="AL194">
        <v>0.156668030835829</v>
      </c>
    </row>
    <row r="195" spans="1:38" x14ac:dyDescent="0.2">
      <c r="A195">
        <v>205</v>
      </c>
      <c r="B195">
        <v>781</v>
      </c>
      <c r="C195">
        <v>100</v>
      </c>
      <c r="D195">
        <v>0.50272779016268998</v>
      </c>
      <c r="E195">
        <v>41.776676903754598</v>
      </c>
      <c r="F195">
        <v>2.5200649927165499</v>
      </c>
      <c r="G195">
        <v>-667.71660200990277</v>
      </c>
      <c r="H195">
        <v>-574.67214746124546</v>
      </c>
      <c r="I195">
        <v>88.264909688998202</v>
      </c>
      <c r="J195">
        <v>49.835087525152097</v>
      </c>
      <c r="K195">
        <v>16.577618840981</v>
      </c>
      <c r="L195">
        <v>2.877731634841257E-5</v>
      </c>
      <c r="M195">
        <v>1.8097849000487888E-6</v>
      </c>
      <c r="N195" s="1">
        <v>-1.17817953044521E-7</v>
      </c>
      <c r="O195" s="1">
        <v>1.57981137879128E-10</v>
      </c>
      <c r="P195" s="1">
        <v>6.7507068447393296E-10</v>
      </c>
      <c r="Q195">
        <v>66.204070764825602</v>
      </c>
      <c r="S195">
        <v>19.243660813350399</v>
      </c>
      <c r="AA195">
        <v>0.42840236499378898</v>
      </c>
      <c r="AB195">
        <v>5.6469035044378098</v>
      </c>
      <c r="AC195">
        <v>8.4769625523922407</v>
      </c>
      <c r="AJ195">
        <v>0.49271205157702502</v>
      </c>
      <c r="AK195">
        <v>2.0655964029829599E-2</v>
      </c>
      <c r="AL195">
        <v>0.48663198439314398</v>
      </c>
    </row>
    <row r="196" spans="1:38" x14ac:dyDescent="0.2">
      <c r="A196">
        <v>206</v>
      </c>
      <c r="B196">
        <v>780</v>
      </c>
      <c r="C196">
        <v>100</v>
      </c>
      <c r="D196">
        <v>0.50218914684517901</v>
      </c>
      <c r="E196">
        <v>14.577545465237201</v>
      </c>
      <c r="F196">
        <v>2.5573125884975498</v>
      </c>
      <c r="G196">
        <v>-237.07799365742341</v>
      </c>
      <c r="H196">
        <v>-204.31844279128813</v>
      </c>
      <c r="I196">
        <v>31.1062534929831</v>
      </c>
      <c r="J196">
        <v>17.6684074953234</v>
      </c>
      <c r="K196">
        <v>5.7003377415827199</v>
      </c>
      <c r="L196">
        <v>3.0463193184600149E-5</v>
      </c>
      <c r="M196">
        <v>1.8184701173586261E-6</v>
      </c>
      <c r="N196" s="1">
        <v>-8.6121953270544398E-8</v>
      </c>
      <c r="O196" s="1">
        <v>5.1748041632886597E-11</v>
      </c>
      <c r="P196" s="1">
        <v>3.7185435310820901E-10</v>
      </c>
      <c r="Q196">
        <v>65.522340423836297</v>
      </c>
      <c r="S196">
        <v>20.996557528928999</v>
      </c>
      <c r="AA196">
        <v>2.03363255879191</v>
      </c>
      <c r="AB196">
        <v>8.7231506244727193</v>
      </c>
      <c r="AC196">
        <v>2.7243188639698799</v>
      </c>
      <c r="AJ196">
        <v>0.74945418337722303</v>
      </c>
      <c r="AK196">
        <v>9.6550603617677394E-2</v>
      </c>
      <c r="AL196">
        <v>0.153995213005098</v>
      </c>
    </row>
    <row r="197" spans="1:38" x14ac:dyDescent="0.2">
      <c r="A197">
        <v>206</v>
      </c>
      <c r="B197">
        <v>780</v>
      </c>
      <c r="C197">
        <v>100</v>
      </c>
      <c r="D197">
        <v>0.50218914684517901</v>
      </c>
      <c r="E197">
        <v>43.232333850274699</v>
      </c>
      <c r="F197">
        <v>2.5199209684407302</v>
      </c>
      <c r="G197">
        <v>-690.74025817003701</v>
      </c>
      <c r="H197">
        <v>-594.61883389215393</v>
      </c>
      <c r="I197">
        <v>91.270402390811199</v>
      </c>
      <c r="J197">
        <v>51.561164428898003</v>
      </c>
      <c r="K197">
        <v>17.1562260847513</v>
      </c>
      <c r="L197">
        <v>2.8754748266505353E-5</v>
      </c>
      <c r="M197">
        <v>1.8094144115384081E-6</v>
      </c>
      <c r="N197" s="1">
        <v>-1.2512324726285899E-7</v>
      </c>
      <c r="O197" s="1">
        <v>1.6352345962750201E-10</v>
      </c>
      <c r="P197" s="1">
        <v>7.0789688312206104E-10</v>
      </c>
      <c r="Q197">
        <v>66.193997066765604</v>
      </c>
      <c r="S197">
        <v>19.234127128882299</v>
      </c>
      <c r="AA197">
        <v>0.422887537416479</v>
      </c>
      <c r="AB197">
        <v>5.5994610151444304</v>
      </c>
      <c r="AC197">
        <v>8.5495272517910799</v>
      </c>
      <c r="AJ197">
        <v>0.48868969128995599</v>
      </c>
      <c r="AK197">
        <v>2.0394949272405399E-2</v>
      </c>
      <c r="AL197">
        <v>0.49091535943763798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577F-409A-4AA4-B171-F8C47060781F}">
  <sheetPr codeName="Sheet13"/>
  <dimension ref="A1:AJ15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300</v>
      </c>
      <c r="D2">
        <v>0.27517903123937498</v>
      </c>
      <c r="E2">
        <v>0.17136324309975901</v>
      </c>
      <c r="F2">
        <v>2.5446339321928</v>
      </c>
      <c r="G2">
        <v>-2.792309032146953</v>
      </c>
      <c r="H2">
        <v>-2.4452654638773166</v>
      </c>
      <c r="I2">
        <v>0.33721378639618699</v>
      </c>
      <c r="J2">
        <v>0.198564582930495</v>
      </c>
      <c r="K2">
        <v>6.7342984360854299E-2</v>
      </c>
      <c r="L2">
        <v>0</v>
      </c>
      <c r="M2">
        <v>1.2383389820830548E-6</v>
      </c>
      <c r="N2">
        <v>0</v>
      </c>
      <c r="O2" s="1">
        <v>9.5807044107021199E-14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300</v>
      </c>
      <c r="D3">
        <v>0.27440597189125798</v>
      </c>
      <c r="E3">
        <v>0.38815226296131999</v>
      </c>
      <c r="F3">
        <v>2.5446339321928</v>
      </c>
      <c r="G3">
        <v>-6.3240529139943265</v>
      </c>
      <c r="H3">
        <v>-5.5391831677257413</v>
      </c>
      <c r="I3">
        <v>0.76338058286104604</v>
      </c>
      <c r="J3">
        <v>0.44970848318801199</v>
      </c>
      <c r="K3">
        <v>0.152537564657418</v>
      </c>
      <c r="L3">
        <v>0</v>
      </c>
      <c r="M3">
        <v>1.2383389820830548E-6</v>
      </c>
      <c r="N3">
        <v>0</v>
      </c>
      <c r="O3" s="1">
        <v>2.17011071365674E-13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0.60387494773169104</v>
      </c>
      <c r="F4">
        <v>2.5446339321928</v>
      </c>
      <c r="G4">
        <v>-9.8375731200235954</v>
      </c>
      <c r="H4">
        <v>-8.6183846276562992</v>
      </c>
      <c r="I4">
        <v>1.1869624615365699</v>
      </c>
      <c r="J4">
        <v>0.69955310071170695</v>
      </c>
      <c r="K4">
        <v>0.23731309250101401</v>
      </c>
      <c r="L4">
        <v>0</v>
      </c>
      <c r="M4">
        <v>1.2383389820830548E-6</v>
      </c>
      <c r="N4">
        <v>0</v>
      </c>
      <c r="O4" s="1">
        <v>3.3761892402313202E-13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300</v>
      </c>
      <c r="D5">
        <v>0.27285533304097898</v>
      </c>
      <c r="E5">
        <v>0.81854041426747204</v>
      </c>
      <c r="F5">
        <v>2.5446339321928</v>
      </c>
      <c r="G5">
        <v>-13.333025172457052</v>
      </c>
      <c r="H5">
        <v>-11.682996166522949</v>
      </c>
      <c r="I5">
        <v>1.6079803205516701</v>
      </c>
      <c r="J5">
        <v>0.94810925933009105</v>
      </c>
      <c r="K5">
        <v>0.321673150668908</v>
      </c>
      <c r="L5">
        <v>0</v>
      </c>
      <c r="M5">
        <v>1.2383389820830548E-6</v>
      </c>
      <c r="N5">
        <v>0</v>
      </c>
      <c r="O5" s="1">
        <v>4.5763569919979696E-13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300</v>
      </c>
      <c r="D6">
        <v>0.27207774472028401</v>
      </c>
      <c r="E6">
        <v>1.0321576825457299</v>
      </c>
      <c r="F6">
        <v>2.5446339321928</v>
      </c>
      <c r="G6">
        <v>-16.810562937646523</v>
      </c>
      <c r="H6">
        <v>-14.733142767214421</v>
      </c>
      <c r="I6">
        <v>2.02645483142184</v>
      </c>
      <c r="J6">
        <v>1.19538766642836</v>
      </c>
      <c r="K6">
        <v>0.405621283866274</v>
      </c>
      <c r="L6">
        <v>0</v>
      </c>
      <c r="M6">
        <v>1.238338982083055E-6</v>
      </c>
      <c r="N6">
        <v>0</v>
      </c>
      <c r="O6" s="1">
        <v>5.7706643985193403E-13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300</v>
      </c>
      <c r="D7">
        <v>0.27129863789483999</v>
      </c>
      <c r="E7">
        <v>1.24473567421856</v>
      </c>
      <c r="F7">
        <v>2.5446339321928</v>
      </c>
      <c r="G7">
        <v>-20.270338603579791</v>
      </c>
      <c r="H7">
        <v>-17.768948051447957</v>
      </c>
      <c r="I7">
        <v>2.4424064366858702</v>
      </c>
      <c r="J7">
        <v>1.44139891132346</v>
      </c>
      <c r="K7">
        <v>0.489160998158161</v>
      </c>
      <c r="L7">
        <v>0</v>
      </c>
      <c r="M7">
        <v>1.238338982083055E-6</v>
      </c>
      <c r="N7">
        <v>0</v>
      </c>
      <c r="O7" s="1">
        <v>6.9591613396354895E-13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300</v>
      </c>
      <c r="D8">
        <v>0.270518008112205</v>
      </c>
      <c r="E8">
        <v>1.4562832203531799</v>
      </c>
      <c r="F8">
        <v>2.5446339321928</v>
      </c>
      <c r="G8">
        <v>-23.712502806969962</v>
      </c>
      <c r="H8">
        <v>-20.790534389690194</v>
      </c>
      <c r="I8">
        <v>2.8558553655668901</v>
      </c>
      <c r="J8">
        <v>1.6861534742761599</v>
      </c>
      <c r="K8">
        <v>0.57229576401123206</v>
      </c>
      <c r="L8">
        <v>0</v>
      </c>
      <c r="M8">
        <v>1.2383389820830548E-6</v>
      </c>
      <c r="N8">
        <v>0</v>
      </c>
      <c r="O8" s="1">
        <v>8.1418971887378197E-13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300</v>
      </c>
      <c r="D9">
        <v>0.26973585090251001</v>
      </c>
      <c r="E9">
        <v>1.6668090567409799</v>
      </c>
      <c r="F9">
        <v>2.5446339321928</v>
      </c>
      <c r="G9">
        <v>-27.137204557862251</v>
      </c>
      <c r="H9">
        <v>-23.798022833645661</v>
      </c>
      <c r="I9">
        <v>3.26682162521801</v>
      </c>
      <c r="J9">
        <v>1.9296617211051901</v>
      </c>
      <c r="K9">
        <v>0.65502901445027795</v>
      </c>
      <c r="L9">
        <v>0</v>
      </c>
      <c r="M9">
        <v>1.238338982083055E-6</v>
      </c>
      <c r="N9">
        <v>0</v>
      </c>
      <c r="O9" s="1">
        <v>9.3189207865423794E-13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300</v>
      </c>
      <c r="D10">
        <v>0.26895216177838999</v>
      </c>
      <c r="E10">
        <v>1.8763218296950099</v>
      </c>
      <c r="F10">
        <v>2.5446339321928</v>
      </c>
      <c r="G10">
        <v>-30.544591335036827</v>
      </c>
      <c r="H10">
        <v>-26.791533198475801</v>
      </c>
      <c r="I10">
        <v>3.67532501254568</v>
      </c>
      <c r="J10">
        <v>2.1719339099467101</v>
      </c>
      <c r="K10">
        <v>0.73736414733655398</v>
      </c>
      <c r="L10">
        <v>0</v>
      </c>
      <c r="M10">
        <v>1.238338982083055E-6</v>
      </c>
      <c r="N10">
        <v>0</v>
      </c>
      <c r="O10" s="1">
        <v>1.0490280473503001E-12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300</v>
      </c>
      <c r="D11">
        <v>0.26816693623486898</v>
      </c>
      <c r="E11">
        <v>2.0848300940882898</v>
      </c>
      <c r="F11">
        <v>2.5446339321928</v>
      </c>
      <c r="G11">
        <v>-33.93480905504552</v>
      </c>
      <c r="H11">
        <v>-29.771184034257814</v>
      </c>
      <c r="I11">
        <v>4.0813851108049803</v>
      </c>
      <c r="J11">
        <v>2.4129801890284801</v>
      </c>
      <c r="K11">
        <v>0.81930452459687297</v>
      </c>
      <c r="L11">
        <v>0</v>
      </c>
      <c r="M11">
        <v>1.2383389820830548E-6</v>
      </c>
      <c r="N11">
        <v>0</v>
      </c>
      <c r="O11" s="1">
        <v>1.16560240788442E-12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300</v>
      </c>
      <c r="D12">
        <v>0.26738016974930101</v>
      </c>
      <c r="E12">
        <v>2.2923423166756298</v>
      </c>
      <c r="F12">
        <v>2.5446339321928</v>
      </c>
      <c r="G12">
        <v>-37.308002127257957</v>
      </c>
      <c r="H12">
        <v>-32.737092672882724</v>
      </c>
      <c r="I12">
        <v>4.4850212965463596</v>
      </c>
      <c r="J12">
        <v>2.65281060056033</v>
      </c>
      <c r="K12">
        <v>0.90085347352899403</v>
      </c>
      <c r="L12">
        <v>0</v>
      </c>
      <c r="M12">
        <v>1.2383389820830548E-6</v>
      </c>
      <c r="N12">
        <v>0</v>
      </c>
      <c r="O12" s="1">
        <v>1.28161989391318E-12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300</v>
      </c>
      <c r="D13">
        <v>0.26659185778126798</v>
      </c>
      <c r="E13">
        <v>2.49886687691968</v>
      </c>
      <c r="F13">
        <v>2.5446339321928</v>
      </c>
      <c r="G13">
        <v>-40.664313468256438</v>
      </c>
      <c r="H13">
        <v>-35.689375239334183</v>
      </c>
      <c r="I13">
        <v>4.8862527416611004</v>
      </c>
      <c r="J13">
        <v>2.89143508173425</v>
      </c>
      <c r="K13">
        <v>0.98201428712628802</v>
      </c>
      <c r="L13">
        <v>0</v>
      </c>
      <c r="M13">
        <v>1.2383389820830548E-6</v>
      </c>
      <c r="N13">
        <v>0</v>
      </c>
      <c r="O13" s="1">
        <v>1.3970851902892901E-12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300</v>
      </c>
      <c r="D14">
        <v>0.26580199577250502</v>
      </c>
      <c r="E14">
        <v>2.7044120673754399</v>
      </c>
      <c r="F14">
        <v>2.5446339321928</v>
      </c>
      <c r="G14">
        <v>-44.003884509032609</v>
      </c>
      <c r="H14">
        <v>-38.628146656664065</v>
      </c>
      <c r="I14">
        <v>5.28509841455885</v>
      </c>
      <c r="J14">
        <v>3.1288634652130098</v>
      </c>
      <c r="K14">
        <v>1.0627902242288101</v>
      </c>
      <c r="L14">
        <v>0</v>
      </c>
      <c r="M14">
        <v>1.2383389820830548E-6</v>
      </c>
      <c r="N14">
        <v>0</v>
      </c>
      <c r="O14" s="1">
        <v>1.51200293327643E-12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300</v>
      </c>
      <c r="D15">
        <v>0.265010579146782</v>
      </c>
      <c r="E15">
        <v>2.9089860968457502</v>
      </c>
      <c r="F15">
        <v>2.5446339321928</v>
      </c>
      <c r="G15">
        <v>-47.326855247261207</v>
      </c>
      <c r="H15">
        <v>-41.55352069055418</v>
      </c>
      <c r="I15">
        <v>5.6815770867559197</v>
      </c>
      <c r="J15">
        <v>3.3651054828242799</v>
      </c>
      <c r="K15">
        <v>1.14318451076339</v>
      </c>
      <c r="L15">
        <v>0</v>
      </c>
      <c r="M15">
        <v>1.238338982083055E-6</v>
      </c>
      <c r="N15">
        <v>0</v>
      </c>
      <c r="O15" s="1">
        <v>1.6263777123135199E-12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300</v>
      </c>
      <c r="D16">
        <v>0.264217603309855</v>
      </c>
      <c r="E16">
        <v>3.1125970888359098</v>
      </c>
      <c r="F16">
        <v>2.5446339321928</v>
      </c>
      <c r="G16">
        <v>-50.633364223065236</v>
      </c>
      <c r="H16">
        <v>-44.465609926744754</v>
      </c>
      <c r="I16">
        <v>6.07570733026692</v>
      </c>
      <c r="J16">
        <v>3.6001707638149298</v>
      </c>
      <c r="K16">
        <v>1.22320033913627</v>
      </c>
      <c r="L16">
        <v>0</v>
      </c>
      <c r="M16">
        <v>1.2383389820830548E-6</v>
      </c>
      <c r="N16">
        <v>0</v>
      </c>
      <c r="O16" s="1">
        <v>1.7402140691506701E-12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300</v>
      </c>
      <c r="D17">
        <v>0.26342306364936202</v>
      </c>
      <c r="E17">
        <v>3.3152530853611299</v>
      </c>
      <c r="F17">
        <v>2.5446339321928</v>
      </c>
      <c r="G17">
        <v>-53.923548581863209</v>
      </c>
      <c r="H17">
        <v>-47.364525824927462</v>
      </c>
      <c r="I17">
        <v>6.4675075254506096</v>
      </c>
      <c r="J17">
        <v>3.83406883929751</v>
      </c>
      <c r="K17">
        <v>1.30284086972944</v>
      </c>
      <c r="L17">
        <v>0</v>
      </c>
      <c r="M17">
        <v>1.2383389820830548E-6</v>
      </c>
      <c r="N17">
        <v>0</v>
      </c>
      <c r="O17" s="1">
        <v>1.8535164999779201E-12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300</v>
      </c>
      <c r="D18">
        <v>0.26262695553471999</v>
      </c>
      <c r="E18">
        <v>3.5169620470182501</v>
      </c>
      <c r="F18">
        <v>2.5446339321928</v>
      </c>
      <c r="G18">
        <v>-57.197544076414893</v>
      </c>
      <c r="H18">
        <v>-50.250378719288541</v>
      </c>
      <c r="I18">
        <v>6.8569958615470004</v>
      </c>
      <c r="J18">
        <v>4.0668091423737698</v>
      </c>
      <c r="K18">
        <v>1.3821092309287699</v>
      </c>
      <c r="L18">
        <v>0</v>
      </c>
      <c r="M18">
        <v>1.2383389820830548E-6</v>
      </c>
      <c r="N18">
        <v>0</v>
      </c>
      <c r="O18" s="1">
        <v>1.9662894554653198E-12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300</v>
      </c>
      <c r="D19">
        <v>0.261829274317047</v>
      </c>
      <c r="E19">
        <v>3.7177318541335702</v>
      </c>
      <c r="F19">
        <v>2.5446339321928</v>
      </c>
      <c r="G19">
        <v>-60.455485086364128</v>
      </c>
      <c r="H19">
        <v>-53.123277834429558</v>
      </c>
      <c r="I19">
        <v>7.2441903393119196</v>
      </c>
      <c r="J19">
        <v>4.2984010095025598</v>
      </c>
      <c r="K19">
        <v>1.4610085195750899</v>
      </c>
      <c r="L19">
        <v>0</v>
      </c>
      <c r="M19">
        <v>1.238338982083055E-6</v>
      </c>
      <c r="N19">
        <v>0</v>
      </c>
      <c r="O19" s="1">
        <v>2.0785373414046502E-12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300</v>
      </c>
      <c r="D20">
        <v>0.26103001532908299</v>
      </c>
      <c r="E20">
        <v>5.0980477710618803</v>
      </c>
      <c r="F20">
        <v>2.5446339321928</v>
      </c>
      <c r="G20">
        <v>-82.891408709384109</v>
      </c>
      <c r="H20">
        <v>-72.852731393455088</v>
      </c>
      <c r="I20">
        <v>9.9279803351916094</v>
      </c>
      <c r="J20">
        <v>5.8935285403010198</v>
      </c>
      <c r="K20">
        <v>2.0034503613919399</v>
      </c>
      <c r="L20">
        <v>0</v>
      </c>
      <c r="M20">
        <v>1.2383389820830548E-6</v>
      </c>
      <c r="N20">
        <v>0</v>
      </c>
      <c r="O20" s="1">
        <v>2.8502546918856302E-12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300</v>
      </c>
      <c r="D21">
        <v>0.260229173885068</v>
      </c>
      <c r="E21">
        <v>6.8455670594120797</v>
      </c>
      <c r="F21">
        <v>2.5446339321928</v>
      </c>
      <c r="G21">
        <v>-111.29176887870294</v>
      </c>
      <c r="H21">
        <v>-97.83325352913252</v>
      </c>
      <c r="I21">
        <v>13.3232840167998</v>
      </c>
      <c r="J21">
        <v>7.9126764575027</v>
      </c>
      <c r="K21">
        <v>2.6901971921411101</v>
      </c>
      <c r="L21">
        <v>0</v>
      </c>
      <c r="M21">
        <v>1.2383389820830548E-6</v>
      </c>
      <c r="N21">
        <v>0</v>
      </c>
      <c r="O21" s="1">
        <v>3.8272708507089699E-12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300</v>
      </c>
      <c r="D22">
        <v>0.25942674528068399</v>
      </c>
      <c r="E22">
        <v>13.032934436417801</v>
      </c>
      <c r="F22">
        <v>2.5446339321928</v>
      </c>
      <c r="G22">
        <v>-211.85750195627651</v>
      </c>
      <c r="H22">
        <v>-186.27492601151852</v>
      </c>
      <c r="I22">
        <v>25.350617791961501</v>
      </c>
      <c r="J22">
        <v>15.062551438593401</v>
      </c>
      <c r="K22">
        <v>5.1217325492421004</v>
      </c>
      <c r="L22">
        <v>0</v>
      </c>
      <c r="M22">
        <v>1.2383389820830548E-6</v>
      </c>
      <c r="N22">
        <v>0</v>
      </c>
      <c r="O22" s="1">
        <v>7.2865504982704693E-12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300</v>
      </c>
      <c r="D23">
        <v>0.25862272479293502</v>
      </c>
      <c r="E23">
        <v>17.8082387448604</v>
      </c>
      <c r="F23">
        <v>2.5446339321928</v>
      </c>
      <c r="G23">
        <v>-289.44806530084333</v>
      </c>
      <c r="H23">
        <v>-254.5471697455915</v>
      </c>
      <c r="I23">
        <v>34.618752720579103</v>
      </c>
      <c r="J23">
        <v>20.578775050853402</v>
      </c>
      <c r="K23">
        <v>6.99834994714326</v>
      </c>
      <c r="L23">
        <v>0</v>
      </c>
      <c r="M23">
        <v>1.238338982083055E-6</v>
      </c>
      <c r="N23">
        <v>0</v>
      </c>
      <c r="O23" s="1">
        <v>9.9563633602800695E-12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300</v>
      </c>
      <c r="D24">
        <v>0.25781710768008598</v>
      </c>
      <c r="E24">
        <v>30.036723653361999</v>
      </c>
      <c r="F24">
        <v>2.5446339321928</v>
      </c>
      <c r="G24">
        <v>-488.14664643299841</v>
      </c>
      <c r="H24">
        <v>-429.37323458678787</v>
      </c>
      <c r="I24">
        <v>58.356165264568901</v>
      </c>
      <c r="J24">
        <v>34.7050913060094</v>
      </c>
      <c r="K24">
        <v>11.8039468362658</v>
      </c>
      <c r="L24">
        <v>0</v>
      </c>
      <c r="M24">
        <v>1.238338982083055E-6</v>
      </c>
      <c r="N24">
        <v>0</v>
      </c>
      <c r="O24" s="1">
        <v>1.6793156197521199E-11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733</v>
      </c>
      <c r="C25">
        <v>300</v>
      </c>
      <c r="D25">
        <v>0.257009889181535</v>
      </c>
      <c r="E25">
        <v>32.246289983159002</v>
      </c>
      <c r="F25">
        <v>2.5446339321928</v>
      </c>
      <c r="G25">
        <v>-523.99313862375925</v>
      </c>
      <c r="H25">
        <v>-460.99611358959066</v>
      </c>
      <c r="I25">
        <v>62.611961471121099</v>
      </c>
      <c r="J25">
        <v>37.253092685186203</v>
      </c>
      <c r="K25">
        <v>12.672270685069099</v>
      </c>
      <c r="L25">
        <v>0</v>
      </c>
      <c r="M25">
        <v>1.2383389820830548E-6</v>
      </c>
      <c r="N25">
        <v>0</v>
      </c>
      <c r="O25" s="1">
        <v>1.80284970733531E-11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756</v>
      </c>
      <c r="C26">
        <v>280</v>
      </c>
      <c r="D26">
        <v>0.29655589564203599</v>
      </c>
      <c r="E26">
        <v>0.12010723423017999</v>
      </c>
      <c r="F26">
        <v>2.5440037919938501</v>
      </c>
      <c r="G26">
        <v>-1.9580529436966989</v>
      </c>
      <c r="H26">
        <v>-1.7148126642280528</v>
      </c>
      <c r="I26">
        <v>0.23635065779395201</v>
      </c>
      <c r="J26">
        <v>0.13917245285774199</v>
      </c>
      <c r="K26">
        <v>4.7211892768464297E-2</v>
      </c>
      <c r="L26">
        <v>0</v>
      </c>
      <c r="M26">
        <v>1.238316790253547E-6</v>
      </c>
      <c r="N26">
        <v>0</v>
      </c>
      <c r="O26" s="1">
        <v>6.7150451166265295E-14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755</v>
      </c>
      <c r="C27">
        <v>280</v>
      </c>
      <c r="D27">
        <v>0.29580362787530801</v>
      </c>
      <c r="E27">
        <v>0.33222703702230399</v>
      </c>
      <c r="F27">
        <v>2.5440037919938501</v>
      </c>
      <c r="G27">
        <v>-5.4154908517984577</v>
      </c>
      <c r="H27">
        <v>-4.7437056398254835</v>
      </c>
      <c r="I27">
        <v>0.65339222095314198</v>
      </c>
      <c r="J27">
        <v>0.38491419772615498</v>
      </c>
      <c r="K27">
        <v>0.13059219411065501</v>
      </c>
      <c r="L27">
        <v>0</v>
      </c>
      <c r="M27">
        <v>1.238316790253547E-6</v>
      </c>
      <c r="N27">
        <v>0</v>
      </c>
      <c r="O27" s="1">
        <v>1.8574397761024599E-13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754</v>
      </c>
      <c r="C28">
        <v>280</v>
      </c>
      <c r="D28">
        <v>0.29504989534147702</v>
      </c>
      <c r="E28">
        <v>0.543313060783016</v>
      </c>
      <c r="F28">
        <v>2.5440037919938501</v>
      </c>
      <c r="G28">
        <v>-8.8552456233064056</v>
      </c>
      <c r="H28">
        <v>-7.7583280678627586</v>
      </c>
      <c r="I28">
        <v>1.0679234342049799</v>
      </c>
      <c r="J28">
        <v>0.62939576770917804</v>
      </c>
      <c r="K28">
        <v>0.21356613637639099</v>
      </c>
      <c r="L28">
        <v>0</v>
      </c>
      <c r="M28">
        <v>1.2383167902535472E-6</v>
      </c>
      <c r="N28">
        <v>0</v>
      </c>
      <c r="O28" s="1">
        <v>3.0375953113851999E-13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753</v>
      </c>
      <c r="C29">
        <v>280</v>
      </c>
      <c r="D29">
        <v>0.29429469375822398</v>
      </c>
      <c r="E29">
        <v>0.75337388582465503</v>
      </c>
      <c r="F29">
        <v>2.5440037919938501</v>
      </c>
      <c r="G29">
        <v>-12.27746390047175</v>
      </c>
      <c r="H29">
        <v>-10.758798795784852</v>
      </c>
      <c r="I29">
        <v>1.4799640449124301</v>
      </c>
      <c r="J29">
        <v>0.87262735527489999</v>
      </c>
      <c r="K29">
        <v>0.29613709232492902</v>
      </c>
      <c r="L29">
        <v>0</v>
      </c>
      <c r="M29">
        <v>1.238316790253547E-6</v>
      </c>
      <c r="N29">
        <v>0</v>
      </c>
      <c r="O29" s="1">
        <v>4.2120190889630699E-13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752</v>
      </c>
      <c r="C30">
        <v>280</v>
      </c>
      <c r="D30">
        <v>0.29353801882651298</v>
      </c>
      <c r="E30">
        <v>0.96241799997797695</v>
      </c>
      <c r="F30">
        <v>2.5440037919938501</v>
      </c>
      <c r="G30">
        <v>-15.682290744994335</v>
      </c>
      <c r="H30">
        <v>-13.745235390612873</v>
      </c>
      <c r="I30">
        <v>1.8895335847256101</v>
      </c>
      <c r="J30">
        <v>1.1146190418161701</v>
      </c>
      <c r="K30">
        <v>0.37830839836275698</v>
      </c>
      <c r="L30">
        <v>0</v>
      </c>
      <c r="M30">
        <v>1.238316790253547E-6</v>
      </c>
      <c r="N30">
        <v>0</v>
      </c>
      <c r="O30" s="1">
        <v>5.3807585632353496E-13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751</v>
      </c>
      <c r="C31">
        <v>280</v>
      </c>
      <c r="D31">
        <v>0.29277986623053498</v>
      </c>
      <c r="E31">
        <v>1.17045380300218</v>
      </c>
      <c r="F31">
        <v>2.5440037919938501</v>
      </c>
      <c r="G31">
        <v>-19.069869710870151</v>
      </c>
      <c r="H31">
        <v>-16.717754201387013</v>
      </c>
      <c r="I31">
        <v>2.2966513786878302</v>
      </c>
      <c r="J31">
        <v>1.35538080280449</v>
      </c>
      <c r="K31">
        <v>0.46008335627709102</v>
      </c>
      <c r="L31">
        <v>0</v>
      </c>
      <c r="M31">
        <v>1.238316790253547E-6</v>
      </c>
      <c r="N31">
        <v>0</v>
      </c>
      <c r="O31" s="1">
        <v>6.5438606962042297E-13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750</v>
      </c>
      <c r="C32">
        <v>280</v>
      </c>
      <c r="D32">
        <v>0.292020231637589</v>
      </c>
      <c r="E32">
        <v>1.37748960403246</v>
      </c>
      <c r="F32">
        <v>2.5440037919938501</v>
      </c>
      <c r="G32">
        <v>-22.44034280376173</v>
      </c>
      <c r="H32">
        <v>-19.676470322186404</v>
      </c>
      <c r="I32">
        <v>2.7013365406590699</v>
      </c>
      <c r="J32">
        <v>1.5949225048787801</v>
      </c>
      <c r="K32">
        <v>0.54146523223255905</v>
      </c>
      <c r="L32">
        <v>0</v>
      </c>
      <c r="M32">
        <v>1.238316790253547E-6</v>
      </c>
      <c r="N32">
        <v>0</v>
      </c>
      <c r="O32" s="1">
        <v>7.7013719432044704E-13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749</v>
      </c>
      <c r="C33">
        <v>280</v>
      </c>
      <c r="D33">
        <v>0.291259110698039</v>
      </c>
      <c r="E33">
        <v>1.5835336245962</v>
      </c>
      <c r="F33">
        <v>2.5440037919938501</v>
      </c>
      <c r="G33">
        <v>-25.793850531103462</v>
      </c>
      <c r="H33">
        <v>-22.621497634681816</v>
      </c>
      <c r="I33">
        <v>3.10360797967191</v>
      </c>
      <c r="J33">
        <v>1.8332539093835101</v>
      </c>
      <c r="K33">
        <v>0.62245725795680396</v>
      </c>
      <c r="L33">
        <v>0</v>
      </c>
      <c r="M33">
        <v>1.238316790253547E-6</v>
      </c>
      <c r="N33">
        <v>0</v>
      </c>
      <c r="O33" s="1">
        <v>8.8533382697664997E-13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748</v>
      </c>
      <c r="C34">
        <v>280</v>
      </c>
      <c r="D34">
        <v>0.29049649904519698</v>
      </c>
      <c r="E34">
        <v>1.7885940006962899</v>
      </c>
      <c r="F34">
        <v>2.5440037919938501</v>
      </c>
      <c r="G34">
        <v>-29.130531936976556</v>
      </c>
      <c r="H34">
        <v>-25.552948837381855</v>
      </c>
      <c r="I34">
        <v>3.50348440444077</v>
      </c>
      <c r="J34">
        <v>2.0703846748246701</v>
      </c>
      <c r="K34">
        <v>0.70306263155940096</v>
      </c>
      <c r="L34">
        <v>0</v>
      </c>
      <c r="M34">
        <v>1.2383167902535472E-6</v>
      </c>
      <c r="N34">
        <v>0</v>
      </c>
      <c r="O34" s="1">
        <v>9.9998051632639902E-13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747</v>
      </c>
      <c r="C35">
        <v>280</v>
      </c>
      <c r="D35">
        <v>0.28973239229525299</v>
      </c>
      <c r="E35">
        <v>1.9926787822943299</v>
      </c>
      <c r="F35">
        <v>2.5440037919938501</v>
      </c>
      <c r="G35">
        <v>-32.450524594615914</v>
      </c>
      <c r="H35">
        <v>-28.470935437744277</v>
      </c>
      <c r="I35">
        <v>3.9009843227678598</v>
      </c>
      <c r="J35">
        <v>2.30632435631466</v>
      </c>
      <c r="K35">
        <v>0.78328451732871796</v>
      </c>
      <c r="L35">
        <v>0</v>
      </c>
      <c r="M35">
        <v>1.2383167902535472E-6</v>
      </c>
      <c r="N35">
        <v>0</v>
      </c>
      <c r="O35" s="1">
        <v>1.1140817630024501E-12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746</v>
      </c>
      <c r="C36">
        <v>280</v>
      </c>
      <c r="D36">
        <v>0.288966786047197</v>
      </c>
      <c r="E36">
        <v>2.19579593583402</v>
      </c>
      <c r="F36">
        <v>2.5440037919938501</v>
      </c>
      <c r="G36">
        <v>-35.753964648424216</v>
      </c>
      <c r="H36">
        <v>-31.375567787724176</v>
      </c>
      <c r="I36">
        <v>4.2961260469018701</v>
      </c>
      <c r="J36">
        <v>2.5410824085363002</v>
      </c>
      <c r="K36">
        <v>0.863126046723804</v>
      </c>
      <c r="L36">
        <v>0</v>
      </c>
      <c r="M36">
        <v>1.2383167902535472E-6</v>
      </c>
      <c r="N36">
        <v>0</v>
      </c>
      <c r="O36" s="1">
        <v>1.22764202094377E-12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745</v>
      </c>
      <c r="C37">
        <v>280</v>
      </c>
      <c r="D37">
        <v>0.28819967588272899</v>
      </c>
      <c r="E37">
        <v>2.3979533447005301</v>
      </c>
      <c r="F37">
        <v>2.5440037919938501</v>
      </c>
      <c r="G37">
        <v>-39.04098682235157</v>
      </c>
      <c r="H37">
        <v>-34.266955089845602</v>
      </c>
      <c r="I37">
        <v>4.6889276948445398</v>
      </c>
      <c r="J37">
        <v>2.7746681863165001</v>
      </c>
      <c r="K37">
        <v>0.942590318554966</v>
      </c>
      <c r="L37">
        <v>0</v>
      </c>
      <c r="M37">
        <v>1.2383167902535472E-6</v>
      </c>
      <c r="N37">
        <v>0</v>
      </c>
      <c r="O37" s="1">
        <v>1.34066569765232E-12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744</v>
      </c>
      <c r="C38">
        <v>280</v>
      </c>
      <c r="D38">
        <v>0.28743105736617303</v>
      </c>
      <c r="E38">
        <v>2.5991588102498402</v>
      </c>
      <c r="F38">
        <v>2.5440037919938501</v>
      </c>
      <c r="G38">
        <v>-42.311724437546594</v>
      </c>
      <c r="H38">
        <v>-37.145205411421585</v>
      </c>
      <c r="I38">
        <v>5.0794071927690103</v>
      </c>
      <c r="J38">
        <v>3.0070909458592801</v>
      </c>
      <c r="K38">
        <v>1.0216803993883801</v>
      </c>
      <c r="L38">
        <v>0</v>
      </c>
      <c r="M38">
        <v>1.238316790253547E-6</v>
      </c>
      <c r="N38">
        <v>0</v>
      </c>
      <c r="O38" s="1">
        <v>1.4531571547685599E-12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743</v>
      </c>
      <c r="C39">
        <v>280</v>
      </c>
      <c r="D39">
        <v>0.28666092604438298</v>
      </c>
      <c r="E39">
        <v>2.7994200531303601</v>
      </c>
      <c r="F39">
        <v>2.5440037919938501</v>
      </c>
      <c r="G39">
        <v>-45.566309434751219</v>
      </c>
      <c r="H39">
        <v>-40.010425702958628</v>
      </c>
      <c r="I39">
        <v>5.4675822780028396</v>
      </c>
      <c r="J39">
        <v>3.2383598463161398</v>
      </c>
      <c r="K39">
        <v>1.1003993240656</v>
      </c>
      <c r="L39">
        <v>0</v>
      </c>
      <c r="M39">
        <v>1.2383167902535468E-6</v>
      </c>
      <c r="N39">
        <v>0</v>
      </c>
      <c r="O39" s="1">
        <v>1.5651207088103701E-12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742</v>
      </c>
      <c r="C40">
        <v>280</v>
      </c>
      <c r="D40">
        <v>0.28588927744668102</v>
      </c>
      <c r="E40">
        <v>2.9987447150367701</v>
      </c>
      <c r="F40">
        <v>2.5440037919938501</v>
      </c>
      <c r="G40">
        <v>-48.804872403714519</v>
      </c>
      <c r="H40">
        <v>-42.862721822749506</v>
      </c>
      <c r="I40">
        <v>5.8534705028468901</v>
      </c>
      <c r="J40">
        <v>3.4684839518556299</v>
      </c>
      <c r="K40">
        <v>1.17875009639294</v>
      </c>
      <c r="L40">
        <v>0</v>
      </c>
      <c r="M40">
        <v>1.2383167902535472E-6</v>
      </c>
      <c r="N40">
        <v>0</v>
      </c>
      <c r="O40" s="1">
        <v>1.6765606321535999E-12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741</v>
      </c>
      <c r="C41">
        <v>280</v>
      </c>
      <c r="D41">
        <v>0.28511610708475299</v>
      </c>
      <c r="E41">
        <v>3.50875169509639</v>
      </c>
      <c r="F41">
        <v>2.5440037919938501</v>
      </c>
      <c r="G41">
        <v>-57.098440403509692</v>
      </c>
      <c r="H41">
        <v>-50.156592639851787</v>
      </c>
      <c r="I41">
        <v>6.8449911390404701</v>
      </c>
      <c r="J41">
        <v>4.0578487351097596</v>
      </c>
      <c r="K41">
        <v>1.3792242394208101</v>
      </c>
      <c r="L41">
        <v>0</v>
      </c>
      <c r="M41">
        <v>1.238316790253547E-6</v>
      </c>
      <c r="N41">
        <v>0</v>
      </c>
      <c r="O41" s="1">
        <v>1.9616991504822701E-12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740</v>
      </c>
      <c r="C42">
        <v>280</v>
      </c>
      <c r="D42">
        <v>0.28434141045255101</v>
      </c>
      <c r="E42">
        <v>6.5333025713910704</v>
      </c>
      <c r="F42">
        <v>2.5440037919938501</v>
      </c>
      <c r="G42">
        <v>-106.30466690136225</v>
      </c>
      <c r="H42">
        <v>-93.399229570847595</v>
      </c>
      <c r="I42">
        <v>12.737933504924801</v>
      </c>
      <c r="J42">
        <v>7.5547288460941902</v>
      </c>
      <c r="K42">
        <v>2.5681182520056698</v>
      </c>
      <c r="L42">
        <v>0</v>
      </c>
      <c r="M42">
        <v>1.238316790253547E-6</v>
      </c>
      <c r="N42">
        <v>0</v>
      </c>
      <c r="O42" s="1">
        <v>3.6526876843559101E-12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739</v>
      </c>
      <c r="C43">
        <v>280</v>
      </c>
      <c r="D43">
        <v>0.28356518302623301</v>
      </c>
      <c r="E43">
        <v>13.3870854107545</v>
      </c>
      <c r="F43">
        <v>2.5440037919938501</v>
      </c>
      <c r="G43">
        <v>-217.79783898626107</v>
      </c>
      <c r="H43">
        <v>-191.39548169363769</v>
      </c>
      <c r="I43">
        <v>26.085419446350201</v>
      </c>
      <c r="J43">
        <v>15.478002099560999</v>
      </c>
      <c r="K43">
        <v>5.2622112643402899</v>
      </c>
      <c r="L43">
        <v>0</v>
      </c>
      <c r="M43">
        <v>1.2383167902535472E-6</v>
      </c>
      <c r="N43">
        <v>0</v>
      </c>
      <c r="O43" s="1">
        <v>7.4845518747912802E-12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738</v>
      </c>
      <c r="C44">
        <v>280</v>
      </c>
      <c r="D44">
        <v>0.28278742026405701</v>
      </c>
      <c r="E44">
        <v>17.593656290830101</v>
      </c>
      <c r="F44">
        <v>2.5440037919938501</v>
      </c>
      <c r="G44">
        <v>-286.20132008638831</v>
      </c>
      <c r="H44">
        <v>-251.55726686398785</v>
      </c>
      <c r="I44">
        <v>34.262031570390597</v>
      </c>
      <c r="J44">
        <v>20.338906211672501</v>
      </c>
      <c r="K44">
        <v>6.9157350889957296</v>
      </c>
      <c r="L44">
        <v>0</v>
      </c>
      <c r="M44">
        <v>1.238316790253547E-6</v>
      </c>
      <c r="N44">
        <v>0</v>
      </c>
      <c r="O44" s="1">
        <v>9.8363929963560501E-12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737</v>
      </c>
      <c r="C45">
        <v>280</v>
      </c>
      <c r="D45">
        <v>0.28200811760629901</v>
      </c>
      <c r="E45">
        <v>29.039445821843699</v>
      </c>
      <c r="F45">
        <v>2.5440037919938501</v>
      </c>
      <c r="G45">
        <v>-472.33689991163652</v>
      </c>
      <c r="H45">
        <v>-415.24479578872877</v>
      </c>
      <c r="I45">
        <v>56.518441937244702</v>
      </c>
      <c r="J45">
        <v>33.5662096798102</v>
      </c>
      <c r="K45">
        <v>11.414859487722699</v>
      </c>
      <c r="L45">
        <v>0</v>
      </c>
      <c r="M45">
        <v>1.238316790253547E-6</v>
      </c>
      <c r="N45">
        <v>0</v>
      </c>
      <c r="O45" s="1">
        <v>1.62355906457558E-11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736</v>
      </c>
      <c r="C46">
        <v>280</v>
      </c>
      <c r="D46">
        <v>0.281227270475152</v>
      </c>
      <c r="E46">
        <v>31.111614522467399</v>
      </c>
      <c r="F46">
        <v>2.5440037919938501</v>
      </c>
      <c r="G46">
        <v>-505.98092615139842</v>
      </c>
      <c r="H46">
        <v>-444.91139149149546</v>
      </c>
      <c r="I46">
        <v>60.515814953082099</v>
      </c>
      <c r="J46">
        <v>35.956621769913603</v>
      </c>
      <c r="K46">
        <v>12.229389995556399</v>
      </c>
      <c r="L46">
        <v>0</v>
      </c>
      <c r="M46">
        <v>1.2383167902535468E-6</v>
      </c>
      <c r="N46">
        <v>0</v>
      </c>
      <c r="O46" s="1">
        <v>1.73941142270483E-11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756</v>
      </c>
      <c r="C47">
        <v>260</v>
      </c>
      <c r="D47">
        <v>0.317932760044698</v>
      </c>
      <c r="E47">
        <v>8.6622054745347801E-2</v>
      </c>
      <c r="F47">
        <v>2.5433738191431599</v>
      </c>
      <c r="G47">
        <v>-1.412840553054207</v>
      </c>
      <c r="H47">
        <v>-1.2374142105907133</v>
      </c>
      <c r="I47">
        <v>0.17045750615895999</v>
      </c>
      <c r="J47">
        <v>0.100372004298958</v>
      </c>
      <c r="K47">
        <v>3.40579328502051E-2</v>
      </c>
      <c r="L47">
        <v>0</v>
      </c>
      <c r="M47">
        <v>1.2382945389796266E-6</v>
      </c>
      <c r="N47">
        <v>0</v>
      </c>
      <c r="O47" s="1">
        <v>4.8429306480836502E-14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755</v>
      </c>
      <c r="C48">
        <v>260</v>
      </c>
      <c r="D48">
        <v>0.31720128385935797</v>
      </c>
      <c r="E48">
        <v>0.29391940597096999</v>
      </c>
      <c r="F48">
        <v>2.5433738191431599</v>
      </c>
      <c r="G48">
        <v>-4.7933655103651533</v>
      </c>
      <c r="H48">
        <v>-4.1990408816025546</v>
      </c>
      <c r="I48">
        <v>0.57805245223225998</v>
      </c>
      <c r="J48">
        <v>0.34053144307417998</v>
      </c>
      <c r="K48">
        <v>0.115562802352816</v>
      </c>
      <c r="L48">
        <v>0</v>
      </c>
      <c r="M48">
        <v>1.2382945389796266E-6</v>
      </c>
      <c r="N48">
        <v>0</v>
      </c>
      <c r="O48" s="1">
        <v>1.6432666062101199E-13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754</v>
      </c>
      <c r="C49">
        <v>260</v>
      </c>
      <c r="D49">
        <v>0.31646838339093702</v>
      </c>
      <c r="E49">
        <v>0.50021974728533303</v>
      </c>
      <c r="F49">
        <v>2.5433738191431599</v>
      </c>
      <c r="G49">
        <v>-8.1568177029046982</v>
      </c>
      <c r="H49">
        <v>-7.1469030478325619</v>
      </c>
      <c r="I49">
        <v>0.98322022593792102</v>
      </c>
      <c r="J49">
        <v>0.57947473490183599</v>
      </c>
      <c r="K49">
        <v>0.196675668956068</v>
      </c>
      <c r="L49">
        <v>0</v>
      </c>
      <c r="M49">
        <v>1.2382945389796268E-6</v>
      </c>
      <c r="N49">
        <v>0</v>
      </c>
      <c r="O49" s="1">
        <v>2.7966659900028601E-13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753</v>
      </c>
      <c r="C50">
        <v>260</v>
      </c>
      <c r="D50">
        <v>0.31573405447546998</v>
      </c>
      <c r="E50">
        <v>0.705531123515168</v>
      </c>
      <c r="F50">
        <v>2.5433738191431599</v>
      </c>
      <c r="G50">
        <v>-11.503334876456664</v>
      </c>
      <c r="H50">
        <v>-10.081112102727012</v>
      </c>
      <c r="I50">
        <v>1.3859794121031499</v>
      </c>
      <c r="J50">
        <v>0.81721144037698301</v>
      </c>
      <c r="K50">
        <v>0.27739969571317402</v>
      </c>
      <c r="L50">
        <v>0</v>
      </c>
      <c r="M50">
        <v>1.2382945389796266E-6</v>
      </c>
      <c r="N50">
        <v>0</v>
      </c>
      <c r="O50" s="1">
        <v>3.9445361938057802E-13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752</v>
      </c>
      <c r="C51">
        <v>260</v>
      </c>
      <c r="D51">
        <v>0.31499829293274201</v>
      </c>
      <c r="E51">
        <v>0.90986149275152794</v>
      </c>
      <c r="F51">
        <v>2.5433738191431599</v>
      </c>
      <c r="G51">
        <v>-14.833053293636192</v>
      </c>
      <c r="H51">
        <v>-13.001778238181922</v>
      </c>
      <c r="I51">
        <v>1.7863483933612301</v>
      </c>
      <c r="J51">
        <v>1.05375101594042</v>
      </c>
      <c r="K51">
        <v>0.357738011574739</v>
      </c>
      <c r="L51">
        <v>0</v>
      </c>
      <c r="M51">
        <v>1.2382945389796268E-6</v>
      </c>
      <c r="N51">
        <v>0</v>
      </c>
      <c r="O51" s="1">
        <v>5.0869217103097797E-13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751</v>
      </c>
      <c r="C52">
        <v>260</v>
      </c>
      <c r="D52">
        <v>0.31426109456622597</v>
      </c>
      <c r="E52">
        <v>1.1132187302718299</v>
      </c>
      <c r="F52">
        <v>2.5433738191431599</v>
      </c>
      <c r="G52">
        <v>-18.146107798755555</v>
      </c>
      <c r="H52">
        <v>-15.909010500081031</v>
      </c>
      <c r="I52">
        <v>2.1843453582722399</v>
      </c>
      <c r="J52">
        <v>1.28910281846469</v>
      </c>
      <c r="K52">
        <v>0.43769371293082698</v>
      </c>
      <c r="L52">
        <v>0</v>
      </c>
      <c r="M52">
        <v>1.238294538979627E-6</v>
      </c>
      <c r="N52">
        <v>0</v>
      </c>
      <c r="O52" s="1">
        <v>6.2238665692050695E-13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750</v>
      </c>
      <c r="C53">
        <v>260</v>
      </c>
      <c r="D53">
        <v>0.313522455162978</v>
      </c>
      <c r="E53">
        <v>1.31561062653677</v>
      </c>
      <c r="F53">
        <v>2.5433738191431599</v>
      </c>
      <c r="G53">
        <v>-21.442631786071036</v>
      </c>
      <c r="H53">
        <v>-18.80291675917826</v>
      </c>
      <c r="I53">
        <v>2.5799882977987298</v>
      </c>
      <c r="J53">
        <v>1.5232761029764701</v>
      </c>
      <c r="K53">
        <v>0.51726986282338605</v>
      </c>
      <c r="L53">
        <v>0</v>
      </c>
      <c r="M53">
        <v>1.2382945389796268E-6</v>
      </c>
      <c r="N53">
        <v>0</v>
      </c>
      <c r="O53" s="1">
        <v>7.3554143259822395E-13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749</v>
      </c>
      <c r="C54">
        <v>260</v>
      </c>
      <c r="D54">
        <v>0.312782370493568</v>
      </c>
      <c r="E54">
        <v>1.5170448908901799</v>
      </c>
      <c r="F54">
        <v>2.5433738191431599</v>
      </c>
      <c r="G54">
        <v>-24.72275726099053</v>
      </c>
      <c r="H54">
        <v>-21.683603763479962</v>
      </c>
      <c r="I54">
        <v>2.9732950129732099</v>
      </c>
      <c r="J54">
        <v>1.7562800269832599</v>
      </c>
      <c r="K54">
        <v>0.59646949240094904</v>
      </c>
      <c r="L54">
        <v>0</v>
      </c>
      <c r="M54">
        <v>1.2382945389796266E-6</v>
      </c>
      <c r="N54">
        <v>0</v>
      </c>
      <c r="O54" s="1">
        <v>8.4816080826175399E-13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748</v>
      </c>
      <c r="C55">
        <v>260</v>
      </c>
      <c r="D55">
        <v>0.31204083631200402</v>
      </c>
      <c r="E55">
        <v>1.7175291527907299</v>
      </c>
      <c r="F55">
        <v>2.5433738191431599</v>
      </c>
      <c r="G55">
        <v>-27.986614861019465</v>
      </c>
      <c r="H55">
        <v>-24.551177155372887</v>
      </c>
      <c r="I55">
        <v>3.3642831177070698</v>
      </c>
      <c r="J55">
        <v>1.98812365194013</v>
      </c>
      <c r="K55">
        <v>0.675295601402922</v>
      </c>
      <c r="L55">
        <v>0</v>
      </c>
      <c r="M55">
        <v>1.2382945389796266E-6</v>
      </c>
      <c r="N55">
        <v>0</v>
      </c>
      <c r="O55" s="1">
        <v>9.6024904944593291E-13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747</v>
      </c>
      <c r="C56">
        <v>260</v>
      </c>
      <c r="D56">
        <v>0.31129784835563601</v>
      </c>
      <c r="E56">
        <v>1.9170709604504701</v>
      </c>
      <c r="F56">
        <v>2.5433738191431599</v>
      </c>
      <c r="G56">
        <v>-31.234333834440847</v>
      </c>
      <c r="H56">
        <v>-27.405741451689558</v>
      </c>
      <c r="I56">
        <v>3.7529700365154999</v>
      </c>
      <c r="J56">
        <v>2.2188159417142801</v>
      </c>
      <c r="K56">
        <v>0.75375115762429101</v>
      </c>
      <c r="L56">
        <v>0</v>
      </c>
      <c r="M56">
        <v>1.2382945389796268E-6</v>
      </c>
      <c r="N56">
        <v>0</v>
      </c>
      <c r="O56" s="1">
        <v>1.0718103762616399E-12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746</v>
      </c>
      <c r="C57">
        <v>260</v>
      </c>
      <c r="D57">
        <v>0.31055340234509199</v>
      </c>
      <c r="E57">
        <v>2.1156777838298302</v>
      </c>
      <c r="F57">
        <v>2.5433738191431599</v>
      </c>
      <c r="G57">
        <v>-34.466042089979211</v>
      </c>
      <c r="H57">
        <v>-30.247400086046856</v>
      </c>
      <c r="I57">
        <v>4.1393730107759898</v>
      </c>
      <c r="J57">
        <v>2.4483657660924898</v>
      </c>
      <c r="K57">
        <v>0.83183909809317003</v>
      </c>
      <c r="L57">
        <v>0</v>
      </c>
      <c r="M57">
        <v>1.2382945389796268E-6</v>
      </c>
      <c r="N57">
        <v>0</v>
      </c>
      <c r="O57" s="1">
        <v>1.1828489650702301E-12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745</v>
      </c>
      <c r="C58">
        <v>260</v>
      </c>
      <c r="D58">
        <v>0.309807493984187</v>
      </c>
      <c r="E58">
        <v>2.31335701473113</v>
      </c>
      <c r="F58">
        <v>2.5433738191431599</v>
      </c>
      <c r="G58">
        <v>-37.681866199168311</v>
      </c>
      <c r="H58">
        <v>-33.076255409721952</v>
      </c>
      <c r="I58">
        <v>4.5235090992941602</v>
      </c>
      <c r="J58">
        <v>2.6767819009290199</v>
      </c>
      <c r="K58">
        <v>0.90956232910759505</v>
      </c>
      <c r="L58">
        <v>0</v>
      </c>
      <c r="M58">
        <v>1.2382945389796268E-6</v>
      </c>
      <c r="N58">
        <v>0</v>
      </c>
      <c r="O58" s="1">
        <v>1.2933689485358701E-12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744</v>
      </c>
      <c r="C59">
        <v>260</v>
      </c>
      <c r="D59">
        <v>0.30906011895984098</v>
      </c>
      <c r="E59">
        <v>2.5101159698578202</v>
      </c>
      <c r="F59">
        <v>2.5433738191431599</v>
      </c>
      <c r="G59">
        <v>-40.881931447016903</v>
      </c>
      <c r="H59">
        <v>-35.892408734934506</v>
      </c>
      <c r="I59">
        <v>4.9053951846653803</v>
      </c>
      <c r="J59">
        <v>2.9040730317247001</v>
      </c>
      <c r="K59">
        <v>0.98692372743832602</v>
      </c>
      <c r="L59">
        <v>0</v>
      </c>
      <c r="M59">
        <v>1.2382945389796268E-6</v>
      </c>
      <c r="N59">
        <v>0</v>
      </c>
      <c r="O59" s="1">
        <v>1.40337441733585E-12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743</v>
      </c>
      <c r="C60">
        <v>260</v>
      </c>
      <c r="D60">
        <v>0.30831127294198801</v>
      </c>
      <c r="E60">
        <v>7.7823784154804301</v>
      </c>
      <c r="F60">
        <v>2.5433738191431599</v>
      </c>
      <c r="G60">
        <v>-126.73537803345133</v>
      </c>
      <c r="H60">
        <v>-111.29003978031136</v>
      </c>
      <c r="I60">
        <v>15.1998605059685</v>
      </c>
      <c r="J60">
        <v>9.0026295772754192</v>
      </c>
      <c r="K60">
        <v>3.0598641681788701</v>
      </c>
      <c r="L60">
        <v>0</v>
      </c>
      <c r="M60">
        <v>1.2382945389796266E-6</v>
      </c>
      <c r="N60">
        <v>0</v>
      </c>
      <c r="O60" s="1">
        <v>4.3510303529643601E-12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742</v>
      </c>
      <c r="C61">
        <v>260</v>
      </c>
      <c r="D61">
        <v>0.30756095158350699</v>
      </c>
      <c r="E61">
        <v>14.0092417523768</v>
      </c>
      <c r="F61">
        <v>2.5433738191431599</v>
      </c>
      <c r="G61">
        <v>-228.11197017523804</v>
      </c>
      <c r="H61">
        <v>-200.35201328382772</v>
      </c>
      <c r="I61">
        <v>27.345669991045899</v>
      </c>
      <c r="J61">
        <v>16.203723495412302</v>
      </c>
      <c r="K61">
        <v>5.5081331917996899</v>
      </c>
      <c r="L61">
        <v>0</v>
      </c>
      <c r="M61">
        <v>1.2382945389796266E-6</v>
      </c>
      <c r="N61">
        <v>0</v>
      </c>
      <c r="O61" s="1">
        <v>7.8323916972937701E-12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741</v>
      </c>
      <c r="C62">
        <v>260</v>
      </c>
      <c r="D62">
        <v>0.30680915052014102</v>
      </c>
      <c r="E62">
        <v>23.024368155632999</v>
      </c>
      <c r="F62">
        <v>2.5433738191431599</v>
      </c>
      <c r="G62">
        <v>-374.86001325987689</v>
      </c>
      <c r="H62">
        <v>-329.30772786613198</v>
      </c>
      <c r="I62">
        <v>44.916713892170598</v>
      </c>
      <c r="J62">
        <v>26.627533469412398</v>
      </c>
      <c r="K62">
        <v>9.0526874116324905</v>
      </c>
      <c r="L62">
        <v>0</v>
      </c>
      <c r="M62">
        <v>1.2382945389796268E-6</v>
      </c>
      <c r="N62">
        <v>0</v>
      </c>
      <c r="O62" s="1">
        <v>1.2872636018792299E-11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740</v>
      </c>
      <c r="C63">
        <v>260</v>
      </c>
      <c r="D63">
        <v>0.30605586537038199</v>
      </c>
      <c r="E63">
        <v>29.497104142540699</v>
      </c>
      <c r="F63">
        <v>2.5433738191431599</v>
      </c>
      <c r="G63">
        <v>-480.18517813949262</v>
      </c>
      <c r="H63">
        <v>-421.91862385343097</v>
      </c>
      <c r="I63">
        <v>57.510293921000503</v>
      </c>
      <c r="J63">
        <v>34.108725427429498</v>
      </c>
      <c r="K63">
        <v>11.5976282843384</v>
      </c>
      <c r="L63">
        <v>0</v>
      </c>
      <c r="M63">
        <v>1.2382945389796266E-6</v>
      </c>
      <c r="N63">
        <v>0</v>
      </c>
      <c r="O63" s="1">
        <v>1.6491461683930802E-11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739</v>
      </c>
      <c r="C64">
        <v>260</v>
      </c>
      <c r="D64">
        <v>0.30530109173541498</v>
      </c>
      <c r="E64">
        <v>31.219469228417399</v>
      </c>
      <c r="F64">
        <v>2.5433738191431599</v>
      </c>
      <c r="G64">
        <v>-508.16281507670203</v>
      </c>
      <c r="H64">
        <v>-446.59096760103233</v>
      </c>
      <c r="I64">
        <v>60.832729808496403</v>
      </c>
      <c r="J64">
        <v>36.095609719232499</v>
      </c>
      <c r="K64">
        <v>12.2748252708423</v>
      </c>
      <c r="L64">
        <v>0</v>
      </c>
      <c r="M64">
        <v>1.2382945389796268E-6</v>
      </c>
      <c r="N64">
        <v>0</v>
      </c>
      <c r="O64" s="1">
        <v>1.74544144430293E-11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756</v>
      </c>
      <c r="C65">
        <v>240</v>
      </c>
      <c r="D65">
        <v>0.33930962444735902</v>
      </c>
      <c r="E65">
        <v>7.9701171706372795E-2</v>
      </c>
      <c r="F65">
        <v>2.5427440136239099</v>
      </c>
      <c r="G65">
        <v>-1.30058498046586</v>
      </c>
      <c r="H65">
        <v>-1.1391747589742627</v>
      </c>
      <c r="I65">
        <v>0.156838382637708</v>
      </c>
      <c r="J65">
        <v>9.2352535075066799E-2</v>
      </c>
      <c r="K65">
        <v>3.1344551901149799E-2</v>
      </c>
      <c r="L65">
        <v>0</v>
      </c>
      <c r="M65">
        <v>1.2382722283092385E-6</v>
      </c>
      <c r="N65">
        <v>0</v>
      </c>
      <c r="O65" s="1">
        <v>4.4559927408752799E-14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755</v>
      </c>
      <c r="C66">
        <v>240</v>
      </c>
      <c r="D66">
        <v>0.338598939843407</v>
      </c>
      <c r="E66">
        <v>0.28191598097416798</v>
      </c>
      <c r="F66">
        <v>2.5427440136239099</v>
      </c>
      <c r="G66">
        <v>-4.599825575527424</v>
      </c>
      <c r="H66">
        <v>-4.0297726721432063</v>
      </c>
      <c r="I66">
        <v>0.554445269060173</v>
      </c>
      <c r="J66">
        <v>0.32662442110504297</v>
      </c>
      <c r="K66">
        <v>0.110870767746841</v>
      </c>
      <c r="L66">
        <v>0</v>
      </c>
      <c r="M66">
        <v>1.2382722283092385E-6</v>
      </c>
      <c r="N66">
        <v>0</v>
      </c>
      <c r="O66" s="1">
        <v>1.5761569596312201E-13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754</v>
      </c>
      <c r="C67">
        <v>240</v>
      </c>
      <c r="D67">
        <v>0.33788687144039198</v>
      </c>
      <c r="E67">
        <v>0.48317504948103401</v>
      </c>
      <c r="F67">
        <v>2.5427440136239099</v>
      </c>
      <c r="G67">
        <v>-7.882678821646758</v>
      </c>
      <c r="H67">
        <v>-6.9071764227825296</v>
      </c>
      <c r="I67">
        <v>0.94971756692228804</v>
      </c>
      <c r="J67">
        <v>0.55972946935558299</v>
      </c>
      <c r="K67">
        <v>0.19002111376222</v>
      </c>
      <c r="L67">
        <v>0</v>
      </c>
      <c r="M67">
        <v>1.2382722283092389E-6</v>
      </c>
      <c r="N67">
        <v>0</v>
      </c>
      <c r="O67" s="1">
        <v>2.7013712182193498E-13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753</v>
      </c>
      <c r="C68">
        <v>240</v>
      </c>
      <c r="D68">
        <v>0.33717341519271199</v>
      </c>
      <c r="E68">
        <v>0.68348587432514696</v>
      </c>
      <c r="F68">
        <v>2.5427440136239099</v>
      </c>
      <c r="G68">
        <v>-11.14927333264025</v>
      </c>
      <c r="H68">
        <v>-9.7714897826465865</v>
      </c>
      <c r="I68">
        <v>1.3426726599363199</v>
      </c>
      <c r="J68">
        <v>0.79167659259551604</v>
      </c>
      <c r="K68">
        <v>0.268798538375495</v>
      </c>
      <c r="L68">
        <v>0</v>
      </c>
      <c r="M68">
        <v>1.2382722283092387E-6</v>
      </c>
      <c r="N68">
        <v>0</v>
      </c>
      <c r="O68" s="1">
        <v>3.8212839651893398E-13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752</v>
      </c>
      <c r="C69">
        <v>240</v>
      </c>
      <c r="D69">
        <v>0.33645856703896998</v>
      </c>
      <c r="E69">
        <v>0.882855877311161</v>
      </c>
      <c r="F69">
        <v>2.5427440136239099</v>
      </c>
      <c r="G69">
        <v>-14.399736429662481</v>
      </c>
      <c r="H69">
        <v>-12.622815482286327</v>
      </c>
      <c r="I69">
        <v>1.7333277543541401</v>
      </c>
      <c r="J69">
        <v>1.0224746129570099</v>
      </c>
      <c r="K69">
        <v>0.34720596040374402</v>
      </c>
      <c r="L69">
        <v>0</v>
      </c>
      <c r="M69">
        <v>1.2382722283092387E-6</v>
      </c>
      <c r="N69">
        <v>0</v>
      </c>
      <c r="O69" s="1">
        <v>4.9359366949219499E-13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751</v>
      </c>
      <c r="C70">
        <v>240</v>
      </c>
      <c r="D70">
        <v>0.33574232290192102</v>
      </c>
      <c r="E70">
        <v>1.0812924000967601</v>
      </c>
      <c r="F70">
        <v>2.5427440136239099</v>
      </c>
      <c r="G70">
        <v>-17.634194062870154</v>
      </c>
      <c r="H70">
        <v>-15.461255141205507</v>
      </c>
      <c r="I70">
        <v>2.1216998698087601</v>
      </c>
      <c r="J70">
        <v>1.2521322563525501</v>
      </c>
      <c r="K70">
        <v>0.42524626714417302</v>
      </c>
      <c r="L70">
        <v>0</v>
      </c>
      <c r="M70">
        <v>1.2382722283092389E-6</v>
      </c>
      <c r="N70">
        <v>0</v>
      </c>
      <c r="O70" s="1">
        <v>6.0453704537062895E-13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750</v>
      </c>
      <c r="C71">
        <v>240</v>
      </c>
      <c r="D71">
        <v>0.335024678688366</v>
      </c>
      <c r="E71">
        <v>1.2788027081098201</v>
      </c>
      <c r="F71">
        <v>2.5427440136239099</v>
      </c>
      <c r="G71">
        <v>-20.852770876159585</v>
      </c>
      <c r="H71">
        <v>-18.28690932340303</v>
      </c>
      <c r="I71">
        <v>2.50780584738949</v>
      </c>
      <c r="J71">
        <v>1.4806581570514801</v>
      </c>
      <c r="K71">
        <v>0.50292231591463998</v>
      </c>
      <c r="L71">
        <v>0</v>
      </c>
      <c r="M71">
        <v>1.2382722283092387E-6</v>
      </c>
      <c r="N71">
        <v>0</v>
      </c>
      <c r="O71" s="1">
        <v>7.1496258616401202E-13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749</v>
      </c>
      <c r="C72">
        <v>240</v>
      </c>
      <c r="D72">
        <v>0.33430563028909699</v>
      </c>
      <c r="E72">
        <v>1.47539399093219</v>
      </c>
      <c r="F72">
        <v>2.5427440136239099</v>
      </c>
      <c r="G72">
        <v>-24.055590214246877</v>
      </c>
      <c r="H72">
        <v>-21.099877542411235</v>
      </c>
      <c r="I72">
        <v>2.8916623507661599</v>
      </c>
      <c r="J72">
        <v>1.7080608581627601</v>
      </c>
      <c r="K72">
        <v>0.580236934204581</v>
      </c>
      <c r="L72">
        <v>0</v>
      </c>
      <c r="M72">
        <v>1.2382722283092387E-6</v>
      </c>
      <c r="N72">
        <v>0</v>
      </c>
      <c r="O72" s="1">
        <v>8.2487431147755202E-13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748</v>
      </c>
      <c r="C73">
        <v>240</v>
      </c>
      <c r="D73">
        <v>0.33358517357881101</v>
      </c>
      <c r="E73">
        <v>1.6710733636186199</v>
      </c>
      <c r="F73">
        <v>2.5427440136239099</v>
      </c>
      <c r="G73">
        <v>-27.242774144988275</v>
      </c>
      <c r="H73">
        <v>-23.900258279712268</v>
      </c>
      <c r="I73">
        <v>3.2732858691436202</v>
      </c>
      <c r="J73">
        <v>1.9343488132001101</v>
      </c>
      <c r="K73">
        <v>0.65719292019372999</v>
      </c>
      <c r="L73">
        <v>0</v>
      </c>
      <c r="M73">
        <v>1.2382722283092387E-6</v>
      </c>
      <c r="N73">
        <v>0</v>
      </c>
      <c r="O73" s="1">
        <v>9.3427619924930508E-13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747</v>
      </c>
      <c r="C74">
        <v>240</v>
      </c>
      <c r="D74">
        <v>0.33286330441601902</v>
      </c>
      <c r="E74">
        <v>1.8658478669515199</v>
      </c>
      <c r="F74">
        <v>2.5427440136239099</v>
      </c>
      <c r="G74">
        <v>-30.414443464335879</v>
      </c>
      <c r="H74">
        <v>-26.68814898794114</v>
      </c>
      <c r="I74">
        <v>3.6526927181245199</v>
      </c>
      <c r="J74">
        <v>2.1595303864145001</v>
      </c>
      <c r="K74">
        <v>0.73379304285228697</v>
      </c>
      <c r="L74">
        <v>0</v>
      </c>
      <c r="M74">
        <v>1.2382722283092387E-6</v>
      </c>
      <c r="N74">
        <v>0</v>
      </c>
      <c r="O74" s="1">
        <v>1.0431721858925699E-12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746</v>
      </c>
      <c r="C75">
        <v>240</v>
      </c>
      <c r="D75">
        <v>0.33214001864298798</v>
      </c>
      <c r="E75">
        <v>9.8229583065182204</v>
      </c>
      <c r="F75">
        <v>2.5427440136239099</v>
      </c>
      <c r="G75">
        <v>-160.10090935540842</v>
      </c>
      <c r="H75">
        <v>-140.51402101566347</v>
      </c>
      <c r="I75">
        <v>19.218847411808699</v>
      </c>
      <c r="J75">
        <v>11.367607592823999</v>
      </c>
      <c r="K75">
        <v>3.8631329987947001</v>
      </c>
      <c r="L75">
        <v>0</v>
      </c>
      <c r="M75">
        <v>1.2382722283092385E-6</v>
      </c>
      <c r="N75">
        <v>0</v>
      </c>
      <c r="O75" s="1">
        <v>5.4918930262434004E-12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745</v>
      </c>
      <c r="C76">
        <v>240</v>
      </c>
      <c r="D76">
        <v>0.33141531208564601</v>
      </c>
      <c r="E76">
        <v>15.098430841788099</v>
      </c>
      <c r="F76">
        <v>2.5427440136239099</v>
      </c>
      <c r="G76">
        <v>-246.0544310562332</v>
      </c>
      <c r="H76">
        <v>-215.99530246265945</v>
      </c>
      <c r="I76">
        <v>29.5232810426496</v>
      </c>
      <c r="J76">
        <v>17.470371478491501</v>
      </c>
      <c r="K76">
        <v>5.9378493316241903</v>
      </c>
      <c r="L76">
        <v>0</v>
      </c>
      <c r="M76">
        <v>1.2382722283092387E-6</v>
      </c>
      <c r="N76">
        <v>0</v>
      </c>
      <c r="O76" s="1">
        <v>8.4413436828101099E-12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744</v>
      </c>
      <c r="C77">
        <v>240</v>
      </c>
      <c r="D77">
        <v>0.33068918055350899</v>
      </c>
      <c r="E77">
        <v>25.047011810387598</v>
      </c>
      <c r="F77">
        <v>2.5427440136239099</v>
      </c>
      <c r="G77">
        <v>-408.13439821777041</v>
      </c>
      <c r="H77">
        <v>-358.34680441794933</v>
      </c>
      <c r="I77">
        <v>48.948133313494601</v>
      </c>
      <c r="J77">
        <v>28.978084039661599</v>
      </c>
      <c r="K77">
        <v>9.8503866988524393</v>
      </c>
      <c r="L77">
        <v>0</v>
      </c>
      <c r="M77">
        <v>1.2382722283092387E-6</v>
      </c>
      <c r="N77">
        <v>0</v>
      </c>
      <c r="O77" s="1">
        <v>1.40034707668896E-11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743</v>
      </c>
      <c r="C78">
        <v>240</v>
      </c>
      <c r="D78">
        <v>0.32996161983958999</v>
      </c>
      <c r="E78">
        <v>30.0292382531672</v>
      </c>
      <c r="F78">
        <v>2.5427440136239099</v>
      </c>
      <c r="G78">
        <v>-489.25978591327782</v>
      </c>
      <c r="H78">
        <v>-429.66210027752157</v>
      </c>
      <c r="I78">
        <v>58.650480377657097</v>
      </c>
      <c r="J78">
        <v>34.7377233601566</v>
      </c>
      <c r="K78">
        <v>11.809776403866</v>
      </c>
      <c r="L78">
        <v>0</v>
      </c>
      <c r="M78">
        <v>1.2382722283092387E-6</v>
      </c>
      <c r="N78">
        <v>0</v>
      </c>
      <c r="O78" s="1">
        <v>1.67889712039739E-11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742</v>
      </c>
      <c r="C79">
        <v>240</v>
      </c>
      <c r="D79">
        <v>0.32923262572033701</v>
      </c>
      <c r="E79">
        <v>31.3799035172438</v>
      </c>
      <c r="F79">
        <v>2.5427440136239099</v>
      </c>
      <c r="G79">
        <v>-511.20460790625867</v>
      </c>
      <c r="H79">
        <v>-449.0238857592152</v>
      </c>
      <c r="I79">
        <v>61.252743089241399</v>
      </c>
      <c r="J79">
        <v>36.295417617435803</v>
      </c>
      <c r="K79">
        <v>12.3409605328384</v>
      </c>
      <c r="L79">
        <v>0</v>
      </c>
      <c r="M79">
        <v>1.2382722283092385E-6</v>
      </c>
      <c r="N79">
        <v>0</v>
      </c>
      <c r="O79" s="1">
        <v>1.7544111245609698E-11</v>
      </c>
      <c r="P79">
        <v>0</v>
      </c>
      <c r="Q79">
        <v>100</v>
      </c>
      <c r="AJ79">
        <v>1</v>
      </c>
    </row>
    <row r="80" spans="1:36" x14ac:dyDescent="0.2">
      <c r="A80">
        <v>84</v>
      </c>
      <c r="B80">
        <v>756</v>
      </c>
      <c r="C80">
        <v>220</v>
      </c>
      <c r="D80">
        <v>0.36068648885002402</v>
      </c>
      <c r="E80">
        <v>0.110625743109143</v>
      </c>
      <c r="F80">
        <v>2.5421143754192301</v>
      </c>
      <c r="G80">
        <v>-1.8060906224313027</v>
      </c>
      <c r="H80">
        <v>-1.5820521884205307</v>
      </c>
      <c r="I80">
        <v>0.21769269203786801</v>
      </c>
      <c r="J80">
        <v>0.12818591749606101</v>
      </c>
      <c r="K80">
        <v>4.3517217076788503E-2</v>
      </c>
      <c r="L80">
        <v>0</v>
      </c>
      <c r="M80">
        <v>1.2382498582903024E-6</v>
      </c>
      <c r="N80">
        <v>0</v>
      </c>
      <c r="O80" s="1">
        <v>6.1849468168968002E-14</v>
      </c>
      <c r="P80">
        <v>0</v>
      </c>
      <c r="Q80">
        <v>100</v>
      </c>
      <c r="AJ80">
        <v>1</v>
      </c>
    </row>
    <row r="81" spans="1:36" x14ac:dyDescent="0.2">
      <c r="A81">
        <v>85</v>
      </c>
      <c r="B81">
        <v>755</v>
      </c>
      <c r="C81">
        <v>220</v>
      </c>
      <c r="D81">
        <v>0.35999659582745702</v>
      </c>
      <c r="E81">
        <v>0.307377796772142</v>
      </c>
      <c r="F81">
        <v>2.5421143754192301</v>
      </c>
      <c r="G81">
        <v>-5.0176861726858348</v>
      </c>
      <c r="H81">
        <v>-4.3961477807141529</v>
      </c>
      <c r="I81">
        <v>0.60452112237677602</v>
      </c>
      <c r="J81">
        <v>0.35612417069908597</v>
      </c>
      <c r="K81">
        <v>0.120914227835028</v>
      </c>
      <c r="L81">
        <v>0</v>
      </c>
      <c r="M81">
        <v>1.238249858290302E-6</v>
      </c>
      <c r="N81">
        <v>0</v>
      </c>
      <c r="O81" s="1">
        <v>1.71851078446992E-13</v>
      </c>
      <c r="P81">
        <v>0</v>
      </c>
      <c r="Q81">
        <v>100</v>
      </c>
      <c r="AJ81">
        <v>1</v>
      </c>
    </row>
    <row r="82" spans="1:36" x14ac:dyDescent="0.2">
      <c r="A82">
        <v>86</v>
      </c>
      <c r="B82">
        <v>754</v>
      </c>
      <c r="C82">
        <v>220</v>
      </c>
      <c r="D82">
        <v>0.35930535948985198</v>
      </c>
      <c r="E82">
        <v>0.50322023686366002</v>
      </c>
      <c r="F82">
        <v>2.5421143754192301</v>
      </c>
      <c r="G82">
        <v>-8.2136612688109718</v>
      </c>
      <c r="H82">
        <v>-7.1976887993202947</v>
      </c>
      <c r="I82">
        <v>0.98911791801652804</v>
      </c>
      <c r="J82">
        <v>0.58295062307380996</v>
      </c>
      <c r="K82">
        <v>0.19795342087260401</v>
      </c>
      <c r="L82">
        <v>0</v>
      </c>
      <c r="M82">
        <v>1.2382498582903024E-6</v>
      </c>
      <c r="N82">
        <v>0</v>
      </c>
      <c r="O82" s="1">
        <v>2.81344135163663E-13</v>
      </c>
      <c r="P82">
        <v>0</v>
      </c>
      <c r="Q82">
        <v>100</v>
      </c>
      <c r="AJ82">
        <v>1</v>
      </c>
    </row>
    <row r="83" spans="1:36" x14ac:dyDescent="0.2">
      <c r="A83">
        <v>87</v>
      </c>
      <c r="B83">
        <v>753</v>
      </c>
      <c r="C83">
        <v>220</v>
      </c>
      <c r="D83">
        <v>0.35861277590995699</v>
      </c>
      <c r="E83">
        <v>0.69816000244602705</v>
      </c>
      <c r="F83">
        <v>2.5421143754192301</v>
      </c>
      <c r="G83">
        <v>-11.394135185947878</v>
      </c>
      <c r="H83">
        <v>-9.9867712552983434</v>
      </c>
      <c r="I83">
        <v>1.3714992258924401</v>
      </c>
      <c r="J83">
        <v>0.80867352579698004</v>
      </c>
      <c r="K83">
        <v>0.27463752583157902</v>
      </c>
      <c r="L83">
        <v>0</v>
      </c>
      <c r="M83">
        <v>1.2382498582903024E-6</v>
      </c>
      <c r="N83">
        <v>0</v>
      </c>
      <c r="O83" s="1">
        <v>3.9033251786186798E-13</v>
      </c>
      <c r="P83">
        <v>0</v>
      </c>
      <c r="Q83">
        <v>100</v>
      </c>
      <c r="AJ83">
        <v>1</v>
      </c>
    </row>
    <row r="84" spans="1:36" x14ac:dyDescent="0.2">
      <c r="A84">
        <v>88</v>
      </c>
      <c r="B84">
        <v>752</v>
      </c>
      <c r="C84">
        <v>220</v>
      </c>
      <c r="D84">
        <v>0.35791884114519901</v>
      </c>
      <c r="E84">
        <v>0.89220396028223403</v>
      </c>
      <c r="F84">
        <v>2.5421143754192301</v>
      </c>
      <c r="G84">
        <v>-14.559225959518763</v>
      </c>
      <c r="H84">
        <v>-12.763490158126231</v>
      </c>
      <c r="I84">
        <v>1.75168102364778</v>
      </c>
      <c r="J84">
        <v>1.0333010431404399</v>
      </c>
      <c r="K84">
        <v>0.35096924391338402</v>
      </c>
      <c r="L84">
        <v>0</v>
      </c>
      <c r="M84">
        <v>1.2382498582903024E-6</v>
      </c>
      <c r="N84">
        <v>0</v>
      </c>
      <c r="O84" s="1">
        <v>4.98820065662839E-13</v>
      </c>
      <c r="P84">
        <v>0</v>
      </c>
      <c r="Q84">
        <v>100</v>
      </c>
      <c r="AJ84">
        <v>1</v>
      </c>
    </row>
    <row r="85" spans="1:36" x14ac:dyDescent="0.2">
      <c r="A85">
        <v>89</v>
      </c>
      <c r="B85">
        <v>751</v>
      </c>
      <c r="C85">
        <v>220</v>
      </c>
      <c r="D85">
        <v>0.35722355123761301</v>
      </c>
      <c r="E85">
        <v>1.7727771290079199</v>
      </c>
      <c r="F85">
        <v>2.5421143754192301</v>
      </c>
      <c r="G85">
        <v>-28.925177985717959</v>
      </c>
      <c r="H85">
        <v>-25.362648162412519</v>
      </c>
      <c r="I85">
        <v>3.4785234812336401</v>
      </c>
      <c r="J85">
        <v>2.0528687951161499</v>
      </c>
      <c r="K85">
        <v>0.69736324460836596</v>
      </c>
      <c r="L85">
        <v>0</v>
      </c>
      <c r="M85">
        <v>1.2382498582903024E-6</v>
      </c>
      <c r="N85">
        <v>0</v>
      </c>
      <c r="O85" s="1">
        <v>9.9113750135964292E-13</v>
      </c>
      <c r="P85">
        <v>0</v>
      </c>
      <c r="Q85">
        <v>100</v>
      </c>
      <c r="AJ85">
        <v>1</v>
      </c>
    </row>
    <row r="86" spans="1:36" x14ac:dyDescent="0.2">
      <c r="A86">
        <v>90</v>
      </c>
      <c r="B86">
        <v>750</v>
      </c>
      <c r="C86">
        <v>220</v>
      </c>
      <c r="D86">
        <v>0.356526902213751</v>
      </c>
      <c r="E86">
        <v>6.0934465528043802</v>
      </c>
      <c r="F86">
        <v>2.5421143754192301</v>
      </c>
      <c r="G86">
        <v>-99.410598836413712</v>
      </c>
      <c r="H86">
        <v>-87.184365552369883</v>
      </c>
      <c r="I86">
        <v>11.9496000430472</v>
      </c>
      <c r="J86">
        <v>7.0552801348871004</v>
      </c>
      <c r="K86">
        <v>2.3969993686060902</v>
      </c>
      <c r="L86">
        <v>0</v>
      </c>
      <c r="M86">
        <v>1.2382498582903022E-6</v>
      </c>
      <c r="N86">
        <v>0</v>
      </c>
      <c r="O86" s="1">
        <v>3.4067696904431699E-12</v>
      </c>
      <c r="P86">
        <v>0</v>
      </c>
      <c r="Q86">
        <v>100</v>
      </c>
      <c r="AJ86">
        <v>1</v>
      </c>
    </row>
    <row r="87" spans="1:36" x14ac:dyDescent="0.2">
      <c r="A87">
        <v>91</v>
      </c>
      <c r="B87">
        <v>749</v>
      </c>
      <c r="C87">
        <v>220</v>
      </c>
      <c r="D87">
        <v>0.35582889008462698</v>
      </c>
      <c r="E87">
        <v>12.620411489130801</v>
      </c>
      <c r="F87">
        <v>2.5421143754192301</v>
      </c>
      <c r="G87">
        <v>-205.86902461213933</v>
      </c>
      <c r="H87">
        <v>-180.5860761987222</v>
      </c>
      <c r="I87">
        <v>24.7350666863152</v>
      </c>
      <c r="J87">
        <v>14.6106267281678</v>
      </c>
      <c r="K87">
        <v>4.9645333078491296</v>
      </c>
      <c r="L87">
        <v>0</v>
      </c>
      <c r="M87">
        <v>1.2382498582903022E-6</v>
      </c>
      <c r="N87">
        <v>0</v>
      </c>
      <c r="O87" s="1">
        <v>7.0559140823684299E-12</v>
      </c>
      <c r="P87">
        <v>0</v>
      </c>
      <c r="Q87">
        <v>100</v>
      </c>
      <c r="AJ87">
        <v>1</v>
      </c>
    </row>
    <row r="88" spans="1:36" x14ac:dyDescent="0.2">
      <c r="A88">
        <v>92</v>
      </c>
      <c r="B88">
        <v>748</v>
      </c>
      <c r="C88">
        <v>220</v>
      </c>
      <c r="D88">
        <v>0.355129510845618</v>
      </c>
      <c r="E88">
        <v>21.323965884302901</v>
      </c>
      <c r="F88">
        <v>2.5421143754192301</v>
      </c>
      <c r="G88">
        <v>-347.80298280859108</v>
      </c>
      <c r="H88">
        <v>-305.15034060230096</v>
      </c>
      <c r="I88">
        <v>41.769223136943701</v>
      </c>
      <c r="J88">
        <v>24.6835291609822</v>
      </c>
      <c r="K88">
        <v>8.3882794930445801</v>
      </c>
      <c r="L88">
        <v>0</v>
      </c>
      <c r="M88">
        <v>1.2382498582903024E-6</v>
      </c>
      <c r="N88">
        <v>0</v>
      </c>
      <c r="O88" s="1">
        <v>1.1921962394378201E-11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747</v>
      </c>
      <c r="C89">
        <v>220</v>
      </c>
      <c r="D89">
        <v>0.35442876047640198</v>
      </c>
      <c r="E89">
        <v>28.067850336513199</v>
      </c>
      <c r="F89">
        <v>2.5421143754192301</v>
      </c>
      <c r="G89">
        <v>-457.74365275430091</v>
      </c>
      <c r="H89">
        <v>-401.68920291102199</v>
      </c>
      <c r="I89">
        <v>54.9472625038267</v>
      </c>
      <c r="J89">
        <v>32.485700874458999</v>
      </c>
      <c r="K89">
        <v>11.0411437848402</v>
      </c>
      <c r="L89">
        <v>0</v>
      </c>
      <c r="M89">
        <v>1.2382498582903024E-6</v>
      </c>
      <c r="N89">
        <v>0</v>
      </c>
      <c r="O89" s="1">
        <v>1.56923837722546E-11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746</v>
      </c>
      <c r="C90">
        <v>220</v>
      </c>
      <c r="D90">
        <v>0.35372663494088302</v>
      </c>
      <c r="E90">
        <v>30.6613829942251</v>
      </c>
      <c r="F90">
        <v>2.5421143754192301</v>
      </c>
      <c r="G90">
        <v>-499.98019126134966</v>
      </c>
      <c r="H90">
        <v>-438.84167613077761</v>
      </c>
      <c r="I90">
        <v>59.989712143032897</v>
      </c>
      <c r="J90">
        <v>35.482851423725698</v>
      </c>
      <c r="K90">
        <v>12.061370365827299</v>
      </c>
      <c r="L90">
        <v>0</v>
      </c>
      <c r="M90">
        <v>1.2382498582903022E-6</v>
      </c>
      <c r="N90">
        <v>0</v>
      </c>
      <c r="O90" s="1">
        <v>1.7142395415566901E-11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745</v>
      </c>
      <c r="C91">
        <v>220</v>
      </c>
      <c r="D91">
        <v>0.35302313018710402</v>
      </c>
      <c r="E91">
        <v>31.6240465019598</v>
      </c>
      <c r="F91">
        <v>2.5421143754192301</v>
      </c>
      <c r="G91">
        <v>-515.61601949620035</v>
      </c>
      <c r="H91">
        <v>-452.65641194409636</v>
      </c>
      <c r="I91">
        <v>61.837261260230797</v>
      </c>
      <c r="J91">
        <v>36.5921363505676</v>
      </c>
      <c r="K91">
        <v>12.4400565166327</v>
      </c>
      <c r="L91">
        <v>0</v>
      </c>
      <c r="M91">
        <v>1.2382498582903022E-6</v>
      </c>
      <c r="N91">
        <v>0</v>
      </c>
      <c r="O91" s="1">
        <v>1.7680608532203899E-11</v>
      </c>
      <c r="P91">
        <v>0</v>
      </c>
      <c r="Q91">
        <v>100</v>
      </c>
      <c r="AJ91">
        <v>1</v>
      </c>
    </row>
    <row r="92" spans="1:36" x14ac:dyDescent="0.2">
      <c r="A92">
        <v>97</v>
      </c>
      <c r="B92">
        <v>757</v>
      </c>
      <c r="C92">
        <v>200</v>
      </c>
      <c r="D92">
        <v>0.38273115565694399</v>
      </c>
      <c r="E92">
        <v>2.4102858027433799E-3</v>
      </c>
      <c r="F92">
        <v>2.5414849045122199</v>
      </c>
      <c r="G92">
        <v>-3.9374356757751534E-2</v>
      </c>
      <c r="H92">
        <v>-3.4485526386855758E-2</v>
      </c>
      <c r="I92">
        <v>4.74574612522037E-3</v>
      </c>
      <c r="J92">
        <v>2.79323637448229E-3</v>
      </c>
      <c r="K92">
        <v>9.4837698955602698E-4</v>
      </c>
      <c r="L92">
        <v>0</v>
      </c>
      <c r="M92">
        <v>1.2382274289707085E-6</v>
      </c>
      <c r="N92">
        <v>0</v>
      </c>
      <c r="O92" s="1">
        <v>1.34756062056745E-15</v>
      </c>
      <c r="P92">
        <v>0</v>
      </c>
      <c r="Q92">
        <v>100</v>
      </c>
      <c r="AJ92">
        <v>1</v>
      </c>
    </row>
    <row r="93" spans="1:36" x14ac:dyDescent="0.2">
      <c r="A93">
        <v>98</v>
      </c>
      <c r="B93">
        <v>756</v>
      </c>
      <c r="C93">
        <v>200</v>
      </c>
      <c r="D93">
        <v>0.38206335325268598</v>
      </c>
      <c r="E93">
        <v>0.805040125107499</v>
      </c>
      <c r="F93">
        <v>2.5414849045122199</v>
      </c>
      <c r="G93">
        <v>-13.149526761470925</v>
      </c>
      <c r="H93">
        <v>-11.519165474162085</v>
      </c>
      <c r="I93">
        <v>1.58418237118868</v>
      </c>
      <c r="J93">
        <v>0.93282814793150304</v>
      </c>
      <c r="K93">
        <v>0.31675975083629598</v>
      </c>
      <c r="L93">
        <v>0</v>
      </c>
      <c r="M93">
        <v>1.2382274289707083E-6</v>
      </c>
      <c r="N93">
        <v>0</v>
      </c>
      <c r="O93" s="1">
        <v>4.5008785652589198E-13</v>
      </c>
      <c r="P93">
        <v>0</v>
      </c>
      <c r="Q93">
        <v>100</v>
      </c>
      <c r="AJ93">
        <v>1</v>
      </c>
    </row>
    <row r="94" spans="1:36" x14ac:dyDescent="0.2">
      <c r="A94">
        <v>99</v>
      </c>
      <c r="B94">
        <v>755</v>
      </c>
      <c r="C94">
        <v>200</v>
      </c>
      <c r="D94">
        <v>0.38139425181150599</v>
      </c>
      <c r="E94">
        <v>1.7274013137529201</v>
      </c>
      <c r="F94">
        <v>2.5414849045122199</v>
      </c>
      <c r="G94">
        <v>-28.211977712709015</v>
      </c>
      <c r="H94">
        <v>-24.719057124057478</v>
      </c>
      <c r="I94">
        <v>3.3972869607076102</v>
      </c>
      <c r="J94">
        <v>2.0013461179852001</v>
      </c>
      <c r="K94">
        <v>0.67968190984965005</v>
      </c>
      <c r="L94">
        <v>0</v>
      </c>
      <c r="M94">
        <v>1.2382274289707083E-6</v>
      </c>
      <c r="N94">
        <v>0</v>
      </c>
      <c r="O94" s="1">
        <v>9.6576845106104992E-13</v>
      </c>
      <c r="P94">
        <v>0</v>
      </c>
      <c r="Q94">
        <v>100</v>
      </c>
      <c r="AJ94">
        <v>1</v>
      </c>
    </row>
    <row r="95" spans="1:36" x14ac:dyDescent="0.2">
      <c r="A95">
        <v>100</v>
      </c>
      <c r="B95">
        <v>754</v>
      </c>
      <c r="C95">
        <v>200</v>
      </c>
      <c r="D95">
        <v>0.38072384753930699</v>
      </c>
      <c r="E95">
        <v>4.9002019332315703</v>
      </c>
      <c r="F95">
        <v>2.5414849045122199</v>
      </c>
      <c r="G95">
        <v>-80.020632151916743</v>
      </c>
      <c r="H95">
        <v>-70.127408679552474</v>
      </c>
      <c r="I95">
        <v>9.6317222142474304</v>
      </c>
      <c r="J95">
        <v>5.67659160126101</v>
      </c>
      <c r="K95">
        <v>1.92808618478575</v>
      </c>
      <c r="L95">
        <v>0</v>
      </c>
      <c r="M95">
        <v>1.238227428970708E-6</v>
      </c>
      <c r="N95">
        <v>0</v>
      </c>
      <c r="O95" s="1">
        <v>2.7396415605715499E-12</v>
      </c>
      <c r="P95">
        <v>0</v>
      </c>
      <c r="Q95">
        <v>100</v>
      </c>
      <c r="AJ95">
        <v>1</v>
      </c>
    </row>
    <row r="96" spans="1:36" x14ac:dyDescent="0.2">
      <c r="A96">
        <v>101</v>
      </c>
      <c r="B96">
        <v>753</v>
      </c>
      <c r="C96">
        <v>200</v>
      </c>
      <c r="D96">
        <v>0.380052136627202</v>
      </c>
      <c r="E96">
        <v>11.6160902050771</v>
      </c>
      <c r="F96">
        <v>2.5414849045122199</v>
      </c>
      <c r="G96">
        <v>-189.6687204244345</v>
      </c>
      <c r="H96">
        <v>-166.25278953105635</v>
      </c>
      <c r="I96">
        <v>22.8192085887814</v>
      </c>
      <c r="J96">
        <v>13.4548306823716</v>
      </c>
      <c r="K96">
        <v>4.5705918553572999</v>
      </c>
      <c r="L96">
        <v>0</v>
      </c>
      <c r="M96">
        <v>1.2382274289707085E-6</v>
      </c>
      <c r="N96">
        <v>0</v>
      </c>
      <c r="O96" s="1">
        <v>6.4944106244597702E-12</v>
      </c>
      <c r="P96">
        <v>0</v>
      </c>
      <c r="Q96">
        <v>100</v>
      </c>
      <c r="AJ96">
        <v>1</v>
      </c>
    </row>
    <row r="97" spans="1:36" x14ac:dyDescent="0.2">
      <c r="A97">
        <v>102</v>
      </c>
      <c r="B97">
        <v>752</v>
      </c>
      <c r="C97">
        <v>200</v>
      </c>
      <c r="D97">
        <v>0.37937911525142798</v>
      </c>
      <c r="E97">
        <v>15.905251483833601</v>
      </c>
      <c r="F97">
        <v>2.5414849045122199</v>
      </c>
      <c r="G97">
        <v>-259.67135264684993</v>
      </c>
      <c r="H97">
        <v>-227.65890841757673</v>
      </c>
      <c r="I97">
        <v>31.227083089570499</v>
      </c>
      <c r="J97">
        <v>18.420578344504801</v>
      </c>
      <c r="K97">
        <v>6.2582514086922201</v>
      </c>
      <c r="L97">
        <v>0</v>
      </c>
      <c r="M97">
        <v>1.2382274289707085E-6</v>
      </c>
      <c r="N97">
        <v>0</v>
      </c>
      <c r="O97" s="1">
        <v>8.8924270040676701E-12</v>
      </c>
      <c r="P97">
        <v>0</v>
      </c>
      <c r="Q97">
        <v>100</v>
      </c>
      <c r="AJ97">
        <v>1</v>
      </c>
    </row>
    <row r="98" spans="1:36" x14ac:dyDescent="0.2">
      <c r="A98">
        <v>103</v>
      </c>
      <c r="B98">
        <v>751</v>
      </c>
      <c r="C98">
        <v>200</v>
      </c>
      <c r="D98">
        <v>0.378704779573308</v>
      </c>
      <c r="E98">
        <v>26.758085783855901</v>
      </c>
      <c r="F98">
        <v>2.5414849045122199</v>
      </c>
      <c r="G98">
        <v>-436.80371858937639</v>
      </c>
      <c r="H98">
        <v>-383.0313198711583</v>
      </c>
      <c r="I98">
        <v>52.504417046543999</v>
      </c>
      <c r="J98">
        <v>30.985755865126301</v>
      </c>
      <c r="K98">
        <v>10.5285243820842</v>
      </c>
      <c r="L98">
        <v>0</v>
      </c>
      <c r="M98">
        <v>1.2382274289707085E-6</v>
      </c>
      <c r="N98">
        <v>0</v>
      </c>
      <c r="O98" s="1">
        <v>1.49601108063818E-11</v>
      </c>
      <c r="P98">
        <v>0</v>
      </c>
      <c r="Q98">
        <v>100</v>
      </c>
      <c r="AJ98">
        <v>1</v>
      </c>
    </row>
    <row r="99" spans="1:36" x14ac:dyDescent="0.2">
      <c r="A99">
        <v>104</v>
      </c>
      <c r="B99">
        <v>750</v>
      </c>
      <c r="C99">
        <v>200</v>
      </c>
      <c r="D99">
        <v>0.37802912573913899</v>
      </c>
      <c r="E99">
        <v>30.093506958907099</v>
      </c>
      <c r="F99">
        <v>2.5414849045122199</v>
      </c>
      <c r="G99">
        <v>-491.192690857792</v>
      </c>
      <c r="H99">
        <v>-430.8113888760322</v>
      </c>
      <c r="I99">
        <v>59.015102362077698</v>
      </c>
      <c r="J99">
        <v>34.843683290952796</v>
      </c>
      <c r="K99">
        <v>11.840915090810901</v>
      </c>
      <c r="L99">
        <v>0</v>
      </c>
      <c r="M99">
        <v>1.2382274289707085E-6</v>
      </c>
      <c r="N99">
        <v>0</v>
      </c>
      <c r="O99" s="1">
        <v>1.6824903032842999E-11</v>
      </c>
      <c r="P99">
        <v>0</v>
      </c>
      <c r="Q99">
        <v>100</v>
      </c>
      <c r="AJ99">
        <v>1</v>
      </c>
    </row>
    <row r="100" spans="1:36" x14ac:dyDescent="0.2">
      <c r="A100">
        <v>105</v>
      </c>
      <c r="B100">
        <v>749</v>
      </c>
      <c r="C100">
        <v>200</v>
      </c>
      <c r="D100">
        <v>0.37735214988015597</v>
      </c>
      <c r="E100">
        <v>31.323698075751999</v>
      </c>
      <c r="F100">
        <v>2.5414849045122199</v>
      </c>
      <c r="G100">
        <v>-511.21072491565963</v>
      </c>
      <c r="H100">
        <v>-448.45877397897658</v>
      </c>
      <c r="I100">
        <v>61.392115576659997</v>
      </c>
      <c r="J100">
        <v>36.263386556356899</v>
      </c>
      <c r="K100">
        <v>12.3249593259983</v>
      </c>
      <c r="L100">
        <v>0</v>
      </c>
      <c r="M100">
        <v>1.2382274289707083E-6</v>
      </c>
      <c r="N100">
        <v>0</v>
      </c>
      <c r="O100" s="1">
        <v>1.75126874868464E-11</v>
      </c>
      <c r="P100">
        <v>0</v>
      </c>
      <c r="Q100">
        <v>100</v>
      </c>
      <c r="AJ100">
        <v>1</v>
      </c>
    </row>
    <row r="101" spans="1:36" x14ac:dyDescent="0.2">
      <c r="A101">
        <v>110</v>
      </c>
      <c r="B101">
        <v>761</v>
      </c>
      <c r="C101">
        <v>180</v>
      </c>
      <c r="D101">
        <v>0.40666295991877599</v>
      </c>
      <c r="E101">
        <v>0.33641298468112402</v>
      </c>
      <c r="F101">
        <v>2.5408556008859402</v>
      </c>
      <c r="G101">
        <v>-5.5009327069117475</v>
      </c>
      <c r="H101">
        <v>-4.8143671970596404</v>
      </c>
      <c r="I101">
        <v>0.66389354528076705</v>
      </c>
      <c r="J101">
        <v>0.390059413991444</v>
      </c>
      <c r="K101">
        <v>0.13240145743182799</v>
      </c>
      <c r="L101">
        <v>0</v>
      </c>
      <c r="M101">
        <v>1.2382049403983212E-6</v>
      </c>
      <c r="N101">
        <v>0</v>
      </c>
      <c r="O101" s="1">
        <v>1.8808428854696599E-13</v>
      </c>
      <c r="P101">
        <v>0</v>
      </c>
      <c r="Q101">
        <v>100</v>
      </c>
      <c r="AJ101">
        <v>1</v>
      </c>
    </row>
    <row r="102" spans="1:36" x14ac:dyDescent="0.2">
      <c r="A102">
        <v>111</v>
      </c>
      <c r="B102">
        <v>760</v>
      </c>
      <c r="C102">
        <v>180</v>
      </c>
      <c r="D102">
        <v>0.40602090693510101</v>
      </c>
      <c r="E102">
        <v>1.25556667753004</v>
      </c>
      <c r="F102">
        <v>2.5408556008859402</v>
      </c>
      <c r="G102">
        <v>-20.528204293064395</v>
      </c>
      <c r="H102">
        <v>-17.969724761431547</v>
      </c>
      <c r="I102">
        <v>2.4763872928740698</v>
      </c>
      <c r="J102">
        <v>1.4556040849899301</v>
      </c>
      <c r="K102">
        <v>0.49415113440222902</v>
      </c>
      <c r="L102">
        <v>0</v>
      </c>
      <c r="M102">
        <v>1.238204940398321E-6</v>
      </c>
      <c r="N102">
        <v>0</v>
      </c>
      <c r="O102" s="1">
        <v>7.0197161233345196E-13</v>
      </c>
      <c r="P102">
        <v>0</v>
      </c>
      <c r="Q102">
        <v>100</v>
      </c>
      <c r="AJ102">
        <v>1</v>
      </c>
    </row>
    <row r="103" spans="1:36" x14ac:dyDescent="0.2">
      <c r="A103">
        <v>112</v>
      </c>
      <c r="B103">
        <v>759</v>
      </c>
      <c r="C103">
        <v>180</v>
      </c>
      <c r="D103">
        <v>0.40537760984353299</v>
      </c>
      <c r="E103">
        <v>2.2602326030800501</v>
      </c>
      <c r="F103">
        <v>2.5408556008859402</v>
      </c>
      <c r="G103">
        <v>-36.949786767602085</v>
      </c>
      <c r="H103">
        <v>-32.351167244219788</v>
      </c>
      <c r="I103">
        <v>4.4553790857746396</v>
      </c>
      <c r="J103">
        <v>2.6200040686336998</v>
      </c>
      <c r="K103">
        <v>0.88955570804258099</v>
      </c>
      <c r="L103">
        <v>0</v>
      </c>
      <c r="M103">
        <v>1.2382049403983212E-6</v>
      </c>
      <c r="N103">
        <v>0</v>
      </c>
      <c r="O103" s="1">
        <v>1.26366775498848E-12</v>
      </c>
      <c r="P103">
        <v>0</v>
      </c>
      <c r="Q103">
        <v>100</v>
      </c>
      <c r="AJ103">
        <v>1</v>
      </c>
    </row>
    <row r="104" spans="1:36" x14ac:dyDescent="0.2">
      <c r="A104">
        <v>113</v>
      </c>
      <c r="B104">
        <v>758</v>
      </c>
      <c r="C104">
        <v>180</v>
      </c>
      <c r="D104">
        <v>0.40473306502448703</v>
      </c>
      <c r="E104">
        <v>7.5870685637494004</v>
      </c>
      <c r="F104">
        <v>2.5408556008859402</v>
      </c>
      <c r="G104">
        <v>-124.01678110710003</v>
      </c>
      <c r="H104">
        <v>-108.60404392100834</v>
      </c>
      <c r="I104">
        <v>14.9471339631398</v>
      </c>
      <c r="J104">
        <v>8.7936274020372007</v>
      </c>
      <c r="K104">
        <v>2.9860290215248502</v>
      </c>
      <c r="L104">
        <v>0</v>
      </c>
      <c r="M104">
        <v>1.2382049403983212E-6</v>
      </c>
      <c r="N104">
        <v>0</v>
      </c>
      <c r="O104" s="1">
        <v>4.2418350597331402E-12</v>
      </c>
      <c r="P104">
        <v>0</v>
      </c>
      <c r="Q104">
        <v>100</v>
      </c>
      <c r="AJ104">
        <v>1</v>
      </c>
    </row>
    <row r="105" spans="1:36" x14ac:dyDescent="0.2">
      <c r="A105">
        <v>114</v>
      </c>
      <c r="B105">
        <v>757</v>
      </c>
      <c r="C105">
        <v>180</v>
      </c>
      <c r="D105">
        <v>0.40408726884434598</v>
      </c>
      <c r="E105">
        <v>13.007568847799799</v>
      </c>
      <c r="F105">
        <v>2.5408556008859402</v>
      </c>
      <c r="G105">
        <v>-212.59363014661878</v>
      </c>
      <c r="H105">
        <v>-186.21012095353407</v>
      </c>
      <c r="I105">
        <v>25.611327664014599</v>
      </c>
      <c r="J105">
        <v>15.074234934256699</v>
      </c>
      <c r="K105">
        <v>5.1193656354435904</v>
      </c>
      <c r="L105">
        <v>0</v>
      </c>
      <c r="M105">
        <v>1.2382049403983215E-6</v>
      </c>
      <c r="N105">
        <v>0</v>
      </c>
      <c r="O105" s="1">
        <v>7.27236891519841E-12</v>
      </c>
      <c r="P105">
        <v>0</v>
      </c>
      <c r="Q105">
        <v>100</v>
      </c>
      <c r="AJ105">
        <v>1</v>
      </c>
    </row>
    <row r="106" spans="1:36" x14ac:dyDescent="0.2">
      <c r="A106">
        <v>115</v>
      </c>
      <c r="B106">
        <v>756</v>
      </c>
      <c r="C106">
        <v>180</v>
      </c>
      <c r="D106">
        <v>0.40344021765534699</v>
      </c>
      <c r="E106">
        <v>22.000516624529801</v>
      </c>
      <c r="F106">
        <v>2.5408556008859402</v>
      </c>
      <c r="G106">
        <v>-359.52962829586892</v>
      </c>
      <c r="H106">
        <v>-314.97434528977232</v>
      </c>
      <c r="I106">
        <v>43.293283783798799</v>
      </c>
      <c r="J106">
        <v>25.4927680451406</v>
      </c>
      <c r="K106">
        <v>8.6587040274381302</v>
      </c>
      <c r="L106">
        <v>0</v>
      </c>
      <c r="M106">
        <v>1.2382049403983212E-6</v>
      </c>
      <c r="N106">
        <v>0</v>
      </c>
      <c r="O106" s="1">
        <v>1.23002134442362E-11</v>
      </c>
      <c r="P106">
        <v>0</v>
      </c>
      <c r="Q106">
        <v>100</v>
      </c>
      <c r="AJ106">
        <v>1</v>
      </c>
    </row>
    <row r="107" spans="1:36" x14ac:dyDescent="0.2">
      <c r="A107">
        <v>116</v>
      </c>
      <c r="B107">
        <v>755</v>
      </c>
      <c r="C107">
        <v>180</v>
      </c>
      <c r="D107">
        <v>0.40279190779555302</v>
      </c>
      <c r="E107">
        <v>27.594174341506601</v>
      </c>
      <c r="F107">
        <v>2.5408556008859402</v>
      </c>
      <c r="G107">
        <v>-450.88618203230698</v>
      </c>
      <c r="H107">
        <v>-395.08892234695594</v>
      </c>
      <c r="I107">
        <v>54.269571254535798</v>
      </c>
      <c r="J107">
        <v>31.970274225043301</v>
      </c>
      <c r="K107">
        <v>10.860189902915</v>
      </c>
      <c r="L107">
        <v>0</v>
      </c>
      <c r="M107">
        <v>1.2382049403983212E-6</v>
      </c>
      <c r="N107">
        <v>0</v>
      </c>
      <c r="O107" s="1">
        <v>1.5427557452881001E-11</v>
      </c>
      <c r="P107">
        <v>0</v>
      </c>
      <c r="Q107">
        <v>100</v>
      </c>
      <c r="AJ107">
        <v>1</v>
      </c>
    </row>
    <row r="108" spans="1:36" x14ac:dyDescent="0.2">
      <c r="A108">
        <v>117</v>
      </c>
      <c r="B108">
        <v>754</v>
      </c>
      <c r="C108">
        <v>180</v>
      </c>
      <c r="D108">
        <v>0.402142335588766</v>
      </c>
      <c r="E108">
        <v>30.2299855751236</v>
      </c>
      <c r="F108">
        <v>2.5408556008859402</v>
      </c>
      <c r="G108">
        <v>-493.89565029077562</v>
      </c>
      <c r="H108">
        <v>-432.8630628717068</v>
      </c>
      <c r="I108">
        <v>59.419352011944397</v>
      </c>
      <c r="J108">
        <v>35.019634815094101</v>
      </c>
      <c r="K108">
        <v>11.8975614216656</v>
      </c>
      <c r="L108">
        <v>0</v>
      </c>
      <c r="M108">
        <v>1.2382049403983212E-6</v>
      </c>
      <c r="N108">
        <v>0</v>
      </c>
      <c r="O108" s="1">
        <v>1.69012065187423E-11</v>
      </c>
      <c r="P108">
        <v>0</v>
      </c>
      <c r="Q108">
        <v>100</v>
      </c>
      <c r="AJ108">
        <v>1</v>
      </c>
    </row>
    <row r="109" spans="1:36" x14ac:dyDescent="0.2">
      <c r="A109">
        <v>118</v>
      </c>
      <c r="B109">
        <v>753</v>
      </c>
      <c r="C109">
        <v>180</v>
      </c>
      <c r="D109">
        <v>0.401491497344444</v>
      </c>
      <c r="E109">
        <v>31.343958476594199</v>
      </c>
      <c r="F109">
        <v>2.5408556008859402</v>
      </c>
      <c r="G109">
        <v>-512.03407996300598</v>
      </c>
      <c r="H109">
        <v>-448.85034493208718</v>
      </c>
      <c r="I109">
        <v>61.573585763210801</v>
      </c>
      <c r="J109">
        <v>36.305473422850604</v>
      </c>
      <c r="K109">
        <v>12.335985746559199</v>
      </c>
      <c r="L109">
        <v>0</v>
      </c>
      <c r="M109">
        <v>1.238204940398321E-6</v>
      </c>
      <c r="N109">
        <v>0</v>
      </c>
      <c r="O109" s="1">
        <v>1.7524014823339401E-11</v>
      </c>
      <c r="P109">
        <v>0</v>
      </c>
      <c r="Q109">
        <v>100</v>
      </c>
      <c r="AJ109">
        <v>1</v>
      </c>
    </row>
    <row r="110" spans="1:36" x14ac:dyDescent="0.2">
      <c r="A110">
        <v>126</v>
      </c>
      <c r="B110">
        <v>766</v>
      </c>
      <c r="C110">
        <v>160</v>
      </c>
      <c r="D110">
        <v>0.43102583842564002</v>
      </c>
      <c r="E110">
        <v>0.59081663110851601</v>
      </c>
      <c r="F110">
        <v>2.5402264645234101</v>
      </c>
      <c r="G110">
        <v>-9.6713603510649158</v>
      </c>
      <c r="H110">
        <v>-8.4563331479208284</v>
      </c>
      <c r="I110">
        <v>1.1692510254959201</v>
      </c>
      <c r="J110">
        <v>0.68545904955129</v>
      </c>
      <c r="K110">
        <v>0.232584235838737</v>
      </c>
      <c r="L110">
        <v>0</v>
      </c>
      <c r="M110">
        <v>1.238182392620978E-6</v>
      </c>
      <c r="N110">
        <v>0</v>
      </c>
      <c r="O110" s="1">
        <v>3.3031818266197798E-13</v>
      </c>
      <c r="P110">
        <v>0</v>
      </c>
      <c r="Q110">
        <v>100</v>
      </c>
      <c r="AJ110">
        <v>1</v>
      </c>
    </row>
    <row r="111" spans="1:36" x14ac:dyDescent="0.2">
      <c r="A111">
        <v>127</v>
      </c>
      <c r="B111">
        <v>765</v>
      </c>
      <c r="C111">
        <v>160</v>
      </c>
      <c r="D111">
        <v>0.43041034532582101</v>
      </c>
      <c r="E111">
        <v>1.5535037021391001</v>
      </c>
      <c r="F111">
        <v>2.5402264645234101</v>
      </c>
      <c r="G111">
        <v>-25.426972423970351</v>
      </c>
      <c r="H111">
        <v>-22.237034228829415</v>
      </c>
      <c r="I111">
        <v>3.0727141503067301</v>
      </c>
      <c r="J111">
        <v>1.80213442838503</v>
      </c>
      <c r="K111">
        <v>0.61156110442718503</v>
      </c>
      <c r="L111">
        <v>0</v>
      </c>
      <c r="M111">
        <v>1.2381823926209778E-6</v>
      </c>
      <c r="N111">
        <v>0</v>
      </c>
      <c r="O111" s="1">
        <v>8.6854447324281999E-13</v>
      </c>
      <c r="P111">
        <v>0</v>
      </c>
      <c r="Q111">
        <v>100</v>
      </c>
      <c r="AJ111">
        <v>1</v>
      </c>
    </row>
    <row r="112" spans="1:36" x14ac:dyDescent="0.2">
      <c r="A112">
        <v>128</v>
      </c>
      <c r="B112">
        <v>764</v>
      </c>
      <c r="C112">
        <v>160</v>
      </c>
      <c r="D112">
        <v>0.42979366533288699</v>
      </c>
      <c r="E112">
        <v>2.6401417984896098</v>
      </c>
      <c r="F112">
        <v>2.5402264645234101</v>
      </c>
      <c r="G112">
        <v>-43.207301343565312</v>
      </c>
      <c r="H112">
        <v>-37.794361903162397</v>
      </c>
      <c r="I112">
        <v>5.2190516708315204</v>
      </c>
      <c r="J112">
        <v>3.0623026469358501</v>
      </c>
      <c r="K112">
        <v>1.0393332387334699</v>
      </c>
      <c r="L112">
        <v>0</v>
      </c>
      <c r="M112">
        <v>1.2381823926209776E-6</v>
      </c>
      <c r="N112">
        <v>0</v>
      </c>
      <c r="O112" s="1">
        <v>1.47607023047196E-12</v>
      </c>
      <c r="P112">
        <v>0</v>
      </c>
      <c r="Q112">
        <v>100</v>
      </c>
      <c r="AJ112">
        <v>1</v>
      </c>
    </row>
    <row r="113" spans="1:36" x14ac:dyDescent="0.2">
      <c r="A113">
        <v>129</v>
      </c>
      <c r="B113">
        <v>763</v>
      </c>
      <c r="C113">
        <v>160</v>
      </c>
      <c r="D113">
        <v>0.42917579501038</v>
      </c>
      <c r="E113">
        <v>7.9959453480982399</v>
      </c>
      <c r="F113">
        <v>2.5402264645234101</v>
      </c>
      <c r="G113">
        <v>-130.84202558189278</v>
      </c>
      <c r="H113">
        <v>-114.47344869709434</v>
      </c>
      <c r="I113">
        <v>15.797497355400701</v>
      </c>
      <c r="J113">
        <v>9.2733471206779292</v>
      </c>
      <c r="K113">
        <v>3.1477293303447298</v>
      </c>
      <c r="L113">
        <v>0</v>
      </c>
      <c r="M113">
        <v>1.238182392620978E-6</v>
      </c>
      <c r="N113">
        <v>0</v>
      </c>
      <c r="O113" s="1">
        <v>4.4704329515788403E-12</v>
      </c>
      <c r="P113">
        <v>0</v>
      </c>
      <c r="Q113">
        <v>100</v>
      </c>
      <c r="AJ113">
        <v>1</v>
      </c>
    </row>
    <row r="114" spans="1:36" x14ac:dyDescent="0.2">
      <c r="A114">
        <v>130</v>
      </c>
      <c r="B114">
        <v>762</v>
      </c>
      <c r="C114">
        <v>160</v>
      </c>
      <c r="D114">
        <v>0.428556730908567</v>
      </c>
      <c r="E114">
        <v>12.975862836464801</v>
      </c>
      <c r="F114">
        <v>2.5402264645234101</v>
      </c>
      <c r="G114">
        <v>-212.30550925698978</v>
      </c>
      <c r="H114">
        <v>-185.783172120801</v>
      </c>
      <c r="I114">
        <v>25.621733213726198</v>
      </c>
      <c r="J114">
        <v>15.046956477515099</v>
      </c>
      <c r="K114">
        <v>5.1081519768747503</v>
      </c>
      <c r="L114">
        <v>0</v>
      </c>
      <c r="M114">
        <v>1.238182392620978E-6</v>
      </c>
      <c r="N114">
        <v>0</v>
      </c>
      <c r="O114" s="1">
        <v>7.2546424811540603E-12</v>
      </c>
      <c r="P114">
        <v>0</v>
      </c>
      <c r="Q114">
        <v>100</v>
      </c>
      <c r="AJ114">
        <v>1</v>
      </c>
    </row>
    <row r="115" spans="1:36" x14ac:dyDescent="0.2">
      <c r="A115">
        <v>131</v>
      </c>
      <c r="B115">
        <v>761</v>
      </c>
      <c r="C115">
        <v>160</v>
      </c>
      <c r="D115">
        <v>0.42793646956437897</v>
      </c>
      <c r="E115">
        <v>21.541862133447999</v>
      </c>
      <c r="F115">
        <v>2.5402264645234101</v>
      </c>
      <c r="G115">
        <v>-352.41619651685573</v>
      </c>
      <c r="H115">
        <v>-308.45267479716529</v>
      </c>
      <c r="I115">
        <v>42.511745607204404</v>
      </c>
      <c r="J115">
        <v>24.9770564831847</v>
      </c>
      <c r="K115">
        <v>8.4802919874664102</v>
      </c>
      <c r="L115">
        <v>0</v>
      </c>
      <c r="M115">
        <v>1.2381823926209778E-6</v>
      </c>
      <c r="N115">
        <v>0</v>
      </c>
      <c r="O115" s="1">
        <v>1.20437854596691E-11</v>
      </c>
      <c r="P115">
        <v>0</v>
      </c>
      <c r="Q115">
        <v>100</v>
      </c>
      <c r="AJ115">
        <v>1</v>
      </c>
    </row>
    <row r="116" spans="1:36" x14ac:dyDescent="0.2">
      <c r="A116">
        <v>132</v>
      </c>
      <c r="B116">
        <v>760</v>
      </c>
      <c r="C116">
        <v>160</v>
      </c>
      <c r="D116">
        <v>0.427315007501331</v>
      </c>
      <c r="E116">
        <v>26.469610014179001</v>
      </c>
      <c r="F116">
        <v>2.5402264645234101</v>
      </c>
      <c r="G116">
        <v>-432.9799474675865</v>
      </c>
      <c r="H116">
        <v>-379.04258464683727</v>
      </c>
      <c r="I116">
        <v>52.206710371920003</v>
      </c>
      <c r="J116">
        <v>30.686759336847199</v>
      </c>
      <c r="K116">
        <v>10.4201772494898</v>
      </c>
      <c r="L116">
        <v>0</v>
      </c>
      <c r="M116">
        <v>1.238182392620978E-6</v>
      </c>
      <c r="N116">
        <v>0</v>
      </c>
      <c r="O116" s="1">
        <v>1.4798827614669801E-11</v>
      </c>
      <c r="P116">
        <v>0</v>
      </c>
      <c r="Q116">
        <v>100</v>
      </c>
      <c r="AJ116">
        <v>1</v>
      </c>
    </row>
    <row r="117" spans="1:36" x14ac:dyDescent="0.2">
      <c r="A117">
        <v>133</v>
      </c>
      <c r="B117">
        <v>759</v>
      </c>
      <c r="C117">
        <v>160</v>
      </c>
      <c r="D117">
        <v>0.42669234122947503</v>
      </c>
      <c r="E117">
        <v>29.730574935497401</v>
      </c>
      <c r="F117">
        <v>2.5402264645234101</v>
      </c>
      <c r="G117">
        <v>-486.26296620909824</v>
      </c>
      <c r="H117">
        <v>-425.77379259331684</v>
      </c>
      <c r="I117">
        <v>58.605022153544901</v>
      </c>
      <c r="J117">
        <v>34.4629252704677</v>
      </c>
      <c r="K117">
        <v>11.7039072502834</v>
      </c>
      <c r="L117">
        <v>0</v>
      </c>
      <c r="M117">
        <v>1.2381823926209778E-6</v>
      </c>
      <c r="N117">
        <v>0</v>
      </c>
      <c r="O117" s="1">
        <v>1.6621992281705899E-11</v>
      </c>
      <c r="P117">
        <v>0</v>
      </c>
      <c r="Q117">
        <v>100</v>
      </c>
      <c r="AJ117">
        <v>1</v>
      </c>
    </row>
    <row r="118" spans="1:36" x14ac:dyDescent="0.2">
      <c r="A118">
        <v>134</v>
      </c>
      <c r="B118">
        <v>758</v>
      </c>
      <c r="C118">
        <v>160</v>
      </c>
      <c r="D118">
        <v>0.426068467245311</v>
      </c>
      <c r="E118">
        <v>31.062823201541999</v>
      </c>
      <c r="F118">
        <v>2.5402264645234101</v>
      </c>
      <c r="G118">
        <v>-507.99154280960346</v>
      </c>
      <c r="H118">
        <v>-444.88902485544884</v>
      </c>
      <c r="I118">
        <v>61.196254622658699</v>
      </c>
      <c r="J118">
        <v>36.002692079894501</v>
      </c>
      <c r="K118">
        <v>12.228367681135</v>
      </c>
      <c r="L118">
        <v>0</v>
      </c>
      <c r="M118">
        <v>1.2381823926209778E-6</v>
      </c>
      <c r="N118">
        <v>0</v>
      </c>
      <c r="O118" s="1">
        <v>1.7366835610284501E-11</v>
      </c>
      <c r="P118">
        <v>0</v>
      </c>
      <c r="Q118">
        <v>100</v>
      </c>
      <c r="AJ118">
        <v>1</v>
      </c>
    </row>
    <row r="119" spans="1:36" x14ac:dyDescent="0.2">
      <c r="A119">
        <v>145</v>
      </c>
      <c r="B119">
        <v>773</v>
      </c>
      <c r="C119">
        <v>140</v>
      </c>
      <c r="D119">
        <v>0.456330832098647</v>
      </c>
      <c r="E119">
        <v>6.6504912815075506E-2</v>
      </c>
      <c r="F119">
        <v>2.5395974954075999</v>
      </c>
      <c r="G119">
        <v>-1.0900975708672329</v>
      </c>
      <c r="H119">
        <v>-0.95186530771900757</v>
      </c>
      <c r="I119">
        <v>0.13213426673825401</v>
      </c>
      <c r="J119">
        <v>7.7224749767166007E-2</v>
      </c>
      <c r="K119">
        <v>2.61871863298563E-2</v>
      </c>
      <c r="L119">
        <v>0</v>
      </c>
      <c r="M119">
        <v>1.238159785686488E-6</v>
      </c>
      <c r="N119">
        <v>0</v>
      </c>
      <c r="O119" s="1">
        <v>3.7182064252240401E-14</v>
      </c>
      <c r="P119">
        <v>0</v>
      </c>
      <c r="Q119">
        <v>100</v>
      </c>
      <c r="AJ119">
        <v>1</v>
      </c>
    </row>
    <row r="120" spans="1:36" x14ac:dyDescent="0.2">
      <c r="A120">
        <v>146</v>
      </c>
      <c r="B120">
        <v>772</v>
      </c>
      <c r="C120">
        <v>140</v>
      </c>
      <c r="D120">
        <v>0.45574367315696301</v>
      </c>
      <c r="E120">
        <v>1.0038370086027</v>
      </c>
      <c r="F120">
        <v>2.5395974954075999</v>
      </c>
      <c r="G120">
        <v>-16.452133144820927</v>
      </c>
      <c r="H120">
        <v>-14.368790198677903</v>
      </c>
      <c r="I120">
        <v>1.99334348767451</v>
      </c>
      <c r="J120">
        <v>1.16550172370642</v>
      </c>
      <c r="K120">
        <v>0.39527405835687002</v>
      </c>
      <c r="L120">
        <v>0</v>
      </c>
      <c r="M120">
        <v>1.238159785686488E-6</v>
      </c>
      <c r="N120">
        <v>0</v>
      </c>
      <c r="O120" s="1">
        <v>5.6123270556610295E-13</v>
      </c>
      <c r="P120">
        <v>0</v>
      </c>
      <c r="Q120">
        <v>100</v>
      </c>
      <c r="AJ120">
        <v>1</v>
      </c>
    </row>
    <row r="121" spans="1:36" x14ac:dyDescent="0.2">
      <c r="A121">
        <v>147</v>
      </c>
      <c r="B121">
        <v>771</v>
      </c>
      <c r="C121">
        <v>140</v>
      </c>
      <c r="D121">
        <v>0.45515538955130802</v>
      </c>
      <c r="E121">
        <v>2.02879903708381</v>
      </c>
      <c r="F121">
        <v>2.5395974954075999</v>
      </c>
      <c r="G121">
        <v>-33.246461959814617</v>
      </c>
      <c r="H121">
        <v>-29.042316524841002</v>
      </c>
      <c r="I121">
        <v>4.0263807259240698</v>
      </c>
      <c r="J121">
        <v>2.3552421424955901</v>
      </c>
      <c r="K121">
        <v>0.798866371837474</v>
      </c>
      <c r="L121">
        <v>0</v>
      </c>
      <c r="M121">
        <v>1.2381597856864882E-6</v>
      </c>
      <c r="N121">
        <v>0</v>
      </c>
      <c r="O121" s="1">
        <v>1.13427614530507E-12</v>
      </c>
      <c r="P121">
        <v>0</v>
      </c>
      <c r="Q121">
        <v>100</v>
      </c>
      <c r="AJ121">
        <v>1</v>
      </c>
    </row>
    <row r="122" spans="1:36" x14ac:dyDescent="0.2">
      <c r="A122">
        <v>148</v>
      </c>
      <c r="B122">
        <v>770</v>
      </c>
      <c r="C122">
        <v>140</v>
      </c>
      <c r="D122">
        <v>0.45456597804726301</v>
      </c>
      <c r="E122">
        <v>3.2489317992392399</v>
      </c>
      <c r="F122">
        <v>2.5395974954075999</v>
      </c>
      <c r="G122">
        <v>-53.234651499815584</v>
      </c>
      <c r="H122">
        <v>-46.512323551010752</v>
      </c>
      <c r="I122">
        <v>6.44425820716563</v>
      </c>
      <c r="J122">
        <v>3.7712369842030902</v>
      </c>
      <c r="K122">
        <v>1.2793097351506799</v>
      </c>
      <c r="L122">
        <v>0</v>
      </c>
      <c r="M122">
        <v>1.238159785686488E-6</v>
      </c>
      <c r="N122">
        <v>0</v>
      </c>
      <c r="O122" s="1">
        <v>1.8164370991112199E-12</v>
      </c>
      <c r="P122">
        <v>0</v>
      </c>
      <c r="Q122">
        <v>100</v>
      </c>
      <c r="AJ122">
        <v>1</v>
      </c>
    </row>
    <row r="123" spans="1:36" x14ac:dyDescent="0.2">
      <c r="A123">
        <v>149</v>
      </c>
      <c r="B123">
        <v>769</v>
      </c>
      <c r="C123">
        <v>140</v>
      </c>
      <c r="D123">
        <v>0.45397543539797802</v>
      </c>
      <c r="E123">
        <v>8.6025544150928202</v>
      </c>
      <c r="F123">
        <v>2.5395974954075999</v>
      </c>
      <c r="G123">
        <v>-140.93818924591613</v>
      </c>
      <c r="H123">
        <v>-123.16578473282621</v>
      </c>
      <c r="I123">
        <v>17.053595464270899</v>
      </c>
      <c r="J123">
        <v>9.9842910635923001</v>
      </c>
      <c r="K123">
        <v>3.38736923100962</v>
      </c>
      <c r="L123">
        <v>0</v>
      </c>
      <c r="M123">
        <v>1.238159785686488E-6</v>
      </c>
      <c r="N123">
        <v>0</v>
      </c>
      <c r="O123" s="1">
        <v>4.8095804874563796E-12</v>
      </c>
      <c r="P123">
        <v>0</v>
      </c>
      <c r="Q123">
        <v>100</v>
      </c>
      <c r="AJ123">
        <v>1</v>
      </c>
    </row>
    <row r="124" spans="1:36" x14ac:dyDescent="0.2">
      <c r="A124">
        <v>150</v>
      </c>
      <c r="B124">
        <v>768</v>
      </c>
      <c r="C124">
        <v>140</v>
      </c>
      <c r="D124">
        <v>0.45338375834414102</v>
      </c>
      <c r="E124">
        <v>13.075616080842501</v>
      </c>
      <c r="F124">
        <v>2.5395974954075999</v>
      </c>
      <c r="G124">
        <v>-214.19576572065577</v>
      </c>
      <c r="H124">
        <v>-187.22335023519489</v>
      </c>
      <c r="I124">
        <v>25.906368424781</v>
      </c>
      <c r="J124">
        <v>15.1739419932468</v>
      </c>
      <c r="K124">
        <v>5.1486962420176399</v>
      </c>
      <c r="L124">
        <v>0</v>
      </c>
      <c r="M124">
        <v>1.238159785686488E-6</v>
      </c>
      <c r="N124">
        <v>0</v>
      </c>
      <c r="O124" s="1">
        <v>7.3104132713832695E-12</v>
      </c>
      <c r="P124">
        <v>0</v>
      </c>
      <c r="Q124">
        <v>100</v>
      </c>
      <c r="AJ124">
        <v>1</v>
      </c>
    </row>
    <row r="125" spans="1:36" x14ac:dyDescent="0.2">
      <c r="A125">
        <v>151</v>
      </c>
      <c r="B125">
        <v>767</v>
      </c>
      <c r="C125">
        <v>140</v>
      </c>
      <c r="D125">
        <v>0.45279094361390498</v>
      </c>
      <c r="E125">
        <v>21.019330764723801</v>
      </c>
      <c r="F125">
        <v>2.5395974954075999</v>
      </c>
      <c r="G125">
        <v>-344.2826126844883</v>
      </c>
      <c r="H125">
        <v>-300.98990575647758</v>
      </c>
      <c r="I125">
        <v>41.621599700053601</v>
      </c>
      <c r="J125">
        <v>24.389420196551502</v>
      </c>
      <c r="K125">
        <v>8.2766386416483009</v>
      </c>
      <c r="L125">
        <v>0</v>
      </c>
      <c r="M125">
        <v>1.238159785686488E-6</v>
      </c>
      <c r="N125">
        <v>0</v>
      </c>
      <c r="O125" s="1">
        <v>1.17516447124172E-11</v>
      </c>
      <c r="P125">
        <v>0</v>
      </c>
      <c r="Q125">
        <v>100</v>
      </c>
      <c r="AJ125">
        <v>1</v>
      </c>
    </row>
    <row r="126" spans="1:36" x14ac:dyDescent="0.2">
      <c r="A126">
        <v>152</v>
      </c>
      <c r="B126">
        <v>766</v>
      </c>
      <c r="C126">
        <v>140</v>
      </c>
      <c r="D126">
        <v>0.45219698792282498</v>
      </c>
      <c r="E126">
        <v>25.966044228094901</v>
      </c>
      <c r="F126">
        <v>2.5395974954075999</v>
      </c>
      <c r="G126">
        <v>-425.25507611036414</v>
      </c>
      <c r="H126">
        <v>-371.85534354700798</v>
      </c>
      <c r="I126">
        <v>51.387896418569198</v>
      </c>
      <c r="J126">
        <v>30.125522979612199</v>
      </c>
      <c r="K126">
        <v>10.224472293365199</v>
      </c>
      <c r="L126">
        <v>0</v>
      </c>
      <c r="M126">
        <v>1.238159785686488E-6</v>
      </c>
      <c r="N126">
        <v>0</v>
      </c>
      <c r="O126" s="1">
        <v>1.4517290287262499E-11</v>
      </c>
      <c r="P126">
        <v>0</v>
      </c>
      <c r="Q126">
        <v>100</v>
      </c>
      <c r="AJ126">
        <v>1</v>
      </c>
    </row>
    <row r="127" spans="1:36" x14ac:dyDescent="0.2">
      <c r="A127">
        <v>153</v>
      </c>
      <c r="B127">
        <v>765</v>
      </c>
      <c r="C127">
        <v>140</v>
      </c>
      <c r="D127">
        <v>0.45160188797380102</v>
      </c>
      <c r="E127">
        <v>29.196071573246101</v>
      </c>
      <c r="F127">
        <v>2.5395974954075999</v>
      </c>
      <c r="G127">
        <v>-478.0966106571521</v>
      </c>
      <c r="H127">
        <v>-418.14589169116221</v>
      </c>
      <c r="I127">
        <v>57.747646261127798</v>
      </c>
      <c r="J127">
        <v>33.8687611000164</v>
      </c>
      <c r="K127">
        <v>11.496338150451701</v>
      </c>
      <c r="L127">
        <v>0</v>
      </c>
      <c r="M127">
        <v>1.238159785686488E-6</v>
      </c>
      <c r="N127">
        <v>0</v>
      </c>
      <c r="O127" s="1">
        <v>1.63231581427374E-11</v>
      </c>
      <c r="P127">
        <v>0</v>
      </c>
      <c r="Q127">
        <v>100</v>
      </c>
      <c r="AJ127">
        <v>1</v>
      </c>
    </row>
    <row r="128" spans="1:36" x14ac:dyDescent="0.2">
      <c r="A128">
        <v>154</v>
      </c>
      <c r="B128">
        <v>764</v>
      </c>
      <c r="C128">
        <v>140</v>
      </c>
      <c r="D128">
        <v>0.45100564045702202</v>
      </c>
      <c r="E128">
        <v>30.641317079540201</v>
      </c>
      <c r="F128">
        <v>2.5395974954075999</v>
      </c>
      <c r="G128">
        <v>-501.70245819116917</v>
      </c>
      <c r="H128">
        <v>-438.88022878643778</v>
      </c>
      <c r="I128">
        <v>60.571980335275803</v>
      </c>
      <c r="J128">
        <v>35.540888921934801</v>
      </c>
      <c r="K128">
        <v>12.065422625022</v>
      </c>
      <c r="L128">
        <v>0</v>
      </c>
      <c r="M128">
        <v>1.238159785686488E-6</v>
      </c>
      <c r="N128">
        <v>0</v>
      </c>
      <c r="O128" s="1">
        <v>1.7131176813849899E-11</v>
      </c>
      <c r="P128">
        <v>0</v>
      </c>
      <c r="Q128">
        <v>100</v>
      </c>
      <c r="AJ128">
        <v>1</v>
      </c>
    </row>
    <row r="129" spans="1:36" x14ac:dyDescent="0.2">
      <c r="A129">
        <v>168</v>
      </c>
      <c r="B129">
        <v>781</v>
      </c>
      <c r="C129">
        <v>120</v>
      </c>
      <c r="D129">
        <v>0.48185789498648202</v>
      </c>
      <c r="E129">
        <v>0.13802211448877999</v>
      </c>
      <c r="F129">
        <v>2.5389686935214599</v>
      </c>
      <c r="G129">
        <v>-2.2656385436379285</v>
      </c>
      <c r="H129">
        <v>-1.9752743505495396</v>
      </c>
      <c r="I129">
        <v>0.27544864875813602</v>
      </c>
      <c r="J129">
        <v>0.16042487243953699</v>
      </c>
      <c r="K129">
        <v>5.4361487339707401E-2</v>
      </c>
      <c r="L129">
        <v>0</v>
      </c>
      <c r="M129">
        <v>1.2381371196426337E-6</v>
      </c>
      <c r="N129">
        <v>0</v>
      </c>
      <c r="O129" s="1">
        <v>7.7166436461947996E-14</v>
      </c>
      <c r="P129">
        <v>0</v>
      </c>
      <c r="Q129">
        <v>100</v>
      </c>
      <c r="AJ129">
        <v>1</v>
      </c>
    </row>
    <row r="130" spans="1:36" x14ac:dyDescent="0.2">
      <c r="A130">
        <v>169</v>
      </c>
      <c r="B130">
        <v>780</v>
      </c>
      <c r="C130">
        <v>120</v>
      </c>
      <c r="D130">
        <v>0.48129943502824801</v>
      </c>
      <c r="E130">
        <v>1.0866914647958801</v>
      </c>
      <c r="F130">
        <v>2.5389686935214599</v>
      </c>
      <c r="G130">
        <v>-17.83591587346589</v>
      </c>
      <c r="H130">
        <v>-15.553218462176883</v>
      </c>
      <c r="I130">
        <v>2.1674950494127199</v>
      </c>
      <c r="J130">
        <v>1.2629238436050301</v>
      </c>
      <c r="K130">
        <v>0.428005066611785</v>
      </c>
      <c r="L130">
        <v>0</v>
      </c>
      <c r="M130">
        <v>1.2381371196426337E-6</v>
      </c>
      <c r="N130">
        <v>0</v>
      </c>
      <c r="O130" s="1">
        <v>6.0755559485889202E-13</v>
      </c>
      <c r="P130">
        <v>0</v>
      </c>
      <c r="Q130">
        <v>100</v>
      </c>
      <c r="AJ130">
        <v>1</v>
      </c>
    </row>
    <row r="131" spans="1:36" x14ac:dyDescent="0.2">
      <c r="A131">
        <v>170</v>
      </c>
      <c r="B131">
        <v>779</v>
      </c>
      <c r="C131">
        <v>120</v>
      </c>
      <c r="D131">
        <v>0.48073991351043299</v>
      </c>
      <c r="E131">
        <v>2.1287976185231501</v>
      </c>
      <c r="F131">
        <v>2.5389686935214599</v>
      </c>
      <c r="G131">
        <v>-34.935806145501665</v>
      </c>
      <c r="H131">
        <v>-30.470785722536966</v>
      </c>
      <c r="I131">
        <v>4.2437108995530002</v>
      </c>
      <c r="J131">
        <v>2.4737342733421501</v>
      </c>
      <c r="K131">
        <v>0.83844973116647004</v>
      </c>
      <c r="L131">
        <v>0</v>
      </c>
      <c r="M131">
        <v>1.2381371196426337E-6</v>
      </c>
      <c r="N131">
        <v>0</v>
      </c>
      <c r="O131" s="1">
        <v>1.1901841004143301E-12</v>
      </c>
      <c r="P131">
        <v>0</v>
      </c>
      <c r="Q131">
        <v>100</v>
      </c>
      <c r="AJ131">
        <v>1</v>
      </c>
    </row>
    <row r="132" spans="1:36" x14ac:dyDescent="0.2">
      <c r="A132">
        <v>171</v>
      </c>
      <c r="B132">
        <v>778</v>
      </c>
      <c r="C132">
        <v>120</v>
      </c>
      <c r="D132">
        <v>0.48017932740332298</v>
      </c>
      <c r="E132">
        <v>3.3695438418791199</v>
      </c>
      <c r="F132">
        <v>2.5389686935214599</v>
      </c>
      <c r="G132">
        <v>-55.29104036323983</v>
      </c>
      <c r="H132">
        <v>-48.234262547568079</v>
      </c>
      <c r="I132">
        <v>6.7133880185242303</v>
      </c>
      <c r="J132">
        <v>3.9150510441229001</v>
      </c>
      <c r="K132">
        <v>1.3271309136174001</v>
      </c>
      <c r="L132">
        <v>0</v>
      </c>
      <c r="M132">
        <v>1.2381371196426337E-6</v>
      </c>
      <c r="N132">
        <v>0</v>
      </c>
      <c r="O132" s="1">
        <v>1.8838697823402E-12</v>
      </c>
      <c r="P132">
        <v>0</v>
      </c>
      <c r="Q132">
        <v>100</v>
      </c>
      <c r="AJ132">
        <v>1</v>
      </c>
    </row>
    <row r="133" spans="1:36" x14ac:dyDescent="0.2">
      <c r="A133">
        <v>172</v>
      </c>
      <c r="B133">
        <v>777</v>
      </c>
      <c r="C133">
        <v>120</v>
      </c>
      <c r="D133">
        <v>0.47961767366567098</v>
      </c>
      <c r="E133">
        <v>6.7369768199089703</v>
      </c>
      <c r="F133">
        <v>2.5389686935214599</v>
      </c>
      <c r="G133">
        <v>-110.53402459312549</v>
      </c>
      <c r="H133">
        <v>-96.446135730526791</v>
      </c>
      <c r="I133">
        <v>13.4151205662035</v>
      </c>
      <c r="J133">
        <v>7.8267038235548503</v>
      </c>
      <c r="K133">
        <v>2.6534304409106402</v>
      </c>
      <c r="L133">
        <v>0</v>
      </c>
      <c r="M133">
        <v>1.2381371196426339E-6</v>
      </c>
      <c r="N133">
        <v>0</v>
      </c>
      <c r="O133" s="1">
        <v>3.7665594071258804E-12</v>
      </c>
      <c r="P133">
        <v>0</v>
      </c>
      <c r="Q133">
        <v>100</v>
      </c>
      <c r="AJ133">
        <v>1</v>
      </c>
    </row>
    <row r="134" spans="1:36" x14ac:dyDescent="0.2">
      <c r="A134">
        <v>173</v>
      </c>
      <c r="B134">
        <v>776</v>
      </c>
      <c r="C134">
        <v>120</v>
      </c>
      <c r="D134">
        <v>0.47905494924462999</v>
      </c>
      <c r="E134">
        <v>11.3359206126414</v>
      </c>
      <c r="F134">
        <v>2.5389686935214599</v>
      </c>
      <c r="G134">
        <v>-185.96663322247841</v>
      </c>
      <c r="H134">
        <v>-162.29749408218746</v>
      </c>
      <c r="I134">
        <v>22.560300376772599</v>
      </c>
      <c r="J134">
        <v>13.1679465141397</v>
      </c>
      <c r="K134">
        <v>4.4647736860901999</v>
      </c>
      <c r="L134">
        <v>0</v>
      </c>
      <c r="M134">
        <v>1.2381371196426334E-6</v>
      </c>
      <c r="N134">
        <v>0</v>
      </c>
      <c r="O134" s="1">
        <v>6.3377713124673804E-12</v>
      </c>
      <c r="P134">
        <v>0</v>
      </c>
      <c r="Q134">
        <v>100</v>
      </c>
      <c r="AJ134">
        <v>1</v>
      </c>
    </row>
    <row r="135" spans="1:36" x14ac:dyDescent="0.2">
      <c r="A135">
        <v>174</v>
      </c>
      <c r="B135">
        <v>775</v>
      </c>
      <c r="C135">
        <v>120</v>
      </c>
      <c r="D135">
        <v>0.478491151075708</v>
      </c>
      <c r="E135">
        <v>14.782575121115499</v>
      </c>
      <c r="F135">
        <v>2.5389686935214599</v>
      </c>
      <c r="G135">
        <v>-242.47984905840843</v>
      </c>
      <c r="H135">
        <v>-211.66075739049913</v>
      </c>
      <c r="I135">
        <v>29.403321726765501</v>
      </c>
      <c r="J135">
        <v>17.169539447040499</v>
      </c>
      <c r="K135">
        <v>5.8222754612277701</v>
      </c>
      <c r="L135">
        <v>0</v>
      </c>
      <c r="M135">
        <v>1.2381371196426339E-6</v>
      </c>
      <c r="N135">
        <v>0</v>
      </c>
      <c r="O135" s="1">
        <v>8.2647527032362693E-12</v>
      </c>
      <c r="P135">
        <v>0</v>
      </c>
      <c r="Q135">
        <v>100</v>
      </c>
      <c r="AJ135">
        <v>1</v>
      </c>
    </row>
    <row r="136" spans="1:36" x14ac:dyDescent="0.2">
      <c r="A136">
        <v>175</v>
      </c>
      <c r="B136">
        <v>774</v>
      </c>
      <c r="C136">
        <v>120</v>
      </c>
      <c r="D136">
        <v>0.47792627608270499</v>
      </c>
      <c r="E136">
        <v>23.104994992774898</v>
      </c>
      <c r="F136">
        <v>2.5389686935214599</v>
      </c>
      <c r="G136">
        <v>-378.94727259204961</v>
      </c>
      <c r="H136">
        <v>-330.8501649820729</v>
      </c>
      <c r="I136">
        <v>45.931440204341897</v>
      </c>
      <c r="J136">
        <v>26.8325288207228</v>
      </c>
      <c r="K136">
        <v>9.1001496204859205</v>
      </c>
      <c r="L136">
        <v>0</v>
      </c>
      <c r="M136">
        <v>1.2381371196426337E-6</v>
      </c>
      <c r="N136">
        <v>0</v>
      </c>
      <c r="O136" s="1">
        <v>1.2917713474158701E-11</v>
      </c>
      <c r="P136">
        <v>0</v>
      </c>
      <c r="Q136">
        <v>100</v>
      </c>
      <c r="AJ136">
        <v>1</v>
      </c>
    </row>
    <row r="137" spans="1:36" x14ac:dyDescent="0.2">
      <c r="A137">
        <v>176</v>
      </c>
      <c r="B137">
        <v>773</v>
      </c>
      <c r="C137">
        <v>120</v>
      </c>
      <c r="D137">
        <v>0.47736032117765198</v>
      </c>
      <c r="E137">
        <v>26.6819681746179</v>
      </c>
      <c r="F137">
        <v>2.5389686935214599</v>
      </c>
      <c r="G137">
        <v>-437.56053057115616</v>
      </c>
      <c r="H137">
        <v>-382.10133680780029</v>
      </c>
      <c r="I137">
        <v>53.012659526220801</v>
      </c>
      <c r="J137">
        <v>30.982798538655899</v>
      </c>
      <c r="K137">
        <v>10.508978800211599</v>
      </c>
      <c r="L137">
        <v>0</v>
      </c>
      <c r="M137">
        <v>1.2381371196426337E-6</v>
      </c>
      <c r="N137">
        <v>0</v>
      </c>
      <c r="O137" s="1">
        <v>1.4917554403890401E-11</v>
      </c>
      <c r="P137">
        <v>0</v>
      </c>
      <c r="Q137">
        <v>100</v>
      </c>
      <c r="AJ137">
        <v>1</v>
      </c>
    </row>
    <row r="138" spans="1:36" x14ac:dyDescent="0.2">
      <c r="A138">
        <v>177</v>
      </c>
      <c r="B138">
        <v>772</v>
      </c>
      <c r="C138">
        <v>120</v>
      </c>
      <c r="D138">
        <v>0.47679328326077502</v>
      </c>
      <c r="E138">
        <v>29.399890655240402</v>
      </c>
      <c r="F138">
        <v>2.5389686935214599</v>
      </c>
      <c r="G138">
        <v>-482.07364384605199</v>
      </c>
      <c r="H138">
        <v>-421.05770770396015</v>
      </c>
      <c r="I138">
        <v>58.380075723189798</v>
      </c>
      <c r="J138">
        <v>34.134648296299801</v>
      </c>
      <c r="K138">
        <v>11.5794616649895</v>
      </c>
      <c r="L138">
        <v>0</v>
      </c>
      <c r="M138">
        <v>1.2381371196426337E-6</v>
      </c>
      <c r="N138">
        <v>0</v>
      </c>
      <c r="O138" s="1">
        <v>1.6437110840091101E-11</v>
      </c>
      <c r="P138">
        <v>0</v>
      </c>
      <c r="Q138">
        <v>100</v>
      </c>
      <c r="AJ138">
        <v>1</v>
      </c>
    </row>
    <row r="139" spans="1:36" x14ac:dyDescent="0.2">
      <c r="A139">
        <v>178</v>
      </c>
      <c r="B139">
        <v>771</v>
      </c>
      <c r="C139">
        <v>120</v>
      </c>
      <c r="D139">
        <v>0.47622515922041903</v>
      </c>
      <c r="E139">
        <v>30.672437558404098</v>
      </c>
      <c r="F139">
        <v>2.5389686935214599</v>
      </c>
      <c r="G139">
        <v>-502.87886287015237</v>
      </c>
      <c r="H139">
        <v>-439.31840863904608</v>
      </c>
      <c r="I139">
        <v>60.8729150324247</v>
      </c>
      <c r="J139">
        <v>35.607773973738198</v>
      </c>
      <c r="K139">
        <v>12.080667885614</v>
      </c>
      <c r="L139">
        <v>0</v>
      </c>
      <c r="M139">
        <v>1.2381371196426334E-6</v>
      </c>
      <c r="N139">
        <v>0</v>
      </c>
      <c r="O139" s="1">
        <v>1.7148575884019299E-11</v>
      </c>
      <c r="P139">
        <v>0</v>
      </c>
      <c r="Q139">
        <v>100</v>
      </c>
      <c r="AJ139">
        <v>1</v>
      </c>
    </row>
    <row r="140" spans="1:36" x14ac:dyDescent="0.2">
      <c r="A140">
        <v>195</v>
      </c>
      <c r="B140">
        <v>791</v>
      </c>
      <c r="C140">
        <v>100</v>
      </c>
      <c r="D140">
        <v>0.50805854437814801</v>
      </c>
      <c r="E140">
        <v>0.56698682837458703</v>
      </c>
      <c r="F140">
        <v>2.53834005884787</v>
      </c>
      <c r="G140">
        <v>-9.3229247946814873</v>
      </c>
      <c r="H140">
        <v>-8.1121850316502648</v>
      </c>
      <c r="I140">
        <v>1.1377529136223401</v>
      </c>
      <c r="J140">
        <v>0.65979779239057401</v>
      </c>
      <c r="K140">
        <v>0.22336913700677899</v>
      </c>
      <c r="L140">
        <v>0</v>
      </c>
      <c r="M140">
        <v>1.2381143945371711E-6</v>
      </c>
      <c r="N140">
        <v>0</v>
      </c>
      <c r="O140" s="1">
        <v>3.1699523825282002E-13</v>
      </c>
      <c r="P140">
        <v>0</v>
      </c>
      <c r="Q140">
        <v>100</v>
      </c>
      <c r="AJ140">
        <v>1</v>
      </c>
    </row>
    <row r="141" spans="1:36" x14ac:dyDescent="0.2">
      <c r="A141">
        <v>196</v>
      </c>
      <c r="B141">
        <v>790</v>
      </c>
      <c r="C141">
        <v>100</v>
      </c>
      <c r="D141">
        <v>0.507529981658283</v>
      </c>
      <c r="E141">
        <v>1.5466176165399099</v>
      </c>
      <c r="F141">
        <v>2.53834005884787</v>
      </c>
      <c r="G141">
        <v>-25.427822683929673</v>
      </c>
      <c r="H141">
        <v>-22.130088470625651</v>
      </c>
      <c r="I141">
        <v>3.1018522440897498</v>
      </c>
      <c r="J141">
        <v>1.79957465108154</v>
      </c>
      <c r="K141">
        <v>0.60930276506840797</v>
      </c>
      <c r="L141">
        <v>0</v>
      </c>
      <c r="M141">
        <v>1.2381143945371709E-6</v>
      </c>
      <c r="N141">
        <v>0</v>
      </c>
      <c r="O141" s="1">
        <v>8.6469454898372998E-13</v>
      </c>
      <c r="P141">
        <v>0</v>
      </c>
      <c r="Q141">
        <v>100</v>
      </c>
      <c r="AJ141">
        <v>1</v>
      </c>
    </row>
    <row r="142" spans="1:36" x14ac:dyDescent="0.2">
      <c r="A142">
        <v>197</v>
      </c>
      <c r="B142">
        <v>789</v>
      </c>
      <c r="C142">
        <v>100</v>
      </c>
      <c r="D142">
        <v>0.50700042366897302</v>
      </c>
      <c r="E142">
        <v>2.6420148992190202</v>
      </c>
      <c r="F142">
        <v>2.53834005884787</v>
      </c>
      <c r="G142">
        <v>-43.431868849867698</v>
      </c>
      <c r="H142">
        <v>-37.806874212876444</v>
      </c>
      <c r="I142">
        <v>5.2958571171597697</v>
      </c>
      <c r="J142">
        <v>3.0737680367563698</v>
      </c>
      <c r="K142">
        <v>1.04084355837578</v>
      </c>
      <c r="L142">
        <v>0</v>
      </c>
      <c r="M142">
        <v>1.2381143945371709E-6</v>
      </c>
      <c r="N142">
        <v>0</v>
      </c>
      <c r="O142" s="1">
        <v>1.47711745764246E-12</v>
      </c>
      <c r="P142">
        <v>0</v>
      </c>
      <c r="Q142">
        <v>100</v>
      </c>
      <c r="AJ142">
        <v>1</v>
      </c>
    </row>
    <row r="143" spans="1:36" x14ac:dyDescent="0.2">
      <c r="A143">
        <v>198</v>
      </c>
      <c r="B143">
        <v>788</v>
      </c>
      <c r="C143">
        <v>100</v>
      </c>
      <c r="D143">
        <v>0.50646986759647905</v>
      </c>
      <c r="E143">
        <v>3.9812004211401502</v>
      </c>
      <c r="F143">
        <v>2.53834005884787</v>
      </c>
      <c r="G143">
        <v>-65.438653090382331</v>
      </c>
      <c r="H143">
        <v>-56.975068591910741</v>
      </c>
      <c r="I143">
        <v>7.9758606214687697</v>
      </c>
      <c r="J143">
        <v>4.6312547336115797</v>
      </c>
      <c r="K143">
        <v>1.5684267390663</v>
      </c>
      <c r="L143">
        <v>0</v>
      </c>
      <c r="M143">
        <v>1.2381143945371707E-6</v>
      </c>
      <c r="N143">
        <v>0</v>
      </c>
      <c r="O143" s="1">
        <v>2.2258393191416001E-12</v>
      </c>
      <c r="P143">
        <v>0</v>
      </c>
      <c r="Q143">
        <v>100</v>
      </c>
      <c r="AJ143">
        <v>1</v>
      </c>
    </row>
    <row r="144" spans="1:36" x14ac:dyDescent="0.2">
      <c r="A144">
        <v>199</v>
      </c>
      <c r="B144">
        <v>787</v>
      </c>
      <c r="C144">
        <v>100</v>
      </c>
      <c r="D144">
        <v>0.50593831061642502</v>
      </c>
      <c r="E144">
        <v>6.3027886647931197</v>
      </c>
      <c r="F144">
        <v>2.53834005884787</v>
      </c>
      <c r="G144">
        <v>-103.58577838515676</v>
      </c>
      <c r="H144">
        <v>-90.206713202888182</v>
      </c>
      <c r="I144">
        <v>12.6199737605702</v>
      </c>
      <c r="J144">
        <v>7.3310479428195201</v>
      </c>
      <c r="K144">
        <v>2.48303557390726</v>
      </c>
      <c r="L144">
        <v>0</v>
      </c>
      <c r="M144">
        <v>1.2381143945371709E-6</v>
      </c>
      <c r="N144">
        <v>0</v>
      </c>
      <c r="O144" s="1">
        <v>3.5238102447298698E-12</v>
      </c>
      <c r="P144">
        <v>0</v>
      </c>
      <c r="Q144">
        <v>100</v>
      </c>
      <c r="AJ144">
        <v>1</v>
      </c>
    </row>
    <row r="145" spans="1:36" x14ac:dyDescent="0.2">
      <c r="A145">
        <v>200</v>
      </c>
      <c r="B145">
        <v>786</v>
      </c>
      <c r="C145">
        <v>100</v>
      </c>
      <c r="D145">
        <v>0.50540574989378495</v>
      </c>
      <c r="E145">
        <v>10.542637674757</v>
      </c>
      <c r="F145">
        <v>2.53834005884787</v>
      </c>
      <c r="G145">
        <v>-173.24622107715172</v>
      </c>
      <c r="H145">
        <v>-150.900502574283</v>
      </c>
      <c r="I145">
        <v>21.097784546918401</v>
      </c>
      <c r="J145">
        <v>12.261148940624</v>
      </c>
      <c r="K145">
        <v>4.1533590576284896</v>
      </c>
      <c r="L145">
        <v>0</v>
      </c>
      <c r="M145">
        <v>1.2381143945371709E-6</v>
      </c>
      <c r="N145">
        <v>0</v>
      </c>
      <c r="O145" s="1">
        <v>5.8942567521424997E-12</v>
      </c>
      <c r="P145">
        <v>0</v>
      </c>
      <c r="Q145">
        <v>100</v>
      </c>
      <c r="AJ145">
        <v>1</v>
      </c>
    </row>
    <row r="146" spans="1:36" x14ac:dyDescent="0.2">
      <c r="A146">
        <v>201</v>
      </c>
      <c r="B146">
        <v>785</v>
      </c>
      <c r="C146">
        <v>100</v>
      </c>
      <c r="D146">
        <v>0.50487218258281097</v>
      </c>
      <c r="E146">
        <v>13.8612278536873</v>
      </c>
      <c r="F146">
        <v>2.53834005884787</v>
      </c>
      <c r="G146">
        <v>-227.75258509971312</v>
      </c>
      <c r="H146">
        <v>-198.41677751337019</v>
      </c>
      <c r="I146">
        <v>27.723675836453101</v>
      </c>
      <c r="J146">
        <v>16.1187755400307</v>
      </c>
      <c r="K146">
        <v>5.4607450271965403</v>
      </c>
      <c r="L146">
        <v>0</v>
      </c>
      <c r="M146">
        <v>1.2381143945371709E-6</v>
      </c>
      <c r="N146">
        <v>0</v>
      </c>
      <c r="O146" s="1">
        <v>7.7496389793614696E-12</v>
      </c>
      <c r="P146">
        <v>0</v>
      </c>
      <c r="Q146">
        <v>100</v>
      </c>
      <c r="AJ146">
        <v>1</v>
      </c>
    </row>
    <row r="147" spans="1:36" x14ac:dyDescent="0.2">
      <c r="A147">
        <v>202</v>
      </c>
      <c r="B147">
        <v>784</v>
      </c>
      <c r="C147">
        <v>100</v>
      </c>
      <c r="D147">
        <v>0.50433760582698905</v>
      </c>
      <c r="E147">
        <v>19.9640987686012</v>
      </c>
      <c r="F147">
        <v>2.53834005884787</v>
      </c>
      <c r="G147">
        <v>-327.9883878700644</v>
      </c>
      <c r="H147">
        <v>-285.79963933480587</v>
      </c>
      <c r="I147">
        <v>39.9080059927715</v>
      </c>
      <c r="J147">
        <v>23.2128464269822</v>
      </c>
      <c r="K147">
        <v>7.8650213548072498</v>
      </c>
      <c r="L147">
        <v>0</v>
      </c>
      <c r="M147">
        <v>1.2381143945371711E-6</v>
      </c>
      <c r="N147">
        <v>0</v>
      </c>
      <c r="O147" s="1">
        <v>1.1161677712686699E-11</v>
      </c>
      <c r="P147">
        <v>0</v>
      </c>
      <c r="Q147">
        <v>100</v>
      </c>
      <c r="AJ147">
        <v>1</v>
      </c>
    </row>
    <row r="148" spans="1:36" x14ac:dyDescent="0.2">
      <c r="A148">
        <v>203</v>
      </c>
      <c r="B148">
        <v>783</v>
      </c>
      <c r="C148">
        <v>100</v>
      </c>
      <c r="D148">
        <v>0.50380201675898495</v>
      </c>
      <c r="E148">
        <v>24.6639132946183</v>
      </c>
      <c r="F148">
        <v>2.53834005884787</v>
      </c>
      <c r="G148">
        <v>-405.15192982564065</v>
      </c>
      <c r="H148">
        <v>-353.10935351586926</v>
      </c>
      <c r="I148">
        <v>49.275743322228202</v>
      </c>
      <c r="J148">
        <v>28.6740409808212</v>
      </c>
      <c r="K148">
        <v>9.7165520469361297</v>
      </c>
      <c r="L148">
        <v>0</v>
      </c>
      <c r="M148">
        <v>1.2381143945371711E-6</v>
      </c>
      <c r="N148">
        <v>0</v>
      </c>
      <c r="O148" s="1">
        <v>1.37892851823166E-11</v>
      </c>
      <c r="P148">
        <v>0</v>
      </c>
      <c r="Q148">
        <v>100</v>
      </c>
      <c r="AJ148">
        <v>1</v>
      </c>
    </row>
    <row r="149" spans="1:36" x14ac:dyDescent="0.2">
      <c r="A149">
        <v>204</v>
      </c>
      <c r="B149">
        <v>782</v>
      </c>
      <c r="C149">
        <v>100</v>
      </c>
      <c r="D149">
        <v>0.50326541250059598</v>
      </c>
      <c r="E149">
        <v>27.305032324502701</v>
      </c>
      <c r="F149">
        <v>2.53834005884787</v>
      </c>
      <c r="G149">
        <v>-448.48282197114514</v>
      </c>
      <c r="H149">
        <v>-390.95358046052615</v>
      </c>
      <c r="I149">
        <v>54.522334749200503</v>
      </c>
      <c r="J149">
        <v>31.740789458513799</v>
      </c>
      <c r="K149">
        <v>10.757042670199199</v>
      </c>
      <c r="L149">
        <v>0</v>
      </c>
      <c r="M149">
        <v>1.2381143945371711E-6</v>
      </c>
      <c r="N149">
        <v>0</v>
      </c>
      <c r="O149" s="1">
        <v>1.5265901770628499E-11</v>
      </c>
      <c r="P149">
        <v>0</v>
      </c>
      <c r="Q149">
        <v>100</v>
      </c>
      <c r="AJ149">
        <v>1</v>
      </c>
    </row>
    <row r="150" spans="1:36" x14ac:dyDescent="0.2">
      <c r="A150">
        <v>205</v>
      </c>
      <c r="B150">
        <v>781</v>
      </c>
      <c r="C150">
        <v>100</v>
      </c>
      <c r="D150">
        <v>0.50272779016268998</v>
      </c>
      <c r="E150">
        <v>29.582889474983801</v>
      </c>
      <c r="F150">
        <v>2.53834005884787</v>
      </c>
      <c r="G150">
        <v>-485.83737653260198</v>
      </c>
      <c r="H150">
        <v>-423.60233642006312</v>
      </c>
      <c r="I150">
        <v>59.038125610718403</v>
      </c>
      <c r="J150">
        <v>34.384571544895401</v>
      </c>
      <c r="K150">
        <v>11.654423280232599</v>
      </c>
      <c r="L150">
        <v>0</v>
      </c>
      <c r="M150">
        <v>1.2381143945371709E-6</v>
      </c>
      <c r="N150">
        <v>0</v>
      </c>
      <c r="O150" s="1">
        <v>1.6539423189446398E-11</v>
      </c>
      <c r="P150">
        <v>0</v>
      </c>
      <c r="Q150">
        <v>100</v>
      </c>
      <c r="AJ150">
        <v>1</v>
      </c>
    </row>
    <row r="151" spans="1:36" x14ac:dyDescent="0.2">
      <c r="A151">
        <v>206</v>
      </c>
      <c r="B151">
        <v>780</v>
      </c>
      <c r="C151">
        <v>100</v>
      </c>
      <c r="D151">
        <v>0.50218914684517901</v>
      </c>
      <c r="E151">
        <v>30.700979696219498</v>
      </c>
      <c r="F151">
        <v>2.53834005884787</v>
      </c>
      <c r="G151">
        <v>-504.13842832198702</v>
      </c>
      <c r="H151">
        <v>-439.64813908449884</v>
      </c>
      <c r="I151">
        <v>61.235616234618199</v>
      </c>
      <c r="J151">
        <v>35.679859957004602</v>
      </c>
      <c r="K151">
        <v>12.094904143834199</v>
      </c>
      <c r="L151">
        <v>0</v>
      </c>
      <c r="M151">
        <v>1.2381143945371709E-6</v>
      </c>
      <c r="N151">
        <v>0</v>
      </c>
      <c r="O151" s="1">
        <v>1.71645334359839E-11</v>
      </c>
      <c r="P151">
        <v>0</v>
      </c>
      <c r="Q151">
        <v>100</v>
      </c>
      <c r="AJ15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00CD-E065-4257-BD9C-C23E90AC249E}">
  <sheetPr codeName="Sheet14"/>
  <dimension ref="A1:AJ20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300</v>
      </c>
      <c r="D3">
        <v>0.27517903123937498</v>
      </c>
      <c r="E3">
        <v>3.6938039096064399</v>
      </c>
      <c r="F3">
        <v>0.58013866374805401</v>
      </c>
      <c r="G3">
        <v>-79.847866178766722</v>
      </c>
      <c r="H3">
        <v>-47.067464467517375</v>
      </c>
      <c r="I3">
        <v>31.853972241822799</v>
      </c>
      <c r="J3">
        <v>14.138623310124</v>
      </c>
      <c r="K3">
        <v>6.3671052119543097</v>
      </c>
      <c r="L3">
        <v>1.1180447622227638E-3</v>
      </c>
      <c r="M3">
        <v>1.6751474484224941E-4</v>
      </c>
      <c r="N3" s="1">
        <v>4.7386395406977304E-6</v>
      </c>
      <c r="O3" s="1">
        <v>7.6834115068516897E-7</v>
      </c>
      <c r="P3" s="1">
        <v>-3.1249687334952899E-6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300</v>
      </c>
      <c r="D4">
        <v>0.27440597189125798</v>
      </c>
      <c r="E4">
        <v>3.70623656588372</v>
      </c>
      <c r="F4">
        <v>0.58078779390964097</v>
      </c>
      <c r="G4">
        <v>-80.084664939403581</v>
      </c>
      <c r="H4">
        <v>-47.240073648689972</v>
      </c>
      <c r="I4">
        <v>31.9473931107966</v>
      </c>
      <c r="J4">
        <v>14.191504084418501</v>
      </c>
      <c r="K4">
        <v>6.3813954162754598</v>
      </c>
      <c r="L4">
        <v>1.1185482806184512E-3</v>
      </c>
      <c r="M4">
        <v>1.6721099349605633E-4</v>
      </c>
      <c r="N4" s="1">
        <v>4.78543452768638E-6</v>
      </c>
      <c r="O4" s="1">
        <v>7.6823843951827395E-7</v>
      </c>
      <c r="P4" s="1">
        <v>-3.1334294740928902E-6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3.71858586386527</v>
      </c>
      <c r="F5">
        <v>0.58143794183976405</v>
      </c>
      <c r="G5">
        <v>-80.31946267194229</v>
      </c>
      <c r="H5">
        <v>-47.411720517026488</v>
      </c>
      <c r="I5">
        <v>32.039984576833398</v>
      </c>
      <c r="J5">
        <v>14.2440922087772</v>
      </c>
      <c r="K5">
        <v>6.3954991518081101</v>
      </c>
      <c r="L5">
        <v>1.1190472461558236E-3</v>
      </c>
      <c r="M5">
        <v>1.6690676151603711E-4</v>
      </c>
      <c r="N5" s="1">
        <v>4.8323497656759902E-6</v>
      </c>
      <c r="O5" s="1">
        <v>7.6810059179095103E-7</v>
      </c>
      <c r="P5" s="1">
        <v>-3.1417749513660601E-6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300</v>
      </c>
      <c r="D6">
        <v>0.27285533304097898</v>
      </c>
      <c r="E6">
        <v>3.73085237239939</v>
      </c>
      <c r="F6">
        <v>0.58208910667238001</v>
      </c>
      <c r="G6">
        <v>-80.552273970137662</v>
      </c>
      <c r="H6">
        <v>-47.582411413655493</v>
      </c>
      <c r="I6">
        <v>32.131752257769499</v>
      </c>
      <c r="J6">
        <v>14.2963892753463</v>
      </c>
      <c r="K6">
        <v>6.4094179561742601</v>
      </c>
      <c r="L6">
        <v>1.1195416336781841E-3</v>
      </c>
      <c r="M6">
        <v>1.6660205202628594E-4</v>
      </c>
      <c r="N6" s="1">
        <v>4.8793829949322997E-6</v>
      </c>
      <c r="O6" s="1">
        <v>7.6792795268027297E-7</v>
      </c>
      <c r="P6" s="1">
        <v>-3.1500054248873501E-6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300</v>
      </c>
      <c r="D7">
        <v>0.27207774472028401</v>
      </c>
      <c r="E7">
        <v>3.7430366523602898</v>
      </c>
      <c r="F7">
        <v>0.58274128751843002</v>
      </c>
      <c r="G7">
        <v>-80.78311323446276</v>
      </c>
      <c r="H7">
        <v>-47.752152585722257</v>
      </c>
      <c r="I7">
        <v>32.222701696494902</v>
      </c>
      <c r="J7">
        <v>14.348396848041499</v>
      </c>
      <c r="K7">
        <v>6.4231533487180803</v>
      </c>
      <c r="L7">
        <v>1.1200314181014446E-3</v>
      </c>
      <c r="M7">
        <v>1.6629686818048773E-4</v>
      </c>
      <c r="N7" s="1">
        <v>4.9265319415019897E-6</v>
      </c>
      <c r="O7" s="1">
        <v>7.6772086487433796E-7</v>
      </c>
      <c r="P7" s="1">
        <v>-3.15812115166159E-6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300</v>
      </c>
      <c r="D8">
        <v>0.27129863789483999</v>
      </c>
      <c r="E8">
        <v>3.7551392565444299</v>
      </c>
      <c r="F8">
        <v>0.58339448346576706</v>
      </c>
      <c r="G8">
        <v>-81.011994670232838</v>
      </c>
      <c r="H8">
        <v>-47.920950184919484</v>
      </c>
      <c r="I8">
        <v>32.312838360189303</v>
      </c>
      <c r="J8">
        <v>14.400116462111701</v>
      </c>
      <c r="K8">
        <v>6.4367068304045301</v>
      </c>
      <c r="L8">
        <v>1.1205165744157337E-3</v>
      </c>
      <c r="M8">
        <v>1.6599121316179937E-4</v>
      </c>
      <c r="N8" s="1">
        <v>4.97379431704909E-6</v>
      </c>
      <c r="O8" s="1">
        <v>7.6747966856976201E-7</v>
      </c>
      <c r="P8" s="1">
        <v>-3.1661223860709099E-6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300</v>
      </c>
      <c r="D9">
        <v>0.270518008112205</v>
      </c>
      <c r="E9">
        <v>3.7671607302796302</v>
      </c>
      <c r="F9">
        <v>0.58404869357908595</v>
      </c>
      <c r="G9">
        <v>-81.238932301106274</v>
      </c>
      <c r="H9">
        <v>-48.088810275117261</v>
      </c>
      <c r="I9">
        <v>32.4021676456913</v>
      </c>
      <c r="J9">
        <v>14.4515496264421</v>
      </c>
      <c r="K9">
        <v>6.4500798849394503</v>
      </c>
      <c r="L9">
        <v>1.1209970776875702E-3</v>
      </c>
      <c r="M9">
        <v>1.6568509018277566E-4</v>
      </c>
      <c r="N9" s="1">
        <v>5.0211678196362104E-6</v>
      </c>
      <c r="O9" s="1">
        <v>7.6720470161510404E-7</v>
      </c>
      <c r="P9" s="1">
        <v>-3.1740093804224498E-6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300</v>
      </c>
      <c r="D10">
        <v>0.26973585090251001</v>
      </c>
      <c r="E10">
        <v>3.7791016110320999</v>
      </c>
      <c r="F10">
        <v>0.58470391689982804</v>
      </c>
      <c r="G10">
        <v>-81.463939960951052</v>
      </c>
      <c r="H10">
        <v>-48.255738827207168</v>
      </c>
      <c r="I10">
        <v>32.490694876240397</v>
      </c>
      <c r="J10">
        <v>14.5026978220119</v>
      </c>
      <c r="K10">
        <v>6.4632739781689104</v>
      </c>
      <c r="L10">
        <v>1.1214729030611578E-3</v>
      </c>
      <c r="M10">
        <v>1.6537850248520266E-4</v>
      </c>
      <c r="N10" s="1">
        <v>5.0686501331921296E-6</v>
      </c>
      <c r="O10" s="1">
        <v>7.6689629944752704E-7</v>
      </c>
      <c r="P10" s="1">
        <v>-3.1817823846478801E-6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300</v>
      </c>
      <c r="D11">
        <v>0.26895216177838999</v>
      </c>
      <c r="E11">
        <v>3.7909624287599302</v>
      </c>
      <c r="F11">
        <v>0.58536015244613604</v>
      </c>
      <c r="G11">
        <v>-81.687031301816617</v>
      </c>
      <c r="H11">
        <v>-48.421741723475371</v>
      </c>
      <c r="I11">
        <v>32.578425304641499</v>
      </c>
      <c r="J11">
        <v>14.553562503221301</v>
      </c>
      <c r="K11">
        <v>6.4762905587577899</v>
      </c>
      <c r="L11">
        <v>1.1219440257605904E-3</v>
      </c>
      <c r="M11">
        <v>1.6507145334001015E-4</v>
      </c>
      <c r="N11" s="1">
        <v>5.1162389279710298E-6</v>
      </c>
      <c r="O11" s="1">
        <v>7.6655479518263102E-7</v>
      </c>
      <c r="P11" s="1">
        <v>-3.18944164663483E-6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300</v>
      </c>
      <c r="D12">
        <v>0.26816693623486898</v>
      </c>
      <c r="E12">
        <v>3.8027437057651698</v>
      </c>
      <c r="F12">
        <v>0.58601739921274598</v>
      </c>
      <c r="G12">
        <v>-81.908219791086537</v>
      </c>
      <c r="H12">
        <v>-48.586824755574774</v>
      </c>
      <c r="I12">
        <v>32.665364112116201</v>
      </c>
      <c r="J12">
        <v>14.604145097285899</v>
      </c>
      <c r="K12">
        <v>6.4891310580091401</v>
      </c>
      <c r="L12">
        <v>1.1224104210913089E-3</v>
      </c>
      <c r="M12">
        <v>1.6476394604712205E-4</v>
      </c>
      <c r="N12" s="1">
        <v>5.1639318603405697E-6</v>
      </c>
      <c r="O12" s="1">
        <v>7.66180519601231E-7</v>
      </c>
      <c r="P12" s="1">
        <v>-3.1969874121332901E-6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300</v>
      </c>
      <c r="D13">
        <v>0.26738016974930101</v>
      </c>
      <c r="E13">
        <v>3.81444595700885</v>
      </c>
      <c r="F13">
        <v>0.58667565617094397</v>
      </c>
      <c r="G13">
        <v>-82.127518718606211</v>
      </c>
      <c r="H13">
        <v>-48.750993628411479</v>
      </c>
      <c r="I13">
        <v>32.751516411131902</v>
      </c>
      <c r="J13">
        <v>14.6544470054192</v>
      </c>
      <c r="K13">
        <v>6.5017968904736803</v>
      </c>
      <c r="L13">
        <v>1.1228720644420381E-3</v>
      </c>
      <c r="M13">
        <v>1.6445598393534667E-4</v>
      </c>
      <c r="N13" s="1">
        <v>5.2117265732090801E-6</v>
      </c>
      <c r="O13" s="1">
        <v>7.6577380123000796E-7</v>
      </c>
      <c r="P13" s="1">
        <v>-3.2044199250540601E-6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300</v>
      </c>
      <c r="D14">
        <v>0.26659185778126798</v>
      </c>
      <c r="E14">
        <v>3.8260696899582598</v>
      </c>
      <c r="F14">
        <v>0.58733492226846895</v>
      </c>
      <c r="G14">
        <v>-82.344941193727621</v>
      </c>
      <c r="H14">
        <v>-48.914253958058971</v>
      </c>
      <c r="I14">
        <v>32.836887244210402</v>
      </c>
      <c r="J14">
        <v>14.7044696022131</v>
      </c>
      <c r="K14">
        <v>6.5142894537596998</v>
      </c>
      <c r="L14">
        <v>1.1233289312865035E-3</v>
      </c>
      <c r="M14">
        <v>1.6414757036223098E-4</v>
      </c>
      <c r="N14" s="1">
        <v>5.25962069581234E-6</v>
      </c>
      <c r="O14" s="1">
        <v>7.6533496632682597E-7</v>
      </c>
      <c r="P14" s="1">
        <v>-3.21173942737128E-6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300</v>
      </c>
      <c r="D15">
        <v>0.26580199577250502</v>
      </c>
      <c r="E15">
        <v>3.8376154048278002</v>
      </c>
      <c r="F15">
        <v>0.58799519642945897</v>
      </c>
      <c r="G15">
        <v>-82.560500150827025</v>
      </c>
      <c r="H15">
        <v>-49.076611274699765</v>
      </c>
      <c r="I15">
        <v>32.921481586116499</v>
      </c>
      <c r="J15">
        <v>14.754214236533</v>
      </c>
      <c r="K15">
        <v>6.5266101290135197</v>
      </c>
      <c r="L15">
        <v>1.1237809971851975E-3</v>
      </c>
      <c r="M15">
        <v>1.6383870871392443E-4</v>
      </c>
      <c r="N15" s="1">
        <v>5.3076118440431097E-6</v>
      </c>
      <c r="O15" s="1">
        <v>7.6486433894521295E-7</v>
      </c>
      <c r="P15" s="1">
        <v>-3.2189461593566399E-6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300</v>
      </c>
      <c r="D16">
        <v>0.265010579146782</v>
      </c>
      <c r="E16">
        <v>3.84908359451186</v>
      </c>
      <c r="F16">
        <v>0.58865647755436701</v>
      </c>
      <c r="G16">
        <v>-82.774208348189163</v>
      </c>
      <c r="H16">
        <v>-49.238071021635292</v>
      </c>
      <c r="I16">
        <v>33.005304343401498</v>
      </c>
      <c r="J16">
        <v>14.8036822312308</v>
      </c>
      <c r="K16">
        <v>6.53876028087429</v>
      </c>
      <c r="L16">
        <v>1.1242282377871371E-3</v>
      </c>
      <c r="M16">
        <v>1.6352940240504924E-4</v>
      </c>
      <c r="N16" s="1">
        <v>5.3556976203668496E-6</v>
      </c>
      <c r="O16" s="1">
        <v>7.6436224093666404E-7</v>
      </c>
      <c r="P16" s="1">
        <v>-3.2260403595548998E-6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300</v>
      </c>
      <c r="D17">
        <v>0.264217603309855</v>
      </c>
      <c r="E17">
        <v>3.8604747446279002</v>
      </c>
      <c r="F17">
        <v>0.58931876451991005</v>
      </c>
      <c r="G17">
        <v>-82.986078369261818</v>
      </c>
      <c r="H17">
        <v>-49.398638555702867</v>
      </c>
      <c r="I17">
        <v>33.088360354891499</v>
      </c>
      <c r="J17">
        <v>14.8528748832796</v>
      </c>
      <c r="K17">
        <v>6.5507412576160702</v>
      </c>
      <c r="L17">
        <v>1.1246706288316102E-3</v>
      </c>
      <c r="M17">
        <v>1.6321965487853322E-4</v>
      </c>
      <c r="N17" s="1">
        <v>5.40387561388995E-6</v>
      </c>
      <c r="O17" s="1">
        <v>7.6382899197466802E-7</v>
      </c>
      <c r="P17" s="1">
        <v>-3.2330222648514698E-6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300</v>
      </c>
      <c r="D18">
        <v>0.26342306364936202</v>
      </c>
      <c r="E18">
        <v>3.8717893337875302</v>
      </c>
      <c r="F18">
        <v>0.58998205617897403</v>
      </c>
      <c r="G18">
        <v>-83.196122628807458</v>
      </c>
      <c r="H18">
        <v>-49.558319150611737</v>
      </c>
      <c r="I18">
        <v>33.170654394130601</v>
      </c>
      <c r="J18">
        <v>14.9017934647896</v>
      </c>
      <c r="K18">
        <v>6.5625543916762696</v>
      </c>
      <c r="L18">
        <v>1.125108146149987E-3</v>
      </c>
      <c r="M18">
        <v>1.6290946960549651E-4</v>
      </c>
      <c r="N18" s="1">
        <v>5.4521434007377697E-6</v>
      </c>
      <c r="O18" s="1">
        <v>7.6326490962383599E-7</v>
      </c>
      <c r="P18" s="1">
        <v>-3.2398921107306799E-6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300</v>
      </c>
      <c r="D19">
        <v>0.26262695553471999</v>
      </c>
      <c r="E19">
        <v>3.88302783340544</v>
      </c>
      <c r="F19">
        <v>0.59064635136056898</v>
      </c>
      <c r="G19">
        <v>-83.40435336911483</v>
      </c>
      <c r="H19">
        <v>-49.717117994368991</v>
      </c>
      <c r="I19">
        <v>33.252191167859898</v>
      </c>
      <c r="J19">
        <v>14.950439222242901</v>
      </c>
      <c r="K19">
        <v>6.5742009993980002</v>
      </c>
      <c r="L19">
        <v>1.1255407656673808E-3</v>
      </c>
      <c r="M19">
        <v>1.6259885008507538E-4</v>
      </c>
      <c r="N19" s="1">
        <v>5.5004985438155204E-6</v>
      </c>
      <c r="O19" s="1">
        <v>7.6267030931663002E-7</v>
      </c>
      <c r="P19" s="1">
        <v>-3.2466501311470701E-6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300</v>
      </c>
      <c r="D20">
        <v>0.261829274317047</v>
      </c>
      <c r="E20">
        <v>3.89419070791805</v>
      </c>
      <c r="F20">
        <v>0.59131164886975696</v>
      </c>
      <c r="G20">
        <v>-83.610782665015478</v>
      </c>
      <c r="H20">
        <v>-49.875040191947903</v>
      </c>
      <c r="I20">
        <v>33.332975318007499</v>
      </c>
      <c r="J20">
        <v>14.99881337731</v>
      </c>
      <c r="K20">
        <v>6.5856823814674996</v>
      </c>
      <c r="L20">
        <v>1.1259684634045194E-3</v>
      </c>
      <c r="M20">
        <v>1.6228779984426816E-4</v>
      </c>
      <c r="N20" s="1">
        <v>5.5489385931200797E-6</v>
      </c>
      <c r="O20" s="1">
        <v>7.6204550441108401E-7</v>
      </c>
      <c r="P20" s="1">
        <v>-3.25329655873892E-6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300</v>
      </c>
      <c r="D21">
        <v>0.26103001532908299</v>
      </c>
      <c r="E21">
        <v>4.1257606923146097</v>
      </c>
      <c r="F21">
        <v>0.59197794748758203</v>
      </c>
      <c r="G21">
        <v>-88.547432095609977</v>
      </c>
      <c r="H21">
        <v>-52.856777804061551</v>
      </c>
      <c r="I21">
        <v>35.299426697490198</v>
      </c>
      <c r="J21">
        <v>15.8964285330712</v>
      </c>
      <c r="K21">
        <v>6.9694499766837401</v>
      </c>
      <c r="L21">
        <v>1.1263912154793017E-3</v>
      </c>
      <c r="M21">
        <v>1.6197632243779078E-4</v>
      </c>
      <c r="N21" s="1">
        <v>5.91347977573127E-6</v>
      </c>
      <c r="O21" s="1">
        <v>8.0437703182422604E-7</v>
      </c>
      <c r="P21" s="1">
        <v>-3.4438735867064999E-6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300</v>
      </c>
      <c r="D22">
        <v>0.260229173885068</v>
      </c>
      <c r="E22">
        <v>4.4407600588360197</v>
      </c>
      <c r="F22">
        <v>0.59264524597101398</v>
      </c>
      <c r="G22">
        <v>-95.269989636885981</v>
      </c>
      <c r="H22">
        <v>-56.909474418519224</v>
      </c>
      <c r="I22">
        <v>37.977584016201803</v>
      </c>
      <c r="J22">
        <v>17.116236579435899</v>
      </c>
      <c r="K22">
        <v>7.4931168165537203</v>
      </c>
      <c r="L22">
        <v>1.1268089981088243E-3</v>
      </c>
      <c r="M22">
        <v>1.6166442144791216E-4</v>
      </c>
      <c r="N22" s="1">
        <v>6.4021828038866401E-6</v>
      </c>
      <c r="O22" s="1">
        <v>8.6258012981094101E-7</v>
      </c>
      <c r="P22" s="1">
        <v>-3.7036715946242098E-6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300</v>
      </c>
      <c r="D23">
        <v>0.25942674528068399</v>
      </c>
      <c r="E23">
        <v>5.8430602435083197</v>
      </c>
      <c r="F23">
        <v>0.59331354305285799</v>
      </c>
      <c r="G23">
        <v>-125.30432306371117</v>
      </c>
      <c r="H23">
        <v>-74.90283467470843</v>
      </c>
      <c r="I23">
        <v>49.9478096882317</v>
      </c>
      <c r="J23">
        <v>22.529231546597298</v>
      </c>
      <c r="K23">
        <v>9.8481828232728503</v>
      </c>
      <c r="L23">
        <v>1.1272217876108104E-3</v>
      </c>
      <c r="M23">
        <v>1.6135210048428208E-4</v>
      </c>
      <c r="N23" s="1">
        <v>8.4728239075965306E-6</v>
      </c>
      <c r="O23" s="1">
        <v>1.1307421623099801E-6</v>
      </c>
      <c r="P23" s="1">
        <v>-4.8690336054737897E-6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300</v>
      </c>
      <c r="D24">
        <v>0.25862272479293502</v>
      </c>
      <c r="E24">
        <v>6.84283831294574</v>
      </c>
      <c r="F24">
        <v>0.59398283744173197</v>
      </c>
      <c r="G24">
        <v>-146.68606493008667</v>
      </c>
      <c r="H24">
        <v>-87.745488980715479</v>
      </c>
      <c r="I24">
        <v>58.467977822399703</v>
      </c>
      <c r="J24">
        <v>26.3934965657151</v>
      </c>
      <c r="K24">
        <v>11.520262676978399</v>
      </c>
      <c r="L24">
        <v>1.1276295604055191E-3</v>
      </c>
      <c r="M24">
        <v>1.6103936318377177E-4</v>
      </c>
      <c r="N24" s="1">
        <v>9.9799093019067408E-6</v>
      </c>
      <c r="O24" s="1">
        <v>1.3192744107860899E-6</v>
      </c>
      <c r="P24" s="1">
        <v>-5.6971960997659996E-6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300</v>
      </c>
      <c r="D25">
        <v>0.25781710768008598</v>
      </c>
      <c r="E25">
        <v>9.4556408556145506</v>
      </c>
      <c r="F25">
        <v>0.59465312782199797</v>
      </c>
      <c r="G25">
        <v>-202.61446445548501</v>
      </c>
      <c r="H25">
        <v>-121.2858472330248</v>
      </c>
      <c r="I25">
        <v>80.756618498536099</v>
      </c>
      <c r="J25">
        <v>36.484285391352898</v>
      </c>
      <c r="K25">
        <v>15.901103371384201</v>
      </c>
      <c r="L25">
        <v>1.1280322930175457E-3</v>
      </c>
      <c r="M25">
        <v>1.6072621321029811E-4</v>
      </c>
      <c r="N25" s="1">
        <v>1.38697713198904E-5</v>
      </c>
      <c r="O25" s="1">
        <v>1.8161847133219801E-6</v>
      </c>
      <c r="P25" s="1">
        <v>-7.8656309011473396E-6</v>
      </c>
      <c r="AE25">
        <v>100</v>
      </c>
      <c r="AJ25">
        <v>1</v>
      </c>
    </row>
    <row r="26" spans="1:36" x14ac:dyDescent="0.2">
      <c r="A26">
        <v>25</v>
      </c>
      <c r="B26">
        <v>733</v>
      </c>
      <c r="C26">
        <v>300</v>
      </c>
      <c r="D26">
        <v>0.257009889181535</v>
      </c>
      <c r="E26">
        <v>9.8908719764404207</v>
      </c>
      <c r="F26">
        <v>0.59532441285366999</v>
      </c>
      <c r="G26">
        <v>-211.85609573678136</v>
      </c>
      <c r="H26">
        <v>-126.90665087578</v>
      </c>
      <c r="I26">
        <v>84.4358247033895</v>
      </c>
      <c r="J26">
        <v>38.177129186239497</v>
      </c>
      <c r="K26">
        <v>16.614255627496899</v>
      </c>
      <c r="L26">
        <v>1.1284299620773106E-3</v>
      </c>
      <c r="M26">
        <v>1.6041265425464866E-4</v>
      </c>
      <c r="N26" s="1">
        <v>1.45910489774555E-5</v>
      </c>
      <c r="O26" s="1">
        <v>1.8926414839834799E-6</v>
      </c>
      <c r="P26" s="1">
        <v>-8.2203458271575407E-6</v>
      </c>
      <c r="AE26">
        <v>100</v>
      </c>
      <c r="AJ26">
        <v>1</v>
      </c>
    </row>
    <row r="27" spans="1:36" x14ac:dyDescent="0.2">
      <c r="A27">
        <v>26</v>
      </c>
      <c r="B27">
        <v>757</v>
      </c>
      <c r="C27">
        <v>280</v>
      </c>
      <c r="D27">
        <v>0.29730670290734501</v>
      </c>
      <c r="E27">
        <v>4.0241718795542498</v>
      </c>
      <c r="F27">
        <v>0.55925083615285598</v>
      </c>
      <c r="G27">
        <v>-87.165379659776448</v>
      </c>
      <c r="H27">
        <v>-51.235704290940525</v>
      </c>
      <c r="I27">
        <v>34.880336113282297</v>
      </c>
      <c r="J27">
        <v>15.507542770596899</v>
      </c>
      <c r="K27">
        <v>7.1956474973500901</v>
      </c>
      <c r="L27">
        <v>1.1820071903734558E-3</v>
      </c>
      <c r="M27">
        <v>1.8840061099152227E-4</v>
      </c>
      <c r="N27" s="1">
        <v>5.5590424858635199E-6</v>
      </c>
      <c r="O27" s="1">
        <v>1.07577193715427E-6</v>
      </c>
      <c r="P27" s="1">
        <v>-4.0681529883339E-6</v>
      </c>
      <c r="AE27">
        <v>100</v>
      </c>
      <c r="AJ27">
        <v>1</v>
      </c>
    </row>
    <row r="28" spans="1:36" x14ac:dyDescent="0.2">
      <c r="A28">
        <v>27</v>
      </c>
      <c r="B28">
        <v>756</v>
      </c>
      <c r="C28">
        <v>280</v>
      </c>
      <c r="D28">
        <v>0.29655589564203599</v>
      </c>
      <c r="E28">
        <v>4.03136884140637</v>
      </c>
      <c r="F28">
        <v>0.55991243986604</v>
      </c>
      <c r="G28">
        <v>-87.286333929148668</v>
      </c>
      <c r="H28">
        <v>-51.342874406838831</v>
      </c>
      <c r="I28">
        <v>34.927626214949399</v>
      </c>
      <c r="J28">
        <v>15.541702809037499</v>
      </c>
      <c r="K28">
        <v>7.1999987040310804</v>
      </c>
      <c r="L28">
        <v>1.1826291867375704E-3</v>
      </c>
      <c r="M28">
        <v>1.8805760567189728E-4</v>
      </c>
      <c r="N28" s="1">
        <v>5.6103056412648298E-6</v>
      </c>
      <c r="O28" s="1">
        <v>1.0739533258730701E-6</v>
      </c>
      <c r="P28" s="1">
        <v>-4.0733295050938896E-6</v>
      </c>
      <c r="AE28">
        <v>100</v>
      </c>
      <c r="AJ28">
        <v>1</v>
      </c>
    </row>
    <row r="29" spans="1:36" x14ac:dyDescent="0.2">
      <c r="A29">
        <v>28</v>
      </c>
      <c r="B29">
        <v>755</v>
      </c>
      <c r="C29">
        <v>280</v>
      </c>
      <c r="D29">
        <v>0.29580362787530801</v>
      </c>
      <c r="E29">
        <v>4.0433950388433004</v>
      </c>
      <c r="F29">
        <v>0.56057517348827202</v>
      </c>
      <c r="G29">
        <v>-87.511698333973584</v>
      </c>
      <c r="H29">
        <v>-51.511629435027118</v>
      </c>
      <c r="I29">
        <v>35.016663694869997</v>
      </c>
      <c r="J29">
        <v>15.594500827292199</v>
      </c>
      <c r="K29">
        <v>7.2129399054235597</v>
      </c>
      <c r="L29">
        <v>1.1832459845620444E-3</v>
      </c>
      <c r="M29">
        <v>1.8771393640405843E-4</v>
      </c>
      <c r="N29" s="1">
        <v>5.6685296046054797E-6</v>
      </c>
      <c r="O29" s="1">
        <v>1.07340213477824E-6</v>
      </c>
      <c r="P29" s="1">
        <v>-4.08333033467648E-6</v>
      </c>
      <c r="AE29">
        <v>100</v>
      </c>
      <c r="AJ29">
        <v>1</v>
      </c>
    </row>
    <row r="30" spans="1:36" x14ac:dyDescent="0.2">
      <c r="A30">
        <v>29</v>
      </c>
      <c r="B30">
        <v>754</v>
      </c>
      <c r="C30">
        <v>280</v>
      </c>
      <c r="D30">
        <v>0.29504989534147702</v>
      </c>
      <c r="E30">
        <v>4.0553464406962902</v>
      </c>
      <c r="F30">
        <v>0.56123903625165195</v>
      </c>
      <c r="G30">
        <v>-87.735251445027686</v>
      </c>
      <c r="H30">
        <v>-51.67953049594243</v>
      </c>
      <c r="I30">
        <v>35.104942479039501</v>
      </c>
      <c r="J30">
        <v>15.6470380218844</v>
      </c>
      <c r="K30">
        <v>7.2257027376084499</v>
      </c>
      <c r="L30">
        <v>1.1838575512406082E-3</v>
      </c>
      <c r="M30">
        <v>1.8736960683395947E-4</v>
      </c>
      <c r="N30" s="1">
        <v>5.7269362174913796E-6</v>
      </c>
      <c r="O30" s="1">
        <v>1.0728076458324401E-6</v>
      </c>
      <c r="P30" s="1">
        <v>-4.0931974338976401E-6</v>
      </c>
      <c r="AE30">
        <v>100</v>
      </c>
      <c r="AJ30">
        <v>1</v>
      </c>
    </row>
    <row r="31" spans="1:36" x14ac:dyDescent="0.2">
      <c r="A31">
        <v>30</v>
      </c>
      <c r="B31">
        <v>753</v>
      </c>
      <c r="C31">
        <v>280</v>
      </c>
      <c r="D31">
        <v>0.29429469375822398</v>
      </c>
      <c r="E31">
        <v>4.06722359472161</v>
      </c>
      <c r="F31">
        <v>0.56190402736077705</v>
      </c>
      <c r="G31">
        <v>-87.957007206441034</v>
      </c>
      <c r="H31">
        <v>-51.846583752847337</v>
      </c>
      <c r="I31">
        <v>35.192467932261998</v>
      </c>
      <c r="J31">
        <v>15.6993158695354</v>
      </c>
      <c r="K31">
        <v>7.2382887409173202</v>
      </c>
      <c r="L31">
        <v>1.1844638542590721E-3</v>
      </c>
      <c r="M31">
        <v>1.8702462065274745E-4</v>
      </c>
      <c r="N31" s="1">
        <v>5.7855225567543498E-6</v>
      </c>
      <c r="O31" s="1">
        <v>1.07217026936889E-6</v>
      </c>
      <c r="P31" s="1">
        <v>-4.1029309472110999E-6</v>
      </c>
      <c r="AE31">
        <v>100</v>
      </c>
      <c r="AJ31">
        <v>1</v>
      </c>
    </row>
    <row r="32" spans="1:36" x14ac:dyDescent="0.2">
      <c r="A32">
        <v>31</v>
      </c>
      <c r="B32">
        <v>752</v>
      </c>
      <c r="C32">
        <v>280</v>
      </c>
      <c r="D32">
        <v>0.29353801882651298</v>
      </c>
      <c r="E32">
        <v>4.0790270419512096</v>
      </c>
      <c r="F32">
        <v>0.56257014599264399</v>
      </c>
      <c r="G32">
        <v>-88.176979396621888</v>
      </c>
      <c r="H32">
        <v>-52.012795290694257</v>
      </c>
      <c r="I32">
        <v>35.279245355003603</v>
      </c>
      <c r="J32">
        <v>15.7513358231776</v>
      </c>
      <c r="K32">
        <v>7.2506994390074704</v>
      </c>
      <c r="L32">
        <v>1.1850648611981399E-3</v>
      </c>
      <c r="M32">
        <v>1.8667898159666923E-4</v>
      </c>
      <c r="N32" s="1">
        <v>5.8442856771988204E-6</v>
      </c>
      <c r="O32" s="1">
        <v>1.0714904133330401E-6</v>
      </c>
      <c r="P32" s="1">
        <v>-4.1125310177627898E-6</v>
      </c>
      <c r="AE32">
        <v>100</v>
      </c>
      <c r="AJ32">
        <v>1</v>
      </c>
    </row>
    <row r="33" spans="1:36" x14ac:dyDescent="0.2">
      <c r="A33">
        <v>32</v>
      </c>
      <c r="B33">
        <v>751</v>
      </c>
      <c r="C33">
        <v>280</v>
      </c>
      <c r="D33">
        <v>0.29277986623053498</v>
      </c>
      <c r="E33">
        <v>4.0907573168661804</v>
      </c>
      <c r="F33">
        <v>0.56323739129652295</v>
      </c>
      <c r="G33">
        <v>-88.395181632312443</v>
      </c>
      <c r="H33">
        <v>-52.178171118214742</v>
      </c>
      <c r="I33">
        <v>35.365279984997898</v>
      </c>
      <c r="J33">
        <v>15.8030993125963</v>
      </c>
      <c r="K33">
        <v>7.26293633923986</v>
      </c>
      <c r="L33">
        <v>1.1856605397362169E-3</v>
      </c>
      <c r="M33">
        <v>1.8633269344697987E-4</v>
      </c>
      <c r="N33" s="1">
        <v>5.9032226119374499E-6</v>
      </c>
      <c r="O33" s="1">
        <v>1.07076848334706E-6</v>
      </c>
      <c r="P33" s="1">
        <v>-4.1219977876256103E-6</v>
      </c>
      <c r="AE33">
        <v>100</v>
      </c>
      <c r="AJ33">
        <v>1</v>
      </c>
    </row>
    <row r="34" spans="1:36" x14ac:dyDescent="0.2">
      <c r="A34">
        <v>33</v>
      </c>
      <c r="B34">
        <v>750</v>
      </c>
      <c r="C34">
        <v>280</v>
      </c>
      <c r="D34">
        <v>0.292020231637589</v>
      </c>
      <c r="E34">
        <v>4.10241494740246</v>
      </c>
      <c r="F34">
        <v>0.56390576239388301</v>
      </c>
      <c r="G34">
        <v>-88.611627369012282</v>
      </c>
      <c r="H34">
        <v>-52.34271716787466</v>
      </c>
      <c r="I34">
        <v>35.450576997397803</v>
      </c>
      <c r="J34">
        <v>15.8546077444286</v>
      </c>
      <c r="K34">
        <v>7.2750009327568401</v>
      </c>
      <c r="L34">
        <v>1.1862508576521245E-3</v>
      </c>
      <c r="M34">
        <v>1.8598576002979914E-4</v>
      </c>
      <c r="N34" s="1">
        <v>5.9623303724855296E-6</v>
      </c>
      <c r="O34" s="1">
        <v>1.07000488272888E-6</v>
      </c>
      <c r="P34" s="1">
        <v>-4.1313313978629597E-6</v>
      </c>
      <c r="AE34">
        <v>100</v>
      </c>
      <c r="AJ34">
        <v>1</v>
      </c>
    </row>
    <row r="35" spans="1:36" x14ac:dyDescent="0.2">
      <c r="A35">
        <v>34</v>
      </c>
      <c r="B35">
        <v>749</v>
      </c>
      <c r="C35">
        <v>280</v>
      </c>
      <c r="D35">
        <v>0.291259110698039</v>
      </c>
      <c r="E35">
        <v>4.1140004548995197</v>
      </c>
      <c r="F35">
        <v>0.56457525837825995</v>
      </c>
      <c r="G35">
        <v>-88.826329900169853</v>
      </c>
      <c r="H35">
        <v>-52.506439295098943</v>
      </c>
      <c r="I35">
        <v>35.535141504436503</v>
      </c>
      <c r="J35">
        <v>15.9058625019379</v>
      </c>
      <c r="K35">
        <v>7.2868946944592699</v>
      </c>
      <c r="L35">
        <v>1.1868357828276946E-3</v>
      </c>
      <c r="M35">
        <v>1.8563818521600471E-4</v>
      </c>
      <c r="N35" s="1">
        <v>6.0216059487800496E-6</v>
      </c>
      <c r="O35" s="1">
        <v>1.0692000124967301E-6</v>
      </c>
      <c r="P35" s="1">
        <v>-4.1405319885357297E-6</v>
      </c>
      <c r="AE35">
        <v>100</v>
      </c>
      <c r="AJ35">
        <v>1</v>
      </c>
    </row>
    <row r="36" spans="1:36" x14ac:dyDescent="0.2">
      <c r="A36">
        <v>35</v>
      </c>
      <c r="B36">
        <v>748</v>
      </c>
      <c r="C36">
        <v>280</v>
      </c>
      <c r="D36">
        <v>0.29049649904519698</v>
      </c>
      <c r="E36">
        <v>4.1255143545047703</v>
      </c>
      <c r="F36">
        <v>0.56524587831520201</v>
      </c>
      <c r="G36">
        <v>-89.039302366211459</v>
      </c>
      <c r="H36">
        <v>-52.6693432833152</v>
      </c>
      <c r="I36">
        <v>35.618978559022104</v>
      </c>
      <c r="J36">
        <v>15.9568649465575</v>
      </c>
      <c r="K36">
        <v>7.2986190837896299</v>
      </c>
      <c r="L36">
        <v>1.1874152832506905E-3</v>
      </c>
      <c r="M36">
        <v>1.8528997292108904E-4</v>
      </c>
      <c r="N36" s="1">
        <v>6.0810463098670797E-6</v>
      </c>
      <c r="O36" s="1">
        <v>1.06835427149141E-6</v>
      </c>
      <c r="P36" s="1">
        <v>-4.1495996991675202E-6</v>
      </c>
      <c r="AE36">
        <v>100</v>
      </c>
      <c r="AJ36">
        <v>1</v>
      </c>
    </row>
    <row r="37" spans="1:36" x14ac:dyDescent="0.2">
      <c r="A37">
        <v>36</v>
      </c>
      <c r="B37">
        <v>747</v>
      </c>
      <c r="C37">
        <v>280</v>
      </c>
      <c r="D37">
        <v>0.28973239229525299</v>
      </c>
      <c r="E37">
        <v>4.1369571548419497</v>
      </c>
      <c r="F37">
        <v>0.56591762124212097</v>
      </c>
      <c r="G37">
        <v>-89.250557747671081</v>
      </c>
      <c r="H37">
        <v>-52.831434839606104</v>
      </c>
      <c r="I37">
        <v>35.7020931519749</v>
      </c>
      <c r="J37">
        <v>16.0076164165819</v>
      </c>
      <c r="K37">
        <v>7.3101755442105203</v>
      </c>
      <c r="L37">
        <v>1.1879893270176441E-3</v>
      </c>
      <c r="M37">
        <v>1.8494112710506919E-4</v>
      </c>
      <c r="N37" s="1">
        <v>6.1406484035336499E-6</v>
      </c>
      <c r="O37" s="1">
        <v>1.06746805630708E-6</v>
      </c>
      <c r="P37" s="1">
        <v>-4.1585346684707403E-6</v>
      </c>
      <c r="AE37">
        <v>100</v>
      </c>
      <c r="AJ37">
        <v>1</v>
      </c>
    </row>
    <row r="38" spans="1:36" x14ac:dyDescent="0.2">
      <c r="A38">
        <v>37</v>
      </c>
      <c r="B38">
        <v>746</v>
      </c>
      <c r="C38">
        <v>280</v>
      </c>
      <c r="D38">
        <v>0.288966786047197</v>
      </c>
      <c r="E38">
        <v>4.1483293584633403</v>
      </c>
      <c r="F38">
        <v>0.56659048616824004</v>
      </c>
      <c r="G38">
        <v>-89.46010887524038</v>
      </c>
      <c r="H38">
        <v>-52.992719600367373</v>
      </c>
      <c r="I38">
        <v>35.7844902160315</v>
      </c>
      <c r="J38">
        <v>16.058118228896198</v>
      </c>
      <c r="K38">
        <v>7.32156550406948</v>
      </c>
      <c r="L38">
        <v>1.1885578823363158E-3</v>
      </c>
      <c r="M38">
        <v>1.8459165177229226E-4</v>
      </c>
      <c r="N38" s="1">
        <v>6.2004091570822503E-6</v>
      </c>
      <c r="O38" s="1">
        <v>1.06654176142396E-6</v>
      </c>
      <c r="P38" s="1">
        <v>-4.1673370348568799E-6</v>
      </c>
      <c r="AE38">
        <v>100</v>
      </c>
      <c r="AJ38">
        <v>1</v>
      </c>
    </row>
    <row r="39" spans="1:36" x14ac:dyDescent="0.2">
      <c r="A39">
        <v>38</v>
      </c>
      <c r="B39">
        <v>745</v>
      </c>
      <c r="C39">
        <v>280</v>
      </c>
      <c r="D39">
        <v>0.28819967588272899</v>
      </c>
      <c r="E39">
        <v>4.1596314615998002</v>
      </c>
      <c r="F39">
        <v>0.56726447207448205</v>
      </c>
      <c r="G39">
        <v>-89.667968424656635</v>
      </c>
      <c r="H39">
        <v>-53.15320312800317</v>
      </c>
      <c r="I39">
        <v>35.866174623784701</v>
      </c>
      <c r="J39">
        <v>16.108371677985701</v>
      </c>
      <c r="K39">
        <v>7.3327903762209203</v>
      </c>
      <c r="L39">
        <v>1.1891209175285175E-3</v>
      </c>
      <c r="M39">
        <v>1.8424155097129889E-4</v>
      </c>
      <c r="N39" s="1">
        <v>6.2603254770787097E-6</v>
      </c>
      <c r="O39" s="1">
        <v>1.0655757791592599E-6</v>
      </c>
      <c r="P39" s="1">
        <v>-4.1760069362426903E-6</v>
      </c>
      <c r="AE39">
        <v>100</v>
      </c>
      <c r="AJ39">
        <v>1</v>
      </c>
    </row>
    <row r="40" spans="1:36" x14ac:dyDescent="0.2">
      <c r="A40">
        <v>39</v>
      </c>
      <c r="B40">
        <v>744</v>
      </c>
      <c r="C40">
        <v>280</v>
      </c>
      <c r="D40">
        <v>0.28743105736617303</v>
      </c>
      <c r="E40">
        <v>4.1708639544540098</v>
      </c>
      <c r="F40">
        <v>0.56793957791337202</v>
      </c>
      <c r="G40">
        <v>-89.874148923311481</v>
      </c>
      <c r="H40">
        <v>-53.312890914559226</v>
      </c>
      <c r="I40">
        <v>35.947151190313498</v>
      </c>
      <c r="J40">
        <v>16.1583780370526</v>
      </c>
      <c r="K40">
        <v>7.3438515586075201</v>
      </c>
      <c r="L40">
        <v>1.189678401033136E-3</v>
      </c>
      <c r="M40">
        <v>1.8389082879471355E-4</v>
      </c>
      <c r="N40" s="1">
        <v>6.3203942499233602E-6</v>
      </c>
      <c r="O40" s="1">
        <v>1.0645704997584E-6</v>
      </c>
      <c r="P40" s="1">
        <v>-4.1845445104041501E-6</v>
      </c>
      <c r="AE40">
        <v>100</v>
      </c>
      <c r="AJ40">
        <v>1</v>
      </c>
    </row>
    <row r="41" spans="1:36" x14ac:dyDescent="0.2">
      <c r="A41">
        <v>40</v>
      </c>
      <c r="B41">
        <v>743</v>
      </c>
      <c r="C41">
        <v>280</v>
      </c>
      <c r="D41">
        <v>0.28666092604438298</v>
      </c>
      <c r="E41">
        <v>4.1820273210909802</v>
      </c>
      <c r="F41">
        <v>0.56861580260894296</v>
      </c>
      <c r="G41">
        <v>-90.078662748166551</v>
      </c>
      <c r="H41">
        <v>-53.471788380212885</v>
      </c>
      <c r="I41">
        <v>36.027424672334398</v>
      </c>
      <c r="J41">
        <v>16.208138557567999</v>
      </c>
      <c r="K41">
        <v>7.3547504341294303</v>
      </c>
      <c r="L41">
        <v>1.1902303014083384E-3</v>
      </c>
      <c r="M41">
        <v>1.8353948937903207E-4</v>
      </c>
      <c r="N41" s="1">
        <v>6.3806123418124496E-6</v>
      </c>
      <c r="O41" s="1">
        <v>1.0635263113809E-6</v>
      </c>
      <c r="P41" s="1">
        <v>-4.19294989492006E-6</v>
      </c>
      <c r="AE41">
        <v>100</v>
      </c>
      <c r="AJ41">
        <v>1</v>
      </c>
    </row>
    <row r="42" spans="1:36" x14ac:dyDescent="0.2">
      <c r="A42">
        <v>41</v>
      </c>
      <c r="B42">
        <v>742</v>
      </c>
      <c r="C42">
        <v>280</v>
      </c>
      <c r="D42">
        <v>0.28588927744668102</v>
      </c>
      <c r="E42">
        <v>4.1931220397466502</v>
      </c>
      <c r="F42">
        <v>0.56929314505667195</v>
      </c>
      <c r="G42">
        <v>-90.281522132677637</v>
      </c>
      <c r="H42">
        <v>-53.629900877108412</v>
      </c>
      <c r="I42">
        <v>36.106999770957501</v>
      </c>
      <c r="J42">
        <v>16.257654470451399</v>
      </c>
      <c r="K42">
        <v>7.3654883712489303</v>
      </c>
      <c r="L42">
        <v>1.1907765873347598E-3</v>
      </c>
      <c r="M42">
        <v>1.8318753690447318E-4</v>
      </c>
      <c r="N42" s="1">
        <v>6.4409765993536102E-6</v>
      </c>
      <c r="O42" s="1">
        <v>1.0624436001934199E-6</v>
      </c>
      <c r="P42" s="1">
        <v>-4.2012232275400303E-6</v>
      </c>
      <c r="AE42">
        <v>100</v>
      </c>
      <c r="AJ42">
        <v>1</v>
      </c>
    </row>
    <row r="43" spans="1:36" x14ac:dyDescent="0.2">
      <c r="A43">
        <v>42</v>
      </c>
      <c r="B43">
        <v>741</v>
      </c>
      <c r="C43">
        <v>280</v>
      </c>
      <c r="D43">
        <v>0.28511610708475299</v>
      </c>
      <c r="E43">
        <v>4.2602610500821996</v>
      </c>
      <c r="F43">
        <v>0.56997160412335401</v>
      </c>
      <c r="G43">
        <v>-91.690405746527844</v>
      </c>
      <c r="H43">
        <v>-54.505128009498286</v>
      </c>
      <c r="I43">
        <v>36.668851471688001</v>
      </c>
      <c r="J43">
        <v>16.5245743618493</v>
      </c>
      <c r="K43">
        <v>7.4745145534656796</v>
      </c>
      <c r="L43">
        <v>1.1913172276178299E-3</v>
      </c>
      <c r="M43">
        <v>1.8283497559480223E-4</v>
      </c>
      <c r="N43" s="1">
        <v>6.5882586847131701E-6</v>
      </c>
      <c r="O43" s="1">
        <v>1.0754881484185401E-6</v>
      </c>
      <c r="P43" s="1">
        <v>-4.2655467319135999E-6</v>
      </c>
      <c r="AE43">
        <v>100</v>
      </c>
      <c r="AJ43">
        <v>1</v>
      </c>
    </row>
    <row r="44" spans="1:36" x14ac:dyDescent="0.2">
      <c r="A44">
        <v>43</v>
      </c>
      <c r="B44">
        <v>740</v>
      </c>
      <c r="C44">
        <v>280</v>
      </c>
      <c r="D44">
        <v>0.28434141045255101</v>
      </c>
      <c r="E44">
        <v>4.8346410615600002</v>
      </c>
      <c r="F44">
        <v>0.57065117864704296</v>
      </c>
      <c r="G44">
        <v>-104.01075287059155</v>
      </c>
      <c r="H44">
        <v>-61.87241419511065</v>
      </c>
      <c r="I44">
        <v>41.594142381658401</v>
      </c>
      <c r="J44">
        <v>18.7599448635664</v>
      </c>
      <c r="K44">
        <v>8.4721476840237901</v>
      </c>
      <c r="L44">
        <v>1.1918521911909315E-3</v>
      </c>
      <c r="M44">
        <v>1.8248180971718915E-4</v>
      </c>
      <c r="N44" s="1">
        <v>7.5266284737599202E-6</v>
      </c>
      <c r="O44" s="1">
        <v>1.21598635489798E-6</v>
      </c>
      <c r="P44" s="1">
        <v>-4.8372411172874398E-6</v>
      </c>
      <c r="AE44">
        <v>100</v>
      </c>
      <c r="AJ44">
        <v>1</v>
      </c>
    </row>
    <row r="45" spans="1:36" x14ac:dyDescent="0.2">
      <c r="A45">
        <v>44</v>
      </c>
      <c r="B45">
        <v>739</v>
      </c>
      <c r="C45">
        <v>280</v>
      </c>
      <c r="D45">
        <v>0.28356518302623301</v>
      </c>
      <c r="E45">
        <v>6.2983014114474498</v>
      </c>
      <c r="F45">
        <v>0.57133186743696396</v>
      </c>
      <c r="G45">
        <v>-135.44524798530432</v>
      </c>
      <c r="H45">
        <v>-80.628383369050852</v>
      </c>
      <c r="I45">
        <v>54.162395782325802</v>
      </c>
      <c r="J45">
        <v>24.4491393325332</v>
      </c>
      <c r="K45">
        <v>11.0238930653423</v>
      </c>
      <c r="L45">
        <v>1.1923814471176783E-3</v>
      </c>
      <c r="M45">
        <v>1.8212804358195081E-4</v>
      </c>
      <c r="N45" s="1">
        <v>9.8705920128569401E-6</v>
      </c>
      <c r="O45" s="1">
        <v>1.5782541983380101E-6</v>
      </c>
      <c r="P45" s="1">
        <v>-6.2971885410834703E-6</v>
      </c>
      <c r="AE45">
        <v>100</v>
      </c>
      <c r="AJ45">
        <v>1</v>
      </c>
    </row>
    <row r="46" spans="1:36" x14ac:dyDescent="0.2">
      <c r="A46">
        <v>45</v>
      </c>
      <c r="B46">
        <v>738</v>
      </c>
      <c r="C46">
        <v>280</v>
      </c>
      <c r="D46">
        <v>0.28278742026405701</v>
      </c>
      <c r="E46">
        <v>7.2014885572445104</v>
      </c>
      <c r="F46">
        <v>0.57201366927340502</v>
      </c>
      <c r="G46">
        <v>-154.8064115941178</v>
      </c>
      <c r="H46">
        <v>-92.218591559245965</v>
      </c>
      <c r="I46">
        <v>61.901736803487402</v>
      </c>
      <c r="J46">
        <v>27.966285168613499</v>
      </c>
      <c r="K46">
        <v>12.589714099650999</v>
      </c>
      <c r="L46">
        <v>1.1929049645947555E-3</v>
      </c>
      <c r="M46">
        <v>1.817736815424203E-4</v>
      </c>
      <c r="N46" s="1">
        <v>1.13607595421462E-5</v>
      </c>
      <c r="O46" s="1">
        <v>1.7978722211229601E-6</v>
      </c>
      <c r="P46" s="1">
        <v>-7.1949870743674404E-6</v>
      </c>
      <c r="AE46">
        <v>100</v>
      </c>
      <c r="AJ46">
        <v>1</v>
      </c>
    </row>
    <row r="47" spans="1:36" x14ac:dyDescent="0.2">
      <c r="A47">
        <v>46</v>
      </c>
      <c r="B47">
        <v>737</v>
      </c>
      <c r="C47">
        <v>280</v>
      </c>
      <c r="D47">
        <v>0.28200811760629901</v>
      </c>
      <c r="E47">
        <v>9.7187076138350292</v>
      </c>
      <c r="F47">
        <v>0.572696582907678</v>
      </c>
      <c r="G47">
        <v>-208.83415541890358</v>
      </c>
      <c r="H47">
        <v>-124.49056480127634</v>
      </c>
      <c r="I47">
        <v>83.501610908202593</v>
      </c>
      <c r="J47">
        <v>37.756606025646803</v>
      </c>
      <c r="K47">
        <v>16.970081372742701</v>
      </c>
      <c r="L47">
        <v>1.1934227129547308E-3</v>
      </c>
      <c r="M47">
        <v>1.8141872799472535E-4</v>
      </c>
      <c r="N47" s="1">
        <v>1.5432662568760901E-5</v>
      </c>
      <c r="O47" s="1">
        <v>2.41725280127682E-6</v>
      </c>
      <c r="P47" s="1">
        <v>-9.7027637706337993E-6</v>
      </c>
      <c r="AE47">
        <v>100</v>
      </c>
      <c r="AJ47">
        <v>1</v>
      </c>
    </row>
    <row r="48" spans="1:36" x14ac:dyDescent="0.2">
      <c r="A48">
        <v>47</v>
      </c>
      <c r="B48">
        <v>736</v>
      </c>
      <c r="C48">
        <v>280</v>
      </c>
      <c r="D48">
        <v>0.281227270475152</v>
      </c>
      <c r="E48">
        <v>10.178779663137201</v>
      </c>
      <c r="F48">
        <v>0.57338060706197302</v>
      </c>
      <c r="G48">
        <v>-218.63268084511429</v>
      </c>
      <c r="H48">
        <v>-130.42335171544988</v>
      </c>
      <c r="I48">
        <v>87.415304020647298</v>
      </c>
      <c r="J48">
        <v>39.559575098530402</v>
      </c>
      <c r="K48">
        <v>17.752221714113599</v>
      </c>
      <c r="L48">
        <v>1.193934661668567E-3</v>
      </c>
      <c r="M48">
        <v>1.810631873775854E-4</v>
      </c>
      <c r="N48" s="1">
        <v>1.6268867845671802E-5</v>
      </c>
      <c r="O48" s="1">
        <v>2.5222041658854001E-6</v>
      </c>
      <c r="P48" s="1">
        <v>-1.01544532609183E-5</v>
      </c>
      <c r="AE48">
        <v>100</v>
      </c>
      <c r="AJ48">
        <v>1</v>
      </c>
    </row>
    <row r="49" spans="1:36" x14ac:dyDescent="0.2">
      <c r="A49">
        <v>48</v>
      </c>
      <c r="B49">
        <v>757</v>
      </c>
      <c r="C49">
        <v>260</v>
      </c>
      <c r="D49">
        <v>0.318662816094747</v>
      </c>
      <c r="E49">
        <v>4.3549134179429796</v>
      </c>
      <c r="F49">
        <v>0.53724988638831195</v>
      </c>
      <c r="G49">
        <v>-94.488231801787336</v>
      </c>
      <c r="H49">
        <v>-55.406242325313308</v>
      </c>
      <c r="I49">
        <v>37.940573339177803</v>
      </c>
      <c r="J49">
        <v>16.910383288894401</v>
      </c>
      <c r="K49">
        <v>8.1059364148387107</v>
      </c>
      <c r="L49">
        <v>1.2550091703184283E-3</v>
      </c>
      <c r="M49">
        <v>2.138857958293569E-4</v>
      </c>
      <c r="N49" s="1">
        <v>6.4204483687078998E-6</v>
      </c>
      <c r="O49" s="1">
        <v>1.5236193846334499E-6</v>
      </c>
      <c r="P49" s="1">
        <v>-5.3237650050497697E-6</v>
      </c>
      <c r="AE49">
        <v>100</v>
      </c>
      <c r="AJ49">
        <v>1</v>
      </c>
    </row>
    <row r="50" spans="1:36" x14ac:dyDescent="0.2">
      <c r="A50">
        <v>49</v>
      </c>
      <c r="B50">
        <v>756</v>
      </c>
      <c r="C50">
        <v>260</v>
      </c>
      <c r="D50">
        <v>0.317932760044698</v>
      </c>
      <c r="E50">
        <v>4.3603015184380398</v>
      </c>
      <c r="F50">
        <v>0.53792477325695998</v>
      </c>
      <c r="G50">
        <v>-94.567157723227709</v>
      </c>
      <c r="H50">
        <v>-55.491728728000268</v>
      </c>
      <c r="I50">
        <v>37.971067606772003</v>
      </c>
      <c r="J50">
        <v>16.939161669566602</v>
      </c>
      <c r="K50">
        <v>8.1057830670965902</v>
      </c>
      <c r="L50">
        <v>1.2557891818809426E-3</v>
      </c>
      <c r="M50">
        <v>2.1349698473430829E-4</v>
      </c>
      <c r="N50" s="1">
        <v>6.4843934478564898E-6</v>
      </c>
      <c r="O50" s="1">
        <v>1.5202668064534201E-6</v>
      </c>
      <c r="P50" s="1">
        <v>-5.3286102318185901E-6</v>
      </c>
      <c r="AE50">
        <v>100</v>
      </c>
      <c r="AJ50">
        <v>1</v>
      </c>
    </row>
    <row r="51" spans="1:36" x14ac:dyDescent="0.2">
      <c r="A51">
        <v>50</v>
      </c>
      <c r="B51">
        <v>755</v>
      </c>
      <c r="C51">
        <v>260</v>
      </c>
      <c r="D51">
        <v>0.31720128385935797</v>
      </c>
      <c r="E51">
        <v>4.3718216308188902</v>
      </c>
      <c r="F51">
        <v>0.538600926420158</v>
      </c>
      <c r="G51">
        <v>-94.778945266320818</v>
      </c>
      <c r="H51">
        <v>-55.655328215975935</v>
      </c>
      <c r="I51">
        <v>38.054874167332201</v>
      </c>
      <c r="J51">
        <v>16.9917807266845</v>
      </c>
      <c r="K51">
        <v>8.1169961215559905</v>
      </c>
      <c r="L51">
        <v>1.256563226084118E-3</v>
      </c>
      <c r="M51">
        <v>2.1310724403527992E-4</v>
      </c>
      <c r="N51" s="1">
        <v>6.5577639710785496E-6</v>
      </c>
      <c r="O51" s="1">
        <v>1.51902771599985E-6</v>
      </c>
      <c r="P51" s="1">
        <v>-5.3408769759689498E-6</v>
      </c>
      <c r="AE51">
        <v>100</v>
      </c>
      <c r="AJ51">
        <v>1</v>
      </c>
    </row>
    <row r="52" spans="1:36" x14ac:dyDescent="0.2">
      <c r="A52">
        <v>51</v>
      </c>
      <c r="B52">
        <v>754</v>
      </c>
      <c r="C52">
        <v>260</v>
      </c>
      <c r="D52">
        <v>0.31646838339093702</v>
      </c>
      <c r="E52">
        <v>4.3832747689366496</v>
      </c>
      <c r="F52">
        <v>0.53927834529111296</v>
      </c>
      <c r="G52">
        <v>-94.989097394234108</v>
      </c>
      <c r="H52">
        <v>-55.818172238500765</v>
      </c>
      <c r="I52">
        <v>38.137987182709402</v>
      </c>
      <c r="J52">
        <v>17.044168727112101</v>
      </c>
      <c r="K52">
        <v>8.1280377882973802</v>
      </c>
      <c r="L52">
        <v>1.2573312589863939E-3</v>
      </c>
      <c r="M52">
        <v>2.127165777825382E-4</v>
      </c>
      <c r="N52" s="1">
        <v>6.63141620984966E-6</v>
      </c>
      <c r="O52" s="1">
        <v>1.5177336263340199E-6</v>
      </c>
      <c r="P52" s="1">
        <v>-5.3529864099716497E-6</v>
      </c>
      <c r="AE52">
        <v>100</v>
      </c>
      <c r="AJ52">
        <v>1</v>
      </c>
    </row>
    <row r="53" spans="1:36" x14ac:dyDescent="0.2">
      <c r="A53">
        <v>52</v>
      </c>
      <c r="B53">
        <v>753</v>
      </c>
      <c r="C53">
        <v>260</v>
      </c>
      <c r="D53">
        <v>0.31573405447546998</v>
      </c>
      <c r="E53">
        <v>4.3946614491679297</v>
      </c>
      <c r="F53">
        <v>0.53995702924936895</v>
      </c>
      <c r="G53">
        <v>-95.197627195087961</v>
      </c>
      <c r="H53">
        <v>-55.980266641734694</v>
      </c>
      <c r="I53">
        <v>38.220411682987397</v>
      </c>
      <c r="J53">
        <v>17.096326970021799</v>
      </c>
      <c r="K53">
        <v>8.1389096004125392</v>
      </c>
      <c r="L53">
        <v>1.2580932367510314E-3</v>
      </c>
      <c r="M53">
        <v>2.1232499009630598E-4</v>
      </c>
      <c r="N53" s="1">
        <v>6.7053463304104503E-6</v>
      </c>
      <c r="O53" s="1">
        <v>1.5163850217928999E-6</v>
      </c>
      <c r="P53" s="1">
        <v>-5.3649384387527497E-6</v>
      </c>
      <c r="AE53">
        <v>100</v>
      </c>
      <c r="AJ53">
        <v>1</v>
      </c>
    </row>
    <row r="54" spans="1:36" x14ac:dyDescent="0.2">
      <c r="A54">
        <v>53</v>
      </c>
      <c r="B54">
        <v>752</v>
      </c>
      <c r="C54">
        <v>260</v>
      </c>
      <c r="D54">
        <v>0.31499829293274201</v>
      </c>
      <c r="E54">
        <v>4.4059821821221101</v>
      </c>
      <c r="F54">
        <v>0.54063697764063301</v>
      </c>
      <c r="G54">
        <v>-95.404547612923878</v>
      </c>
      <c r="H54">
        <v>-56.141617205284795</v>
      </c>
      <c r="I54">
        <v>38.302152642249403</v>
      </c>
      <c r="J54">
        <v>17.148256733904599</v>
      </c>
      <c r="K54">
        <v>8.1496130755799197</v>
      </c>
      <c r="L54">
        <v>1.2588491156507505E-3</v>
      </c>
      <c r="M54">
        <v>2.1193248516678914E-4</v>
      </c>
      <c r="N54" s="1">
        <v>6.7795504595418599E-6</v>
      </c>
      <c r="O54" s="1">
        <v>1.5149823846938E-6</v>
      </c>
      <c r="P54" s="1">
        <v>-5.3767329669794302E-6</v>
      </c>
      <c r="AE54">
        <v>100</v>
      </c>
      <c r="AJ54">
        <v>1</v>
      </c>
    </row>
    <row r="55" spans="1:36" x14ac:dyDescent="0.2">
      <c r="A55">
        <v>54</v>
      </c>
      <c r="B55">
        <v>751</v>
      </c>
      <c r="C55">
        <v>260</v>
      </c>
      <c r="D55">
        <v>0.31426109456622597</v>
      </c>
      <c r="E55">
        <v>4.41723747286317</v>
      </c>
      <c r="F55">
        <v>0.54131818977665003</v>
      </c>
      <c r="G55">
        <v>-95.60987145277268</v>
      </c>
      <c r="H55">
        <v>-56.302229644927017</v>
      </c>
      <c r="I55">
        <v>38.383214980595703</v>
      </c>
      <c r="J55">
        <v>17.199959277416401</v>
      </c>
      <c r="K55">
        <v>8.1601497165386796</v>
      </c>
      <c r="L55">
        <v>1.2595988520720028E-3</v>
      </c>
      <c r="M55">
        <v>2.1153906725410914E-4</v>
      </c>
      <c r="N55" s="1">
        <v>6.8540246851001502E-6</v>
      </c>
      <c r="O55" s="1">
        <v>1.5135261954327401E-6</v>
      </c>
      <c r="P55" s="1">
        <v>-5.3883698994471802E-6</v>
      </c>
      <c r="AE55">
        <v>100</v>
      </c>
      <c r="AJ55">
        <v>1</v>
      </c>
    </row>
    <row r="56" spans="1:36" x14ac:dyDescent="0.2">
      <c r="A56">
        <v>55</v>
      </c>
      <c r="B56">
        <v>750</v>
      </c>
      <c r="C56">
        <v>260</v>
      </c>
      <c r="D56">
        <v>0.313522455162978</v>
      </c>
      <c r="E56">
        <v>4.4284278208850303</v>
      </c>
      <c r="F56">
        <v>0.54200066493503596</v>
      </c>
      <c r="G56">
        <v>-95.813611380379101</v>
      </c>
      <c r="H56">
        <v>-56.462109612193075</v>
      </c>
      <c r="I56">
        <v>38.463603564014797</v>
      </c>
      <c r="J56">
        <v>17.251435839271601</v>
      </c>
      <c r="K56">
        <v>8.1705210111057998</v>
      </c>
      <c r="L56">
        <v>1.2603424025194898E-3</v>
      </c>
      <c r="M56">
        <v>2.1114474068828658E-4</v>
      </c>
      <c r="N56" s="1">
        <v>6.9287650561764496E-6</v>
      </c>
      <c r="O56" s="1">
        <v>1.5120169324972999E-6</v>
      </c>
      <c r="P56" s="1">
        <v>-5.3998491411656998E-6</v>
      </c>
      <c r="AE56">
        <v>100</v>
      </c>
      <c r="AJ56">
        <v>1</v>
      </c>
    </row>
    <row r="57" spans="1:36" x14ac:dyDescent="0.2">
      <c r="A57">
        <v>56</v>
      </c>
      <c r="B57">
        <v>749</v>
      </c>
      <c r="C57">
        <v>260</v>
      </c>
      <c r="D57">
        <v>0.312782370493568</v>
      </c>
      <c r="E57">
        <v>4.4395537201632598</v>
      </c>
      <c r="F57">
        <v>0.54268440235913196</v>
      </c>
      <c r="G57">
        <v>-96.01577992357609</v>
      </c>
      <c r="H57">
        <v>-56.621262694926386</v>
      </c>
      <c r="I57">
        <v>38.543323204919197</v>
      </c>
      <c r="J57">
        <v>17.302687638430299</v>
      </c>
      <c r="K57">
        <v>8.1807284323334901</v>
      </c>
      <c r="L57">
        <v>1.2610797236205819E-3</v>
      </c>
      <c r="M57">
        <v>2.107495098691947E-4</v>
      </c>
      <c r="N57" s="1">
        <v>7.0037675833943002E-6</v>
      </c>
      <c r="O57" s="1">
        <v>1.5104550725052899E-6</v>
      </c>
      <c r="P57" s="1">
        <v>-5.4111705975396404E-6</v>
      </c>
      <c r="AE57">
        <v>100</v>
      </c>
      <c r="AJ57">
        <v>1</v>
      </c>
    </row>
    <row r="58" spans="1:36" x14ac:dyDescent="0.2">
      <c r="A58">
        <v>57</v>
      </c>
      <c r="B58">
        <v>748</v>
      </c>
      <c r="C58">
        <v>260</v>
      </c>
      <c r="D58">
        <v>0.31204083631200402</v>
      </c>
      <c r="E58">
        <v>4.4506156592896904</v>
      </c>
      <c r="F58">
        <v>0.54336940125788002</v>
      </c>
      <c r="G58">
        <v>-96.21638947545145</v>
      </c>
      <c r="H58">
        <v>-56.779694418900839</v>
      </c>
      <c r="I58">
        <v>38.622378663398997</v>
      </c>
      <c r="J58">
        <v>17.3537158746167</v>
      </c>
      <c r="K58">
        <v>8.1907734388183808</v>
      </c>
      <c r="L58">
        <v>1.2618107721300393E-3</v>
      </c>
      <c r="M58">
        <v>2.1035337926653702E-4</v>
      </c>
      <c r="N58" s="1">
        <v>7.0790282393485498E-6</v>
      </c>
      <c r="O58" s="1">
        <v>1.50884109027108E-6</v>
      </c>
      <c r="P58" s="1">
        <v>-5.4223341746502996E-6</v>
      </c>
      <c r="AE58">
        <v>100</v>
      </c>
      <c r="AJ58">
        <v>1</v>
      </c>
    </row>
    <row r="59" spans="1:36" x14ac:dyDescent="0.2">
      <c r="A59">
        <v>58</v>
      </c>
      <c r="B59">
        <v>747</v>
      </c>
      <c r="C59">
        <v>260</v>
      </c>
      <c r="D59">
        <v>0.31129784835563601</v>
      </c>
      <c r="E59">
        <v>4.4616141215401601</v>
      </c>
      <c r="F59">
        <v>0.54405566080565904</v>
      </c>
      <c r="G59">
        <v>-96.415452296060522</v>
      </c>
      <c r="H59">
        <v>-56.937410248586836</v>
      </c>
      <c r="I59">
        <v>38.700774647893397</v>
      </c>
      <c r="J59">
        <v>17.404521728566898</v>
      </c>
      <c r="K59">
        <v>8.2006574748863397</v>
      </c>
      <c r="L59">
        <v>1.2625355049341819E-3</v>
      </c>
      <c r="M59">
        <v>2.0995635341972032E-4</v>
      </c>
      <c r="N59" s="1">
        <v>7.1545429589503803E-6</v>
      </c>
      <c r="O59" s="1">
        <v>1.5071754588469401E-6</v>
      </c>
      <c r="P59" s="1">
        <v>-5.4333397794522001E-6</v>
      </c>
      <c r="AE59">
        <v>100</v>
      </c>
      <c r="AJ59">
        <v>1</v>
      </c>
    </row>
    <row r="60" spans="1:36" x14ac:dyDescent="0.2">
      <c r="A60">
        <v>59</v>
      </c>
      <c r="B60">
        <v>746</v>
      </c>
      <c r="C60">
        <v>260</v>
      </c>
      <c r="D60">
        <v>0.31055340234509199</v>
      </c>
      <c r="E60">
        <v>4.47254958484681</v>
      </c>
      <c r="F60">
        <v>0.54474318014216805</v>
      </c>
      <c r="G60">
        <v>-96.612980512074003</v>
      </c>
      <c r="H60">
        <v>-57.094415586701096</v>
      </c>
      <c r="I60">
        <v>38.778515815033401</v>
      </c>
      <c r="J60">
        <v>17.455106361916101</v>
      </c>
      <c r="K60">
        <v>8.2103819706004408</v>
      </c>
      <c r="L60">
        <v>1.263253879055466E-3</v>
      </c>
      <c r="M60">
        <v>2.0955843693781808E-4</v>
      </c>
      <c r="N60" s="1">
        <v>7.23030763964269E-6</v>
      </c>
      <c r="O60" s="1">
        <v>1.50545864953259E-6</v>
      </c>
      <c r="P60" s="1">
        <v>-5.4441873198570802E-6</v>
      </c>
      <c r="AE60">
        <v>100</v>
      </c>
      <c r="AJ60">
        <v>1</v>
      </c>
    </row>
    <row r="61" spans="1:36" x14ac:dyDescent="0.2">
      <c r="A61">
        <v>60</v>
      </c>
      <c r="B61">
        <v>745</v>
      </c>
      <c r="C61">
        <v>260</v>
      </c>
      <c r="D61">
        <v>0.309807493984187</v>
      </c>
      <c r="E61">
        <v>4.4834225219242203</v>
      </c>
      <c r="F61">
        <v>0.54543195837226799</v>
      </c>
      <c r="G61">
        <v>-96.808986119747757</v>
      </c>
      <c r="H61">
        <v>-57.250715775720529</v>
      </c>
      <c r="I61">
        <v>38.855606770817602</v>
      </c>
      <c r="J61">
        <v>17.5054709176801</v>
      </c>
      <c r="K61">
        <v>8.2199483420518398</v>
      </c>
      <c r="L61">
        <v>1.2639658516571636E-3</v>
      </c>
      <c r="M61">
        <v>2.0915963449949317E-4</v>
      </c>
      <c r="N61" s="1">
        <v>7.3063181418599996E-6</v>
      </c>
      <c r="O61" s="1">
        <v>1.50369113193604E-6</v>
      </c>
      <c r="P61" s="1">
        <v>-5.4548767050041604E-6</v>
      </c>
      <c r="AE61">
        <v>100</v>
      </c>
      <c r="AJ61">
        <v>1</v>
      </c>
    </row>
    <row r="62" spans="1:36" x14ac:dyDescent="0.2">
      <c r="A62">
        <v>61</v>
      </c>
      <c r="B62">
        <v>744</v>
      </c>
      <c r="C62">
        <v>260</v>
      </c>
      <c r="D62">
        <v>0.30906011895984098</v>
      </c>
      <c r="E62">
        <v>4.4942334004847897</v>
      </c>
      <c r="F62">
        <v>0.54612199456586497</v>
      </c>
      <c r="G62">
        <v>-97.003480989813411</v>
      </c>
      <c r="H62">
        <v>-57.406316100537708</v>
      </c>
      <c r="I62">
        <v>38.932052072560602</v>
      </c>
      <c r="J62">
        <v>17.555616521088101</v>
      </c>
      <c r="K62">
        <v>8.2293579918117707</v>
      </c>
      <c r="L62">
        <v>1.2646713800474484E-3</v>
      </c>
      <c r="M62">
        <v>2.0875995085283889E-4</v>
      </c>
      <c r="N62" s="1">
        <v>7.38257028965691E-6</v>
      </c>
      <c r="O62" s="1">
        <v>1.5018733740617099E-6</v>
      </c>
      <c r="P62" s="1">
        <v>-5.46540784563443E-6</v>
      </c>
      <c r="AE62">
        <v>100</v>
      </c>
      <c r="AJ62">
        <v>1</v>
      </c>
    </row>
    <row r="63" spans="1:36" x14ac:dyDescent="0.2">
      <c r="A63">
        <v>62</v>
      </c>
      <c r="B63">
        <v>743</v>
      </c>
      <c r="C63">
        <v>260</v>
      </c>
      <c r="D63">
        <v>0.30831127294198801</v>
      </c>
      <c r="E63">
        <v>5.5164370381166297</v>
      </c>
      <c r="F63">
        <v>0.54681328775775795</v>
      </c>
      <c r="G63">
        <v>-119.01893584683178</v>
      </c>
      <c r="H63">
        <v>-70.484811631802643</v>
      </c>
      <c r="I63">
        <v>47.765862381587702</v>
      </c>
      <c r="J63">
        <v>21.558324053366398</v>
      </c>
      <c r="K63">
        <v>10.088337576318001</v>
      </c>
      <c r="L63">
        <v>1.2653704216842557E-3</v>
      </c>
      <c r="M63">
        <v>2.0835939081533975E-4</v>
      </c>
      <c r="N63" s="1">
        <v>9.1337607789492905E-6</v>
      </c>
      <c r="O63" s="1">
        <v>1.83678570325947E-6</v>
      </c>
      <c r="P63" s="1">
        <v>-6.7051976305866701E-6</v>
      </c>
      <c r="AE63">
        <v>100</v>
      </c>
      <c r="AJ63">
        <v>1</v>
      </c>
    </row>
    <row r="64" spans="1:36" x14ac:dyDescent="0.2">
      <c r="A64">
        <v>63</v>
      </c>
      <c r="B64">
        <v>742</v>
      </c>
      <c r="C64">
        <v>260</v>
      </c>
      <c r="D64">
        <v>0.30756095158350699</v>
      </c>
      <c r="E64">
        <v>6.7599327788400796</v>
      </c>
      <c r="F64">
        <v>0.54750583694753097</v>
      </c>
      <c r="G64">
        <v>-145.78924365500197</v>
      </c>
      <c r="H64">
        <v>-86.399672631118165</v>
      </c>
      <c r="I64">
        <v>58.507057550635103</v>
      </c>
      <c r="J64">
        <v>26.429813742770701</v>
      </c>
      <c r="K64">
        <v>12.346777554972199</v>
      </c>
      <c r="L64">
        <v>1.2660629341795029E-3</v>
      </c>
      <c r="M64">
        <v>2.0795795927368931E-4</v>
      </c>
      <c r="N64" s="1">
        <v>1.12810224685118E-5</v>
      </c>
      <c r="O64" s="1">
        <v>2.2426304603123098E-6</v>
      </c>
      <c r="P64" s="1">
        <v>-8.2125024482160003E-6</v>
      </c>
      <c r="AE64">
        <v>100</v>
      </c>
      <c r="AJ64">
        <v>1</v>
      </c>
    </row>
    <row r="65" spans="1:36" x14ac:dyDescent="0.2">
      <c r="A65">
        <v>64</v>
      </c>
      <c r="B65">
        <v>741</v>
      </c>
      <c r="C65">
        <v>260</v>
      </c>
      <c r="D65">
        <v>0.30680915052014102</v>
      </c>
      <c r="E65">
        <v>8.5802970608229892</v>
      </c>
      <c r="F65">
        <v>0.548199641099408</v>
      </c>
      <c r="G65">
        <v>-184.97419479699309</v>
      </c>
      <c r="H65">
        <v>-109.69956476872106</v>
      </c>
      <c r="I65">
        <v>74.229197062703506</v>
      </c>
      <c r="J65">
        <v>33.562087586833002</v>
      </c>
      <c r="K65">
        <v>15.651774312758199</v>
      </c>
      <c r="L65">
        <v>1.2667488753036703E-3</v>
      </c>
      <c r="M65">
        <v>2.0755566118368932E-4</v>
      </c>
      <c r="N65" s="1">
        <v>1.4431112945342701E-5</v>
      </c>
      <c r="O65" s="1">
        <v>2.83613267812904E-6</v>
      </c>
      <c r="P65" s="1">
        <v>-1.0418612889852601E-5</v>
      </c>
      <c r="AE65">
        <v>100</v>
      </c>
      <c r="AJ65">
        <v>1</v>
      </c>
    </row>
    <row r="66" spans="1:36" x14ac:dyDescent="0.2">
      <c r="A66">
        <v>65</v>
      </c>
      <c r="B66">
        <v>740</v>
      </c>
      <c r="C66">
        <v>260</v>
      </c>
      <c r="D66">
        <v>0.30605586537038199</v>
      </c>
      <c r="E66">
        <v>9.9025674034535296</v>
      </c>
      <c r="F66">
        <v>0.54889469914212896</v>
      </c>
      <c r="G66">
        <v>-213.39407286315307</v>
      </c>
      <c r="H66">
        <v>-126.64360590574408</v>
      </c>
      <c r="I66">
        <v>85.630098025528795</v>
      </c>
      <c r="J66">
        <v>38.751532577421798</v>
      </c>
      <c r="K66">
        <v>18.040923730781699</v>
      </c>
      <c r="L66">
        <v>1.26742820299016E-3</v>
      </c>
      <c r="M66">
        <v>2.0715250157008237E-4</v>
      </c>
      <c r="N66" s="1">
        <v>1.6784684826304999E-5</v>
      </c>
      <c r="O66" s="1">
        <v>3.2611761302256799E-6</v>
      </c>
      <c r="P66" s="1">
        <v>-1.20177738276753E-5</v>
      </c>
      <c r="AE66">
        <v>100</v>
      </c>
      <c r="AJ66">
        <v>1</v>
      </c>
    </row>
    <row r="67" spans="1:36" x14ac:dyDescent="0.2">
      <c r="A67">
        <v>66</v>
      </c>
      <c r="B67">
        <v>739</v>
      </c>
      <c r="C67">
        <v>260</v>
      </c>
      <c r="D67">
        <v>0.30530109173541498</v>
      </c>
      <c r="E67">
        <v>10.254991636868199</v>
      </c>
      <c r="F67">
        <v>0.54959100996883603</v>
      </c>
      <c r="G67">
        <v>-220.89993470582414</v>
      </c>
      <c r="H67">
        <v>-131.1908873651756</v>
      </c>
      <c r="I67">
        <v>88.637964606621296</v>
      </c>
      <c r="J67">
        <v>40.148592978208001</v>
      </c>
      <c r="K67">
        <v>18.6593147465234</v>
      </c>
      <c r="L67">
        <v>1.2681008753398981E-3</v>
      </c>
      <c r="M67">
        <v>2.0674848552640709E-4</v>
      </c>
      <c r="N67" s="1">
        <v>1.7516414407987499E-5</v>
      </c>
      <c r="O67" s="1">
        <v>3.36478496316734E-6</v>
      </c>
      <c r="P67" s="1">
        <v>-1.2438681337324799E-5</v>
      </c>
      <c r="AE67">
        <v>100</v>
      </c>
      <c r="AJ67">
        <v>1</v>
      </c>
    </row>
    <row r="68" spans="1:36" x14ac:dyDescent="0.2">
      <c r="A68">
        <v>67</v>
      </c>
      <c r="B68">
        <v>757</v>
      </c>
      <c r="C68">
        <v>240</v>
      </c>
      <c r="D68">
        <v>0.340018929282145</v>
      </c>
      <c r="E68">
        <v>4.6790875129094402</v>
      </c>
      <c r="F68">
        <v>0.51317002723357097</v>
      </c>
      <c r="G68">
        <v>-101.6999600256099</v>
      </c>
      <c r="H68">
        <v>-59.470950743318383</v>
      </c>
      <c r="I68">
        <v>40.9956675663692</v>
      </c>
      <c r="J68">
        <v>18.314281269159501</v>
      </c>
      <c r="K68">
        <v>9.1180062447016894</v>
      </c>
      <c r="L68">
        <v>1.3377124825460231E-3</v>
      </c>
      <c r="M68">
        <v>2.4594200378070396E-4</v>
      </c>
      <c r="N68" s="1">
        <v>7.14039343500869E-6</v>
      </c>
      <c r="O68" s="1">
        <v>2.19540460329889E-6</v>
      </c>
      <c r="P68" s="1">
        <v>-7.0068261176886803E-6</v>
      </c>
      <c r="AE68">
        <v>100</v>
      </c>
      <c r="AJ68">
        <v>1</v>
      </c>
    </row>
    <row r="69" spans="1:36" x14ac:dyDescent="0.2">
      <c r="A69">
        <v>68</v>
      </c>
      <c r="B69">
        <v>756</v>
      </c>
      <c r="C69">
        <v>240</v>
      </c>
      <c r="D69">
        <v>0.33930962444735902</v>
      </c>
      <c r="E69">
        <v>4.6840007690130001</v>
      </c>
      <c r="F69">
        <v>0.513857218530266</v>
      </c>
      <c r="G69">
        <v>-101.76571982762339</v>
      </c>
      <c r="H69">
        <v>-59.55173632500108</v>
      </c>
      <c r="I69">
        <v>41.020904606221499</v>
      </c>
      <c r="J69">
        <v>18.343207318243799</v>
      </c>
      <c r="K69">
        <v>9.1153740768888607</v>
      </c>
      <c r="L69">
        <v>1.3387154848615219E-3</v>
      </c>
      <c r="M69">
        <v>2.4550188116323523E-4</v>
      </c>
      <c r="N69" s="1">
        <v>7.2242109426878902E-6</v>
      </c>
      <c r="O69" s="1">
        <v>2.1903637290442599E-6</v>
      </c>
      <c r="P69" s="1">
        <v>-7.0137437276579796E-6</v>
      </c>
      <c r="AE69">
        <v>100</v>
      </c>
      <c r="AJ69">
        <v>1</v>
      </c>
    </row>
    <row r="70" spans="1:36" x14ac:dyDescent="0.2">
      <c r="A70">
        <v>69</v>
      </c>
      <c r="B70">
        <v>755</v>
      </c>
      <c r="C70">
        <v>240</v>
      </c>
      <c r="D70">
        <v>0.338598939843407</v>
      </c>
      <c r="E70">
        <v>4.6949209135743502</v>
      </c>
      <c r="F70">
        <v>0.51454584440387996</v>
      </c>
      <c r="G70">
        <v>-101.96186589495339</v>
      </c>
      <c r="H70">
        <v>-59.708964354670059</v>
      </c>
      <c r="I70">
        <v>41.098660956408303</v>
      </c>
      <c r="J70">
        <v>18.3956773926263</v>
      </c>
      <c r="K70">
        <v>9.1243976890214302</v>
      </c>
      <c r="L70">
        <v>1.3397117195683961E-3</v>
      </c>
      <c r="M70">
        <v>2.4506043713939631E-4</v>
      </c>
      <c r="N70" s="1">
        <v>7.3177403561662401E-6</v>
      </c>
      <c r="O70" s="1">
        <v>2.1880966833199102E-6</v>
      </c>
      <c r="P70" s="1">
        <v>-7.0295617072133698E-6</v>
      </c>
      <c r="AE70">
        <v>100</v>
      </c>
      <c r="AJ70">
        <v>1</v>
      </c>
    </row>
    <row r="71" spans="1:36" x14ac:dyDescent="0.2">
      <c r="A71">
        <v>70</v>
      </c>
      <c r="B71">
        <v>754</v>
      </c>
      <c r="C71">
        <v>240</v>
      </c>
      <c r="D71">
        <v>0.33788687144039198</v>
      </c>
      <c r="E71">
        <v>4.7057813646548903</v>
      </c>
      <c r="F71">
        <v>0.51523590465179603</v>
      </c>
      <c r="G71">
        <v>-102.1565427978516</v>
      </c>
      <c r="H71">
        <v>-59.865528255525298</v>
      </c>
      <c r="I71">
        <v>41.175784918844599</v>
      </c>
      <c r="J71">
        <v>18.447945651463499</v>
      </c>
      <c r="K71">
        <v>9.1332558972867393</v>
      </c>
      <c r="L71">
        <v>1.3407011251952076E-3</v>
      </c>
      <c r="M71">
        <v>2.4461767559829566E-4</v>
      </c>
      <c r="N71" s="1">
        <v>7.4117183687849601E-6</v>
      </c>
      <c r="O71" s="1">
        <v>2.1857573870436502E-6</v>
      </c>
      <c r="P71" s="1">
        <v>-7.0451942139308799E-6</v>
      </c>
      <c r="AE71">
        <v>100</v>
      </c>
      <c r="AJ71">
        <v>1</v>
      </c>
    </row>
    <row r="72" spans="1:36" x14ac:dyDescent="0.2">
      <c r="A72">
        <v>71</v>
      </c>
      <c r="B72">
        <v>753</v>
      </c>
      <c r="C72">
        <v>240</v>
      </c>
      <c r="D72">
        <v>0.33717341519271199</v>
      </c>
      <c r="E72">
        <v>4.7165826001742097</v>
      </c>
      <c r="F72">
        <v>0.51592739902965501</v>
      </c>
      <c r="G72">
        <v>-102.34976262561247</v>
      </c>
      <c r="H72">
        <v>-60.021433461683202</v>
      </c>
      <c r="I72">
        <v>41.252281130560299</v>
      </c>
      <c r="J72">
        <v>18.500013158435198</v>
      </c>
      <c r="K72">
        <v>9.1419502221534508</v>
      </c>
      <c r="L72">
        <v>1.3416836403493035E-3</v>
      </c>
      <c r="M72">
        <v>2.4417360053697853E-4</v>
      </c>
      <c r="N72" s="1">
        <v>7.5061400771981604E-6</v>
      </c>
      <c r="O72" s="1">
        <v>2.1833463965809499E-6</v>
      </c>
      <c r="P72" s="1">
        <v>-7.0606406948844797E-6</v>
      </c>
      <c r="AE72">
        <v>100</v>
      </c>
      <c r="AJ72">
        <v>1</v>
      </c>
    </row>
    <row r="73" spans="1:36" x14ac:dyDescent="0.2">
      <c r="A73">
        <v>72</v>
      </c>
      <c r="B73">
        <v>752</v>
      </c>
      <c r="C73">
        <v>240</v>
      </c>
      <c r="D73">
        <v>0.33645856703896998</v>
      </c>
      <c r="E73">
        <v>4.7273250934384601</v>
      </c>
      <c r="F73">
        <v>0.51662032725108598</v>
      </c>
      <c r="G73">
        <v>-102.54153734966314</v>
      </c>
      <c r="H73">
        <v>-60.176685354820847</v>
      </c>
      <c r="I73">
        <v>41.328154182852998</v>
      </c>
      <c r="J73">
        <v>18.551880959965899</v>
      </c>
      <c r="K73">
        <v>9.1504821705184192</v>
      </c>
      <c r="L73">
        <v>1.3426592037241709E-3</v>
      </c>
      <c r="M73">
        <v>2.4372821606076153E-4</v>
      </c>
      <c r="N73" s="1">
        <v>7.6010005038690697E-6</v>
      </c>
      <c r="O73" s="1">
        <v>2.18086426728775E-6</v>
      </c>
      <c r="P73" s="1">
        <v>-7.0759005971290504E-6</v>
      </c>
      <c r="AE73">
        <v>100</v>
      </c>
      <c r="AJ73">
        <v>1</v>
      </c>
    </row>
    <row r="74" spans="1:36" x14ac:dyDescent="0.2">
      <c r="A74">
        <v>73</v>
      </c>
      <c r="B74">
        <v>751</v>
      </c>
      <c r="C74">
        <v>240</v>
      </c>
      <c r="D74">
        <v>0.33574232290192102</v>
      </c>
      <c r="E74">
        <v>4.7380093128377698</v>
      </c>
      <c r="F74">
        <v>0.51731468898748201</v>
      </c>
      <c r="G74">
        <v>-102.73187881722015</v>
      </c>
      <c r="H74">
        <v>-60.33128926023906</v>
      </c>
      <c r="I74">
        <v>41.403408618714998</v>
      </c>
      <c r="J74">
        <v>18.603550084038801</v>
      </c>
      <c r="K74">
        <v>9.1588532351773502</v>
      </c>
      <c r="L74">
        <v>1.3436277541067985E-3</v>
      </c>
      <c r="M74">
        <v>2.432815263835319E-4</v>
      </c>
      <c r="N74" s="1">
        <v>7.6962945967865495E-6</v>
      </c>
      <c r="O74" s="1">
        <v>2.17831155340664E-6</v>
      </c>
      <c r="P74" s="1">
        <v>-7.0909733674770998E-6</v>
      </c>
      <c r="AE74">
        <v>100</v>
      </c>
      <c r="AJ74">
        <v>1</v>
      </c>
    </row>
    <row r="75" spans="1:36" x14ac:dyDescent="0.2">
      <c r="A75">
        <v>74</v>
      </c>
      <c r="B75">
        <v>750</v>
      </c>
      <c r="C75">
        <v>240</v>
      </c>
      <c r="D75">
        <v>0.335024678688366</v>
      </c>
      <c r="E75">
        <v>4.7486357220956696</v>
      </c>
      <c r="F75">
        <v>0.51801048386774795</v>
      </c>
      <c r="G75">
        <v>-102.92079875692455</v>
      </c>
      <c r="H75">
        <v>-60.485250449950293</v>
      </c>
      <c r="I75">
        <v>41.478048935086797</v>
      </c>
      <c r="J75">
        <v>18.655021541178701</v>
      </c>
      <c r="K75">
        <v>9.1670648953661598</v>
      </c>
      <c r="L75">
        <v>1.3445892303850034E-3</v>
      </c>
      <c r="M75">
        <v>2.4283353582802003E-4</v>
      </c>
      <c r="N75" s="1">
        <v>7.7920172300605105E-6</v>
      </c>
      <c r="O75" s="1">
        <v>2.1756888082177E-6</v>
      </c>
      <c r="P75" s="1">
        <v>-7.1058584530999499E-6</v>
      </c>
      <c r="AE75">
        <v>100</v>
      </c>
      <c r="AJ75">
        <v>1</v>
      </c>
    </row>
    <row r="76" spans="1:36" x14ac:dyDescent="0.2">
      <c r="A76">
        <v>75</v>
      </c>
      <c r="B76">
        <v>749</v>
      </c>
      <c r="C76">
        <v>240</v>
      </c>
      <c r="D76">
        <v>0.33430563028909699</v>
      </c>
      <c r="E76">
        <v>4.7592047803154403</v>
      </c>
      <c r="F76">
        <v>0.51870771147807404</v>
      </c>
      <c r="G76">
        <v>-103.10830878006429</v>
      </c>
      <c r="H76">
        <v>-60.638574143182517</v>
      </c>
      <c r="I76">
        <v>41.552079583334802</v>
      </c>
      <c r="J76">
        <v>18.706296324639201</v>
      </c>
      <c r="K76">
        <v>9.1751186169064791</v>
      </c>
      <c r="L76">
        <v>1.3455435715547743E-3</v>
      </c>
      <c r="M76">
        <v>2.4238424882604508E-4</v>
      </c>
      <c r="N76" s="1">
        <v>7.8881632042506202E-6</v>
      </c>
      <c r="O76" s="1">
        <v>2.17299658409392E-6</v>
      </c>
      <c r="P76" s="1">
        <v>-7.1205553018298301E-6</v>
      </c>
      <c r="AE76">
        <v>100</v>
      </c>
      <c r="AJ76">
        <v>1</v>
      </c>
    </row>
    <row r="77" spans="1:36" x14ac:dyDescent="0.2">
      <c r="A77">
        <v>76</v>
      </c>
      <c r="B77">
        <v>748</v>
      </c>
      <c r="C77">
        <v>240</v>
      </c>
      <c r="D77">
        <v>0.33358517357881101</v>
      </c>
      <c r="E77">
        <v>4.7697169419919199</v>
      </c>
      <c r="F77">
        <v>0.51940637136170698</v>
      </c>
      <c r="G77">
        <v>-103.29442038104747</v>
      </c>
      <c r="H77">
        <v>-60.79126550644721</v>
      </c>
      <c r="I77">
        <v>41.625504969425201</v>
      </c>
      <c r="J77">
        <v>18.757375410458</v>
      </c>
      <c r="K77">
        <v>9.1830158522840897</v>
      </c>
      <c r="L77">
        <v>1.3464907167278109E-3</v>
      </c>
      <c r="M77">
        <v>2.419336699187921E-4</v>
      </c>
      <c r="N77" s="1">
        <v>7.9847272466375904E-6</v>
      </c>
      <c r="O77" s="1">
        <v>2.1702354325402001E-6</v>
      </c>
      <c r="P77" s="1">
        <v>-7.1350633624088801E-6</v>
      </c>
      <c r="AE77">
        <v>100</v>
      </c>
      <c r="AJ77">
        <v>1</v>
      </c>
    </row>
    <row r="78" spans="1:36" x14ac:dyDescent="0.2">
      <c r="A78">
        <v>77</v>
      </c>
      <c r="B78">
        <v>747</v>
      </c>
      <c r="C78">
        <v>240</v>
      </c>
      <c r="D78">
        <v>0.33286330441601902</v>
      </c>
      <c r="E78">
        <v>4.7801726571343499</v>
      </c>
      <c r="F78">
        <v>0.520106463018706</v>
      </c>
      <c r="G78">
        <v>-103.47914494027597</v>
      </c>
      <c r="H78">
        <v>-60.943329655020221</v>
      </c>
      <c r="I78">
        <v>41.698329455066698</v>
      </c>
      <c r="J78">
        <v>18.808259757943802</v>
      </c>
      <c r="K78">
        <v>9.1907580409405902</v>
      </c>
      <c r="L78">
        <v>1.3474306051391109E-3</v>
      </c>
      <c r="M78">
        <v>2.4148180375702682E-4</v>
      </c>
      <c r="N78" s="1">
        <v>8.0817040117198394E-6</v>
      </c>
      <c r="O78" s="1">
        <v>2.1674059042816198E-6</v>
      </c>
      <c r="P78" s="1">
        <v>-7.1493820849079104E-6</v>
      </c>
      <c r="AE78">
        <v>100</v>
      </c>
      <c r="AJ78">
        <v>1</v>
      </c>
    </row>
    <row r="79" spans="1:36" x14ac:dyDescent="0.2">
      <c r="A79">
        <v>78</v>
      </c>
      <c r="B79">
        <v>746</v>
      </c>
      <c r="C79">
        <v>240</v>
      </c>
      <c r="D79">
        <v>0.33214001864298798</v>
      </c>
      <c r="E79">
        <v>6.2799385128800402</v>
      </c>
      <c r="F79">
        <v>0.52080798590573996</v>
      </c>
      <c r="G79">
        <v>-135.89066947102228</v>
      </c>
      <c r="H79">
        <v>-80.088845278624959</v>
      </c>
      <c r="I79">
        <v>54.756824764604602</v>
      </c>
      <c r="J79">
        <v>24.7221081707576</v>
      </c>
      <c r="K79">
        <v>12.058068775498</v>
      </c>
      <c r="L79">
        <v>1.34836317615401E-3</v>
      </c>
      <c r="M79">
        <v>2.410286551012612E-4</v>
      </c>
      <c r="N79" s="1">
        <v>1.0721927624253099E-5</v>
      </c>
      <c r="O79" s="1">
        <v>2.83744395172824E-6</v>
      </c>
      <c r="P79" s="1">
        <v>-9.3906123597631097E-6</v>
      </c>
      <c r="AE79">
        <v>100</v>
      </c>
      <c r="AJ79">
        <v>1</v>
      </c>
    </row>
    <row r="80" spans="1:36" x14ac:dyDescent="0.2">
      <c r="A80">
        <v>79</v>
      </c>
      <c r="B80">
        <v>745</v>
      </c>
      <c r="C80">
        <v>240</v>
      </c>
      <c r="D80">
        <v>0.33141531208564601</v>
      </c>
      <c r="E80">
        <v>7.26315752774088</v>
      </c>
      <c r="F80">
        <v>0.52151093943584204</v>
      </c>
      <c r="G80">
        <v>-157.10308589615175</v>
      </c>
      <c r="H80">
        <v>-92.656561095168144</v>
      </c>
      <c r="I80">
        <v>63.301754383666399</v>
      </c>
      <c r="J80">
        <v>28.607516668533499</v>
      </c>
      <c r="K80">
        <v>13.9271431882099</v>
      </c>
      <c r="L80">
        <v>1.3492883692761781E-3</v>
      </c>
      <c r="M80">
        <v>2.4057422882200292E-4</v>
      </c>
      <c r="N80" s="1">
        <v>1.25218256001397E-5</v>
      </c>
      <c r="O80" s="1">
        <v>3.2701326690307402E-6</v>
      </c>
      <c r="P80" s="1">
        <v>-1.08585401998512E-5</v>
      </c>
      <c r="AE80">
        <v>100</v>
      </c>
      <c r="AJ80">
        <v>1</v>
      </c>
    </row>
    <row r="81" spans="1:36" x14ac:dyDescent="0.2">
      <c r="A81">
        <v>80</v>
      </c>
      <c r="B81">
        <v>744</v>
      </c>
      <c r="C81">
        <v>240</v>
      </c>
      <c r="D81">
        <v>0.33068918055350899</v>
      </c>
      <c r="E81">
        <v>9.1329138989187602</v>
      </c>
      <c r="F81">
        <v>0.52221532297820195</v>
      </c>
      <c r="G81">
        <v>-197.46659082692528</v>
      </c>
      <c r="H81">
        <v>-116.5451429142727</v>
      </c>
      <c r="I81">
        <v>79.562182890242994</v>
      </c>
      <c r="J81">
        <v>35.990521748013499</v>
      </c>
      <c r="K81">
        <v>17.488789579810799</v>
      </c>
      <c r="L81">
        <v>1.3502061241548516E-3</v>
      </c>
      <c r="M81">
        <v>2.4011852989985874E-4</v>
      </c>
      <c r="N81" s="1">
        <v>1.5898025016039502E-5</v>
      </c>
      <c r="O81" s="1">
        <v>4.0974157284840804E-6</v>
      </c>
      <c r="P81" s="1">
        <v>-1.36507534288787E-5</v>
      </c>
      <c r="AE81">
        <v>100</v>
      </c>
      <c r="AJ81">
        <v>1</v>
      </c>
    </row>
    <row r="82" spans="1:36" x14ac:dyDescent="0.2">
      <c r="A82">
        <v>81</v>
      </c>
      <c r="B82">
        <v>743</v>
      </c>
      <c r="C82">
        <v>240</v>
      </c>
      <c r="D82">
        <v>0.32996161983958999</v>
      </c>
      <c r="E82">
        <v>10.0770281868783</v>
      </c>
      <c r="F82">
        <v>0.52292113585794298</v>
      </c>
      <c r="G82">
        <v>-217.79191742691165</v>
      </c>
      <c r="H82">
        <v>-128.63270957107909</v>
      </c>
      <c r="I82">
        <v>87.747846823954603</v>
      </c>
      <c r="J82">
        <v>39.731487584717101</v>
      </c>
      <c r="K82">
        <v>19.2706461756325</v>
      </c>
      <c r="L82">
        <v>1.351116380592435E-3</v>
      </c>
      <c r="M82">
        <v>2.3966156342573449E-4</v>
      </c>
      <c r="N82" s="1">
        <v>1.77102688650407E-5</v>
      </c>
      <c r="O82" s="1">
        <v>4.5049151937904802E-6</v>
      </c>
      <c r="P82" s="1">
        <v>-1.50582600130717E-5</v>
      </c>
      <c r="AE82">
        <v>100</v>
      </c>
      <c r="AJ82">
        <v>1</v>
      </c>
    </row>
    <row r="83" spans="1:36" x14ac:dyDescent="0.2">
      <c r="A83">
        <v>82</v>
      </c>
      <c r="B83">
        <v>742</v>
      </c>
      <c r="C83">
        <v>240</v>
      </c>
      <c r="D83">
        <v>0.32923262572033701</v>
      </c>
      <c r="E83">
        <v>10.3321122380764</v>
      </c>
      <c r="F83">
        <v>0.52362837735591405</v>
      </c>
      <c r="G83">
        <v>-223.21502680934108</v>
      </c>
      <c r="H83">
        <v>-131.92959112445328</v>
      </c>
      <c r="I83">
        <v>89.928925138132101</v>
      </c>
      <c r="J83">
        <v>40.758155627239901</v>
      </c>
      <c r="K83">
        <v>19.7317652840912</v>
      </c>
      <c r="L83">
        <v>1.3520190785521601E-3</v>
      </c>
      <c r="M83">
        <v>2.392033346009271E-4</v>
      </c>
      <c r="N83" s="1">
        <v>1.8331931473794999E-5</v>
      </c>
      <c r="O83" s="1">
        <v>4.6024537685619E-6</v>
      </c>
      <c r="P83" s="1">
        <v>-1.54354833951762E-5</v>
      </c>
      <c r="AE83">
        <v>100</v>
      </c>
      <c r="AJ83">
        <v>1</v>
      </c>
    </row>
    <row r="84" spans="1:36" x14ac:dyDescent="0.2">
      <c r="A84">
        <v>83</v>
      </c>
      <c r="B84">
        <v>757</v>
      </c>
      <c r="C84">
        <v>220</v>
      </c>
      <c r="D84">
        <v>0.36137504246954599</v>
      </c>
      <c r="E84">
        <v>4.9998674803365803</v>
      </c>
      <c r="F84">
        <v>0.486624690647319</v>
      </c>
      <c r="G84">
        <v>-108.87210545941811</v>
      </c>
      <c r="H84">
        <v>-63.462932583113052</v>
      </c>
      <c r="I84">
        <v>44.082933657723899</v>
      </c>
      <c r="J84">
        <v>19.726054643761799</v>
      </c>
      <c r="K84">
        <v>10.2745865066682</v>
      </c>
      <c r="L84">
        <v>1.4309852154806445E-3</v>
      </c>
      <c r="M84">
        <v>2.8693117900411707E-4</v>
      </c>
      <c r="N84" s="1">
        <v>7.4275486512432399E-6</v>
      </c>
      <c r="O84" s="1">
        <v>3.2333514147758301E-6</v>
      </c>
      <c r="P84" s="1">
        <v>-9.2872919232641697E-6</v>
      </c>
      <c r="AE84">
        <v>100</v>
      </c>
      <c r="AJ84">
        <v>1</v>
      </c>
    </row>
    <row r="85" spans="1:36" x14ac:dyDescent="0.2">
      <c r="A85">
        <v>84</v>
      </c>
      <c r="B85">
        <v>756</v>
      </c>
      <c r="C85">
        <v>220</v>
      </c>
      <c r="D85">
        <v>0.36068648885002402</v>
      </c>
      <c r="E85">
        <v>5.0060368478708801</v>
      </c>
      <c r="F85">
        <v>0.48732186406740702</v>
      </c>
      <c r="G85">
        <v>-108.96231568983978</v>
      </c>
      <c r="H85">
        <v>-63.560996340013979</v>
      </c>
      <c r="I85">
        <v>44.1181403211543</v>
      </c>
      <c r="J85">
        <v>19.7625039739989</v>
      </c>
      <c r="K85">
        <v>10.2725471951704</v>
      </c>
      <c r="L85">
        <v>1.4323063568848428E-3</v>
      </c>
      <c r="M85">
        <v>2.8643691801319594E-4</v>
      </c>
      <c r="N85" s="1">
        <v>7.5405341392811501E-6</v>
      </c>
      <c r="O85" s="1">
        <v>3.2270386307492298E-6</v>
      </c>
      <c r="P85" s="1">
        <v>-9.3015065272945695E-6</v>
      </c>
      <c r="AE85">
        <v>100</v>
      </c>
      <c r="AJ85">
        <v>1</v>
      </c>
    </row>
    <row r="86" spans="1:36" x14ac:dyDescent="0.2">
      <c r="A86">
        <v>85</v>
      </c>
      <c r="B86">
        <v>755</v>
      </c>
      <c r="C86">
        <v>220</v>
      </c>
      <c r="D86">
        <v>0.35999659582745702</v>
      </c>
      <c r="E86">
        <v>5.0162658079835003</v>
      </c>
      <c r="F86">
        <v>0.48802067924908299</v>
      </c>
      <c r="G86">
        <v>-109.14076244878081</v>
      </c>
      <c r="H86">
        <v>-63.710681058762823</v>
      </c>
      <c r="I86">
        <v>44.189030788646903</v>
      </c>
      <c r="J86">
        <v>19.815008001445001</v>
      </c>
      <c r="K86">
        <v>10.2787976437843</v>
      </c>
      <c r="L86">
        <v>1.4336200948221666E-3</v>
      </c>
      <c r="M86">
        <v>2.8594076603941912E-4</v>
      </c>
      <c r="N86" s="1">
        <v>7.6603737296233708E-6</v>
      </c>
      <c r="O86" s="1">
        <v>3.22328683728487E-6</v>
      </c>
      <c r="P86" s="1">
        <v>-9.3231486482721703E-6</v>
      </c>
      <c r="AE86">
        <v>100</v>
      </c>
      <c r="AJ86">
        <v>1</v>
      </c>
    </row>
    <row r="87" spans="1:36" x14ac:dyDescent="0.2">
      <c r="A87">
        <v>86</v>
      </c>
      <c r="B87">
        <v>754</v>
      </c>
      <c r="C87">
        <v>220</v>
      </c>
      <c r="D87">
        <v>0.35930535948985198</v>
      </c>
      <c r="E87">
        <v>5.0264419476065001</v>
      </c>
      <c r="F87">
        <v>0.48872113674949802</v>
      </c>
      <c r="G87">
        <v>-109.3178994935226</v>
      </c>
      <c r="H87">
        <v>-63.85978763424589</v>
      </c>
      <c r="I87">
        <v>44.259347026255199</v>
      </c>
      <c r="J87">
        <v>19.8673410180917</v>
      </c>
      <c r="K87">
        <v>10.284887576251601</v>
      </c>
      <c r="L87">
        <v>1.4349263412698735E-3</v>
      </c>
      <c r="M87">
        <v>2.8544272531886309E-4</v>
      </c>
      <c r="N87" s="1">
        <v>7.7809520754878093E-6</v>
      </c>
      <c r="O87" s="1">
        <v>3.21943689735405E-6</v>
      </c>
      <c r="P87" s="1">
        <v>-9.3445772696730802E-6</v>
      </c>
      <c r="AE87">
        <v>100</v>
      </c>
      <c r="AJ87">
        <v>1</v>
      </c>
    </row>
    <row r="88" spans="1:36" x14ac:dyDescent="0.2">
      <c r="A88">
        <v>87</v>
      </c>
      <c r="B88">
        <v>753</v>
      </c>
      <c r="C88">
        <v>220</v>
      </c>
      <c r="D88">
        <v>0.35861277590995699</v>
      </c>
      <c r="E88">
        <v>5.0365657021309396</v>
      </c>
      <c r="F88">
        <v>0.48942323707433599</v>
      </c>
      <c r="G88">
        <v>-109.49373783293693</v>
      </c>
      <c r="H88">
        <v>-64.008321035387809</v>
      </c>
      <c r="I88">
        <v>44.3290932414602</v>
      </c>
      <c r="J88">
        <v>19.919503799551698</v>
      </c>
      <c r="K88">
        <v>10.290818499420601</v>
      </c>
      <c r="L88">
        <v>1.4362250081449215E-3</v>
      </c>
      <c r="M88">
        <v>2.849427982478767E-4</v>
      </c>
      <c r="N88" s="1">
        <v>7.9022635344719208E-6</v>
      </c>
      <c r="O88" s="1">
        <v>3.2154894042262201E-6</v>
      </c>
      <c r="P88" s="1">
        <v>-9.3657910241766697E-6</v>
      </c>
      <c r="AE88">
        <v>100</v>
      </c>
      <c r="AJ88">
        <v>1</v>
      </c>
    </row>
    <row r="89" spans="1:36" x14ac:dyDescent="0.2">
      <c r="A89">
        <v>88</v>
      </c>
      <c r="B89">
        <v>752</v>
      </c>
      <c r="C89">
        <v>220</v>
      </c>
      <c r="D89">
        <v>0.35791884114519901</v>
      </c>
      <c r="E89">
        <v>5.0466375028480597</v>
      </c>
      <c r="F89">
        <v>0.49012698067737198</v>
      </c>
      <c r="G89">
        <v>-109.66828837055353</v>
      </c>
      <c r="H89">
        <v>-64.156286184527929</v>
      </c>
      <c r="I89">
        <v>44.398273600842501</v>
      </c>
      <c r="J89">
        <v>19.971497104153102</v>
      </c>
      <c r="K89">
        <v>10.2965919074143</v>
      </c>
      <c r="L89">
        <v>1.4375160073153931E-3</v>
      </c>
      <c r="M89">
        <v>2.8444098738428784E-4</v>
      </c>
      <c r="N89" s="1">
        <v>8.0243023237709402E-6</v>
      </c>
      <c r="O89" s="1">
        <v>3.2114449515292799E-6</v>
      </c>
      <c r="P89" s="1">
        <v>-9.3867885391186004E-6</v>
      </c>
      <c r="AE89">
        <v>100</v>
      </c>
      <c r="AJ89">
        <v>1</v>
      </c>
    </row>
    <row r="90" spans="1:36" x14ac:dyDescent="0.2">
      <c r="A90">
        <v>89</v>
      </c>
      <c r="B90">
        <v>751</v>
      </c>
      <c r="C90">
        <v>220</v>
      </c>
      <c r="D90">
        <v>0.35722355123761301</v>
      </c>
      <c r="E90">
        <v>5.2052786605469299</v>
      </c>
      <c r="F90">
        <v>0.49083236796007601</v>
      </c>
      <c r="G90">
        <v>-113.06992947600739</v>
      </c>
      <c r="H90">
        <v>-66.193645977909796</v>
      </c>
      <c r="I90">
        <v>45.773824418481503</v>
      </c>
      <c r="J90">
        <v>20.611829713417102</v>
      </c>
      <c r="K90">
        <v>10.605002848895801</v>
      </c>
      <c r="L90">
        <v>1.4387992506119229E-3</v>
      </c>
      <c r="M90">
        <v>2.8393729544850589E-4</v>
      </c>
      <c r="N90" s="1">
        <v>8.3865138894722293E-6</v>
      </c>
      <c r="O90" s="1">
        <v>3.30157042448027E-6</v>
      </c>
      <c r="P90" s="1">
        <v>-9.6840674991727E-6</v>
      </c>
      <c r="AE90">
        <v>100</v>
      </c>
      <c r="AJ90">
        <v>1</v>
      </c>
    </row>
    <row r="91" spans="1:36" x14ac:dyDescent="0.2">
      <c r="A91">
        <v>90</v>
      </c>
      <c r="B91">
        <v>750</v>
      </c>
      <c r="C91">
        <v>220</v>
      </c>
      <c r="D91">
        <v>0.356526902213751</v>
      </c>
      <c r="E91">
        <v>5.9631526415631102</v>
      </c>
      <c r="F91">
        <v>0.49153939927118501</v>
      </c>
      <c r="G91">
        <v>-129.48016740792002</v>
      </c>
      <c r="H91">
        <v>-75.854875295355654</v>
      </c>
      <c r="I91">
        <v>52.415290616904002</v>
      </c>
      <c r="J91">
        <v>23.627190377350001</v>
      </c>
      <c r="K91">
        <v>12.1315862988903</v>
      </c>
      <c r="L91">
        <v>1.4400746498396122E-3</v>
      </c>
      <c r="M91">
        <v>2.8343172532471452E-4</v>
      </c>
      <c r="N91" s="1">
        <v>9.7339870054310801E-6</v>
      </c>
      <c r="O91" s="1">
        <v>3.7698415306932799E-6</v>
      </c>
      <c r="P91" s="1">
        <v>-1.1096410873243901E-5</v>
      </c>
      <c r="AE91">
        <v>100</v>
      </c>
      <c r="AJ91">
        <v>1</v>
      </c>
    </row>
    <row r="92" spans="1:36" x14ac:dyDescent="0.2">
      <c r="A92">
        <v>91</v>
      </c>
      <c r="B92">
        <v>749</v>
      </c>
      <c r="C92">
        <v>220</v>
      </c>
      <c r="D92">
        <v>0.35582889008462698</v>
      </c>
      <c r="E92">
        <v>7.0979064718232499</v>
      </c>
      <c r="F92">
        <v>0.49224807490628802</v>
      </c>
      <c r="G92">
        <v>-154.05712659133965</v>
      </c>
      <c r="H92">
        <v>-90.317755903194495</v>
      </c>
      <c r="I92">
        <v>62.362111770375897</v>
      </c>
      <c r="J92">
        <v>28.140353643859999</v>
      </c>
      <c r="K92">
        <v>14.419368675386901</v>
      </c>
      <c r="L92">
        <v>1.4413421167897122E-3</v>
      </c>
      <c r="M92">
        <v>2.8292428006196666E-4</v>
      </c>
      <c r="N92" s="1">
        <v>1.1737303958872E-5</v>
      </c>
      <c r="O92" s="1">
        <v>4.4723971619770897E-6</v>
      </c>
      <c r="P92" s="1">
        <v>-1.32106284012802E-5</v>
      </c>
      <c r="AE92">
        <v>100</v>
      </c>
      <c r="AJ92">
        <v>1</v>
      </c>
    </row>
    <row r="93" spans="1:36" x14ac:dyDescent="0.2">
      <c r="A93">
        <v>92</v>
      </c>
      <c r="B93">
        <v>748</v>
      </c>
      <c r="C93">
        <v>220</v>
      </c>
      <c r="D93">
        <v>0.355129510845618</v>
      </c>
      <c r="E93">
        <v>8.6150244976836401</v>
      </c>
      <c r="F93">
        <v>0.49295839510744699</v>
      </c>
      <c r="G93">
        <v>-186.90987158309824</v>
      </c>
      <c r="H93">
        <v>-109.65658479036394</v>
      </c>
      <c r="I93">
        <v>75.658049100303501</v>
      </c>
      <c r="J93">
        <v>34.175780446972603</v>
      </c>
      <c r="K93">
        <v>17.476169557485399</v>
      </c>
      <c r="L93">
        <v>1.4426015632516061E-3</v>
      </c>
      <c r="M93">
        <v>2.8241496287524957E-4</v>
      </c>
      <c r="N93" s="1">
        <v>1.4429941331334401E-5</v>
      </c>
      <c r="O93" s="1">
        <v>5.4103059494575401E-6</v>
      </c>
      <c r="P93" s="1">
        <v>-1.60372569433864E-5</v>
      </c>
      <c r="AE93">
        <v>100</v>
      </c>
      <c r="AJ93">
        <v>1</v>
      </c>
    </row>
    <row r="94" spans="1:36" x14ac:dyDescent="0.2">
      <c r="A94">
        <v>93</v>
      </c>
      <c r="B94">
        <v>747</v>
      </c>
      <c r="C94">
        <v>220</v>
      </c>
      <c r="D94">
        <v>0.35442876047640198</v>
      </c>
      <c r="E94">
        <v>9.7943066605795703</v>
      </c>
      <c r="F94">
        <v>0.493670360062758</v>
      </c>
      <c r="G94">
        <v>-212.40934909893087</v>
      </c>
      <c r="H94">
        <v>-124.70597712532066</v>
      </c>
      <c r="I94">
        <v>85.976549406774197</v>
      </c>
      <c r="J94">
        <v>38.877450667154399</v>
      </c>
      <c r="K94">
        <v>19.839770528930401</v>
      </c>
      <c r="L94">
        <v>1.4438529010246928E-3</v>
      </c>
      <c r="M94">
        <v>2.8190377714654613E-4</v>
      </c>
      <c r="N94" s="1">
        <v>1.6614958006114502E-5</v>
      </c>
      <c r="O94" s="1">
        <v>6.1303670329733997E-6</v>
      </c>
      <c r="P94" s="1">
        <v>-1.8235653992401101E-5</v>
      </c>
      <c r="AE94">
        <v>100</v>
      </c>
      <c r="AJ94">
        <v>1</v>
      </c>
    </row>
    <row r="95" spans="1:36" x14ac:dyDescent="0.2">
      <c r="A95">
        <v>94</v>
      </c>
      <c r="B95">
        <v>746</v>
      </c>
      <c r="C95">
        <v>220</v>
      </c>
      <c r="D95">
        <v>0.35372663494088302</v>
      </c>
      <c r="E95">
        <v>10.2473209755554</v>
      </c>
      <c r="F95">
        <v>0.49438396990598499</v>
      </c>
      <c r="G95">
        <v>-222.14394748817364</v>
      </c>
      <c r="H95">
        <v>-130.51466829292033</v>
      </c>
      <c r="I95">
        <v>89.913303578053402</v>
      </c>
      <c r="J95">
        <v>40.700156494114601</v>
      </c>
      <c r="K95">
        <v>20.7274539615515</v>
      </c>
      <c r="L95">
        <v>1.4450960419308679E-3</v>
      </c>
      <c r="M95">
        <v>2.8139072642592399E-4</v>
      </c>
      <c r="N95" s="1">
        <v>1.7603608647257601E-5</v>
      </c>
      <c r="O95" s="1">
        <v>6.3923832304265501E-6</v>
      </c>
      <c r="P95" s="1">
        <v>-1.9082079979826501E-5</v>
      </c>
      <c r="AE95">
        <v>100</v>
      </c>
      <c r="AJ95">
        <v>1</v>
      </c>
    </row>
    <row r="96" spans="1:36" x14ac:dyDescent="0.2">
      <c r="A96">
        <v>95</v>
      </c>
      <c r="B96">
        <v>745</v>
      </c>
      <c r="C96">
        <v>220</v>
      </c>
      <c r="D96">
        <v>0.35302313018710402</v>
      </c>
      <c r="E96">
        <v>10.4151216988835</v>
      </c>
      <c r="F96">
        <v>0.49509922471614298</v>
      </c>
      <c r="G96">
        <v>-225.69020755310433</v>
      </c>
      <c r="H96">
        <v>-132.69323578354374</v>
      </c>
      <c r="I96">
        <v>91.345019831811001</v>
      </c>
      <c r="J96">
        <v>41.391506866230898</v>
      </c>
      <c r="K96">
        <v>21.036433060170602</v>
      </c>
      <c r="L96">
        <v>1.4463308978263786E-3</v>
      </c>
      <c r="M96">
        <v>2.8087581443245446E-4</v>
      </c>
      <c r="N96" s="1">
        <v>1.8116345717278001E-5</v>
      </c>
      <c r="O96" s="1">
        <v>6.4751326462069997E-6</v>
      </c>
      <c r="P96" s="1">
        <v>-1.93972892708895E-5</v>
      </c>
      <c r="AE96">
        <v>100</v>
      </c>
      <c r="AJ96">
        <v>1</v>
      </c>
    </row>
    <row r="97" spans="1:36" x14ac:dyDescent="0.2">
      <c r="A97">
        <v>96</v>
      </c>
      <c r="B97">
        <v>758</v>
      </c>
      <c r="C97">
        <v>200</v>
      </c>
      <c r="D97">
        <v>0.383397662803666</v>
      </c>
      <c r="E97">
        <v>5.3199170588405904</v>
      </c>
      <c r="F97">
        <v>0.45645257202433998</v>
      </c>
      <c r="G97">
        <v>-116.11385364861245</v>
      </c>
      <c r="H97">
        <v>-67.385302053390461</v>
      </c>
      <c r="I97">
        <v>47.259463684666002</v>
      </c>
      <c r="J97">
        <v>21.126298609486099</v>
      </c>
      <c r="K97">
        <v>11.6549174764139</v>
      </c>
      <c r="L97">
        <v>1.5329879985900398E-3</v>
      </c>
      <c r="M97">
        <v>3.4074884165332146E-4</v>
      </c>
      <c r="N97" s="1">
        <v>6.5775789199413998E-6</v>
      </c>
      <c r="O97" s="1">
        <v>4.9023998222455704E-6</v>
      </c>
      <c r="P97" s="1">
        <v>-1.23841967490542E-5</v>
      </c>
      <c r="AE97">
        <v>100</v>
      </c>
      <c r="AJ97">
        <v>1</v>
      </c>
    </row>
    <row r="98" spans="1:36" x14ac:dyDescent="0.2">
      <c r="A98">
        <v>97</v>
      </c>
      <c r="B98">
        <v>757</v>
      </c>
      <c r="C98">
        <v>200</v>
      </c>
      <c r="D98">
        <v>0.38273115565694399</v>
      </c>
      <c r="E98">
        <v>5.3208355911869702</v>
      </c>
      <c r="F98">
        <v>0.45715325257592998</v>
      </c>
      <c r="G98">
        <v>-116.0866443957827</v>
      </c>
      <c r="H98">
        <v>-67.418074329631679</v>
      </c>
      <c r="I98">
        <v>47.247114473632998</v>
      </c>
      <c r="J98">
        <v>21.145227967482299</v>
      </c>
      <c r="K98">
        <v>11.6390631833101</v>
      </c>
      <c r="L98">
        <v>1.5347700870519453E-3</v>
      </c>
      <c r="M98">
        <v>3.4020729273536896E-4</v>
      </c>
      <c r="N98" s="1">
        <v>6.7163728023689498E-6</v>
      </c>
      <c r="O98" s="1">
        <v>4.8889414340744704E-6</v>
      </c>
      <c r="P98" s="1">
        <v>-1.23959462116657E-5</v>
      </c>
      <c r="AE98">
        <v>100</v>
      </c>
      <c r="AJ98">
        <v>1</v>
      </c>
    </row>
    <row r="99" spans="1:36" x14ac:dyDescent="0.2">
      <c r="A99">
        <v>98</v>
      </c>
      <c r="B99">
        <v>756</v>
      </c>
      <c r="C99">
        <v>200</v>
      </c>
      <c r="D99">
        <v>0.38206335325268598</v>
      </c>
      <c r="E99">
        <v>5.4519646361584604</v>
      </c>
      <c r="F99">
        <v>0.45785582298683303</v>
      </c>
      <c r="G99">
        <v>-118.89913445414244</v>
      </c>
      <c r="H99">
        <v>-69.101229584355821</v>
      </c>
      <c r="I99">
        <v>48.390443393810799</v>
      </c>
      <c r="J99">
        <v>21.681994765111401</v>
      </c>
      <c r="K99">
        <v>11.907601394238901</v>
      </c>
      <c r="L99">
        <v>1.5365448866216137E-3</v>
      </c>
      <c r="M99">
        <v>3.3966306150425685E-4</v>
      </c>
      <c r="N99" s="1">
        <v>7.0237782702327796E-6</v>
      </c>
      <c r="O99" s="1">
        <v>4.9947249689340103E-6</v>
      </c>
      <c r="P99" s="1">
        <v>-1.2711137226333901E-5</v>
      </c>
      <c r="AE99">
        <v>100</v>
      </c>
      <c r="AJ99">
        <v>1</v>
      </c>
    </row>
    <row r="100" spans="1:36" x14ac:dyDescent="0.2">
      <c r="A100">
        <v>99</v>
      </c>
      <c r="B100">
        <v>755</v>
      </c>
      <c r="C100">
        <v>200</v>
      </c>
      <c r="D100">
        <v>0.38139425181150599</v>
      </c>
      <c r="E100">
        <v>5.60732305268409</v>
      </c>
      <c r="F100">
        <v>0.45856028529133602</v>
      </c>
      <c r="G100">
        <v>-122.23750891572787</v>
      </c>
      <c r="H100">
        <v>-71.092636381855129</v>
      </c>
      <c r="I100">
        <v>49.747684081556699</v>
      </c>
      <c r="J100">
        <v>22.315937527147899</v>
      </c>
      <c r="K100">
        <v>12.228104422784</v>
      </c>
      <c r="L100">
        <v>1.5383122723209872E-3</v>
      </c>
      <c r="M100">
        <v>3.3911614505275191E-4</v>
      </c>
      <c r="N100" s="1">
        <v>7.3707059317834699E-6</v>
      </c>
      <c r="O100" s="1">
        <v>5.1218876777971403E-6</v>
      </c>
      <c r="P100" s="1">
        <v>-1.30831730398324E-5</v>
      </c>
      <c r="AE100">
        <v>100</v>
      </c>
      <c r="AJ100">
        <v>1</v>
      </c>
    </row>
    <row r="101" spans="1:36" x14ac:dyDescent="0.2">
      <c r="A101">
        <v>100</v>
      </c>
      <c r="B101">
        <v>754</v>
      </c>
      <c r="C101">
        <v>200</v>
      </c>
      <c r="D101">
        <v>0.38072384753930699</v>
      </c>
      <c r="E101">
        <v>6.1284976235517501</v>
      </c>
      <c r="F101">
        <v>0.45926664146385499</v>
      </c>
      <c r="G101">
        <v>-133.5445566175685</v>
      </c>
      <c r="H101">
        <v>-77.724764830007373</v>
      </c>
      <c r="I101">
        <v>54.347757280080003</v>
      </c>
      <c r="J101">
        <v>24.407685753975102</v>
      </c>
      <c r="K101">
        <v>13.3440948465534</v>
      </c>
      <c r="L101">
        <v>1.5400721186903533E-3</v>
      </c>
      <c r="M101">
        <v>3.3856654068413543E-4</v>
      </c>
      <c r="N101" s="1">
        <v>8.2171249864731393E-6</v>
      </c>
      <c r="O101" s="1">
        <v>5.5813175395152303E-6</v>
      </c>
      <c r="P101" s="1">
        <v>-1.4309754447897E-5</v>
      </c>
      <c r="AE101">
        <v>100</v>
      </c>
      <c r="AJ101">
        <v>1</v>
      </c>
    </row>
    <row r="102" spans="1:36" x14ac:dyDescent="0.2">
      <c r="A102">
        <v>101</v>
      </c>
      <c r="B102">
        <v>753</v>
      </c>
      <c r="C102">
        <v>200</v>
      </c>
      <c r="D102">
        <v>0.380052136627202</v>
      </c>
      <c r="E102">
        <v>7.2155382557697898</v>
      </c>
      <c r="F102">
        <v>0.45997489341823899</v>
      </c>
      <c r="G102">
        <v>-157.16801306713253</v>
      </c>
      <c r="H102">
        <v>-91.539921613280995</v>
      </c>
      <c r="I102">
        <v>63.9596751234481</v>
      </c>
      <c r="J102">
        <v>28.757689549953302</v>
      </c>
      <c r="K102">
        <v>15.686808908522201</v>
      </c>
      <c r="L102">
        <v>1.5418242998035522E-3</v>
      </c>
      <c r="M102">
        <v>3.3801424591524664E-4</v>
      </c>
      <c r="N102" s="1">
        <v>9.8656815865829206E-6</v>
      </c>
      <c r="O102" s="1">
        <v>6.5516688409025703E-6</v>
      </c>
      <c r="P102" s="1">
        <v>-1.6860171559982401E-5</v>
      </c>
      <c r="AE102">
        <v>100</v>
      </c>
      <c r="AJ102">
        <v>1</v>
      </c>
    </row>
    <row r="103" spans="1:36" x14ac:dyDescent="0.2">
      <c r="A103">
        <v>102</v>
      </c>
      <c r="B103">
        <v>752</v>
      </c>
      <c r="C103">
        <v>200</v>
      </c>
      <c r="D103">
        <v>0.37937911525142798</v>
      </c>
      <c r="E103">
        <v>7.9068639404677699</v>
      </c>
      <c r="F103">
        <v>0.46068504300701602</v>
      </c>
      <c r="G103">
        <v>-172.15631620138456</v>
      </c>
      <c r="H103">
        <v>-100.34194880364748</v>
      </c>
      <c r="I103">
        <v>70.0569596554854</v>
      </c>
      <c r="J103">
        <v>31.535653881054898</v>
      </c>
      <c r="K103">
        <v>17.1632746938288</v>
      </c>
      <c r="L103">
        <v>1.5435686892833393E-3</v>
      </c>
      <c r="M103">
        <v>3.3745925847954796E-4</v>
      </c>
      <c r="N103" s="1">
        <v>1.10214461150946E-5</v>
      </c>
      <c r="O103" s="1">
        <v>7.1578099789879003E-6</v>
      </c>
      <c r="P103" s="1">
        <v>-1.84887260049379E-5</v>
      </c>
      <c r="AE103">
        <v>100</v>
      </c>
      <c r="AJ103">
        <v>1</v>
      </c>
    </row>
    <row r="104" spans="1:36" x14ac:dyDescent="0.2">
      <c r="A104">
        <v>103</v>
      </c>
      <c r="B104">
        <v>751</v>
      </c>
      <c r="C104">
        <v>200</v>
      </c>
      <c r="D104">
        <v>0.378704779573308</v>
      </c>
      <c r="E104">
        <v>9.6636008181352402</v>
      </c>
      <c r="F104">
        <v>0.46139709202066598</v>
      </c>
      <c r="G104">
        <v>-210.32018216562273</v>
      </c>
      <c r="H104">
        <v>-122.67435020021509</v>
      </c>
      <c r="I104">
        <v>85.584496481188097</v>
      </c>
      <c r="J104">
        <v>38.569898999934203</v>
      </c>
      <c r="K104">
        <v>20.944216999318201</v>
      </c>
      <c r="L104">
        <v>1.5453051603175104E-3</v>
      </c>
      <c r="M104">
        <v>3.3690157633022602E-4</v>
      </c>
      <c r="N104" s="1">
        <v>1.37289049960114E-5</v>
      </c>
      <c r="O104" s="1">
        <v>8.7216714162333308E-6</v>
      </c>
      <c r="P104" s="1">
        <v>-2.2612337536990599E-5</v>
      </c>
      <c r="AE104">
        <v>100</v>
      </c>
      <c r="AJ104">
        <v>1</v>
      </c>
    </row>
    <row r="105" spans="1:36" x14ac:dyDescent="0.2">
      <c r="A105">
        <v>104</v>
      </c>
      <c r="B105">
        <v>750</v>
      </c>
      <c r="C105">
        <v>200</v>
      </c>
      <c r="D105">
        <v>0.37802912573913899</v>
      </c>
      <c r="E105">
        <v>10.2031430674618</v>
      </c>
      <c r="F105">
        <v>0.46211104218689197</v>
      </c>
      <c r="G105">
        <v>-221.97252456442325</v>
      </c>
      <c r="H105">
        <v>-129.56429438507683</v>
      </c>
      <c r="I105">
        <v>90.323089521921801</v>
      </c>
      <c r="J105">
        <v>40.752574981145102</v>
      </c>
      <c r="K105">
        <v>22.079418442754498</v>
      </c>
      <c r="L105">
        <v>1.5470335856745735E-3</v>
      </c>
      <c r="M105">
        <v>3.3634119764314386E-4</v>
      </c>
      <c r="N105" s="1">
        <v>1.4770091188466801E-5</v>
      </c>
      <c r="O105" s="1">
        <v>9.1806122069661099E-6</v>
      </c>
      <c r="P105" s="1">
        <v>-2.38912254195105E-5</v>
      </c>
      <c r="AE105">
        <v>100</v>
      </c>
      <c r="AJ105">
        <v>1</v>
      </c>
    </row>
    <row r="106" spans="1:36" x14ac:dyDescent="0.2">
      <c r="A106">
        <v>105</v>
      </c>
      <c r="B106">
        <v>749</v>
      </c>
      <c r="C106">
        <v>200</v>
      </c>
      <c r="D106">
        <v>0.37735214988015597</v>
      </c>
      <c r="E106">
        <v>10.4012522943178</v>
      </c>
      <c r="F106">
        <v>0.46282689516988901</v>
      </c>
      <c r="G106">
        <v>-226.19039536743369</v>
      </c>
      <c r="H106">
        <v>-132.12153696688233</v>
      </c>
      <c r="I106">
        <v>92.036208615001897</v>
      </c>
      <c r="J106">
        <v>41.573622613643003</v>
      </c>
      <c r="K106">
        <v>22.4733100061089</v>
      </c>
      <c r="L106">
        <v>1.5487538377205383E-3</v>
      </c>
      <c r="M106">
        <v>3.3577812081994098E-4</v>
      </c>
      <c r="N106" s="1">
        <v>1.5338386940727101E-5</v>
      </c>
      <c r="O106" s="1">
        <v>9.3302279989917504E-6</v>
      </c>
      <c r="P106" s="1">
        <v>-2.4371496117664201E-5</v>
      </c>
      <c r="AE106">
        <v>100</v>
      </c>
      <c r="AJ106">
        <v>1</v>
      </c>
    </row>
    <row r="107" spans="1:36" x14ac:dyDescent="0.2">
      <c r="A107">
        <v>106</v>
      </c>
      <c r="B107">
        <v>765</v>
      </c>
      <c r="C107">
        <v>180</v>
      </c>
      <c r="D107">
        <v>0.409218802677841</v>
      </c>
      <c r="E107">
        <v>5.6411594571839601</v>
      </c>
      <c r="F107">
        <v>0.41871137437891198</v>
      </c>
      <c r="G107">
        <v>-123.73590753982045</v>
      </c>
      <c r="H107">
        <v>-71.133538784617002</v>
      </c>
      <c r="I107">
        <v>50.672443262584103</v>
      </c>
      <c r="J107">
        <v>22.3820808407818</v>
      </c>
      <c r="K107">
        <v>13.4726682922136</v>
      </c>
      <c r="L107">
        <v>1.6274335457675544E-3</v>
      </c>
      <c r="M107">
        <v>4.1497905989361958E-4</v>
      </c>
      <c r="N107" s="1">
        <v>2.6411461662296802E-6</v>
      </c>
      <c r="O107" s="1">
        <v>7.7701377052141598E-6</v>
      </c>
      <c r="P107" s="1">
        <v>-1.6434018671045201E-5</v>
      </c>
      <c r="AE107">
        <v>100</v>
      </c>
      <c r="AJ107">
        <v>1</v>
      </c>
    </row>
    <row r="108" spans="1:36" x14ac:dyDescent="0.2">
      <c r="A108">
        <v>107</v>
      </c>
      <c r="B108">
        <v>764</v>
      </c>
      <c r="C108">
        <v>180</v>
      </c>
      <c r="D108">
        <v>0.40858169020874802</v>
      </c>
      <c r="E108">
        <v>5.64790708550834</v>
      </c>
      <c r="F108">
        <v>0.41939386807347301</v>
      </c>
      <c r="G108">
        <v>-123.83319101276341</v>
      </c>
      <c r="H108">
        <v>-71.241043108652462</v>
      </c>
      <c r="I108">
        <v>50.711449629625903</v>
      </c>
      <c r="J108">
        <v>22.428157320093302</v>
      </c>
      <c r="K108">
        <v>13.466832768568</v>
      </c>
      <c r="L108">
        <v>1.6298838109191603E-3</v>
      </c>
      <c r="M108">
        <v>4.1443282257927374E-4</v>
      </c>
      <c r="N108" s="1">
        <v>2.80809903695468E-6</v>
      </c>
      <c r="O108" s="1">
        <v>7.7602798710308595E-6</v>
      </c>
      <c r="P108" s="1">
        <v>-1.64766843016575E-5</v>
      </c>
      <c r="AE108">
        <v>100</v>
      </c>
      <c r="AJ108">
        <v>1</v>
      </c>
    </row>
    <row r="109" spans="1:36" x14ac:dyDescent="0.2">
      <c r="A109">
        <v>108</v>
      </c>
      <c r="B109">
        <v>763</v>
      </c>
      <c r="C109">
        <v>180</v>
      </c>
      <c r="D109">
        <v>0.40794334797085602</v>
      </c>
      <c r="E109">
        <v>5.6808248493808202</v>
      </c>
      <c r="F109">
        <v>0.42007850256930701</v>
      </c>
      <c r="G109">
        <v>-124.50393333934755</v>
      </c>
      <c r="H109">
        <v>-71.67882671756611</v>
      </c>
      <c r="I109">
        <v>50.985241073785502</v>
      </c>
      <c r="J109">
        <v>22.578311898604301</v>
      </c>
      <c r="K109">
        <v>13.5232458091414</v>
      </c>
      <c r="L109">
        <v>1.632329496526221E-3</v>
      </c>
      <c r="M109">
        <v>4.1388300738298114E-4</v>
      </c>
      <c r="N109" s="1">
        <v>2.9907512762676299E-6</v>
      </c>
      <c r="O109" s="1">
        <v>7.7861715078828804E-6</v>
      </c>
      <c r="P109" s="1">
        <v>-1.6595762849329901E-5</v>
      </c>
      <c r="AE109">
        <v>100</v>
      </c>
      <c r="AJ109">
        <v>1</v>
      </c>
    </row>
    <row r="110" spans="1:36" x14ac:dyDescent="0.2">
      <c r="A110">
        <v>109</v>
      </c>
      <c r="B110">
        <v>762</v>
      </c>
      <c r="C110">
        <v>180</v>
      </c>
      <c r="D110">
        <v>0.40730377240013699</v>
      </c>
      <c r="E110">
        <v>5.7138119396038398</v>
      </c>
      <c r="F110">
        <v>0.42076528275571701</v>
      </c>
      <c r="G110">
        <v>-125.17562535516068</v>
      </c>
      <c r="H110">
        <v>-72.117766447353915</v>
      </c>
      <c r="I110">
        <v>51.2593621232351</v>
      </c>
      <c r="J110">
        <v>22.728986266691599</v>
      </c>
      <c r="K110">
        <v>13.579570781558701</v>
      </c>
      <c r="L110">
        <v>1.63477044451666E-3</v>
      </c>
      <c r="M110">
        <v>4.1332959918505074E-4</v>
      </c>
      <c r="N110" s="1">
        <v>3.1769172014190002E-6</v>
      </c>
      <c r="O110" s="1">
        <v>7.8118589364091303E-6</v>
      </c>
      <c r="P110" s="1">
        <v>-1.67152119504203E-5</v>
      </c>
      <c r="AE110">
        <v>100</v>
      </c>
      <c r="AJ110">
        <v>1</v>
      </c>
    </row>
    <row r="111" spans="1:36" x14ac:dyDescent="0.2">
      <c r="A111">
        <v>110</v>
      </c>
      <c r="B111">
        <v>761</v>
      </c>
      <c r="C111">
        <v>180</v>
      </c>
      <c r="D111">
        <v>0.40666295991877599</v>
      </c>
      <c r="E111">
        <v>5.7861434300419798</v>
      </c>
      <c r="F111">
        <v>0.42145421346922002</v>
      </c>
      <c r="G111">
        <v>-126.70833402357708</v>
      </c>
      <c r="H111">
        <v>-73.053736237782374</v>
      </c>
      <c r="I111">
        <v>51.886002003940703</v>
      </c>
      <c r="J111">
        <v>23.036547698499199</v>
      </c>
      <c r="K111">
        <v>13.728996519961299</v>
      </c>
      <c r="L111">
        <v>1.6372064953669044E-3</v>
      </c>
      <c r="M111">
        <v>4.1277258303264137E-4</v>
      </c>
      <c r="N111" s="1">
        <v>3.3896393245874102E-6</v>
      </c>
      <c r="O111" s="1">
        <v>7.8909014537561906E-6</v>
      </c>
      <c r="P111" s="1">
        <v>-1.6950080299725299E-5</v>
      </c>
      <c r="AE111">
        <v>100</v>
      </c>
      <c r="AJ111">
        <v>1</v>
      </c>
    </row>
    <row r="112" spans="1:36" x14ac:dyDescent="0.2">
      <c r="A112">
        <v>111</v>
      </c>
      <c r="B112">
        <v>760</v>
      </c>
      <c r="C112">
        <v>180</v>
      </c>
      <c r="D112">
        <v>0.40602090693510101</v>
      </c>
      <c r="E112">
        <v>5.9289976017233599</v>
      </c>
      <c r="F112">
        <v>0.42214529949238699</v>
      </c>
      <c r="G112">
        <v>-129.78348216200263</v>
      </c>
      <c r="H112">
        <v>-74.880976364620921</v>
      </c>
      <c r="I112">
        <v>53.1441695144863</v>
      </c>
      <c r="J112">
        <v>23.625638638215801</v>
      </c>
      <c r="K112">
        <v>14.0449215207483</v>
      </c>
      <c r="L112">
        <v>1.6396374881098249E-3</v>
      </c>
      <c r="M112">
        <v>4.1221194414539728E-4</v>
      </c>
      <c r="N112" s="1">
        <v>3.65169951029053E-6</v>
      </c>
      <c r="O112" s="1">
        <v>8.0653031764286505E-6</v>
      </c>
      <c r="P112" s="1">
        <v>-1.7392293928428101E-5</v>
      </c>
      <c r="AE112">
        <v>100</v>
      </c>
      <c r="AJ112">
        <v>1</v>
      </c>
    </row>
    <row r="113" spans="1:36" x14ac:dyDescent="0.2">
      <c r="A113">
        <v>112</v>
      </c>
      <c r="B113">
        <v>759</v>
      </c>
      <c r="C113">
        <v>180</v>
      </c>
      <c r="D113">
        <v>0.40537760984353299</v>
      </c>
      <c r="E113">
        <v>6.0868615036652001</v>
      </c>
      <c r="F113">
        <v>0.42283854555270201</v>
      </c>
      <c r="G113">
        <v>-133.18451496637107</v>
      </c>
      <c r="H113">
        <v>-76.899002320235994</v>
      </c>
      <c r="I113">
        <v>54.535674002871197</v>
      </c>
      <c r="J113">
        <v>24.275588887237799</v>
      </c>
      <c r="K113">
        <v>14.3952380114942</v>
      </c>
      <c r="L113">
        <v>1.6420632603436609E-3</v>
      </c>
      <c r="M113">
        <v>4.1164766792121455E-4</v>
      </c>
      <c r="N113" s="1">
        <v>3.9337040975934297E-6</v>
      </c>
      <c r="O113" s="1">
        <v>8.2590062714537103E-6</v>
      </c>
      <c r="P113" s="1">
        <v>-1.7879623020683102E-5</v>
      </c>
      <c r="AE113">
        <v>100</v>
      </c>
      <c r="AJ113">
        <v>1</v>
      </c>
    </row>
    <row r="114" spans="1:36" x14ac:dyDescent="0.2">
      <c r="A114">
        <v>113</v>
      </c>
      <c r="B114">
        <v>758</v>
      </c>
      <c r="C114">
        <v>180</v>
      </c>
      <c r="D114">
        <v>0.40473306502448703</v>
      </c>
      <c r="E114">
        <v>6.8918058412549303</v>
      </c>
      <c r="F114">
        <v>0.42353395632138902</v>
      </c>
      <c r="G114">
        <v>-150.73548978829072</v>
      </c>
      <c r="H114">
        <v>-87.095848619449384</v>
      </c>
      <c r="I114">
        <v>61.720976660378199</v>
      </c>
      <c r="J114">
        <v>27.5095465995628</v>
      </c>
      <c r="K114">
        <v>16.272144743986502</v>
      </c>
      <c r="L114">
        <v>1.6444836482412851E-3</v>
      </c>
      <c r="M114">
        <v>4.1107973994203729E-4</v>
      </c>
      <c r="N114" s="1">
        <v>4.6649912612356697E-6</v>
      </c>
      <c r="O114" s="1">
        <v>9.3272850483117899E-6</v>
      </c>
      <c r="P114" s="1">
        <v>-2.02713908611767E-5</v>
      </c>
      <c r="AE114">
        <v>100</v>
      </c>
      <c r="AJ114">
        <v>1</v>
      </c>
    </row>
    <row r="115" spans="1:36" x14ac:dyDescent="0.2">
      <c r="A115">
        <v>114</v>
      </c>
      <c r="B115">
        <v>757</v>
      </c>
      <c r="C115">
        <v>180</v>
      </c>
      <c r="D115">
        <v>0.40408726884434598</v>
      </c>
      <c r="E115">
        <v>7.7035118078048397</v>
      </c>
      <c r="F115">
        <v>0.42423153641223499</v>
      </c>
      <c r="G115">
        <v>-168.41990136178322</v>
      </c>
      <c r="H115">
        <v>-97.384622420483552</v>
      </c>
      <c r="I115">
        <v>68.960527460860902</v>
      </c>
      <c r="J115">
        <v>30.7760694755098</v>
      </c>
      <c r="K115">
        <v>18.158743861793301</v>
      </c>
      <c r="L115">
        <v>1.6468984865598429E-3</v>
      </c>
      <c r="M115">
        <v>4.1050814597963866E-4</v>
      </c>
      <c r="N115" s="1">
        <v>5.4524629839914597E-6</v>
      </c>
      <c r="O115" s="1">
        <v>1.0399001134964899E-5</v>
      </c>
      <c r="P115" s="1">
        <v>-2.26892940256044E-5</v>
      </c>
      <c r="AE115">
        <v>100</v>
      </c>
      <c r="AJ115">
        <v>1</v>
      </c>
    </row>
    <row r="116" spans="1:36" x14ac:dyDescent="0.2">
      <c r="A116">
        <v>115</v>
      </c>
      <c r="B116">
        <v>756</v>
      </c>
      <c r="C116">
        <v>180</v>
      </c>
      <c r="D116">
        <v>0.40344021765534699</v>
      </c>
      <c r="E116">
        <v>9.0486909808770992</v>
      </c>
      <c r="F116">
        <v>0.42493129038043198</v>
      </c>
      <c r="G116">
        <v>-197.74822356411531</v>
      </c>
      <c r="H116">
        <v>-114.42598903420152</v>
      </c>
      <c r="I116">
        <v>80.967218332163696</v>
      </c>
      <c r="J116">
        <v>36.1812945381931</v>
      </c>
      <c r="K116">
        <v>21.294480274154399</v>
      </c>
      <c r="L116">
        <v>1.6493076086517139E-3</v>
      </c>
      <c r="M116">
        <v>4.0993287200160022E-4</v>
      </c>
      <c r="N116" s="1">
        <v>6.6866266773785998E-6</v>
      </c>
      <c r="O116" s="1">
        <v>1.2183218576900899E-5</v>
      </c>
      <c r="P116" s="1">
        <v>-2.6686754130599999E-5</v>
      </c>
      <c r="AE116">
        <v>100</v>
      </c>
      <c r="AJ116">
        <v>1</v>
      </c>
    </row>
    <row r="117" spans="1:36" x14ac:dyDescent="0.2">
      <c r="A117">
        <v>116</v>
      </c>
      <c r="B117">
        <v>755</v>
      </c>
      <c r="C117">
        <v>180</v>
      </c>
      <c r="D117">
        <v>0.40279190779555302</v>
      </c>
      <c r="E117">
        <v>9.8827968193897906</v>
      </c>
      <c r="F117">
        <v>0.425633222721372</v>
      </c>
      <c r="G117">
        <v>-215.88818871905264</v>
      </c>
      <c r="H117">
        <v>-125.01327862961018</v>
      </c>
      <c r="I117">
        <v>88.392321774698004</v>
      </c>
      <c r="J117">
        <v>39.550509200333998</v>
      </c>
      <c r="K117">
        <v>23.219044688762999</v>
      </c>
      <c r="L117">
        <v>1.6517108464755047E-3</v>
      </c>
      <c r="M117">
        <v>4.0935390417726886E-4</v>
      </c>
      <c r="N117" s="1">
        <v>7.6137427948411703E-6</v>
      </c>
      <c r="O117" s="1">
        <v>1.3271567795528501E-5</v>
      </c>
      <c r="P117" s="1">
        <v>-2.9185261570133499E-5</v>
      </c>
      <c r="AE117">
        <v>100</v>
      </c>
      <c r="AJ117">
        <v>1</v>
      </c>
    </row>
    <row r="118" spans="1:36" x14ac:dyDescent="0.2">
      <c r="A118">
        <v>117</v>
      </c>
      <c r="B118">
        <v>754</v>
      </c>
      <c r="C118">
        <v>180</v>
      </c>
      <c r="D118">
        <v>0.402142335588766</v>
      </c>
      <c r="E118">
        <v>10.2755246244425</v>
      </c>
      <c r="F118">
        <v>0.42633733786946298</v>
      </c>
      <c r="G118">
        <v>-224.3753828104397</v>
      </c>
      <c r="H118">
        <v>-130.02226228047024</v>
      </c>
      <c r="I118">
        <v>91.864869606336896</v>
      </c>
      <c r="J118">
        <v>41.157595329812096</v>
      </c>
      <c r="K118">
        <v>24.101864208732898</v>
      </c>
      <c r="L118">
        <v>1.6541080306075968E-3</v>
      </c>
      <c r="M118">
        <v>4.0877122888368115E-4</v>
      </c>
      <c r="N118" s="1">
        <v>8.2421845962179908E-6</v>
      </c>
      <c r="O118" s="1">
        <v>1.3762744892681499E-5</v>
      </c>
      <c r="P118" s="1">
        <v>-3.03848656314113E-5</v>
      </c>
      <c r="AE118">
        <v>100</v>
      </c>
      <c r="AJ118">
        <v>1</v>
      </c>
    </row>
    <row r="119" spans="1:36" x14ac:dyDescent="0.2">
      <c r="A119">
        <v>118</v>
      </c>
      <c r="B119">
        <v>753</v>
      </c>
      <c r="C119">
        <v>180</v>
      </c>
      <c r="D119">
        <v>0.401491497344444</v>
      </c>
      <c r="E119">
        <v>10.440697961352701</v>
      </c>
      <c r="F119">
        <v>0.42704364019693403</v>
      </c>
      <c r="G119">
        <v>-227.88877097968142</v>
      </c>
      <c r="H119">
        <v>-132.15413492751713</v>
      </c>
      <c r="I119">
        <v>93.300795069599999</v>
      </c>
      <c r="J119">
        <v>41.855177485779002</v>
      </c>
      <c r="K119">
        <v>24.448784570443198</v>
      </c>
      <c r="L119">
        <v>1.6564989902549355E-3</v>
      </c>
      <c r="M119">
        <v>4.0818483271172056E-4</v>
      </c>
      <c r="N119" s="1">
        <v>8.7086270061556396E-6</v>
      </c>
      <c r="O119" s="1">
        <v>1.39470326447293E-5</v>
      </c>
      <c r="P119" s="1">
        <v>-3.0913502588997201E-5</v>
      </c>
      <c r="AE119">
        <v>100</v>
      </c>
      <c r="AJ119">
        <v>1</v>
      </c>
    </row>
    <row r="120" spans="1:36" x14ac:dyDescent="0.2">
      <c r="A120">
        <v>119</v>
      </c>
      <c r="B120">
        <v>773</v>
      </c>
      <c r="C120">
        <v>160</v>
      </c>
      <c r="D120">
        <v>0.43530134301964502</v>
      </c>
      <c r="E120">
        <v>5.9750049454579699</v>
      </c>
      <c r="F120">
        <v>0.376713246217103</v>
      </c>
      <c r="G120">
        <v>-131.79121114104646</v>
      </c>
      <c r="H120">
        <v>-74.93154629083844</v>
      </c>
      <c r="I120">
        <v>54.354618472441899</v>
      </c>
      <c r="J120">
        <v>23.511191513829299</v>
      </c>
      <c r="K120">
        <v>15.860883591055099</v>
      </c>
      <c r="L120">
        <v>1.7090803371775714E-3</v>
      </c>
      <c r="M120">
        <v>5.1278858233641501E-4</v>
      </c>
      <c r="N120" s="1">
        <v>-5.2001221840706497E-6</v>
      </c>
      <c r="O120" s="1">
        <v>1.27045794138356E-5</v>
      </c>
      <c r="P120" s="1">
        <v>-2.1634505096941899E-5</v>
      </c>
      <c r="AE120">
        <v>100</v>
      </c>
      <c r="AJ120">
        <v>1</v>
      </c>
    </row>
    <row r="121" spans="1:36" x14ac:dyDescent="0.2">
      <c r="A121">
        <v>120</v>
      </c>
      <c r="B121">
        <v>772</v>
      </c>
      <c r="C121">
        <v>160</v>
      </c>
      <c r="D121">
        <v>0.43469406305315</v>
      </c>
      <c r="E121">
        <v>5.9873913098943996</v>
      </c>
      <c r="F121">
        <v>0.37735824299307802</v>
      </c>
      <c r="G121">
        <v>-132.00996224447468</v>
      </c>
      <c r="H121">
        <v>-75.110453421548058</v>
      </c>
      <c r="I121">
        <v>54.444754509785199</v>
      </c>
      <c r="J121">
        <v>23.5836555622143</v>
      </c>
      <c r="K121">
        <v>15.866597380792401</v>
      </c>
      <c r="L121">
        <v>1.7123299107978331E-3</v>
      </c>
      <c r="M121">
        <v>5.122988668865994E-4</v>
      </c>
      <c r="N121" s="1">
        <v>-5.0492954936031499E-6</v>
      </c>
      <c r="O121" s="1">
        <v>1.2706019927120301E-5</v>
      </c>
      <c r="P121" s="1">
        <v>-2.1722029381416699E-5</v>
      </c>
      <c r="AE121">
        <v>100</v>
      </c>
      <c r="AJ121">
        <v>1</v>
      </c>
    </row>
    <row r="122" spans="1:36" x14ac:dyDescent="0.2">
      <c r="A122">
        <v>121</v>
      </c>
      <c r="B122">
        <v>771</v>
      </c>
      <c r="C122">
        <v>160</v>
      </c>
      <c r="D122">
        <v>0.43408561988220001</v>
      </c>
      <c r="E122">
        <v>6.01641339429887</v>
      </c>
      <c r="F122">
        <v>0.37800557274031998</v>
      </c>
      <c r="G122">
        <v>-132.59514364637062</v>
      </c>
      <c r="H122">
        <v>-75.498238742694596</v>
      </c>
      <c r="I122">
        <v>54.685962615400399</v>
      </c>
      <c r="J122">
        <v>23.721871264116398</v>
      </c>
      <c r="K122">
        <v>15.9162029032624</v>
      </c>
      <c r="L122">
        <v>1.7155809021337017E-3</v>
      </c>
      <c r="M122">
        <v>5.1180493803831785E-4</v>
      </c>
      <c r="N122" s="1">
        <v>-4.9090512854138403E-6</v>
      </c>
      <c r="O122" s="1">
        <v>1.2742489294059301E-5</v>
      </c>
      <c r="P122" s="1">
        <v>-2.1870280730868401E-5</v>
      </c>
      <c r="AE122">
        <v>100</v>
      </c>
      <c r="AJ122">
        <v>1</v>
      </c>
    </row>
    <row r="123" spans="1:36" x14ac:dyDescent="0.2">
      <c r="A123">
        <v>122</v>
      </c>
      <c r="B123">
        <v>770</v>
      </c>
      <c r="C123">
        <v>160</v>
      </c>
      <c r="D123">
        <v>0.43347601016152998</v>
      </c>
      <c r="E123">
        <v>6.0454820978216901</v>
      </c>
      <c r="F123">
        <v>0.37865524418014701</v>
      </c>
      <c r="G123">
        <v>-133.18084718741639</v>
      </c>
      <c r="H123">
        <v>-75.886862049136923</v>
      </c>
      <c r="I123">
        <v>54.927330426468799</v>
      </c>
      <c r="J123">
        <v>23.860562566245498</v>
      </c>
      <c r="K123">
        <v>15.9656632008654</v>
      </c>
      <c r="L123">
        <v>1.7188331566194309E-3</v>
      </c>
      <c r="M123">
        <v>5.1130676348498628E-4</v>
      </c>
      <c r="N123" s="1">
        <v>-4.7648957644810302E-6</v>
      </c>
      <c r="O123" s="1">
        <v>1.27787111958751E-5</v>
      </c>
      <c r="P123" s="1">
        <v>-2.2019191447048001E-5</v>
      </c>
      <c r="AE123">
        <v>100</v>
      </c>
      <c r="AJ123">
        <v>1</v>
      </c>
    </row>
    <row r="124" spans="1:36" x14ac:dyDescent="0.2">
      <c r="A124">
        <v>123</v>
      </c>
      <c r="B124">
        <v>769</v>
      </c>
      <c r="C124">
        <v>160</v>
      </c>
      <c r="D124">
        <v>0.43286523053303499</v>
      </c>
      <c r="E124">
        <v>6.0745823386406101</v>
      </c>
      <c r="F124">
        <v>0.37930726601520898</v>
      </c>
      <c r="G124">
        <v>-133.76673985839145</v>
      </c>
      <c r="H124">
        <v>-76.276134923954132</v>
      </c>
      <c r="I124">
        <v>55.1687196502169</v>
      </c>
      <c r="J124">
        <v>23.999670657971201</v>
      </c>
      <c r="K124">
        <v>16.014937974842301</v>
      </c>
      <c r="L124">
        <v>1.7220865170769705E-3</v>
      </c>
      <c r="M124">
        <v>5.1080431085319725E-4</v>
      </c>
      <c r="N124" s="1">
        <v>-4.6167610420515804E-6</v>
      </c>
      <c r="O124" s="1">
        <v>1.2814650667156899E-5</v>
      </c>
      <c r="P124" s="1">
        <v>-2.2168705026188199E-5</v>
      </c>
      <c r="AE124">
        <v>100</v>
      </c>
      <c r="AJ124">
        <v>1</v>
      </c>
    </row>
    <row r="125" spans="1:36" x14ac:dyDescent="0.2">
      <c r="A125">
        <v>124</v>
      </c>
      <c r="B125">
        <v>768</v>
      </c>
      <c r="C125">
        <v>160</v>
      </c>
      <c r="D125">
        <v>0.43225327762570398</v>
      </c>
      <c r="E125">
        <v>6.1036993225874498</v>
      </c>
      <c r="F125">
        <v>0.37996164692817702</v>
      </c>
      <c r="G125">
        <v>-134.35249553165787</v>
      </c>
      <c r="H125">
        <v>-76.665872326466683</v>
      </c>
      <c r="I125">
        <v>55.409994829518901</v>
      </c>
      <c r="J125">
        <v>24.139137598390501</v>
      </c>
      <c r="K125">
        <v>16.063987962819802</v>
      </c>
      <c r="L125">
        <v>1.7253408236971132E-3</v>
      </c>
      <c r="M125">
        <v>5.1029754770829457E-4</v>
      </c>
      <c r="N125" s="1">
        <v>-4.4645808388339901E-6</v>
      </c>
      <c r="O125" s="1">
        <v>1.28502735715272E-5</v>
      </c>
      <c r="P125" s="1">
        <v>-2.23187654223952E-5</v>
      </c>
      <c r="AE125">
        <v>100</v>
      </c>
      <c r="AJ125">
        <v>1</v>
      </c>
    </row>
    <row r="126" spans="1:36" x14ac:dyDescent="0.2">
      <c r="A126">
        <v>125</v>
      </c>
      <c r="B126">
        <v>767</v>
      </c>
      <c r="C126">
        <v>160</v>
      </c>
      <c r="D126">
        <v>0.43164014805557099</v>
      </c>
      <c r="E126">
        <v>6.1328186041304802</v>
      </c>
      <c r="F126">
        <v>0.38061839558041699</v>
      </c>
      <c r="G126">
        <v>-134.93779628930847</v>
      </c>
      <c r="H126">
        <v>-77.055893363511061</v>
      </c>
      <c r="I126">
        <v>55.651023891939502</v>
      </c>
      <c r="J126">
        <v>24.278906561422101</v>
      </c>
      <c r="K126">
        <v>16.112775092697099</v>
      </c>
      <c r="L126">
        <v>1.7285959140208315E-3</v>
      </c>
      <c r="M126">
        <v>5.0978644156005797E-4</v>
      </c>
      <c r="N126" s="1">
        <v>-4.3082905582194202E-6</v>
      </c>
      <c r="O126" s="1">
        <v>1.2885546726287099E-5</v>
      </c>
      <c r="P126" s="1">
        <v>-2.2469317275929001E-5</v>
      </c>
      <c r="AE126">
        <v>100</v>
      </c>
      <c r="AJ126">
        <v>1</v>
      </c>
    </row>
    <row r="127" spans="1:36" x14ac:dyDescent="0.2">
      <c r="A127">
        <v>126</v>
      </c>
      <c r="B127">
        <v>766</v>
      </c>
      <c r="C127">
        <v>160</v>
      </c>
      <c r="D127">
        <v>0.43102583842564002</v>
      </c>
      <c r="E127">
        <v>6.2272305574101798</v>
      </c>
      <c r="F127">
        <v>0.38127752061064002</v>
      </c>
      <c r="G127">
        <v>-136.95860640737575</v>
      </c>
      <c r="H127">
        <v>-78.26679898497278</v>
      </c>
      <c r="I127">
        <v>56.484021581218897</v>
      </c>
      <c r="J127">
        <v>24.6777150739</v>
      </c>
      <c r="K127">
        <v>16.332540527007399</v>
      </c>
      <c r="L127">
        <v>1.7318516229207946E-3</v>
      </c>
      <c r="M127">
        <v>5.0927095986845353E-4</v>
      </c>
      <c r="N127" s="1">
        <v>-4.1917862358863297E-6</v>
      </c>
      <c r="O127" s="1">
        <v>1.3057369491837501E-5</v>
      </c>
      <c r="P127" s="1">
        <v>-2.2860037311583701E-5</v>
      </c>
      <c r="AE127">
        <v>100</v>
      </c>
      <c r="AJ127">
        <v>1</v>
      </c>
    </row>
    <row r="128" spans="1:36" x14ac:dyDescent="0.2">
      <c r="A128">
        <v>127</v>
      </c>
      <c r="B128">
        <v>765</v>
      </c>
      <c r="C128">
        <v>160</v>
      </c>
      <c r="D128">
        <v>0.43041034532582101</v>
      </c>
      <c r="E128">
        <v>6.3655683810703003</v>
      </c>
      <c r="F128">
        <v>0.38193903063354501</v>
      </c>
      <c r="G128">
        <v>-139.94341291218302</v>
      </c>
      <c r="H128">
        <v>-80.030733384177893</v>
      </c>
      <c r="I128">
        <v>57.7145136031628</v>
      </c>
      <c r="J128">
        <v>25.251592886771899</v>
      </c>
      <c r="K128">
        <v>16.6664516336844</v>
      </c>
      <c r="L128">
        <v>1.7351077825840196E-3</v>
      </c>
      <c r="M128">
        <v>5.0875107004975234E-4</v>
      </c>
      <c r="N128" s="1">
        <v>-4.0954374110740401E-6</v>
      </c>
      <c r="O128" s="1">
        <v>1.33201898767537E-5</v>
      </c>
      <c r="P128" s="1">
        <v>-2.3413742816572901E-5</v>
      </c>
      <c r="AE128">
        <v>100</v>
      </c>
      <c r="AJ128">
        <v>1</v>
      </c>
    </row>
    <row r="129" spans="1:36" x14ac:dyDescent="0.2">
      <c r="A129">
        <v>128</v>
      </c>
      <c r="B129">
        <v>764</v>
      </c>
      <c r="C129">
        <v>160</v>
      </c>
      <c r="D129">
        <v>0.42979366533288699</v>
      </c>
      <c r="E129">
        <v>6.52303440178662</v>
      </c>
      <c r="F129">
        <v>0.38260293423840902</v>
      </c>
      <c r="G129">
        <v>-143.34608439205374</v>
      </c>
      <c r="H129">
        <v>-82.036355070764159</v>
      </c>
      <c r="I129">
        <v>59.117256136657602</v>
      </c>
      <c r="J129">
        <v>25.9026042364505</v>
      </c>
      <c r="K129">
        <v>17.0490966431584</v>
      </c>
      <c r="L129">
        <v>1.7383642224943899E-3</v>
      </c>
      <c r="M129">
        <v>5.0822673948264859E-4</v>
      </c>
      <c r="N129" s="1">
        <v>-3.9999285605035203E-6</v>
      </c>
      <c r="O129" s="1">
        <v>1.36216516608122E-5</v>
      </c>
      <c r="P129" s="1">
        <v>-2.4039993545208201E-5</v>
      </c>
      <c r="AE129">
        <v>100</v>
      </c>
      <c r="AJ129">
        <v>1</v>
      </c>
    </row>
    <row r="130" spans="1:36" x14ac:dyDescent="0.2">
      <c r="A130">
        <v>129</v>
      </c>
      <c r="B130">
        <v>763</v>
      </c>
      <c r="C130">
        <v>160</v>
      </c>
      <c r="D130">
        <v>0.42917579501038</v>
      </c>
      <c r="E130">
        <v>7.2688284210975898</v>
      </c>
      <c r="F130">
        <v>0.38326923998768497</v>
      </c>
      <c r="G130">
        <v>-159.66932040615018</v>
      </c>
      <c r="H130">
        <v>-91.444645256923323</v>
      </c>
      <c r="I130">
        <v>65.848414630320505</v>
      </c>
      <c r="J130">
        <v>28.893550489940999</v>
      </c>
      <c r="K130">
        <v>18.965332102652301</v>
      </c>
      <c r="L130">
        <v>1.7416207694158367E-3</v>
      </c>
      <c r="M130">
        <v>5.0769793551458766E-4</v>
      </c>
      <c r="N130" s="1">
        <v>-4.2349414763400498E-6</v>
      </c>
      <c r="O130" s="1">
        <v>1.51476658850931E-5</v>
      </c>
      <c r="P130" s="1">
        <v>-2.68410433431664E-5</v>
      </c>
      <c r="AE130">
        <v>100</v>
      </c>
      <c r="AJ130">
        <v>1</v>
      </c>
    </row>
    <row r="131" spans="1:36" x14ac:dyDescent="0.2">
      <c r="A131">
        <v>130</v>
      </c>
      <c r="B131">
        <v>762</v>
      </c>
      <c r="C131">
        <v>160</v>
      </c>
      <c r="D131">
        <v>0.428556730908567</v>
      </c>
      <c r="E131">
        <v>7.9560053108020696</v>
      </c>
      <c r="F131">
        <v>0.383937956415563</v>
      </c>
      <c r="G131">
        <v>-174.69200099749446</v>
      </c>
      <c r="H131">
        <v>-100.12123491184083</v>
      </c>
      <c r="I131">
        <v>72.043007294060899</v>
      </c>
      <c r="J131">
        <v>31.657370512786098</v>
      </c>
      <c r="K131">
        <v>20.7221119398539</v>
      </c>
      <c r="L131">
        <v>1.7448772473763737E-3</v>
      </c>
      <c r="M131">
        <v>5.0716462546834633E-4</v>
      </c>
      <c r="N131" s="1">
        <v>-4.3886848454501997E-6</v>
      </c>
      <c r="O131" s="1">
        <v>1.6545192260976299E-5</v>
      </c>
      <c r="P131" s="1">
        <v>-2.9436050083636702E-5</v>
      </c>
      <c r="AE131">
        <v>100</v>
      </c>
      <c r="AJ131">
        <v>1</v>
      </c>
    </row>
    <row r="132" spans="1:36" x14ac:dyDescent="0.2">
      <c r="A132">
        <v>131</v>
      </c>
      <c r="B132">
        <v>761</v>
      </c>
      <c r="C132">
        <v>160</v>
      </c>
      <c r="D132">
        <v>0.42793646956437897</v>
      </c>
      <c r="E132">
        <v>9.1352416188749199</v>
      </c>
      <c r="F132">
        <v>0.384609092026513</v>
      </c>
      <c r="G132">
        <v>-200.50208429773693</v>
      </c>
      <c r="H132">
        <v>-114.99753731624489</v>
      </c>
      <c r="I132">
        <v>82.686046248333795</v>
      </c>
      <c r="J132">
        <v>36.386779947723397</v>
      </c>
      <c r="K132">
        <v>23.752016809434</v>
      </c>
      <c r="L132">
        <v>1.7481334776522615E-3</v>
      </c>
      <c r="M132">
        <v>5.0662677664868139E-4</v>
      </c>
      <c r="N132" s="1">
        <v>-4.7521969308152003E-6</v>
      </c>
      <c r="O132" s="1">
        <v>1.8957734282455299E-5</v>
      </c>
      <c r="P132" s="1">
        <v>-3.3865158527851702E-5</v>
      </c>
      <c r="AE132">
        <v>100</v>
      </c>
      <c r="AJ132">
        <v>1</v>
      </c>
    </row>
    <row r="133" spans="1:36" x14ac:dyDescent="0.2">
      <c r="A133">
        <v>132</v>
      </c>
      <c r="B133">
        <v>760</v>
      </c>
      <c r="C133">
        <v>160</v>
      </c>
      <c r="D133">
        <v>0.427315007501331</v>
      </c>
      <c r="E133">
        <v>9.8083740090367098</v>
      </c>
      <c r="F133">
        <v>0.38528265529379602</v>
      </c>
      <c r="G133">
        <v>-215.18736683706084</v>
      </c>
      <c r="H133">
        <v>-123.510245369752</v>
      </c>
      <c r="I133">
        <v>88.7409712251076</v>
      </c>
      <c r="J133">
        <v>39.107938947548703</v>
      </c>
      <c r="K133">
        <v>25.4576059271532</v>
      </c>
      <c r="L133">
        <v>1.7513892787528222E-3</v>
      </c>
      <c r="M133">
        <v>5.0608435634918406E-4</v>
      </c>
      <c r="N133" s="1">
        <v>-4.79012644421203E-6</v>
      </c>
      <c r="O133" s="1">
        <v>2.0311741673277998E-5</v>
      </c>
      <c r="P133" s="1">
        <v>-3.6431556511865999E-5</v>
      </c>
      <c r="AE133">
        <v>100</v>
      </c>
      <c r="AJ133">
        <v>1</v>
      </c>
    </row>
    <row r="134" spans="1:36" x14ac:dyDescent="0.2">
      <c r="A134">
        <v>133</v>
      </c>
      <c r="B134">
        <v>759</v>
      </c>
      <c r="C134">
        <v>160</v>
      </c>
      <c r="D134">
        <v>0.42669234122947503</v>
      </c>
      <c r="E134">
        <v>10.256195850150901</v>
      </c>
      <c r="F134">
        <v>0.38595865465797002</v>
      </c>
      <c r="G134">
        <v>-224.91942356492828</v>
      </c>
      <c r="H134">
        <v>-129.19027852825184</v>
      </c>
      <c r="I134">
        <v>92.753005146291201</v>
      </c>
      <c r="J134">
        <v>40.935399950037002</v>
      </c>
      <c r="K134">
        <v>26.573301897426699</v>
      </c>
      <c r="L134">
        <v>1.7546444664062969E-3</v>
      </c>
      <c r="M134">
        <v>5.0553733185940153E-4</v>
      </c>
      <c r="N134" s="1">
        <v>-4.6780066978628403E-6</v>
      </c>
      <c r="O134" s="1">
        <v>2.11940642966307E-5</v>
      </c>
      <c r="P134" s="1">
        <v>-3.8169246972495298E-5</v>
      </c>
      <c r="AE134">
        <v>100</v>
      </c>
      <c r="AJ134">
        <v>1</v>
      </c>
    </row>
    <row r="135" spans="1:36" x14ac:dyDescent="0.2">
      <c r="A135">
        <v>134</v>
      </c>
      <c r="B135">
        <v>758</v>
      </c>
      <c r="C135">
        <v>160</v>
      </c>
      <c r="D135">
        <v>0.426068467245311</v>
      </c>
      <c r="E135">
        <v>10.437515432289199</v>
      </c>
      <c r="F135">
        <v>0.38663709852535999</v>
      </c>
      <c r="G135">
        <v>-228.80140794490151</v>
      </c>
      <c r="H135">
        <v>-131.51591764619121</v>
      </c>
      <c r="I135">
        <v>94.352386448118594</v>
      </c>
      <c r="J135">
        <v>41.701834898363799</v>
      </c>
      <c r="K135">
        <v>26.995638732284299</v>
      </c>
      <c r="L135">
        <v>1.7578988535455798E-3</v>
      </c>
      <c r="M135">
        <v>5.0498567047195736E-4</v>
      </c>
      <c r="N135" s="1">
        <v>-4.4196030280931596E-6</v>
      </c>
      <c r="O135" s="1">
        <v>2.1522704211055702E-5</v>
      </c>
      <c r="P135" s="1">
        <v>-3.8919732967392203E-5</v>
      </c>
      <c r="AE135">
        <v>100</v>
      </c>
      <c r="AJ135">
        <v>1</v>
      </c>
    </row>
    <row r="136" spans="1:36" x14ac:dyDescent="0.2">
      <c r="A136">
        <v>135</v>
      </c>
      <c r="B136">
        <v>783</v>
      </c>
      <c r="C136">
        <v>140</v>
      </c>
      <c r="D136">
        <v>0.462141267812338</v>
      </c>
      <c r="E136">
        <v>6.3288427301560901</v>
      </c>
      <c r="F136">
        <v>0.33005851639522399</v>
      </c>
      <c r="G136">
        <v>-140.53423160791294</v>
      </c>
      <c r="H136">
        <v>-78.826245906883187</v>
      </c>
      <c r="I136">
        <v>58.430722391209002</v>
      </c>
      <c r="J136">
        <v>24.399687462311199</v>
      </c>
      <c r="K136">
        <v>19.174911162048801</v>
      </c>
      <c r="L136">
        <v>1.7569618712518105E-3</v>
      </c>
      <c r="M136">
        <v>6.4132620983405855E-4</v>
      </c>
      <c r="N136" s="1">
        <v>-1.7905500704693499E-5</v>
      </c>
      <c r="O136" s="1">
        <v>2.1560368073768499E-5</v>
      </c>
      <c r="P136" s="1">
        <v>-2.8147123380083599E-5</v>
      </c>
      <c r="AE136">
        <v>100</v>
      </c>
      <c r="AJ136">
        <v>1</v>
      </c>
    </row>
    <row r="137" spans="1:36" x14ac:dyDescent="0.2">
      <c r="A137">
        <v>136</v>
      </c>
      <c r="B137">
        <v>782</v>
      </c>
      <c r="C137">
        <v>140</v>
      </c>
      <c r="D137">
        <v>0.46156518030611998</v>
      </c>
      <c r="E137">
        <v>6.3286601843779602</v>
      </c>
      <c r="F137">
        <v>0.33063959163802797</v>
      </c>
      <c r="G137">
        <v>-140.47176063500393</v>
      </c>
      <c r="H137">
        <v>-78.848384933231898</v>
      </c>
      <c r="I137">
        <v>58.405911339386599</v>
      </c>
      <c r="J137">
        <v>24.426333184962299</v>
      </c>
      <c r="K137">
        <v>19.1406605392445</v>
      </c>
      <c r="L137">
        <v>1.7609878585723539E-3</v>
      </c>
      <c r="M137">
        <v>6.4098309329064379E-4</v>
      </c>
      <c r="N137" s="1">
        <v>-1.7804084018030202E-5</v>
      </c>
      <c r="O137" s="1">
        <v>2.1527892802760601E-5</v>
      </c>
      <c r="P137" s="1">
        <v>-2.8210950208381701E-5</v>
      </c>
      <c r="AE137">
        <v>100</v>
      </c>
      <c r="AJ137">
        <v>1</v>
      </c>
    </row>
    <row r="138" spans="1:36" x14ac:dyDescent="0.2">
      <c r="A138">
        <v>137</v>
      </c>
      <c r="B138">
        <v>781</v>
      </c>
      <c r="C138">
        <v>140</v>
      </c>
      <c r="D138">
        <v>0.460987999810274</v>
      </c>
      <c r="E138">
        <v>6.3512876414235402</v>
      </c>
      <c r="F138">
        <v>0.33122302511427698</v>
      </c>
      <c r="G138">
        <v>-140.91539948919566</v>
      </c>
      <c r="H138">
        <v>-79.154826457296195</v>
      </c>
      <c r="I138">
        <v>58.5914790387531</v>
      </c>
      <c r="J138">
        <v>24.541231290488</v>
      </c>
      <c r="K138">
        <v>19.1752600509346</v>
      </c>
      <c r="L138">
        <v>1.7650243445390462E-3</v>
      </c>
      <c r="M138">
        <v>6.4063597090091952E-4</v>
      </c>
      <c r="N138" s="1">
        <v>-1.7763947213854701E-5</v>
      </c>
      <c r="O138" s="1">
        <v>2.1572789469108999E-5</v>
      </c>
      <c r="P138" s="1">
        <v>-2.83770512416487E-5</v>
      </c>
      <c r="AE138">
        <v>100</v>
      </c>
      <c r="AJ138">
        <v>1</v>
      </c>
    </row>
    <row r="139" spans="1:36" x14ac:dyDescent="0.2">
      <c r="A139">
        <v>138</v>
      </c>
      <c r="B139">
        <v>780</v>
      </c>
      <c r="C139">
        <v>140</v>
      </c>
      <c r="D139">
        <v>0.46040972321132001</v>
      </c>
      <c r="E139">
        <v>6.3765704209371004</v>
      </c>
      <c r="F139">
        <v>0.33180882916433002</v>
      </c>
      <c r="G139">
        <v>-141.41753303120669</v>
      </c>
      <c r="H139">
        <v>-79.494573486547949</v>
      </c>
      <c r="I139">
        <v>58.801318529952901</v>
      </c>
      <c r="J139">
        <v>24.6667148928925</v>
      </c>
      <c r="K139">
        <v>19.2176032114535</v>
      </c>
      <c r="L139">
        <v>1.7690712532639141E-3</v>
      </c>
      <c r="M139">
        <v>6.4028479784950952E-4</v>
      </c>
      <c r="N139" s="1">
        <v>-1.7727874216438201E-5</v>
      </c>
      <c r="O139" s="1">
        <v>2.1626354613359899E-5</v>
      </c>
      <c r="P139" s="1">
        <v>-2.8555875910083299E-5</v>
      </c>
      <c r="AE139">
        <v>100</v>
      </c>
      <c r="AJ139">
        <v>1</v>
      </c>
    </row>
    <row r="140" spans="1:36" x14ac:dyDescent="0.2">
      <c r="A140">
        <v>139</v>
      </c>
      <c r="B140">
        <v>779</v>
      </c>
      <c r="C140">
        <v>140</v>
      </c>
      <c r="D140">
        <v>0.45983034738392797</v>
      </c>
      <c r="E140">
        <v>6.4018772233118497</v>
      </c>
      <c r="F140">
        <v>0.33239701617179501</v>
      </c>
      <c r="G140">
        <v>-141.91975625645614</v>
      </c>
      <c r="H140">
        <v>-79.834843548699226</v>
      </c>
      <c r="I140">
        <v>59.011145041129403</v>
      </c>
      <c r="J140">
        <v>24.7926297751611</v>
      </c>
      <c r="K140">
        <v>19.2597313208224</v>
      </c>
      <c r="L140">
        <v>1.7731285060943352E-3</v>
      </c>
      <c r="M140">
        <v>6.3992952888611851E-4</v>
      </c>
      <c r="N140" s="1">
        <v>-1.7688392729685199E-5</v>
      </c>
      <c r="O140" s="1">
        <v>2.1679634326345099E-5</v>
      </c>
      <c r="P140" s="1">
        <v>-2.8735700198207001E-5</v>
      </c>
      <c r="AE140">
        <v>100</v>
      </c>
      <c r="AJ140">
        <v>1</v>
      </c>
    </row>
    <row r="141" spans="1:36" x14ac:dyDescent="0.2">
      <c r="A141">
        <v>140</v>
      </c>
      <c r="B141">
        <v>778</v>
      </c>
      <c r="C141">
        <v>140</v>
      </c>
      <c r="D141">
        <v>0.45924986919088701</v>
      </c>
      <c r="E141">
        <v>6.4271959933170502</v>
      </c>
      <c r="F141">
        <v>0.33298759856284099</v>
      </c>
      <c r="G141">
        <v>-142.42180169374157</v>
      </c>
      <c r="H141">
        <v>-80.17548699066333</v>
      </c>
      <c r="I141">
        <v>59.220846443705099</v>
      </c>
      <c r="J141">
        <v>24.918930829466799</v>
      </c>
      <c r="K141">
        <v>19.301607690666302</v>
      </c>
      <c r="L141">
        <v>1.7771960215623656E-3</v>
      </c>
      <c r="M141">
        <v>6.3957011832434349E-4</v>
      </c>
      <c r="N141" s="1">
        <v>-1.7645398843468599E-5</v>
      </c>
      <c r="O141" s="1">
        <v>2.1732584649792098E-5</v>
      </c>
      <c r="P141" s="1">
        <v>-2.8916475200542601E-5</v>
      </c>
      <c r="AE141">
        <v>100</v>
      </c>
      <c r="AJ141">
        <v>1</v>
      </c>
    </row>
    <row r="142" spans="1:36" x14ac:dyDescent="0.2">
      <c r="A142">
        <v>141</v>
      </c>
      <c r="B142">
        <v>777</v>
      </c>
      <c r="C142">
        <v>140</v>
      </c>
      <c r="D142">
        <v>0.45866828548302802</v>
      </c>
      <c r="E142">
        <v>6.4525149383764404</v>
      </c>
      <c r="F142">
        <v>0.33358058880549701</v>
      </c>
      <c r="G142">
        <v>-142.92340813540255</v>
      </c>
      <c r="H142">
        <v>-80.516357252176277</v>
      </c>
      <c r="I142">
        <v>59.430313201451</v>
      </c>
      <c r="J142">
        <v>25.0455737404091</v>
      </c>
      <c r="K142">
        <v>19.343196681443398</v>
      </c>
      <c r="L142">
        <v>1.7812737153338029E-3</v>
      </c>
      <c r="M142">
        <v>6.3920652004066886E-4</v>
      </c>
      <c r="N142" s="1">
        <v>-1.7598789213486301E-5</v>
      </c>
      <c r="O142" s="1">
        <v>2.1785162709384098E-5</v>
      </c>
      <c r="P142" s="1">
        <v>-2.90981526211063E-5</v>
      </c>
      <c r="AE142">
        <v>100</v>
      </c>
      <c r="AJ142">
        <v>1</v>
      </c>
    </row>
    <row r="143" spans="1:36" x14ac:dyDescent="0.2">
      <c r="A143">
        <v>142</v>
      </c>
      <c r="B143">
        <v>776</v>
      </c>
      <c r="C143">
        <v>140</v>
      </c>
      <c r="D143">
        <v>0.45808559309917701</v>
      </c>
      <c r="E143">
        <v>6.4778225696149496</v>
      </c>
      <c r="F143">
        <v>0.33417599940890202</v>
      </c>
      <c r="G143">
        <v>-143.42432153359346</v>
      </c>
      <c r="H143">
        <v>-80.857311382699621</v>
      </c>
      <c r="I143">
        <v>59.6394387444617</v>
      </c>
      <c r="J143">
        <v>25.172515147467202</v>
      </c>
      <c r="K143">
        <v>19.3844638186855</v>
      </c>
      <c r="L143">
        <v>1.7853615001566009E-3</v>
      </c>
      <c r="M143">
        <v>6.3883868747357728E-4</v>
      </c>
      <c r="N143" s="1">
        <v>-1.75484611948264E-5</v>
      </c>
      <c r="O143" s="1">
        <v>2.1837326847783801E-5</v>
      </c>
      <c r="P143" s="1">
        <v>-2.9280684961635799E-5</v>
      </c>
      <c r="AE143">
        <v>100</v>
      </c>
      <c r="AJ143">
        <v>1</v>
      </c>
    </row>
    <row r="144" spans="1:36" x14ac:dyDescent="0.2">
      <c r="A144">
        <v>143</v>
      </c>
      <c r="B144">
        <v>775</v>
      </c>
      <c r="C144">
        <v>140</v>
      </c>
      <c r="D144">
        <v>0.45750178886609999</v>
      </c>
      <c r="E144">
        <v>6.5031077371583299</v>
      </c>
      <c r="F144">
        <v>0.33477384292255002</v>
      </c>
      <c r="G144">
        <v>-143.92429576711532</v>
      </c>
      <c r="H144">
        <v>-81.198210487542454</v>
      </c>
      <c r="I144">
        <v>59.848119789301698</v>
      </c>
      <c r="J144">
        <v>25.299712786259999</v>
      </c>
      <c r="K144">
        <v>19.4253758907407</v>
      </c>
      <c r="L144">
        <v>1.7894592858087824E-3</v>
      </c>
      <c r="M144">
        <v>6.3846657362275744E-4</v>
      </c>
      <c r="N144" s="1">
        <v>-1.7494312955523501E-5</v>
      </c>
      <c r="O144" s="1">
        <v>2.18890367370259E-5</v>
      </c>
      <c r="P144" s="1">
        <v>-2.9464025686507701E-5</v>
      </c>
      <c r="AE144">
        <v>100</v>
      </c>
      <c r="AJ144">
        <v>1</v>
      </c>
    </row>
    <row r="145" spans="1:36" x14ac:dyDescent="0.2">
      <c r="A145">
        <v>144</v>
      </c>
      <c r="B145">
        <v>774</v>
      </c>
      <c r="C145">
        <v>140</v>
      </c>
      <c r="D145">
        <v>0.45691686959843703</v>
      </c>
      <c r="E145">
        <v>6.5283596594685598</v>
      </c>
      <c r="F145">
        <v>0.33537413193549298</v>
      </c>
      <c r="G145">
        <v>-144.42309327436533</v>
      </c>
      <c r="H145">
        <v>-81.53892010032223</v>
      </c>
      <c r="I145">
        <v>60.056256603473599</v>
      </c>
      <c r="J145">
        <v>25.427125607596601</v>
      </c>
      <c r="K145">
        <v>19.465901027585002</v>
      </c>
      <c r="L145">
        <v>1.7935669790458823E-3</v>
      </c>
      <c r="M145">
        <v>6.380901310484797E-4</v>
      </c>
      <c r="N145" s="1">
        <v>-1.7436243569968299E-5</v>
      </c>
      <c r="O145" s="1">
        <v>2.19402534697401E-5</v>
      </c>
      <c r="P145" s="1">
        <v>-2.96481293629708E-5</v>
      </c>
      <c r="AE145">
        <v>100</v>
      </c>
      <c r="AJ145">
        <v>1</v>
      </c>
    </row>
    <row r="146" spans="1:36" x14ac:dyDescent="0.2">
      <c r="A146">
        <v>145</v>
      </c>
      <c r="B146">
        <v>773</v>
      </c>
      <c r="C146">
        <v>140</v>
      </c>
      <c r="D146">
        <v>0.456330832098647</v>
      </c>
      <c r="E146">
        <v>6.5603656501559904</v>
      </c>
      <c r="F146">
        <v>0.33597687907551699</v>
      </c>
      <c r="G146">
        <v>-145.07080466008995</v>
      </c>
      <c r="H146">
        <v>-81.96423998492638</v>
      </c>
      <c r="I146">
        <v>60.326261931120001</v>
      </c>
      <c r="J146">
        <v>25.5812205599489</v>
      </c>
      <c r="K146">
        <v>19.526241413419999</v>
      </c>
      <c r="L146">
        <v>1.7976844835478627E-3</v>
      </c>
      <c r="M146">
        <v>6.3770931187109056E-4</v>
      </c>
      <c r="N146" s="1">
        <v>-1.73921744728631E-5</v>
      </c>
      <c r="O146" s="1">
        <v>2.20137497821692E-5</v>
      </c>
      <c r="P146" s="1">
        <v>-2.98638960742199E-5</v>
      </c>
      <c r="AE146">
        <v>100</v>
      </c>
      <c r="AJ146">
        <v>1</v>
      </c>
    </row>
    <row r="147" spans="1:36" x14ac:dyDescent="0.2">
      <c r="A147">
        <v>146</v>
      </c>
      <c r="B147">
        <v>772</v>
      </c>
      <c r="C147">
        <v>140</v>
      </c>
      <c r="D147">
        <v>0.45574367315696301</v>
      </c>
      <c r="E147">
        <v>6.6827577062614099</v>
      </c>
      <c r="F147">
        <v>0.33658209700830199</v>
      </c>
      <c r="G147">
        <v>-147.71584778117213</v>
      </c>
      <c r="H147">
        <v>-83.519461780698407</v>
      </c>
      <c r="I147">
        <v>61.426790685357702</v>
      </c>
      <c r="J147">
        <v>26.088578082927398</v>
      </c>
      <c r="K147">
        <v>19.854762822089601</v>
      </c>
      <c r="L147">
        <v>1.8018116998655884E-3</v>
      </c>
      <c r="M147">
        <v>6.3732406777066537E-4</v>
      </c>
      <c r="N147" s="1">
        <v>-1.7581648229369701E-5</v>
      </c>
      <c r="O147" s="1">
        <v>2.2389613866763301E-5</v>
      </c>
      <c r="P147" s="1">
        <v>-3.0493157994431399E-5</v>
      </c>
      <c r="AE147">
        <v>100</v>
      </c>
      <c r="AJ147">
        <v>1</v>
      </c>
    </row>
    <row r="148" spans="1:36" x14ac:dyDescent="0.2">
      <c r="A148">
        <v>147</v>
      </c>
      <c r="B148">
        <v>771</v>
      </c>
      <c r="C148">
        <v>140</v>
      </c>
      <c r="D148">
        <v>0.45515538955130802</v>
      </c>
      <c r="E148">
        <v>6.8176302641948698</v>
      </c>
      <c r="F148">
        <v>0.33718979843653402</v>
      </c>
      <c r="G148">
        <v>-150.63442048678223</v>
      </c>
      <c r="H148">
        <v>-85.231696340948517</v>
      </c>
      <c r="I148">
        <v>62.641024385884499</v>
      </c>
      <c r="J148">
        <v>26.645941152471099</v>
      </c>
      <c r="K148">
        <v>20.2189695412095</v>
      </c>
      <c r="L148">
        <v>1.8059485253668398E-3</v>
      </c>
      <c r="M148">
        <v>6.3693434998681798E-4</v>
      </c>
      <c r="N148" s="1">
        <v>-1.7795624932499E-5</v>
      </c>
      <c r="O148" s="1">
        <v>2.28058198699987E-5</v>
      </c>
      <c r="P148" s="1">
        <v>-3.1182536729802998E-5</v>
      </c>
      <c r="AE148">
        <v>100</v>
      </c>
      <c r="AJ148">
        <v>1</v>
      </c>
    </row>
    <row r="149" spans="1:36" x14ac:dyDescent="0.2">
      <c r="A149">
        <v>148</v>
      </c>
      <c r="B149">
        <v>770</v>
      </c>
      <c r="C149">
        <v>140</v>
      </c>
      <c r="D149">
        <v>0.45456597804726301</v>
      </c>
      <c r="E149">
        <v>6.9790523586577997</v>
      </c>
      <c r="F149">
        <v>0.33779999609899802</v>
      </c>
      <c r="G149">
        <v>-154.13690402606494</v>
      </c>
      <c r="H149">
        <v>-87.277033179453795</v>
      </c>
      <c r="I149">
        <v>64.098034500247905</v>
      </c>
      <c r="J149">
        <v>27.308537413493401</v>
      </c>
      <c r="K149">
        <v>20.660309174818501</v>
      </c>
      <c r="L149">
        <v>1.8100948541817019E-3</v>
      </c>
      <c r="M149">
        <v>6.3654010931861829E-4</v>
      </c>
      <c r="N149" s="1">
        <v>-1.80695266564228E-5</v>
      </c>
      <c r="O149" s="1">
        <v>2.3309151071438301E-5</v>
      </c>
      <c r="P149" s="1">
        <v>-3.1996963721129297E-5</v>
      </c>
      <c r="AE149">
        <v>100</v>
      </c>
      <c r="AJ149">
        <v>1</v>
      </c>
    </row>
    <row r="150" spans="1:36" x14ac:dyDescent="0.2">
      <c r="A150">
        <v>149</v>
      </c>
      <c r="B150">
        <v>769</v>
      </c>
      <c r="C150">
        <v>140</v>
      </c>
      <c r="D150">
        <v>0.45397543539797802</v>
      </c>
      <c r="E150">
        <v>7.6600324919174101</v>
      </c>
      <c r="F150">
        <v>0.33841270276964303</v>
      </c>
      <c r="G150">
        <v>-169.10645453015448</v>
      </c>
      <c r="H150">
        <v>-95.823069045847589</v>
      </c>
      <c r="I150">
        <v>70.3236281008286</v>
      </c>
      <c r="J150">
        <v>30.0080925049188</v>
      </c>
      <c r="K150">
        <v>22.6351801490488</v>
      </c>
      <c r="L150">
        <v>1.814250577147852E-3</v>
      </c>
      <c r="M150">
        <v>6.3614129612476502E-4</v>
      </c>
      <c r="N150" s="1">
        <v>-1.9667202440119101E-5</v>
      </c>
      <c r="O150" s="1">
        <v>2.55431653626194E-5</v>
      </c>
      <c r="P150" s="1">
        <v>-3.5203043129161499E-5</v>
      </c>
      <c r="AE150">
        <v>100</v>
      </c>
      <c r="AJ150">
        <v>1</v>
      </c>
    </row>
    <row r="151" spans="1:36" x14ac:dyDescent="0.2">
      <c r="A151">
        <v>150</v>
      </c>
      <c r="B151">
        <v>768</v>
      </c>
      <c r="C151">
        <v>140</v>
      </c>
      <c r="D151">
        <v>0.45338375834414102</v>
      </c>
      <c r="E151">
        <v>8.2242601514218894</v>
      </c>
      <c r="F151">
        <v>0.33902793125660402</v>
      </c>
      <c r="G151">
        <v>-181.48711973291509</v>
      </c>
      <c r="H151">
        <v>-102.91350430128095</v>
      </c>
      <c r="I151">
        <v>75.472623405196401</v>
      </c>
      <c r="J151">
        <v>32.256098045792697</v>
      </c>
      <c r="K151">
        <v>24.258355708152699</v>
      </c>
      <c r="L151">
        <v>1.8184155817550468E-3</v>
      </c>
      <c r="M151">
        <v>6.357378603238298E-4</v>
      </c>
      <c r="N151" s="1">
        <v>-2.0934278060344701E-5</v>
      </c>
      <c r="O151" s="1">
        <v>2.7381128432422599E-5</v>
      </c>
      <c r="P151" s="1">
        <v>-3.7886688770462902E-5</v>
      </c>
      <c r="AE151">
        <v>100</v>
      </c>
      <c r="AJ151">
        <v>1</v>
      </c>
    </row>
    <row r="152" spans="1:36" x14ac:dyDescent="0.2">
      <c r="A152">
        <v>151</v>
      </c>
      <c r="B152">
        <v>767</v>
      </c>
      <c r="C152">
        <v>140</v>
      </c>
      <c r="D152">
        <v>0.45279094361390498</v>
      </c>
      <c r="E152">
        <v>9.2232746392646998</v>
      </c>
      <c r="F152">
        <v>0.33964569440120801</v>
      </c>
      <c r="G152">
        <v>-203.44803741875785</v>
      </c>
      <c r="H152">
        <v>-115.45077342262604</v>
      </c>
      <c r="I152">
        <v>84.605626227230999</v>
      </c>
      <c r="J152">
        <v>36.216689790632799</v>
      </c>
      <c r="K152">
        <v>27.155576506056399</v>
      </c>
      <c r="L152">
        <v>1.8225897520894067E-3</v>
      </c>
      <c r="M152">
        <v>6.3532975139472944E-4</v>
      </c>
      <c r="N152" s="1">
        <v>-2.3269078364451301E-5</v>
      </c>
      <c r="O152" s="1">
        <v>3.0658174194092998E-5</v>
      </c>
      <c r="P152" s="1">
        <v>-4.2591021737491499E-5</v>
      </c>
      <c r="AE152">
        <v>100</v>
      </c>
      <c r="AJ152">
        <v>1</v>
      </c>
    </row>
    <row r="153" spans="1:36" x14ac:dyDescent="0.2">
      <c r="A153">
        <v>152</v>
      </c>
      <c r="B153">
        <v>766</v>
      </c>
      <c r="C153">
        <v>140</v>
      </c>
      <c r="D153">
        <v>0.45219698792282498</v>
      </c>
      <c r="E153">
        <v>9.8400481323549602</v>
      </c>
      <c r="F153">
        <v>0.340266005076931</v>
      </c>
      <c r="G153">
        <v>-216.96265230044594</v>
      </c>
      <c r="H153">
        <v>-123.20979208101919</v>
      </c>
      <c r="I153">
        <v>90.226137996647495</v>
      </c>
      <c r="J153">
        <v>38.683953709250702</v>
      </c>
      <c r="K153">
        <v>28.918692980011901</v>
      </c>
      <c r="L153">
        <v>1.8267729687772162E-3</v>
      </c>
      <c r="M153">
        <v>6.3491691837736322E-4</v>
      </c>
      <c r="N153" s="1">
        <v>-2.4598232081936999E-5</v>
      </c>
      <c r="O153" s="1">
        <v>3.26558659564765E-5</v>
      </c>
      <c r="P153" s="1">
        <v>-4.5548711895186597E-5</v>
      </c>
      <c r="AE153">
        <v>100</v>
      </c>
      <c r="AJ153">
        <v>1</v>
      </c>
    </row>
    <row r="154" spans="1:36" x14ac:dyDescent="0.2">
      <c r="A154">
        <v>153</v>
      </c>
      <c r="B154">
        <v>765</v>
      </c>
      <c r="C154">
        <v>140</v>
      </c>
      <c r="D154">
        <v>0.45160188797380102</v>
      </c>
      <c r="E154">
        <v>10.243694802317201</v>
      </c>
      <c r="F154">
        <v>0.34088887618833802</v>
      </c>
      <c r="G154">
        <v>-225.7687264908941</v>
      </c>
      <c r="H154">
        <v>-128.30425112444874</v>
      </c>
      <c r="I154">
        <v>93.888491487401694</v>
      </c>
      <c r="J154">
        <v>40.3182496459142</v>
      </c>
      <c r="K154">
        <v>30.049953277612001</v>
      </c>
      <c r="L154">
        <v>1.830965108928396E-3</v>
      </c>
      <c r="M154">
        <v>6.3449930987344414E-4</v>
      </c>
      <c r="N154" s="1">
        <v>-2.5365970867598499E-5</v>
      </c>
      <c r="O154" s="1">
        <v>3.39406054325065E-5</v>
      </c>
      <c r="P154" s="1">
        <v>-4.7531801695682702E-5</v>
      </c>
      <c r="AE154">
        <v>100</v>
      </c>
      <c r="AJ154">
        <v>1</v>
      </c>
    </row>
    <row r="155" spans="1:36" x14ac:dyDescent="0.2">
      <c r="A155">
        <v>154</v>
      </c>
      <c r="B155">
        <v>764</v>
      </c>
      <c r="C155">
        <v>140</v>
      </c>
      <c r="D155">
        <v>0.45100564045702202</v>
      </c>
      <c r="E155">
        <v>10.4233716606859</v>
      </c>
      <c r="F155">
        <v>0.341514320669979</v>
      </c>
      <c r="G155">
        <v>-229.63324843979291</v>
      </c>
      <c r="H155">
        <v>-130.59578805516261</v>
      </c>
      <c r="I155">
        <v>95.495757872981599</v>
      </c>
      <c r="J155">
        <v>41.073909784860099</v>
      </c>
      <c r="K155">
        <v>30.521038298591598</v>
      </c>
      <c r="L155">
        <v>1.8351660460795294E-3</v>
      </c>
      <c r="M155">
        <v>6.3407687404750193E-4</v>
      </c>
      <c r="N155" s="1">
        <v>-2.55600930378381E-5</v>
      </c>
      <c r="O155" s="1">
        <v>3.4479918622453597E-5</v>
      </c>
      <c r="P155" s="1">
        <v>-4.8482767747849203E-5</v>
      </c>
      <c r="AE155">
        <v>100</v>
      </c>
      <c r="AJ155">
        <v>1</v>
      </c>
    </row>
    <row r="156" spans="1:36" x14ac:dyDescent="0.2">
      <c r="A156">
        <v>155</v>
      </c>
      <c r="B156">
        <v>794</v>
      </c>
      <c r="C156">
        <v>120</v>
      </c>
      <c r="D156">
        <v>0.489022630370612</v>
      </c>
      <c r="E156">
        <v>6.7110871260379703</v>
      </c>
      <c r="F156">
        <v>0.28023998025739999</v>
      </c>
      <c r="G156">
        <v>-150.14987014569246</v>
      </c>
      <c r="H156">
        <v>-82.924009754914351</v>
      </c>
      <c r="I156">
        <v>62.999298024588398</v>
      </c>
      <c r="J156">
        <v>24.9854130585056</v>
      </c>
      <c r="K156">
        <v>23.947643444285902</v>
      </c>
      <c r="L156">
        <v>1.7556500261124606E-3</v>
      </c>
      <c r="M156">
        <v>8.0852558045492451E-4</v>
      </c>
      <c r="N156" s="1">
        <v>-3.4681162373758003E-5</v>
      </c>
      <c r="O156" s="1">
        <v>3.8293599411636002E-5</v>
      </c>
      <c r="P156" s="1">
        <v>-3.6547116167827901E-5</v>
      </c>
      <c r="AE156">
        <v>100</v>
      </c>
      <c r="AJ156">
        <v>1</v>
      </c>
    </row>
    <row r="157" spans="1:36" x14ac:dyDescent="0.2">
      <c r="A157">
        <v>156</v>
      </c>
      <c r="B157">
        <v>793</v>
      </c>
      <c r="C157">
        <v>120</v>
      </c>
      <c r="D157">
        <v>0.488477700136005</v>
      </c>
      <c r="E157">
        <v>6.7127454911275004</v>
      </c>
      <c r="F157">
        <v>0.28073305257001002</v>
      </c>
      <c r="G157">
        <v>-150.12397027144888</v>
      </c>
      <c r="H157">
        <v>-82.969506991495848</v>
      </c>
      <c r="I157">
        <v>62.991422149915898</v>
      </c>
      <c r="J157">
        <v>25.020497222902499</v>
      </c>
      <c r="K157">
        <v>23.911489686286298</v>
      </c>
      <c r="L157">
        <v>1.760190228985285E-3</v>
      </c>
      <c r="M157">
        <v>8.0841761997053462E-4</v>
      </c>
      <c r="N157" s="1">
        <v>-3.4710657646825802E-5</v>
      </c>
      <c r="O157" s="1">
        <v>3.8260606608322597E-5</v>
      </c>
      <c r="P157" s="1">
        <v>-3.6638585669695897E-5</v>
      </c>
      <c r="AE157">
        <v>100</v>
      </c>
      <c r="AJ157">
        <v>1</v>
      </c>
    </row>
    <row r="158" spans="1:36" x14ac:dyDescent="0.2">
      <c r="A158">
        <v>157</v>
      </c>
      <c r="B158">
        <v>792</v>
      </c>
      <c r="C158">
        <v>120</v>
      </c>
      <c r="D158">
        <v>0.48793174670234402</v>
      </c>
      <c r="E158">
        <v>6.7344134020387498</v>
      </c>
      <c r="F158">
        <v>0.28122827198497002</v>
      </c>
      <c r="G158">
        <v>-150.54536888053804</v>
      </c>
      <c r="H158">
        <v>-83.262438113178433</v>
      </c>
      <c r="I158">
        <v>63.1711820985294</v>
      </c>
      <c r="J158">
        <v>25.130429091992902</v>
      </c>
      <c r="K158">
        <v>23.946430970491601</v>
      </c>
      <c r="L158">
        <v>1.7647498461571471E-3</v>
      </c>
      <c r="M158">
        <v>8.0830698742375686E-4</v>
      </c>
      <c r="N158" s="1">
        <v>-3.4842084363106903E-5</v>
      </c>
      <c r="O158" s="1">
        <v>3.8341434722024903E-5</v>
      </c>
      <c r="P158" s="1">
        <v>-3.68401876235436E-5</v>
      </c>
      <c r="AE158">
        <v>100</v>
      </c>
      <c r="AJ158">
        <v>1</v>
      </c>
    </row>
    <row r="159" spans="1:36" x14ac:dyDescent="0.2">
      <c r="A159">
        <v>158</v>
      </c>
      <c r="B159">
        <v>791</v>
      </c>
      <c r="C159">
        <v>120</v>
      </c>
      <c r="D159">
        <v>0.48738476718508</v>
      </c>
      <c r="E159">
        <v>6.7560984776532997</v>
      </c>
      <c r="F159">
        <v>0.281725652277657</v>
      </c>
      <c r="G159">
        <v>-150.96676812740836</v>
      </c>
      <c r="H159">
        <v>-83.555772484481423</v>
      </c>
      <c r="I159">
        <v>63.350901562136698</v>
      </c>
      <c r="J159">
        <v>25.2407795314795</v>
      </c>
      <c r="K159">
        <v>23.981126400924101</v>
      </c>
      <c r="L159">
        <v>1.7693289338609813E-3</v>
      </c>
      <c r="M159">
        <v>8.0819364223634529E-4</v>
      </c>
      <c r="N159" s="1">
        <v>-3.4972073615302503E-5</v>
      </c>
      <c r="O159" s="1">
        <v>3.8422004552955898E-5</v>
      </c>
      <c r="P159" s="1">
        <v>-3.7043060342937201E-5</v>
      </c>
      <c r="AE159">
        <v>100</v>
      </c>
      <c r="AJ159">
        <v>1</v>
      </c>
    </row>
    <row r="160" spans="1:36" x14ac:dyDescent="0.2">
      <c r="A160">
        <v>159</v>
      </c>
      <c r="B160">
        <v>790</v>
      </c>
      <c r="C160">
        <v>120</v>
      </c>
      <c r="D160">
        <v>0.486836758688802</v>
      </c>
      <c r="E160">
        <v>6.7777910716532901</v>
      </c>
      <c r="F160">
        <v>0.28222520732211198</v>
      </c>
      <c r="G160">
        <v>-151.38795234805715</v>
      </c>
      <c r="H160">
        <v>-83.84939141142047</v>
      </c>
      <c r="I160">
        <v>63.530489211204298</v>
      </c>
      <c r="J160">
        <v>25.3515150770268</v>
      </c>
      <c r="K160">
        <v>24.015541120384601</v>
      </c>
      <c r="L160">
        <v>1.773927547185515E-3</v>
      </c>
      <c r="M160">
        <v>8.0807754322329884E-4</v>
      </c>
      <c r="N160" s="1">
        <v>-3.5100520765591199E-5</v>
      </c>
      <c r="O160" s="1">
        <v>3.8502258996452802E-5</v>
      </c>
      <c r="P160" s="1">
        <v>-3.7247163392128702E-5</v>
      </c>
      <c r="AE160">
        <v>100</v>
      </c>
      <c r="AJ160">
        <v>1</v>
      </c>
    </row>
    <row r="161" spans="1:36" x14ac:dyDescent="0.2">
      <c r="A161">
        <v>160</v>
      </c>
      <c r="B161">
        <v>789</v>
      </c>
      <c r="C161">
        <v>120</v>
      </c>
      <c r="D161">
        <v>0.48628771830721002</v>
      </c>
      <c r="E161">
        <v>6.7994817351700796</v>
      </c>
      <c r="F161">
        <v>0.28272695109150398</v>
      </c>
      <c r="G161">
        <v>-151.80871064969423</v>
      </c>
      <c r="H161">
        <v>-84.143178502408531</v>
      </c>
      <c r="I161">
        <v>63.709855696719401</v>
      </c>
      <c r="J161">
        <v>25.462602843076599</v>
      </c>
      <c r="K161">
        <v>24.049641213615399</v>
      </c>
      <c r="L161">
        <v>1.7785457400315023E-3</v>
      </c>
      <c r="M161">
        <v>8.0795864858419894E-4</v>
      </c>
      <c r="N161" s="1">
        <v>-3.5227320864512497E-5</v>
      </c>
      <c r="O161" s="1">
        <v>3.8582142273050001E-5</v>
      </c>
      <c r="P161" s="1">
        <v>-3.7452457050628803E-5</v>
      </c>
      <c r="AE161">
        <v>100</v>
      </c>
      <c r="AJ161">
        <v>1</v>
      </c>
    </row>
    <row r="162" spans="1:36" x14ac:dyDescent="0.2">
      <c r="A162">
        <v>161</v>
      </c>
      <c r="B162">
        <v>788</v>
      </c>
      <c r="C162">
        <v>120</v>
      </c>
      <c r="D162">
        <v>0.48573764312303003</v>
      </c>
      <c r="E162">
        <v>6.8211612482420998</v>
      </c>
      <c r="F162">
        <v>0.283230897658583</v>
      </c>
      <c r="G162">
        <v>-152.22883760320914</v>
      </c>
      <c r="H162">
        <v>-84.437020060950104</v>
      </c>
      <c r="I162">
        <v>63.888913942036901</v>
      </c>
      <c r="J162">
        <v>25.574010642463598</v>
      </c>
      <c r="K162">
        <v>24.0833938127208</v>
      </c>
      <c r="L162">
        <v>1.7831835650669377E-3</v>
      </c>
      <c r="M162">
        <v>8.0783691589447098E-4</v>
      </c>
      <c r="N162" s="1">
        <v>-3.5352368817279298E-5</v>
      </c>
      <c r="O162" s="1">
        <v>3.8661600100709801E-5</v>
      </c>
      <c r="P162" s="1">
        <v>-3.7658902489855103E-5</v>
      </c>
      <c r="AE162">
        <v>100</v>
      </c>
      <c r="AJ162">
        <v>1</v>
      </c>
    </row>
    <row r="163" spans="1:36" x14ac:dyDescent="0.2">
      <c r="A163">
        <v>162</v>
      </c>
      <c r="B163">
        <v>787</v>
      </c>
      <c r="C163">
        <v>120</v>
      </c>
      <c r="D163">
        <v>0.48518653020799002</v>
      </c>
      <c r="E163">
        <v>6.8428206473503597</v>
      </c>
      <c r="F163">
        <v>0.28373706119612702</v>
      </c>
      <c r="G163">
        <v>-152.64813384638228</v>
      </c>
      <c r="H163">
        <v>-84.730805430482349</v>
      </c>
      <c r="I163">
        <v>64.067579397322703</v>
      </c>
      <c r="J163">
        <v>25.685707092195599</v>
      </c>
      <c r="K163">
        <v>24.116767187563099</v>
      </c>
      <c r="L163">
        <v>1.7878410736811351E-3</v>
      </c>
      <c r="M163">
        <v>8.0771230209654844E-4</v>
      </c>
      <c r="N163" s="1">
        <v>-3.5475559530126498E-5</v>
      </c>
      <c r="O163" s="1">
        <v>3.8740579843609398E-5</v>
      </c>
      <c r="P163" s="1">
        <v>-3.7866461930546602E-5</v>
      </c>
      <c r="AE163">
        <v>100</v>
      </c>
      <c r="AJ163">
        <v>1</v>
      </c>
    </row>
    <row r="164" spans="1:36" x14ac:dyDescent="0.2">
      <c r="A164">
        <v>163</v>
      </c>
      <c r="B164">
        <v>786</v>
      </c>
      <c r="C164">
        <v>120</v>
      </c>
      <c r="D164">
        <v>0.48463437662276798</v>
      </c>
      <c r="E164">
        <v>6.8644512490294298</v>
      </c>
      <c r="F164">
        <v>0.28424545597738199</v>
      </c>
      <c r="G164">
        <v>-153.06640659804773</v>
      </c>
      <c r="H164">
        <v>-85.024427291236691</v>
      </c>
      <c r="I164">
        <v>64.245770256659895</v>
      </c>
      <c r="J164">
        <v>25.7976617052725</v>
      </c>
      <c r="K164">
        <v>24.149730821292799</v>
      </c>
      <c r="L164">
        <v>1.7925183159377023E-3</v>
      </c>
      <c r="M164">
        <v>8.0758476349095467E-4</v>
      </c>
      <c r="N164" s="1">
        <v>-3.5596788036426501E-5</v>
      </c>
      <c r="O164" s="1">
        <v>3.8819030637645797E-5</v>
      </c>
      <c r="P164" s="1">
        <v>-3.8075098780659302E-5</v>
      </c>
      <c r="AE164">
        <v>100</v>
      </c>
      <c r="AJ164">
        <v>1</v>
      </c>
    </row>
    <row r="165" spans="1:36" x14ac:dyDescent="0.2">
      <c r="A165">
        <v>164</v>
      </c>
      <c r="B165">
        <v>785</v>
      </c>
      <c r="C165">
        <v>120</v>
      </c>
      <c r="D165">
        <v>0.48408117941691098</v>
      </c>
      <c r="E165">
        <v>6.8860446691129296</v>
      </c>
      <c r="F165">
        <v>0.28475609637648702</v>
      </c>
      <c r="G165">
        <v>-153.48347007364171</v>
      </c>
      <c r="H165">
        <v>-85.317781903558327</v>
      </c>
      <c r="I165">
        <v>64.423407633789694</v>
      </c>
      <c r="J165">
        <v>25.909844966783702</v>
      </c>
      <c r="K165">
        <v>24.182255469637401</v>
      </c>
      <c r="L165">
        <v>1.797215340526469E-3</v>
      </c>
      <c r="M165">
        <v>8.0745425572730683E-4</v>
      </c>
      <c r="N165" s="1">
        <v>-3.5715949600140897E-5</v>
      </c>
      <c r="O165" s="1">
        <v>3.8896903490333297E-5</v>
      </c>
      <c r="P165" s="1">
        <v>-3.8284777750978801E-5</v>
      </c>
      <c r="AE165">
        <v>100</v>
      </c>
      <c r="AJ165">
        <v>1</v>
      </c>
    </row>
    <row r="166" spans="1:36" x14ac:dyDescent="0.2">
      <c r="A166">
        <v>165</v>
      </c>
      <c r="B166">
        <v>784</v>
      </c>
      <c r="C166">
        <v>120</v>
      </c>
      <c r="D166">
        <v>0.48352693562881199</v>
      </c>
      <c r="E166">
        <v>6.9075928382066296</v>
      </c>
      <c r="F166">
        <v>0.28526899686889101</v>
      </c>
      <c r="G166">
        <v>-153.89914581563517</v>
      </c>
      <c r="H166">
        <v>-85.610769304919202</v>
      </c>
      <c r="I166">
        <v>64.600415702135706</v>
      </c>
      <c r="J166">
        <v>26.022228396394102</v>
      </c>
      <c r="K166">
        <v>24.214313206216801</v>
      </c>
      <c r="L166">
        <v>1.8019321947140014E-3</v>
      </c>
      <c r="M166">
        <v>8.0732073379517842E-4</v>
      </c>
      <c r="N166" s="1">
        <v>-3.5832939799405701E-5</v>
      </c>
      <c r="O166" s="1">
        <v>3.8974151358628203E-5</v>
      </c>
      <c r="P166" s="1">
        <v>-3.8495464951421802E-5</v>
      </c>
      <c r="AE166">
        <v>100</v>
      </c>
      <c r="AJ166">
        <v>1</v>
      </c>
    </row>
    <row r="167" spans="1:36" x14ac:dyDescent="0.2">
      <c r="A167">
        <v>166</v>
      </c>
      <c r="B167">
        <v>783</v>
      </c>
      <c r="C167">
        <v>120</v>
      </c>
      <c r="D167">
        <v>0.48297164228566197</v>
      </c>
      <c r="E167">
        <v>6.9290880128255097</v>
      </c>
      <c r="F167">
        <v>0.28578417203175899</v>
      </c>
      <c r="G167">
        <v>-154.3132629265491</v>
      </c>
      <c r="H167">
        <v>-85.903293453542901</v>
      </c>
      <c r="I167">
        <v>64.776721793932495</v>
      </c>
      <c r="J167">
        <v>26.134784594974601</v>
      </c>
      <c r="K167">
        <v>24.2458774520776</v>
      </c>
      <c r="L167">
        <v>1.8066689242932652E-3</v>
      </c>
      <c r="M167">
        <v>8.0718415201496742E-4</v>
      </c>
      <c r="N167" s="1">
        <v>-3.5947654587297201E-5</v>
      </c>
      <c r="O167" s="1">
        <v>3.9050729201672102E-5</v>
      </c>
      <c r="P167" s="1">
        <v>-3.87071279645557E-5</v>
      </c>
      <c r="AE167">
        <v>100</v>
      </c>
      <c r="AJ167">
        <v>1</v>
      </c>
    </row>
    <row r="168" spans="1:36" x14ac:dyDescent="0.2">
      <c r="A168">
        <v>167</v>
      </c>
      <c r="B168">
        <v>782</v>
      </c>
      <c r="C168">
        <v>120</v>
      </c>
      <c r="D168">
        <v>0.48241529640335601</v>
      </c>
      <c r="E168">
        <v>6.9505227828191103</v>
      </c>
      <c r="F168">
        <v>0.28630163654437002</v>
      </c>
      <c r="G168">
        <v>-154.72565821873434</v>
      </c>
      <c r="H168">
        <v>-86.195262326264441</v>
      </c>
      <c r="I168">
        <v>64.952256464405195</v>
      </c>
      <c r="J168">
        <v>26.247487277623101</v>
      </c>
      <c r="K168">
        <v>24.276922991817798</v>
      </c>
      <c r="L168">
        <v>1.8114255735318088E-3</v>
      </c>
      <c r="M168">
        <v>8.0704446402858284E-4</v>
      </c>
      <c r="N168" s="1">
        <v>-3.6059990332771099E-5</v>
      </c>
      <c r="O168" s="1">
        <v>3.9126594012151402E-5</v>
      </c>
      <c r="P168" s="1">
        <v>-3.8919735899479203E-5</v>
      </c>
      <c r="AE168">
        <v>100</v>
      </c>
      <c r="AJ168">
        <v>1</v>
      </c>
    </row>
    <row r="169" spans="1:36" x14ac:dyDescent="0.2">
      <c r="A169">
        <v>168</v>
      </c>
      <c r="B169">
        <v>781</v>
      </c>
      <c r="C169">
        <v>120</v>
      </c>
      <c r="D169">
        <v>0.48185789498648202</v>
      </c>
      <c r="E169">
        <v>6.98486655159794</v>
      </c>
      <c r="F169">
        <v>0.28682140518849802</v>
      </c>
      <c r="G169">
        <v>-155.42492451529804</v>
      </c>
      <c r="H169">
        <v>-86.647561704399706</v>
      </c>
      <c r="I169">
        <v>65.248171494055896</v>
      </c>
      <c r="J169">
        <v>26.409374596674901</v>
      </c>
      <c r="K169">
        <v>24.352668333827701</v>
      </c>
      <c r="L169">
        <v>1.81620218511894E-3</v>
      </c>
      <c r="M169">
        <v>8.0690162279013376E-4</v>
      </c>
      <c r="N169" s="1">
        <v>-3.62371652028301E-5</v>
      </c>
      <c r="O169" s="1">
        <v>3.9274669258824199E-5</v>
      </c>
      <c r="P169" s="1">
        <v>-3.9206096463656497E-5</v>
      </c>
      <c r="AE169">
        <v>100</v>
      </c>
      <c r="AJ169">
        <v>1</v>
      </c>
    </row>
    <row r="170" spans="1:36" x14ac:dyDescent="0.2">
      <c r="A170">
        <v>169</v>
      </c>
      <c r="B170">
        <v>780</v>
      </c>
      <c r="C170">
        <v>120</v>
      </c>
      <c r="D170">
        <v>0.48129943502824801</v>
      </c>
      <c r="E170">
        <v>7.0966601553504596</v>
      </c>
      <c r="F170">
        <v>0.28734349284878202</v>
      </c>
      <c r="G170">
        <v>-157.84623881824771</v>
      </c>
      <c r="H170">
        <v>-88.061214525436839</v>
      </c>
      <c r="I170">
        <v>66.266994670784399</v>
      </c>
      <c r="J170">
        <v>26.8649527764432</v>
      </c>
      <c r="K170">
        <v>24.697479956802599</v>
      </c>
      <c r="L170">
        <v>1.8209988001114384E-3</v>
      </c>
      <c r="M170">
        <v>8.0675558055645928E-4</v>
      </c>
      <c r="N170" s="1">
        <v>-3.6813898931371799E-5</v>
      </c>
      <c r="O170" s="1">
        <v>3.9857183679041101E-5</v>
      </c>
      <c r="P170" s="1">
        <v>-3.9929891917206402E-5</v>
      </c>
      <c r="AE170">
        <v>100</v>
      </c>
      <c r="AJ170">
        <v>1</v>
      </c>
    </row>
    <row r="171" spans="1:36" x14ac:dyDescent="0.2">
      <c r="A171">
        <v>170</v>
      </c>
      <c r="B171">
        <v>779</v>
      </c>
      <c r="C171">
        <v>120</v>
      </c>
      <c r="D171">
        <v>0.48073991351043299</v>
      </c>
      <c r="E171">
        <v>7.2202379570575301</v>
      </c>
      <c r="F171">
        <v>0.28786791451308702</v>
      </c>
      <c r="G171">
        <v>-160.52748879670139</v>
      </c>
      <c r="H171">
        <v>-89.622019427941993</v>
      </c>
      <c r="I171">
        <v>67.394954362297895</v>
      </c>
      <c r="J171">
        <v>27.366419854908901</v>
      </c>
      <c r="K171">
        <v>25.081773942296198</v>
      </c>
      <c r="L171">
        <v>1.8258154578781908E-3</v>
      </c>
      <c r="M171">
        <v>8.0660628887763912E-4</v>
      </c>
      <c r="N171" s="1">
        <v>-3.74493397687302E-5</v>
      </c>
      <c r="O171" s="1">
        <v>4.0504249637120102E-5</v>
      </c>
      <c r="P171" s="1">
        <v>-4.0723946028653597E-5</v>
      </c>
      <c r="AE171">
        <v>100</v>
      </c>
      <c r="AJ171">
        <v>1</v>
      </c>
    </row>
    <row r="172" spans="1:36" x14ac:dyDescent="0.2">
      <c r="A172">
        <v>171</v>
      </c>
      <c r="B172">
        <v>778</v>
      </c>
      <c r="C172">
        <v>120</v>
      </c>
      <c r="D172">
        <v>0.48017932740332298</v>
      </c>
      <c r="E172">
        <v>7.3679583076441499</v>
      </c>
      <c r="F172">
        <v>0.28839468527284501</v>
      </c>
      <c r="G172">
        <v>-163.74299356789575</v>
      </c>
      <c r="H172">
        <v>-91.483558536451937</v>
      </c>
      <c r="I172">
        <v>68.747230585198906</v>
      </c>
      <c r="J172">
        <v>27.9608500712446</v>
      </c>
      <c r="K172">
        <v>25.548176453645201</v>
      </c>
      <c r="L172">
        <v>1.8306521960434056E-3</v>
      </c>
      <c r="M172">
        <v>8.0645369858738613E-4</v>
      </c>
      <c r="N172" s="1">
        <v>-3.82073744090725E-5</v>
      </c>
      <c r="O172" s="1">
        <v>4.1284877605581197E-5</v>
      </c>
      <c r="P172" s="1">
        <v>-4.1658662361383501E-5</v>
      </c>
      <c r="AE172">
        <v>100</v>
      </c>
      <c r="AJ172">
        <v>1</v>
      </c>
    </row>
    <row r="173" spans="1:36" x14ac:dyDescent="0.2">
      <c r="A173">
        <v>172</v>
      </c>
      <c r="B173">
        <v>777</v>
      </c>
      <c r="C173">
        <v>120</v>
      </c>
      <c r="D173">
        <v>0.47961767366567098</v>
      </c>
      <c r="E173">
        <v>7.7587333502318403</v>
      </c>
      <c r="F173">
        <v>0.28892382032339098</v>
      </c>
      <c r="G173">
        <v>-172.35506552492049</v>
      </c>
      <c r="H173">
        <v>-96.365042030246258</v>
      </c>
      <c r="I173">
        <v>72.365341635326402</v>
      </c>
      <c r="J173">
        <v>29.480382312701</v>
      </c>
      <c r="K173">
        <v>26.853906824115501</v>
      </c>
      <c r="L173">
        <v>1.835509050428558E-3</v>
      </c>
      <c r="M173">
        <v>8.0629775979336677E-4</v>
      </c>
      <c r="N173" s="1">
        <v>-4.0222600655655797E-5</v>
      </c>
      <c r="O173" s="1">
        <v>4.3423786183315498E-5</v>
      </c>
      <c r="P173" s="1">
        <v>-4.3975869078354202E-5</v>
      </c>
      <c r="AE173">
        <v>100</v>
      </c>
      <c r="AJ173">
        <v>1</v>
      </c>
    </row>
    <row r="174" spans="1:36" x14ac:dyDescent="0.2">
      <c r="A174">
        <v>173</v>
      </c>
      <c r="B174">
        <v>776</v>
      </c>
      <c r="C174">
        <v>120</v>
      </c>
      <c r="D174">
        <v>0.47905494924462999</v>
      </c>
      <c r="E174">
        <v>8.2846784017216297</v>
      </c>
      <c r="F174">
        <v>0.289455334964271</v>
      </c>
      <c r="G174">
        <v>-183.96132682241651</v>
      </c>
      <c r="H174">
        <v>-102.92888465402525</v>
      </c>
      <c r="I174">
        <v>77.240797950827101</v>
      </c>
      <c r="J174">
        <v>31.518050946563498</v>
      </c>
      <c r="K174">
        <v>28.621612390541099</v>
      </c>
      <c r="L174">
        <v>1.8403860549930132E-3</v>
      </c>
      <c r="M174">
        <v>8.0613842186747886E-4</v>
      </c>
      <c r="N174" s="1">
        <v>-4.2934412505931803E-5</v>
      </c>
      <c r="O174" s="1">
        <v>4.6313091190622099E-5</v>
      </c>
      <c r="P174" s="1">
        <v>-4.70728343080463E-5</v>
      </c>
      <c r="AE174">
        <v>100</v>
      </c>
      <c r="AJ174">
        <v>1</v>
      </c>
    </row>
    <row r="175" spans="1:36" x14ac:dyDescent="0.2">
      <c r="A175">
        <v>174</v>
      </c>
      <c r="B175">
        <v>775</v>
      </c>
      <c r="C175">
        <v>120</v>
      </c>
      <c r="D175">
        <v>0.478491151075708</v>
      </c>
      <c r="E175">
        <v>8.6765014486834708</v>
      </c>
      <c r="F175">
        <v>0.28998924459955</v>
      </c>
      <c r="G175">
        <v>-192.58088145859327</v>
      </c>
      <c r="H175">
        <v>-107.82992544232363</v>
      </c>
      <c r="I175">
        <v>80.862396835564297</v>
      </c>
      <c r="J175">
        <v>33.050048307276803</v>
      </c>
      <c r="K175">
        <v>29.9200801763008</v>
      </c>
      <c r="L175">
        <v>1.8452832417732506E-3</v>
      </c>
      <c r="M175">
        <v>8.0597563343600385E-4</v>
      </c>
      <c r="N175" s="1">
        <v>-4.4946477960186897E-5</v>
      </c>
      <c r="O175" s="1">
        <v>4.84464793500591E-5</v>
      </c>
      <c r="P175" s="1">
        <v>-4.9421519494090899E-5</v>
      </c>
      <c r="AE175">
        <v>100</v>
      </c>
      <c r="AJ175">
        <v>1</v>
      </c>
    </row>
    <row r="176" spans="1:36" x14ac:dyDescent="0.2">
      <c r="A176">
        <v>175</v>
      </c>
      <c r="B176">
        <v>774</v>
      </c>
      <c r="C176">
        <v>120</v>
      </c>
      <c r="D176">
        <v>0.47792627608270499</v>
      </c>
      <c r="E176">
        <v>9.6201316778393693</v>
      </c>
      <c r="F176">
        <v>0.29052556473809499</v>
      </c>
      <c r="G176">
        <v>-213.43576026527407</v>
      </c>
      <c r="H176">
        <v>-119.59385166482598</v>
      </c>
      <c r="I176">
        <v>89.621748393771497</v>
      </c>
      <c r="J176">
        <v>36.690579596755299</v>
      </c>
      <c r="K176">
        <v>33.112857680912803</v>
      </c>
      <c r="L176">
        <v>1.8502006408207324E-3</v>
      </c>
      <c r="M176">
        <v>8.0580934236973141E-4</v>
      </c>
      <c r="N176" s="1">
        <v>-4.9810753855596598E-5</v>
      </c>
      <c r="O176" s="1">
        <v>5.3652040508718301E-5</v>
      </c>
      <c r="P176" s="1">
        <v>-5.4933201499194999E-5</v>
      </c>
      <c r="AE176">
        <v>100</v>
      </c>
      <c r="AJ176">
        <v>1</v>
      </c>
    </row>
    <row r="177" spans="1:36" x14ac:dyDescent="0.2">
      <c r="A177">
        <v>176</v>
      </c>
      <c r="B177">
        <v>773</v>
      </c>
      <c r="C177">
        <v>120</v>
      </c>
      <c r="D177">
        <v>0.47736032117765198</v>
      </c>
      <c r="E177">
        <v>10.0214415918363</v>
      </c>
      <c r="F177">
        <v>0.291064310993839</v>
      </c>
      <c r="G177">
        <v>-222.24602669564902</v>
      </c>
      <c r="H177">
        <v>-124.6210305588102</v>
      </c>
      <c r="I177">
        <v>93.323835990158798</v>
      </c>
      <c r="J177">
        <v>38.269448399430402</v>
      </c>
      <c r="K177">
        <v>34.430334511359703</v>
      </c>
      <c r="L177">
        <v>1.8551382801383057E-3</v>
      </c>
      <c r="M177">
        <v>8.0563949577398179E-4</v>
      </c>
      <c r="N177" s="1">
        <v>-5.1860010442515201E-5</v>
      </c>
      <c r="O177" s="1">
        <v>5.5824036467400998E-5</v>
      </c>
      <c r="P177" s="1">
        <v>-5.7368334791352E-5</v>
      </c>
      <c r="AE177">
        <v>100</v>
      </c>
      <c r="AJ177">
        <v>1</v>
      </c>
    </row>
    <row r="178" spans="1:36" x14ac:dyDescent="0.2">
      <c r="A178">
        <v>177</v>
      </c>
      <c r="B178">
        <v>772</v>
      </c>
      <c r="C178">
        <v>120</v>
      </c>
      <c r="D178">
        <v>0.47679328326077502</v>
      </c>
      <c r="E178">
        <v>10.3277635061462</v>
      </c>
      <c r="F178">
        <v>0.291605499086037</v>
      </c>
      <c r="G178">
        <v>-228.94318600788174</v>
      </c>
      <c r="H178">
        <v>-128.46974240946648</v>
      </c>
      <c r="I178">
        <v>96.138691842214797</v>
      </c>
      <c r="J178">
        <v>39.489267941512203</v>
      </c>
      <c r="K178">
        <v>35.416902419590699</v>
      </c>
      <c r="L178">
        <v>1.8600961856152845E-3</v>
      </c>
      <c r="M178">
        <v>8.0546603997860421E-4</v>
      </c>
      <c r="N178" s="1">
        <v>-5.3411834758305598E-5</v>
      </c>
      <c r="O178" s="1">
        <v>5.7462069619776103E-5</v>
      </c>
      <c r="P178" s="1">
        <v>-5.92709933411428E-5</v>
      </c>
      <c r="AE178">
        <v>100</v>
      </c>
      <c r="AJ178">
        <v>1</v>
      </c>
    </row>
    <row r="179" spans="1:36" x14ac:dyDescent="0.2">
      <c r="A179">
        <v>178</v>
      </c>
      <c r="B179">
        <v>771</v>
      </c>
      <c r="C179">
        <v>120</v>
      </c>
      <c r="D179">
        <v>0.47622515922041903</v>
      </c>
      <c r="E179">
        <v>10.470302260239899</v>
      </c>
      <c r="F179">
        <v>0.292149144839498</v>
      </c>
      <c r="G179">
        <v>-232.005501799592</v>
      </c>
      <c r="H179">
        <v>-130.28287889488368</v>
      </c>
      <c r="I179">
        <v>97.427203615009105</v>
      </c>
      <c r="J179">
        <v>40.085302238325902</v>
      </c>
      <c r="K179">
        <v>35.838894089497003</v>
      </c>
      <c r="L179">
        <v>1.8650743809609808E-3</v>
      </c>
      <c r="M179">
        <v>8.0528892052785927E-4</v>
      </c>
      <c r="N179" s="1">
        <v>-5.4111181429250601E-5</v>
      </c>
      <c r="O179" s="1">
        <v>5.8185698184562999E-5</v>
      </c>
      <c r="P179" s="1">
        <v>-6.0241359237684401E-5</v>
      </c>
      <c r="AE179">
        <v>100</v>
      </c>
      <c r="AJ179">
        <v>1</v>
      </c>
    </row>
    <row r="180" spans="1:36" x14ac:dyDescent="0.2">
      <c r="A180">
        <v>179</v>
      </c>
      <c r="B180">
        <v>807</v>
      </c>
      <c r="C180">
        <v>100</v>
      </c>
      <c r="D180">
        <v>0.516382446882378</v>
      </c>
      <c r="E180">
        <v>7.1310054264059204</v>
      </c>
      <c r="F180">
        <v>0.228288273321503</v>
      </c>
      <c r="G180">
        <v>-160.98614713842815</v>
      </c>
      <c r="H180">
        <v>-87.29571685301832</v>
      </c>
      <c r="I180">
        <v>68.226182552986799</v>
      </c>
      <c r="J180">
        <v>25.198728208393199</v>
      </c>
      <c r="K180">
        <v>31.236845075976198</v>
      </c>
      <c r="L180">
        <v>1.6882566755200481E-3</v>
      </c>
      <c r="M180">
        <v>1.0274987813935781E-3</v>
      </c>
      <c r="N180" s="1">
        <v>-5.3355702853373301E-5</v>
      </c>
      <c r="O180" s="1">
        <v>7.2678608506443202E-5</v>
      </c>
      <c r="P180" s="1">
        <v>-4.8257149425513997E-5</v>
      </c>
      <c r="AE180">
        <v>100</v>
      </c>
      <c r="AJ180">
        <v>1</v>
      </c>
    </row>
    <row r="181" spans="1:36" x14ac:dyDescent="0.2">
      <c r="A181">
        <v>180</v>
      </c>
      <c r="B181">
        <v>806</v>
      </c>
      <c r="C181">
        <v>100</v>
      </c>
      <c r="D181">
        <v>0.51586943427697896</v>
      </c>
      <c r="E181">
        <v>7.1432136312907</v>
      </c>
      <c r="F181">
        <v>0.22867453013667</v>
      </c>
      <c r="G181">
        <v>-161.19342240461683</v>
      </c>
      <c r="H181">
        <v>-87.470421622971131</v>
      </c>
      <c r="I181">
        <v>68.319592797228395</v>
      </c>
      <c r="J181">
        <v>25.269038007219301</v>
      </c>
      <c r="K181">
        <v>31.237469371956099</v>
      </c>
      <c r="L181">
        <v>1.6928269517603844E-3</v>
      </c>
      <c r="M181">
        <v>1.0276883640724125E-3</v>
      </c>
      <c r="N181" s="1">
        <v>-5.3622363452687898E-5</v>
      </c>
      <c r="O181" s="1">
        <v>7.2739635406284198E-5</v>
      </c>
      <c r="P181" s="1">
        <v>-4.8428664097027002E-5</v>
      </c>
      <c r="AE181">
        <v>100</v>
      </c>
      <c r="AJ181">
        <v>1</v>
      </c>
    </row>
    <row r="182" spans="1:36" x14ac:dyDescent="0.2">
      <c r="A182">
        <v>181</v>
      </c>
      <c r="B182">
        <v>805</v>
      </c>
      <c r="C182">
        <v>100</v>
      </c>
      <c r="D182">
        <v>0.51535547001808601</v>
      </c>
      <c r="E182">
        <v>7.1614796107536201</v>
      </c>
      <c r="F182">
        <v>0.22906249011278201</v>
      </c>
      <c r="G182">
        <v>-161.53712908912922</v>
      </c>
      <c r="H182">
        <v>-87.719440418434175</v>
      </c>
      <c r="I182">
        <v>68.470794332044207</v>
      </c>
      <c r="J182">
        <v>25.3610747933811</v>
      </c>
      <c r="K182">
        <v>31.264305243637001</v>
      </c>
      <c r="L182">
        <v>1.6974212631574099E-3</v>
      </c>
      <c r="M182">
        <v>1.0278774943649565E-3</v>
      </c>
      <c r="N182" s="1">
        <v>-5.3935418065828901E-5</v>
      </c>
      <c r="O182" s="1">
        <v>7.2862063746409703E-5</v>
      </c>
      <c r="P182" s="1">
        <v>-4.8642362526123602E-5</v>
      </c>
      <c r="AE182">
        <v>100</v>
      </c>
      <c r="AJ182">
        <v>1</v>
      </c>
    </row>
    <row r="183" spans="1:36" x14ac:dyDescent="0.2">
      <c r="A183">
        <v>182</v>
      </c>
      <c r="B183">
        <v>804</v>
      </c>
      <c r="C183">
        <v>100</v>
      </c>
      <c r="D183">
        <v>0.514840551455232</v>
      </c>
      <c r="E183">
        <v>7.1797429402177197</v>
      </c>
      <c r="F183">
        <v>0.22945216523124601</v>
      </c>
      <c r="G183">
        <v>-161.88045026591138</v>
      </c>
      <c r="H183">
        <v>-87.968583629199514</v>
      </c>
      <c r="I183">
        <v>68.621803208939298</v>
      </c>
      <c r="J183">
        <v>25.453425647757001</v>
      </c>
      <c r="K183">
        <v>31.2908049177998</v>
      </c>
      <c r="L183">
        <v>1.7020397708502975E-3</v>
      </c>
      <c r="M183">
        <v>1.0280661530613887E-3</v>
      </c>
      <c r="N183" s="1">
        <v>-5.4249507284409901E-5</v>
      </c>
      <c r="O183" s="1">
        <v>7.2984125810894205E-5</v>
      </c>
      <c r="P183" s="1">
        <v>-4.88572463772348E-5</v>
      </c>
      <c r="AE183">
        <v>100</v>
      </c>
      <c r="AJ183">
        <v>1</v>
      </c>
    </row>
    <row r="184" spans="1:36" x14ac:dyDescent="0.2">
      <c r="A184">
        <v>183</v>
      </c>
      <c r="B184">
        <v>803</v>
      </c>
      <c r="C184">
        <v>100</v>
      </c>
      <c r="D184">
        <v>0.51432467592807896</v>
      </c>
      <c r="E184">
        <v>7.1979963075455498</v>
      </c>
      <c r="F184">
        <v>0.22984356758284999</v>
      </c>
      <c r="G184">
        <v>-162.22322144298039</v>
      </c>
      <c r="H184">
        <v>-88.217762005658173</v>
      </c>
      <c r="I184">
        <v>68.7725489688398</v>
      </c>
      <c r="J184">
        <v>25.546067356030498</v>
      </c>
      <c r="K184">
        <v>31.316936050215698</v>
      </c>
      <c r="L184">
        <v>1.7066826369477757E-3</v>
      </c>
      <c r="M184">
        <v>1.0282543205539789E-3</v>
      </c>
      <c r="N184" s="1">
        <v>-5.4564561028279499E-5</v>
      </c>
      <c r="O184" s="1">
        <v>7.3105746945293905E-5</v>
      </c>
      <c r="P184" s="1">
        <v>-4.9073279948432602E-5</v>
      </c>
      <c r="AE184">
        <v>100</v>
      </c>
      <c r="AJ184">
        <v>1</v>
      </c>
    </row>
    <row r="185" spans="1:36" x14ac:dyDescent="0.2">
      <c r="A185">
        <v>184</v>
      </c>
      <c r="B185">
        <v>802</v>
      </c>
      <c r="C185">
        <v>100</v>
      </c>
      <c r="D185">
        <v>0.51380784076640695</v>
      </c>
      <c r="E185">
        <v>7.2162325885021099</v>
      </c>
      <c r="F185">
        <v>0.23023670936889501</v>
      </c>
      <c r="G185">
        <v>-162.5652826414649</v>
      </c>
      <c r="H185">
        <v>-88.466888501103966</v>
      </c>
      <c r="I185">
        <v>68.922963039367005</v>
      </c>
      <c r="J185">
        <v>25.638977280837899</v>
      </c>
      <c r="K185">
        <v>31.3426673282579</v>
      </c>
      <c r="L185">
        <v>1.7113500245243779E-3</v>
      </c>
      <c r="M185">
        <v>1.0284419768289898E-3</v>
      </c>
      <c r="N185" s="1">
        <v>-5.4880509277260401E-5</v>
      </c>
      <c r="O185" s="1">
        <v>7.3226854649470897E-5</v>
      </c>
      <c r="P185" s="1">
        <v>-4.92904286500449E-5</v>
      </c>
      <c r="AE185">
        <v>100</v>
      </c>
      <c r="AJ185">
        <v>1</v>
      </c>
    </row>
    <row r="186" spans="1:36" x14ac:dyDescent="0.2">
      <c r="A186">
        <v>185</v>
      </c>
      <c r="B186">
        <v>801</v>
      </c>
      <c r="C186">
        <v>100</v>
      </c>
      <c r="D186">
        <v>0.51329004329004402</v>
      </c>
      <c r="E186">
        <v>7.2344448656736402</v>
      </c>
      <c r="F186">
        <v>0.23063160290234599</v>
      </c>
      <c r="G186">
        <v>-162.90647881241361</v>
      </c>
      <c r="H186">
        <v>-88.715878506814605</v>
      </c>
      <c r="I186">
        <v>69.072978912811905</v>
      </c>
      <c r="J186">
        <v>25.732133430989599</v>
      </c>
      <c r="K186">
        <v>31.367968546517101</v>
      </c>
      <c r="L186">
        <v>1.7160420976163476E-3</v>
      </c>
      <c r="M186">
        <v>1.0286291014584672E-3</v>
      </c>
      <c r="N186" s="1">
        <v>-5.5197282218948203E-5</v>
      </c>
      <c r="O186" s="1">
        <v>7.3347378760832906E-5</v>
      </c>
      <c r="P186" s="1">
        <v>-4.9508659141668202E-5</v>
      </c>
      <c r="AE186">
        <v>100</v>
      </c>
      <c r="AJ186">
        <v>1</v>
      </c>
    </row>
    <row r="187" spans="1:36" x14ac:dyDescent="0.2">
      <c r="A187">
        <v>186</v>
      </c>
      <c r="B187">
        <v>800</v>
      </c>
      <c r="C187">
        <v>100</v>
      </c>
      <c r="D187">
        <v>0.51277128080883805</v>
      </c>
      <c r="E187">
        <v>7.2526264445816002</v>
      </c>
      <c r="F187">
        <v>0.23102826060898499</v>
      </c>
      <c r="G187">
        <v>-163.24666018939598</v>
      </c>
      <c r="H187">
        <v>-88.964650053140375</v>
      </c>
      <c r="I187">
        <v>69.222532296947705</v>
      </c>
      <c r="J187">
        <v>25.825514521193401</v>
      </c>
      <c r="K187">
        <v>31.392810669412601</v>
      </c>
      <c r="L187">
        <v>1.7207590212170441E-3</v>
      </c>
      <c r="M187">
        <v>1.0288156735918177E-3</v>
      </c>
      <c r="N187" s="1">
        <v>-5.5514810377739398E-5</v>
      </c>
      <c r="O187" s="1">
        <v>7.3467251608134101E-5</v>
      </c>
      <c r="P187" s="1">
        <v>-4.9727939451598803E-5</v>
      </c>
      <c r="AE187">
        <v>100</v>
      </c>
      <c r="AJ187">
        <v>1</v>
      </c>
    </row>
    <row r="188" spans="1:36" x14ac:dyDescent="0.2">
      <c r="A188">
        <v>187</v>
      </c>
      <c r="B188">
        <v>799</v>
      </c>
      <c r="C188">
        <v>100</v>
      </c>
      <c r="D188">
        <v>0.51225155062258299</v>
      </c>
      <c r="E188">
        <v>7.2707708667779398</v>
      </c>
      <c r="F188">
        <v>0.23142669502858401</v>
      </c>
      <c r="G188">
        <v>-163.58568257227145</v>
      </c>
      <c r="H188">
        <v>-89.213123973902285</v>
      </c>
      <c r="I188">
        <v>69.371561236707095</v>
      </c>
      <c r="J188">
        <v>25.919100021463699</v>
      </c>
      <c r="K188">
        <v>31.417165880020399</v>
      </c>
      <c r="L188">
        <v>1.7255009612719197E-3</v>
      </c>
      <c r="M188">
        <v>1.0290016719472297E-3</v>
      </c>
      <c r="N188" s="1">
        <v>-5.5833024722957601E-5</v>
      </c>
      <c r="O188" s="1">
        <v>7.3586408133854603E-5</v>
      </c>
      <c r="P188" s="1">
        <v>-4.9948239077009001E-5</v>
      </c>
      <c r="AE188">
        <v>100</v>
      </c>
      <c r="AJ188">
        <v>1</v>
      </c>
    </row>
    <row r="189" spans="1:36" x14ac:dyDescent="0.2">
      <c r="A189">
        <v>188</v>
      </c>
      <c r="B189">
        <v>798</v>
      </c>
      <c r="C189">
        <v>100</v>
      </c>
      <c r="D189">
        <v>0.51173085002101004</v>
      </c>
      <c r="E189">
        <v>7.2888719206836399</v>
      </c>
      <c r="F189">
        <v>0.231826918816084</v>
      </c>
      <c r="G189">
        <v>-163.9234075594656</v>
      </c>
      <c r="H189">
        <v>-89.461224043385045</v>
      </c>
      <c r="I189">
        <v>69.520006214051705</v>
      </c>
      <c r="J189">
        <v>26.012870198844698</v>
      </c>
      <c r="K189">
        <v>31.441007618559201</v>
      </c>
      <c r="L189">
        <v>1.7302680846730345E-3</v>
      </c>
      <c r="M189">
        <v>1.0291870748029344E-3</v>
      </c>
      <c r="N189" s="1">
        <v>-5.6151856761427901E-5</v>
      </c>
      <c r="O189" s="1">
        <v>7.3704785993044397E-5</v>
      </c>
      <c r="P189" s="1">
        <v>-5.0169529069866402E-5</v>
      </c>
      <c r="AE189">
        <v>100</v>
      </c>
      <c r="AJ189">
        <v>1</v>
      </c>
    </row>
    <row r="190" spans="1:36" x14ac:dyDescent="0.2">
      <c r="A190">
        <v>189</v>
      </c>
      <c r="B190">
        <v>797</v>
      </c>
      <c r="C190">
        <v>100</v>
      </c>
      <c r="D190">
        <v>0.511209176283699</v>
      </c>
      <c r="E190">
        <v>7.3069236493418499</v>
      </c>
      <c r="F190">
        <v>0.23222894474278999</v>
      </c>
      <c r="G190">
        <v>-164.25970271027995</v>
      </c>
      <c r="H190">
        <v>-89.708877075693408</v>
      </c>
      <c r="I190">
        <v>69.667810218189203</v>
      </c>
      <c r="J190">
        <v>26.106806148437801</v>
      </c>
      <c r="K190">
        <v>31.464310607081099</v>
      </c>
      <c r="L190">
        <v>1.7350605592530302E-3</v>
      </c>
      <c r="M190">
        <v>1.0293718599882404E-3</v>
      </c>
      <c r="N190" s="1">
        <v>-5.6471238607672502E-5</v>
      </c>
      <c r="O190" s="1">
        <v>7.3822325620402304E-5</v>
      </c>
      <c r="P190" s="1">
        <v>-5.0391782102716499E-5</v>
      </c>
      <c r="AE190">
        <v>100</v>
      </c>
      <c r="AJ190">
        <v>1</v>
      </c>
    </row>
    <row r="191" spans="1:36" x14ac:dyDescent="0.2">
      <c r="A191">
        <v>190</v>
      </c>
      <c r="B191">
        <v>796</v>
      </c>
      <c r="C191">
        <v>100</v>
      </c>
      <c r="D191">
        <v>0.51068652668007097</v>
      </c>
      <c r="E191">
        <v>7.3249203560221403</v>
      </c>
      <c r="F191">
        <v>0.23263278569757001</v>
      </c>
      <c r="G191">
        <v>-164.59444165847935</v>
      </c>
      <c r="H191">
        <v>-89.956012997892444</v>
      </c>
      <c r="I191">
        <v>69.814918795132797</v>
      </c>
      <c r="J191">
        <v>26.200889817011301</v>
      </c>
      <c r="K191">
        <v>31.4870508645533</v>
      </c>
      <c r="L191">
        <v>1.739878553778659E-3</v>
      </c>
      <c r="M191">
        <v>1.0295560048744362E-3</v>
      </c>
      <c r="N191" s="1">
        <v>-5.6791103038457302E-5</v>
      </c>
      <c r="O191" s="1">
        <v>7.3938970275234394E-5</v>
      </c>
      <c r="P191" s="1">
        <v>-5.0614972520532401E-5</v>
      </c>
      <c r="AE191">
        <v>100</v>
      </c>
      <c r="AJ191">
        <v>1</v>
      </c>
    </row>
    <row r="192" spans="1:36" x14ac:dyDescent="0.2">
      <c r="A192">
        <v>191</v>
      </c>
      <c r="B192">
        <v>795</v>
      </c>
      <c r="C192">
        <v>100</v>
      </c>
      <c r="D192">
        <v>0.51016289846931695</v>
      </c>
      <c r="E192">
        <v>7.3428566071703498</v>
      </c>
      <c r="F192">
        <v>0.23303845468807499</v>
      </c>
      <c r="G192">
        <v>-164.92750416595399</v>
      </c>
      <c r="H192">
        <v>-90.202564890676598</v>
      </c>
      <c r="I192">
        <v>69.961280071835404</v>
      </c>
      <c r="J192">
        <v>26.2951040173057</v>
      </c>
      <c r="K192">
        <v>31.509205710271502</v>
      </c>
      <c r="L192">
        <v>1.7447222379437298E-3</v>
      </c>
      <c r="M192">
        <v>1.0297394863654624E-3</v>
      </c>
      <c r="N192" s="1">
        <v>-5.7111383527371099E-5</v>
      </c>
      <c r="O192" s="1">
        <v>7.4054666059320605E-5</v>
      </c>
      <c r="P192" s="1">
        <v>-5.0839076374952002E-5</v>
      </c>
      <c r="AE192">
        <v>100</v>
      </c>
      <c r="AJ192">
        <v>1</v>
      </c>
    </row>
    <row r="193" spans="1:36" x14ac:dyDescent="0.2">
      <c r="A193">
        <v>192</v>
      </c>
      <c r="B193">
        <v>794</v>
      </c>
      <c r="C193">
        <v>100</v>
      </c>
      <c r="D193">
        <v>0.50963828890034402</v>
      </c>
      <c r="E193">
        <v>7.3607272333028897</v>
      </c>
      <c r="F193">
        <v>0.23344596484196101</v>
      </c>
      <c r="G193">
        <v>-165.25877613007265</v>
      </c>
      <c r="H193">
        <v>-90.448469003853702</v>
      </c>
      <c r="I193">
        <v>70.106844760663606</v>
      </c>
      <c r="J193">
        <v>26.3894324351383</v>
      </c>
      <c r="K193">
        <v>31.530753758309501</v>
      </c>
      <c r="L193">
        <v>1.7495917823615171E-3</v>
      </c>
      <c r="M193">
        <v>1.029922280888413E-3</v>
      </c>
      <c r="N193" s="1">
        <v>-5.7432014263609501E-5</v>
      </c>
      <c r="O193" s="1">
        <v>7.41693619139E-5</v>
      </c>
      <c r="P193" s="1">
        <v>-5.1064071444832802E-5</v>
      </c>
      <c r="AE193">
        <v>100</v>
      </c>
      <c r="AJ193">
        <v>1</v>
      </c>
    </row>
    <row r="194" spans="1:36" x14ac:dyDescent="0.2">
      <c r="A194">
        <v>193</v>
      </c>
      <c r="B194">
        <v>793</v>
      </c>
      <c r="C194">
        <v>100</v>
      </c>
      <c r="D194">
        <v>0.50911269521174396</v>
      </c>
      <c r="E194">
        <v>7.3785273276084098</v>
      </c>
      <c r="F194">
        <v>0.233855329408134</v>
      </c>
      <c r="G194">
        <v>-165.5881495395486</v>
      </c>
      <c r="H194">
        <v>-90.69366474368465</v>
      </c>
      <c r="I194">
        <v>70.251566142000897</v>
      </c>
      <c r="J194">
        <v>26.483859628362801</v>
      </c>
      <c r="K194">
        <v>31.551674902097599</v>
      </c>
      <c r="L194">
        <v>1.754487358556632E-3</v>
      </c>
      <c r="M194">
        <v>1.0301043643838345E-3</v>
      </c>
      <c r="N194" s="1">
        <v>-5.7752930152762198E-5</v>
      </c>
      <c r="O194" s="1">
        <v>7.4283009593500995E-5</v>
      </c>
      <c r="P194" s="1">
        <v>-5.1289937241279198E-5</v>
      </c>
      <c r="AE194">
        <v>100</v>
      </c>
      <c r="AJ194">
        <v>1</v>
      </c>
    </row>
    <row r="195" spans="1:36" x14ac:dyDescent="0.2">
      <c r="A195">
        <v>194</v>
      </c>
      <c r="B195">
        <v>792</v>
      </c>
      <c r="C195">
        <v>100</v>
      </c>
      <c r="D195">
        <v>0.50858611463174297</v>
      </c>
      <c r="E195">
        <v>7.39625224295572</v>
      </c>
      <c r="F195">
        <v>0.23426656175799099</v>
      </c>
      <c r="G195">
        <v>-165.91552239464414</v>
      </c>
      <c r="H195">
        <v>-90.938094640605811</v>
      </c>
      <c r="I195">
        <v>70.395400031689107</v>
      </c>
      <c r="J195">
        <v>26.578371020171801</v>
      </c>
      <c r="K195">
        <v>31.5719502922333</v>
      </c>
      <c r="L195">
        <v>1.7594091389562809E-3</v>
      </c>
      <c r="M195">
        <v>1.0302857122958351E-3</v>
      </c>
      <c r="N195" s="1">
        <v>-5.8074066804658098E-5</v>
      </c>
      <c r="O195" s="1">
        <v>7.4395563623799903E-5</v>
      </c>
      <c r="P195" s="1">
        <v>-5.1516655001802897E-5</v>
      </c>
      <c r="AE195">
        <v>100</v>
      </c>
      <c r="AJ195">
        <v>1</v>
      </c>
    </row>
    <row r="196" spans="1:36" x14ac:dyDescent="0.2">
      <c r="A196">
        <v>195</v>
      </c>
      <c r="B196">
        <v>791</v>
      </c>
      <c r="C196">
        <v>100</v>
      </c>
      <c r="D196">
        <v>0.50805854437814801</v>
      </c>
      <c r="E196">
        <v>7.4621585215131301</v>
      </c>
      <c r="F196">
        <v>0.23467967538668999</v>
      </c>
      <c r="G196">
        <v>-167.3229468341716</v>
      </c>
      <c r="H196">
        <v>-91.775253665904515</v>
      </c>
      <c r="I196">
        <v>70.997475425082996</v>
      </c>
      <c r="J196">
        <v>26.846581077387398</v>
      </c>
      <c r="K196">
        <v>31.797208297725199</v>
      </c>
      <c r="L196">
        <v>1.7643572968809096E-3</v>
      </c>
      <c r="M196">
        <v>1.0304662995619628E-3</v>
      </c>
      <c r="N196" s="1">
        <v>-5.8775486429337001E-5</v>
      </c>
      <c r="O196" s="1">
        <v>7.4991986124941999E-5</v>
      </c>
      <c r="P196" s="1">
        <v>-5.2081037764876599E-5</v>
      </c>
      <c r="AE196">
        <v>100</v>
      </c>
      <c r="AJ196">
        <v>1</v>
      </c>
    </row>
    <row r="197" spans="1:36" x14ac:dyDescent="0.2">
      <c r="A197">
        <v>196</v>
      </c>
      <c r="B197">
        <v>790</v>
      </c>
      <c r="C197">
        <v>100</v>
      </c>
      <c r="D197">
        <v>0.507529981658283</v>
      </c>
      <c r="E197">
        <v>7.5647031424330002</v>
      </c>
      <c r="F197">
        <v>0.23509468391441601</v>
      </c>
      <c r="G197">
        <v>-169.55033034125091</v>
      </c>
      <c r="H197">
        <v>-93.063656254581943</v>
      </c>
      <c r="I197">
        <v>71.947517353461905</v>
      </c>
      <c r="J197">
        <v>27.247527565156901</v>
      </c>
      <c r="K197">
        <v>32.177261588725798</v>
      </c>
      <c r="L197">
        <v>1.7693320065342221E-3</v>
      </c>
      <c r="M197">
        <v>1.0306461006029024E-3</v>
      </c>
      <c r="N197" s="1">
        <v>-5.9769522586780601E-5</v>
      </c>
      <c r="O197" s="1">
        <v>7.5955087651516498E-5</v>
      </c>
      <c r="P197" s="1">
        <v>-5.2904433283738099E-5</v>
      </c>
      <c r="AE197">
        <v>100</v>
      </c>
      <c r="AJ197">
        <v>1</v>
      </c>
    </row>
    <row r="198" spans="1:36" x14ac:dyDescent="0.2">
      <c r="A198">
        <v>197</v>
      </c>
      <c r="B198">
        <v>789</v>
      </c>
      <c r="C198">
        <v>100</v>
      </c>
      <c r="D198">
        <v>0.50700042366897302</v>
      </c>
      <c r="E198">
        <v>7.6798893127255896</v>
      </c>
      <c r="F198">
        <v>0.23551160108767</v>
      </c>
      <c r="G198">
        <v>-172.05900812816671</v>
      </c>
      <c r="H198">
        <v>-94.508396068070084</v>
      </c>
      <c r="I198">
        <v>73.017000390114902</v>
      </c>
      <c r="J198">
        <v>27.695149079251401</v>
      </c>
      <c r="K198">
        <v>32.609388570487802</v>
      </c>
      <c r="L198">
        <v>1.7743334429925807E-3</v>
      </c>
      <c r="M198">
        <v>1.0308250893119597E-3</v>
      </c>
      <c r="N198" s="1">
        <v>-6.0868660857477202E-5</v>
      </c>
      <c r="O198" s="1">
        <v>7.7043155796648193E-5</v>
      </c>
      <c r="P198" s="1">
        <v>-5.3820286769127199E-5</v>
      </c>
      <c r="AE198">
        <v>100</v>
      </c>
      <c r="AJ198">
        <v>1</v>
      </c>
    </row>
    <row r="199" spans="1:36" x14ac:dyDescent="0.2">
      <c r="A199">
        <v>198</v>
      </c>
      <c r="B199">
        <v>788</v>
      </c>
      <c r="C199">
        <v>100</v>
      </c>
      <c r="D199">
        <v>0.50646986759647905</v>
      </c>
      <c r="E199">
        <v>7.8209735563475196</v>
      </c>
      <c r="F199">
        <v>0.23593044078056399</v>
      </c>
      <c r="G199">
        <v>-175.14549180813816</v>
      </c>
      <c r="H199">
        <v>-96.272793542847225</v>
      </c>
      <c r="I199">
        <v>74.331785239242905</v>
      </c>
      <c r="J199">
        <v>28.237481196820099</v>
      </c>
      <c r="K199">
        <v>33.149489020883401</v>
      </c>
      <c r="L199">
        <v>1.7793617821936858E-3</v>
      </c>
      <c r="M199">
        <v>1.0310032390443112E-3</v>
      </c>
      <c r="N199" s="1">
        <v>-6.2179195327563804E-5</v>
      </c>
      <c r="O199" s="1">
        <v>7.8388719412335404E-5</v>
      </c>
      <c r="P199" s="1">
        <v>-5.4922290048580098E-5</v>
      </c>
      <c r="AE199">
        <v>100</v>
      </c>
      <c r="AJ199">
        <v>1</v>
      </c>
    </row>
    <row r="200" spans="1:36" x14ac:dyDescent="0.2">
      <c r="A200">
        <v>199</v>
      </c>
      <c r="B200">
        <v>787</v>
      </c>
      <c r="C200">
        <v>100</v>
      </c>
      <c r="D200">
        <v>0.50593831061642502</v>
      </c>
      <c r="E200">
        <v>8.0627990801939493</v>
      </c>
      <c r="F200">
        <v>0.23635121699612699</v>
      </c>
      <c r="G200">
        <v>-180.48439688285805</v>
      </c>
      <c r="H200">
        <v>-99.278688874790717</v>
      </c>
      <c r="I200">
        <v>76.602671354821098</v>
      </c>
      <c r="J200">
        <v>29.1454144387444</v>
      </c>
      <c r="K200">
        <v>34.113634711371297</v>
      </c>
      <c r="L200">
        <v>1.7844172009245508E-3</v>
      </c>
      <c r="M200">
        <v>1.0311805226060275E-3</v>
      </c>
      <c r="N200" s="1">
        <v>-6.4299865165427E-5</v>
      </c>
      <c r="O200" s="1">
        <v>8.07405605724372E-5</v>
      </c>
      <c r="P200" s="1">
        <v>-5.6738308599525801E-5</v>
      </c>
      <c r="AE200">
        <v>100</v>
      </c>
      <c r="AJ200">
        <v>1</v>
      </c>
    </row>
    <row r="201" spans="1:36" x14ac:dyDescent="0.2">
      <c r="A201">
        <v>200</v>
      </c>
      <c r="B201">
        <v>786</v>
      </c>
      <c r="C201">
        <v>100</v>
      </c>
      <c r="D201">
        <v>0.50540574989378495</v>
      </c>
      <c r="E201">
        <v>8.4944843016307008</v>
      </c>
      <c r="F201">
        <v>0.23677394386762701</v>
      </c>
      <c r="G201">
        <v>-190.06690820730856</v>
      </c>
      <c r="H201">
        <v>-104.62483062748412</v>
      </c>
      <c r="I201">
        <v>80.675011703123104</v>
      </c>
      <c r="J201">
        <v>30.7428099565191</v>
      </c>
      <c r="K201">
        <v>35.875925208981997</v>
      </c>
      <c r="L201">
        <v>1.7894998768088176E-3</v>
      </c>
      <c r="M201">
        <v>1.0313569122429196E-3</v>
      </c>
      <c r="N201" s="1">
        <v>-6.7950942021845605E-5</v>
      </c>
      <c r="O201" s="1">
        <v>8.4987612385371394E-5</v>
      </c>
      <c r="P201" s="1">
        <v>-5.9901307149690997E-5</v>
      </c>
      <c r="AE201">
        <v>100</v>
      </c>
      <c r="AJ201">
        <v>1</v>
      </c>
    </row>
    <row r="202" spans="1:36" x14ac:dyDescent="0.2">
      <c r="A202">
        <v>201</v>
      </c>
      <c r="B202">
        <v>785</v>
      </c>
      <c r="C202">
        <v>100</v>
      </c>
      <c r="D202">
        <v>0.50487218258281097</v>
      </c>
      <c r="E202">
        <v>8.8303683153635699</v>
      </c>
      <c r="F202">
        <v>0.23719863565989899</v>
      </c>
      <c r="G202">
        <v>-197.49857467986175</v>
      </c>
      <c r="H202">
        <v>-108.79382325110733</v>
      </c>
      <c r="I202">
        <v>83.834810478430398</v>
      </c>
      <c r="J202">
        <v>31.997084215589599</v>
      </c>
      <c r="K202">
        <v>37.227736537341301</v>
      </c>
      <c r="L202">
        <v>1.7946099882932564E-3</v>
      </c>
      <c r="M202">
        <v>1.0315323796290831E-3</v>
      </c>
      <c r="N202" s="1">
        <v>-7.08542092514954E-5</v>
      </c>
      <c r="O202" s="1">
        <v>8.82692891751321E-5</v>
      </c>
      <c r="P202" s="1">
        <v>-6.2401192968020497E-5</v>
      </c>
      <c r="AE202">
        <v>100</v>
      </c>
      <c r="AJ202">
        <v>1</v>
      </c>
    </row>
    <row r="203" spans="1:36" x14ac:dyDescent="0.2">
      <c r="A203">
        <v>202</v>
      </c>
      <c r="B203">
        <v>784</v>
      </c>
      <c r="C203">
        <v>100</v>
      </c>
      <c r="D203">
        <v>0.50433760582698905</v>
      </c>
      <c r="E203">
        <v>9.4463579069833905</v>
      </c>
      <c r="F203">
        <v>0.23762530677069199</v>
      </c>
      <c r="G203">
        <v>-211.186030440124</v>
      </c>
      <c r="H203">
        <v>-116.41732205508301</v>
      </c>
      <c r="I203">
        <v>89.650583333593303</v>
      </c>
      <c r="J203">
        <v>34.270776087885899</v>
      </c>
      <c r="K203">
        <v>39.753164489753097</v>
      </c>
      <c r="L203">
        <v>1.799747714633534E-3</v>
      </c>
      <c r="M203">
        <v>1.0317068958552802E-3</v>
      </c>
      <c r="N203" s="1">
        <v>-7.6028001942015299E-5</v>
      </c>
      <c r="O203" s="1">
        <v>9.4342399073809398E-5</v>
      </c>
      <c r="P203" s="1">
        <v>-6.6895880483036106E-5</v>
      </c>
      <c r="AE203">
        <v>100</v>
      </c>
      <c r="AJ203">
        <v>1</v>
      </c>
    </row>
    <row r="204" spans="1:36" x14ac:dyDescent="0.2">
      <c r="A204">
        <v>203</v>
      </c>
      <c r="B204">
        <v>783</v>
      </c>
      <c r="C204">
        <v>100</v>
      </c>
      <c r="D204">
        <v>0.50380201675898495</v>
      </c>
      <c r="E204">
        <v>9.9166149227943396</v>
      </c>
      <c r="F204">
        <v>0.23805397173201701</v>
      </c>
      <c r="G204">
        <v>-221.60516170397719</v>
      </c>
      <c r="H204">
        <v>-122.24878860561822</v>
      </c>
      <c r="I204">
        <v>94.079484916316503</v>
      </c>
      <c r="J204">
        <v>36.020843465964901</v>
      </c>
      <c r="K204">
        <v>41.657002614338701</v>
      </c>
      <c r="L204">
        <v>1.8049132358791717E-3</v>
      </c>
      <c r="M204">
        <v>1.0318804314170397E-3</v>
      </c>
      <c r="N204" s="1">
        <v>-8.0055057986860395E-5</v>
      </c>
      <c r="O204" s="1">
        <v>9.8950315096401804E-5</v>
      </c>
      <c r="P204" s="1">
        <v>-7.0376148571969199E-5</v>
      </c>
      <c r="AE204">
        <v>100</v>
      </c>
      <c r="AJ204">
        <v>1</v>
      </c>
    </row>
    <row r="205" spans="1:36" x14ac:dyDescent="0.2">
      <c r="A205">
        <v>204</v>
      </c>
      <c r="B205">
        <v>782</v>
      </c>
      <c r="C205">
        <v>100</v>
      </c>
      <c r="D205">
        <v>0.50326541250059598</v>
      </c>
      <c r="E205">
        <v>10.178911324823</v>
      </c>
      <c r="F205">
        <v>0.238484645211514</v>
      </c>
      <c r="G205">
        <v>-227.37011113505287</v>
      </c>
      <c r="H205">
        <v>-125.51928926079121</v>
      </c>
      <c r="I205">
        <v>96.532859662018097</v>
      </c>
      <c r="J205">
        <v>37.019077184952998</v>
      </c>
      <c r="K205">
        <v>42.681621350486999</v>
      </c>
      <c r="L205">
        <v>1.8101067328576417E-3</v>
      </c>
      <c r="M205">
        <v>1.0320529562025049E-3</v>
      </c>
      <c r="N205" s="1">
        <v>-8.24207259513456E-5</v>
      </c>
      <c r="O205">
        <v>1.01476568996544E-4</v>
      </c>
      <c r="P205" s="1">
        <v>-7.2393014979635001E-5</v>
      </c>
      <c r="AE205">
        <v>100</v>
      </c>
      <c r="AJ205">
        <v>1</v>
      </c>
    </row>
    <row r="206" spans="1:36" x14ac:dyDescent="0.2">
      <c r="A206">
        <v>205</v>
      </c>
      <c r="B206">
        <v>781</v>
      </c>
      <c r="C206">
        <v>100</v>
      </c>
      <c r="D206">
        <v>0.50272779016268998</v>
      </c>
      <c r="E206">
        <v>10.4066913875519</v>
      </c>
      <c r="F206">
        <v>0.238917342013833</v>
      </c>
      <c r="G206">
        <v>-232.35944364469898</v>
      </c>
      <c r="H206">
        <v>-128.36598619415997</v>
      </c>
      <c r="I206">
        <v>98.657129249532801</v>
      </c>
      <c r="J206">
        <v>37.894285212178097</v>
      </c>
      <c r="K206">
        <v>43.557706191747798</v>
      </c>
      <c r="L206">
        <v>1.8153283871576705E-3</v>
      </c>
      <c r="M206">
        <v>1.0322244394800708E-3</v>
      </c>
      <c r="N206" s="1">
        <v>-8.4518350533062896E-5</v>
      </c>
      <c r="O206">
        <v>1.0365430063347E-4</v>
      </c>
      <c r="P206" s="1">
        <v>-7.4173294285960302E-5</v>
      </c>
      <c r="AE206">
        <v>100</v>
      </c>
      <c r="AJ206">
        <v>1</v>
      </c>
    </row>
    <row r="207" spans="1:36" x14ac:dyDescent="0.2">
      <c r="A207">
        <v>206</v>
      </c>
      <c r="B207">
        <v>780</v>
      </c>
      <c r="C207">
        <v>100</v>
      </c>
      <c r="D207">
        <v>0.50218914684517901</v>
      </c>
      <c r="E207">
        <v>10.517706874764601</v>
      </c>
      <c r="F207">
        <v>0.239352077082018</v>
      </c>
      <c r="G207">
        <v>-234.73849365569455</v>
      </c>
      <c r="H207">
        <v>-129.77367865720478</v>
      </c>
      <c r="I207">
        <v>99.673203129871894</v>
      </c>
      <c r="J207">
        <v>38.3461587348745</v>
      </c>
      <c r="K207">
        <v>43.942409036043202</v>
      </c>
      <c r="L207">
        <v>1.8205783811116154E-3</v>
      </c>
      <c r="M207">
        <v>1.0323948498857497E-3</v>
      </c>
      <c r="N207" s="1">
        <v>-8.5675354145795706E-5</v>
      </c>
      <c r="O207">
        <v>1.04665947332319E-4</v>
      </c>
      <c r="P207" s="1">
        <v>-7.5128002330011499E-5</v>
      </c>
      <c r="AE207">
        <v>100</v>
      </c>
      <c r="AJ207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6933-5B21-41AD-A81E-62B68F2C0087}">
  <sheetPr codeName="Sheet15"/>
  <dimension ref="A1:AU20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300</v>
      </c>
      <c r="D2">
        <v>0.27595058971994302</v>
      </c>
      <c r="E2">
        <v>216.64705833756648</v>
      </c>
      <c r="F2">
        <v>67.404851786275074</v>
      </c>
      <c r="G2">
        <v>72.667438074062702</v>
      </c>
      <c r="H2">
        <v>68.068838459480673</v>
      </c>
      <c r="J2">
        <v>71.015890380190584</v>
      </c>
      <c r="L2">
        <v>8.8046081148368707</v>
      </c>
      <c r="M2">
        <v>13.945907902029866</v>
      </c>
      <c r="N2">
        <v>2.6703724647730955</v>
      </c>
      <c r="O2">
        <v>34.956102791824591</v>
      </c>
      <c r="P2">
        <v>13.829460878682518</v>
      </c>
      <c r="Q2">
        <v>1.2558148667973537</v>
      </c>
      <c r="R2">
        <v>18.520955304701069</v>
      </c>
      <c r="S2">
        <v>52.008894559883139</v>
      </c>
      <c r="U2">
        <v>1.9442504901798365</v>
      </c>
      <c r="V2">
        <v>49.723641978413781</v>
      </c>
      <c r="W2">
        <v>21.390930528884176</v>
      </c>
      <c r="X2">
        <v>49.806028617478773</v>
      </c>
      <c r="Y2">
        <v>10.730031480443724</v>
      </c>
      <c r="Z2">
        <v>33.972215457448712</v>
      </c>
      <c r="AA2">
        <v>7.8680925041165102</v>
      </c>
      <c r="AB2">
        <v>37.839111583003152</v>
      </c>
      <c r="AC2">
        <v>1.8580743886666357E-3</v>
      </c>
      <c r="AD2">
        <v>9.6950794339277859</v>
      </c>
      <c r="AE2">
        <v>13.485956537564991</v>
      </c>
      <c r="AF2">
        <v>13.635936412165782</v>
      </c>
      <c r="AG2">
        <v>23.289861283017871</v>
      </c>
      <c r="AH2">
        <v>10.627803295578794</v>
      </c>
      <c r="AI2">
        <v>2.6216065347105864</v>
      </c>
      <c r="AK2">
        <v>58.857982387195477</v>
      </c>
    </row>
    <row r="3" spans="1:47" x14ac:dyDescent="0.2">
      <c r="A3">
        <v>2</v>
      </c>
      <c r="B3">
        <v>756</v>
      </c>
      <c r="C3">
        <v>300</v>
      </c>
      <c r="D3">
        <v>0.27517903123937498</v>
      </c>
      <c r="E3">
        <v>216.52634545531743</v>
      </c>
      <c r="F3">
        <v>67.025587973767344</v>
      </c>
      <c r="G3">
        <v>72.604959780175946</v>
      </c>
      <c r="H3">
        <v>68.003975998454507</v>
      </c>
      <c r="J3">
        <v>70.927574715948765</v>
      </c>
      <c r="L3">
        <v>8.718028681478069</v>
      </c>
      <c r="M3">
        <v>13.875087270537447</v>
      </c>
      <c r="N3">
        <v>2.6702255567094162</v>
      </c>
      <c r="O3">
        <v>34.563756651606937</v>
      </c>
      <c r="P3">
        <v>13.725856239857128</v>
      </c>
      <c r="Q3">
        <v>1.190689974759148</v>
      </c>
      <c r="R3">
        <v>18.301008516366839</v>
      </c>
      <c r="S3">
        <v>51.542910237553947</v>
      </c>
      <c r="U3">
        <v>1.8624590703185671</v>
      </c>
      <c r="V3">
        <v>49.608865584777313</v>
      </c>
      <c r="W3">
        <v>21.182161896496897</v>
      </c>
      <c r="X3">
        <v>49.592422077648571</v>
      </c>
      <c r="Y3">
        <v>10.638308671111103</v>
      </c>
      <c r="Z3">
        <v>33.761506234083519</v>
      </c>
      <c r="AA3">
        <v>7.7788714538807033</v>
      </c>
      <c r="AB3">
        <v>37.679122607858233</v>
      </c>
      <c r="AD3">
        <v>9.5754331595438735</v>
      </c>
      <c r="AE3">
        <v>13.391518048933365</v>
      </c>
      <c r="AF3">
        <v>13.561880606177404</v>
      </c>
      <c r="AG3">
        <v>23.112727388104972</v>
      </c>
      <c r="AH3">
        <v>10.492191573384583</v>
      </c>
      <c r="AI3">
        <v>2.6211713942009576</v>
      </c>
      <c r="AK3">
        <v>58.842775234187158</v>
      </c>
    </row>
    <row r="4" spans="1:47" x14ac:dyDescent="0.2">
      <c r="A4">
        <v>3</v>
      </c>
      <c r="B4">
        <v>755</v>
      </c>
      <c r="C4">
        <v>300</v>
      </c>
      <c r="D4">
        <v>0.27440597189125798</v>
      </c>
      <c r="E4">
        <v>216.4009590584927</v>
      </c>
      <c r="F4">
        <v>66.630043816938681</v>
      </c>
      <c r="G4">
        <v>72.540102247823981</v>
      </c>
      <c r="H4">
        <v>67.936747327617383</v>
      </c>
      <c r="J4">
        <v>70.830857436228328</v>
      </c>
      <c r="L4">
        <v>8.6289324036942538</v>
      </c>
      <c r="M4">
        <v>13.797581315809216</v>
      </c>
      <c r="N4">
        <v>2.6721966236792074</v>
      </c>
      <c r="O4">
        <v>34.165255692049676</v>
      </c>
      <c r="P4">
        <v>13.619618850479357</v>
      </c>
      <c r="Q4">
        <v>1.1204154082803943</v>
      </c>
      <c r="R4">
        <v>18.070525085480934</v>
      </c>
      <c r="S4">
        <v>51.043899209488238</v>
      </c>
      <c r="U4">
        <v>1.7749404490004612</v>
      </c>
      <c r="V4">
        <v>49.483537012523598</v>
      </c>
      <c r="W4">
        <v>20.960701225263712</v>
      </c>
      <c r="X4">
        <v>49.359435937327618</v>
      </c>
      <c r="Y4">
        <v>10.543185170627691</v>
      </c>
      <c r="Z4">
        <v>33.540726413065585</v>
      </c>
      <c r="AA4">
        <v>7.6871950570635015</v>
      </c>
      <c r="AB4">
        <v>37.50684885173532</v>
      </c>
      <c r="AD4">
        <v>9.4493356593973488</v>
      </c>
      <c r="AE4">
        <v>13.293041170928168</v>
      </c>
      <c r="AF4">
        <v>13.483257742678186</v>
      </c>
      <c r="AG4">
        <v>22.925429208594228</v>
      </c>
      <c r="AH4">
        <v>10.348878336235721</v>
      </c>
      <c r="AI4">
        <v>2.6228533978213822</v>
      </c>
      <c r="AK4">
        <v>58.824680253512362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216.27573912382607</v>
      </c>
      <c r="F5">
        <v>66.235219563709009</v>
      </c>
      <c r="G5">
        <v>72.475331738980969</v>
      </c>
      <c r="H5">
        <v>67.869618729781379</v>
      </c>
      <c r="J5">
        <v>70.734768269330587</v>
      </c>
      <c r="L5">
        <v>8.5400600009451448</v>
      </c>
      <c r="M5">
        <v>13.720226959067917</v>
      </c>
      <c r="N5">
        <v>2.6741675586039881</v>
      </c>
      <c r="O5">
        <v>33.767386451052168</v>
      </c>
      <c r="P5">
        <v>13.513563150130214</v>
      </c>
      <c r="Q5">
        <v>1.0502696957511317</v>
      </c>
      <c r="R5">
        <v>17.840420054895311</v>
      </c>
      <c r="S5">
        <v>50.545851252978125</v>
      </c>
      <c r="U5">
        <v>1.6875047299227477</v>
      </c>
      <c r="V5">
        <v>49.358410606938321</v>
      </c>
      <c r="W5">
        <v>20.739526891908906</v>
      </c>
      <c r="X5">
        <v>49.126909363495344</v>
      </c>
      <c r="Y5">
        <v>10.448225535833512</v>
      </c>
      <c r="Z5">
        <v>33.320229948481263</v>
      </c>
      <c r="AA5">
        <v>7.5956940799016301</v>
      </c>
      <c r="AB5">
        <v>37.334848708892551</v>
      </c>
      <c r="AD5">
        <v>9.323343373640629</v>
      </c>
      <c r="AE5">
        <v>13.194683594912879</v>
      </c>
      <c r="AF5">
        <v>13.404786641424892</v>
      </c>
      <c r="AG5">
        <v>22.738407037598634</v>
      </c>
      <c r="AH5">
        <v>10.205790279324514</v>
      </c>
      <c r="AI5">
        <v>2.6245344366555319</v>
      </c>
      <c r="AK5">
        <v>58.806916995471482</v>
      </c>
    </row>
    <row r="6" spans="1:47" x14ac:dyDescent="0.2">
      <c r="A6">
        <v>5</v>
      </c>
      <c r="B6">
        <v>753</v>
      </c>
      <c r="C6">
        <v>300</v>
      </c>
      <c r="D6">
        <v>0.27285533304097898</v>
      </c>
      <c r="E6">
        <v>216.15068524915111</v>
      </c>
      <c r="F6">
        <v>65.841113350852297</v>
      </c>
      <c r="G6">
        <v>72.410648090563853</v>
      </c>
      <c r="H6">
        <v>67.802590062743192</v>
      </c>
      <c r="J6">
        <v>70.63930681761444</v>
      </c>
      <c r="L6">
        <v>8.4513610322784825</v>
      </c>
      <c r="M6">
        <v>13.643023689256102</v>
      </c>
      <c r="N6">
        <v>2.6761383620518657</v>
      </c>
      <c r="O6">
        <v>33.370147497266132</v>
      </c>
      <c r="P6">
        <v>13.407688835984111</v>
      </c>
      <c r="Q6">
        <v>0.98025208641684092</v>
      </c>
      <c r="R6">
        <v>17.610692250754418</v>
      </c>
      <c r="S6">
        <v>50.048763444453471</v>
      </c>
      <c r="U6">
        <v>1.6001515383579545</v>
      </c>
      <c r="V6">
        <v>49.233485632527568</v>
      </c>
      <c r="W6">
        <v>20.518637816801323</v>
      </c>
      <c r="X6">
        <v>48.894840858830342</v>
      </c>
      <c r="Y6">
        <v>10.35342938088681</v>
      </c>
      <c r="Z6">
        <v>33.100015614620006</v>
      </c>
      <c r="AA6">
        <v>7.5043681178980037</v>
      </c>
      <c r="AB6">
        <v>37.163121075121765</v>
      </c>
      <c r="AD6">
        <v>9.1974560877416138</v>
      </c>
      <c r="AE6">
        <v>13.096444718664056</v>
      </c>
      <c r="AF6">
        <v>13.326466797549411</v>
      </c>
      <c r="AG6">
        <v>22.551659777427417</v>
      </c>
      <c r="AH6">
        <v>10.062927049792835</v>
      </c>
      <c r="AI6">
        <v>2.626214509431569</v>
      </c>
      <c r="AK6">
        <v>58.789485434929979</v>
      </c>
    </row>
    <row r="7" spans="1:47" x14ac:dyDescent="0.2">
      <c r="A7">
        <v>6</v>
      </c>
      <c r="B7">
        <v>752</v>
      </c>
      <c r="C7">
        <v>300</v>
      </c>
      <c r="D7">
        <v>0.27207774472028401</v>
      </c>
      <c r="E7">
        <v>216.02579703839581</v>
      </c>
      <c r="F7">
        <v>65.44772333916616</v>
      </c>
      <c r="G7">
        <v>72.346051142440089</v>
      </c>
      <c r="H7">
        <v>67.735661187289665</v>
      </c>
      <c r="J7">
        <v>70.544472696532409</v>
      </c>
      <c r="L7">
        <v>8.3628354431548448</v>
      </c>
      <c r="M7">
        <v>13.565971000109151</v>
      </c>
      <c r="N7">
        <v>2.6781090345907144</v>
      </c>
      <c r="O7">
        <v>32.97353741804092</v>
      </c>
      <c r="P7">
        <v>13.301995611178716</v>
      </c>
      <c r="Q7">
        <v>0.91036183165635431</v>
      </c>
      <c r="R7">
        <v>17.38134051306335</v>
      </c>
      <c r="S7">
        <v>49.55263289091431</v>
      </c>
      <c r="U7">
        <v>1.512880505231216</v>
      </c>
      <c r="V7">
        <v>49.108761354596759</v>
      </c>
      <c r="W7">
        <v>20.298032929194168</v>
      </c>
      <c r="X7">
        <v>48.663228942403322</v>
      </c>
      <c r="Y7">
        <v>10.258796326179416</v>
      </c>
      <c r="Z7">
        <v>32.880082193186709</v>
      </c>
      <c r="AA7">
        <v>7.4132167727295819</v>
      </c>
      <c r="AB7">
        <v>36.99166485392287</v>
      </c>
      <c r="AD7">
        <v>9.0716735894264762</v>
      </c>
      <c r="AE7">
        <v>12.998323942842088</v>
      </c>
      <c r="AF7">
        <v>13.248297710993228</v>
      </c>
      <c r="AG7">
        <v>22.365186338118601</v>
      </c>
      <c r="AH7">
        <v>9.9202883019511461</v>
      </c>
      <c r="AI7">
        <v>2.627893614878587</v>
      </c>
      <c r="AK7">
        <v>58.772385553778292</v>
      </c>
    </row>
    <row r="8" spans="1:47" x14ac:dyDescent="0.2">
      <c r="A8">
        <v>7</v>
      </c>
      <c r="B8">
        <v>751</v>
      </c>
      <c r="C8">
        <v>300</v>
      </c>
      <c r="D8">
        <v>0.27129863789483999</v>
      </c>
      <c r="E8">
        <v>215.90107410186323</v>
      </c>
      <c r="F8">
        <v>65.055047714329461</v>
      </c>
      <c r="G8">
        <v>72.281540737554479</v>
      </c>
      <c r="H8">
        <v>67.668831967326383</v>
      </c>
      <c r="J8">
        <v>70.450265535165386</v>
      </c>
      <c r="L8">
        <v>8.2744833110898526</v>
      </c>
      <c r="M8">
        <v>13.489068390528722</v>
      </c>
      <c r="N8">
        <v>2.6800795766747858</v>
      </c>
      <c r="O8">
        <v>32.577554819672443</v>
      </c>
      <c r="P8">
        <v>13.196483184959082</v>
      </c>
      <c r="Q8">
        <v>0.84059818519191776</v>
      </c>
      <c r="R8">
        <v>17.15236369627997</v>
      </c>
      <c r="S8">
        <v>49.057456731721196</v>
      </c>
      <c r="U8">
        <v>1.4256912674327691</v>
      </c>
      <c r="V8">
        <v>48.984237039669154</v>
      </c>
      <c r="W8">
        <v>20.07771116783686</v>
      </c>
      <c r="X8">
        <v>48.432072151309796</v>
      </c>
      <c r="Y8">
        <v>10.164325998525173</v>
      </c>
      <c r="Z8">
        <v>32.660428473697991</v>
      </c>
      <c r="AA8">
        <v>7.3222396524424473</v>
      </c>
      <c r="AB8">
        <v>36.820478957077569</v>
      </c>
      <c r="AD8">
        <v>8.9459956689956819</v>
      </c>
      <c r="AE8">
        <v>12.900320671120319</v>
      </c>
      <c r="AF8">
        <v>13.170278886760949</v>
      </c>
      <c r="AG8">
        <v>22.178985637897018</v>
      </c>
      <c r="AH8">
        <v>9.7778736976929927</v>
      </c>
      <c r="AI8">
        <v>2.6295717516113606</v>
      </c>
      <c r="AK8">
        <v>58.755617341146952</v>
      </c>
    </row>
    <row r="9" spans="1:47" x14ac:dyDescent="0.2">
      <c r="A9">
        <v>8</v>
      </c>
      <c r="B9">
        <v>750</v>
      </c>
      <c r="C9">
        <v>300</v>
      </c>
      <c r="D9">
        <v>0.270518008112205</v>
      </c>
      <c r="E9">
        <v>215.77651605534078</v>
      </c>
      <c r="F9">
        <v>64.663084683938777</v>
      </c>
      <c r="G9">
        <v>72.217116721539568</v>
      </c>
      <c r="H9">
        <v>67.602102269488199</v>
      </c>
      <c r="J9">
        <v>70.356684974620705</v>
      </c>
      <c r="L9">
        <v>8.1862487090960467</v>
      </c>
      <c r="M9">
        <v>13.41231536352034</v>
      </c>
      <c r="N9">
        <v>2.682049988896634</v>
      </c>
      <c r="O9">
        <v>32.18219832612278</v>
      </c>
      <c r="P9">
        <v>13.091151272144222</v>
      </c>
      <c r="Q9">
        <v>0.77096040215815809</v>
      </c>
      <c r="R9">
        <v>16.923760667438085</v>
      </c>
      <c r="S9">
        <v>48.563232133306393</v>
      </c>
      <c r="U9">
        <v>1.338583466933521</v>
      </c>
      <c r="V9">
        <v>48.859911953499889</v>
      </c>
      <c r="W9">
        <v>19.857671479147868</v>
      </c>
      <c r="X9">
        <v>48.201369036406966</v>
      </c>
      <c r="Y9">
        <v>10.07001803054245</v>
      </c>
      <c r="Z9">
        <v>32.441053252105796</v>
      </c>
      <c r="AA9">
        <v>7.2314363709594547</v>
      </c>
      <c r="AB9">
        <v>36.649562302912202</v>
      </c>
      <c r="AD9">
        <v>8.820422118443739</v>
      </c>
      <c r="AE9">
        <v>12.802434309677812</v>
      </c>
      <c r="AF9">
        <v>13.092409834111471</v>
      </c>
      <c r="AG9">
        <v>21.993056601688593</v>
      </c>
      <c r="AH9">
        <v>9.6356829052783937</v>
      </c>
      <c r="AI9">
        <v>2.6312489183822665</v>
      </c>
      <c r="AK9">
        <v>58.739180792699713</v>
      </c>
    </row>
    <row r="10" spans="1:47" x14ac:dyDescent="0.2">
      <c r="A10">
        <v>9</v>
      </c>
      <c r="B10">
        <v>749</v>
      </c>
      <c r="C10">
        <v>300</v>
      </c>
      <c r="D10">
        <v>0.26973585090251001</v>
      </c>
      <c r="E10">
        <v>215.65212252084913</v>
      </c>
      <c r="F10">
        <v>64.271832479861231</v>
      </c>
      <c r="G10">
        <v>72.152778943043486</v>
      </c>
      <c r="H10">
        <v>67.535471963465042</v>
      </c>
      <c r="J10">
        <v>70.263730669400687</v>
      </c>
      <c r="L10">
        <v>8.09823453931274</v>
      </c>
      <c r="M10">
        <v>13.335711427087011</v>
      </c>
      <c r="N10">
        <v>2.6840202717435746</v>
      </c>
      <c r="O10">
        <v>31.787466579909054</v>
      </c>
      <c r="P10">
        <v>12.98599959354738</v>
      </c>
      <c r="Q10">
        <v>0.70144773976271246</v>
      </c>
      <c r="R10">
        <v>16.695530307667898</v>
      </c>
      <c r="S10">
        <v>48.069956293588831</v>
      </c>
      <c r="U10">
        <v>1.2515567515410502</v>
      </c>
      <c r="V10">
        <v>48.735785362362655</v>
      </c>
      <c r="W10">
        <v>19.63791281872226</v>
      </c>
      <c r="X10">
        <v>47.971118166114159</v>
      </c>
      <c r="Y10">
        <v>9.9758720611571281</v>
      </c>
      <c r="Z10">
        <v>32.221955331823516</v>
      </c>
      <c r="AA10">
        <v>7.1408065485163172</v>
      </c>
      <c r="AB10">
        <v>36.478913817701475</v>
      </c>
      <c r="AD10">
        <v>8.694952732201342</v>
      </c>
      <c r="AE10">
        <v>12.704664267544876</v>
      </c>
      <c r="AF10">
        <v>13.014690067210129</v>
      </c>
      <c r="AG10">
        <v>21.807398162283331</v>
      </c>
      <c r="AH10">
        <v>9.4937156003703489</v>
      </c>
      <c r="AI10">
        <v>2.6329251138392569</v>
      </c>
      <c r="AK10">
        <v>58.723075911234275</v>
      </c>
    </row>
    <row r="11" spans="1:47" x14ac:dyDescent="0.2">
      <c r="A11">
        <v>10</v>
      </c>
      <c r="B11">
        <v>748</v>
      </c>
      <c r="C11">
        <v>300</v>
      </c>
      <c r="D11">
        <v>0.26895216177838999</v>
      </c>
      <c r="E11">
        <v>215.52789312612268</v>
      </c>
      <c r="F11">
        <v>63.881289356396664</v>
      </c>
      <c r="G11">
        <v>72.088527253484884</v>
      </c>
      <c r="H11">
        <v>67.468940921759298</v>
      </c>
      <c r="J11">
        <v>70.171402286457422</v>
      </c>
      <c r="L11">
        <v>8.0103927846676104</v>
      </c>
      <c r="M11">
        <v>13.259256093530729</v>
      </c>
      <c r="N11">
        <v>2.6859904257856924</v>
      </c>
      <c r="O11">
        <v>31.393358241330645</v>
      </c>
      <c r="P11">
        <v>12.881027875663326</v>
      </c>
      <c r="Q11">
        <v>0.63205945667196284</v>
      </c>
      <c r="R11">
        <v>16.467671511040965</v>
      </c>
      <c r="S11">
        <v>47.577626438534047</v>
      </c>
      <c r="U11">
        <v>1.1646107743235938</v>
      </c>
      <c r="V11">
        <v>48.611856531738233</v>
      </c>
      <c r="W11">
        <v>19.418434150052612</v>
      </c>
      <c r="X11">
        <v>47.741318123653954</v>
      </c>
      <c r="Y11">
        <v>9.8818877352299559</v>
      </c>
      <c r="Z11">
        <v>32.003133522689311</v>
      </c>
      <c r="AA11">
        <v>7.0503498113911993</v>
      </c>
      <c r="AB11">
        <v>36.308532434427256</v>
      </c>
      <c r="AD11">
        <v>8.5695873065076675</v>
      </c>
      <c r="AE11">
        <v>12.607009956185133</v>
      </c>
      <c r="AF11">
        <v>12.937119104616469</v>
      </c>
      <c r="AG11">
        <v>21.622009259280613</v>
      </c>
      <c r="AH11">
        <v>9.3519714652504859</v>
      </c>
      <c r="AI11">
        <v>2.634600336711892</v>
      </c>
      <c r="AK11">
        <v>58.707302706306947</v>
      </c>
    </row>
    <row r="12" spans="1:47" x14ac:dyDescent="0.2">
      <c r="A12">
        <v>11</v>
      </c>
      <c r="B12">
        <v>747</v>
      </c>
      <c r="C12">
        <v>300</v>
      </c>
      <c r="D12">
        <v>0.26816693623486898</v>
      </c>
      <c r="E12">
        <v>215.40382750497145</v>
      </c>
      <c r="F12">
        <v>63.491453591418818</v>
      </c>
      <c r="G12">
        <v>72.024361507217819</v>
      </c>
      <c r="H12">
        <v>67.40250901985118</v>
      </c>
      <c r="J12">
        <v>70.079699505872071</v>
      </c>
      <c r="L12">
        <v>7.9227239012054849</v>
      </c>
      <c r="M12">
        <v>13.182948879904393</v>
      </c>
      <c r="N12">
        <v>2.6879604515313735</v>
      </c>
      <c r="O12">
        <v>30.999871988836844</v>
      </c>
      <c r="P12">
        <v>12.77623585086884</v>
      </c>
      <c r="Q12">
        <v>0.56279481329658576</v>
      </c>
      <c r="R12">
        <v>16.240183185295425</v>
      </c>
      <c r="S12">
        <v>47.086239824404593</v>
      </c>
      <c r="U12">
        <v>1.077745193996227</v>
      </c>
      <c r="V12">
        <v>48.48812472682301</v>
      </c>
      <c r="W12">
        <v>19.199234445318762</v>
      </c>
      <c r="X12">
        <v>47.511967509410354</v>
      </c>
      <c r="Y12">
        <v>9.7880647038020516</v>
      </c>
      <c r="Z12">
        <v>31.784586641494656</v>
      </c>
      <c r="AA12">
        <v>6.9600657921047819</v>
      </c>
      <c r="AB12">
        <v>36.13841709350919</v>
      </c>
      <c r="AD12">
        <v>8.4443256398068467</v>
      </c>
      <c r="AE12">
        <v>12.50947078967398</v>
      </c>
      <c r="AF12">
        <v>12.859696469591123</v>
      </c>
      <c r="AG12">
        <v>21.436888839672882</v>
      </c>
      <c r="AH12">
        <v>9.2104501893558126</v>
      </c>
      <c r="AI12">
        <v>2.636274585668962</v>
      </c>
      <c r="AK12">
        <v>58.691861194521344</v>
      </c>
    </row>
    <row r="13" spans="1:47" x14ac:dyDescent="0.2">
      <c r="A13">
        <v>12</v>
      </c>
      <c r="B13">
        <v>746</v>
      </c>
      <c r="C13">
        <v>300</v>
      </c>
      <c r="D13">
        <v>0.26738016974930101</v>
      </c>
      <c r="E13">
        <v>215.27992529688092</v>
      </c>
      <c r="F13">
        <v>63.102323485034638</v>
      </c>
      <c r="G13">
        <v>71.960281561368689</v>
      </c>
      <c r="H13">
        <v>67.336176136033217</v>
      </c>
      <c r="J13">
        <v>69.98862202015475</v>
      </c>
      <c r="L13">
        <v>7.8351709021700824</v>
      </c>
      <c r="M13">
        <v>13.10678930759155</v>
      </c>
      <c r="N13">
        <v>2.6899303495104241</v>
      </c>
      <c r="O13">
        <v>30.607006518415357</v>
      </c>
      <c r="P13">
        <v>12.671623257165182</v>
      </c>
      <c r="Q13">
        <v>0.49365307135680175</v>
      </c>
      <c r="R13">
        <v>16.013064251045869</v>
      </c>
      <c r="S13">
        <v>46.59579373559842</v>
      </c>
      <c r="U13">
        <v>0.99095967457335321</v>
      </c>
      <c r="V13">
        <v>48.364589211549983</v>
      </c>
      <c r="W13">
        <v>18.980312684667652</v>
      </c>
      <c r="X13">
        <v>47.283064936995721</v>
      </c>
      <c r="Y13">
        <v>9.6944026238181422</v>
      </c>
      <c r="Z13">
        <v>31.566313511442971</v>
      </c>
      <c r="AA13">
        <v>6.8699541292117425</v>
      </c>
      <c r="AB13">
        <v>35.968566742140183</v>
      </c>
      <c r="AD13">
        <v>8.3191675324165075</v>
      </c>
      <c r="AE13">
        <v>12.412046184508489</v>
      </c>
      <c r="AF13">
        <v>12.782421689762623</v>
      </c>
      <c r="AG13">
        <v>21.252035857268709</v>
      </c>
      <c r="AH13">
        <v>9.0691514687733417</v>
      </c>
      <c r="AI13">
        <v>2.6379478593997474</v>
      </c>
      <c r="AK13">
        <v>58.676751399182869</v>
      </c>
    </row>
    <row r="14" spans="1:47" x14ac:dyDescent="0.2">
      <c r="A14">
        <v>13</v>
      </c>
      <c r="B14">
        <v>745</v>
      </c>
      <c r="C14">
        <v>300</v>
      </c>
      <c r="D14">
        <v>0.26659185778126798</v>
      </c>
      <c r="E14">
        <v>215.15618614727097</v>
      </c>
      <c r="F14">
        <v>62.713897360194366</v>
      </c>
      <c r="G14">
        <v>71.896287275909188</v>
      </c>
      <c r="H14">
        <v>67.269942151485211</v>
      </c>
      <c r="J14">
        <v>69.898169534704948</v>
      </c>
      <c r="L14">
        <v>7.7478371402004163</v>
      </c>
      <c r="M14">
        <v>13.030776902440977</v>
      </c>
      <c r="N14">
        <v>2.6919001202726736</v>
      </c>
      <c r="O14">
        <v>30.21476054382061</v>
      </c>
      <c r="P14">
        <v>12.567189838331544</v>
      </c>
      <c r="Q14">
        <v>0.42463349397239836</v>
      </c>
      <c r="R14">
        <v>15.786313642126668</v>
      </c>
      <c r="S14">
        <v>46.106285485385669</v>
      </c>
      <c r="U14">
        <v>0.90425388549328334</v>
      </c>
      <c r="V14">
        <v>48.241249248698985</v>
      </c>
      <c r="W14">
        <v>18.761667856297404</v>
      </c>
      <c r="X14">
        <v>47.054609037741308</v>
      </c>
      <c r="Y14">
        <v>9.6009011582739472</v>
      </c>
      <c r="Z14">
        <v>31.348312962012926</v>
      </c>
      <c r="AA14">
        <v>6.7800144674435865</v>
      </c>
      <c r="AB14">
        <v>35.798980334271754</v>
      </c>
      <c r="AD14">
        <v>8.1941127865334185</v>
      </c>
      <c r="AE14">
        <v>12.314735559468867</v>
      </c>
      <c r="AF14">
        <v>12.705294297253367</v>
      </c>
      <c r="AG14">
        <v>21.067449272674843</v>
      </c>
      <c r="AH14">
        <v>8.9280750064405936</v>
      </c>
      <c r="AI14">
        <v>2.6396201566139004</v>
      </c>
      <c r="AK14">
        <v>58.661973350610737</v>
      </c>
    </row>
    <row r="15" spans="1:47" x14ac:dyDescent="0.2">
      <c r="A15">
        <v>14</v>
      </c>
      <c r="B15">
        <v>744</v>
      </c>
      <c r="C15">
        <v>300</v>
      </c>
      <c r="D15">
        <v>0.26580199577250502</v>
      </c>
      <c r="E15">
        <v>215.03260970729966</v>
      </c>
      <c r="F15">
        <v>62.326173562151041</v>
      </c>
      <c r="G15">
        <v>71.832378513616248</v>
      </c>
      <c r="H15">
        <v>67.203806950233144</v>
      </c>
      <c r="J15">
        <v>69.808341767490475</v>
      </c>
      <c r="L15">
        <v>7.6606759813439345</v>
      </c>
      <c r="M15">
        <v>12.954911194726632</v>
      </c>
      <c r="N15">
        <v>2.6938697643246452</v>
      </c>
      <c r="O15">
        <v>29.82313279623019</v>
      </c>
      <c r="P15">
        <v>12.462935343778124</v>
      </c>
      <c r="Q15">
        <v>0.35573534548734825</v>
      </c>
      <c r="R15">
        <v>15.559930305341368</v>
      </c>
      <c r="S15">
        <v>45.617712415591335</v>
      </c>
      <c r="U15">
        <v>0.81762750158844599</v>
      </c>
      <c r="V15">
        <v>48.118104099450655</v>
      </c>
      <c r="W15">
        <v>18.54329895653623</v>
      </c>
      <c r="X15">
        <v>46.826598457437214</v>
      </c>
      <c r="Y15">
        <v>9.5075599761016161</v>
      </c>
      <c r="Z15">
        <v>31.130583829101248</v>
      </c>
      <c r="AA15">
        <v>6.6902464576033598</v>
      </c>
      <c r="AB15">
        <v>35.62965683075025</v>
      </c>
      <c r="AD15">
        <v>8.0691612063167906</v>
      </c>
      <c r="AE15">
        <v>12.21753833573138</v>
      </c>
      <c r="AF15">
        <v>12.628313828581829</v>
      </c>
      <c r="AG15">
        <v>20.88312805336631</v>
      </c>
      <c r="AH15">
        <v>8.7872205120687479</v>
      </c>
      <c r="AI15">
        <v>2.6412914759769519</v>
      </c>
      <c r="AK15">
        <v>58.647527085867864</v>
      </c>
    </row>
    <row r="16" spans="1:47" x14ac:dyDescent="0.2">
      <c r="A16">
        <v>15</v>
      </c>
      <c r="B16">
        <v>743</v>
      </c>
      <c r="C16">
        <v>300</v>
      </c>
      <c r="D16">
        <v>0.265010579146782</v>
      </c>
      <c r="E16">
        <v>214.90919563393518</v>
      </c>
      <c r="F16">
        <v>61.939150458415625</v>
      </c>
      <c r="G16">
        <v>71.768555140044867</v>
      </c>
      <c r="H16">
        <v>67.137770419124834</v>
      </c>
      <c r="J16">
        <v>69.719138449155238</v>
      </c>
      <c r="L16">
        <v>7.5736321942880132</v>
      </c>
      <c r="M16">
        <v>12.879191718963249</v>
      </c>
      <c r="N16">
        <v>2.6958392822373556</v>
      </c>
      <c r="O16">
        <v>29.432122024263325</v>
      </c>
      <c r="P16">
        <v>12.358859528603176</v>
      </c>
      <c r="Q16">
        <v>0.2869578913260375</v>
      </c>
      <c r="R16">
        <v>15.333913200354267</v>
      </c>
      <c r="S16">
        <v>45.13007189599989</v>
      </c>
      <c r="U16">
        <v>0.73108020295115472</v>
      </c>
      <c r="V16">
        <v>47.995153022978606</v>
      </c>
      <c r="W16">
        <v>18.32520498929156</v>
      </c>
      <c r="X16">
        <v>46.599031857364722</v>
      </c>
      <c r="Y16">
        <v>9.4143787521789477</v>
      </c>
      <c r="Z16">
        <v>30.913124954385353</v>
      </c>
      <c r="AA16">
        <v>6.6006497565881803</v>
      </c>
      <c r="AB16">
        <v>35.460595198698186</v>
      </c>
      <c r="AD16">
        <v>7.9443125975804314</v>
      </c>
      <c r="AE16">
        <v>12.120453936518995</v>
      </c>
      <c r="AF16">
        <v>12.551479824588982</v>
      </c>
      <c r="AG16">
        <v>20.699071173183725</v>
      </c>
      <c r="AH16">
        <v>8.646587702000943</v>
      </c>
      <c r="AI16">
        <v>2.6429618162203248</v>
      </c>
      <c r="AK16">
        <v>58.633412648971344</v>
      </c>
    </row>
    <row r="17" spans="1:37" x14ac:dyDescent="0.2">
      <c r="A17">
        <v>16</v>
      </c>
      <c r="B17">
        <v>742</v>
      </c>
      <c r="C17">
        <v>300</v>
      </c>
      <c r="D17">
        <v>0.264217603309855</v>
      </c>
      <c r="E17">
        <v>214.7859435900555</v>
      </c>
      <c r="F17">
        <v>61.552826439116508</v>
      </c>
      <c r="G17">
        <v>71.704817023611383</v>
      </c>
      <c r="H17">
        <v>67.071832447909031</v>
      </c>
      <c r="J17">
        <v>69.63055932326229</v>
      </c>
      <c r="L17">
        <v>7.4868048101361948</v>
      </c>
      <c r="M17">
        <v>12.80361801419248</v>
      </c>
      <c r="N17">
        <v>2.6978086745098784</v>
      </c>
      <c r="O17">
        <v>29.041726993997749</v>
      </c>
      <c r="P17">
        <v>12.254962153619545</v>
      </c>
      <c r="Q17">
        <v>0.21830039808815491</v>
      </c>
      <c r="R17">
        <v>15.108261300003155</v>
      </c>
      <c r="S17">
        <v>44.643361325366619</v>
      </c>
      <c r="U17">
        <v>0.64461167517179863</v>
      </c>
      <c r="V17">
        <v>47.872395276567062</v>
      </c>
      <c r="W17">
        <v>18.107384966651974</v>
      </c>
      <c r="X17">
        <v>46.371907914671617</v>
      </c>
      <c r="Y17">
        <v>9.3213571674111702</v>
      </c>
      <c r="Z17">
        <v>30.695935185798049</v>
      </c>
      <c r="AA17">
        <v>6.5112240274408544</v>
      </c>
      <c r="AB17">
        <v>35.291794412112175</v>
      </c>
      <c r="AD17">
        <v>7.8195667681131056</v>
      </c>
      <c r="AE17">
        <v>12.023481787312903</v>
      </c>
      <c r="AF17">
        <v>12.474791830576605</v>
      </c>
      <c r="AG17">
        <v>20.51527761278405</v>
      </c>
      <c r="AH17">
        <v>8.5061762995074925</v>
      </c>
      <c r="AI17">
        <v>2.6446311760020995</v>
      </c>
      <c r="AK17">
        <v>58.619630090898063</v>
      </c>
    </row>
    <row r="18" spans="1:37" x14ac:dyDescent="0.2">
      <c r="A18">
        <v>17</v>
      </c>
      <c r="B18">
        <v>741</v>
      </c>
      <c r="C18">
        <v>300</v>
      </c>
      <c r="D18">
        <v>0.26342306364936202</v>
      </c>
      <c r="E18">
        <v>214.66285324408256</v>
      </c>
      <c r="F18">
        <v>61.167199915746352</v>
      </c>
      <c r="G18">
        <v>71.641164035427138</v>
      </c>
      <c r="H18">
        <v>67.005992929072804</v>
      </c>
      <c r="J18">
        <v>69.542604145618398</v>
      </c>
      <c r="L18">
        <v>7.4001508516706984</v>
      </c>
      <c r="M18">
        <v>12.728189623525402</v>
      </c>
      <c r="N18">
        <v>2.6997779416776067</v>
      </c>
      <c r="O18">
        <v>28.651946488405361</v>
      </c>
      <c r="P18">
        <v>12.151242985132553</v>
      </c>
      <c r="Q18">
        <v>0.14976213310146796</v>
      </c>
      <c r="R18">
        <v>14.882973589514227</v>
      </c>
      <c r="S18">
        <v>44.157578129375928</v>
      </c>
      <c r="U18">
        <v>0.55822160896831907</v>
      </c>
      <c r="V18">
        <v>47.749830114570635</v>
      </c>
      <c r="W18">
        <v>17.889837908076014</v>
      </c>
      <c r="X18">
        <v>46.145225320876442</v>
      </c>
      <c r="Y18">
        <v>9.2284949084746462</v>
      </c>
      <c r="Z18">
        <v>30.479013376876889</v>
      </c>
      <c r="AA18">
        <v>6.4219689391088108</v>
      </c>
      <c r="AB18">
        <v>35.123253451077112</v>
      </c>
      <c r="AD18">
        <v>7.6949235272857068</v>
      </c>
      <c r="AE18">
        <v>11.926621315596869</v>
      </c>
      <c r="AF18">
        <v>12.398249395970833</v>
      </c>
      <c r="AG18">
        <v>20.331746358970751</v>
      </c>
      <c r="AH18">
        <v>8.3659860342745969</v>
      </c>
      <c r="AI18">
        <v>2.6462995540171432</v>
      </c>
      <c r="AK18">
        <v>58.6061794692978</v>
      </c>
    </row>
    <row r="19" spans="1:37" x14ac:dyDescent="0.2">
      <c r="A19">
        <v>18</v>
      </c>
      <c r="B19">
        <v>740</v>
      </c>
      <c r="C19">
        <v>300</v>
      </c>
      <c r="D19">
        <v>0.26262695553471999</v>
      </c>
      <c r="E19">
        <v>214.53992427030011</v>
      </c>
      <c r="F19">
        <v>60.782269321958651</v>
      </c>
      <c r="G19">
        <v>71.577596049399702</v>
      </c>
      <c r="H19">
        <v>66.940251757941795</v>
      </c>
      <c r="J19">
        <v>69.455272684862706</v>
      </c>
      <c r="L19">
        <v>7.3136089880353286</v>
      </c>
      <c r="M19">
        <v>12.652906094359038</v>
      </c>
      <c r="N19">
        <v>2.7017470842916507</v>
      </c>
      <c r="O19">
        <v>28.262779307682198</v>
      </c>
      <c r="P19">
        <v>12.04770179512207</v>
      </c>
      <c r="Q19">
        <v>8.134236455395967E-2</v>
      </c>
      <c r="R19">
        <v>14.658049066983603</v>
      </c>
      <c r="S19">
        <v>43.672719761699945</v>
      </c>
      <c r="U19">
        <v>0.47190970037639246</v>
      </c>
      <c r="V19">
        <v>47.627456788570619</v>
      </c>
      <c r="W19">
        <v>17.672562840595909</v>
      </c>
      <c r="X19">
        <v>45.918982782837936</v>
      </c>
      <c r="Y19">
        <v>9.1357916680018043</v>
      </c>
      <c r="Z19">
        <v>30.262358386713725</v>
      </c>
      <c r="AA19">
        <v>6.3328841666121516</v>
      </c>
      <c r="AB19">
        <v>34.95497130188587</v>
      </c>
      <c r="AD19">
        <v>7.5703826861135024</v>
      </c>
      <c r="AE19">
        <v>11.82987195075607</v>
      </c>
      <c r="AF19">
        <v>12.321852074509364</v>
      </c>
      <c r="AG19">
        <v>20.148476404792504</v>
      </c>
      <c r="AH19">
        <v>8.2260166426783634</v>
      </c>
      <c r="AI19">
        <v>2.6479669489759239</v>
      </c>
      <c r="AK19">
        <v>58.593060848854641</v>
      </c>
    </row>
    <row r="20" spans="1:37" x14ac:dyDescent="0.2">
      <c r="A20">
        <v>19</v>
      </c>
      <c r="B20">
        <v>739</v>
      </c>
      <c r="C20">
        <v>300</v>
      </c>
      <c r="D20">
        <v>0.261829274317047</v>
      </c>
      <c r="E20">
        <v>214.41715634865608</v>
      </c>
      <c r="F20">
        <v>60.398033112994042</v>
      </c>
      <c r="G20">
        <v>71.514112942183388</v>
      </c>
      <c r="H20">
        <v>66.874608832630329</v>
      </c>
      <c r="J20">
        <v>69.3685647221415</v>
      </c>
      <c r="L20">
        <v>7.2272882528696156</v>
      </c>
      <c r="M20">
        <v>12.577766978264821</v>
      </c>
      <c r="N20">
        <v>2.7037161028857746</v>
      </c>
      <c r="O20">
        <v>27.874224268912368</v>
      </c>
      <c r="P20">
        <v>11.944338361109571</v>
      </c>
      <c r="Q20">
        <v>1.3040361286193729E-2</v>
      </c>
      <c r="R20">
        <v>14.433486743062208</v>
      </c>
      <c r="S20">
        <v>43.188783703450163</v>
      </c>
      <c r="U20">
        <v>0.38567565070244308</v>
      </c>
      <c r="V20">
        <v>47.505274546839495</v>
      </c>
      <c r="W20">
        <v>17.45555879874988</v>
      </c>
      <c r="X20">
        <v>45.693179022593874</v>
      </c>
      <c r="Y20">
        <v>9.0432471444629243</v>
      </c>
      <c r="Z20">
        <v>30.045969079962731</v>
      </c>
      <c r="AA20">
        <v>6.2439693908787088</v>
      </c>
      <c r="AB20">
        <v>34.786946957006897</v>
      </c>
      <c r="AD20">
        <v>7.4459440572608182</v>
      </c>
      <c r="AE20">
        <v>11.733233124114934</v>
      </c>
      <c r="AF20">
        <v>12.245599424100822</v>
      </c>
      <c r="AG20">
        <v>19.965466749475446</v>
      </c>
      <c r="AH20">
        <v>8.0862678676659066</v>
      </c>
      <c r="AI20">
        <v>2.6496333595716797</v>
      </c>
      <c r="AK20">
        <v>58.580274301051325</v>
      </c>
    </row>
    <row r="21" spans="1:37" x14ac:dyDescent="0.2">
      <c r="A21">
        <v>20</v>
      </c>
      <c r="B21">
        <v>738</v>
      </c>
      <c r="C21">
        <v>300</v>
      </c>
      <c r="D21">
        <v>0.26103001532908299</v>
      </c>
      <c r="E21">
        <v>214.17543280922868</v>
      </c>
      <c r="F21">
        <v>59.044347639206215</v>
      </c>
      <c r="G21">
        <v>71.337668754669735</v>
      </c>
      <c r="H21">
        <v>66.696018215531382</v>
      </c>
      <c r="J21">
        <v>68.708552164623356</v>
      </c>
      <c r="L21">
        <v>6.8968467875340993</v>
      </c>
      <c r="M21">
        <v>12.390762675135429</v>
      </c>
      <c r="N21">
        <v>2.7056808909784191</v>
      </c>
      <c r="O21">
        <v>26.614897240989741</v>
      </c>
      <c r="P21">
        <v>11.615056682144507</v>
      </c>
      <c r="R21">
        <v>13.716761961166329</v>
      </c>
      <c r="S21">
        <v>41.652156366823881</v>
      </c>
      <c r="U21">
        <v>0.23850970634905186</v>
      </c>
      <c r="V21">
        <v>47.164259867931968</v>
      </c>
      <c r="W21">
        <v>17.256080837490568</v>
      </c>
      <c r="X21">
        <v>45.279872850131163</v>
      </c>
      <c r="Y21">
        <v>8.7149925345860737</v>
      </c>
      <c r="Z21">
        <v>28.999236261239179</v>
      </c>
      <c r="AA21">
        <v>5.9104192478821789</v>
      </c>
      <c r="AB21">
        <v>34.032100124102861</v>
      </c>
      <c r="AD21">
        <v>6.8656256483197202</v>
      </c>
      <c r="AE21">
        <v>11.243940583064232</v>
      </c>
      <c r="AF21">
        <v>12.057477743974992</v>
      </c>
      <c r="AG21">
        <v>19.195633000441941</v>
      </c>
      <c r="AH21">
        <v>7.559298747261078</v>
      </c>
      <c r="AI21">
        <v>2.6512946774827899</v>
      </c>
      <c r="AK21">
        <v>58.249974550577981</v>
      </c>
    </row>
    <row r="22" spans="1:37" x14ac:dyDescent="0.2">
      <c r="A22">
        <v>21</v>
      </c>
      <c r="B22">
        <v>737</v>
      </c>
      <c r="C22">
        <v>300</v>
      </c>
      <c r="D22">
        <v>0.260229173885068</v>
      </c>
      <c r="E22">
        <v>213.88412322080967</v>
      </c>
      <c r="F22">
        <v>57.29285440824961</v>
      </c>
      <c r="G22">
        <v>71.108266168246075</v>
      </c>
      <c r="H22">
        <v>66.464482609577502</v>
      </c>
      <c r="J22">
        <v>67.834889021802539</v>
      </c>
      <c r="L22">
        <v>6.4597373619565008</v>
      </c>
      <c r="M22">
        <v>12.182148454842189</v>
      </c>
      <c r="N22">
        <v>2.7076430975299863</v>
      </c>
      <c r="O22">
        <v>24.969377321828652</v>
      </c>
      <c r="P22">
        <v>11.179863793772416</v>
      </c>
      <c r="R22">
        <v>12.816605996267219</v>
      </c>
      <c r="S22">
        <v>39.761602867318729</v>
      </c>
      <c r="U22">
        <v>8.3995283451761493E-2</v>
      </c>
      <c r="V22">
        <v>46.758379969335479</v>
      </c>
      <c r="W22">
        <v>17.066419902689354</v>
      </c>
      <c r="X22">
        <v>44.843429263266081</v>
      </c>
      <c r="Y22">
        <v>8.278645112825755</v>
      </c>
      <c r="Z22">
        <v>27.637271383532724</v>
      </c>
      <c r="AA22">
        <v>5.4694003478183877</v>
      </c>
      <c r="AB22">
        <v>33.084729890443697</v>
      </c>
      <c r="AD22">
        <v>6.1078538393380244</v>
      </c>
      <c r="AE22">
        <v>10.614885322362779</v>
      </c>
      <c r="AF22">
        <v>11.847743958791355</v>
      </c>
      <c r="AG22">
        <v>18.233275900186619</v>
      </c>
      <c r="AH22">
        <v>6.8585721519645189</v>
      </c>
      <c r="AI22">
        <v>2.6529525498291315</v>
      </c>
      <c r="AK22">
        <v>57.79479442766884</v>
      </c>
    </row>
    <row r="23" spans="1:37" x14ac:dyDescent="0.2">
      <c r="A23">
        <v>22</v>
      </c>
      <c r="B23">
        <v>736</v>
      </c>
      <c r="C23">
        <v>300</v>
      </c>
      <c r="D23">
        <v>0.25942674528068399</v>
      </c>
      <c r="E23">
        <v>212.8026291716771</v>
      </c>
      <c r="F23">
        <v>49.9172430412682</v>
      </c>
      <c r="G23">
        <v>70.057996653258044</v>
      </c>
      <c r="H23">
        <v>65.412093506702405</v>
      </c>
      <c r="J23">
        <v>64.846520550654503</v>
      </c>
      <c r="L23">
        <v>4.5075277845438251</v>
      </c>
      <c r="M23">
        <v>12.065601251327228</v>
      </c>
      <c r="N23">
        <v>2.7095571853972293</v>
      </c>
      <c r="O23">
        <v>17.603053194543111</v>
      </c>
      <c r="P23">
        <v>9.102897123425107</v>
      </c>
      <c r="R23">
        <v>10.013530241154827</v>
      </c>
      <c r="S23">
        <v>35.975584764047007</v>
      </c>
      <c r="U23">
        <v>5.3307852062288016E-3</v>
      </c>
      <c r="V23">
        <v>46.611709610470484</v>
      </c>
      <c r="W23">
        <v>16.911328753350197</v>
      </c>
      <c r="X23">
        <v>44.647135847318616</v>
      </c>
      <c r="Y23">
        <v>6.1969578750263024</v>
      </c>
      <c r="Z23">
        <v>22.448654147960532</v>
      </c>
      <c r="AA23">
        <v>3.463128594682872</v>
      </c>
      <c r="AB23">
        <v>31.160476018412588</v>
      </c>
      <c r="AD23">
        <v>3.1267256478077217</v>
      </c>
      <c r="AE23">
        <v>8.4047704165204333</v>
      </c>
      <c r="AF23">
        <v>11.730029471192376</v>
      </c>
      <c r="AG23">
        <v>16.293989680235157</v>
      </c>
      <c r="AH23">
        <v>3.6137506124287531</v>
      </c>
      <c r="AI23">
        <v>2.6545614376265809</v>
      </c>
      <c r="AK23">
        <v>55.72840045767947</v>
      </c>
    </row>
    <row r="24" spans="1:37" x14ac:dyDescent="0.2">
      <c r="A24">
        <v>23</v>
      </c>
      <c r="B24">
        <v>735</v>
      </c>
      <c r="C24">
        <v>300</v>
      </c>
      <c r="D24">
        <v>0.25862272479293502</v>
      </c>
      <c r="E24">
        <v>211.81158420568292</v>
      </c>
      <c r="F24">
        <v>43.022015609674973</v>
      </c>
      <c r="G24">
        <v>69.043415425723396</v>
      </c>
      <c r="H24">
        <v>64.395406144553775</v>
      </c>
      <c r="J24">
        <v>61.865474922211753</v>
      </c>
      <c r="L24">
        <v>2.6075559103864179</v>
      </c>
      <c r="M24">
        <v>11.991073601770708</v>
      </c>
      <c r="N24">
        <v>2.7114652706614897</v>
      </c>
      <c r="O24">
        <v>10.569145188254659</v>
      </c>
      <c r="P24">
        <v>7.0973092431618374</v>
      </c>
      <c r="R24">
        <v>7.215789532337527</v>
      </c>
      <c r="S24">
        <v>31.806301343998832</v>
      </c>
      <c r="V24">
        <v>46.240597781163494</v>
      </c>
      <c r="W24">
        <v>16.754385152858926</v>
      </c>
      <c r="X24">
        <v>44.670451263418613</v>
      </c>
      <c r="Y24">
        <v>4.1936716973797292</v>
      </c>
      <c r="Z24">
        <v>17.62387965158571</v>
      </c>
      <c r="AA24">
        <v>1.535902072344441</v>
      </c>
      <c r="AB24">
        <v>29.08687090172371</v>
      </c>
      <c r="AD24">
        <v>0.31782729690907358</v>
      </c>
      <c r="AE24">
        <v>6.3870809355867255</v>
      </c>
      <c r="AF24">
        <v>11.654328940296644</v>
      </c>
      <c r="AG24">
        <v>14.205348856684401</v>
      </c>
      <c r="AH24">
        <v>0.46494645950929608</v>
      </c>
      <c r="AI24">
        <v>2.656163455116769</v>
      </c>
      <c r="AK24">
        <v>53.780781678902166</v>
      </c>
    </row>
    <row r="25" spans="1:37" x14ac:dyDescent="0.2">
      <c r="A25">
        <v>24</v>
      </c>
      <c r="B25">
        <v>734</v>
      </c>
      <c r="C25">
        <v>300</v>
      </c>
      <c r="D25">
        <v>0.25781710768008598</v>
      </c>
      <c r="E25">
        <v>212.23052502179303</v>
      </c>
      <c r="F25">
        <v>44.626445846025952</v>
      </c>
      <c r="G25">
        <v>69.231778169474538</v>
      </c>
      <c r="H25">
        <v>64.581676228636837</v>
      </c>
      <c r="J25">
        <v>47.082681501963059</v>
      </c>
      <c r="L25">
        <v>1.6884022195458419</v>
      </c>
      <c r="M25">
        <v>11.509653421019694</v>
      </c>
      <c r="N25">
        <v>2.713469271016276</v>
      </c>
      <c r="O25">
        <v>5.0450242550873954</v>
      </c>
      <c r="P25">
        <v>7.4977134623601085</v>
      </c>
      <c r="R25">
        <v>6.107104974715087</v>
      </c>
      <c r="S25">
        <v>29.326196914135643</v>
      </c>
      <c r="V25">
        <v>46.680613515786405</v>
      </c>
      <c r="W25">
        <v>16.188275641070803</v>
      </c>
      <c r="X25">
        <v>44.703877643412298</v>
      </c>
      <c r="Y25">
        <v>3.5739730022441019</v>
      </c>
      <c r="Z25">
        <v>17.943466189277046</v>
      </c>
      <c r="AB25">
        <v>29.466683824301782</v>
      </c>
      <c r="AE25">
        <v>6.4400462937404104</v>
      </c>
      <c r="AF25">
        <v>11.171832204512414</v>
      </c>
      <c r="AG25">
        <v>14.570224637478471</v>
      </c>
      <c r="AI25">
        <v>2.657860518153027</v>
      </c>
      <c r="AK25">
        <v>43.837677143277801</v>
      </c>
    </row>
    <row r="26" spans="1:37" x14ac:dyDescent="0.2">
      <c r="A26">
        <v>25</v>
      </c>
      <c r="B26">
        <v>733</v>
      </c>
      <c r="C26">
        <v>300</v>
      </c>
      <c r="D26">
        <v>0.257009889181535</v>
      </c>
      <c r="E26">
        <v>212.43797243795655</v>
      </c>
      <c r="F26">
        <v>45.222535074330516</v>
      </c>
      <c r="G26">
        <v>69.211687862056408</v>
      </c>
      <c r="H26">
        <v>64.559506758213601</v>
      </c>
      <c r="J26">
        <v>40.814681197942932</v>
      </c>
      <c r="L26">
        <v>1.7054217807667047</v>
      </c>
      <c r="M26">
        <v>11.034632775969358</v>
      </c>
      <c r="N26">
        <v>2.7154556410323929</v>
      </c>
      <c r="O26">
        <v>5.0677509715335054</v>
      </c>
      <c r="P26">
        <v>7.4812022147606223</v>
      </c>
      <c r="R26">
        <v>5.7215692379485263</v>
      </c>
      <c r="S26">
        <v>29.549716792399892</v>
      </c>
      <c r="V26">
        <v>47.218575812472508</v>
      </c>
      <c r="W26">
        <v>15.628792566769183</v>
      </c>
      <c r="X26">
        <v>44.737803207543202</v>
      </c>
      <c r="Y26">
        <v>3.3713117477338437</v>
      </c>
      <c r="Z26">
        <v>18.12145561699057</v>
      </c>
      <c r="AB26">
        <v>29.882093212845586</v>
      </c>
      <c r="AE26">
        <v>6.5330443036240924</v>
      </c>
      <c r="AF26">
        <v>10.695717791189063</v>
      </c>
      <c r="AG26">
        <v>14.970681910231358</v>
      </c>
      <c r="AI26">
        <v>2.6595390794657505</v>
      </c>
      <c r="AK26">
        <v>39.572551837175368</v>
      </c>
    </row>
    <row r="27" spans="1:37" x14ac:dyDescent="0.2">
      <c r="A27">
        <v>26</v>
      </c>
      <c r="B27">
        <v>757</v>
      </c>
      <c r="C27">
        <v>280</v>
      </c>
      <c r="D27">
        <v>0.29730670290734501</v>
      </c>
      <c r="E27">
        <v>204.97973781374228</v>
      </c>
      <c r="F27">
        <v>67.017184795859421</v>
      </c>
      <c r="G27">
        <v>72.670010563047711</v>
      </c>
      <c r="H27">
        <v>68.070468124216063</v>
      </c>
      <c r="J27">
        <v>70.62173439718508</v>
      </c>
      <c r="L27">
        <v>8.728198573724077</v>
      </c>
      <c r="M27">
        <v>13.928857220211126</v>
      </c>
      <c r="N27">
        <v>2.5992799093891974</v>
      </c>
      <c r="O27">
        <v>35.019281981677139</v>
      </c>
      <c r="P27">
        <v>13.650569203417922</v>
      </c>
      <c r="Q27">
        <v>1.0748863756274913</v>
      </c>
      <c r="R27">
        <v>18.557817482754839</v>
      </c>
      <c r="S27">
        <v>51.61265751083242</v>
      </c>
      <c r="U27">
        <v>1.8118315537587706</v>
      </c>
      <c r="V27">
        <v>49.308152810703788</v>
      </c>
      <c r="W27">
        <v>21.798839187564973</v>
      </c>
      <c r="X27">
        <v>48.622606147268868</v>
      </c>
      <c r="Y27">
        <v>10.57007947118066</v>
      </c>
      <c r="Z27">
        <v>33.967798812278922</v>
      </c>
      <c r="AA27">
        <v>7.8138679971705933</v>
      </c>
      <c r="AB27">
        <v>37.866601613645521</v>
      </c>
      <c r="AC27">
        <v>4.0226858034601472E-3</v>
      </c>
      <c r="AD27">
        <v>9.6824314039591695</v>
      </c>
      <c r="AE27">
        <v>13.635368650866564</v>
      </c>
      <c r="AF27">
        <v>13.609445791679812</v>
      </c>
      <c r="AG27">
        <v>23.332710424507816</v>
      </c>
      <c r="AH27">
        <v>10.242867907783326</v>
      </c>
      <c r="AI27">
        <v>2.547894963373301</v>
      </c>
      <c r="AK27">
        <v>58.563134859950409</v>
      </c>
    </row>
    <row r="28" spans="1:37" x14ac:dyDescent="0.2">
      <c r="A28">
        <v>27</v>
      </c>
      <c r="B28">
        <v>756</v>
      </c>
      <c r="C28">
        <v>280</v>
      </c>
      <c r="D28">
        <v>0.29655589564203599</v>
      </c>
      <c r="E28">
        <v>204.86413040961082</v>
      </c>
      <c r="F28">
        <v>66.656448767958352</v>
      </c>
      <c r="G28">
        <v>72.61011168121</v>
      </c>
      <c r="H28">
        <v>68.008176942812398</v>
      </c>
      <c r="J28">
        <v>70.542254939412942</v>
      </c>
      <c r="L28">
        <v>8.6445519837350453</v>
      </c>
      <c r="M28">
        <v>13.865456348070701</v>
      </c>
      <c r="N28">
        <v>2.5969785372433072</v>
      </c>
      <c r="O28">
        <v>34.634159088042878</v>
      </c>
      <c r="P28">
        <v>13.549961036895821</v>
      </c>
      <c r="Q28">
        <v>1.0159447970437887</v>
      </c>
      <c r="R28">
        <v>18.349761436585677</v>
      </c>
      <c r="S28">
        <v>51.182753107468898</v>
      </c>
      <c r="U28">
        <v>1.735936379410399</v>
      </c>
      <c r="V28">
        <v>49.204925190212407</v>
      </c>
      <c r="W28">
        <v>21.603876171578307</v>
      </c>
      <c r="X28">
        <v>48.430409070961147</v>
      </c>
      <c r="Y28">
        <v>10.482116150005263</v>
      </c>
      <c r="Z28">
        <v>33.769266640693736</v>
      </c>
      <c r="AA28">
        <v>7.7276178291423712</v>
      </c>
      <c r="AB28">
        <v>37.720534657002275</v>
      </c>
      <c r="AD28">
        <v>9.5704080213493441</v>
      </c>
      <c r="AE28">
        <v>13.545887205352315</v>
      </c>
      <c r="AF28">
        <v>13.540652475249631</v>
      </c>
      <c r="AG28">
        <v>23.167370390420629</v>
      </c>
      <c r="AH28">
        <v>10.115627194372662</v>
      </c>
      <c r="AI28">
        <v>2.5453062609819281</v>
      </c>
      <c r="AK28">
        <v>58.551068851896694</v>
      </c>
    </row>
    <row r="29" spans="1:37" x14ac:dyDescent="0.2">
      <c r="A29">
        <v>28</v>
      </c>
      <c r="B29">
        <v>755</v>
      </c>
      <c r="C29">
        <v>280</v>
      </c>
      <c r="D29">
        <v>0.29580362787530801</v>
      </c>
      <c r="E29">
        <v>204.73882790816054</v>
      </c>
      <c r="F29">
        <v>66.262152448425908</v>
      </c>
      <c r="G29">
        <v>72.545315117059047</v>
      </c>
      <c r="H29">
        <v>67.941001109643139</v>
      </c>
      <c r="J29">
        <v>70.444950150675297</v>
      </c>
      <c r="L29">
        <v>8.5557834780391477</v>
      </c>
      <c r="M29">
        <v>13.788422426987264</v>
      </c>
      <c r="N29">
        <v>2.5989514684062218</v>
      </c>
      <c r="O29">
        <v>34.236135145119903</v>
      </c>
      <c r="P29">
        <v>13.443839557947092</v>
      </c>
      <c r="Q29">
        <v>0.94659594758427557</v>
      </c>
      <c r="R29">
        <v>18.120063855282702</v>
      </c>
      <c r="S29">
        <v>50.685265592768914</v>
      </c>
      <c r="U29">
        <v>1.6483198447395182</v>
      </c>
      <c r="V29">
        <v>49.080090032707183</v>
      </c>
      <c r="W29">
        <v>21.383094597733059</v>
      </c>
      <c r="X29">
        <v>48.19840316734863</v>
      </c>
      <c r="Y29">
        <v>10.387134119925996</v>
      </c>
      <c r="Z29">
        <v>33.55056813094992</v>
      </c>
      <c r="AA29">
        <v>7.6362625807542504</v>
      </c>
      <c r="AB29">
        <v>37.549648142894576</v>
      </c>
      <c r="AD29">
        <v>9.4454673109380849</v>
      </c>
      <c r="AE29">
        <v>13.448373256791973</v>
      </c>
      <c r="AF29">
        <v>13.462500708704258</v>
      </c>
      <c r="AG29">
        <v>22.981487623524469</v>
      </c>
      <c r="AH29">
        <v>9.9726631196065707</v>
      </c>
      <c r="AI29">
        <v>2.5469910309960602</v>
      </c>
      <c r="AK29">
        <v>58.532679368766154</v>
      </c>
    </row>
    <row r="30" spans="1:37" x14ac:dyDescent="0.2">
      <c r="A30">
        <v>29</v>
      </c>
      <c r="B30">
        <v>754</v>
      </c>
      <c r="C30">
        <v>280</v>
      </c>
      <c r="D30">
        <v>0.29504989534147702</v>
      </c>
      <c r="E30">
        <v>204.61368554778457</v>
      </c>
      <c r="F30">
        <v>65.868558243998237</v>
      </c>
      <c r="G30">
        <v>72.480603110809241</v>
      </c>
      <c r="H30">
        <v>67.873922885761488</v>
      </c>
      <c r="J30">
        <v>70.348258683922623</v>
      </c>
      <c r="L30">
        <v>8.4671841998228867</v>
      </c>
      <c r="M30">
        <v>13.711536665047575</v>
      </c>
      <c r="N30">
        <v>2.6009242684682548</v>
      </c>
      <c r="O30">
        <v>33.838729825650454</v>
      </c>
      <c r="P30">
        <v>13.337894835304915</v>
      </c>
      <c r="Q30">
        <v>0.87737548348615568</v>
      </c>
      <c r="R30">
        <v>17.890734224818761</v>
      </c>
      <c r="S30">
        <v>50.188716276588444</v>
      </c>
      <c r="U30">
        <v>1.5607798115423557</v>
      </c>
      <c r="V30">
        <v>48.95544979340405</v>
      </c>
      <c r="W30">
        <v>21.162595323929509</v>
      </c>
      <c r="X30">
        <v>47.966840349389813</v>
      </c>
      <c r="Y30">
        <v>10.292310959876295</v>
      </c>
      <c r="Z30">
        <v>33.332154942294885</v>
      </c>
      <c r="AA30">
        <v>7.545078614784579</v>
      </c>
      <c r="AB30">
        <v>37.379033918431574</v>
      </c>
      <c r="AD30">
        <v>9.3206308746998232</v>
      </c>
      <c r="AE30">
        <v>13.350980851986685</v>
      </c>
      <c r="AF30">
        <v>13.384497271332565</v>
      </c>
      <c r="AG30">
        <v>22.7958795424519</v>
      </c>
      <c r="AH30">
        <v>9.8299186640377307</v>
      </c>
      <c r="AI30">
        <v>2.5486748371681616</v>
      </c>
      <c r="AK30">
        <v>58.514612774478408</v>
      </c>
    </row>
    <row r="31" spans="1:37" x14ac:dyDescent="0.2">
      <c r="A31">
        <v>30</v>
      </c>
      <c r="B31">
        <v>753</v>
      </c>
      <c r="C31">
        <v>280</v>
      </c>
      <c r="D31">
        <v>0.29429469375822398</v>
      </c>
      <c r="E31">
        <v>204.4887029147493</v>
      </c>
      <c r="F31">
        <v>65.47566434724736</v>
      </c>
      <c r="G31">
        <v>72.415975498891456</v>
      </c>
      <c r="H31">
        <v>67.806942128478568</v>
      </c>
      <c r="J31">
        <v>70.252180088825185</v>
      </c>
      <c r="L31">
        <v>8.3787540453082361</v>
      </c>
      <c r="M31">
        <v>13.634798571882358</v>
      </c>
      <c r="N31">
        <v>2.6028969379794686</v>
      </c>
      <c r="O31">
        <v>33.441941750502764</v>
      </c>
      <c r="P31">
        <v>13.232126565157195</v>
      </c>
      <c r="Q31">
        <v>0.80828270629013244</v>
      </c>
      <c r="R31">
        <v>17.661771400592716</v>
      </c>
      <c r="S31">
        <v>49.693102309002789</v>
      </c>
      <c r="U31">
        <v>1.4733159080746967</v>
      </c>
      <c r="V31">
        <v>48.831003739000344</v>
      </c>
      <c r="W31">
        <v>20.9423773445561</v>
      </c>
      <c r="X31">
        <v>47.735719120018899</v>
      </c>
      <c r="Y31">
        <v>10.197646285825616</v>
      </c>
      <c r="Z31">
        <v>33.114025995842383</v>
      </c>
      <c r="AA31">
        <v>7.4540655395506397</v>
      </c>
      <c r="AB31">
        <v>37.208690978532971</v>
      </c>
      <c r="AD31">
        <v>9.1958985799769657</v>
      </c>
      <c r="AE31">
        <v>13.253709469140281</v>
      </c>
      <c r="AF31">
        <v>13.306641678937384</v>
      </c>
      <c r="AG31">
        <v>22.610545148621632</v>
      </c>
      <c r="AH31">
        <v>9.6873934899120879</v>
      </c>
      <c r="AI31">
        <v>2.5503576782081177</v>
      </c>
      <c r="AK31">
        <v>58.496869001447358</v>
      </c>
    </row>
    <row r="32" spans="1:37" x14ac:dyDescent="0.2">
      <c r="A32">
        <v>31</v>
      </c>
      <c r="B32">
        <v>752</v>
      </c>
      <c r="C32">
        <v>280</v>
      </c>
      <c r="D32">
        <v>0.29353801882651298</v>
      </c>
      <c r="E32">
        <v>204.36387960062225</v>
      </c>
      <c r="F32">
        <v>65.08346897293012</v>
      </c>
      <c r="G32">
        <v>72.351432120397362</v>
      </c>
      <c r="H32">
        <v>67.740058697804955</v>
      </c>
      <c r="J32">
        <v>70.156713926141734</v>
      </c>
      <c r="L32">
        <v>8.2904930182608467</v>
      </c>
      <c r="M32">
        <v>13.558207661714691</v>
      </c>
      <c r="N32">
        <v>2.6048694774375383</v>
      </c>
      <c r="O32">
        <v>33.045769557832571</v>
      </c>
      <c r="P32">
        <v>13.126534449021104</v>
      </c>
      <c r="Q32">
        <v>0.73926449323770882</v>
      </c>
      <c r="R32">
        <v>17.433174250833986</v>
      </c>
      <c r="S32">
        <v>49.198420868483829</v>
      </c>
      <c r="U32">
        <v>1.3859277677034854</v>
      </c>
      <c r="V32">
        <v>48.706751136430221</v>
      </c>
      <c r="W32">
        <v>20.722439662952794</v>
      </c>
      <c r="X32">
        <v>47.505037995511138</v>
      </c>
      <c r="Y32">
        <v>10.103139719392754</v>
      </c>
      <c r="Z32">
        <v>32.896180221266981</v>
      </c>
      <c r="AA32">
        <v>7.3632229690718454</v>
      </c>
      <c r="AB32">
        <v>37.038618326346004</v>
      </c>
      <c r="AD32">
        <v>9.0712702966743244</v>
      </c>
      <c r="AE32">
        <v>13.156558590060573</v>
      </c>
      <c r="AF32">
        <v>13.228933451878277</v>
      </c>
      <c r="AG32">
        <v>22.425483451649868</v>
      </c>
      <c r="AH32">
        <v>9.5450872661455453</v>
      </c>
      <c r="AI32">
        <v>2.5520395527749407</v>
      </c>
      <c r="AK32">
        <v>58.47944798782482</v>
      </c>
    </row>
    <row r="33" spans="1:37" x14ac:dyDescent="0.2">
      <c r="A33">
        <v>32</v>
      </c>
      <c r="B33">
        <v>751</v>
      </c>
      <c r="C33">
        <v>280</v>
      </c>
      <c r="D33">
        <v>0.29277986623053498</v>
      </c>
      <c r="E33">
        <v>204.23921520199104</v>
      </c>
      <c r="F33">
        <v>64.691970356890835</v>
      </c>
      <c r="G33">
        <v>72.286972816913419</v>
      </c>
      <c r="H33">
        <v>67.673272456287904</v>
      </c>
      <c r="J33">
        <v>70.06185976718541</v>
      </c>
      <c r="L33">
        <v>8.2023443767675346</v>
      </c>
      <c r="M33">
        <v>13.481763452891778</v>
      </c>
      <c r="N33">
        <v>2.6068418874423518</v>
      </c>
      <c r="O33">
        <v>32.650211902612938</v>
      </c>
      <c r="P33">
        <v>13.0211181935745</v>
      </c>
      <c r="Q33">
        <v>0.67042255674726858</v>
      </c>
      <c r="R33">
        <v>17.204941655910048</v>
      </c>
      <c r="S33">
        <v>48.704669159619826</v>
      </c>
      <c r="U33">
        <v>1.2986150285066365</v>
      </c>
      <c r="V33">
        <v>48.582691251993033</v>
      </c>
      <c r="W33">
        <v>20.502781290446762</v>
      </c>
      <c r="X33">
        <v>47.274795507469165</v>
      </c>
      <c r="Y33">
        <v>10.008790887630065</v>
      </c>
      <c r="Z33">
        <v>32.678616555990025</v>
      </c>
      <c r="AA33">
        <v>7.2725505229493352</v>
      </c>
      <c r="AB33">
        <v>36.868814972313437</v>
      </c>
      <c r="AD33">
        <v>8.946745896807478</v>
      </c>
      <c r="AE33">
        <v>13.059527699800567</v>
      </c>
      <c r="AF33">
        <v>13.151372114749527</v>
      </c>
      <c r="AG33">
        <v>22.240693468567539</v>
      </c>
      <c r="AH33">
        <v>9.4029996678107874</v>
      </c>
      <c r="AI33">
        <v>2.5537204596290399</v>
      </c>
      <c r="AK33">
        <v>58.462349677341194</v>
      </c>
    </row>
    <row r="34" spans="1:37" x14ac:dyDescent="0.2">
      <c r="A34">
        <v>33</v>
      </c>
      <c r="B34">
        <v>750</v>
      </c>
      <c r="C34">
        <v>280</v>
      </c>
      <c r="D34">
        <v>0.292020231637589</v>
      </c>
      <c r="E34">
        <v>204.11470932066794</v>
      </c>
      <c r="F34">
        <v>64.301166756853362</v>
      </c>
      <c r="G34">
        <v>72.222597432669289</v>
      </c>
      <c r="H34">
        <v>67.606583269158889</v>
      </c>
      <c r="J34">
        <v>69.967617194243388</v>
      </c>
      <c r="L34">
        <v>8.1144131452320281</v>
      </c>
      <c r="M34">
        <v>13.405465468330593</v>
      </c>
      <c r="N34">
        <v>2.6088141685047401</v>
      </c>
      <c r="O34">
        <v>32.255267456831646</v>
      </c>
      <c r="P34">
        <v>12.915877510749999</v>
      </c>
      <c r="Q34">
        <v>0.60170610412213865</v>
      </c>
      <c r="R34">
        <v>16.977072508873686</v>
      </c>
      <c r="S34">
        <v>48.211844415218025</v>
      </c>
      <c r="U34">
        <v>1.2113773336575533</v>
      </c>
      <c r="V34">
        <v>48.458823351749345</v>
      </c>
      <c r="W34">
        <v>20.283401247302074</v>
      </c>
      <c r="X34">
        <v>47.044990201102316</v>
      </c>
      <c r="Y34">
        <v>9.9145994231886423</v>
      </c>
      <c r="Z34">
        <v>32.461333945943529</v>
      </c>
      <c r="AA34">
        <v>7.1820478264662162</v>
      </c>
      <c r="AB34">
        <v>36.699279935085059</v>
      </c>
      <c r="AD34">
        <v>8.8223252550040296</v>
      </c>
      <c r="AE34">
        <v>12.962616286991523</v>
      </c>
      <c r="AF34">
        <v>13.073957196640682</v>
      </c>
      <c r="AG34">
        <v>22.056174224543245</v>
      </c>
      <c r="AH34">
        <v>9.2611303766228961</v>
      </c>
      <c r="AI34">
        <v>2.5554003974410691</v>
      </c>
      <c r="AK34">
        <v>58.4455740193726</v>
      </c>
    </row>
    <row r="35" spans="1:37" x14ac:dyDescent="0.2">
      <c r="A35">
        <v>34</v>
      </c>
      <c r="B35">
        <v>749</v>
      </c>
      <c r="C35">
        <v>280</v>
      </c>
      <c r="D35">
        <v>0.291259110698039</v>
      </c>
      <c r="E35">
        <v>203.99036156374976</v>
      </c>
      <c r="F35">
        <v>63.911056452338485</v>
      </c>
      <c r="G35">
        <v>72.15830581449849</v>
      </c>
      <c r="H35">
        <v>67.53999100429418</v>
      </c>
      <c r="J35">
        <v>69.873985800623956</v>
      </c>
      <c r="L35">
        <v>8.0266499108368095</v>
      </c>
      <c r="M35">
        <v>13.329313235341623</v>
      </c>
      <c r="N35">
        <v>2.6107863211486886</v>
      </c>
      <c r="O35">
        <v>31.860934909467776</v>
      </c>
      <c r="P35">
        <v>12.810812117771757</v>
      </c>
      <c r="Q35">
        <v>0.5331144397461085</v>
      </c>
      <c r="R35">
        <v>16.74956571537458</v>
      </c>
      <c r="S35">
        <v>47.71994389554412</v>
      </c>
      <c r="U35">
        <v>1.1242143312762185</v>
      </c>
      <c r="V35">
        <v>48.335146701227345</v>
      </c>
      <c r="W35">
        <v>20.064298562190793</v>
      </c>
      <c r="X35">
        <v>46.815620636589955</v>
      </c>
      <c r="Y35">
        <v>9.8205649643144763</v>
      </c>
      <c r="Z35">
        <v>32.24433134500606</v>
      </c>
      <c r="AA35">
        <v>7.0917145106395987</v>
      </c>
      <c r="AB35">
        <v>36.530012240969889</v>
      </c>
      <c r="AD35">
        <v>8.6980082482464827</v>
      </c>
      <c r="AE35">
        <v>12.86582384353458</v>
      </c>
      <c r="AF35">
        <v>12.996688231060645</v>
      </c>
      <c r="AG35">
        <v>21.871924752436435</v>
      </c>
      <c r="AH35">
        <v>9.1194790808010477</v>
      </c>
      <c r="AI35">
        <v>2.5570793648956509</v>
      </c>
      <c r="AK35">
        <v>58.429120969100069</v>
      </c>
    </row>
    <row r="36" spans="1:37" x14ac:dyDescent="0.2">
      <c r="A36">
        <v>35</v>
      </c>
      <c r="B36">
        <v>748</v>
      </c>
      <c r="C36">
        <v>280</v>
      </c>
      <c r="D36">
        <v>0.29049649904519698</v>
      </c>
      <c r="E36">
        <v>203.8661715431266</v>
      </c>
      <c r="F36">
        <v>63.521637743199605</v>
      </c>
      <c r="G36">
        <v>72.094097811676491</v>
      </c>
      <c r="H36">
        <v>67.473495532052979</v>
      </c>
      <c r="J36">
        <v>69.780965189835669</v>
      </c>
      <c r="L36">
        <v>7.9390549634304008</v>
      </c>
      <c r="M36">
        <v>13.25330628528544</v>
      </c>
      <c r="N36">
        <v>2.6127583459279848</v>
      </c>
      <c r="O36">
        <v>31.467212965768432</v>
      </c>
      <c r="P36">
        <v>12.705921736834629</v>
      </c>
      <c r="Q36">
        <v>0.46464686968537627</v>
      </c>
      <c r="R36">
        <v>16.522420192817549</v>
      </c>
      <c r="S36">
        <v>47.228964886432152</v>
      </c>
      <c r="U36">
        <v>1.0371256741373083</v>
      </c>
      <c r="V36">
        <v>48.211660564437729</v>
      </c>
      <c r="W36">
        <v>19.845472271754414</v>
      </c>
      <c r="X36">
        <v>46.586685386963005</v>
      </c>
      <c r="Y36">
        <v>9.726687154539011</v>
      </c>
      <c r="Z36">
        <v>32.02760771478497</v>
      </c>
      <c r="AA36">
        <v>7.0015502119431909</v>
      </c>
      <c r="AB36">
        <v>36.361010923564749</v>
      </c>
      <c r="AD36">
        <v>8.5737947557085157</v>
      </c>
      <c r="AE36">
        <v>12.769149864594578</v>
      </c>
      <c r="AF36">
        <v>12.91956475561288</v>
      </c>
      <c r="AG36">
        <v>21.687944092445637</v>
      </c>
      <c r="AH36">
        <v>8.978045474604567</v>
      </c>
      <c r="AI36">
        <v>2.558757360706164</v>
      </c>
      <c r="AK36">
        <v>58.412990487005708</v>
      </c>
    </row>
    <row r="37" spans="1:37" x14ac:dyDescent="0.2">
      <c r="A37">
        <v>36</v>
      </c>
      <c r="B37">
        <v>747</v>
      </c>
      <c r="C37">
        <v>280</v>
      </c>
      <c r="D37">
        <v>0.28973239229525299</v>
      </c>
      <c r="E37">
        <v>203.74213887603258</v>
      </c>
      <c r="F37">
        <v>63.132908951158065</v>
      </c>
      <c r="G37">
        <v>72.029973276107754</v>
      </c>
      <c r="H37">
        <v>67.407096725464967</v>
      </c>
      <c r="J37">
        <v>69.688554976502203</v>
      </c>
      <c r="L37">
        <v>7.8515729514132744</v>
      </c>
      <c r="M37">
        <v>13.177444153972482</v>
      </c>
      <c r="N37">
        <v>2.6147302433734825</v>
      </c>
      <c r="O37">
        <v>31.074100347879966</v>
      </c>
      <c r="P37">
        <v>12.601206095440849</v>
      </c>
      <c r="Q37">
        <v>0.39630270209982427</v>
      </c>
      <c r="R37">
        <v>16.29563487126681</v>
      </c>
      <c r="S37">
        <v>46.738904701438472</v>
      </c>
      <c r="U37">
        <v>0.95011102001511882</v>
      </c>
      <c r="V37">
        <v>48.088364204514818</v>
      </c>
      <c r="W37">
        <v>19.626921421108541</v>
      </c>
      <c r="X37">
        <v>46.358183039815195</v>
      </c>
      <c r="Y37">
        <v>9.632965643015643</v>
      </c>
      <c r="Z37">
        <v>31.811162024785123</v>
      </c>
      <c r="AA37">
        <v>6.9115545726152634</v>
      </c>
      <c r="AB37">
        <v>36.192275024152906</v>
      </c>
      <c r="AD37">
        <v>8.4496846589850403</v>
      </c>
      <c r="AE37">
        <v>12.672593848552797</v>
      </c>
      <c r="AF37">
        <v>12.842586312335344</v>
      </c>
      <c r="AG37">
        <v>21.504231292450196</v>
      </c>
      <c r="AH37">
        <v>8.8368292588803641</v>
      </c>
      <c r="AI37">
        <v>2.5604343835637504</v>
      </c>
      <c r="AK37">
        <v>58.397182539430595</v>
      </c>
    </row>
    <row r="38" spans="1:37" x14ac:dyDescent="0.2">
      <c r="A38">
        <v>37</v>
      </c>
      <c r="B38">
        <v>746</v>
      </c>
      <c r="C38">
        <v>280</v>
      </c>
      <c r="D38">
        <v>0.288966786047197</v>
      </c>
      <c r="E38">
        <v>203.61826318447203</v>
      </c>
      <c r="F38">
        <v>62.744868418067824</v>
      </c>
      <c r="G38">
        <v>71.9659320621235</v>
      </c>
      <c r="H38">
        <v>67.340794460027539</v>
      </c>
      <c r="J38">
        <v>69.596754785421041</v>
      </c>
      <c r="L38">
        <v>7.7643049082698781</v>
      </c>
      <c r="M38">
        <v>13.101726381232076</v>
      </c>
      <c r="N38">
        <v>2.6167020140305874</v>
      </c>
      <c r="O38">
        <v>30.681595794020996</v>
      </c>
      <c r="P38">
        <v>12.496664926020745</v>
      </c>
      <c r="Q38">
        <v>0.32808124677746764</v>
      </c>
      <c r="R38">
        <v>16.069208692455444</v>
      </c>
      <c r="S38">
        <v>46.249760679498515</v>
      </c>
      <c r="U38">
        <v>0.86317003131804881</v>
      </c>
      <c r="V38">
        <v>47.965256882590246</v>
      </c>
      <c r="W38">
        <v>19.408645063246784</v>
      </c>
      <c r="X38">
        <v>46.130112195819393</v>
      </c>
      <c r="Y38">
        <v>9.5394000841509392</v>
      </c>
      <c r="Z38">
        <v>31.594993252095506</v>
      </c>
      <c r="AA38">
        <v>6.8217272403358944</v>
      </c>
      <c r="AB38">
        <v>36.023803591203254</v>
      </c>
      <c r="AD38">
        <v>8.3256778418611646</v>
      </c>
      <c r="AE38">
        <v>12.576155296970517</v>
      </c>
      <c r="AF38">
        <v>12.76575244732074</v>
      </c>
      <c r="AG38">
        <v>21.320785407549796</v>
      </c>
      <c r="AH38">
        <v>8.6958301404929514</v>
      </c>
      <c r="AI38">
        <v>2.5621104321730575</v>
      </c>
      <c r="AK38">
        <v>58.38169709800664</v>
      </c>
    </row>
    <row r="39" spans="1:37" x14ac:dyDescent="0.2">
      <c r="A39">
        <v>38</v>
      </c>
      <c r="B39">
        <v>745</v>
      </c>
      <c r="C39">
        <v>280</v>
      </c>
      <c r="D39">
        <v>0.28819967588272899</v>
      </c>
      <c r="E39">
        <v>203.49454409562242</v>
      </c>
      <c r="F39">
        <v>62.357514506980444</v>
      </c>
      <c r="G39">
        <v>71.901974026609523</v>
      </c>
      <c r="H39">
        <v>67.274588613835007</v>
      </c>
      <c r="J39">
        <v>69.505564252210164</v>
      </c>
      <c r="L39">
        <v>7.6772045884298512</v>
      </c>
      <c r="M39">
        <v>13.026152511147828</v>
      </c>
      <c r="N39">
        <v>2.6186736584507595</v>
      </c>
      <c r="O39">
        <v>30.289698058911839</v>
      </c>
      <c r="P39">
        <v>12.392297966183493</v>
      </c>
      <c r="Q39">
        <v>0.25998181540364657</v>
      </c>
      <c r="R39">
        <v>15.843140610381154</v>
      </c>
      <c r="S39">
        <v>45.761530186228732</v>
      </c>
      <c r="U39">
        <v>0.77630237529087209</v>
      </c>
      <c r="V39">
        <v>47.842337858118462</v>
      </c>
      <c r="W39">
        <v>19.190642259255</v>
      </c>
      <c r="X39">
        <v>45.902471469885036</v>
      </c>
      <c r="Y39">
        <v>9.4459901378434648</v>
      </c>
      <c r="Z39">
        <v>31.379100381346603</v>
      </c>
      <c r="AA39">
        <v>6.7320678684326047</v>
      </c>
      <c r="AB39">
        <v>35.855595680495803</v>
      </c>
      <c r="AD39">
        <v>8.2017741903958203</v>
      </c>
      <c r="AE39">
        <v>12.479833714467599</v>
      </c>
      <c r="AF39">
        <v>12.689062710925596</v>
      </c>
      <c r="AG39">
        <v>21.13760550018014</v>
      </c>
      <c r="AH39">
        <v>8.5550478326697501</v>
      </c>
      <c r="AI39">
        <v>2.5637855052457157</v>
      </c>
      <c r="AK39">
        <v>58.366534140088739</v>
      </c>
    </row>
    <row r="40" spans="1:37" x14ac:dyDescent="0.2">
      <c r="A40">
        <v>39</v>
      </c>
      <c r="B40">
        <v>744</v>
      </c>
      <c r="C40">
        <v>280</v>
      </c>
      <c r="D40">
        <v>0.28743105736617303</v>
      </c>
      <c r="E40">
        <v>203.37098124152948</v>
      </c>
      <c r="F40">
        <v>61.970845601243091</v>
      </c>
      <c r="G40">
        <v>71.838099028911287</v>
      </c>
      <c r="H40">
        <v>67.208479067482827</v>
      </c>
      <c r="J40">
        <v>69.414983022809935</v>
      </c>
      <c r="L40">
        <v>7.5902205208337179</v>
      </c>
      <c r="M40">
        <v>12.950722091897202</v>
      </c>
      <c r="N40">
        <v>2.6206451771628725</v>
      </c>
      <c r="O40">
        <v>29.898405913299097</v>
      </c>
      <c r="P40">
        <v>12.288104958503384</v>
      </c>
      <c r="Q40">
        <v>0.19200372135952784</v>
      </c>
      <c r="R40">
        <v>15.617429590834853</v>
      </c>
      <c r="S40">
        <v>45.274210613022802</v>
      </c>
      <c r="U40">
        <v>0.6895077238840116</v>
      </c>
      <c r="V40">
        <v>47.719606388222381</v>
      </c>
      <c r="W40">
        <v>18.972912078191708</v>
      </c>
      <c r="X40">
        <v>45.675259489955316</v>
      </c>
      <c r="Y40">
        <v>9.3527354692933571</v>
      </c>
      <c r="Z40">
        <v>31.163482404718199</v>
      </c>
      <c r="AA40">
        <v>6.6425761157084056</v>
      </c>
      <c r="AB40">
        <v>35.687650355048561</v>
      </c>
      <c r="AD40">
        <v>8.0779735929146703</v>
      </c>
      <c r="AE40">
        <v>12.383628608789303</v>
      </c>
      <c r="AF40">
        <v>12.612516657595645</v>
      </c>
      <c r="AG40">
        <v>20.954690640012601</v>
      </c>
      <c r="AH40">
        <v>8.4144820547734369</v>
      </c>
      <c r="AI40">
        <v>2.5654596014696089</v>
      </c>
      <c r="AK40">
        <v>58.351693648403661</v>
      </c>
    </row>
    <row r="41" spans="1:37" x14ac:dyDescent="0.2">
      <c r="A41">
        <v>40</v>
      </c>
      <c r="B41">
        <v>743</v>
      </c>
      <c r="C41">
        <v>280</v>
      </c>
      <c r="D41">
        <v>0.28666092604438298</v>
      </c>
      <c r="E41">
        <v>203.24757425928166</v>
      </c>
      <c r="F41">
        <v>61.584860104890893</v>
      </c>
      <c r="G41">
        <v>71.774306930874445</v>
      </c>
      <c r="H41">
        <v>67.142465704107622</v>
      </c>
      <c r="J41">
        <v>69.325010753771465</v>
      </c>
      <c r="L41">
        <v>7.5034455671056763</v>
      </c>
      <c r="M41">
        <v>12.875434675784359</v>
      </c>
      <c r="N41">
        <v>2.6226165707061635</v>
      </c>
      <c r="O41">
        <v>29.507718144108381</v>
      </c>
      <c r="P41">
        <v>12.184085650629951</v>
      </c>
      <c r="Q41">
        <v>0.12414627980225669</v>
      </c>
      <c r="R41">
        <v>15.39207461159423</v>
      </c>
      <c r="S41">
        <v>44.787799377255318</v>
      </c>
      <c r="U41">
        <v>0.60278575377969912</v>
      </c>
      <c r="V41">
        <v>47.59706172759666</v>
      </c>
      <c r="W41">
        <v>18.755453596969783</v>
      </c>
      <c r="X41">
        <v>45.448474898023939</v>
      </c>
      <c r="Y41">
        <v>9.259635749092789</v>
      </c>
      <c r="Z41">
        <v>30.948138321690735</v>
      </c>
      <c r="AA41">
        <v>6.553251646509147</v>
      </c>
      <c r="AB41">
        <v>35.519966684952223</v>
      </c>
      <c r="AD41">
        <v>7.9542759399362701</v>
      </c>
      <c r="AE41">
        <v>12.287539490633071</v>
      </c>
      <c r="AF41">
        <v>12.536113845928693</v>
      </c>
      <c r="AG41">
        <v>20.772039903822225</v>
      </c>
      <c r="AH41">
        <v>8.2741325323826</v>
      </c>
      <c r="AI41">
        <v>2.5671327195441456</v>
      </c>
      <c r="AK41">
        <v>58.337175611291237</v>
      </c>
    </row>
    <row r="42" spans="1:37" x14ac:dyDescent="0.2">
      <c r="A42">
        <v>41</v>
      </c>
      <c r="B42">
        <v>742</v>
      </c>
      <c r="C42">
        <v>280</v>
      </c>
      <c r="D42">
        <v>0.28588927744668102</v>
      </c>
      <c r="E42">
        <v>203.12432279066022</v>
      </c>
      <c r="F42">
        <v>61.199556441577506</v>
      </c>
      <c r="G42">
        <v>71.710597596728221</v>
      </c>
      <c r="H42">
        <v>67.076548409272419</v>
      </c>
      <c r="J42">
        <v>69.235647111662857</v>
      </c>
      <c r="L42">
        <v>7.416838517871307</v>
      </c>
      <c r="M42">
        <v>12.800289818994042</v>
      </c>
      <c r="N42">
        <v>2.6245878396292968</v>
      </c>
      <c r="O42">
        <v>29.117633553914295</v>
      </c>
      <c r="P42">
        <v>12.080239795054444</v>
      </c>
      <c r="Q42">
        <v>5.6408807409868131E-2</v>
      </c>
      <c r="R42">
        <v>15.167074661818873</v>
      </c>
      <c r="S42">
        <v>44.302293921004505</v>
      </c>
      <c r="U42">
        <v>0.51613614619326875</v>
      </c>
      <c r="V42">
        <v>47.474703127726357</v>
      </c>
      <c r="W42">
        <v>18.538265900056526</v>
      </c>
      <c r="X42">
        <v>45.222116348432699</v>
      </c>
      <c r="Y42">
        <v>9.1666906530074339</v>
      </c>
      <c r="Z42">
        <v>30.733067138931698</v>
      </c>
      <c r="AA42">
        <v>6.4640941305033852</v>
      </c>
      <c r="AB42">
        <v>35.352543747145297</v>
      </c>
      <c r="AD42">
        <v>7.8306811240912877</v>
      </c>
      <c r="AE42">
        <v>12.191565873661787</v>
      </c>
      <c r="AF42">
        <v>12.459853838420125</v>
      </c>
      <c r="AG42">
        <v>20.589652375257909</v>
      </c>
      <c r="AH42">
        <v>8.1339989969826973</v>
      </c>
      <c r="AI42">
        <v>2.5688048581771139</v>
      </c>
      <c r="AK42">
        <v>58.322980022328125</v>
      </c>
    </row>
    <row r="43" spans="1:37" x14ac:dyDescent="0.2">
      <c r="A43">
        <v>42</v>
      </c>
      <c r="B43">
        <v>741</v>
      </c>
      <c r="C43">
        <v>280</v>
      </c>
      <c r="D43">
        <v>0.28511610708475299</v>
      </c>
      <c r="E43">
        <v>202.96968054415825</v>
      </c>
      <c r="F43">
        <v>60.562505325048122</v>
      </c>
      <c r="G43">
        <v>71.616740194325558</v>
      </c>
      <c r="H43">
        <v>66.980496372205891</v>
      </c>
      <c r="J43">
        <v>68.99820881340645</v>
      </c>
      <c r="L43">
        <v>7.2660477251837801</v>
      </c>
      <c r="M43">
        <v>12.698616842238041</v>
      </c>
      <c r="N43">
        <v>2.6265579480505785</v>
      </c>
      <c r="O43">
        <v>28.498822481630409</v>
      </c>
      <c r="P43">
        <v>11.916104715151162</v>
      </c>
      <c r="R43">
        <v>14.815497997774285</v>
      </c>
      <c r="S43">
        <v>43.547890986849424</v>
      </c>
      <c r="U43">
        <v>0.4151665860421509</v>
      </c>
      <c r="V43">
        <v>47.297050805388125</v>
      </c>
      <c r="W43">
        <v>18.325502895721357</v>
      </c>
      <c r="X43">
        <v>44.951759804457105</v>
      </c>
      <c r="Y43">
        <v>9.0112036873528574</v>
      </c>
      <c r="Z43">
        <v>30.308584604428599</v>
      </c>
      <c r="AA43">
        <v>6.3106823707391886</v>
      </c>
      <c r="AB43">
        <v>35.037242076813321</v>
      </c>
      <c r="AD43">
        <v>7.591494707077322</v>
      </c>
      <c r="AE43">
        <v>11.997065590076975</v>
      </c>
      <c r="AF43">
        <v>12.357064925679355</v>
      </c>
      <c r="AG43">
        <v>20.259387559807262</v>
      </c>
      <c r="AH43">
        <v>7.892619969547483</v>
      </c>
      <c r="AI43">
        <v>2.5704749796461783</v>
      </c>
      <c r="AK43">
        <v>58.226484207514829</v>
      </c>
    </row>
    <row r="44" spans="1:37" x14ac:dyDescent="0.2">
      <c r="A44">
        <v>43</v>
      </c>
      <c r="B44">
        <v>740</v>
      </c>
      <c r="C44">
        <v>280</v>
      </c>
      <c r="D44">
        <v>0.28434141045255101</v>
      </c>
      <c r="E44">
        <v>202.50505279614651</v>
      </c>
      <c r="F44">
        <v>57.580724027042869</v>
      </c>
      <c r="G44">
        <v>71.209131428110069</v>
      </c>
      <c r="H44">
        <v>66.570706318768785</v>
      </c>
      <c r="J44">
        <v>67.611819676902329</v>
      </c>
      <c r="L44">
        <v>6.4977346544846517</v>
      </c>
      <c r="M44">
        <v>12.495718278307738</v>
      </c>
      <c r="N44">
        <v>2.628513842891222</v>
      </c>
      <c r="O44">
        <v>25.612099021069927</v>
      </c>
      <c r="P44">
        <v>11.12446079034423</v>
      </c>
      <c r="R44">
        <v>13.467990573532884</v>
      </c>
      <c r="S44">
        <v>41.07556853244408</v>
      </c>
      <c r="U44">
        <v>0.26823263308182882</v>
      </c>
      <c r="V44">
        <v>46.886208315200847</v>
      </c>
      <c r="W44">
        <v>18.140954083658936</v>
      </c>
      <c r="X44">
        <v>44.539820162475081</v>
      </c>
      <c r="Y44">
        <v>8.2176543459584028</v>
      </c>
      <c r="Z44">
        <v>28.1204685520791</v>
      </c>
      <c r="AA44">
        <v>5.5291063803465583</v>
      </c>
      <c r="AB44">
        <v>33.79850208105271</v>
      </c>
      <c r="AD44">
        <v>6.3570158742062004</v>
      </c>
      <c r="AE44">
        <v>11.019081318829684</v>
      </c>
      <c r="AF44">
        <v>12.153036593207505</v>
      </c>
      <c r="AG44">
        <v>19.00567281769273</v>
      </c>
      <c r="AH44">
        <v>6.6503159117203907</v>
      </c>
      <c r="AI44">
        <v>2.5721300290322584</v>
      </c>
      <c r="AK44">
        <v>57.410642557321275</v>
      </c>
    </row>
    <row r="45" spans="1:37" x14ac:dyDescent="0.2">
      <c r="A45">
        <v>44</v>
      </c>
      <c r="B45">
        <v>739</v>
      </c>
      <c r="C45">
        <v>280</v>
      </c>
      <c r="D45">
        <v>0.28356518302623301</v>
      </c>
      <c r="E45">
        <v>201.30809083836914</v>
      </c>
      <c r="F45">
        <v>49.349088797219451</v>
      </c>
      <c r="G45">
        <v>70.024673679987004</v>
      </c>
      <c r="H45">
        <v>65.384080652325906</v>
      </c>
      <c r="J45">
        <v>64.232969448429984</v>
      </c>
      <c r="L45">
        <v>4.2905635231251802</v>
      </c>
      <c r="M45">
        <v>12.401759158710986</v>
      </c>
      <c r="N45">
        <v>2.6304235524446842</v>
      </c>
      <c r="O45">
        <v>17.335995595923194</v>
      </c>
      <c r="P45">
        <v>8.7790808364181103</v>
      </c>
      <c r="R45">
        <v>10.307827732599335</v>
      </c>
      <c r="S45">
        <v>36.778558945579945</v>
      </c>
      <c r="U45">
        <v>0.21917560503534692</v>
      </c>
      <c r="V45">
        <v>46.697555096531637</v>
      </c>
      <c r="W45">
        <v>17.988639659744056</v>
      </c>
      <c r="X45">
        <v>44.432731333168611</v>
      </c>
      <c r="Y45">
        <v>5.8687088367871105</v>
      </c>
      <c r="Z45">
        <v>22.386840322532894</v>
      </c>
      <c r="AA45">
        <v>3.2701710461101903</v>
      </c>
      <c r="AB45">
        <v>31.631573871805646</v>
      </c>
      <c r="AD45">
        <v>3.0507991370345446</v>
      </c>
      <c r="AE45">
        <v>8.5865434907952007</v>
      </c>
      <c r="AF45">
        <v>12.057901906611043</v>
      </c>
      <c r="AG45">
        <v>16.823726295372111</v>
      </c>
      <c r="AH45">
        <v>3.0053997910307135</v>
      </c>
      <c r="AI45">
        <v>2.5737380327879356</v>
      </c>
      <c r="AK45">
        <v>55.091019069706256</v>
      </c>
    </row>
    <row r="46" spans="1:37" x14ac:dyDescent="0.2">
      <c r="A46">
        <v>45</v>
      </c>
      <c r="B46">
        <v>738</v>
      </c>
      <c r="C46">
        <v>280</v>
      </c>
      <c r="D46">
        <v>0.28278742026405701</v>
      </c>
      <c r="E46">
        <v>200.36482997974605</v>
      </c>
      <c r="F46">
        <v>42.868200551602172</v>
      </c>
      <c r="G46">
        <v>69.08517121845712</v>
      </c>
      <c r="H46">
        <v>64.442423662881325</v>
      </c>
      <c r="J46">
        <v>61.562977095223204</v>
      </c>
      <c r="L46">
        <v>2.5303488261197162</v>
      </c>
      <c r="M46">
        <v>12.312208052457811</v>
      </c>
      <c r="N46">
        <v>2.6323430855540879</v>
      </c>
      <c r="O46">
        <v>10.787392609606579</v>
      </c>
      <c r="P46">
        <v>6.9236294229706701</v>
      </c>
      <c r="R46">
        <v>7.7443652579290125</v>
      </c>
      <c r="S46">
        <v>33.333822969818151</v>
      </c>
      <c r="U46">
        <v>0.18090883036631761</v>
      </c>
      <c r="V46">
        <v>46.538199550592516</v>
      </c>
      <c r="W46">
        <v>17.834658400144143</v>
      </c>
      <c r="X46">
        <v>44.356830071541133</v>
      </c>
      <c r="Y46">
        <v>4.0116255478308185</v>
      </c>
      <c r="Z46">
        <v>17.829860205563435</v>
      </c>
      <c r="AA46">
        <v>1.4803983190688013</v>
      </c>
      <c r="AB46">
        <v>29.898438966987968</v>
      </c>
      <c r="AD46">
        <v>0.40486809776754112</v>
      </c>
      <c r="AE46">
        <v>6.6624575478752535</v>
      </c>
      <c r="AF46">
        <v>11.967185449560516</v>
      </c>
      <c r="AG46">
        <v>15.075585525848076</v>
      </c>
      <c r="AH46">
        <v>8.3120207288039843E-2</v>
      </c>
      <c r="AI46">
        <v>2.5753549979163886</v>
      </c>
      <c r="AK46">
        <v>53.268815764536328</v>
      </c>
    </row>
    <row r="47" spans="1:37" x14ac:dyDescent="0.2">
      <c r="A47">
        <v>46</v>
      </c>
      <c r="B47">
        <v>737</v>
      </c>
      <c r="C47">
        <v>280</v>
      </c>
      <c r="D47">
        <v>0.28200811760629901</v>
      </c>
      <c r="E47">
        <v>200.8697417378923</v>
      </c>
      <c r="F47">
        <v>44.828192634772627</v>
      </c>
      <c r="G47">
        <v>69.426767923698819</v>
      </c>
      <c r="H47">
        <v>64.781879252158163</v>
      </c>
      <c r="J47">
        <v>47.50471158428001</v>
      </c>
      <c r="L47">
        <v>1.6807500171983338</v>
      </c>
      <c r="M47">
        <v>11.805646736405356</v>
      </c>
      <c r="N47">
        <v>2.6343621434195703</v>
      </c>
      <c r="O47">
        <v>5.1269047310640286</v>
      </c>
      <c r="P47">
        <v>7.6304840353711825</v>
      </c>
      <c r="R47">
        <v>6.8993790447046965</v>
      </c>
      <c r="S47">
        <v>31.887491136227919</v>
      </c>
      <c r="U47">
        <v>0.10155692122952061</v>
      </c>
      <c r="V47">
        <v>47.416380038881073</v>
      </c>
      <c r="W47">
        <v>17.286667746930622</v>
      </c>
      <c r="X47">
        <v>44.162451272311792</v>
      </c>
      <c r="Y47">
        <v>3.5388859752215756</v>
      </c>
      <c r="Z47">
        <v>17.825360216257398</v>
      </c>
      <c r="AB47">
        <v>30.582030828449255</v>
      </c>
      <c r="AE47">
        <v>6.4394027232611704</v>
      </c>
      <c r="AF47">
        <v>11.459558705941877</v>
      </c>
      <c r="AG47">
        <v>15.744273678433718</v>
      </c>
      <c r="AI47">
        <v>2.5770706237772285</v>
      </c>
      <c r="AK47">
        <v>43.615797379805905</v>
      </c>
    </row>
    <row r="48" spans="1:37" x14ac:dyDescent="0.2">
      <c r="A48">
        <v>47</v>
      </c>
      <c r="B48">
        <v>736</v>
      </c>
      <c r="C48">
        <v>280</v>
      </c>
      <c r="D48">
        <v>0.281227270475152</v>
      </c>
      <c r="E48">
        <v>201.04486416038023</v>
      </c>
      <c r="F48">
        <v>45.353381159385556</v>
      </c>
      <c r="G48">
        <v>69.404258141013628</v>
      </c>
      <c r="H48">
        <v>64.75724178704462</v>
      </c>
      <c r="J48">
        <v>41.437561907514521</v>
      </c>
      <c r="L48">
        <v>1.6982399557168828</v>
      </c>
      <c r="M48">
        <v>11.328115792950642</v>
      </c>
      <c r="N48">
        <v>2.6363499409958009</v>
      </c>
      <c r="O48">
        <v>5.1330120858856443</v>
      </c>
      <c r="P48">
        <v>7.6091026030598163</v>
      </c>
      <c r="R48">
        <v>6.5376227903284896</v>
      </c>
      <c r="S48">
        <v>32.489564524388271</v>
      </c>
      <c r="U48">
        <v>7.0535881286901733E-2</v>
      </c>
      <c r="V48">
        <v>48.091079754717882</v>
      </c>
      <c r="W48">
        <v>16.740270777682664</v>
      </c>
      <c r="X48">
        <v>44.107481003719549</v>
      </c>
      <c r="Y48">
        <v>3.3320528634115125</v>
      </c>
      <c r="Z48">
        <v>18.002415632012472</v>
      </c>
      <c r="AB48">
        <v>31.209067026134196</v>
      </c>
      <c r="AE48">
        <v>6.5334975353217608</v>
      </c>
      <c r="AF48">
        <v>10.980931478948898</v>
      </c>
      <c r="AG48">
        <v>16.356377544312839</v>
      </c>
      <c r="AI48">
        <v>2.5787541234842486</v>
      </c>
      <c r="AK48">
        <v>39.414733891246122</v>
      </c>
    </row>
    <row r="49" spans="1:37" x14ac:dyDescent="0.2">
      <c r="A49">
        <v>48</v>
      </c>
      <c r="B49">
        <v>757</v>
      </c>
      <c r="C49">
        <v>260</v>
      </c>
      <c r="D49">
        <v>0.318662816094747</v>
      </c>
      <c r="E49">
        <v>193.3127608480242</v>
      </c>
      <c r="F49">
        <v>66.62825982526239</v>
      </c>
      <c r="G49">
        <v>72.673171175653565</v>
      </c>
      <c r="H49">
        <v>68.072692640827484</v>
      </c>
      <c r="J49">
        <v>70.241931640501988</v>
      </c>
      <c r="L49">
        <v>8.6503453848317342</v>
      </c>
      <c r="M49">
        <v>13.912541946485936</v>
      </c>
      <c r="N49">
        <v>2.5273941342732944</v>
      </c>
      <c r="O49">
        <v>35.099637818798129</v>
      </c>
      <c r="P49">
        <v>13.472059341609398</v>
      </c>
      <c r="Q49">
        <v>0.8841881268189572</v>
      </c>
      <c r="R49">
        <v>18.593934169333181</v>
      </c>
      <c r="S49">
        <v>51.237615043231138</v>
      </c>
      <c r="U49">
        <v>1.697779486613731</v>
      </c>
      <c r="V49">
        <v>48.891702823992908</v>
      </c>
      <c r="W49">
        <v>22.229164368111991</v>
      </c>
      <c r="X49">
        <v>47.43824540938234</v>
      </c>
      <c r="Y49">
        <v>10.409796451377209</v>
      </c>
      <c r="Z49">
        <v>33.955463922155303</v>
      </c>
      <c r="AA49">
        <v>7.7581994642831127</v>
      </c>
      <c r="AB49">
        <v>37.891761513850255</v>
      </c>
      <c r="AC49">
        <v>5.3938276321932486E-3</v>
      </c>
      <c r="AD49">
        <v>9.6664815522235283</v>
      </c>
      <c r="AE49">
        <v>13.782321381679045</v>
      </c>
      <c r="AF49">
        <v>13.582903186446204</v>
      </c>
      <c r="AG49">
        <v>23.372421618273325</v>
      </c>
      <c r="AH49">
        <v>9.8569698855470023</v>
      </c>
      <c r="AI49">
        <v>2.4734281826153239</v>
      </c>
      <c r="AK49">
        <v>58.269704474031116</v>
      </c>
    </row>
    <row r="50" spans="1:37" x14ac:dyDescent="0.2">
      <c r="A50">
        <v>49</v>
      </c>
      <c r="B50">
        <v>756</v>
      </c>
      <c r="C50">
        <v>260</v>
      </c>
      <c r="D50">
        <v>0.317932760044698</v>
      </c>
      <c r="E50">
        <v>193.20063407315504</v>
      </c>
      <c r="F50">
        <v>66.279984645531655</v>
      </c>
      <c r="G50">
        <v>72.614972308616487</v>
      </c>
      <c r="H50">
        <v>68.012093341796998</v>
      </c>
      <c r="J50">
        <v>70.16828427310746</v>
      </c>
      <c r="L50">
        <v>8.5687044628338693</v>
      </c>
      <c r="M50">
        <v>13.85406192326063</v>
      </c>
      <c r="N50">
        <v>2.5237323161176191</v>
      </c>
      <c r="O50">
        <v>34.719219470728738</v>
      </c>
      <c r="P50">
        <v>13.373482904139607</v>
      </c>
      <c r="Q50">
        <v>0.82941566875175798</v>
      </c>
      <c r="R50">
        <v>18.393862690526319</v>
      </c>
      <c r="S50">
        <v>50.831405337373333</v>
      </c>
      <c r="U50">
        <v>1.6257435839970455</v>
      </c>
      <c r="V50">
        <v>48.796239671593902</v>
      </c>
      <c r="W50">
        <v>22.043129824380276</v>
      </c>
      <c r="X50">
        <v>47.260544766398638</v>
      </c>
      <c r="Y50">
        <v>10.324323539722061</v>
      </c>
      <c r="Z50">
        <v>33.76489294724535</v>
      </c>
      <c r="AA50">
        <v>7.6739824189806969</v>
      </c>
      <c r="AB50">
        <v>37.754762578181762</v>
      </c>
      <c r="AD50">
        <v>9.5594971408874887</v>
      </c>
      <c r="AE50">
        <v>13.696029896157802</v>
      </c>
      <c r="AF50">
        <v>13.517667467209657</v>
      </c>
      <c r="AG50">
        <v>23.214815465557468</v>
      </c>
      <c r="AH50">
        <v>9.7351920378148424</v>
      </c>
      <c r="AI50">
        <v>2.4694799364148659</v>
      </c>
      <c r="AK50">
        <v>58.259830252295494</v>
      </c>
    </row>
    <row r="51" spans="1:37" x14ac:dyDescent="0.2">
      <c r="A51">
        <v>50</v>
      </c>
      <c r="B51">
        <v>755</v>
      </c>
      <c r="C51">
        <v>260</v>
      </c>
      <c r="D51">
        <v>0.31720128385935797</v>
      </c>
      <c r="E51">
        <v>193.07555900157712</v>
      </c>
      <c r="F51">
        <v>65.887287630703909</v>
      </c>
      <c r="G51">
        <v>72.550281440170721</v>
      </c>
      <c r="H51">
        <v>67.945015073800221</v>
      </c>
      <c r="J51">
        <v>70.070658659676511</v>
      </c>
      <c r="L51">
        <v>8.4802896355855104</v>
      </c>
      <c r="M51">
        <v>13.777576934407991</v>
      </c>
      <c r="N51">
        <v>2.5257071156901043</v>
      </c>
      <c r="O51">
        <v>34.321815034361805</v>
      </c>
      <c r="P51">
        <v>13.267566828005892</v>
      </c>
      <c r="Q51">
        <v>0.76098313040757148</v>
      </c>
      <c r="R51">
        <v>18.165155622166601</v>
      </c>
      <c r="S51">
        <v>50.335863338769201</v>
      </c>
      <c r="U51">
        <v>1.5381317440920559</v>
      </c>
      <c r="V51">
        <v>48.672093015975385</v>
      </c>
      <c r="W51">
        <v>21.823073255797794</v>
      </c>
      <c r="X51">
        <v>47.029930474558356</v>
      </c>
      <c r="Y51">
        <v>10.229563678949816</v>
      </c>
      <c r="Z51">
        <v>33.548201962151346</v>
      </c>
      <c r="AA51">
        <v>7.5830198957934556</v>
      </c>
      <c r="AB51">
        <v>37.58526828411253</v>
      </c>
      <c r="AD51">
        <v>9.4357116613732757</v>
      </c>
      <c r="AE51">
        <v>13.599409084508901</v>
      </c>
      <c r="AF51">
        <v>13.440063700420462</v>
      </c>
      <c r="AG51">
        <v>23.030353093515231</v>
      </c>
      <c r="AH51">
        <v>9.5926758087735617</v>
      </c>
      <c r="AI51">
        <v>2.471167477039268</v>
      </c>
      <c r="AK51">
        <v>58.24132348950593</v>
      </c>
    </row>
    <row r="52" spans="1:37" x14ac:dyDescent="0.2">
      <c r="A52">
        <v>51</v>
      </c>
      <c r="B52">
        <v>754</v>
      </c>
      <c r="C52">
        <v>260</v>
      </c>
      <c r="D52">
        <v>0.31646838339093702</v>
      </c>
      <c r="E52">
        <v>192.95063821219736</v>
      </c>
      <c r="F52">
        <v>65.495274889921447</v>
      </c>
      <c r="G52">
        <v>72.485672789674837</v>
      </c>
      <c r="H52">
        <v>67.87803207703459</v>
      </c>
      <c r="J52">
        <v>69.973633096931806</v>
      </c>
      <c r="L52">
        <v>8.3920397333997379</v>
      </c>
      <c r="M52">
        <v>13.701236488617552</v>
      </c>
      <c r="N52">
        <v>2.5276817850037396</v>
      </c>
      <c r="O52">
        <v>33.925015744675996</v>
      </c>
      <c r="P52">
        <v>13.161822826654376</v>
      </c>
      <c r="Q52">
        <v>0.69273573241852227</v>
      </c>
      <c r="R52">
        <v>17.93680608857343</v>
      </c>
      <c r="S52">
        <v>49.841234428282696</v>
      </c>
      <c r="U52">
        <v>1.450590121429006</v>
      </c>
      <c r="V52">
        <v>48.54813430628613</v>
      </c>
      <c r="W52">
        <v>21.603294068777704</v>
      </c>
      <c r="X52">
        <v>46.799743509085062</v>
      </c>
      <c r="Y52">
        <v>10.134957853516257</v>
      </c>
      <c r="Z52">
        <v>33.331795904745839</v>
      </c>
      <c r="AA52">
        <v>7.4922244704564873</v>
      </c>
      <c r="AB52">
        <v>37.416043462802271</v>
      </c>
      <c r="AD52">
        <v>9.3120281598194214</v>
      </c>
      <c r="AE52">
        <v>13.502910704633694</v>
      </c>
      <c r="AF52">
        <v>13.362604652392124</v>
      </c>
      <c r="AG52">
        <v>22.846162591252792</v>
      </c>
      <c r="AH52">
        <v>9.450373528457451</v>
      </c>
      <c r="AI52">
        <v>2.4728540546635549</v>
      </c>
      <c r="AK52">
        <v>58.223131828604394</v>
      </c>
    </row>
    <row r="53" spans="1:37" x14ac:dyDescent="0.2">
      <c r="A53">
        <v>52</v>
      </c>
      <c r="B53">
        <v>753</v>
      </c>
      <c r="C53">
        <v>260</v>
      </c>
      <c r="D53">
        <v>0.31573405447546998</v>
      </c>
      <c r="E53">
        <v>192.82587129066235</v>
      </c>
      <c r="F53">
        <v>65.103944690359668</v>
      </c>
      <c r="G53">
        <v>72.421146196969545</v>
      </c>
      <c r="H53">
        <v>67.811144212219631</v>
      </c>
      <c r="J53">
        <v>69.877207112177516</v>
      </c>
      <c r="L53">
        <v>8.3039547147770296</v>
      </c>
      <c r="M53">
        <v>13.625040118052217</v>
      </c>
      <c r="N53">
        <v>2.5296563246414165</v>
      </c>
      <c r="O53">
        <v>33.528820286307045</v>
      </c>
      <c r="P53">
        <v>13.056250603126566</v>
      </c>
      <c r="Q53">
        <v>0.62461562092130407</v>
      </c>
      <c r="R53">
        <v>17.708812985694035</v>
      </c>
      <c r="S53">
        <v>49.347515854332244</v>
      </c>
      <c r="U53">
        <v>1.363118356176473</v>
      </c>
      <c r="V53">
        <v>48.424362821230829</v>
      </c>
      <c r="W53">
        <v>21.383791328433556</v>
      </c>
      <c r="X53">
        <v>46.569982395814868</v>
      </c>
      <c r="Y53">
        <v>10.040505688198339</v>
      </c>
      <c r="Z53">
        <v>33.115673816926417</v>
      </c>
      <c r="AA53">
        <v>7.4015957678870112</v>
      </c>
      <c r="AB53">
        <v>37.24708719573038</v>
      </c>
      <c r="AD53">
        <v>9.1884465771907795</v>
      </c>
      <c r="AE53">
        <v>13.406534300286097</v>
      </c>
      <c r="AF53">
        <v>13.285289861494119</v>
      </c>
      <c r="AG53">
        <v>22.662243046781832</v>
      </c>
      <c r="AH53">
        <v>9.308284879956787</v>
      </c>
      <c r="AI53">
        <v>2.474539668030558</v>
      </c>
      <c r="AK53">
        <v>58.205255178704988</v>
      </c>
    </row>
    <row r="54" spans="1:37" x14ac:dyDescent="0.2">
      <c r="A54">
        <v>53</v>
      </c>
      <c r="B54">
        <v>752</v>
      </c>
      <c r="C54">
        <v>260</v>
      </c>
      <c r="D54">
        <v>0.31499829293274201</v>
      </c>
      <c r="E54">
        <v>192.70125782738327</v>
      </c>
      <c r="F54">
        <v>64.71329531992869</v>
      </c>
      <c r="G54">
        <v>72.356701504333302</v>
      </c>
      <c r="H54">
        <v>67.744351342554097</v>
      </c>
      <c r="J54">
        <v>69.781380242431169</v>
      </c>
      <c r="L54">
        <v>8.2159757789874526</v>
      </c>
      <c r="M54">
        <v>13.548987359244666</v>
      </c>
      <c r="N54">
        <v>2.5316307351178073</v>
      </c>
      <c r="O54">
        <v>33.133227359991842</v>
      </c>
      <c r="P54">
        <v>12.950849865335256</v>
      </c>
      <c r="Q54">
        <v>0.55662222250693316</v>
      </c>
      <c r="R54">
        <v>17.481175221476107</v>
      </c>
      <c r="S54">
        <v>48.854704891838225</v>
      </c>
      <c r="U54">
        <v>1.2757160931804212</v>
      </c>
      <c r="V54">
        <v>48.300777839395856</v>
      </c>
      <c r="W54">
        <v>21.164564108643045</v>
      </c>
      <c r="X54">
        <v>46.340645673962413</v>
      </c>
      <c r="Y54">
        <v>9.9462068129920027</v>
      </c>
      <c r="Z54">
        <v>32.899834749612573</v>
      </c>
      <c r="AA54">
        <v>7.3111334183128784</v>
      </c>
      <c r="AB54">
        <v>37.078398572696685</v>
      </c>
      <c r="AD54">
        <v>9.0649668569356567</v>
      </c>
      <c r="AE54">
        <v>13.310279419142876</v>
      </c>
      <c r="AF54">
        <v>13.208118870411441</v>
      </c>
      <c r="AG54">
        <v>22.478593556388599</v>
      </c>
      <c r="AH54">
        <v>9.1664095526012037</v>
      </c>
      <c r="AI54">
        <v>2.4762243158162853</v>
      </c>
      <c r="AK54">
        <v>58.18769345382335</v>
      </c>
    </row>
    <row r="55" spans="1:37" x14ac:dyDescent="0.2">
      <c r="A55">
        <v>54</v>
      </c>
      <c r="B55">
        <v>751</v>
      </c>
      <c r="C55">
        <v>260</v>
      </c>
      <c r="D55">
        <v>0.31426109456622597</v>
      </c>
      <c r="E55">
        <v>192.57679741718297</v>
      </c>
      <c r="F55">
        <v>64.323325086022862</v>
      </c>
      <c r="G55">
        <v>72.292338556307271</v>
      </c>
      <c r="H55">
        <v>67.67765333353951</v>
      </c>
      <c r="J55">
        <v>69.686152033761829</v>
      </c>
      <c r="L55">
        <v>8.1282123915785078</v>
      </c>
      <c r="M55">
        <v>13.473077752626322</v>
      </c>
      <c r="N55">
        <v>2.5336050170165021</v>
      </c>
      <c r="O55">
        <v>32.73823568202112</v>
      </c>
      <c r="P55">
        <v>12.845620325850087</v>
      </c>
      <c r="Q55">
        <v>0.48875497846576493</v>
      </c>
      <c r="R55">
        <v>17.253891715101805</v>
      </c>
      <c r="S55">
        <v>48.362798839834831</v>
      </c>
      <c r="U55">
        <v>1.1883829815531055</v>
      </c>
      <c r="V55">
        <v>48.177378638291366</v>
      </c>
      <c r="W55">
        <v>20.945611491142834</v>
      </c>
      <c r="X55">
        <v>46.111731895236694</v>
      </c>
      <c r="Y55">
        <v>9.8520608628565647</v>
      </c>
      <c r="Z55">
        <v>32.684277762033084</v>
      </c>
      <c r="AA55">
        <v>7.2208370570919502</v>
      </c>
      <c r="AB55">
        <v>36.909976690960896</v>
      </c>
      <c r="AD55">
        <v>8.9415889445841525</v>
      </c>
      <c r="AE55">
        <v>13.214145612510395</v>
      </c>
      <c r="AF55">
        <v>13.131091225806529</v>
      </c>
      <c r="AG55">
        <v>22.295213223902596</v>
      </c>
      <c r="AH55">
        <v>9.0247472414178915</v>
      </c>
      <c r="AI55">
        <v>2.477907996764849</v>
      </c>
      <c r="AK55">
        <v>58.170446572614971</v>
      </c>
    </row>
    <row r="56" spans="1:37" x14ac:dyDescent="0.2">
      <c r="A56">
        <v>55</v>
      </c>
      <c r="B56">
        <v>750</v>
      </c>
      <c r="C56">
        <v>260</v>
      </c>
      <c r="D56">
        <v>0.313522455162978</v>
      </c>
      <c r="E56">
        <v>192.45248965951583</v>
      </c>
      <c r="F56">
        <v>63.934032316302087</v>
      </c>
      <c r="G56">
        <v>72.228057199825102</v>
      </c>
      <c r="H56">
        <v>67.611050053110844</v>
      </c>
      <c r="J56">
        <v>69.591522041717383</v>
      </c>
      <c r="L56">
        <v>8.0406127174160993</v>
      </c>
      <c r="M56">
        <v>13.397310842923408</v>
      </c>
      <c r="N56">
        <v>2.5355791708311015</v>
      </c>
      <c r="O56">
        <v>32.343843984445215</v>
      </c>
      <c r="P56">
        <v>12.74056170200115</v>
      </c>
      <c r="Q56">
        <v>0.4210133473733122</v>
      </c>
      <c r="R56">
        <v>17.026961397509655</v>
      </c>
      <c r="S56">
        <v>47.871795023386198</v>
      </c>
      <c r="U56">
        <v>1.1011186750219912</v>
      </c>
      <c r="V56">
        <v>48.054164494734025</v>
      </c>
      <c r="W56">
        <v>20.726932566338981</v>
      </c>
      <c r="X56">
        <v>45.883239624138398</v>
      </c>
      <c r="Y56">
        <v>9.7580674778741994</v>
      </c>
      <c r="Z56">
        <v>32.469001922351993</v>
      </c>
      <c r="AA56">
        <v>7.1307063248198173</v>
      </c>
      <c r="AB56">
        <v>36.741820656009565</v>
      </c>
      <c r="AD56">
        <v>8.8183127881821317</v>
      </c>
      <c r="AE56">
        <v>13.118132435586659</v>
      </c>
      <c r="AF56">
        <v>13.054206478560946</v>
      </c>
      <c r="AG56">
        <v>22.112101161313099</v>
      </c>
      <c r="AH56">
        <v>8.8832976475704815</v>
      </c>
      <c r="AI56">
        <v>2.4795907095297891</v>
      </c>
      <c r="AK56">
        <v>58.153514458481361</v>
      </c>
    </row>
    <row r="57" spans="1:37" x14ac:dyDescent="0.2">
      <c r="A57">
        <v>56</v>
      </c>
      <c r="B57">
        <v>749</v>
      </c>
      <c r="C57">
        <v>260</v>
      </c>
      <c r="D57">
        <v>0.312782370493568</v>
      </c>
      <c r="E57">
        <v>192.32833415834958</v>
      </c>
      <c r="F57">
        <v>63.545415358095561</v>
      </c>
      <c r="G57">
        <v>72.163857284113334</v>
      </c>
      <c r="H57">
        <v>67.544541371538799</v>
      </c>
      <c r="J57">
        <v>69.497489831062708</v>
      </c>
      <c r="L57">
        <v>7.9531769398621313</v>
      </c>
      <c r="M57">
        <v>13.321686178818631</v>
      </c>
      <c r="N57">
        <v>2.5375531971031702</v>
      </c>
      <c r="O57">
        <v>31.950051014843371</v>
      </c>
      <c r="P57">
        <v>12.635673715817299</v>
      </c>
      <c r="Q57">
        <v>0.35333520712109928</v>
      </c>
      <c r="R57">
        <v>16.800383210993498</v>
      </c>
      <c r="S57">
        <v>47.381690791959521</v>
      </c>
      <c r="U57">
        <v>1.0139228316285089</v>
      </c>
      <c r="V57">
        <v>47.931134684241378</v>
      </c>
      <c r="W57">
        <v>20.508526432528686</v>
      </c>
      <c r="X57">
        <v>45.655167437878852</v>
      </c>
      <c r="Y57">
        <v>9.664226303136493</v>
      </c>
      <c r="Z57">
        <v>32.254006306978013</v>
      </c>
      <c r="AA57">
        <v>7.0407408672759484</v>
      </c>
      <c r="AB57">
        <v>36.573929580793099</v>
      </c>
      <c r="AD57">
        <v>8.6951383379399338</v>
      </c>
      <c r="AE57">
        <v>13.022239447128154</v>
      </c>
      <c r="AF57">
        <v>12.977464183574211</v>
      </c>
      <c r="AG57">
        <v>21.929256488139597</v>
      </c>
      <c r="AH57">
        <v>8.7420604780204645</v>
      </c>
      <c r="AI57">
        <v>2.4812724528129579</v>
      </c>
      <c r="AK57">
        <v>58.136897039572844</v>
      </c>
    </row>
    <row r="58" spans="1:37" x14ac:dyDescent="0.2">
      <c r="A58">
        <v>57</v>
      </c>
      <c r="B58">
        <v>748</v>
      </c>
      <c r="C58">
        <v>260</v>
      </c>
      <c r="D58">
        <v>0.31204083631200402</v>
      </c>
      <c r="E58">
        <v>192.20433052203413</v>
      </c>
      <c r="F58">
        <v>63.157472577949186</v>
      </c>
      <c r="G58">
        <v>72.099738660639545</v>
      </c>
      <c r="H58">
        <v>67.478127161373308</v>
      </c>
      <c r="J58">
        <v>69.404054975531679</v>
      </c>
      <c r="L58">
        <v>7.8658497133495091</v>
      </c>
      <c r="M58">
        <v>13.246203312847582</v>
      </c>
      <c r="N58">
        <v>2.5395270964305001</v>
      </c>
      <c r="O58">
        <v>31.556855536079539</v>
      </c>
      <c r="P58">
        <v>12.530956093925321</v>
      </c>
      <c r="Q58">
        <v>0.2858375874152807</v>
      </c>
      <c r="R58">
        <v>16.574156108945854</v>
      </c>
      <c r="S58">
        <v>46.892483518848231</v>
      </c>
      <c r="U58">
        <v>0.92679511363930411</v>
      </c>
      <c r="V58">
        <v>47.80828848057768</v>
      </c>
      <c r="W58">
        <v>20.290392195733208</v>
      </c>
      <c r="X58">
        <v>45.427513925689013</v>
      </c>
      <c r="Y58">
        <v>9.5705369886515808</v>
      </c>
      <c r="Z58">
        <v>32.039290000440303</v>
      </c>
      <c r="AA58">
        <v>6.9509403353450692</v>
      </c>
      <c r="AB58">
        <v>36.406302585568589</v>
      </c>
      <c r="AD58">
        <v>8.572065546186181</v>
      </c>
      <c r="AE58">
        <v>12.926466209409535</v>
      </c>
      <c r="AF58">
        <v>12.900863899666716</v>
      </c>
      <c r="AG58">
        <v>21.746678331283711</v>
      </c>
      <c r="AH58">
        <v>8.6010354453836086</v>
      </c>
      <c r="AI58">
        <v>2.4829532253722046</v>
      </c>
      <c r="AK58">
        <v>58.120594248650733</v>
      </c>
    </row>
    <row r="59" spans="1:37" x14ac:dyDescent="0.2">
      <c r="A59">
        <v>58</v>
      </c>
      <c r="B59">
        <v>747</v>
      </c>
      <c r="C59">
        <v>260</v>
      </c>
      <c r="D59">
        <v>0.31129784835563601</v>
      </c>
      <c r="E59">
        <v>192.08047836337369</v>
      </c>
      <c r="F59">
        <v>62.770202361991295</v>
      </c>
      <c r="G59">
        <v>72.035701183191549</v>
      </c>
      <c r="H59">
        <v>67.411807297526906</v>
      </c>
      <c r="J59">
        <v>69.311217058009035</v>
      </c>
      <c r="L59">
        <v>7.7787327071989329</v>
      </c>
      <c r="M59">
        <v>13.170861801666259</v>
      </c>
      <c r="N59">
        <v>2.5415008693246204</v>
      </c>
      <c r="O59">
        <v>31.164256326313772</v>
      </c>
      <c r="P59">
        <v>12.426408567574855</v>
      </c>
      <c r="Q59">
        <v>0.21846346296213778</v>
      </c>
      <c r="R59">
        <v>16.348279056136317</v>
      </c>
      <c r="S59">
        <v>46.404170602421388</v>
      </c>
      <c r="U59">
        <v>0.83973518778762557</v>
      </c>
      <c r="V59">
        <v>47.685625155885148</v>
      </c>
      <c r="W59">
        <v>20.072528970329326</v>
      </c>
      <c r="X59">
        <v>45.200277689252324</v>
      </c>
      <c r="Y59">
        <v>9.4769991894169028</v>
      </c>
      <c r="Z59">
        <v>31.82485209592215</v>
      </c>
      <c r="AA59">
        <v>6.8613043850223043</v>
      </c>
      <c r="AB59">
        <v>36.238938798522653</v>
      </c>
      <c r="AD59">
        <v>8.4490943677284385</v>
      </c>
      <c r="AE59">
        <v>12.830812288469527</v>
      </c>
      <c r="AF59">
        <v>12.824405189705212</v>
      </c>
      <c r="AG59">
        <v>21.564365825508112</v>
      </c>
      <c r="AH59">
        <v>8.4602222682286925</v>
      </c>
      <c r="AI59">
        <v>2.4846330258788809</v>
      </c>
      <c r="AK59">
        <v>58.10460602304633</v>
      </c>
    </row>
    <row r="60" spans="1:37" x14ac:dyDescent="0.2">
      <c r="A60">
        <v>59</v>
      </c>
      <c r="B60">
        <v>746</v>
      </c>
      <c r="C60">
        <v>260</v>
      </c>
      <c r="D60">
        <v>0.31055340234509199</v>
      </c>
      <c r="E60">
        <v>191.95677729962861</v>
      </c>
      <c r="F60">
        <v>62.383603115671214</v>
      </c>
      <c r="G60">
        <v>71.971744707814594</v>
      </c>
      <c r="H60">
        <v>67.34558165721333</v>
      </c>
      <c r="J60">
        <v>69.218975670477079</v>
      </c>
      <c r="L60">
        <v>7.6917788633095494</v>
      </c>
      <c r="M60">
        <v>13.095661205821255</v>
      </c>
      <c r="N60">
        <v>2.5434745163374566</v>
      </c>
      <c r="O60">
        <v>30.772252178929666</v>
      </c>
      <c r="P60">
        <v>12.322030872634906</v>
      </c>
      <c r="Q60">
        <v>0.15121231002217064</v>
      </c>
      <c r="R60">
        <v>16.122751028515339</v>
      </c>
      <c r="S60">
        <v>45.916749465050309</v>
      </c>
      <c r="U60">
        <v>0.75274272506186324</v>
      </c>
      <c r="V60">
        <v>47.563143980226705</v>
      </c>
      <c r="W60">
        <v>19.854935878415652</v>
      </c>
      <c r="X60">
        <v>44.973457342741867</v>
      </c>
      <c r="Y60">
        <v>9.3836125653738627</v>
      </c>
      <c r="Z60">
        <v>31.610691694642853</v>
      </c>
      <c r="AA60">
        <v>6.7718326774292725</v>
      </c>
      <c r="AB60">
        <v>36.071837355125311</v>
      </c>
      <c r="AD60">
        <v>8.326224759552332</v>
      </c>
      <c r="AE60">
        <v>12.735277253791233</v>
      </c>
      <c r="AF60">
        <v>12.748087620503398</v>
      </c>
      <c r="AG60">
        <v>21.382318112921762</v>
      </c>
      <c r="AH60">
        <v>8.3196206708448166</v>
      </c>
      <c r="AI60">
        <v>2.4863118530445019</v>
      </c>
      <c r="AK60">
        <v>58.088932304791321</v>
      </c>
    </row>
    <row r="61" spans="1:37" x14ac:dyDescent="0.2">
      <c r="A61">
        <v>60</v>
      </c>
      <c r="B61">
        <v>745</v>
      </c>
      <c r="C61">
        <v>260</v>
      </c>
      <c r="D61">
        <v>0.309807493984187</v>
      </c>
      <c r="E61">
        <v>191.8332269524463</v>
      </c>
      <c r="F61">
        <v>61.997673263610935</v>
      </c>
      <c r="G61">
        <v>71.907869092820391</v>
      </c>
      <c r="H61">
        <v>67.27945011995098</v>
      </c>
      <c r="J61">
        <v>69.127330413907103</v>
      </c>
      <c r="L61">
        <v>7.6049888763587754</v>
      </c>
      <c r="M61">
        <v>13.020601089802618</v>
      </c>
      <c r="N61">
        <v>2.5454480379933426</v>
      </c>
      <c r="O61">
        <v>30.380841902364271</v>
      </c>
      <c r="P61">
        <v>12.21782274954238</v>
      </c>
      <c r="Q61">
        <v>8.4083629302363072E-2</v>
      </c>
      <c r="R61">
        <v>15.897571013155984</v>
      </c>
      <c r="S61">
        <v>45.430217553289282</v>
      </c>
      <c r="U61">
        <v>0.66581740075546147</v>
      </c>
      <c r="V61">
        <v>47.440844221346218</v>
      </c>
      <c r="W61">
        <v>19.63761205001013</v>
      </c>
      <c r="X61">
        <v>44.747051512586197</v>
      </c>
      <c r="Y61">
        <v>9.2903767813799476</v>
      </c>
      <c r="Z61">
        <v>31.396807906059053</v>
      </c>
      <c r="AA61">
        <v>6.6825248787332674</v>
      </c>
      <c r="AB61">
        <v>35.904997398342552</v>
      </c>
      <c r="AD61">
        <v>8.2034566809671841</v>
      </c>
      <c r="AE61">
        <v>12.639860678408652</v>
      </c>
      <c r="AF61">
        <v>12.671910762800497</v>
      </c>
      <c r="AG61">
        <v>21.20053434311864</v>
      </c>
      <c r="AH61">
        <v>8.1792303832954989</v>
      </c>
      <c r="AI61">
        <v>2.4879897055535745</v>
      </c>
      <c r="AK61">
        <v>58.073573040475281</v>
      </c>
    </row>
    <row r="62" spans="1:37" x14ac:dyDescent="0.2">
      <c r="A62">
        <v>61</v>
      </c>
      <c r="B62">
        <v>744</v>
      </c>
      <c r="C62">
        <v>260</v>
      </c>
      <c r="D62">
        <v>0.30906011895984098</v>
      </c>
      <c r="E62">
        <v>191.70982694754753</v>
      </c>
      <c r="F62">
        <v>61.612411248530393</v>
      </c>
      <c r="G62">
        <v>71.844074198634416</v>
      </c>
      <c r="H62">
        <v>67.213412567415332</v>
      </c>
      <c r="J62">
        <v>69.036280897682772</v>
      </c>
      <c r="L62">
        <v>7.5183017438127404</v>
      </c>
      <c r="M62">
        <v>12.945681021665036</v>
      </c>
      <c r="N62">
        <v>2.5474214348865796</v>
      </c>
      <c r="O62">
        <v>29.990024319648214</v>
      </c>
      <c r="P62">
        <v>12.113783943099989</v>
      </c>
      <c r="Q62">
        <v>1.7076950503675106E-2</v>
      </c>
      <c r="R62">
        <v>15.672738007596431</v>
      </c>
      <c r="S62">
        <v>44.94457233597636</v>
      </c>
      <c r="U62">
        <v>0.57895889415243296</v>
      </c>
      <c r="V62">
        <v>47.318725143793216</v>
      </c>
      <c r="W62">
        <v>19.420556622387558</v>
      </c>
      <c r="X62">
        <v>44.521058835886592</v>
      </c>
      <c r="Y62">
        <v>9.197291506983797</v>
      </c>
      <c r="Z62">
        <v>31.183199847350185</v>
      </c>
      <c r="AA62">
        <v>6.593380659970884</v>
      </c>
      <c r="AB62">
        <v>35.738418077992591</v>
      </c>
      <c r="AD62">
        <v>8.0807900933117462</v>
      </c>
      <c r="AE62">
        <v>12.544562138713323</v>
      </c>
      <c r="AF62">
        <v>12.595874190982789</v>
      </c>
      <c r="AG62">
        <v>21.01901367263552</v>
      </c>
      <c r="AH62">
        <v>8.0390511409718979</v>
      </c>
      <c r="AI62">
        <v>2.489666582159058</v>
      </c>
      <c r="AK62">
        <v>58.058528180998898</v>
      </c>
    </row>
    <row r="63" spans="1:37" x14ac:dyDescent="0.2">
      <c r="A63">
        <v>62</v>
      </c>
      <c r="B63">
        <v>743</v>
      </c>
      <c r="C63">
        <v>260</v>
      </c>
      <c r="D63">
        <v>0.30831127294198801</v>
      </c>
      <c r="E63">
        <v>190.91066132143794</v>
      </c>
      <c r="F63">
        <v>56.269806696825782</v>
      </c>
      <c r="G63">
        <v>71.078276784831857</v>
      </c>
      <c r="H63">
        <v>66.445385780473444</v>
      </c>
      <c r="J63">
        <v>66.757591038123095</v>
      </c>
      <c r="L63">
        <v>6.0966458532133982</v>
      </c>
      <c r="M63">
        <v>12.819883174824106</v>
      </c>
      <c r="N63">
        <v>2.549360777225981</v>
      </c>
      <c r="O63">
        <v>24.646375298323495</v>
      </c>
      <c r="P63">
        <v>10.60571406608671</v>
      </c>
      <c r="R63">
        <v>13.522923710108518</v>
      </c>
      <c r="S63">
        <v>41.640870197968468</v>
      </c>
      <c r="U63">
        <v>0.49330095328796314</v>
      </c>
      <c r="V63">
        <v>47.001301876453198</v>
      </c>
      <c r="W63">
        <v>19.241922507047601</v>
      </c>
      <c r="X63">
        <v>44.298666175124701</v>
      </c>
      <c r="Y63">
        <v>7.6897371614334169</v>
      </c>
      <c r="Z63">
        <v>27.478693635053396</v>
      </c>
      <c r="AA63">
        <v>5.1401176583680277</v>
      </c>
      <c r="AB63">
        <v>34.101990792617052</v>
      </c>
      <c r="AD63">
        <v>5.958467075682587</v>
      </c>
      <c r="AE63">
        <v>10.949520736402842</v>
      </c>
      <c r="AF63">
        <v>12.468926154428749</v>
      </c>
      <c r="AG63">
        <v>19.367613576368296</v>
      </c>
      <c r="AH63">
        <v>5.723912546100137</v>
      </c>
      <c r="AI63">
        <v>2.491308551230405</v>
      </c>
      <c r="AK63">
        <v>56.575067617432367</v>
      </c>
    </row>
    <row r="64" spans="1:37" x14ac:dyDescent="0.2">
      <c r="A64">
        <v>63</v>
      </c>
      <c r="B64">
        <v>742</v>
      </c>
      <c r="C64">
        <v>260</v>
      </c>
      <c r="D64">
        <v>0.30756095158350699</v>
      </c>
      <c r="E64">
        <v>189.78061320629627</v>
      </c>
      <c r="F64">
        <v>48.472606260153121</v>
      </c>
      <c r="G64">
        <v>69.947382279998521</v>
      </c>
      <c r="H64">
        <v>65.312275209044472</v>
      </c>
      <c r="J64">
        <v>63.495284748493361</v>
      </c>
      <c r="L64">
        <v>3.9818358018074651</v>
      </c>
      <c r="M64">
        <v>12.73354464889718</v>
      </c>
      <c r="N64">
        <v>2.5512759682211814</v>
      </c>
      <c r="O64">
        <v>16.767448197449657</v>
      </c>
      <c r="P64">
        <v>8.3674339023718876</v>
      </c>
      <c r="R64">
        <v>10.458723588416865</v>
      </c>
      <c r="S64">
        <v>37.352840795469653</v>
      </c>
      <c r="U64">
        <v>0.46108723647276195</v>
      </c>
      <c r="V64">
        <v>46.745577453282429</v>
      </c>
      <c r="W64">
        <v>19.08688492583391</v>
      </c>
      <c r="X64">
        <v>44.240693998901961</v>
      </c>
      <c r="Y64">
        <v>5.4495638023256072</v>
      </c>
      <c r="Z64">
        <v>22.069010308869597</v>
      </c>
      <c r="AA64">
        <v>2.9861525199324097</v>
      </c>
      <c r="AB64">
        <v>31.954863558929727</v>
      </c>
      <c r="AD64">
        <v>2.8288500061391555</v>
      </c>
      <c r="AE64">
        <v>8.656980733953894</v>
      </c>
      <c r="AF64">
        <v>12.381413661728267</v>
      </c>
      <c r="AG64">
        <v>17.205491980401433</v>
      </c>
      <c r="AH64">
        <v>2.2510703703077417</v>
      </c>
      <c r="AI64">
        <v>2.492925514136024</v>
      </c>
      <c r="AK64">
        <v>54.373569475244892</v>
      </c>
    </row>
    <row r="65" spans="1:37" x14ac:dyDescent="0.2">
      <c r="A65">
        <v>64</v>
      </c>
      <c r="B65">
        <v>741</v>
      </c>
      <c r="C65">
        <v>260</v>
      </c>
      <c r="D65">
        <v>0.30680915052014102</v>
      </c>
      <c r="E65">
        <v>189.46688862166695</v>
      </c>
      <c r="F65">
        <v>45.173171650774201</v>
      </c>
      <c r="G65">
        <v>69.598809940837242</v>
      </c>
      <c r="H65">
        <v>64.961500131206492</v>
      </c>
      <c r="J65">
        <v>56.328796706916854</v>
      </c>
      <c r="L65">
        <v>1.9683765122409751</v>
      </c>
      <c r="M65">
        <v>12.553931318722475</v>
      </c>
      <c r="N65">
        <v>2.5532430387689238</v>
      </c>
      <c r="O65">
        <v>7.0836049465881246</v>
      </c>
      <c r="P65">
        <v>7.6938580198094817</v>
      </c>
      <c r="R65">
        <v>8.077470241820949</v>
      </c>
      <c r="S65">
        <v>32.783522461340155</v>
      </c>
      <c r="U65">
        <v>0.4163160669608521</v>
      </c>
      <c r="V65">
        <v>46.772608750350805</v>
      </c>
      <c r="W65">
        <v>18.845638803252839</v>
      </c>
      <c r="X65">
        <v>44.146570443677902</v>
      </c>
      <c r="Y65">
        <v>3.863548195375234</v>
      </c>
      <c r="Z65">
        <v>18.463803186215774</v>
      </c>
      <c r="AA65">
        <v>0.71807508432235045</v>
      </c>
      <c r="AB65">
        <v>30.50925577356162</v>
      </c>
      <c r="AD65">
        <v>0.76240260151894956</v>
      </c>
      <c r="AE65">
        <v>6.8824819398842667</v>
      </c>
      <c r="AF65">
        <v>12.200678624395167</v>
      </c>
      <c r="AG65">
        <v>15.744944318447125</v>
      </c>
      <c r="AI65">
        <v>2.4945934999321326</v>
      </c>
      <c r="AK65">
        <v>49.508071735833013</v>
      </c>
    </row>
    <row r="66" spans="1:37" x14ac:dyDescent="0.2">
      <c r="A66">
        <v>65</v>
      </c>
      <c r="B66">
        <v>740</v>
      </c>
      <c r="C66">
        <v>260</v>
      </c>
      <c r="D66">
        <v>0.30605586537038199</v>
      </c>
      <c r="E66">
        <v>189.69260107028569</v>
      </c>
      <c r="F66">
        <v>45.456886164517265</v>
      </c>
      <c r="G66">
        <v>69.633981140048505</v>
      </c>
      <c r="H66">
        <v>64.994481941078121</v>
      </c>
      <c r="J66">
        <v>45.829884694708568</v>
      </c>
      <c r="L66">
        <v>1.661868069210257</v>
      </c>
      <c r="M66">
        <v>12.076212848010512</v>
      </c>
      <c r="N66">
        <v>2.5552379536633767</v>
      </c>
      <c r="O66">
        <v>5.3303386016236347</v>
      </c>
      <c r="P66">
        <v>7.7878051522155465</v>
      </c>
      <c r="R66">
        <v>7.460928330823263</v>
      </c>
      <c r="S66">
        <v>32.556292328698383</v>
      </c>
      <c r="U66">
        <v>0.37807478505307707</v>
      </c>
      <c r="V66">
        <v>47.44823641876031</v>
      </c>
      <c r="W66">
        <v>18.302367763705327</v>
      </c>
      <c r="X66">
        <v>44.071312243664117</v>
      </c>
      <c r="Y66">
        <v>3.4734693756484023</v>
      </c>
      <c r="Z66">
        <v>17.762243117281237</v>
      </c>
      <c r="AB66">
        <v>30.670023848807286</v>
      </c>
      <c r="AE66">
        <v>6.4609645639789681</v>
      </c>
      <c r="AF66">
        <v>11.721866676722765</v>
      </c>
      <c r="AG66">
        <v>15.890802973798573</v>
      </c>
      <c r="AI66">
        <v>2.496288471572722</v>
      </c>
      <c r="AK66">
        <v>42.33644893317782</v>
      </c>
    </row>
    <row r="67" spans="1:37" x14ac:dyDescent="0.2">
      <c r="A67">
        <v>66</v>
      </c>
      <c r="B67">
        <v>739</v>
      </c>
      <c r="C67">
        <v>260</v>
      </c>
      <c r="D67">
        <v>0.30530109173541498</v>
      </c>
      <c r="E67">
        <v>189.86931289007123</v>
      </c>
      <c r="F67">
        <v>45.985159639143973</v>
      </c>
      <c r="G67">
        <v>69.611658637600982</v>
      </c>
      <c r="H67">
        <v>64.96998342008753</v>
      </c>
      <c r="J67">
        <v>40.441412842819439</v>
      </c>
      <c r="L67">
        <v>1.6783462456017477</v>
      </c>
      <c r="M67">
        <v>11.606634759474581</v>
      </c>
      <c r="N67">
        <v>2.5572266690652223</v>
      </c>
      <c r="O67">
        <v>5.3314120227265986</v>
      </c>
      <c r="P67">
        <v>7.7667667993698544</v>
      </c>
      <c r="R67">
        <v>7.0958567596544668</v>
      </c>
      <c r="S67">
        <v>33.070751527801889</v>
      </c>
      <c r="U67">
        <v>0.35220930400672146</v>
      </c>
      <c r="V67">
        <v>48.085390672293187</v>
      </c>
      <c r="W67">
        <v>17.759925884667908</v>
      </c>
      <c r="X67">
        <v>44.031885761717767</v>
      </c>
      <c r="Y67">
        <v>3.2653907412727983</v>
      </c>
      <c r="Z67">
        <v>17.938369543793833</v>
      </c>
      <c r="AB67">
        <v>31.247062955549531</v>
      </c>
      <c r="AE67">
        <v>6.55449354294724</v>
      </c>
      <c r="AF67">
        <v>11.251189303390557</v>
      </c>
      <c r="AG67">
        <v>16.452929079721542</v>
      </c>
      <c r="AI67">
        <v>2.4979763833773658</v>
      </c>
      <c r="AK67">
        <v>38.604678493221492</v>
      </c>
    </row>
    <row r="68" spans="1:37" x14ac:dyDescent="0.2">
      <c r="A68">
        <v>67</v>
      </c>
      <c r="B68">
        <v>757</v>
      </c>
      <c r="C68">
        <v>240</v>
      </c>
      <c r="D68">
        <v>0.340018929282145</v>
      </c>
      <c r="E68">
        <v>181.64265273463451</v>
      </c>
      <c r="F68">
        <v>66.22902123695394</v>
      </c>
      <c r="G68">
        <v>72.676037337301267</v>
      </c>
      <c r="H68">
        <v>68.074629448380762</v>
      </c>
      <c r="J68">
        <v>69.871987603058656</v>
      </c>
      <c r="L68">
        <v>8.5687914610398632</v>
      </c>
      <c r="M68">
        <v>13.895416725534313</v>
      </c>
      <c r="N68">
        <v>2.4542797727064736</v>
      </c>
      <c r="O68">
        <v>35.194515145213096</v>
      </c>
      <c r="P68">
        <v>13.291730870114305</v>
      </c>
      <c r="Q68">
        <v>0.67949786113831168</v>
      </c>
      <c r="R68">
        <v>18.624171695177843</v>
      </c>
      <c r="S68">
        <v>50.876991921981087</v>
      </c>
      <c r="U68">
        <v>1.6021183959664187</v>
      </c>
      <c r="V68">
        <v>48.469871265715305</v>
      </c>
      <c r="W68">
        <v>22.683414387127097</v>
      </c>
      <c r="X68">
        <v>46.243302153230715</v>
      </c>
      <c r="Y68">
        <v>10.247230539703166</v>
      </c>
      <c r="Z68">
        <v>33.936262731651709</v>
      </c>
      <c r="AA68">
        <v>7.698980612826432</v>
      </c>
      <c r="AB68">
        <v>37.914851981867642</v>
      </c>
      <c r="AC68">
        <v>5.5363480508367575E-3</v>
      </c>
      <c r="AD68">
        <v>9.6472425993040005</v>
      </c>
      <c r="AE68">
        <v>13.928226419144199</v>
      </c>
      <c r="AF68">
        <v>13.554328131542228</v>
      </c>
      <c r="AG68">
        <v>23.408820437615582</v>
      </c>
      <c r="AH68">
        <v>9.4679770837896804</v>
      </c>
      <c r="AI68">
        <v>2.3977709039238091</v>
      </c>
      <c r="AK68">
        <v>57.973595927921245</v>
      </c>
    </row>
    <row r="69" spans="1:37" x14ac:dyDescent="0.2">
      <c r="A69">
        <v>68</v>
      </c>
      <c r="B69">
        <v>756</v>
      </c>
      <c r="C69">
        <v>240</v>
      </c>
      <c r="D69">
        <v>0.33930962444735902</v>
      </c>
      <c r="E69">
        <v>181.53131733001888</v>
      </c>
      <c r="F69">
        <v>65.883718890915773</v>
      </c>
      <c r="G69">
        <v>72.618149724872751</v>
      </c>
      <c r="H69">
        <v>68.014333271531356</v>
      </c>
      <c r="J69">
        <v>69.799121209808703</v>
      </c>
      <c r="L69">
        <v>8.4877142427795729</v>
      </c>
      <c r="M69">
        <v>13.837978012522047</v>
      </c>
      <c r="N69">
        <v>2.4504866382632389</v>
      </c>
      <c r="O69">
        <v>34.815051978590816</v>
      </c>
      <c r="P69">
        <v>13.193637804285068</v>
      </c>
      <c r="Q69">
        <v>0.6258477435435198</v>
      </c>
      <c r="R69">
        <v>18.425970456804759</v>
      </c>
      <c r="S69">
        <v>50.475207445771538</v>
      </c>
      <c r="U69">
        <v>1.5306502731594271</v>
      </c>
      <c r="V69">
        <v>48.376106447001192</v>
      </c>
      <c r="W69">
        <v>22.498854448198461</v>
      </c>
      <c r="X69">
        <v>46.068950716854779</v>
      </c>
      <c r="Y69">
        <v>10.162265399495089</v>
      </c>
      <c r="Z69">
        <v>33.747725971202222</v>
      </c>
      <c r="AA69">
        <v>7.6153541343756004</v>
      </c>
      <c r="AB69">
        <v>37.779729372410173</v>
      </c>
      <c r="AD69">
        <v>9.5415676667390237</v>
      </c>
      <c r="AE69">
        <v>13.842723418288287</v>
      </c>
      <c r="AF69">
        <v>13.489999600519344</v>
      </c>
      <c r="AG69">
        <v>23.252985601228971</v>
      </c>
      <c r="AH69">
        <v>9.3471827238720895</v>
      </c>
      <c r="AI69">
        <v>2.3936922436362584</v>
      </c>
      <c r="AK69">
        <v>57.964172367143568</v>
      </c>
    </row>
    <row r="70" spans="1:37" x14ac:dyDescent="0.2">
      <c r="A70">
        <v>69</v>
      </c>
      <c r="B70">
        <v>755</v>
      </c>
      <c r="C70">
        <v>240</v>
      </c>
      <c r="D70">
        <v>0.338598939843407</v>
      </c>
      <c r="E70">
        <v>181.40661957755827</v>
      </c>
      <c r="F70">
        <v>65.493010835635616</v>
      </c>
      <c r="G70">
        <v>72.553611504432382</v>
      </c>
      <c r="H70">
        <v>67.947399521007299</v>
      </c>
      <c r="J70">
        <v>69.701436589658485</v>
      </c>
      <c r="L70">
        <v>8.3997379023762946</v>
      </c>
      <c r="M70">
        <v>13.762130354000087</v>
      </c>
      <c r="N70">
        <v>2.452463311019021</v>
      </c>
      <c r="O70">
        <v>34.418426844376988</v>
      </c>
      <c r="P70">
        <v>13.08802107357552</v>
      </c>
      <c r="Q70">
        <v>0.55854265558206273</v>
      </c>
      <c r="R70">
        <v>18.198480482712512</v>
      </c>
      <c r="S70">
        <v>49.982077582458359</v>
      </c>
      <c r="U70">
        <v>1.4431485233770875</v>
      </c>
      <c r="V70">
        <v>48.252858420144527</v>
      </c>
      <c r="W70">
        <v>22.279584156628179</v>
      </c>
      <c r="X70">
        <v>45.840169344463185</v>
      </c>
      <c r="Y70">
        <v>10.067814605117579</v>
      </c>
      <c r="Z70">
        <v>33.53300810332582</v>
      </c>
      <c r="AA70">
        <v>7.5248647765467611</v>
      </c>
      <c r="AB70">
        <v>37.611661784428712</v>
      </c>
      <c r="AD70">
        <v>9.4189598455751025</v>
      </c>
      <c r="AE70">
        <v>13.746944753454889</v>
      </c>
      <c r="AF70">
        <v>13.413032236359697</v>
      </c>
      <c r="AG70">
        <v>23.069978114863932</v>
      </c>
      <c r="AH70">
        <v>9.2052263102042851</v>
      </c>
      <c r="AI70">
        <v>2.3953825596446574</v>
      </c>
      <c r="AK70">
        <v>57.945723852996835</v>
      </c>
    </row>
    <row r="71" spans="1:37" x14ac:dyDescent="0.2">
      <c r="A71">
        <v>70</v>
      </c>
      <c r="B71">
        <v>754</v>
      </c>
      <c r="C71">
        <v>240</v>
      </c>
      <c r="D71">
        <v>0.33788687144039198</v>
      </c>
      <c r="E71">
        <v>181.28207054247594</v>
      </c>
      <c r="F71">
        <v>65.102968798686433</v>
      </c>
      <c r="G71">
        <v>72.489153226448096</v>
      </c>
      <c r="H71">
        <v>67.880558768114881</v>
      </c>
      <c r="J71">
        <v>69.604339839688308</v>
      </c>
      <c r="L71">
        <v>8.3118666848719354</v>
      </c>
      <c r="M71">
        <v>13.686423390230459</v>
      </c>
      <c r="N71">
        <v>2.4544398543761461</v>
      </c>
      <c r="O71">
        <v>34.022392787550807</v>
      </c>
      <c r="P71">
        <v>12.982571865041676</v>
      </c>
      <c r="Q71">
        <v>0.49129373577061869</v>
      </c>
      <c r="R71">
        <v>17.971337460907538</v>
      </c>
      <c r="S71">
        <v>49.489834999694395</v>
      </c>
      <c r="U71">
        <v>1.3557106423430549</v>
      </c>
      <c r="V71">
        <v>48.129791466613902</v>
      </c>
      <c r="W71">
        <v>22.060585420467547</v>
      </c>
      <c r="X71">
        <v>45.611799862265485</v>
      </c>
      <c r="Y71">
        <v>9.9735130680431379</v>
      </c>
      <c r="Z71">
        <v>33.31857268610063</v>
      </c>
      <c r="AA71">
        <v>7.4345382115939795</v>
      </c>
      <c r="AB71">
        <v>37.44385945615808</v>
      </c>
      <c r="AD71">
        <v>9.2964504028541839</v>
      </c>
      <c r="AE71">
        <v>13.65128821223905</v>
      </c>
      <c r="AF71">
        <v>13.336205748339099</v>
      </c>
      <c r="AG71">
        <v>22.887238286090863</v>
      </c>
      <c r="AH71">
        <v>9.0634779717624916</v>
      </c>
      <c r="AI71">
        <v>2.3970719135129013</v>
      </c>
      <c r="AK71">
        <v>57.927583437880628</v>
      </c>
    </row>
    <row r="72" spans="1:37" x14ac:dyDescent="0.2">
      <c r="A72">
        <v>71</v>
      </c>
      <c r="B72">
        <v>753</v>
      </c>
      <c r="C72">
        <v>240</v>
      </c>
      <c r="D72">
        <v>0.33717341519271199</v>
      </c>
      <c r="E72">
        <v>181.15766981849555</v>
      </c>
      <c r="F72">
        <v>64.713591138608422</v>
      </c>
      <c r="G72">
        <v>72.424774737442732</v>
      </c>
      <c r="H72">
        <v>67.813810880255772</v>
      </c>
      <c r="J72">
        <v>69.50783048879741</v>
      </c>
      <c r="L72">
        <v>8.2242047667029912</v>
      </c>
      <c r="M72">
        <v>13.610856678118989</v>
      </c>
      <c r="N72">
        <v>2.4564162688029532</v>
      </c>
      <c r="O72">
        <v>33.626948567705348</v>
      </c>
      <c r="P72">
        <v>12.877289894977999</v>
      </c>
      <c r="Q72">
        <v>0.45242728837568824</v>
      </c>
      <c r="R72">
        <v>17.744540338136819</v>
      </c>
      <c r="S72">
        <v>48.998477068046149</v>
      </c>
      <c r="U72">
        <v>1.2683362898127939</v>
      </c>
      <c r="V72">
        <v>48.006904885320914</v>
      </c>
      <c r="W72">
        <v>21.841857375112657</v>
      </c>
      <c r="X72">
        <v>45.3838408387344</v>
      </c>
      <c r="Y72">
        <v>9.8793604278810054</v>
      </c>
      <c r="Z72">
        <v>33.104418864419742</v>
      </c>
      <c r="AA72">
        <v>7.3443740844743512</v>
      </c>
      <c r="AB72">
        <v>37.276321548197494</v>
      </c>
      <c r="AD72">
        <v>9.1740393497845147</v>
      </c>
      <c r="AE72">
        <v>13.555753393788248</v>
      </c>
      <c r="AF72">
        <v>13.259519699454685</v>
      </c>
      <c r="AG72">
        <v>22.704765281926221</v>
      </c>
      <c r="AH72">
        <v>8.9219374183044753</v>
      </c>
      <c r="AI72">
        <v>2.398760303869734</v>
      </c>
      <c r="AK72">
        <v>57.909751022320371</v>
      </c>
    </row>
    <row r="73" spans="1:37" x14ac:dyDescent="0.2">
      <c r="A73">
        <v>72</v>
      </c>
      <c r="B73">
        <v>752</v>
      </c>
      <c r="C73">
        <v>240</v>
      </c>
      <c r="D73">
        <v>0.33645856703896998</v>
      </c>
      <c r="E73">
        <v>181.03341700300041</v>
      </c>
      <c r="F73">
        <v>64.324876231107993</v>
      </c>
      <c r="G73">
        <v>72.360475885875402</v>
      </c>
      <c r="H73">
        <v>67.74715572680941</v>
      </c>
      <c r="J73">
        <v>69.411908073307558</v>
      </c>
      <c r="L73">
        <v>8.1367023006711161</v>
      </c>
      <c r="M73">
        <v>13.535429777873274</v>
      </c>
      <c r="N73">
        <v>2.4583925549235448</v>
      </c>
      <c r="O73">
        <v>33.232092958528916</v>
      </c>
      <c r="P73">
        <v>12.772174883771184</v>
      </c>
      <c r="Q73">
        <v>0.38516974403867105</v>
      </c>
      <c r="R73">
        <v>17.518088070974489</v>
      </c>
      <c r="S73">
        <v>48.50800117860971</v>
      </c>
      <c r="U73">
        <v>1.1810251291406701</v>
      </c>
      <c r="V73">
        <v>47.884197973372586</v>
      </c>
      <c r="W73">
        <v>21.62339916291711</v>
      </c>
      <c r="X73">
        <v>45.156290851966631</v>
      </c>
      <c r="Y73">
        <v>9.7853563286182688</v>
      </c>
      <c r="Z73">
        <v>32.890545791176713</v>
      </c>
      <c r="AA73">
        <v>7.254372044727555</v>
      </c>
      <c r="AB73">
        <v>37.109047227924307</v>
      </c>
      <c r="AD73">
        <v>9.0517266989648153</v>
      </c>
      <c r="AE73">
        <v>13.460339900869883</v>
      </c>
      <c r="AF73">
        <v>13.182973656176035</v>
      </c>
      <c r="AG73">
        <v>22.522558276342775</v>
      </c>
      <c r="AH73">
        <v>8.780604364439121</v>
      </c>
      <c r="AI73">
        <v>2.4004477295003617</v>
      </c>
      <c r="AK73">
        <v>57.89222651060777</v>
      </c>
    </row>
    <row r="74" spans="1:37" x14ac:dyDescent="0.2">
      <c r="A74">
        <v>73</v>
      </c>
      <c r="B74">
        <v>751</v>
      </c>
      <c r="C74">
        <v>240</v>
      </c>
      <c r="D74">
        <v>0.33574232290192102</v>
      </c>
      <c r="E74">
        <v>180.90931169774049</v>
      </c>
      <c r="F74">
        <v>63.936822471351967</v>
      </c>
      <c r="G74">
        <v>72.296256522471452</v>
      </c>
      <c r="H74">
        <v>67.680593179461439</v>
      </c>
      <c r="J74">
        <v>69.316572138228523</v>
      </c>
      <c r="L74">
        <v>8.0493592787509272</v>
      </c>
      <c r="M74">
        <v>13.460142253895116</v>
      </c>
      <c r="N74">
        <v>2.460368713258879</v>
      </c>
      <c r="O74">
        <v>32.837824748635917</v>
      </c>
      <c r="P74">
        <v>12.667226556299228</v>
      </c>
      <c r="Q74">
        <v>0.31802105371552103</v>
      </c>
      <c r="R74">
        <v>17.291979627313737</v>
      </c>
      <c r="S74">
        <v>48.018404747410294</v>
      </c>
      <c r="U74">
        <v>1.0937768280302556</v>
      </c>
      <c r="V74">
        <v>47.761670027363628</v>
      </c>
      <c r="W74">
        <v>21.405209934767107</v>
      </c>
      <c r="X74">
        <v>44.929148493350091</v>
      </c>
      <c r="Y74">
        <v>9.6915004191015193</v>
      </c>
      <c r="Z74">
        <v>32.676952628399036</v>
      </c>
      <c r="AA74">
        <v>7.1645317468302601</v>
      </c>
      <c r="AB74">
        <v>36.942035670980658</v>
      </c>
      <c r="AD74">
        <v>8.9295124652059084</v>
      </c>
      <c r="AE74">
        <v>13.365047340280267</v>
      </c>
      <c r="AF74">
        <v>13.106567189073099</v>
      </c>
      <c r="AG74">
        <v>22.340616451492384</v>
      </c>
      <c r="AH74">
        <v>8.6394785306631832</v>
      </c>
      <c r="AI74">
        <v>2.4021341890860315</v>
      </c>
      <c r="AK74">
        <v>57.875009811307436</v>
      </c>
    </row>
    <row r="75" spans="1:37" x14ac:dyDescent="0.2">
      <c r="A75">
        <v>74</v>
      </c>
      <c r="B75">
        <v>750</v>
      </c>
      <c r="C75">
        <v>240</v>
      </c>
      <c r="D75">
        <v>0.335024678688366</v>
      </c>
      <c r="E75">
        <v>180.78535350841682</v>
      </c>
      <c r="F75">
        <v>63.549428272557819</v>
      </c>
      <c r="G75">
        <v>72.232116500027843</v>
      </c>
      <c r="H75">
        <v>67.614123112010205</v>
      </c>
      <c r="J75">
        <v>69.221822236508089</v>
      </c>
      <c r="L75">
        <v>7.9621758219455838</v>
      </c>
      <c r="M75">
        <v>13.384993674274357</v>
      </c>
      <c r="N75">
        <v>2.4623447443582034</v>
      </c>
      <c r="O75">
        <v>32.44414274097165</v>
      </c>
      <c r="P75">
        <v>12.56244464167672</v>
      </c>
      <c r="Q75">
        <v>0.22360863210753723</v>
      </c>
      <c r="R75">
        <v>17.066213985477919</v>
      </c>
      <c r="S75">
        <v>47.529685212864962</v>
      </c>
      <c r="U75">
        <v>1.0065910581061825</v>
      </c>
      <c r="V75">
        <v>47.639320342332823</v>
      </c>
      <c r="W75">
        <v>21.187288849197799</v>
      </c>
      <c r="X75">
        <v>44.702412364655515</v>
      </c>
      <c r="Y75">
        <v>9.5977923527453726</v>
      </c>
      <c r="Z75">
        <v>32.463638546569591</v>
      </c>
      <c r="AA75">
        <v>7.0748528499788659</v>
      </c>
      <c r="AB75">
        <v>36.775286060407375</v>
      </c>
      <c r="AD75">
        <v>8.8073966651396347</v>
      </c>
      <c r="AE75">
        <v>13.269875322583605</v>
      </c>
      <c r="AF75">
        <v>13.030299872447179</v>
      </c>
      <c r="AG75">
        <v>22.158938996971667</v>
      </c>
      <c r="AH75">
        <v>8.4985596427710579</v>
      </c>
      <c r="AI75">
        <v>2.4038196813362802</v>
      </c>
      <c r="AK75">
        <v>57.858100836951415</v>
      </c>
    </row>
    <row r="76" spans="1:37" x14ac:dyDescent="0.2">
      <c r="A76">
        <v>75</v>
      </c>
      <c r="B76">
        <v>749</v>
      </c>
      <c r="C76">
        <v>240</v>
      </c>
      <c r="D76">
        <v>0.33430563028909699</v>
      </c>
      <c r="E76">
        <v>180.66154204470072</v>
      </c>
      <c r="F76">
        <v>63.162692066052138</v>
      </c>
      <c r="G76">
        <v>72.168055673430217</v>
      </c>
      <c r="H76">
        <v>67.547745400384542</v>
      </c>
      <c r="J76">
        <v>69.127657929064981</v>
      </c>
      <c r="L76">
        <v>7.8750949156093304</v>
      </c>
      <c r="M76">
        <v>13.309983610840336</v>
      </c>
      <c r="N76">
        <v>2.4643206487642471</v>
      </c>
      <c r="O76">
        <v>32.051045752754625</v>
      </c>
      <c r="P76">
        <v>12.457828873252732</v>
      </c>
      <c r="Q76">
        <v>0.15701990445919273</v>
      </c>
      <c r="R76">
        <v>16.840790134268264</v>
      </c>
      <c r="S76">
        <v>47.041840036006285</v>
      </c>
      <c r="U76">
        <v>0.91946749496058922</v>
      </c>
      <c r="V76">
        <v>47.517148211654408</v>
      </c>
      <c r="W76">
        <v>20.969635072474546</v>
      </c>
      <c r="X76">
        <v>44.476081079221203</v>
      </c>
      <c r="Y76">
        <v>9.5042317875415669</v>
      </c>
      <c r="Z76">
        <v>32.250602724711513</v>
      </c>
      <c r="AA76">
        <v>6.9854146079241906</v>
      </c>
      <c r="AB76">
        <v>36.608797586762662</v>
      </c>
      <c r="AD76">
        <v>8.6853793173350589</v>
      </c>
      <c r="AE76">
        <v>13.174823462145062</v>
      </c>
      <c r="AF76">
        <v>12.954171284345582</v>
      </c>
      <c r="AG76">
        <v>21.977525109909795</v>
      </c>
      <c r="AH76">
        <v>8.3578474319222344</v>
      </c>
      <c r="AI76">
        <v>2.405504204954124</v>
      </c>
      <c r="AK76">
        <v>57.841499504020575</v>
      </c>
    </row>
    <row r="77" spans="1:37" x14ac:dyDescent="0.2">
      <c r="A77">
        <v>76</v>
      </c>
      <c r="B77">
        <v>748</v>
      </c>
      <c r="C77">
        <v>240</v>
      </c>
      <c r="D77">
        <v>0.33358517357881101</v>
      </c>
      <c r="E77">
        <v>180.53787692024702</v>
      </c>
      <c r="F77">
        <v>62.776612301189822</v>
      </c>
      <c r="G77">
        <v>72.104073899636774</v>
      </c>
      <c r="H77">
        <v>67.481459922626414</v>
      </c>
      <c r="J77">
        <v>69.034078784767757</v>
      </c>
      <c r="L77">
        <v>7.7882219471265834</v>
      </c>
      <c r="M77">
        <v>13.235111639113919</v>
      </c>
      <c r="N77">
        <v>2.4662964270453487</v>
      </c>
      <c r="O77">
        <v>31.658532615428332</v>
      </c>
      <c r="P77">
        <v>12.353378988611061</v>
      </c>
      <c r="Q77">
        <v>9.0491160699672946E-2</v>
      </c>
      <c r="R77">
        <v>16.615707072933652</v>
      </c>
      <c r="S77">
        <v>46.554866700216564</v>
      </c>
      <c r="U77">
        <v>0.83240581809873426</v>
      </c>
      <c r="V77">
        <v>47.395152926777527</v>
      </c>
      <c r="W77">
        <v>20.752247778445543</v>
      </c>
      <c r="X77">
        <v>44.250153261580145</v>
      </c>
      <c r="Y77">
        <v>9.4108183860505825</v>
      </c>
      <c r="Z77">
        <v>32.037844350204217</v>
      </c>
      <c r="AA77">
        <v>6.8960570118668549</v>
      </c>
      <c r="AB77">
        <v>36.442569447933778</v>
      </c>
      <c r="AD77">
        <v>8.5634604422521292</v>
      </c>
      <c r="AE77">
        <v>13.079891377025175</v>
      </c>
      <c r="AF77">
        <v>12.878181006544638</v>
      </c>
      <c r="AG77">
        <v>21.796373994808498</v>
      </c>
      <c r="AH77">
        <v>8.2173416345907953</v>
      </c>
      <c r="AI77">
        <v>2.4071877586676091</v>
      </c>
      <c r="AK77">
        <v>57.825205732982745</v>
      </c>
    </row>
    <row r="78" spans="1:37" x14ac:dyDescent="0.2">
      <c r="A78">
        <v>77</v>
      </c>
      <c r="B78">
        <v>747</v>
      </c>
      <c r="C78">
        <v>240</v>
      </c>
      <c r="D78">
        <v>0.33286330441601902</v>
      </c>
      <c r="E78">
        <v>180.41435775261095</v>
      </c>
      <c r="F78">
        <v>62.391187445177131</v>
      </c>
      <c r="G78">
        <v>72.040171037674099</v>
      </c>
      <c r="H78">
        <v>67.41526655888805</v>
      </c>
      <c r="J78">
        <v>68.941084380326771</v>
      </c>
      <c r="L78">
        <v>7.7015077222563741</v>
      </c>
      <c r="M78">
        <v>13.160377338326123</v>
      </c>
      <c r="N78">
        <v>2.4682720797373681</v>
      </c>
      <c r="O78">
        <v>31.266602174487865</v>
      </c>
      <c r="P78">
        <v>12.249094729506904</v>
      </c>
      <c r="Q78">
        <v>2.4106107282267659E-2</v>
      </c>
      <c r="R78">
        <v>16.390963811067088</v>
      </c>
      <c r="S78">
        <v>46.068762711296877</v>
      </c>
      <c r="U78">
        <v>0.74540571096554731</v>
      </c>
      <c r="V78">
        <v>47.273333776964073</v>
      </c>
      <c r="W78">
        <v>20.535126148664979</v>
      </c>
      <c r="X78">
        <v>44.024627547047466</v>
      </c>
      <c r="Y78">
        <v>9.3175518153609644</v>
      </c>
      <c r="Z78">
        <v>31.825362618941185</v>
      </c>
      <c r="AA78">
        <v>6.8068598215663147</v>
      </c>
      <c r="AB78">
        <v>36.276600849299307</v>
      </c>
      <c r="AD78">
        <v>8.4416400623787222</v>
      </c>
      <c r="AE78">
        <v>12.985078689070425</v>
      </c>
      <c r="AF78">
        <v>12.802328624509876</v>
      </c>
      <c r="AG78">
        <v>21.615484863649211</v>
      </c>
      <c r="AH78">
        <v>8.0770419925838759</v>
      </c>
      <c r="AI78">
        <v>2.4088703411728845</v>
      </c>
      <c r="AK78">
        <v>57.809219448163311</v>
      </c>
    </row>
    <row r="79" spans="1:37" x14ac:dyDescent="0.2">
      <c r="A79">
        <v>78</v>
      </c>
      <c r="B79">
        <v>746</v>
      </c>
      <c r="C79">
        <v>240</v>
      </c>
      <c r="D79">
        <v>0.33214001864298798</v>
      </c>
      <c r="E79">
        <v>179.1962176536336</v>
      </c>
      <c r="F79">
        <v>54.034046686125819</v>
      </c>
      <c r="G79">
        <v>70.811695839342846</v>
      </c>
      <c r="H79">
        <v>66.18451408213582</v>
      </c>
      <c r="J79">
        <v>65.488952479843107</v>
      </c>
      <c r="L79">
        <v>5.4279224528119085</v>
      </c>
      <c r="M79">
        <v>13.139297911427967</v>
      </c>
      <c r="N79">
        <v>2.4701888898663173</v>
      </c>
      <c r="O79">
        <v>22.754369589251631</v>
      </c>
      <c r="P79">
        <v>9.8156149057937903</v>
      </c>
      <c r="R79">
        <v>13.172676609620925</v>
      </c>
      <c r="S79">
        <v>41.572213957986662</v>
      </c>
      <c r="U79">
        <v>0.75445757441064443</v>
      </c>
      <c r="V79">
        <v>47.029647130981523</v>
      </c>
      <c r="W79">
        <v>20.366187511593804</v>
      </c>
      <c r="X79">
        <v>44.092600405211485</v>
      </c>
      <c r="Y79">
        <v>6.8875145898112216</v>
      </c>
      <c r="Z79">
        <v>26.179262252621179</v>
      </c>
      <c r="AA79">
        <v>4.4847832670458887</v>
      </c>
      <c r="AB79">
        <v>34.064045602778521</v>
      </c>
      <c r="AD79">
        <v>5.1774134414219777</v>
      </c>
      <c r="AE79">
        <v>10.601619509054242</v>
      </c>
      <c r="AF79">
        <v>12.780072629933844</v>
      </c>
      <c r="AG79">
        <v>19.387952817461308</v>
      </c>
      <c r="AH79">
        <v>4.3736868796345316</v>
      </c>
      <c r="AI79">
        <v>2.4104932336553184</v>
      </c>
      <c r="AK79">
        <v>55.473105565345989</v>
      </c>
    </row>
    <row r="80" spans="1:37" x14ac:dyDescent="0.2">
      <c r="A80">
        <v>79</v>
      </c>
      <c r="B80">
        <v>745</v>
      </c>
      <c r="C80">
        <v>240</v>
      </c>
      <c r="D80">
        <v>0.33141531208564601</v>
      </c>
      <c r="E80">
        <v>178.17109530509768</v>
      </c>
      <c r="F80">
        <v>46.946712957873373</v>
      </c>
      <c r="G80">
        <v>69.775989799153976</v>
      </c>
      <c r="H80">
        <v>65.146544008089222</v>
      </c>
      <c r="J80">
        <v>62.47734861503713</v>
      </c>
      <c r="L80">
        <v>3.4857503276992938</v>
      </c>
      <c r="M80">
        <v>13.058679872725676</v>
      </c>
      <c r="N80">
        <v>2.4721116823861049</v>
      </c>
      <c r="O80">
        <v>15.55726614616559</v>
      </c>
      <c r="P80">
        <v>7.767687354741093</v>
      </c>
      <c r="R80">
        <v>10.327043530803504</v>
      </c>
      <c r="S80">
        <v>37.500182211171975</v>
      </c>
      <c r="U80">
        <v>0.73451740036886304</v>
      </c>
      <c r="V80">
        <v>46.737430304851202</v>
      </c>
      <c r="W80">
        <v>20.208367787978908</v>
      </c>
      <c r="X80">
        <v>44.070687545610554</v>
      </c>
      <c r="Y80">
        <v>4.8390588422151488</v>
      </c>
      <c r="Z80">
        <v>21.271420295688486</v>
      </c>
      <c r="AA80">
        <v>2.514689769233315</v>
      </c>
      <c r="AB80">
        <v>32.036361699487628</v>
      </c>
      <c r="AD80">
        <v>2.3281935699731551</v>
      </c>
      <c r="AE80">
        <v>8.5236052414974086</v>
      </c>
      <c r="AF80">
        <v>12.698284367801287</v>
      </c>
      <c r="AG80">
        <v>17.345300678419971</v>
      </c>
      <c r="AH80">
        <v>1.1957809998333029</v>
      </c>
      <c r="AI80">
        <v>2.4121212592287593</v>
      </c>
      <c r="AK80">
        <v>53.470830702833986</v>
      </c>
    </row>
    <row r="81" spans="1:37" x14ac:dyDescent="0.2">
      <c r="A81">
        <v>80</v>
      </c>
      <c r="B81">
        <v>744</v>
      </c>
      <c r="C81">
        <v>240</v>
      </c>
      <c r="D81">
        <v>0.33068918055350899</v>
      </c>
      <c r="E81">
        <v>178.28459928999274</v>
      </c>
      <c r="F81">
        <v>45.856510193611861</v>
      </c>
      <c r="G81">
        <v>69.811485142023656</v>
      </c>
      <c r="H81">
        <v>65.179788582913929</v>
      </c>
      <c r="J81">
        <v>53.466906949468132</v>
      </c>
      <c r="L81">
        <v>1.4645760976089659</v>
      </c>
      <c r="M81">
        <v>12.826100234942558</v>
      </c>
      <c r="N81">
        <v>2.4741067132523371</v>
      </c>
      <c r="O81">
        <v>4.9305165982276593</v>
      </c>
      <c r="P81">
        <v>7.8622428054955735</v>
      </c>
      <c r="R81">
        <v>8.1840454497100552</v>
      </c>
      <c r="S81">
        <v>32.3576881067549</v>
      </c>
      <c r="U81">
        <v>0.70608682767782704</v>
      </c>
      <c r="V81">
        <v>46.791719800643662</v>
      </c>
      <c r="W81">
        <v>19.903283038248254</v>
      </c>
      <c r="X81">
        <v>44.024254349310134</v>
      </c>
      <c r="Y81">
        <v>3.4911848701691564</v>
      </c>
      <c r="Z81">
        <v>18.481341511821196</v>
      </c>
      <c r="AA81">
        <v>0.15634431423658679</v>
      </c>
      <c r="AB81">
        <v>30.726352160803589</v>
      </c>
      <c r="AD81">
        <v>0.74507854484818969</v>
      </c>
      <c r="AE81">
        <v>6.9517134345339278</v>
      </c>
      <c r="AF81">
        <v>12.464607112528185</v>
      </c>
      <c r="AG81">
        <v>16.020397729981546</v>
      </c>
      <c r="AI81">
        <v>2.4138206720079385</v>
      </c>
      <c r="AK81">
        <v>47.398753794142209</v>
      </c>
    </row>
    <row r="82" spans="1:37" x14ac:dyDescent="0.2">
      <c r="A82">
        <v>81</v>
      </c>
      <c r="B82">
        <v>743</v>
      </c>
      <c r="C82">
        <v>240</v>
      </c>
      <c r="D82">
        <v>0.32996161983958999</v>
      </c>
      <c r="E82">
        <v>178.54039083120929</v>
      </c>
      <c r="F82">
        <v>46.147692610810644</v>
      </c>
      <c r="G82">
        <v>69.8416811436757</v>
      </c>
      <c r="H82">
        <v>65.207747103625678</v>
      </c>
      <c r="J82">
        <v>43.887965696429951</v>
      </c>
      <c r="L82">
        <v>1.6434518505452251</v>
      </c>
      <c r="M82">
        <v>12.306825058748524</v>
      </c>
      <c r="N82">
        <v>2.476101807218468</v>
      </c>
      <c r="O82">
        <v>5.5843765771513576</v>
      </c>
      <c r="P82">
        <v>7.9462076576817342</v>
      </c>
      <c r="R82">
        <v>7.9862229248581311</v>
      </c>
      <c r="S82">
        <v>33.260426307883108</v>
      </c>
      <c r="U82">
        <v>0.6817821018667638</v>
      </c>
      <c r="V82">
        <v>47.519083780713409</v>
      </c>
      <c r="W82">
        <v>19.309074097823238</v>
      </c>
      <c r="X82">
        <v>43.989900514030452</v>
      </c>
      <c r="Y82">
        <v>3.3863549954968493</v>
      </c>
      <c r="Z82">
        <v>17.718054154307385</v>
      </c>
      <c r="AB82">
        <v>30.785811148273137</v>
      </c>
      <c r="AE82">
        <v>6.4925223506293408</v>
      </c>
      <c r="AF82">
        <v>11.944234755293355</v>
      </c>
      <c r="AG82">
        <v>16.064965964591686</v>
      </c>
      <c r="AI82">
        <v>2.4155192949064812</v>
      </c>
      <c r="AK82">
        <v>40.862052474310801</v>
      </c>
    </row>
    <row r="83" spans="1:37" x14ac:dyDescent="0.2">
      <c r="A83">
        <v>82</v>
      </c>
      <c r="B83">
        <v>742</v>
      </c>
      <c r="C83">
        <v>240</v>
      </c>
      <c r="D83">
        <v>0.32923262572033701</v>
      </c>
      <c r="E83">
        <v>178.71403293768191</v>
      </c>
      <c r="F83">
        <v>46.667304702582435</v>
      </c>
      <c r="G83">
        <v>69.819516765722184</v>
      </c>
      <c r="H83">
        <v>65.183358553169882</v>
      </c>
      <c r="J83">
        <v>39.28080028599544</v>
      </c>
      <c r="L83">
        <v>1.6588078107066904</v>
      </c>
      <c r="M83">
        <v>11.850799783452688</v>
      </c>
      <c r="N83">
        <v>2.4780914610820579</v>
      </c>
      <c r="O83">
        <v>5.5788684371623596</v>
      </c>
      <c r="P83">
        <v>7.9254543548118921</v>
      </c>
      <c r="R83">
        <v>7.6247533367294169</v>
      </c>
      <c r="S83">
        <v>33.706515222007759</v>
      </c>
      <c r="U83">
        <v>0.65921806109585701</v>
      </c>
      <c r="V83">
        <v>48.120031133398342</v>
      </c>
      <c r="W83">
        <v>18.777050702509008</v>
      </c>
      <c r="X83">
        <v>43.960779395717807</v>
      </c>
      <c r="Y83">
        <v>3.181197567138303</v>
      </c>
      <c r="Z83">
        <v>17.888940797093031</v>
      </c>
      <c r="AB83">
        <v>31.318760670387729</v>
      </c>
      <c r="AE83">
        <v>6.5831445539521667</v>
      </c>
      <c r="AF83">
        <v>11.487107237964986</v>
      </c>
      <c r="AG83">
        <v>16.583021893701837</v>
      </c>
      <c r="AI83">
        <v>2.4172116228810734</v>
      </c>
      <c r="AK83">
        <v>37.665275783651708</v>
      </c>
    </row>
    <row r="84" spans="1:37" x14ac:dyDescent="0.2">
      <c r="A84">
        <v>83</v>
      </c>
      <c r="B84">
        <v>757</v>
      </c>
      <c r="C84">
        <v>220</v>
      </c>
      <c r="D84">
        <v>0.36137504246954599</v>
      </c>
      <c r="E84">
        <v>169.96530357880766</v>
      </c>
      <c r="F84">
        <v>65.808628759803156</v>
      </c>
      <c r="G84">
        <v>72.677602035664094</v>
      </c>
      <c r="H84">
        <v>68.075271548193015</v>
      </c>
      <c r="J84">
        <v>69.50707969285655</v>
      </c>
      <c r="L84">
        <v>8.4808492666612878</v>
      </c>
      <c r="M84">
        <v>13.875645661314552</v>
      </c>
      <c r="N84">
        <v>2.3793676267429729</v>
      </c>
      <c r="O84">
        <v>35.301075822789898</v>
      </c>
      <c r="P84">
        <v>13.107000658675206</v>
      </c>
      <c r="Q84">
        <v>0.35103096763580305</v>
      </c>
      <c r="R84">
        <v>18.642367045056996</v>
      </c>
      <c r="S84">
        <v>50.523297668218987</v>
      </c>
      <c r="U84">
        <v>1.5253023455103203</v>
      </c>
      <c r="V84">
        <v>48.037426356684321</v>
      </c>
      <c r="W84">
        <v>23.163847039141924</v>
      </c>
      <c r="X84">
        <v>45.026299298250791</v>
      </c>
      <c r="Y84">
        <v>10.080063522031843</v>
      </c>
      <c r="Z84">
        <v>33.911155285163332</v>
      </c>
      <c r="AA84">
        <v>7.6336458471679656</v>
      </c>
      <c r="AB84">
        <v>37.936097951969437</v>
      </c>
      <c r="AC84">
        <v>3.8812640085124903E-3</v>
      </c>
      <c r="AD84">
        <v>9.624603354247899</v>
      </c>
      <c r="AE84">
        <v>14.074622172477312</v>
      </c>
      <c r="AF84">
        <v>13.521315790098084</v>
      </c>
      <c r="AG84">
        <v>23.441562860628661</v>
      </c>
      <c r="AH84">
        <v>9.0733777046740798</v>
      </c>
      <c r="AI84">
        <v>2.3203540075583624</v>
      </c>
      <c r="AK84">
        <v>57.670064372390627</v>
      </c>
    </row>
    <row r="85" spans="1:37" x14ac:dyDescent="0.2">
      <c r="A85">
        <v>84</v>
      </c>
      <c r="B85">
        <v>756</v>
      </c>
      <c r="C85">
        <v>220</v>
      </c>
      <c r="D85">
        <v>0.36068648885002402</v>
      </c>
      <c r="E85">
        <v>169.85067586811741</v>
      </c>
      <c r="F85">
        <v>65.452389145429166</v>
      </c>
      <c r="G85">
        <v>72.617975955904896</v>
      </c>
      <c r="H85">
        <v>68.013228771585943</v>
      </c>
      <c r="J85">
        <v>69.427258107496016</v>
      </c>
      <c r="L85">
        <v>8.3981849854670312</v>
      </c>
      <c r="M85">
        <v>13.813574089747455</v>
      </c>
      <c r="N85">
        <v>2.3772412476365412</v>
      </c>
      <c r="O85">
        <v>34.917271634901951</v>
      </c>
      <c r="P85">
        <v>13.007089625554281</v>
      </c>
      <c r="Q85">
        <v>0.2885159844240312</v>
      </c>
      <c r="R85">
        <v>18.437057577098912</v>
      </c>
      <c r="S85">
        <v>50.097732987184962</v>
      </c>
      <c r="U85">
        <v>1.44946821063677</v>
      </c>
      <c r="V85">
        <v>47.936307758231038</v>
      </c>
      <c r="W85">
        <v>22.969965850387293</v>
      </c>
      <c r="X85">
        <v>44.838607029965857</v>
      </c>
      <c r="Y85">
        <v>9.9927029729350512</v>
      </c>
      <c r="Z85">
        <v>33.716567054045633</v>
      </c>
      <c r="AA85">
        <v>7.5486013271205517</v>
      </c>
      <c r="AB85">
        <v>37.792655322290798</v>
      </c>
      <c r="AD85">
        <v>9.5150521518787716</v>
      </c>
      <c r="AE85">
        <v>13.986717929483165</v>
      </c>
      <c r="AF85">
        <v>13.454018350145235</v>
      </c>
      <c r="AG85">
        <v>23.279101065763811</v>
      </c>
      <c r="AH85">
        <v>8.947052316749641</v>
      </c>
      <c r="AI85">
        <v>2.3179430048083147</v>
      </c>
      <c r="AK85">
        <v>57.658305785099166</v>
      </c>
    </row>
    <row r="86" spans="1:37" x14ac:dyDescent="0.2">
      <c r="A86">
        <v>85</v>
      </c>
      <c r="B86">
        <v>755</v>
      </c>
      <c r="C86">
        <v>220</v>
      </c>
      <c r="D86">
        <v>0.35999659582745702</v>
      </c>
      <c r="E86">
        <v>169.72651637098022</v>
      </c>
      <c r="F86">
        <v>65.064111519474451</v>
      </c>
      <c r="G86">
        <v>72.55364108787893</v>
      </c>
      <c r="H86">
        <v>67.946490242944066</v>
      </c>
      <c r="J86">
        <v>69.329778180631337</v>
      </c>
      <c r="L86">
        <v>8.3107376731052618</v>
      </c>
      <c r="M86">
        <v>13.738466806519144</v>
      </c>
      <c r="N86">
        <v>2.3792197992185038</v>
      </c>
      <c r="O86">
        <v>34.521607165165705</v>
      </c>
      <c r="P86">
        <v>12.901873688039039</v>
      </c>
      <c r="Q86">
        <v>0.21678744706875092</v>
      </c>
      <c r="R86">
        <v>18.2110407828674</v>
      </c>
      <c r="S86">
        <v>49.607541002645583</v>
      </c>
      <c r="U86">
        <v>1.3621877267448417</v>
      </c>
      <c r="V86">
        <v>47.814190385611077</v>
      </c>
      <c r="W86">
        <v>22.751559804964288</v>
      </c>
      <c r="X86">
        <v>44.612144036757805</v>
      </c>
      <c r="Y86">
        <v>9.8986571738124915</v>
      </c>
      <c r="Z86">
        <v>33.503828196226323</v>
      </c>
      <c r="AA86">
        <v>7.4586767464555157</v>
      </c>
      <c r="AB86">
        <v>37.62608117484681</v>
      </c>
      <c r="AD86">
        <v>9.3936708385894825</v>
      </c>
      <c r="AE86">
        <v>13.891748884318053</v>
      </c>
      <c r="AF86">
        <v>13.377790439220764</v>
      </c>
      <c r="AG86">
        <v>23.097615205168797</v>
      </c>
      <c r="AH86">
        <v>8.8057847004150247</v>
      </c>
      <c r="AI86">
        <v>2.3196361018433609</v>
      </c>
      <c r="AK86">
        <v>57.640094367354301</v>
      </c>
    </row>
    <row r="87" spans="1:37" x14ac:dyDescent="0.2">
      <c r="A87">
        <v>86</v>
      </c>
      <c r="B87">
        <v>754</v>
      </c>
      <c r="C87">
        <v>220</v>
      </c>
      <c r="D87">
        <v>0.35930535948985198</v>
      </c>
      <c r="E87">
        <v>169.60250020147294</v>
      </c>
      <c r="F87">
        <v>64.676480967489908</v>
      </c>
      <c r="G87">
        <v>72.489383904799226</v>
      </c>
      <c r="H87">
        <v>67.879842456317377</v>
      </c>
      <c r="J87">
        <v>69.232874715421147</v>
      </c>
      <c r="L87">
        <v>8.223445587787575</v>
      </c>
      <c r="M87">
        <v>13.663496097364527</v>
      </c>
      <c r="N87">
        <v>2.3811982221270762</v>
      </c>
      <c r="O87">
        <v>34.126518924156017</v>
      </c>
      <c r="P87">
        <v>12.79682075591144</v>
      </c>
      <c r="Q87">
        <v>0.14513349559024799</v>
      </c>
      <c r="R87">
        <v>17.985360043054492</v>
      </c>
      <c r="S87">
        <v>49.118209434630984</v>
      </c>
      <c r="U87">
        <v>1.2749645344972866</v>
      </c>
      <c r="V87">
        <v>47.692247196050538</v>
      </c>
      <c r="W87">
        <v>22.533418547128854</v>
      </c>
      <c r="X87">
        <v>44.386077547216878</v>
      </c>
      <c r="Y87">
        <v>9.804755829188931</v>
      </c>
      <c r="Z87">
        <v>33.291367426041241</v>
      </c>
      <c r="AA87">
        <v>7.3689104726060322</v>
      </c>
      <c r="AB87">
        <v>37.459766737051844</v>
      </c>
      <c r="AD87">
        <v>9.2723830006089489</v>
      </c>
      <c r="AE87">
        <v>13.796900562144007</v>
      </c>
      <c r="AF87">
        <v>13.30169928930971</v>
      </c>
      <c r="AG87">
        <v>22.916391452828034</v>
      </c>
      <c r="AH87">
        <v>8.6647190074798104</v>
      </c>
      <c r="AI87">
        <v>2.3213282374637521</v>
      </c>
      <c r="AK87">
        <v>57.622184639677528</v>
      </c>
    </row>
    <row r="88" spans="1:37" x14ac:dyDescent="0.2">
      <c r="A88">
        <v>87</v>
      </c>
      <c r="B88">
        <v>753</v>
      </c>
      <c r="C88">
        <v>220</v>
      </c>
      <c r="D88">
        <v>0.35861277590995699</v>
      </c>
      <c r="E88">
        <v>169.47862696701034</v>
      </c>
      <c r="F88">
        <v>64.289495949702712</v>
      </c>
      <c r="G88">
        <v>72.425204262019236</v>
      </c>
      <c r="H88">
        <v>67.813285287939578</v>
      </c>
      <c r="J88">
        <v>69.136547259212946</v>
      </c>
      <c r="L88">
        <v>8.1363086247827034</v>
      </c>
      <c r="M88">
        <v>13.588661544564012</v>
      </c>
      <c r="N88">
        <v>2.3831765169224504</v>
      </c>
      <c r="O88">
        <v>33.732005755336019</v>
      </c>
      <c r="P88">
        <v>12.691930563223941</v>
      </c>
      <c r="Q88">
        <v>7.3492181385769351E-2</v>
      </c>
      <c r="R88">
        <v>17.760014361588482</v>
      </c>
      <c r="S88">
        <v>48.62973578981773</v>
      </c>
      <c r="U88">
        <v>1.1877983185314995</v>
      </c>
      <c r="V88">
        <v>47.57047751262099</v>
      </c>
      <c r="W88">
        <v>22.315541280890354</v>
      </c>
      <c r="X88">
        <v>44.160406183298484</v>
      </c>
      <c r="Y88">
        <v>9.7109985977584028</v>
      </c>
      <c r="Z88">
        <v>33.079183976931226</v>
      </c>
      <c r="AA88">
        <v>7.2793021733751742</v>
      </c>
      <c r="AB88">
        <v>37.293711241667694</v>
      </c>
      <c r="AD88">
        <v>9.1511887186658054</v>
      </c>
      <c r="AE88">
        <v>13.702172609736452</v>
      </c>
      <c r="AF88">
        <v>13.225744488875298</v>
      </c>
      <c r="AG88">
        <v>22.735429048014648</v>
      </c>
      <c r="AH88">
        <v>8.5238549780651809</v>
      </c>
      <c r="AI88">
        <v>2.323019410389735</v>
      </c>
      <c r="AK88">
        <v>57.604576504468113</v>
      </c>
    </row>
    <row r="89" spans="1:37" x14ac:dyDescent="0.2">
      <c r="A89">
        <v>88</v>
      </c>
      <c r="B89">
        <v>752</v>
      </c>
      <c r="C89">
        <v>220</v>
      </c>
      <c r="D89">
        <v>0.35791884114519901</v>
      </c>
      <c r="E89">
        <v>169.35489627873494</v>
      </c>
      <c r="F89">
        <v>63.903154943662365</v>
      </c>
      <c r="G89">
        <v>72.361102016869452</v>
      </c>
      <c r="H89">
        <v>67.746818616060523</v>
      </c>
      <c r="J89">
        <v>69.040795366700692</v>
      </c>
      <c r="L89">
        <v>8.0493267647179962</v>
      </c>
      <c r="M89">
        <v>13.513962734017584</v>
      </c>
      <c r="N89">
        <v>2.3851546841486342</v>
      </c>
      <c r="O89">
        <v>33.338066515729487</v>
      </c>
      <c r="P89">
        <v>12.587202848026935</v>
      </c>
      <c r="Q89">
        <v>1.982234486957907E-3</v>
      </c>
      <c r="R89">
        <v>17.535002752423551</v>
      </c>
      <c r="S89">
        <v>48.142117596463464</v>
      </c>
      <c r="U89">
        <v>1.100688767233446</v>
      </c>
      <c r="V89">
        <v>47.448880657262038</v>
      </c>
      <c r="W89">
        <v>22.097927217856402</v>
      </c>
      <c r="X89">
        <v>43.935128577388646</v>
      </c>
      <c r="Y89">
        <v>9.6173851425563637</v>
      </c>
      <c r="Z89">
        <v>32.867277090886134</v>
      </c>
      <c r="AA89">
        <v>7.189851521019758</v>
      </c>
      <c r="AB89">
        <v>37.127913928907667</v>
      </c>
      <c r="AD89">
        <v>9.0300880747051462</v>
      </c>
      <c r="AE89">
        <v>13.607564677732421</v>
      </c>
      <c r="AF89">
        <v>13.149925629999171</v>
      </c>
      <c r="AG89">
        <v>22.554727237456092</v>
      </c>
      <c r="AH89">
        <v>8.3831923573862053</v>
      </c>
      <c r="AI89">
        <v>2.3247096193264225</v>
      </c>
      <c r="AK89">
        <v>57.587269867714618</v>
      </c>
    </row>
    <row r="90" spans="1:37" x14ac:dyDescent="0.2">
      <c r="A90">
        <v>89</v>
      </c>
      <c r="B90">
        <v>751</v>
      </c>
      <c r="C90">
        <v>220</v>
      </c>
      <c r="D90">
        <v>0.35722355123761301</v>
      </c>
      <c r="E90">
        <v>169.12253502710959</v>
      </c>
      <c r="F90">
        <v>62.797884450231585</v>
      </c>
      <c r="G90">
        <v>72.172826784314935</v>
      </c>
      <c r="H90">
        <v>67.556192076606095</v>
      </c>
      <c r="J90">
        <v>68.807619121459879</v>
      </c>
      <c r="L90">
        <v>7.7554824841443804</v>
      </c>
      <c r="M90">
        <v>13.53646485393547</v>
      </c>
      <c r="N90">
        <v>2.3871250835445412</v>
      </c>
      <c r="O90">
        <v>32.127371734955965</v>
      </c>
      <c r="P90">
        <v>12.234129222899636</v>
      </c>
      <c r="R90">
        <v>17.163770465534991</v>
      </c>
      <c r="S90">
        <v>47.826128678288995</v>
      </c>
      <c r="U90">
        <v>1.0765987501227998</v>
      </c>
      <c r="V90">
        <v>47.508544583107941</v>
      </c>
      <c r="W90">
        <v>21.874338728464444</v>
      </c>
      <c r="X90">
        <v>43.905090508048531</v>
      </c>
      <c r="Y90">
        <v>9.2804418972832678</v>
      </c>
      <c r="Z90">
        <v>32.274605504677147</v>
      </c>
      <c r="AA90">
        <v>6.8822882863340933</v>
      </c>
      <c r="AB90">
        <v>37.073966236068941</v>
      </c>
      <c r="AD90">
        <v>8.6759890355609492</v>
      </c>
      <c r="AE90">
        <v>13.383815890045028</v>
      </c>
      <c r="AF90">
        <v>13.17130026627882</v>
      </c>
      <c r="AG90">
        <v>22.485869824176966</v>
      </c>
      <c r="AH90">
        <v>7.8925423643324741</v>
      </c>
      <c r="AI90">
        <v>2.3263912221734815</v>
      </c>
      <c r="AK90">
        <v>57.397983293564188</v>
      </c>
    </row>
    <row r="91" spans="1:37" x14ac:dyDescent="0.2">
      <c r="A91">
        <v>90</v>
      </c>
      <c r="B91">
        <v>750</v>
      </c>
      <c r="C91">
        <v>220</v>
      </c>
      <c r="D91">
        <v>0.356526902213751</v>
      </c>
      <c r="E91">
        <v>168.44699319700572</v>
      </c>
      <c r="F91">
        <v>58.399465060871698</v>
      </c>
      <c r="G91">
        <v>71.511632083207047</v>
      </c>
      <c r="H91">
        <v>66.892659209429894</v>
      </c>
      <c r="J91">
        <v>67.041353773286815</v>
      </c>
      <c r="L91">
        <v>6.5545497254541329</v>
      </c>
      <c r="M91">
        <v>13.525735653309212</v>
      </c>
      <c r="N91">
        <v>2.3890733140508065</v>
      </c>
      <c r="O91">
        <v>27.59729106287606</v>
      </c>
      <c r="P91">
        <v>10.935202347458114</v>
      </c>
      <c r="R91">
        <v>15.443079331320147</v>
      </c>
      <c r="S91">
        <v>45.355438049837758</v>
      </c>
      <c r="U91">
        <v>1.0658330542852492</v>
      </c>
      <c r="V91">
        <v>47.339577900326447</v>
      </c>
      <c r="W91">
        <v>21.676640977830221</v>
      </c>
      <c r="X91">
        <v>43.912547590934288</v>
      </c>
      <c r="Y91">
        <v>7.9915556127714149</v>
      </c>
      <c r="Z91">
        <v>29.388289745675134</v>
      </c>
      <c r="AA91">
        <v>5.6566762874235135</v>
      </c>
      <c r="AB91">
        <v>35.913143773973296</v>
      </c>
      <c r="AD91">
        <v>7.0027330203228484</v>
      </c>
      <c r="AE91">
        <v>12.172075082190693</v>
      </c>
      <c r="AF91">
        <v>13.159421751307235</v>
      </c>
      <c r="AG91">
        <v>21.310118023946963</v>
      </c>
      <c r="AH91">
        <v>5.9474142037245965</v>
      </c>
      <c r="AI91">
        <v>2.3280498160311374</v>
      </c>
      <c r="AK91">
        <v>56.226236223071943</v>
      </c>
    </row>
    <row r="92" spans="1:37" x14ac:dyDescent="0.2">
      <c r="A92">
        <v>91</v>
      </c>
      <c r="B92">
        <v>749</v>
      </c>
      <c r="C92">
        <v>220</v>
      </c>
      <c r="D92">
        <v>0.35582889008462698</v>
      </c>
      <c r="E92">
        <v>167.33238044677947</v>
      </c>
      <c r="F92">
        <v>50.662011162154052</v>
      </c>
      <c r="G92">
        <v>70.376833619091016</v>
      </c>
      <c r="H92">
        <v>65.755535741119473</v>
      </c>
      <c r="J92">
        <v>63.695559202965406</v>
      </c>
      <c r="L92">
        <v>4.4271806036204984</v>
      </c>
      <c r="M92">
        <v>13.451632757847023</v>
      </c>
      <c r="N92">
        <v>2.3909961380939997</v>
      </c>
      <c r="O92">
        <v>19.721440424343406</v>
      </c>
      <c r="P92">
        <v>8.6890504182601234</v>
      </c>
      <c r="R92">
        <v>12.317454644447896</v>
      </c>
      <c r="S92">
        <v>40.704770643227135</v>
      </c>
      <c r="U92">
        <v>1.0584351239758973</v>
      </c>
      <c r="V92">
        <v>46.943981969484064</v>
      </c>
      <c r="W92">
        <v>21.515912539077576</v>
      </c>
      <c r="X92">
        <v>43.927401072553991</v>
      </c>
      <c r="Y92">
        <v>5.7455514682550382</v>
      </c>
      <c r="Z92">
        <v>24.08705705975002</v>
      </c>
      <c r="AA92">
        <v>3.4998334633256891</v>
      </c>
      <c r="AB92">
        <v>33.607593018460868</v>
      </c>
      <c r="AD92">
        <v>3.9301097327055659</v>
      </c>
      <c r="AE92">
        <v>9.9202966506652412</v>
      </c>
      <c r="AF92">
        <v>13.084144478894912</v>
      </c>
      <c r="AG92">
        <v>18.989615081060059</v>
      </c>
      <c r="AH92">
        <v>2.4969605183506411</v>
      </c>
      <c r="AI92">
        <v>2.329682161486831</v>
      </c>
      <c r="AK92">
        <v>54.03633902875255</v>
      </c>
    </row>
    <row r="93" spans="1:37" x14ac:dyDescent="0.2">
      <c r="A93">
        <v>92</v>
      </c>
      <c r="B93">
        <v>748</v>
      </c>
      <c r="C93">
        <v>220</v>
      </c>
      <c r="D93">
        <v>0.355129510845618</v>
      </c>
      <c r="E93">
        <v>166.92897339265167</v>
      </c>
      <c r="F93">
        <v>46.670097688229895</v>
      </c>
      <c r="G93">
        <v>69.920550116765739</v>
      </c>
      <c r="H93">
        <v>65.296940417556996</v>
      </c>
      <c r="J93">
        <v>57.248141384493849</v>
      </c>
      <c r="L93">
        <v>2.4923705433310461</v>
      </c>
      <c r="M93">
        <v>13.308641419471996</v>
      </c>
      <c r="N93">
        <v>2.3929592090348035</v>
      </c>
      <c r="O93">
        <v>10.752859833475132</v>
      </c>
      <c r="P93">
        <v>7.7999765613632039</v>
      </c>
      <c r="R93">
        <v>9.8727364140459581</v>
      </c>
      <c r="S93">
        <v>35.948203133442192</v>
      </c>
      <c r="U93">
        <v>1.0492623981109799</v>
      </c>
      <c r="V93">
        <v>46.737159392520773</v>
      </c>
      <c r="W93">
        <v>21.287273834796334</v>
      </c>
      <c r="X93">
        <v>43.937199144489533</v>
      </c>
      <c r="Y93">
        <v>4.1348676728179861</v>
      </c>
      <c r="Z93">
        <v>20.064384916555831</v>
      </c>
      <c r="AA93">
        <v>1.3546509781818967</v>
      </c>
      <c r="AB93">
        <v>31.671325416023919</v>
      </c>
      <c r="AD93">
        <v>1.6489865184264607</v>
      </c>
      <c r="AE93">
        <v>7.9560147840916295</v>
      </c>
      <c r="AF93">
        <v>12.940019360012748</v>
      </c>
      <c r="AG93">
        <v>17.038438101417235</v>
      </c>
      <c r="AI93">
        <v>2.3313539100607183</v>
      </c>
      <c r="AK93">
        <v>49.75138145523534</v>
      </c>
    </row>
    <row r="94" spans="1:37" x14ac:dyDescent="0.2">
      <c r="A94">
        <v>93</v>
      </c>
      <c r="B94">
        <v>747</v>
      </c>
      <c r="C94">
        <v>220</v>
      </c>
      <c r="D94">
        <v>0.35442876047640198</v>
      </c>
      <c r="E94">
        <v>167.24953327725703</v>
      </c>
      <c r="F94">
        <v>46.268032345382871</v>
      </c>
      <c r="G94">
        <v>70.091351718239792</v>
      </c>
      <c r="H94">
        <v>65.465443401876684</v>
      </c>
      <c r="J94">
        <v>48.109795492411386</v>
      </c>
      <c r="L94">
        <v>1.6122198175472005</v>
      </c>
      <c r="M94">
        <v>12.962676891903447</v>
      </c>
      <c r="N94">
        <v>2.3949637401680204</v>
      </c>
      <c r="O94">
        <v>5.8733545575237631</v>
      </c>
      <c r="P94">
        <v>8.1651222972454267</v>
      </c>
      <c r="R94">
        <v>8.86781701371258</v>
      </c>
      <c r="S94">
        <v>33.6058845211518</v>
      </c>
      <c r="U94">
        <v>1.0354922684669134</v>
      </c>
      <c r="V94">
        <v>47.039081443043699</v>
      </c>
      <c r="W94">
        <v>20.858372208328515</v>
      </c>
      <c r="X94">
        <v>43.933817778399472</v>
      </c>
      <c r="Y94">
        <v>3.5101328152255902</v>
      </c>
      <c r="Z94">
        <v>17.195598507183004</v>
      </c>
      <c r="AB94">
        <v>30.231788702194887</v>
      </c>
      <c r="AD94">
        <v>0.14950737688611573</v>
      </c>
      <c r="AE94">
        <v>6.2523018187719996</v>
      </c>
      <c r="AF94">
        <v>12.592962867373737</v>
      </c>
      <c r="AG94">
        <v>15.584036039909895</v>
      </c>
      <c r="AI94">
        <v>2.333066273207657</v>
      </c>
      <c r="AK94">
        <v>43.593701480343171</v>
      </c>
    </row>
    <row r="95" spans="1:37" x14ac:dyDescent="0.2">
      <c r="A95">
        <v>94</v>
      </c>
      <c r="B95">
        <v>746</v>
      </c>
      <c r="C95">
        <v>220</v>
      </c>
      <c r="D95">
        <v>0.35372663494088302</v>
      </c>
      <c r="E95">
        <v>167.42858419842719</v>
      </c>
      <c r="F95">
        <v>46.938468802010782</v>
      </c>
      <c r="G95">
        <v>70.049677943644781</v>
      </c>
      <c r="H95">
        <v>65.421484235376781</v>
      </c>
      <c r="J95">
        <v>41.473175123262479</v>
      </c>
      <c r="L95">
        <v>1.6263363032545057</v>
      </c>
      <c r="M95">
        <v>12.466248714739042</v>
      </c>
      <c r="N95">
        <v>2.3969543315700643</v>
      </c>
      <c r="O95">
        <v>5.8999024557425557</v>
      </c>
      <c r="P95">
        <v>8.1053112894803157</v>
      </c>
      <c r="R95">
        <v>8.4507788005409541</v>
      </c>
      <c r="S95">
        <v>34.040457466749125</v>
      </c>
      <c r="U95">
        <v>1.0174141592162878</v>
      </c>
      <c r="V95">
        <v>47.671616067361626</v>
      </c>
      <c r="W95">
        <v>20.281874429305145</v>
      </c>
      <c r="X95">
        <v>43.918321450697483</v>
      </c>
      <c r="Y95">
        <v>3.261015478198622</v>
      </c>
      <c r="Z95">
        <v>17.706167315882269</v>
      </c>
      <c r="AB95">
        <v>30.968014734190731</v>
      </c>
      <c r="AE95">
        <v>6.5415554346890561</v>
      </c>
      <c r="AF95">
        <v>12.09542914636749</v>
      </c>
      <c r="AG95">
        <v>16.305385359918546</v>
      </c>
      <c r="AI95">
        <v>2.3347638491637697</v>
      </c>
      <c r="AK95">
        <v>39.042875308234429</v>
      </c>
    </row>
    <row r="96" spans="1:37" x14ac:dyDescent="0.2">
      <c r="A96">
        <v>95</v>
      </c>
      <c r="B96">
        <v>745</v>
      </c>
      <c r="C96">
        <v>220</v>
      </c>
      <c r="D96">
        <v>0.35302313018710402</v>
      </c>
      <c r="E96">
        <v>167.59371002041354</v>
      </c>
      <c r="F96">
        <v>47.435437068085328</v>
      </c>
      <c r="G96">
        <v>70.027688142018476</v>
      </c>
      <c r="H96">
        <v>65.3972222883027</v>
      </c>
      <c r="J96">
        <v>37.768921602817983</v>
      </c>
      <c r="L96">
        <v>1.6404265832453166</v>
      </c>
      <c r="M96">
        <v>12.031285763497511</v>
      </c>
      <c r="N96">
        <v>2.3989449390534885</v>
      </c>
      <c r="O96">
        <v>5.8861999304421575</v>
      </c>
      <c r="P96">
        <v>8.0848762152496718</v>
      </c>
      <c r="R96">
        <v>8.100939832650047</v>
      </c>
      <c r="S96">
        <v>34.433590463079568</v>
      </c>
      <c r="U96">
        <v>0.99641281039602625</v>
      </c>
      <c r="V96">
        <v>48.234425942507556</v>
      </c>
      <c r="W96">
        <v>19.768623975659317</v>
      </c>
      <c r="X96">
        <v>43.894625311904264</v>
      </c>
      <c r="Y96">
        <v>3.0643034428064899</v>
      </c>
      <c r="Z96">
        <v>17.866099715031428</v>
      </c>
      <c r="AB96">
        <v>31.459079583249597</v>
      </c>
      <c r="AE96">
        <v>6.6261319222592423</v>
      </c>
      <c r="AF96">
        <v>11.659361034049548</v>
      </c>
      <c r="AG96">
        <v>16.78157609459603</v>
      </c>
      <c r="AI96">
        <v>2.3364605919014303</v>
      </c>
      <c r="AK96">
        <v>36.460419309276347</v>
      </c>
    </row>
    <row r="97" spans="1:37" x14ac:dyDescent="0.2">
      <c r="A97">
        <v>96</v>
      </c>
      <c r="B97">
        <v>758</v>
      </c>
      <c r="C97">
        <v>200</v>
      </c>
      <c r="D97">
        <v>0.383397662803666</v>
      </c>
      <c r="E97">
        <v>158.37763474823677</v>
      </c>
      <c r="F97">
        <v>65.667387071027562</v>
      </c>
      <c r="G97">
        <v>72.730208244408416</v>
      </c>
      <c r="H97">
        <v>68.12939977417787</v>
      </c>
      <c r="J97">
        <v>69.198906972319435</v>
      </c>
      <c r="L97">
        <v>8.4590808077190953</v>
      </c>
      <c r="M97">
        <v>13.896131126062318</v>
      </c>
      <c r="N97">
        <v>2.3090688527298191</v>
      </c>
      <c r="O97">
        <v>35.784422053966438</v>
      </c>
      <c r="P97">
        <v>13.007513868257943</v>
      </c>
      <c r="Q97">
        <v>5.9042835366519983E-2</v>
      </c>
      <c r="R97">
        <v>18.818829856051867</v>
      </c>
      <c r="S97">
        <v>50.510371414328318</v>
      </c>
      <c r="U97">
        <v>1.5296483576599442</v>
      </c>
      <c r="V97">
        <v>47.661596311249454</v>
      </c>
      <c r="W97">
        <v>23.836696327880549</v>
      </c>
      <c r="X97">
        <v>43.909658389735384</v>
      </c>
      <c r="Y97">
        <v>9.9840289408776375</v>
      </c>
      <c r="Z97">
        <v>34.052007014110217</v>
      </c>
      <c r="AA97">
        <v>7.6375846737026007</v>
      </c>
      <c r="AB97">
        <v>38.069490122535342</v>
      </c>
      <c r="AC97">
        <v>8.8203180052367006E-3</v>
      </c>
      <c r="AD97">
        <v>9.6923441220212538</v>
      </c>
      <c r="AE97">
        <v>14.302093490007572</v>
      </c>
      <c r="AF97">
        <v>13.536282552034754</v>
      </c>
      <c r="AG97">
        <v>23.607919978915085</v>
      </c>
      <c r="AH97">
        <v>8.7772267928538721</v>
      </c>
      <c r="AI97">
        <v>2.2478716204507072</v>
      </c>
      <c r="AK97">
        <v>57.356406799959139</v>
      </c>
    </row>
    <row r="98" spans="1:37" x14ac:dyDescent="0.2">
      <c r="A98">
        <v>97</v>
      </c>
      <c r="B98">
        <v>757</v>
      </c>
      <c r="C98">
        <v>200</v>
      </c>
      <c r="D98">
        <v>0.38273115565694399</v>
      </c>
      <c r="E98">
        <v>158.27538861114326</v>
      </c>
      <c r="F98">
        <v>65.352707094108368</v>
      </c>
      <c r="G98">
        <v>72.676532457957336</v>
      </c>
      <c r="H98">
        <v>68.073286141125308</v>
      </c>
      <c r="J98">
        <v>69.141341502233345</v>
      </c>
      <c r="L98">
        <v>8.382938902469018</v>
      </c>
      <c r="M98">
        <v>13.850595778193629</v>
      </c>
      <c r="N98">
        <v>2.302015320650602</v>
      </c>
      <c r="O98">
        <v>35.415916055157062</v>
      </c>
      <c r="P98">
        <v>12.914560797932179</v>
      </c>
      <c r="Q98">
        <v>8.2525025886609604E-3</v>
      </c>
      <c r="R98">
        <v>18.640260766558011</v>
      </c>
      <c r="S98">
        <v>50.166158525494701</v>
      </c>
      <c r="U98">
        <v>1.4680818647330984</v>
      </c>
      <c r="V98">
        <v>47.587339791663574</v>
      </c>
      <c r="W98">
        <v>23.673155071248999</v>
      </c>
      <c r="X98">
        <v>43.771954947493022</v>
      </c>
      <c r="Y98">
        <v>9.9052452982676122</v>
      </c>
      <c r="Z98">
        <v>33.880519989550663</v>
      </c>
      <c r="AA98">
        <v>7.5589014265128212</v>
      </c>
      <c r="AB98">
        <v>37.955040000412922</v>
      </c>
      <c r="AD98">
        <v>9.5979610628360454</v>
      </c>
      <c r="AE98">
        <v>14.223065528541925</v>
      </c>
      <c r="AF98">
        <v>13.480591067864021</v>
      </c>
      <c r="AG98">
        <v>23.469547329606556</v>
      </c>
      <c r="AH98">
        <v>8.6696784989491498</v>
      </c>
      <c r="AI98">
        <v>2.2405351959927446</v>
      </c>
      <c r="AK98">
        <v>57.35319020734832</v>
      </c>
    </row>
    <row r="99" spans="1:37" x14ac:dyDescent="0.2">
      <c r="A99">
        <v>98</v>
      </c>
      <c r="B99">
        <v>756</v>
      </c>
      <c r="C99">
        <v>200</v>
      </c>
      <c r="D99">
        <v>0.38206335325268598</v>
      </c>
      <c r="E99">
        <v>158.05840936776184</v>
      </c>
      <c r="F99">
        <v>64.345147450565278</v>
      </c>
      <c r="G99">
        <v>72.504868565494149</v>
      </c>
      <c r="H99">
        <v>67.899197419387249</v>
      </c>
      <c r="J99">
        <v>68.93073620396946</v>
      </c>
      <c r="L99">
        <v>8.1170656508803187</v>
      </c>
      <c r="M99">
        <v>13.8621524216254</v>
      </c>
      <c r="N99">
        <v>2.3039893852404245</v>
      </c>
      <c r="O99">
        <v>34.312433794820855</v>
      </c>
      <c r="P99">
        <v>12.594666828532112</v>
      </c>
      <c r="R99">
        <v>18.292000243512739</v>
      </c>
      <c r="S99">
        <v>49.841488219353884</v>
      </c>
      <c r="U99">
        <v>1.4371859308657016</v>
      </c>
      <c r="V99">
        <v>47.628458378608109</v>
      </c>
      <c r="W99">
        <v>23.448842112668206</v>
      </c>
      <c r="X99">
        <v>43.721762926549466</v>
      </c>
      <c r="Y99">
        <v>9.6008049336415162</v>
      </c>
      <c r="Z99">
        <v>33.339239732093226</v>
      </c>
      <c r="AA99">
        <v>7.2807072688227201</v>
      </c>
      <c r="AB99">
        <v>37.891943931360338</v>
      </c>
      <c r="AD99">
        <v>9.2762594669730198</v>
      </c>
      <c r="AE99">
        <v>14.01652639520681</v>
      </c>
      <c r="AF99">
        <v>13.491019480894478</v>
      </c>
      <c r="AG99">
        <v>23.391558845470264</v>
      </c>
      <c r="AH99">
        <v>8.2266495654763769</v>
      </c>
      <c r="AI99">
        <v>2.2422255391395343</v>
      </c>
      <c r="AK99">
        <v>57.188291280887206</v>
      </c>
    </row>
    <row r="100" spans="1:37" x14ac:dyDescent="0.2">
      <c r="A100">
        <v>99</v>
      </c>
      <c r="B100">
        <v>755</v>
      </c>
      <c r="C100">
        <v>200</v>
      </c>
      <c r="D100">
        <v>0.38139425181150599</v>
      </c>
      <c r="E100">
        <v>157.82337836969427</v>
      </c>
      <c r="F100">
        <v>63.204002941133602</v>
      </c>
      <c r="G100">
        <v>72.309703194676288</v>
      </c>
      <c r="H100">
        <v>67.701620257420316</v>
      </c>
      <c r="J100">
        <v>68.671329561045127</v>
      </c>
      <c r="L100">
        <v>7.8086353494350114</v>
      </c>
      <c r="M100">
        <v>13.887616855646552</v>
      </c>
      <c r="N100">
        <v>2.3059616502666023</v>
      </c>
      <c r="O100">
        <v>33.05434004002052</v>
      </c>
      <c r="P100">
        <v>12.227775841798527</v>
      </c>
      <c r="R100">
        <v>17.895407676519621</v>
      </c>
      <c r="S100">
        <v>49.467075624659536</v>
      </c>
      <c r="U100">
        <v>1.4184592508731162</v>
      </c>
      <c r="V100">
        <v>47.673911990736983</v>
      </c>
      <c r="W100">
        <v>23.226561550384737</v>
      </c>
      <c r="X100">
        <v>43.708568637056594</v>
      </c>
      <c r="Y100">
        <v>9.2501309091398713</v>
      </c>
      <c r="Z100">
        <v>32.721645830941185</v>
      </c>
      <c r="AA100">
        <v>6.9601513250748761</v>
      </c>
      <c r="AB100">
        <v>37.808517319809255</v>
      </c>
      <c r="AD100">
        <v>8.9074649679160078</v>
      </c>
      <c r="AE100">
        <v>13.78300706580014</v>
      </c>
      <c r="AF100">
        <v>13.515354199779376</v>
      </c>
      <c r="AG100">
        <v>23.293240540617912</v>
      </c>
      <c r="AH100">
        <v>7.7158379556988841</v>
      </c>
      <c r="AI100">
        <v>2.2439132518193792</v>
      </c>
      <c r="AK100">
        <v>56.988605605237304</v>
      </c>
    </row>
    <row r="101" spans="1:37" x14ac:dyDescent="0.2">
      <c r="A101">
        <v>100</v>
      </c>
      <c r="B101">
        <v>754</v>
      </c>
      <c r="C101">
        <v>200</v>
      </c>
      <c r="D101">
        <v>0.38072384753930699</v>
      </c>
      <c r="E101">
        <v>157.30417813089934</v>
      </c>
      <c r="F101">
        <v>59.936908733090299</v>
      </c>
      <c r="G101">
        <v>71.806825114247843</v>
      </c>
      <c r="H101">
        <v>67.196343444806516</v>
      </c>
      <c r="J101">
        <v>67.396807001612004</v>
      </c>
      <c r="L101">
        <v>6.9083226946306491</v>
      </c>
      <c r="M101">
        <v>13.893213301954162</v>
      </c>
      <c r="N101">
        <v>2.3079195976091373</v>
      </c>
      <c r="O101">
        <v>29.642178070512518</v>
      </c>
      <c r="P101">
        <v>11.245452879823677</v>
      </c>
      <c r="R101">
        <v>16.60713864708001</v>
      </c>
      <c r="S101">
        <v>47.608479760465158</v>
      </c>
      <c r="U101">
        <v>1.4134136141114029</v>
      </c>
      <c r="V101">
        <v>47.540273209315714</v>
      </c>
      <c r="W101">
        <v>23.021224971572984</v>
      </c>
      <c r="X101">
        <v>43.734151775019761</v>
      </c>
      <c r="Y101">
        <v>8.2803910324197858</v>
      </c>
      <c r="Z101">
        <v>30.633209746331424</v>
      </c>
      <c r="AA101">
        <v>6.0426600891275886</v>
      </c>
      <c r="AB101">
        <v>36.967421211790366</v>
      </c>
      <c r="AD101">
        <v>7.6911806001916352</v>
      </c>
      <c r="AE101">
        <v>12.915036378362922</v>
      </c>
      <c r="AF101">
        <v>13.519806933707947</v>
      </c>
      <c r="AG101">
        <v>22.437240948893432</v>
      </c>
      <c r="AH101">
        <v>6.2625123850960556</v>
      </c>
      <c r="AI101">
        <v>2.2455858140743161</v>
      </c>
      <c r="AK101">
        <v>56.153216966223098</v>
      </c>
    </row>
    <row r="102" spans="1:37" x14ac:dyDescent="0.2">
      <c r="A102">
        <v>101</v>
      </c>
      <c r="B102">
        <v>753</v>
      </c>
      <c r="C102">
        <v>200</v>
      </c>
      <c r="D102">
        <v>0.380052136627202</v>
      </c>
      <c r="E102">
        <v>156.20330562968823</v>
      </c>
      <c r="F102">
        <v>52.273710868582043</v>
      </c>
      <c r="G102">
        <v>70.676838276313063</v>
      </c>
      <c r="H102">
        <v>66.06397095452985</v>
      </c>
      <c r="J102">
        <v>64.028502012038956</v>
      </c>
      <c r="L102">
        <v>4.7883742882266924</v>
      </c>
      <c r="M102">
        <v>13.825459443873793</v>
      </c>
      <c r="N102">
        <v>2.3098465117268971</v>
      </c>
      <c r="O102">
        <v>21.813156174025888</v>
      </c>
      <c r="P102">
        <v>9.0088891540619134</v>
      </c>
      <c r="R102">
        <v>13.47080557951794</v>
      </c>
      <c r="S102">
        <v>42.790627529472133</v>
      </c>
      <c r="U102">
        <v>1.4177429138396684</v>
      </c>
      <c r="V102">
        <v>47.07473435630763</v>
      </c>
      <c r="W102">
        <v>22.857025024922272</v>
      </c>
      <c r="X102">
        <v>43.783543458779931</v>
      </c>
      <c r="Y102">
        <v>6.0449956461040655</v>
      </c>
      <c r="Z102">
        <v>25.419545421272417</v>
      </c>
      <c r="AA102">
        <v>3.897303708552732</v>
      </c>
      <c r="AB102">
        <v>34.588971046041301</v>
      </c>
      <c r="AD102">
        <v>4.6683291770826845</v>
      </c>
      <c r="AE102">
        <v>10.695687961747064</v>
      </c>
      <c r="AF102">
        <v>13.450878656086434</v>
      </c>
      <c r="AG102">
        <v>20.043858799443885</v>
      </c>
      <c r="AH102">
        <v>2.8452539740731408</v>
      </c>
      <c r="AI102">
        <v>2.2472265085232683</v>
      </c>
      <c r="AK102">
        <v>53.98393938683266</v>
      </c>
    </row>
    <row r="103" spans="1:37" x14ac:dyDescent="0.2">
      <c r="A103">
        <v>102</v>
      </c>
      <c r="B103">
        <v>752</v>
      </c>
      <c r="C103">
        <v>200</v>
      </c>
      <c r="D103">
        <v>0.37937911525142798</v>
      </c>
      <c r="E103">
        <v>155.31480013761592</v>
      </c>
      <c r="F103">
        <v>46.115526911899828</v>
      </c>
      <c r="G103">
        <v>69.766351423559996</v>
      </c>
      <c r="H103">
        <v>65.151111550197299</v>
      </c>
      <c r="J103">
        <v>61.347044606798413</v>
      </c>
      <c r="L103">
        <v>3.0776363355640717</v>
      </c>
      <c r="M103">
        <v>13.75240553723841</v>
      </c>
      <c r="N103">
        <v>2.3117825223654931</v>
      </c>
      <c r="O103">
        <v>15.509703001707608</v>
      </c>
      <c r="P103">
        <v>7.2113423024812446</v>
      </c>
      <c r="R103">
        <v>10.926892287802984</v>
      </c>
      <c r="S103">
        <v>38.998341978961754</v>
      </c>
      <c r="U103">
        <v>1.4123332121046164</v>
      </c>
      <c r="V103">
        <v>46.732592766637794</v>
      </c>
      <c r="W103">
        <v>22.694156785816535</v>
      </c>
      <c r="X103">
        <v>43.805114578144767</v>
      </c>
      <c r="Y103">
        <v>4.2485293015680448</v>
      </c>
      <c r="Z103">
        <v>21.179588412612713</v>
      </c>
      <c r="AA103">
        <v>2.1698747588564729</v>
      </c>
      <c r="AB103">
        <v>32.716127492097982</v>
      </c>
      <c r="AD103">
        <v>2.1975110642432543</v>
      </c>
      <c r="AE103">
        <v>8.8980943180360015</v>
      </c>
      <c r="AF103">
        <v>13.376659758131638</v>
      </c>
      <c r="AG103">
        <v>18.156094897519871</v>
      </c>
      <c r="AH103">
        <v>6.5714536441508639E-2</v>
      </c>
      <c r="AI103">
        <v>2.2488754630730678</v>
      </c>
      <c r="AK103">
        <v>52.244570174367297</v>
      </c>
    </row>
    <row r="104" spans="1:37" x14ac:dyDescent="0.2">
      <c r="A104">
        <v>103</v>
      </c>
      <c r="B104">
        <v>751</v>
      </c>
      <c r="C104">
        <v>200</v>
      </c>
      <c r="D104">
        <v>0.378704779573308</v>
      </c>
      <c r="E104">
        <v>155.9408853045297</v>
      </c>
      <c r="F104">
        <v>47.124557194773018</v>
      </c>
      <c r="G104">
        <v>70.233992040324878</v>
      </c>
      <c r="H104">
        <v>65.616392737107745</v>
      </c>
      <c r="J104">
        <v>50.10389972585012</v>
      </c>
      <c r="L104">
        <v>1.5750961028326929</v>
      </c>
      <c r="M104">
        <v>13.436086357589875</v>
      </c>
      <c r="N104">
        <v>2.3138060593579803</v>
      </c>
      <c r="O104">
        <v>6.4264886154238345</v>
      </c>
      <c r="P104">
        <v>8.1701457465030742</v>
      </c>
      <c r="R104">
        <v>9.5091947467479656</v>
      </c>
      <c r="S104">
        <v>34.332455503693637</v>
      </c>
      <c r="U104">
        <v>1.4215919090900528</v>
      </c>
      <c r="V104">
        <v>46.814383158858995</v>
      </c>
      <c r="W104">
        <v>22.278142677251015</v>
      </c>
      <c r="X104">
        <v>43.868731827244176</v>
      </c>
      <c r="Y104">
        <v>3.4752964313906474</v>
      </c>
      <c r="Z104">
        <v>18.534382757420271</v>
      </c>
      <c r="AB104">
        <v>30.979936813416035</v>
      </c>
      <c r="AD104">
        <v>0.83239091114382169</v>
      </c>
      <c r="AE104">
        <v>7.1039691349367029</v>
      </c>
      <c r="AF104">
        <v>13.059263450866947</v>
      </c>
      <c r="AG104">
        <v>16.405073942400588</v>
      </c>
      <c r="AI104">
        <v>2.2506111057171738</v>
      </c>
      <c r="AK104">
        <v>44.7529490168804</v>
      </c>
    </row>
    <row r="105" spans="1:37" x14ac:dyDescent="0.2">
      <c r="A105">
        <v>104</v>
      </c>
      <c r="B105">
        <v>750</v>
      </c>
      <c r="C105">
        <v>200</v>
      </c>
      <c r="D105">
        <v>0.37802912573913899</v>
      </c>
      <c r="E105">
        <v>156.19952237375409</v>
      </c>
      <c r="F105">
        <v>47.347049570345696</v>
      </c>
      <c r="G105">
        <v>70.280400606671748</v>
      </c>
      <c r="H105">
        <v>65.66045501632469</v>
      </c>
      <c r="J105">
        <v>42.831299114655849</v>
      </c>
      <c r="L105">
        <v>1.5971611049594903</v>
      </c>
      <c r="M105">
        <v>12.97015649982152</v>
      </c>
      <c r="N105">
        <v>2.315803523919461</v>
      </c>
      <c r="O105">
        <v>6.3062561481789192</v>
      </c>
      <c r="P105">
        <v>8.2864668704430198</v>
      </c>
      <c r="R105">
        <v>9.1925428794431987</v>
      </c>
      <c r="S105">
        <v>34.574314884020161</v>
      </c>
      <c r="U105">
        <v>1.4099631914687147</v>
      </c>
      <c r="V105">
        <v>47.381657782509564</v>
      </c>
      <c r="W105">
        <v>21.726405923426327</v>
      </c>
      <c r="X105">
        <v>43.872611917261089</v>
      </c>
      <c r="Y105">
        <v>3.2912613341719612</v>
      </c>
      <c r="Z105">
        <v>17.56429761797331</v>
      </c>
      <c r="AB105">
        <v>30.763970286313288</v>
      </c>
      <c r="AE105">
        <v>6.5219435045581902</v>
      </c>
      <c r="AF105">
        <v>12.592230736061143</v>
      </c>
      <c r="AG105">
        <v>16.174253617624363</v>
      </c>
      <c r="AI105">
        <v>2.2523198358306287</v>
      </c>
      <c r="AK105">
        <v>39.805621612647712</v>
      </c>
    </row>
    <row r="106" spans="1:37" x14ac:dyDescent="0.2">
      <c r="A106">
        <v>105</v>
      </c>
      <c r="B106">
        <v>749</v>
      </c>
      <c r="C106">
        <v>200</v>
      </c>
      <c r="D106">
        <v>0.37735214988015597</v>
      </c>
      <c r="E106">
        <v>156.37275665133183</v>
      </c>
      <c r="F106">
        <v>47.866504816334142</v>
      </c>
      <c r="G106">
        <v>70.257865258425653</v>
      </c>
      <c r="H106">
        <v>65.635586544716901</v>
      </c>
      <c r="J106">
        <v>38.616766176466449</v>
      </c>
      <c r="L106">
        <v>1.6111953642612715</v>
      </c>
      <c r="M106">
        <v>12.523148859911654</v>
      </c>
      <c r="N106">
        <v>2.3177960190236608</v>
      </c>
      <c r="O106">
        <v>6.2893226644353053</v>
      </c>
      <c r="P106">
        <v>8.2649030719684156</v>
      </c>
      <c r="R106">
        <v>8.8294330334144178</v>
      </c>
      <c r="S106">
        <v>34.939904028661743</v>
      </c>
      <c r="U106">
        <v>1.3913312478130775</v>
      </c>
      <c r="V106">
        <v>47.949157740249305</v>
      </c>
      <c r="W106">
        <v>21.198109268001343</v>
      </c>
      <c r="X106">
        <v>43.856589418244411</v>
      </c>
      <c r="Y106">
        <v>3.0813141965268391</v>
      </c>
      <c r="Z106">
        <v>17.738145346899916</v>
      </c>
      <c r="AB106">
        <v>31.254795694553138</v>
      </c>
      <c r="AE106">
        <v>6.6145209472330881</v>
      </c>
      <c r="AF106">
        <v>12.144115618342441</v>
      </c>
      <c r="AG106">
        <v>16.650222815956994</v>
      </c>
      <c r="AI106">
        <v>2.2540227545479121</v>
      </c>
      <c r="AK106">
        <v>36.886241838017654</v>
      </c>
    </row>
    <row r="107" spans="1:37" x14ac:dyDescent="0.2">
      <c r="A107">
        <v>106</v>
      </c>
      <c r="B107">
        <v>765</v>
      </c>
      <c r="C107">
        <v>180</v>
      </c>
      <c r="D107">
        <v>0.409218802677841</v>
      </c>
      <c r="E107">
        <v>147.37974745303057</v>
      </c>
      <c r="F107">
        <v>67.349858379657078</v>
      </c>
      <c r="G107">
        <v>73.100325136691907</v>
      </c>
      <c r="H107">
        <v>68.51610042031912</v>
      </c>
      <c r="J107">
        <v>69.235514766104856</v>
      </c>
      <c r="L107">
        <v>8.8767413560210144</v>
      </c>
      <c r="M107">
        <v>14.178832414598752</v>
      </c>
      <c r="N107">
        <v>2.2764991777436943</v>
      </c>
      <c r="O107">
        <v>38.48518260259079</v>
      </c>
      <c r="P107">
        <v>13.452340333679656</v>
      </c>
      <c r="Q107">
        <v>4.1045317405946566E-2</v>
      </c>
      <c r="R107">
        <v>20.028701396413862</v>
      </c>
      <c r="S107">
        <v>52.542431382335209</v>
      </c>
      <c r="U107">
        <v>1.9219632226810082</v>
      </c>
      <c r="V107">
        <v>47.697484186778865</v>
      </c>
      <c r="W107">
        <v>25.527017263170734</v>
      </c>
      <c r="X107">
        <v>43.54628520379206</v>
      </c>
      <c r="Y107">
        <v>10.347444595351957</v>
      </c>
      <c r="Z107">
        <v>35.214862726699884</v>
      </c>
      <c r="AA107">
        <v>8.0967454820536293</v>
      </c>
      <c r="AB107">
        <v>38.886645013901713</v>
      </c>
      <c r="AC107">
        <v>6.3389282601899216E-2</v>
      </c>
      <c r="AD107">
        <v>10.316431837399243</v>
      </c>
      <c r="AE107">
        <v>15.008488637898004</v>
      </c>
      <c r="AF107">
        <v>13.869847527811247</v>
      </c>
      <c r="AG107">
        <v>24.596828745286967</v>
      </c>
      <c r="AH107">
        <v>9.1116302316098761</v>
      </c>
      <c r="AI107">
        <v>2.2148237327506202</v>
      </c>
      <c r="AK107">
        <v>57.041731459691292</v>
      </c>
    </row>
    <row r="108" spans="1:37" x14ac:dyDescent="0.2">
      <c r="A108">
        <v>107</v>
      </c>
      <c r="B108">
        <v>764</v>
      </c>
      <c r="C108">
        <v>180</v>
      </c>
      <c r="D108">
        <v>0.40858169020874802</v>
      </c>
      <c r="E108">
        <v>147.27651545948328</v>
      </c>
      <c r="F108">
        <v>67.008838555140585</v>
      </c>
      <c r="G108">
        <v>73.041484228450358</v>
      </c>
      <c r="H108">
        <v>68.45472297557771</v>
      </c>
      <c r="J108">
        <v>69.178621104576521</v>
      </c>
      <c r="L108">
        <v>8.7909150715206792</v>
      </c>
      <c r="M108">
        <v>14.146787478175561</v>
      </c>
      <c r="N108">
        <v>2.2674241321001984</v>
      </c>
      <c r="O108">
        <v>38.071755625527537</v>
      </c>
      <c r="P108">
        <v>13.346974420665974</v>
      </c>
      <c r="R108">
        <v>19.85381825610143</v>
      </c>
      <c r="S108">
        <v>52.247169416553561</v>
      </c>
      <c r="U108">
        <v>1.8712203510944247</v>
      </c>
      <c r="V108">
        <v>47.64792142964837</v>
      </c>
      <c r="W108">
        <v>25.375396624889685</v>
      </c>
      <c r="X108">
        <v>43.44413292431463</v>
      </c>
      <c r="Y108">
        <v>10.25742204758239</v>
      </c>
      <c r="Z108">
        <v>35.029034882585009</v>
      </c>
      <c r="AA108">
        <v>8.0075821090815378</v>
      </c>
      <c r="AB108">
        <v>38.792524273600968</v>
      </c>
      <c r="AC108">
        <v>5.2331110226115037E-2</v>
      </c>
      <c r="AD108">
        <v>10.214603967881047</v>
      </c>
      <c r="AE108">
        <v>14.92474754397781</v>
      </c>
      <c r="AF108">
        <v>13.825620088270806</v>
      </c>
      <c r="AG108">
        <v>24.476772826613217</v>
      </c>
      <c r="AH108">
        <v>8.9906929215903073</v>
      </c>
      <c r="AI108">
        <v>2.2054724489239823</v>
      </c>
      <c r="AK108">
        <v>57.031303974635073</v>
      </c>
    </row>
    <row r="109" spans="1:37" x14ac:dyDescent="0.2">
      <c r="A109">
        <v>108</v>
      </c>
      <c r="B109">
        <v>763</v>
      </c>
      <c r="C109">
        <v>180</v>
      </c>
      <c r="D109">
        <v>0.40794334797085602</v>
      </c>
      <c r="E109">
        <v>147.16690206332041</v>
      </c>
      <c r="F109">
        <v>66.553152762429946</v>
      </c>
      <c r="G109">
        <v>72.960950044673297</v>
      </c>
      <c r="H109">
        <v>68.371665130058673</v>
      </c>
      <c r="J109">
        <v>69.130960708402753</v>
      </c>
      <c r="L109">
        <v>8.6626206529764946</v>
      </c>
      <c r="M109">
        <v>14.169666472366393</v>
      </c>
      <c r="N109">
        <v>2.2494182976256147</v>
      </c>
      <c r="O109">
        <v>37.472783626908992</v>
      </c>
      <c r="P109">
        <v>13.189298724610351</v>
      </c>
      <c r="R109">
        <v>19.689117139515172</v>
      </c>
      <c r="S109">
        <v>52.148823457941724</v>
      </c>
      <c r="U109">
        <v>1.8628986620514316</v>
      </c>
      <c r="V109">
        <v>47.695282834747701</v>
      </c>
      <c r="W109">
        <v>25.275142676452347</v>
      </c>
      <c r="X109">
        <v>43.481405286664838</v>
      </c>
      <c r="Y109">
        <v>10.119233404209806</v>
      </c>
      <c r="Z109">
        <v>34.782697059018069</v>
      </c>
      <c r="AA109">
        <v>7.8727062444867553</v>
      </c>
      <c r="AB109">
        <v>38.781194741737167</v>
      </c>
      <c r="AC109">
        <v>3.2342295241428072E-2</v>
      </c>
      <c r="AD109">
        <v>10.077667779074694</v>
      </c>
      <c r="AE109">
        <v>14.822038057612259</v>
      </c>
      <c r="AF109">
        <v>13.827386065735654</v>
      </c>
      <c r="AG109">
        <v>24.430579802106426</v>
      </c>
      <c r="AH109">
        <v>8.8124293253055814</v>
      </c>
      <c r="AI109">
        <v>2.1871895600634184</v>
      </c>
      <c r="AK109">
        <v>56.99307527545384</v>
      </c>
    </row>
    <row r="110" spans="1:37" x14ac:dyDescent="0.2">
      <c r="A110">
        <v>109</v>
      </c>
      <c r="B110">
        <v>762</v>
      </c>
      <c r="C110">
        <v>180</v>
      </c>
      <c r="D110">
        <v>0.40730377240013699</v>
      </c>
      <c r="E110">
        <v>147.0578505174972</v>
      </c>
      <c r="F110">
        <v>66.098364288151657</v>
      </c>
      <c r="G110">
        <v>72.88038854129546</v>
      </c>
      <c r="H110">
        <v>68.288592860214209</v>
      </c>
      <c r="J110">
        <v>69.081704296537566</v>
      </c>
      <c r="L110">
        <v>8.5337174560930755</v>
      </c>
      <c r="M110">
        <v>14.192857004540121</v>
      </c>
      <c r="N110">
        <v>2.2313293229017837</v>
      </c>
      <c r="O110">
        <v>36.873345158602689</v>
      </c>
      <c r="P110">
        <v>13.031492828194292</v>
      </c>
      <c r="R110">
        <v>19.522724840293641</v>
      </c>
      <c r="S110">
        <v>52.044810224452746</v>
      </c>
      <c r="U110">
        <v>1.8552468404475135</v>
      </c>
      <c r="V110">
        <v>47.740523279240229</v>
      </c>
      <c r="W110">
        <v>25.176001898487154</v>
      </c>
      <c r="X110">
        <v>43.520895768650355</v>
      </c>
      <c r="Y110">
        <v>9.9808687339991682</v>
      </c>
      <c r="Z110">
        <v>34.536337165542662</v>
      </c>
      <c r="AA110">
        <v>7.7375565822688008</v>
      </c>
      <c r="AB110">
        <v>38.766698354896228</v>
      </c>
      <c r="AC110">
        <v>1.2270485788696607E-2</v>
      </c>
      <c r="AD110">
        <v>9.9405001229256662</v>
      </c>
      <c r="AE110">
        <v>14.719343764057504</v>
      </c>
      <c r="AF110">
        <v>13.829380721666324</v>
      </c>
      <c r="AG110">
        <v>24.381139262717973</v>
      </c>
      <c r="AH110">
        <v>8.633874318364736</v>
      </c>
      <c r="AI110">
        <v>2.1688227129141997</v>
      </c>
      <c r="AK110">
        <v>56.954806174989891</v>
      </c>
    </row>
    <row r="111" spans="1:37" x14ac:dyDescent="0.2">
      <c r="A111">
        <v>110</v>
      </c>
      <c r="B111">
        <v>761</v>
      </c>
      <c r="C111">
        <v>180</v>
      </c>
      <c r="D111">
        <v>0.40666295991877599</v>
      </c>
      <c r="E111">
        <v>146.90453918673671</v>
      </c>
      <c r="F111">
        <v>65.405037507739763</v>
      </c>
      <c r="G111">
        <v>72.759923930320923</v>
      </c>
      <c r="H111">
        <v>68.165630398606439</v>
      </c>
      <c r="J111">
        <v>68.9605994297861</v>
      </c>
      <c r="L111">
        <v>8.3429470109908141</v>
      </c>
      <c r="M111">
        <v>14.215750869626955</v>
      </c>
      <c r="N111">
        <v>2.2208271667271529</v>
      </c>
      <c r="O111">
        <v>36.0466790795561</v>
      </c>
      <c r="P111">
        <v>12.801475136510353</v>
      </c>
      <c r="R111">
        <v>19.276382254814187</v>
      </c>
      <c r="S111">
        <v>51.846621953274422</v>
      </c>
      <c r="U111">
        <v>1.8426566282168251</v>
      </c>
      <c r="V111">
        <v>47.785625350806122</v>
      </c>
      <c r="W111">
        <v>25.029856398185309</v>
      </c>
      <c r="X111">
        <v>43.538642799712846</v>
      </c>
      <c r="Y111">
        <v>9.768926117861799</v>
      </c>
      <c r="Z111">
        <v>34.161046650330597</v>
      </c>
      <c r="AA111">
        <v>7.5384693296816625</v>
      </c>
      <c r="AB111">
        <v>38.728825155447545</v>
      </c>
      <c r="AD111">
        <v>9.7230644400835686</v>
      </c>
      <c r="AE111">
        <v>14.571159725101552</v>
      </c>
      <c r="AF111">
        <v>13.83866581531445</v>
      </c>
      <c r="AG111">
        <v>24.315911215418076</v>
      </c>
      <c r="AH111">
        <v>8.3398075502283096</v>
      </c>
      <c r="AI111">
        <v>2.1580418644389048</v>
      </c>
      <c r="AK111">
        <v>56.861231064806795</v>
      </c>
    </row>
    <row r="112" spans="1:37" x14ac:dyDescent="0.2">
      <c r="A112">
        <v>111</v>
      </c>
      <c r="B112">
        <v>760</v>
      </c>
      <c r="C112">
        <v>180</v>
      </c>
      <c r="D112">
        <v>0.40602090693510101</v>
      </c>
      <c r="E112">
        <v>146.67338073525244</v>
      </c>
      <c r="F112">
        <v>64.278755810463949</v>
      </c>
      <c r="G112">
        <v>72.566772371097741</v>
      </c>
      <c r="H112">
        <v>67.969993925181498</v>
      </c>
      <c r="J112">
        <v>68.698874862525969</v>
      </c>
      <c r="L112">
        <v>8.0369956123142146</v>
      </c>
      <c r="M112">
        <v>14.240347648317305</v>
      </c>
      <c r="N112">
        <v>2.2228020916002427</v>
      </c>
      <c r="O112">
        <v>34.799659711562093</v>
      </c>
      <c r="P112">
        <v>12.438568253106947</v>
      </c>
      <c r="R112">
        <v>18.877912131341155</v>
      </c>
      <c r="S112">
        <v>51.451837305917273</v>
      </c>
      <c r="U112">
        <v>1.825065103040757</v>
      </c>
      <c r="V112">
        <v>47.822450010800068</v>
      </c>
      <c r="W112">
        <v>24.807622520933919</v>
      </c>
      <c r="X112">
        <v>43.529708246107575</v>
      </c>
      <c r="Y112">
        <v>9.4220928015633216</v>
      </c>
      <c r="Z112">
        <v>33.548762073068787</v>
      </c>
      <c r="AA112">
        <v>7.2212208651044643</v>
      </c>
      <c r="AB112">
        <v>38.633069156665428</v>
      </c>
      <c r="AD112">
        <v>9.3583643837435488</v>
      </c>
      <c r="AE112">
        <v>14.338814967852322</v>
      </c>
      <c r="AF112">
        <v>13.86213119540427</v>
      </c>
      <c r="AG112">
        <v>24.205279941799642</v>
      </c>
      <c r="AH112">
        <v>7.8350012179224038</v>
      </c>
      <c r="AI112">
        <v>2.1597372752977395</v>
      </c>
      <c r="AK112">
        <v>56.665114990838916</v>
      </c>
    </row>
    <row r="113" spans="1:37" x14ac:dyDescent="0.2">
      <c r="A113">
        <v>112</v>
      </c>
      <c r="B113">
        <v>759</v>
      </c>
      <c r="C113">
        <v>180</v>
      </c>
      <c r="D113">
        <v>0.40537760984353299</v>
      </c>
      <c r="E113">
        <v>146.43057528212694</v>
      </c>
      <c r="F113">
        <v>63.054647765886891</v>
      </c>
      <c r="G113">
        <v>72.356881355270573</v>
      </c>
      <c r="H113">
        <v>67.757630952221163</v>
      </c>
      <c r="J113">
        <v>68.37989256693524</v>
      </c>
      <c r="L113">
        <v>7.6981896579029998</v>
      </c>
      <c r="M113">
        <v>14.269236484841288</v>
      </c>
      <c r="N113">
        <v>2.2247756086200052</v>
      </c>
      <c r="O113">
        <v>33.440995217135963</v>
      </c>
      <c r="P113">
        <v>12.042188694787045</v>
      </c>
      <c r="R113">
        <v>18.427998739101373</v>
      </c>
      <c r="S113">
        <v>50.946739717323034</v>
      </c>
      <c r="U113">
        <v>1.8145758108635384</v>
      </c>
      <c r="V113">
        <v>47.836525550986039</v>
      </c>
      <c r="W113">
        <v>24.588636640788057</v>
      </c>
      <c r="X113">
        <v>43.541834951753657</v>
      </c>
      <c r="Y113">
        <v>9.0420454449557912</v>
      </c>
      <c r="Z113">
        <v>32.873741669356427</v>
      </c>
      <c r="AA113">
        <v>6.8723382876207175</v>
      </c>
      <c r="AB113">
        <v>38.484276667184503</v>
      </c>
      <c r="AD113">
        <v>8.9554118399117311</v>
      </c>
      <c r="AE113">
        <v>14.082152295773854</v>
      </c>
      <c r="AF113">
        <v>13.889887522814965</v>
      </c>
      <c r="AG113">
        <v>24.04161326743645</v>
      </c>
      <c r="AH113">
        <v>7.2802414555455153</v>
      </c>
      <c r="AI113">
        <v>2.1614304547533201</v>
      </c>
      <c r="AK113">
        <v>56.440363489761125</v>
      </c>
    </row>
    <row r="114" spans="1:37" x14ac:dyDescent="0.2">
      <c r="A114">
        <v>113</v>
      </c>
      <c r="B114">
        <v>758</v>
      </c>
      <c r="C114">
        <v>180</v>
      </c>
      <c r="D114">
        <v>0.40473306502448703</v>
      </c>
      <c r="E114">
        <v>145.61602874863536</v>
      </c>
      <c r="F114">
        <v>57.531463162618145</v>
      </c>
      <c r="G114">
        <v>71.52671742014968</v>
      </c>
      <c r="H114">
        <v>66.92500803771344</v>
      </c>
      <c r="J114">
        <v>65.980111539892619</v>
      </c>
      <c r="L114">
        <v>6.1608047064358251</v>
      </c>
      <c r="M114">
        <v>14.244611474606518</v>
      </c>
      <c r="N114">
        <v>2.2267207954299861</v>
      </c>
      <c r="O114">
        <v>27.734858965459583</v>
      </c>
      <c r="P114">
        <v>10.405242636285145</v>
      </c>
      <c r="R114">
        <v>16.155382317313293</v>
      </c>
      <c r="S114">
        <v>47.36515930072887</v>
      </c>
      <c r="U114">
        <v>1.8262295408585527</v>
      </c>
      <c r="V114">
        <v>47.464181397293096</v>
      </c>
      <c r="W114">
        <v>24.401913472576357</v>
      </c>
      <c r="X114">
        <v>43.614969702118962</v>
      </c>
      <c r="Y114">
        <v>7.4128591654679532</v>
      </c>
      <c r="Z114">
        <v>29.215254371794003</v>
      </c>
      <c r="AA114">
        <v>5.3166364878898316</v>
      </c>
      <c r="AB114">
        <v>36.760867847260393</v>
      </c>
      <c r="AD114">
        <v>6.8329154127167255</v>
      </c>
      <c r="AE114">
        <v>12.530763856799346</v>
      </c>
      <c r="AF114">
        <v>13.864101976155238</v>
      </c>
      <c r="AG114">
        <v>22.303304436082549</v>
      </c>
      <c r="AH114">
        <v>4.8199054932106815</v>
      </c>
      <c r="AI114">
        <v>2.1630944786111117</v>
      </c>
      <c r="AK114">
        <v>54.921682257034</v>
      </c>
    </row>
    <row r="115" spans="1:37" x14ac:dyDescent="0.2">
      <c r="A115">
        <v>114</v>
      </c>
      <c r="B115">
        <v>757</v>
      </c>
      <c r="C115">
        <v>180</v>
      </c>
      <c r="D115">
        <v>0.40408726884434598</v>
      </c>
      <c r="E115">
        <v>144.65036779261126</v>
      </c>
      <c r="F115">
        <v>50.809937330616329</v>
      </c>
      <c r="G115">
        <v>70.529382326064862</v>
      </c>
      <c r="H115">
        <v>65.925226962704912</v>
      </c>
      <c r="J115">
        <v>62.996707647312782</v>
      </c>
      <c r="L115">
        <v>4.2873721880877929</v>
      </c>
      <c r="M115">
        <v>14.179133712060592</v>
      </c>
      <c r="N115">
        <v>2.2286561877202185</v>
      </c>
      <c r="O115">
        <v>20.837632459396541</v>
      </c>
      <c r="P115">
        <v>8.4339521564910669</v>
      </c>
      <c r="R115">
        <v>13.360963721735699</v>
      </c>
      <c r="S115">
        <v>43.011077690488783</v>
      </c>
      <c r="U115">
        <v>1.833907419031626</v>
      </c>
      <c r="V115">
        <v>47.012471977032362</v>
      </c>
      <c r="W115">
        <v>24.23520253337972</v>
      </c>
      <c r="X115">
        <v>43.674949666417874</v>
      </c>
      <c r="Y115">
        <v>5.443468345975921</v>
      </c>
      <c r="Z115">
        <v>24.645379175313732</v>
      </c>
      <c r="AA115">
        <v>3.4257789822533522</v>
      </c>
      <c r="AB115">
        <v>34.618857034835571</v>
      </c>
      <c r="AD115">
        <v>4.1762942899745017</v>
      </c>
      <c r="AE115">
        <v>10.584789281845101</v>
      </c>
      <c r="AF115">
        <v>13.797454191137271</v>
      </c>
      <c r="AG115">
        <v>20.146386327246965</v>
      </c>
      <c r="AH115">
        <v>1.8047116835156907</v>
      </c>
      <c r="AI115">
        <v>2.1647478807232985</v>
      </c>
      <c r="AK115">
        <v>53.021890849678904</v>
      </c>
    </row>
    <row r="116" spans="1:37" x14ac:dyDescent="0.2">
      <c r="A116">
        <v>115</v>
      </c>
      <c r="B116">
        <v>756</v>
      </c>
      <c r="C116">
        <v>180</v>
      </c>
      <c r="D116">
        <v>0.40344021765534699</v>
      </c>
      <c r="E116">
        <v>144.52065373651465</v>
      </c>
      <c r="F116">
        <v>48.150141777626395</v>
      </c>
      <c r="G116">
        <v>70.312341464105316</v>
      </c>
      <c r="H116">
        <v>65.70575313904348</v>
      </c>
      <c r="J116">
        <v>55.932109626175283</v>
      </c>
      <c r="L116">
        <v>2.5249670343150137</v>
      </c>
      <c r="M116">
        <v>14.029373723616663</v>
      </c>
      <c r="N116">
        <v>2.230636647717644</v>
      </c>
      <c r="O116">
        <v>12.118682647781013</v>
      </c>
      <c r="P116">
        <v>8.0233029224099361</v>
      </c>
      <c r="R116">
        <v>11.206821827679663</v>
      </c>
      <c r="S116">
        <v>38.026001224227123</v>
      </c>
      <c r="U116">
        <v>1.8548998401635692</v>
      </c>
      <c r="V116">
        <v>46.691120687945151</v>
      </c>
      <c r="W116">
        <v>23.975399313905392</v>
      </c>
      <c r="X116">
        <v>43.773272405140936</v>
      </c>
      <c r="Y116">
        <v>4.1064785845790572</v>
      </c>
      <c r="Z116">
        <v>21.072372510486019</v>
      </c>
      <c r="AA116">
        <v>1.4194420387038917</v>
      </c>
      <c r="AB116">
        <v>32.514952310036477</v>
      </c>
      <c r="AD116">
        <v>2.1951010903766797</v>
      </c>
      <c r="AE116">
        <v>8.6876715048982387</v>
      </c>
      <c r="AF116">
        <v>13.646569561988047</v>
      </c>
      <c r="AG116">
        <v>18.027621889177542</v>
      </c>
      <c r="AI116">
        <v>2.1664455214781579</v>
      </c>
      <c r="AK116">
        <v>48.404835150133017</v>
      </c>
    </row>
    <row r="117" spans="1:37" x14ac:dyDescent="0.2">
      <c r="A117">
        <v>116</v>
      </c>
      <c r="B117">
        <v>755</v>
      </c>
      <c r="C117">
        <v>180</v>
      </c>
      <c r="D117">
        <v>0.40279190779555302</v>
      </c>
      <c r="E117">
        <v>144.8139428188673</v>
      </c>
      <c r="F117">
        <v>47.809444071108395</v>
      </c>
      <c r="G117">
        <v>70.460835946726746</v>
      </c>
      <c r="H117">
        <v>65.851827699983161</v>
      </c>
      <c r="J117">
        <v>48.273450169729855</v>
      </c>
      <c r="L117">
        <v>1.5523593563079376</v>
      </c>
      <c r="M117">
        <v>13.731058418380167</v>
      </c>
      <c r="N117">
        <v>2.2326410005047994</v>
      </c>
      <c r="O117">
        <v>6.9505878922263351</v>
      </c>
      <c r="P117">
        <v>8.3437560066981025</v>
      </c>
      <c r="R117">
        <v>10.087987262062208</v>
      </c>
      <c r="S117">
        <v>35.171302126761631</v>
      </c>
      <c r="U117">
        <v>1.8592330875284235</v>
      </c>
      <c r="V117">
        <v>46.81079224167226</v>
      </c>
      <c r="W117">
        <v>23.578605106012429</v>
      </c>
      <c r="X117">
        <v>43.823815298352436</v>
      </c>
      <c r="Y117">
        <v>3.4021863976439475</v>
      </c>
      <c r="Z117">
        <v>18.537937366308903</v>
      </c>
      <c r="AB117">
        <v>31.070330311196695</v>
      </c>
      <c r="AD117">
        <v>0.85063858182027097</v>
      </c>
      <c r="AE117">
        <v>7.1669845976109023</v>
      </c>
      <c r="AF117">
        <v>13.34715382849185</v>
      </c>
      <c r="AG117">
        <v>16.568166591203372</v>
      </c>
      <c r="AI117">
        <v>2.1681662241197963</v>
      </c>
      <c r="AK117">
        <v>43.297409883629676</v>
      </c>
    </row>
    <row r="118" spans="1:37" x14ac:dyDescent="0.2">
      <c r="A118">
        <v>117</v>
      </c>
      <c r="B118">
        <v>754</v>
      </c>
      <c r="C118">
        <v>180</v>
      </c>
      <c r="D118">
        <v>0.402142335588766</v>
      </c>
      <c r="E118">
        <v>145.06838309553908</v>
      </c>
      <c r="F118">
        <v>47.998223388919989</v>
      </c>
      <c r="G118">
        <v>70.511003366366737</v>
      </c>
      <c r="H118">
        <v>65.899588258799412</v>
      </c>
      <c r="J118">
        <v>42.045716745701299</v>
      </c>
      <c r="L118">
        <v>1.5731309738309356</v>
      </c>
      <c r="M118">
        <v>13.285816769280073</v>
      </c>
      <c r="N118">
        <v>2.2346398853113203</v>
      </c>
      <c r="O118">
        <v>6.8205551076153714</v>
      </c>
      <c r="P118">
        <v>8.4675572561849677</v>
      </c>
      <c r="R118">
        <v>9.7853439940963725</v>
      </c>
      <c r="S118">
        <v>35.351771466290856</v>
      </c>
      <c r="U118">
        <v>1.8496681559805286</v>
      </c>
      <c r="V118">
        <v>47.338244460277657</v>
      </c>
      <c r="W118">
        <v>23.04432842360076</v>
      </c>
      <c r="X118">
        <v>43.834640497448824</v>
      </c>
      <c r="Y118">
        <v>3.225379849753415</v>
      </c>
      <c r="Z118">
        <v>17.506516453751477</v>
      </c>
      <c r="AB118">
        <v>30.77943382316835</v>
      </c>
      <c r="AE118">
        <v>6.5484575390060318</v>
      </c>
      <c r="AF118">
        <v>12.900806608419787</v>
      </c>
      <c r="AG118">
        <v>16.262433863339314</v>
      </c>
      <c r="AI118">
        <v>2.1698806260391863</v>
      </c>
      <c r="AK118">
        <v>39.060045273851763</v>
      </c>
    </row>
    <row r="119" spans="1:37" x14ac:dyDescent="0.2">
      <c r="A119">
        <v>118</v>
      </c>
      <c r="B119">
        <v>753</v>
      </c>
      <c r="C119">
        <v>180</v>
      </c>
      <c r="D119">
        <v>0.401491497344444</v>
      </c>
      <c r="E119">
        <v>145.23831837075161</v>
      </c>
      <c r="F119">
        <v>48.509659543764229</v>
      </c>
      <c r="G119">
        <v>70.488273113887544</v>
      </c>
      <c r="H119">
        <v>65.874464227234256</v>
      </c>
      <c r="J119">
        <v>38.143445024596033</v>
      </c>
      <c r="L119">
        <v>1.5863826871885029</v>
      </c>
      <c r="M119">
        <v>12.848073091219245</v>
      </c>
      <c r="N119">
        <v>2.2366339728192632</v>
      </c>
      <c r="O119">
        <v>6.7970346682472025</v>
      </c>
      <c r="P119">
        <v>8.4455661460666391</v>
      </c>
      <c r="R119">
        <v>9.4260927194819804</v>
      </c>
      <c r="S119">
        <v>35.682105371925125</v>
      </c>
      <c r="U119">
        <v>1.8322546868033402</v>
      </c>
      <c r="V119">
        <v>47.886027532495454</v>
      </c>
      <c r="W119">
        <v>22.522751668365846</v>
      </c>
      <c r="X119">
        <v>43.823139429876754</v>
      </c>
      <c r="Y119">
        <v>3.0164493714547311</v>
      </c>
      <c r="Z119">
        <v>17.678703204948008</v>
      </c>
      <c r="AB119">
        <v>31.248316409707375</v>
      </c>
      <c r="AE119">
        <v>6.6402929879527193</v>
      </c>
      <c r="AF119">
        <v>12.461952892978362</v>
      </c>
      <c r="AG119">
        <v>16.716477945973697</v>
      </c>
      <c r="AI119">
        <v>2.1715893960789052</v>
      </c>
      <c r="AK119">
        <v>36.356481302672236</v>
      </c>
    </row>
    <row r="120" spans="1:37" x14ac:dyDescent="0.2">
      <c r="A120">
        <v>119</v>
      </c>
      <c r="B120">
        <v>773</v>
      </c>
      <c r="C120">
        <v>160</v>
      </c>
      <c r="D120">
        <v>0.43530134301964502</v>
      </c>
      <c r="E120">
        <v>136.448809484507</v>
      </c>
      <c r="F120">
        <v>69.254605109291319</v>
      </c>
      <c r="G120">
        <v>73.51853406870103</v>
      </c>
      <c r="H120">
        <v>68.954290812811522</v>
      </c>
      <c r="J120">
        <v>69.335679959803528</v>
      </c>
      <c r="L120">
        <v>9.3444603006146352</v>
      </c>
      <c r="M120">
        <v>14.492712725235942</v>
      </c>
      <c r="N120">
        <v>2.242335908985424</v>
      </c>
      <c r="O120">
        <v>41.563602934127644</v>
      </c>
      <c r="P120">
        <v>13.970909390113624</v>
      </c>
      <c r="Q120">
        <v>2.9065645789422816E-2</v>
      </c>
      <c r="R120">
        <v>21.362487220488976</v>
      </c>
      <c r="S120">
        <v>54.898487248262583</v>
      </c>
      <c r="U120">
        <v>2.3971494704939889</v>
      </c>
      <c r="V120">
        <v>47.759431991306009</v>
      </c>
      <c r="W120">
        <v>27.436459804301549</v>
      </c>
      <c r="X120">
        <v>43.21362532057173</v>
      </c>
      <c r="Y120">
        <v>10.77104544054988</v>
      </c>
      <c r="Z120">
        <v>36.546232265573714</v>
      </c>
      <c r="AA120">
        <v>8.6099708489276967</v>
      </c>
      <c r="AB120">
        <v>39.821549698473952</v>
      </c>
      <c r="AC120">
        <v>0.11838309480339024</v>
      </c>
      <c r="AD120">
        <v>11.020045074430929</v>
      </c>
      <c r="AE120">
        <v>15.804271294505686</v>
      </c>
      <c r="AF120">
        <v>14.2361704630083</v>
      </c>
      <c r="AG120">
        <v>25.718486424044983</v>
      </c>
      <c r="AH120">
        <v>9.5357618897550687</v>
      </c>
      <c r="AI120">
        <v>2.1804369901727951</v>
      </c>
      <c r="AK120">
        <v>56.702770701099269</v>
      </c>
    </row>
    <row r="121" spans="1:37" x14ac:dyDescent="0.2">
      <c r="A121">
        <v>120</v>
      </c>
      <c r="B121">
        <v>772</v>
      </c>
      <c r="C121">
        <v>160</v>
      </c>
      <c r="D121">
        <v>0.43469406305315</v>
      </c>
      <c r="E121">
        <v>136.34447191918645</v>
      </c>
      <c r="F121">
        <v>68.88332217533997</v>
      </c>
      <c r="G121">
        <v>73.453795907167077</v>
      </c>
      <c r="H121">
        <v>68.886905687917775</v>
      </c>
      <c r="J121">
        <v>69.279877798396043</v>
      </c>
      <c r="L121">
        <v>9.247718112364419</v>
      </c>
      <c r="M121">
        <v>14.475741625408734</v>
      </c>
      <c r="N121">
        <v>2.2310496909509658</v>
      </c>
      <c r="O121">
        <v>41.09900043175908</v>
      </c>
      <c r="P121">
        <v>13.851470489577014</v>
      </c>
      <c r="R121">
        <v>21.191505153970148</v>
      </c>
      <c r="S121">
        <v>54.657723523589226</v>
      </c>
      <c r="U121">
        <v>2.358660227197436</v>
      </c>
      <c r="V121">
        <v>47.737558851258818</v>
      </c>
      <c r="W121">
        <v>27.297604703746092</v>
      </c>
      <c r="X121">
        <v>43.151501618563046</v>
      </c>
      <c r="Y121">
        <v>10.668258847841791</v>
      </c>
      <c r="Z121">
        <v>36.34325031086469</v>
      </c>
      <c r="AA121">
        <v>8.5087713187441185</v>
      </c>
      <c r="AB121">
        <v>39.749703691506355</v>
      </c>
      <c r="AC121">
        <v>0.10511082320131931</v>
      </c>
      <c r="AD121">
        <v>10.909484413240207</v>
      </c>
      <c r="AE121">
        <v>15.7147139563713</v>
      </c>
      <c r="AF121">
        <v>14.204800799845444</v>
      </c>
      <c r="AG121">
        <v>25.618500782264441</v>
      </c>
      <c r="AH121">
        <v>9.3996306740277404</v>
      </c>
      <c r="AI121">
        <v>2.1688818997203616</v>
      </c>
      <c r="AK121">
        <v>56.68450761341964</v>
      </c>
    </row>
    <row r="122" spans="1:37" x14ac:dyDescent="0.2">
      <c r="A122">
        <v>121</v>
      </c>
      <c r="B122">
        <v>771</v>
      </c>
      <c r="C122">
        <v>160</v>
      </c>
      <c r="D122">
        <v>0.43408561988220001</v>
      </c>
      <c r="E122">
        <v>136.23630361841145</v>
      </c>
      <c r="F122">
        <v>68.433700865971105</v>
      </c>
      <c r="G122">
        <v>73.374170021662565</v>
      </c>
      <c r="H122">
        <v>68.804645552973795</v>
      </c>
      <c r="J122">
        <v>69.231438763837858</v>
      </c>
      <c r="L122">
        <v>9.1217147352717642</v>
      </c>
      <c r="M122">
        <v>14.497190495238964</v>
      </c>
      <c r="N122">
        <v>2.2134985634069375</v>
      </c>
      <c r="O122">
        <v>40.506017626669887</v>
      </c>
      <c r="P122">
        <v>13.695998610231431</v>
      </c>
      <c r="R122">
        <v>21.027743226709877</v>
      </c>
      <c r="S122">
        <v>54.553717178830446</v>
      </c>
      <c r="U122">
        <v>2.3501373291480783</v>
      </c>
      <c r="V122">
        <v>47.782912045366892</v>
      </c>
      <c r="W122">
        <v>27.194733007497383</v>
      </c>
      <c r="X122">
        <v>43.18794772679248</v>
      </c>
      <c r="Y122">
        <v>10.532322383625688</v>
      </c>
      <c r="Z122">
        <v>36.097923093298988</v>
      </c>
      <c r="AA122">
        <v>8.3762021277858079</v>
      </c>
      <c r="AB122">
        <v>39.734429483685709</v>
      </c>
      <c r="AC122">
        <v>8.5573791834241519E-2</v>
      </c>
      <c r="AD122">
        <v>10.774498014901219</v>
      </c>
      <c r="AE122">
        <v>15.611666304276676</v>
      </c>
      <c r="AF122">
        <v>14.205586433239004</v>
      </c>
      <c r="AG122">
        <v>25.568824459063631</v>
      </c>
      <c r="AH122">
        <v>9.224286460647523</v>
      </c>
      <c r="AI122">
        <v>2.1510610982303691</v>
      </c>
      <c r="AK122">
        <v>56.647761836159127</v>
      </c>
    </row>
    <row r="123" spans="1:37" x14ac:dyDescent="0.2">
      <c r="A123">
        <v>122</v>
      </c>
      <c r="B123">
        <v>770</v>
      </c>
      <c r="C123">
        <v>160</v>
      </c>
      <c r="D123">
        <v>0.43347601016152998</v>
      </c>
      <c r="E123">
        <v>136.12866767287909</v>
      </c>
      <c r="F123">
        <v>67.985023525123651</v>
      </c>
      <c r="G123">
        <v>73.29453501673656</v>
      </c>
      <c r="H123">
        <v>68.722389032732764</v>
      </c>
      <c r="J123">
        <v>69.181596953323279</v>
      </c>
      <c r="L123">
        <v>8.9951770433456399</v>
      </c>
      <c r="M123">
        <v>14.518913208289629</v>
      </c>
      <c r="N123">
        <v>2.1958779936000363</v>
      </c>
      <c r="O123">
        <v>39.912752128744927</v>
      </c>
      <c r="P123">
        <v>13.540446450163495</v>
      </c>
      <c r="R123">
        <v>20.862460213850873</v>
      </c>
      <c r="S123">
        <v>54.44452140535023</v>
      </c>
      <c r="U123">
        <v>2.342214005326801</v>
      </c>
      <c r="V123">
        <v>47.826317079024093</v>
      </c>
      <c r="W123">
        <v>27.092863071603229</v>
      </c>
      <c r="X123">
        <v>43.22640329146185</v>
      </c>
      <c r="Y123">
        <v>10.396257684540945</v>
      </c>
      <c r="Z123">
        <v>35.852636477238008</v>
      </c>
      <c r="AA123">
        <v>8.2433326804790195</v>
      </c>
      <c r="AB123">
        <v>39.716248121718706</v>
      </c>
      <c r="AC123">
        <v>6.596746751020055E-2</v>
      </c>
      <c r="AD123">
        <v>10.63931508834145</v>
      </c>
      <c r="AE123">
        <v>15.508657722948936</v>
      </c>
      <c r="AF123">
        <v>14.206576709410598</v>
      </c>
      <c r="AG123">
        <v>25.516173974037216</v>
      </c>
      <c r="AH123">
        <v>9.0486988766971983</v>
      </c>
      <c r="AI123">
        <v>2.1331700511177196</v>
      </c>
      <c r="AK123">
        <v>56.611025406405417</v>
      </c>
    </row>
    <row r="124" spans="1:37" x14ac:dyDescent="0.2">
      <c r="A124">
        <v>123</v>
      </c>
      <c r="B124">
        <v>769</v>
      </c>
      <c r="C124">
        <v>160</v>
      </c>
      <c r="D124">
        <v>0.43286523053303499</v>
      </c>
      <c r="E124">
        <v>136.02157094941944</v>
      </c>
      <c r="F124">
        <v>67.537337856166459</v>
      </c>
      <c r="G124">
        <v>73.214905461107463</v>
      </c>
      <c r="H124">
        <v>68.640150716156782</v>
      </c>
      <c r="J124">
        <v>69.130335088714816</v>
      </c>
      <c r="L124">
        <v>8.8681386231431638</v>
      </c>
      <c r="M124">
        <v>14.540889224327028</v>
      </c>
      <c r="N124">
        <v>2.1781888640675993</v>
      </c>
      <c r="O124">
        <v>39.319285962303809</v>
      </c>
      <c r="P124">
        <v>13.384844051158188</v>
      </c>
      <c r="R124">
        <v>20.695702606358299</v>
      </c>
      <c r="S124">
        <v>54.330043885412813</v>
      </c>
      <c r="U124">
        <v>2.334872652248102</v>
      </c>
      <c r="V124">
        <v>47.867749287699716</v>
      </c>
      <c r="W124">
        <v>26.991997721620191</v>
      </c>
      <c r="X124">
        <v>43.266815958520674</v>
      </c>
      <c r="Y124">
        <v>10.260091951227189</v>
      </c>
      <c r="Z124">
        <v>35.607391872044218</v>
      </c>
      <c r="AA124">
        <v>8.1102656248465212</v>
      </c>
      <c r="AB124">
        <v>39.69509764135077</v>
      </c>
      <c r="AC124">
        <v>4.6292732326250668E-2</v>
      </c>
      <c r="AD124">
        <v>10.503943777702709</v>
      </c>
      <c r="AE124">
        <v>15.405676681103071</v>
      </c>
      <c r="AF124">
        <v>14.207751976091137</v>
      </c>
      <c r="AG124">
        <v>25.460488251124325</v>
      </c>
      <c r="AH124">
        <v>8.8729069871722768</v>
      </c>
      <c r="AI124">
        <v>2.115209639085859</v>
      </c>
      <c r="AK124">
        <v>56.574303674928935</v>
      </c>
    </row>
    <row r="125" spans="1:37" x14ac:dyDescent="0.2">
      <c r="A125">
        <v>124</v>
      </c>
      <c r="B125">
        <v>768</v>
      </c>
      <c r="C125">
        <v>160</v>
      </c>
      <c r="D125">
        <v>0.43225327762570398</v>
      </c>
      <c r="E125">
        <v>135.91501994920327</v>
      </c>
      <c r="F125">
        <v>67.090690229707562</v>
      </c>
      <c r="G125">
        <v>73.135295960372986</v>
      </c>
      <c r="H125">
        <v>68.55794522912727</v>
      </c>
      <c r="J125">
        <v>69.077638486304878</v>
      </c>
      <c r="L125">
        <v>8.740633162331152</v>
      </c>
      <c r="M125">
        <v>14.563097338658848</v>
      </c>
      <c r="N125">
        <v>2.1604320404421777</v>
      </c>
      <c r="O125">
        <v>38.725701111742168</v>
      </c>
      <c r="P125">
        <v>13.229221511909188</v>
      </c>
      <c r="R125">
        <v>20.527517409571988</v>
      </c>
      <c r="S125">
        <v>54.210203515957261</v>
      </c>
      <c r="U125">
        <v>2.3280949295224143</v>
      </c>
      <c r="V125">
        <v>47.907187573062942</v>
      </c>
      <c r="W125">
        <v>26.892139330080997</v>
      </c>
      <c r="X125">
        <v>43.309131192700917</v>
      </c>
      <c r="Y125">
        <v>10.123852474548652</v>
      </c>
      <c r="Z125">
        <v>35.362189567369818</v>
      </c>
      <c r="AA125">
        <v>7.9770240613744754</v>
      </c>
      <c r="AB125">
        <v>39.670921666608727</v>
      </c>
      <c r="AC125">
        <v>2.6550451474893683E-2</v>
      </c>
      <c r="AD125">
        <v>10.368391705288508</v>
      </c>
      <c r="AE125">
        <v>15.302710969063339</v>
      </c>
      <c r="AF125">
        <v>14.209091899653616</v>
      </c>
      <c r="AG125">
        <v>25.401711785660172</v>
      </c>
      <c r="AH125">
        <v>8.6969499245370265</v>
      </c>
      <c r="AI125">
        <v>2.0971807259336819</v>
      </c>
      <c r="AK125">
        <v>56.537601633059879</v>
      </c>
    </row>
    <row r="126" spans="1:37" x14ac:dyDescent="0.2">
      <c r="A126">
        <v>125</v>
      </c>
      <c r="B126">
        <v>767</v>
      </c>
      <c r="C126">
        <v>160</v>
      </c>
      <c r="D126">
        <v>0.43164014805557099</v>
      </c>
      <c r="E126">
        <v>135.80902081477913</v>
      </c>
      <c r="F126">
        <v>66.645125505791199</v>
      </c>
      <c r="G126">
        <v>73.055721111974663</v>
      </c>
      <c r="H126">
        <v>68.475787189407257</v>
      </c>
      <c r="J126">
        <v>69.023494879052649</v>
      </c>
      <c r="L126">
        <v>8.6126942410618579</v>
      </c>
      <c r="M126">
        <v>14.58551572854104</v>
      </c>
      <c r="N126">
        <v>2.1426083548732979</v>
      </c>
      <c r="O126">
        <v>38.132079185927168</v>
      </c>
      <c r="P126">
        <v>13.07360888137638</v>
      </c>
      <c r="R126">
        <v>20.357951836034829</v>
      </c>
      <c r="S126">
        <v>54.08493001710729</v>
      </c>
      <c r="U126">
        <v>2.3218618350045097</v>
      </c>
      <c r="V126">
        <v>47.944614217879902</v>
      </c>
      <c r="W126">
        <v>26.793289909576995</v>
      </c>
      <c r="X126">
        <v>43.353292512502776</v>
      </c>
      <c r="Y126">
        <v>9.9875665397834368</v>
      </c>
      <c r="Z126">
        <v>35.117028629942581</v>
      </c>
      <c r="AA126">
        <v>7.8437044732454666</v>
      </c>
      <c r="AB126">
        <v>39.643669224284892</v>
      </c>
      <c r="AC126">
        <v>6.7414566660714452E-3</v>
      </c>
      <c r="AD126">
        <v>10.23266590045235</v>
      </c>
      <c r="AE126">
        <v>15.199747675185327</v>
      </c>
      <c r="AF126">
        <v>14.210575494954549</v>
      </c>
      <c r="AG126">
        <v>25.339794442279079</v>
      </c>
      <c r="AH126">
        <v>8.5208667645712346</v>
      </c>
      <c r="AI126">
        <v>2.0790841419765909</v>
      </c>
      <c r="AK126">
        <v>56.500923848074954</v>
      </c>
    </row>
    <row r="127" spans="1:37" x14ac:dyDescent="0.2">
      <c r="A127">
        <v>126</v>
      </c>
      <c r="B127">
        <v>766</v>
      </c>
      <c r="C127">
        <v>160</v>
      </c>
      <c r="D127">
        <v>0.43102583842564002</v>
      </c>
      <c r="E127">
        <v>135.62481079516189</v>
      </c>
      <c r="F127">
        <v>65.770732306165542</v>
      </c>
      <c r="G127">
        <v>72.904280231861634</v>
      </c>
      <c r="H127">
        <v>68.321775933305972</v>
      </c>
      <c r="J127">
        <v>68.83436355886478</v>
      </c>
      <c r="L127">
        <v>8.3718683951889545</v>
      </c>
      <c r="M127">
        <v>14.608673755201833</v>
      </c>
      <c r="N127">
        <v>2.1376361042962304</v>
      </c>
      <c r="O127">
        <v>37.125065738979245</v>
      </c>
      <c r="P127">
        <v>12.787123110380437</v>
      </c>
      <c r="R127">
        <v>20.040139035505891</v>
      </c>
      <c r="S127">
        <v>53.773718242336393</v>
      </c>
      <c r="U127">
        <v>2.3088811547618366</v>
      </c>
      <c r="V127">
        <v>47.976440525089856</v>
      </c>
      <c r="W127">
        <v>26.614456872550186</v>
      </c>
      <c r="X127">
        <v>43.365494324326626</v>
      </c>
      <c r="Y127">
        <v>9.7181936630621149</v>
      </c>
      <c r="Z127">
        <v>34.638957813104412</v>
      </c>
      <c r="AA127">
        <v>7.5940945082834803</v>
      </c>
      <c r="AB127">
        <v>39.564873446524217</v>
      </c>
      <c r="AD127">
        <v>9.9522331792622118</v>
      </c>
      <c r="AE127">
        <v>15.014266351393545</v>
      </c>
      <c r="AF127">
        <v>14.225650425615903</v>
      </c>
      <c r="AG127">
        <v>25.239187655771431</v>
      </c>
      <c r="AH127">
        <v>8.1369775453773396</v>
      </c>
      <c r="AI127">
        <v>2.0738381823148004</v>
      </c>
      <c r="AK127">
        <v>56.36389376815977</v>
      </c>
    </row>
    <row r="128" spans="1:37" x14ac:dyDescent="0.2">
      <c r="A128">
        <v>127</v>
      </c>
      <c r="B128">
        <v>765</v>
      </c>
      <c r="C128">
        <v>160</v>
      </c>
      <c r="D128">
        <v>0.43041034532582101</v>
      </c>
      <c r="E128">
        <v>135.39094171931049</v>
      </c>
      <c r="F128">
        <v>64.601807409149288</v>
      </c>
      <c r="G128">
        <v>72.703173531829847</v>
      </c>
      <c r="H128">
        <v>68.118111693019515</v>
      </c>
      <c r="J128">
        <v>68.534931505538594</v>
      </c>
      <c r="L128">
        <v>8.0487104956166835</v>
      </c>
      <c r="M128">
        <v>14.635093650312017</v>
      </c>
      <c r="N128">
        <v>2.1396128788382356</v>
      </c>
      <c r="O128">
        <v>35.822544099343098</v>
      </c>
      <c r="P128">
        <v>12.408262234689403</v>
      </c>
      <c r="R128">
        <v>19.608696645221265</v>
      </c>
      <c r="S128">
        <v>53.28860620679432</v>
      </c>
      <c r="U128">
        <v>2.2970412942501635</v>
      </c>
      <c r="V128">
        <v>47.989921952855177</v>
      </c>
      <c r="W128">
        <v>26.394674709052602</v>
      </c>
      <c r="X128">
        <v>43.374583687262032</v>
      </c>
      <c r="Y128">
        <v>9.3554333259383728</v>
      </c>
      <c r="Z128">
        <v>33.994884067668458</v>
      </c>
      <c r="AA128">
        <v>7.2612742791636995</v>
      </c>
      <c r="AB128">
        <v>39.422911253014888</v>
      </c>
      <c r="AD128">
        <v>9.5690670665959523</v>
      </c>
      <c r="AE128">
        <v>14.768664272265978</v>
      </c>
      <c r="AF128">
        <v>14.25093651891355</v>
      </c>
      <c r="AG128">
        <v>25.082365941683808</v>
      </c>
      <c r="AH128">
        <v>7.6085066004575568</v>
      </c>
      <c r="AI128">
        <v>2.0755404352411007</v>
      </c>
      <c r="AK128">
        <v>56.154309051642286</v>
      </c>
    </row>
    <row r="129" spans="1:37" x14ac:dyDescent="0.2">
      <c r="A129">
        <v>128</v>
      </c>
      <c r="B129">
        <v>764</v>
      </c>
      <c r="C129">
        <v>160</v>
      </c>
      <c r="D129">
        <v>0.42979366533288699</v>
      </c>
      <c r="E129">
        <v>135.14087119339445</v>
      </c>
      <c r="F129">
        <v>63.297683645850206</v>
      </c>
      <c r="G129">
        <v>72.479640579008517</v>
      </c>
      <c r="H129">
        <v>67.892034056117311</v>
      </c>
      <c r="J129">
        <v>68.15592444811297</v>
      </c>
      <c r="L129">
        <v>7.6816168978407804</v>
      </c>
      <c r="M129">
        <v>14.665551298205129</v>
      </c>
      <c r="N129">
        <v>2.1415879220800966</v>
      </c>
      <c r="O129">
        <v>34.368921986290019</v>
      </c>
      <c r="P129">
        <v>11.984554654251541</v>
      </c>
      <c r="R129">
        <v>19.107931462794202</v>
      </c>
      <c r="S129">
        <v>52.650340144478562</v>
      </c>
      <c r="U129">
        <v>2.2932947119554545</v>
      </c>
      <c r="V129">
        <v>47.972169102824388</v>
      </c>
      <c r="W129">
        <v>26.17840162405022</v>
      </c>
      <c r="X129">
        <v>43.407612187337335</v>
      </c>
      <c r="Y129">
        <v>8.9480287604569995</v>
      </c>
      <c r="Z129">
        <v>33.262206696624354</v>
      </c>
      <c r="AA129">
        <v>6.88586774791652</v>
      </c>
      <c r="AB129">
        <v>39.206208574217115</v>
      </c>
      <c r="AD129">
        <v>9.1326388653227752</v>
      </c>
      <c r="AE129">
        <v>14.487541837740578</v>
      </c>
      <c r="AF129">
        <v>14.2802589082431</v>
      </c>
      <c r="AG129">
        <v>24.850804479804872</v>
      </c>
      <c r="AH129">
        <v>7.0128183470616019</v>
      </c>
      <c r="AI129">
        <v>2.0772401425004032</v>
      </c>
      <c r="AK129">
        <v>55.904711047914915</v>
      </c>
    </row>
    <row r="130" spans="1:37" x14ac:dyDescent="0.2">
      <c r="A130">
        <v>129</v>
      </c>
      <c r="B130">
        <v>763</v>
      </c>
      <c r="C130">
        <v>160</v>
      </c>
      <c r="D130">
        <v>0.42917579501038</v>
      </c>
      <c r="E130">
        <v>134.31888672050522</v>
      </c>
      <c r="F130">
        <v>57.669501855975874</v>
      </c>
      <c r="G130">
        <v>71.63110951611695</v>
      </c>
      <c r="H130">
        <v>67.040971185796124</v>
      </c>
      <c r="J130">
        <v>65.648145135058584</v>
      </c>
      <c r="L130">
        <v>6.103399337481398</v>
      </c>
      <c r="M130">
        <v>14.636637797298228</v>
      </c>
      <c r="N130">
        <v>2.1435346221766878</v>
      </c>
      <c r="O130">
        <v>28.537030473262252</v>
      </c>
      <c r="P130">
        <v>10.310830064829021</v>
      </c>
      <c r="R130">
        <v>16.748258256916493</v>
      </c>
      <c r="S130">
        <v>48.800382426653321</v>
      </c>
      <c r="U130">
        <v>2.3133911247804879</v>
      </c>
      <c r="V130">
        <v>47.52675571754375</v>
      </c>
      <c r="W130">
        <v>25.993872254864542</v>
      </c>
      <c r="X130">
        <v>43.505663501210734</v>
      </c>
      <c r="Y130">
        <v>7.2815576393232204</v>
      </c>
      <c r="Z130">
        <v>29.536375601294921</v>
      </c>
      <c r="AA130">
        <v>5.2930435546365331</v>
      </c>
      <c r="AB130">
        <v>37.347878412782983</v>
      </c>
      <c r="AD130">
        <v>6.9713872776305656</v>
      </c>
      <c r="AE130">
        <v>12.901233646490965</v>
      </c>
      <c r="AF130">
        <v>14.250182085677697</v>
      </c>
      <c r="AG130">
        <v>22.977589666704699</v>
      </c>
      <c r="AH130">
        <v>4.4988723178246701</v>
      </c>
      <c r="AI130">
        <v>2.0789106904117136</v>
      </c>
      <c r="AK130">
        <v>54.348051049966465</v>
      </c>
    </row>
    <row r="131" spans="1:37" x14ac:dyDescent="0.2">
      <c r="A131">
        <v>130</v>
      </c>
      <c r="B131">
        <v>762</v>
      </c>
      <c r="C131">
        <v>160</v>
      </c>
      <c r="D131">
        <v>0.428556730908567</v>
      </c>
      <c r="E131">
        <v>133.42100407011554</v>
      </c>
      <c r="F131">
        <v>51.415425867972587</v>
      </c>
      <c r="G131">
        <v>70.697905114777811</v>
      </c>
      <c r="H131">
        <v>66.105247874197048</v>
      </c>
      <c r="J131">
        <v>62.838297332937188</v>
      </c>
      <c r="L131">
        <v>4.350251702221656</v>
      </c>
      <c r="M131">
        <v>14.57474919704333</v>
      </c>
      <c r="N131">
        <v>2.1454758640231026</v>
      </c>
      <c r="O131">
        <v>22.093522477665044</v>
      </c>
      <c r="P131">
        <v>8.4677609167931287</v>
      </c>
      <c r="R131">
        <v>14.115554340421168</v>
      </c>
      <c r="S131">
        <v>44.602882308681451</v>
      </c>
      <c r="U131">
        <v>2.3261415437280291</v>
      </c>
      <c r="V131">
        <v>47.05653437787452</v>
      </c>
      <c r="W131">
        <v>25.824094949021291</v>
      </c>
      <c r="X131">
        <v>43.581140497012058</v>
      </c>
      <c r="Y131">
        <v>5.441141442597659</v>
      </c>
      <c r="Z131">
        <v>25.304054437336227</v>
      </c>
      <c r="AA131">
        <v>3.5263702029676498</v>
      </c>
      <c r="AB131">
        <v>35.290131644193622</v>
      </c>
      <c r="AD131">
        <v>4.5101769669231304</v>
      </c>
      <c r="AE131">
        <v>11.09485187287315</v>
      </c>
      <c r="AF131">
        <v>14.187124991072753</v>
      </c>
      <c r="AG131">
        <v>20.904955268544434</v>
      </c>
      <c r="AH131">
        <v>1.6881755055940337</v>
      </c>
      <c r="AI131">
        <v>2.0805749620334404</v>
      </c>
      <c r="AK131">
        <v>52.583091098047902</v>
      </c>
    </row>
    <row r="132" spans="1:37" x14ac:dyDescent="0.2">
      <c r="A132">
        <v>131</v>
      </c>
      <c r="B132">
        <v>761</v>
      </c>
      <c r="C132">
        <v>160</v>
      </c>
      <c r="D132">
        <v>0.42793646956437897</v>
      </c>
      <c r="E132">
        <v>133.32731698111414</v>
      </c>
      <c r="F132">
        <v>48.962567960356523</v>
      </c>
      <c r="G132">
        <v>70.510298400375731</v>
      </c>
      <c r="H132">
        <v>65.915135167263657</v>
      </c>
      <c r="J132">
        <v>56.133802047192525</v>
      </c>
      <c r="L132">
        <v>2.7210863183408729</v>
      </c>
      <c r="M132">
        <v>14.436593289848966</v>
      </c>
      <c r="N132">
        <v>2.1474589219953741</v>
      </c>
      <c r="O132">
        <v>13.979357511355497</v>
      </c>
      <c r="P132">
        <v>8.1159365575824758</v>
      </c>
      <c r="R132">
        <v>12.09541813191055</v>
      </c>
      <c r="S132">
        <v>39.739834710442118</v>
      </c>
      <c r="U132">
        <v>2.3590414237599147</v>
      </c>
      <c r="V132">
        <v>46.667091508525914</v>
      </c>
      <c r="W132">
        <v>25.564325100178419</v>
      </c>
      <c r="X132">
        <v>43.714661084769631</v>
      </c>
      <c r="Y132">
        <v>4.2113058682152387</v>
      </c>
      <c r="Z132">
        <v>21.88113974519235</v>
      </c>
      <c r="AA132">
        <v>1.6669048569216538</v>
      </c>
      <c r="AB132">
        <v>33.119871549135844</v>
      </c>
      <c r="AD132">
        <v>2.6296255162890616</v>
      </c>
      <c r="AE132">
        <v>9.2444136621262967</v>
      </c>
      <c r="AF132">
        <v>14.047842696737908</v>
      </c>
      <c r="AG132">
        <v>18.719851846188366</v>
      </c>
      <c r="AI132">
        <v>2.0822802299053982</v>
      </c>
      <c r="AK132">
        <v>48.244467450165317</v>
      </c>
    </row>
    <row r="133" spans="1:37" x14ac:dyDescent="0.2">
      <c r="A133">
        <v>132</v>
      </c>
      <c r="B133">
        <v>760</v>
      </c>
      <c r="C133">
        <v>160</v>
      </c>
      <c r="D133">
        <v>0.427315007501331</v>
      </c>
      <c r="E133">
        <v>133.55824218450536</v>
      </c>
      <c r="F133">
        <v>48.792950499053276</v>
      </c>
      <c r="G133">
        <v>70.62814215484876</v>
      </c>
      <c r="H133">
        <v>66.030485867530658</v>
      </c>
      <c r="J133">
        <v>49.944320480940867</v>
      </c>
      <c r="L133">
        <v>1.2688968562435512</v>
      </c>
      <c r="M133">
        <v>14.21259062447826</v>
      </c>
      <c r="N133">
        <v>2.1494624724891094</v>
      </c>
      <c r="O133">
        <v>6.6144437031545325</v>
      </c>
      <c r="P133">
        <v>8.3750412498215603</v>
      </c>
      <c r="R133">
        <v>10.507694479607414</v>
      </c>
      <c r="S133">
        <v>35.5182793127046</v>
      </c>
      <c r="U133">
        <v>2.3684470019527613</v>
      </c>
      <c r="V133">
        <v>46.579683590900636</v>
      </c>
      <c r="W133">
        <v>25.235764611111193</v>
      </c>
      <c r="X133">
        <v>43.780747363923538</v>
      </c>
      <c r="Y133">
        <v>3.1909389019516303</v>
      </c>
      <c r="Z133">
        <v>20.016591038659222</v>
      </c>
      <c r="AA133">
        <v>1.6714761592062134E-2</v>
      </c>
      <c r="AB133">
        <v>31.946888756901796</v>
      </c>
      <c r="AD133">
        <v>1.5676169273336047</v>
      </c>
      <c r="AE133">
        <v>8.1115921888708939</v>
      </c>
      <c r="AF133">
        <v>13.822734433366392</v>
      </c>
      <c r="AG133">
        <v>17.532048711144423</v>
      </c>
      <c r="AI133">
        <v>2.0840051685855783</v>
      </c>
      <c r="AK133">
        <v>44.155922255524565</v>
      </c>
    </row>
    <row r="134" spans="1:37" x14ac:dyDescent="0.2">
      <c r="A134">
        <v>133</v>
      </c>
      <c r="B134">
        <v>759</v>
      </c>
      <c r="C134">
        <v>160</v>
      </c>
      <c r="D134">
        <v>0.42669234122947503</v>
      </c>
      <c r="E134">
        <v>133.89493180447309</v>
      </c>
      <c r="F134">
        <v>48.47582358143751</v>
      </c>
      <c r="G134">
        <v>70.760815335162192</v>
      </c>
      <c r="H134">
        <v>66.160678952600549</v>
      </c>
      <c r="J134">
        <v>43.136265670508962</v>
      </c>
      <c r="L134">
        <v>1.5422355392284772</v>
      </c>
      <c r="M134">
        <v>13.785354753746031</v>
      </c>
      <c r="N134">
        <v>2.1514677311583665</v>
      </c>
      <c r="O134">
        <v>7.5009231206569229</v>
      </c>
      <c r="P134">
        <v>8.6638141455125481</v>
      </c>
      <c r="R134">
        <v>10.532629736349898</v>
      </c>
      <c r="S134">
        <v>36.135727854696277</v>
      </c>
      <c r="U134">
        <v>2.3672396494949144</v>
      </c>
      <c r="V134">
        <v>47.083210152237434</v>
      </c>
      <c r="W134">
        <v>24.711587193578886</v>
      </c>
      <c r="X134">
        <v>43.81653792177714</v>
      </c>
      <c r="Y134">
        <v>3.2381150698465069</v>
      </c>
      <c r="Z134">
        <v>17.440249305129445</v>
      </c>
      <c r="AB134">
        <v>30.656564096292321</v>
      </c>
      <c r="AD134">
        <v>0.29919936378706435</v>
      </c>
      <c r="AE134">
        <v>6.5752339691053017</v>
      </c>
      <c r="AF134">
        <v>13.394394974975317</v>
      </c>
      <c r="AG134">
        <v>16.226907913708185</v>
      </c>
      <c r="AI134">
        <v>2.085730991891237</v>
      </c>
      <c r="AK134">
        <v>39.559559086060297</v>
      </c>
    </row>
    <row r="135" spans="1:37" x14ac:dyDescent="0.2">
      <c r="A135">
        <v>134</v>
      </c>
      <c r="B135">
        <v>758</v>
      </c>
      <c r="C135">
        <v>160</v>
      </c>
      <c r="D135">
        <v>0.426068467245311</v>
      </c>
      <c r="E135">
        <v>134.0726789130436</v>
      </c>
      <c r="F135">
        <v>48.98445829791941</v>
      </c>
      <c r="G135">
        <v>70.741072333304189</v>
      </c>
      <c r="H135">
        <v>66.138468835140088</v>
      </c>
      <c r="J135">
        <v>38.884962470419644</v>
      </c>
      <c r="L135">
        <v>1.5553614830988189</v>
      </c>
      <c r="M135">
        <v>13.345240383776911</v>
      </c>
      <c r="N135">
        <v>2.1534640097194311</v>
      </c>
      <c r="O135">
        <v>7.4682293333217888</v>
      </c>
      <c r="P135">
        <v>8.6477533628241225</v>
      </c>
      <c r="R135">
        <v>10.169639551688434</v>
      </c>
      <c r="S135">
        <v>36.413810515434371</v>
      </c>
      <c r="U135">
        <v>2.3531503189800631</v>
      </c>
      <c r="V135">
        <v>47.617634867158507</v>
      </c>
      <c r="W135">
        <v>24.183389166100472</v>
      </c>
      <c r="X135">
        <v>43.815545363887907</v>
      </c>
      <c r="Y135">
        <v>3.0232925832167314</v>
      </c>
      <c r="Z135">
        <v>17.566254100057773</v>
      </c>
      <c r="AB135">
        <v>31.073909023918052</v>
      </c>
      <c r="AE135">
        <v>6.6397821188839261</v>
      </c>
      <c r="AF135">
        <v>12.953168344966066</v>
      </c>
      <c r="AG135">
        <v>16.6294302280611</v>
      </c>
      <c r="AI135">
        <v>2.0874470097008122</v>
      </c>
      <c r="AK135">
        <v>36.632075351132229</v>
      </c>
    </row>
    <row r="136" spans="1:37" x14ac:dyDescent="0.2">
      <c r="A136">
        <v>135</v>
      </c>
      <c r="B136">
        <v>783</v>
      </c>
      <c r="C136">
        <v>140</v>
      </c>
      <c r="D136">
        <v>0.462141267812338</v>
      </c>
      <c r="E136">
        <v>125.67132689143348</v>
      </c>
      <c r="F136">
        <v>71.656614774330237</v>
      </c>
      <c r="G136">
        <v>74.036408439018516</v>
      </c>
      <c r="H136">
        <v>69.498646332719588</v>
      </c>
      <c r="J136">
        <v>69.565123819717726</v>
      </c>
      <c r="L136">
        <v>9.927357727153769</v>
      </c>
      <c r="M136">
        <v>14.876844137334373</v>
      </c>
      <c r="N136">
        <v>2.209701112424872</v>
      </c>
      <c r="O136">
        <v>45.39363887869532</v>
      </c>
      <c r="P136">
        <v>14.648435446359377</v>
      </c>
      <c r="Q136">
        <v>5.4065515792002215E-2</v>
      </c>
      <c r="R136">
        <v>22.974985807192436</v>
      </c>
      <c r="S136">
        <v>57.914584901865098</v>
      </c>
      <c r="U136">
        <v>3.0186902892219845</v>
      </c>
      <c r="V136">
        <v>47.900548052195099</v>
      </c>
      <c r="W136">
        <v>29.751319277087276</v>
      </c>
      <c r="X136">
        <v>43.00153250032244</v>
      </c>
      <c r="Y136">
        <v>11.325762791869078</v>
      </c>
      <c r="Z136">
        <v>38.219256051129115</v>
      </c>
      <c r="AA136">
        <v>9.2455010581301984</v>
      </c>
      <c r="AB136">
        <v>40.991481684142322</v>
      </c>
      <c r="AC136">
        <v>0.17892236800809483</v>
      </c>
      <c r="AD136">
        <v>11.886995137748176</v>
      </c>
      <c r="AE136">
        <v>16.773706171710277</v>
      </c>
      <c r="AF136">
        <v>14.680575799493797</v>
      </c>
      <c r="AG136">
        <v>27.110120738511231</v>
      </c>
      <c r="AH136">
        <v>10.149919159800211</v>
      </c>
      <c r="AI136">
        <v>2.1480724779402709</v>
      </c>
      <c r="AK136">
        <v>56.333781467187286</v>
      </c>
    </row>
    <row r="137" spans="1:37" x14ac:dyDescent="0.2">
      <c r="A137">
        <v>136</v>
      </c>
      <c r="B137">
        <v>782</v>
      </c>
      <c r="C137">
        <v>140</v>
      </c>
      <c r="D137">
        <v>0.46156518030611998</v>
      </c>
      <c r="E137">
        <v>125.57047381215021</v>
      </c>
      <c r="F137">
        <v>71.343815425062957</v>
      </c>
      <c r="G137">
        <v>73.982472572174956</v>
      </c>
      <c r="H137">
        <v>69.441929284481901</v>
      </c>
      <c r="J137">
        <v>69.499898571098967</v>
      </c>
      <c r="L137">
        <v>9.852163760701492</v>
      </c>
      <c r="M137">
        <v>14.831681123869135</v>
      </c>
      <c r="N137">
        <v>2.2032645258494004</v>
      </c>
      <c r="O137">
        <v>45.022043349135814</v>
      </c>
      <c r="P137">
        <v>14.55537057675974</v>
      </c>
      <c r="Q137">
        <v>5.7853111542475804E-3</v>
      </c>
      <c r="R137">
        <v>22.798263413751599</v>
      </c>
      <c r="S137">
        <v>57.568845018736233</v>
      </c>
      <c r="U137">
        <v>2.9591574384507813</v>
      </c>
      <c r="V137">
        <v>47.828744750128678</v>
      </c>
      <c r="W137">
        <v>29.585109271674874</v>
      </c>
      <c r="X137">
        <v>42.869370472442746</v>
      </c>
      <c r="Y137">
        <v>11.247398522607863</v>
      </c>
      <c r="Z137">
        <v>38.047012172820949</v>
      </c>
      <c r="AA137">
        <v>9.1675475400721194</v>
      </c>
      <c r="AB137">
        <v>40.875679355399747</v>
      </c>
      <c r="AC137">
        <v>0.17049646511758224</v>
      </c>
      <c r="AD137">
        <v>11.795474587330297</v>
      </c>
      <c r="AE137">
        <v>16.693689393571812</v>
      </c>
      <c r="AF137">
        <v>14.625858853815567</v>
      </c>
      <c r="AG137">
        <v>26.971030729730408</v>
      </c>
      <c r="AH137">
        <v>10.042419180929594</v>
      </c>
      <c r="AI137">
        <v>2.1413758357388715</v>
      </c>
      <c r="AK137">
        <v>56.328034080699155</v>
      </c>
    </row>
    <row r="138" spans="1:37" x14ac:dyDescent="0.2">
      <c r="A138">
        <v>137</v>
      </c>
      <c r="B138">
        <v>781</v>
      </c>
      <c r="C138">
        <v>140</v>
      </c>
      <c r="D138">
        <v>0.460987999810274</v>
      </c>
      <c r="E138">
        <v>125.46402822002771</v>
      </c>
      <c r="F138">
        <v>70.912916451710217</v>
      </c>
      <c r="G138">
        <v>73.906251006226526</v>
      </c>
      <c r="H138">
        <v>69.362939053008333</v>
      </c>
      <c r="J138">
        <v>69.449124453186187</v>
      </c>
      <c r="L138">
        <v>9.7337228646173681</v>
      </c>
      <c r="M138">
        <v>14.844831810774156</v>
      </c>
      <c r="N138">
        <v>2.1873156649049128</v>
      </c>
      <c r="O138">
        <v>44.456869767786849</v>
      </c>
      <c r="P138">
        <v>14.408229196364481</v>
      </c>
      <c r="R138">
        <v>22.634730282481993</v>
      </c>
      <c r="S138">
        <v>57.437048704957618</v>
      </c>
      <c r="U138">
        <v>2.9449875953269702</v>
      </c>
      <c r="V138">
        <v>47.861172376921367</v>
      </c>
      <c r="W138">
        <v>29.472641840407793</v>
      </c>
      <c r="X138">
        <v>42.886674310160281</v>
      </c>
      <c r="Y138">
        <v>11.119404664942387</v>
      </c>
      <c r="Z138">
        <v>37.809978465887561</v>
      </c>
      <c r="AA138">
        <v>9.0426055768419094</v>
      </c>
      <c r="AB138">
        <v>40.847903820267945</v>
      </c>
      <c r="AC138">
        <v>0.15255844198157903</v>
      </c>
      <c r="AD138">
        <v>11.667003337350291</v>
      </c>
      <c r="AE138">
        <v>16.592633547131786</v>
      </c>
      <c r="AF138">
        <v>14.619943521923595</v>
      </c>
      <c r="AG138">
        <v>26.910457613696607</v>
      </c>
      <c r="AH138">
        <v>9.8768039994950474</v>
      </c>
      <c r="AI138">
        <v>2.1251661359383949</v>
      </c>
      <c r="AK138">
        <v>56.295527829625712</v>
      </c>
    </row>
    <row r="139" spans="1:37" x14ac:dyDescent="0.2">
      <c r="A139">
        <v>138</v>
      </c>
      <c r="B139">
        <v>780</v>
      </c>
      <c r="C139">
        <v>140</v>
      </c>
      <c r="D139">
        <v>0.46040972321132001</v>
      </c>
      <c r="E139">
        <v>125.35741339929905</v>
      </c>
      <c r="F139">
        <v>70.469338607369394</v>
      </c>
      <c r="G139">
        <v>73.827465856487279</v>
      </c>
      <c r="H139">
        <v>69.281397773436623</v>
      </c>
      <c r="J139">
        <v>69.398834566068146</v>
      </c>
      <c r="L139">
        <v>9.6098490414950355</v>
      </c>
      <c r="M139">
        <v>14.864919143673371</v>
      </c>
      <c r="N139">
        <v>2.1702188980122026</v>
      </c>
      <c r="O139">
        <v>43.869282179861102</v>
      </c>
      <c r="P139">
        <v>14.254819925386196</v>
      </c>
      <c r="R139">
        <v>22.471388412638543</v>
      </c>
      <c r="S139">
        <v>57.325376322988795</v>
      </c>
      <c r="U139">
        <v>2.9365508935453555</v>
      </c>
      <c r="V139">
        <v>47.903898093376149</v>
      </c>
      <c r="W139">
        <v>29.367200576149326</v>
      </c>
      <c r="X139">
        <v>42.922903365151292</v>
      </c>
      <c r="Y139">
        <v>10.985610642905318</v>
      </c>
      <c r="Z139">
        <v>37.565578982415339</v>
      </c>
      <c r="AA139">
        <v>8.9121612808822324</v>
      </c>
      <c r="AB139">
        <v>40.827742398516108</v>
      </c>
      <c r="AC139">
        <v>0.13347266658385518</v>
      </c>
      <c r="AD139">
        <v>11.53412567927659</v>
      </c>
      <c r="AE139">
        <v>16.489217705541172</v>
      </c>
      <c r="AF139">
        <v>14.619817123153222</v>
      </c>
      <c r="AG139">
        <v>26.856353084064583</v>
      </c>
      <c r="AH139">
        <v>9.7042940516318854</v>
      </c>
      <c r="AI139">
        <v>2.1078077451324955</v>
      </c>
      <c r="AK139">
        <v>56.259981812115825</v>
      </c>
    </row>
    <row r="140" spans="1:37" x14ac:dyDescent="0.2">
      <c r="A140">
        <v>139</v>
      </c>
      <c r="B140">
        <v>779</v>
      </c>
      <c r="C140">
        <v>140</v>
      </c>
      <c r="D140">
        <v>0.45983034738392797</v>
      </c>
      <c r="E140">
        <v>125.25130440330881</v>
      </c>
      <c r="F140">
        <v>70.026757304978261</v>
      </c>
      <c r="G140">
        <v>73.748692466005352</v>
      </c>
      <c r="H140">
        <v>69.199880808676255</v>
      </c>
      <c r="J140">
        <v>69.347314198391416</v>
      </c>
      <c r="L140">
        <v>9.4855196678602418</v>
      </c>
      <c r="M140">
        <v>14.885237894180337</v>
      </c>
      <c r="N140">
        <v>2.1530656864307924</v>
      </c>
      <c r="O140">
        <v>43.281604601080069</v>
      </c>
      <c r="P140">
        <v>14.101384932403436</v>
      </c>
      <c r="R140">
        <v>22.306696683246102</v>
      </c>
      <c r="S140">
        <v>57.208933682568613</v>
      </c>
      <c r="U140">
        <v>2.9286403993480419</v>
      </c>
      <c r="V140">
        <v>47.944832182084042</v>
      </c>
      <c r="W140">
        <v>29.262658075436711</v>
      </c>
      <c r="X140">
        <v>42.960928330575747</v>
      </c>
      <c r="Y140">
        <v>10.851740307473802</v>
      </c>
      <c r="Z140">
        <v>37.321275868387488</v>
      </c>
      <c r="AA140">
        <v>8.7814702959578792</v>
      </c>
      <c r="AB140">
        <v>40.804898489781252</v>
      </c>
      <c r="AC140">
        <v>0.11433059974725934</v>
      </c>
      <c r="AD140">
        <v>11.401085338146682</v>
      </c>
      <c r="AE140">
        <v>16.385858194604051</v>
      </c>
      <c r="AF140">
        <v>14.619865895680359</v>
      </c>
      <c r="AG140">
        <v>26.799512007215789</v>
      </c>
      <c r="AH140">
        <v>9.5315928601776641</v>
      </c>
      <c r="AI140">
        <v>2.0903921227527422</v>
      </c>
      <c r="AK140">
        <v>56.22449055134885</v>
      </c>
    </row>
    <row r="141" spans="1:37" x14ac:dyDescent="0.2">
      <c r="A141">
        <v>140</v>
      </c>
      <c r="B141">
        <v>778</v>
      </c>
      <c r="C141">
        <v>140</v>
      </c>
      <c r="D141">
        <v>0.45924986919088701</v>
      </c>
      <c r="E141">
        <v>125.14570575079371</v>
      </c>
      <c r="F141">
        <v>69.58521305407298</v>
      </c>
      <c r="G141">
        <v>73.669943395174826</v>
      </c>
      <c r="H141">
        <v>69.118400739019989</v>
      </c>
      <c r="J141">
        <v>69.294553416676749</v>
      </c>
      <c r="L141">
        <v>9.3607654886962379</v>
      </c>
      <c r="M141">
        <v>14.905770037053257</v>
      </c>
      <c r="N141">
        <v>2.1358571830051996</v>
      </c>
      <c r="O141">
        <v>42.693910095346254</v>
      </c>
      <c r="P141">
        <v>13.947950512326553</v>
      </c>
      <c r="R141">
        <v>22.14069973025153</v>
      </c>
      <c r="S141">
        <v>57.087657744499239</v>
      </c>
      <c r="U141">
        <v>2.9212393980020619</v>
      </c>
      <c r="V141">
        <v>47.98395870596709</v>
      </c>
      <c r="W141">
        <v>29.159014051515427</v>
      </c>
      <c r="X141">
        <v>43.000699208544681</v>
      </c>
      <c r="Y141">
        <v>10.717817431441269</v>
      </c>
      <c r="Z141">
        <v>37.077073198099853</v>
      </c>
      <c r="AA141">
        <v>8.650635080418601</v>
      </c>
      <c r="AB141">
        <v>40.779328728900587</v>
      </c>
      <c r="AC141">
        <v>9.5133393879635139E-2</v>
      </c>
      <c r="AD141">
        <v>11.267891150653011</v>
      </c>
      <c r="AE141">
        <v>16.282546470631612</v>
      </c>
      <c r="AF141">
        <v>14.620072972422903</v>
      </c>
      <c r="AG141">
        <v>26.739892176332447</v>
      </c>
      <c r="AH141">
        <v>9.3587349704232956</v>
      </c>
      <c r="AI141">
        <v>2.0729204198158158</v>
      </c>
      <c r="AK141">
        <v>56.189059090128239</v>
      </c>
    </row>
    <row r="142" spans="1:37" x14ac:dyDescent="0.2">
      <c r="A142">
        <v>141</v>
      </c>
      <c r="B142">
        <v>777</v>
      </c>
      <c r="C142">
        <v>140</v>
      </c>
      <c r="D142">
        <v>0.45866828548302802</v>
      </c>
      <c r="E142">
        <v>125.04062160066273</v>
      </c>
      <c r="F142">
        <v>69.14474507715012</v>
      </c>
      <c r="G142">
        <v>73.591231157030478</v>
      </c>
      <c r="H142">
        <v>69.036970097440317</v>
      </c>
      <c r="J142">
        <v>69.240544671854835</v>
      </c>
      <c r="L142">
        <v>9.2356170898332817</v>
      </c>
      <c r="M142">
        <v>14.926497133783169</v>
      </c>
      <c r="N142">
        <v>2.1185945366788643</v>
      </c>
      <c r="O142">
        <v>42.106271338859628</v>
      </c>
      <c r="P142">
        <v>13.794542861506123</v>
      </c>
      <c r="R142">
        <v>21.973442501739225</v>
      </c>
      <c r="S142">
        <v>56.96149549842027</v>
      </c>
      <c r="U142">
        <v>2.9143306505806423</v>
      </c>
      <c r="V142">
        <v>48.021264863764962</v>
      </c>
      <c r="W142">
        <v>29.056267730479821</v>
      </c>
      <c r="X142">
        <v>43.042164445635308</v>
      </c>
      <c r="Y142">
        <v>10.583865729026645</v>
      </c>
      <c r="Z142">
        <v>36.832974255623142</v>
      </c>
      <c r="AA142">
        <v>8.5196762754613449</v>
      </c>
      <c r="AB142">
        <v>40.750994888561841</v>
      </c>
      <c r="AC142">
        <v>7.5882197486235328E-2</v>
      </c>
      <c r="AD142">
        <v>11.134551543135357</v>
      </c>
      <c r="AE142">
        <v>16.179273572328619</v>
      </c>
      <c r="AF142">
        <v>14.620421069142147</v>
      </c>
      <c r="AG142">
        <v>26.677456518562309</v>
      </c>
      <c r="AH142">
        <v>9.1857548022561613</v>
      </c>
      <c r="AI142">
        <v>2.0553937834360392</v>
      </c>
      <c r="AK142">
        <v>56.153692208778189</v>
      </c>
    </row>
    <row r="143" spans="1:37" x14ac:dyDescent="0.2">
      <c r="A143">
        <v>142</v>
      </c>
      <c r="B143">
        <v>776</v>
      </c>
      <c r="C143">
        <v>140</v>
      </c>
      <c r="D143">
        <v>0.45808559309917701</v>
      </c>
      <c r="E143">
        <v>124.93605575914009</v>
      </c>
      <c r="F143">
        <v>68.705391185269406</v>
      </c>
      <c r="G143">
        <v>73.512568180727683</v>
      </c>
      <c r="H143">
        <v>68.955601333067662</v>
      </c>
      <c r="J143">
        <v>69.185282659142345</v>
      </c>
      <c r="L143">
        <v>9.1101047776108288</v>
      </c>
      <c r="M143">
        <v>14.947400378602193</v>
      </c>
      <c r="N143">
        <v>2.1012788808804399</v>
      </c>
      <c r="O143">
        <v>41.518760359801334</v>
      </c>
      <c r="P143">
        <v>13.641187993079917</v>
      </c>
      <c r="R143">
        <v>21.804970022927836</v>
      </c>
      <c r="S143">
        <v>56.830403609147169</v>
      </c>
      <c r="U143">
        <v>2.9078964602839852</v>
      </c>
      <c r="V143">
        <v>48.056740833258445</v>
      </c>
      <c r="W143">
        <v>28.954417917418404</v>
      </c>
      <c r="X143">
        <v>43.085271136157395</v>
      </c>
      <c r="Y143">
        <v>10.449908779627073</v>
      </c>
      <c r="Z143">
        <v>36.588981472358519</v>
      </c>
      <c r="AA143">
        <v>8.3886144552303445</v>
      </c>
      <c r="AB143">
        <v>40.719863714150918</v>
      </c>
      <c r="AC143">
        <v>5.6578143558806936E-2</v>
      </c>
      <c r="AD143">
        <v>11.001074483179185</v>
      </c>
      <c r="AE143">
        <v>16.076030114910218</v>
      </c>
      <c r="AF143">
        <v>14.620892518838373</v>
      </c>
      <c r="AG143">
        <v>26.61217291825594</v>
      </c>
      <c r="AH143">
        <v>9.0126865510762588</v>
      </c>
      <c r="AI143">
        <v>2.0378133452125984</v>
      </c>
      <c r="AK143">
        <v>56.118394384805185</v>
      </c>
    </row>
    <row r="144" spans="1:37" x14ac:dyDescent="0.2">
      <c r="A144">
        <v>143</v>
      </c>
      <c r="B144">
        <v>775</v>
      </c>
      <c r="C144">
        <v>140</v>
      </c>
      <c r="D144">
        <v>0.45750178886609999</v>
      </c>
      <c r="E144">
        <v>124.83201168854421</v>
      </c>
      <c r="F144">
        <v>68.267187673531183</v>
      </c>
      <c r="G144">
        <v>73.433966779056277</v>
      </c>
      <c r="H144">
        <v>68.874306778704565</v>
      </c>
      <c r="J144">
        <v>69.128764172952486</v>
      </c>
      <c r="L144">
        <v>8.9842584832819128</v>
      </c>
      <c r="M144">
        <v>14.968460640466175</v>
      </c>
      <c r="N144">
        <v>2.0839113229360531</v>
      </c>
      <c r="O144">
        <v>40.931448306812314</v>
      </c>
      <c r="P144">
        <v>13.487911661407486</v>
      </c>
      <c r="R144">
        <v>21.635327176807191</v>
      </c>
      <c r="S144">
        <v>56.694348020100492</v>
      </c>
      <c r="U144">
        <v>2.9019187342851893</v>
      </c>
      <c r="V144">
        <v>48.090379603987287</v>
      </c>
      <c r="W144">
        <v>28.853463060646543</v>
      </c>
      <c r="X144">
        <v>43.129965214403796</v>
      </c>
      <c r="Y144">
        <v>10.315969959701587</v>
      </c>
      <c r="Z144">
        <v>36.345096373953375</v>
      </c>
      <c r="AA144">
        <v>8.2575412483877226</v>
      </c>
      <c r="AB144">
        <v>40.685906735783739</v>
      </c>
      <c r="AC144">
        <v>3.7222338984707261E-2</v>
      </c>
      <c r="AD144">
        <v>10.86746743699906</v>
      </c>
      <c r="AE144">
        <v>15.972806286639186</v>
      </c>
      <c r="AF144">
        <v>14.621469303144345</v>
      </c>
      <c r="AG144">
        <v>26.544014018406425</v>
      </c>
      <c r="AH144">
        <v>8.8395641030400682</v>
      </c>
      <c r="AI144">
        <v>2.0201802106416884</v>
      </c>
      <c r="AK144">
        <v>56.083169757723887</v>
      </c>
    </row>
    <row r="145" spans="1:37" x14ac:dyDescent="0.2">
      <c r="A145">
        <v>144</v>
      </c>
      <c r="B145">
        <v>774</v>
      </c>
      <c r="C145">
        <v>140</v>
      </c>
      <c r="D145">
        <v>0.45691686959843703</v>
      </c>
      <c r="E145">
        <v>124.72849251667716</v>
      </c>
      <c r="F145">
        <v>67.830169236801041</v>
      </c>
      <c r="G145">
        <v>73.355439120329152</v>
      </c>
      <c r="H145">
        <v>68.793098622715732</v>
      </c>
      <c r="J145">
        <v>69.070987961159503</v>
      </c>
      <c r="L145">
        <v>8.8581076864764139</v>
      </c>
      <c r="M145">
        <v>14.989658499745053</v>
      </c>
      <c r="N145">
        <v>2.0664929347653915</v>
      </c>
      <c r="O145">
        <v>40.344405250379445</v>
      </c>
      <c r="P145">
        <v>13.334739296546029</v>
      </c>
      <c r="R145">
        <v>21.464558502440699</v>
      </c>
      <c r="S145">
        <v>56.553303526386607</v>
      </c>
      <c r="U145">
        <v>2.8963790395355558</v>
      </c>
      <c r="V145">
        <v>48.12217680285741</v>
      </c>
      <c r="W145">
        <v>28.753401311792832</v>
      </c>
      <c r="X145">
        <v>43.176191625667059</v>
      </c>
      <c r="Y145">
        <v>10.182072383658463</v>
      </c>
      <c r="Z145">
        <v>36.101319538560297</v>
      </c>
      <c r="AA145">
        <v>8.1263298943663536</v>
      </c>
      <c r="AB145">
        <v>40.649100065119164</v>
      </c>
      <c r="AC145">
        <v>1.781585524578538E-2</v>
      </c>
      <c r="AD145">
        <v>10.733737333691158</v>
      </c>
      <c r="AE145">
        <v>15.86959184872685</v>
      </c>
      <c r="AF145">
        <v>14.622133079713644</v>
      </c>
      <c r="AG145">
        <v>26.472957008161384</v>
      </c>
      <c r="AH145">
        <v>8.6664209431451305</v>
      </c>
      <c r="AI145">
        <v>2.0024954498120158</v>
      </c>
      <c r="AK145">
        <v>56.048022099506191</v>
      </c>
    </row>
    <row r="146" spans="1:37" x14ac:dyDescent="0.2">
      <c r="A146">
        <v>145</v>
      </c>
      <c r="B146">
        <v>773</v>
      </c>
      <c r="C146">
        <v>140</v>
      </c>
      <c r="D146">
        <v>0.456330832098647</v>
      </c>
      <c r="E146">
        <v>124.61666185108913</v>
      </c>
      <c r="F146">
        <v>67.345760040423073</v>
      </c>
      <c r="G146">
        <v>73.268853438585595</v>
      </c>
      <c r="H146">
        <v>68.703845119229115</v>
      </c>
      <c r="J146">
        <v>68.996556428854177</v>
      </c>
      <c r="L146">
        <v>8.7188498829739736</v>
      </c>
      <c r="M146">
        <v>15.011098575329274</v>
      </c>
      <c r="N146">
        <v>2.0504520100626147</v>
      </c>
      <c r="O146">
        <v>39.710685764853629</v>
      </c>
      <c r="P146">
        <v>13.16683568184015</v>
      </c>
      <c r="R146">
        <v>21.275795536114146</v>
      </c>
      <c r="S146">
        <v>56.385788000911646</v>
      </c>
      <c r="U146">
        <v>2.8905362628380891</v>
      </c>
      <c r="V146">
        <v>48.151367248513608</v>
      </c>
      <c r="W146">
        <v>28.645217403277865</v>
      </c>
      <c r="X146">
        <v>43.220438108457564</v>
      </c>
      <c r="Y146">
        <v>10.03313673222377</v>
      </c>
      <c r="Z146">
        <v>35.831287289419542</v>
      </c>
      <c r="AA146">
        <v>7.9818794695634718</v>
      </c>
      <c r="AB146">
        <v>40.603379269631176</v>
      </c>
      <c r="AD146">
        <v>10.583543900276878</v>
      </c>
      <c r="AE146">
        <v>15.757022432537283</v>
      </c>
      <c r="AF146">
        <v>14.624416766504957</v>
      </c>
      <c r="AG146">
        <v>26.394365754279111</v>
      </c>
      <c r="AH146">
        <v>8.4698064618074191</v>
      </c>
      <c r="AI146">
        <v>1.9861873545867608</v>
      </c>
      <c r="AK146">
        <v>56.001586620596321</v>
      </c>
    </row>
    <row r="147" spans="1:37" x14ac:dyDescent="0.2">
      <c r="A147">
        <v>146</v>
      </c>
      <c r="B147">
        <v>772</v>
      </c>
      <c r="C147">
        <v>140</v>
      </c>
      <c r="D147">
        <v>0.45574367315696301</v>
      </c>
      <c r="E147">
        <v>124.38924013788535</v>
      </c>
      <c r="F147">
        <v>66.211429469235185</v>
      </c>
      <c r="G147">
        <v>73.073111690051348</v>
      </c>
      <c r="H147">
        <v>68.505448244600046</v>
      </c>
      <c r="J147">
        <v>68.704567635127958</v>
      </c>
      <c r="L147">
        <v>8.4048704846640607</v>
      </c>
      <c r="M147">
        <v>15.035783089788263</v>
      </c>
      <c r="N147">
        <v>2.0524319144847967</v>
      </c>
      <c r="O147">
        <v>38.441141807979228</v>
      </c>
      <c r="P147">
        <v>12.798648117032693</v>
      </c>
      <c r="R147">
        <v>20.852866360147392</v>
      </c>
      <c r="S147">
        <v>55.899243819621191</v>
      </c>
      <c r="U147">
        <v>2.8786449788415474</v>
      </c>
      <c r="V147">
        <v>48.160294384838615</v>
      </c>
      <c r="W147">
        <v>28.425078627841366</v>
      </c>
      <c r="X147">
        <v>43.230275125818395</v>
      </c>
      <c r="Y147">
        <v>9.6809050694338534</v>
      </c>
      <c r="Z147">
        <v>35.204762007874294</v>
      </c>
      <c r="AA147">
        <v>7.658803075121992</v>
      </c>
      <c r="AB147">
        <v>40.457887672583404</v>
      </c>
      <c r="AD147">
        <v>10.212388208671307</v>
      </c>
      <c r="AE147">
        <v>15.517133901234951</v>
      </c>
      <c r="AF147">
        <v>14.647965957133763</v>
      </c>
      <c r="AG147">
        <v>26.234026951281159</v>
      </c>
      <c r="AH147">
        <v>7.9576216634672861</v>
      </c>
      <c r="AI147">
        <v>1.987899288791551</v>
      </c>
      <c r="AK147">
        <v>55.800895379919638</v>
      </c>
    </row>
    <row r="148" spans="1:37" x14ac:dyDescent="0.2">
      <c r="A148">
        <v>147</v>
      </c>
      <c r="B148">
        <v>771</v>
      </c>
      <c r="C148">
        <v>140</v>
      </c>
      <c r="D148">
        <v>0.45515538955130802</v>
      </c>
      <c r="E148">
        <v>124.15027221026402</v>
      </c>
      <c r="F148">
        <v>64.978418856362751</v>
      </c>
      <c r="G148">
        <v>72.860792671433728</v>
      </c>
      <c r="H148">
        <v>68.290486815700376</v>
      </c>
      <c r="J148">
        <v>68.352841365993697</v>
      </c>
      <c r="L148">
        <v>8.0582560012560069</v>
      </c>
      <c r="M148">
        <v>15.063720773327496</v>
      </c>
      <c r="N148">
        <v>2.054410438134882</v>
      </c>
      <c r="O148">
        <v>37.060113289600487</v>
      </c>
      <c r="P148">
        <v>12.397312007329539</v>
      </c>
      <c r="R148">
        <v>20.377899104124136</v>
      </c>
      <c r="S148">
        <v>55.294555281802651</v>
      </c>
      <c r="U148">
        <v>2.8732671525232027</v>
      </c>
      <c r="V148">
        <v>48.144563783717295</v>
      </c>
      <c r="W148">
        <v>28.208148501814335</v>
      </c>
      <c r="X148">
        <v>43.259440402837953</v>
      </c>
      <c r="Y148">
        <v>9.2956639285660234</v>
      </c>
      <c r="Z148">
        <v>34.513628103693968</v>
      </c>
      <c r="AA148">
        <v>7.3040652078488204</v>
      </c>
      <c r="AB148">
        <v>40.254616868255489</v>
      </c>
      <c r="AD148">
        <v>9.8022344525007039</v>
      </c>
      <c r="AE148">
        <v>15.251385921654061</v>
      </c>
      <c r="AF148">
        <v>14.674767177306546</v>
      </c>
      <c r="AG148">
        <v>26.015909989173096</v>
      </c>
      <c r="AH148">
        <v>7.3957226161102287</v>
      </c>
      <c r="AI148">
        <v>1.9896090406962552</v>
      </c>
      <c r="AK148">
        <v>55.570982086584991</v>
      </c>
    </row>
    <row r="149" spans="1:37" x14ac:dyDescent="0.2">
      <c r="A149">
        <v>148</v>
      </c>
      <c r="B149">
        <v>770</v>
      </c>
      <c r="C149">
        <v>140</v>
      </c>
      <c r="D149">
        <v>0.45456597804726301</v>
      </c>
      <c r="E149">
        <v>123.88639089523014</v>
      </c>
      <c r="F149">
        <v>63.53937253542238</v>
      </c>
      <c r="G149">
        <v>72.615319273161788</v>
      </c>
      <c r="H149">
        <v>68.042383743166539</v>
      </c>
      <c r="J149">
        <v>67.87991094681044</v>
      </c>
      <c r="L149">
        <v>7.6468056439122121</v>
      </c>
      <c r="M149">
        <v>15.094951935275324</v>
      </c>
      <c r="N149">
        <v>2.0563866381395672</v>
      </c>
      <c r="O149">
        <v>35.453610772819324</v>
      </c>
      <c r="P149">
        <v>11.929672212466036</v>
      </c>
      <c r="R149">
        <v>19.799558575140448</v>
      </c>
      <c r="S149">
        <v>54.458706869579139</v>
      </c>
      <c r="U149">
        <v>2.877607074523175</v>
      </c>
      <c r="V149">
        <v>48.08232322400211</v>
      </c>
      <c r="W149">
        <v>27.99513046829885</v>
      </c>
      <c r="X149">
        <v>43.317211458132235</v>
      </c>
      <c r="Y149">
        <v>8.8442160259671301</v>
      </c>
      <c r="Z149">
        <v>33.685186723738504</v>
      </c>
      <c r="AA149">
        <v>6.8857676360838083</v>
      </c>
      <c r="AB149">
        <v>39.937217103567271</v>
      </c>
      <c r="AD149">
        <v>9.3107150714422868</v>
      </c>
      <c r="AE149">
        <v>14.928890358181556</v>
      </c>
      <c r="AF149">
        <v>14.704859798891201</v>
      </c>
      <c r="AG149">
        <v>25.683664177643173</v>
      </c>
      <c r="AH149">
        <v>6.7340789644248318</v>
      </c>
      <c r="AI149">
        <v>1.9913156655957756</v>
      </c>
      <c r="AK149">
        <v>55.279356534186839</v>
      </c>
    </row>
    <row r="150" spans="1:37" x14ac:dyDescent="0.2">
      <c r="A150">
        <v>149</v>
      </c>
      <c r="B150">
        <v>769</v>
      </c>
      <c r="C150">
        <v>140</v>
      </c>
      <c r="D150">
        <v>0.45397543539797802</v>
      </c>
      <c r="E150">
        <v>123.05577025003117</v>
      </c>
      <c r="F150">
        <v>57.793261793845268</v>
      </c>
      <c r="G150">
        <v>71.747327727342721</v>
      </c>
      <c r="H150">
        <v>67.171775279347557</v>
      </c>
      <c r="J150">
        <v>65.255131549663929</v>
      </c>
      <c r="L150">
        <v>6.0253202647473589</v>
      </c>
      <c r="M150">
        <v>15.058225924262873</v>
      </c>
      <c r="N150">
        <v>2.0583345934337252</v>
      </c>
      <c r="O150">
        <v>29.485968479918686</v>
      </c>
      <c r="P150">
        <v>10.216975297401621</v>
      </c>
      <c r="R150">
        <v>17.34794585641183</v>
      </c>
      <c r="S150">
        <v>50.329076046418095</v>
      </c>
      <c r="U150">
        <v>2.9043500921573613</v>
      </c>
      <c r="V150">
        <v>47.562316739275985</v>
      </c>
      <c r="W150">
        <v>27.813113018232158</v>
      </c>
      <c r="X150">
        <v>43.434609090855908</v>
      </c>
      <c r="Y150">
        <v>7.1379252076512687</v>
      </c>
      <c r="Z150">
        <v>29.880583945651875</v>
      </c>
      <c r="AA150">
        <v>5.2529672584858051</v>
      </c>
      <c r="AB150">
        <v>37.936569171555639</v>
      </c>
      <c r="AD150">
        <v>7.107522301097041</v>
      </c>
      <c r="AE150">
        <v>13.300413499795253</v>
      </c>
      <c r="AF150">
        <v>14.666967254879149</v>
      </c>
      <c r="AG150">
        <v>23.668144394319079</v>
      </c>
      <c r="AH150">
        <v>4.1623082187311464</v>
      </c>
      <c r="AI150">
        <v>1.9929932405910935</v>
      </c>
      <c r="AK150">
        <v>53.678892699394467</v>
      </c>
    </row>
    <row r="151" spans="1:37" x14ac:dyDescent="0.2">
      <c r="A151">
        <v>150</v>
      </c>
      <c r="B151">
        <v>768</v>
      </c>
      <c r="C151">
        <v>140</v>
      </c>
      <c r="D151">
        <v>0.45338375834414102</v>
      </c>
      <c r="E151">
        <v>122.23218081236645</v>
      </c>
      <c r="F151">
        <v>52.057113962102846</v>
      </c>
      <c r="G151">
        <v>70.886364960292852</v>
      </c>
      <c r="H151">
        <v>66.308208370843928</v>
      </c>
      <c r="J151">
        <v>62.6487374051502</v>
      </c>
      <c r="L151">
        <v>4.4087547309476944</v>
      </c>
      <c r="M151">
        <v>14.99923874946111</v>
      </c>
      <c r="N151">
        <v>2.0602817098608437</v>
      </c>
      <c r="O151">
        <v>23.550551489960519</v>
      </c>
      <c r="P151">
        <v>8.5183425424818608</v>
      </c>
      <c r="R151">
        <v>14.903797167279906</v>
      </c>
      <c r="S151">
        <v>46.347061033284206</v>
      </c>
      <c r="U151">
        <v>2.9202752105798084</v>
      </c>
      <c r="V151">
        <v>47.086299662274072</v>
      </c>
      <c r="W151">
        <v>27.640271062573529</v>
      </c>
      <c r="X151">
        <v>43.520020897803171</v>
      </c>
      <c r="Y151">
        <v>5.4426608568405275</v>
      </c>
      <c r="Z151">
        <v>26.016885337514115</v>
      </c>
      <c r="AA151">
        <v>3.6260668864959444</v>
      </c>
      <c r="AB151">
        <v>35.991368853951634</v>
      </c>
      <c r="AD151">
        <v>4.862053781873545</v>
      </c>
      <c r="AE151">
        <v>11.646745981051126</v>
      </c>
      <c r="AF151">
        <v>14.606812965719687</v>
      </c>
      <c r="AG151">
        <v>21.708073832451408</v>
      </c>
      <c r="AH151">
        <v>1.5796030460286479</v>
      </c>
      <c r="AI151">
        <v>1.9946691696921559</v>
      </c>
      <c r="AK151">
        <v>52.063769274316826</v>
      </c>
    </row>
    <row r="152" spans="1:37" x14ac:dyDescent="0.2">
      <c r="A152">
        <v>151</v>
      </c>
      <c r="B152">
        <v>767</v>
      </c>
      <c r="C152">
        <v>140</v>
      </c>
      <c r="D152">
        <v>0.45279094361390498</v>
      </c>
      <c r="E152">
        <v>122.16718503233048</v>
      </c>
      <c r="F152">
        <v>49.821783473423849</v>
      </c>
      <c r="G152">
        <v>70.724168622336975</v>
      </c>
      <c r="H152">
        <v>66.143420688301489</v>
      </c>
      <c r="J152">
        <v>56.437337002780666</v>
      </c>
      <c r="L152">
        <v>2.9346069451692638</v>
      </c>
      <c r="M152">
        <v>14.873655752178374</v>
      </c>
      <c r="N152">
        <v>2.062267201971324</v>
      </c>
      <c r="O152">
        <v>16.165608434840514</v>
      </c>
      <c r="P152">
        <v>8.217288484836736</v>
      </c>
      <c r="R152">
        <v>13.042403163590716</v>
      </c>
      <c r="S152">
        <v>41.701145479151158</v>
      </c>
      <c r="U152">
        <v>2.96227118238766</v>
      </c>
      <c r="V152">
        <v>46.642831512929526</v>
      </c>
      <c r="W152">
        <v>27.382372877355543</v>
      </c>
      <c r="X152">
        <v>43.680592859924893</v>
      </c>
      <c r="Y152">
        <v>4.3317534428304381</v>
      </c>
      <c r="Z152">
        <v>22.806924943019897</v>
      </c>
      <c r="AA152">
        <v>1.9401046281559102</v>
      </c>
      <c r="AB152">
        <v>33.810651187277472</v>
      </c>
      <c r="AD152">
        <v>3.1168372512825484</v>
      </c>
      <c r="AE152">
        <v>9.880325924950542</v>
      </c>
      <c r="AF152">
        <v>14.480101492721079</v>
      </c>
      <c r="AG152">
        <v>19.512526748805122</v>
      </c>
      <c r="AI152">
        <v>1.9963826656150079</v>
      </c>
      <c r="AK152">
        <v>48.086179931713374</v>
      </c>
    </row>
    <row r="153" spans="1:37" x14ac:dyDescent="0.2">
      <c r="A153">
        <v>152</v>
      </c>
      <c r="B153">
        <v>766</v>
      </c>
      <c r="C153">
        <v>140</v>
      </c>
      <c r="D153">
        <v>0.45219698792282498</v>
      </c>
      <c r="E153">
        <v>122.39923433834201</v>
      </c>
      <c r="F153">
        <v>49.593388337664244</v>
      </c>
      <c r="G153">
        <v>70.841948754376546</v>
      </c>
      <c r="H153">
        <v>66.258622292982693</v>
      </c>
      <c r="J153">
        <v>50.451135013817982</v>
      </c>
      <c r="L153">
        <v>1.5741807119164042</v>
      </c>
      <c r="M153">
        <v>14.665703135277003</v>
      </c>
      <c r="N153">
        <v>2.0642721498581214</v>
      </c>
      <c r="O153">
        <v>9.1788528939253435</v>
      </c>
      <c r="P153">
        <v>8.476214308352251</v>
      </c>
      <c r="R153">
        <v>11.531943420542508</v>
      </c>
      <c r="S153">
        <v>37.565719317391789</v>
      </c>
      <c r="U153">
        <v>2.9804752921804503</v>
      </c>
      <c r="V153">
        <v>46.494382485576551</v>
      </c>
      <c r="W153">
        <v>27.060494269068755</v>
      </c>
      <c r="X153">
        <v>43.772844929498</v>
      </c>
      <c r="Y153">
        <v>3.3836546646383452</v>
      </c>
      <c r="Z153">
        <v>20.859682749842197</v>
      </c>
      <c r="AA153">
        <v>0.38396479813171025</v>
      </c>
      <c r="AB153">
        <v>32.49127349173564</v>
      </c>
      <c r="AD153">
        <v>2.0314059693673818</v>
      </c>
      <c r="AE153">
        <v>8.6867761715406164</v>
      </c>
      <c r="AF153">
        <v>14.27104012429826</v>
      </c>
      <c r="AG153">
        <v>18.178341549387248</v>
      </c>
      <c r="AI153">
        <v>1.9981148066176664</v>
      </c>
      <c r="AK153">
        <v>44.162522654526981</v>
      </c>
    </row>
    <row r="154" spans="1:37" x14ac:dyDescent="0.2">
      <c r="A154">
        <v>153</v>
      </c>
      <c r="B154">
        <v>765</v>
      </c>
      <c r="C154">
        <v>140</v>
      </c>
      <c r="D154">
        <v>0.45160188797380102</v>
      </c>
      <c r="E154">
        <v>122.7025966505518</v>
      </c>
      <c r="F154">
        <v>49.297778200813738</v>
      </c>
      <c r="G154">
        <v>70.965338909647002</v>
      </c>
      <c r="H154">
        <v>66.37944675852269</v>
      </c>
      <c r="J154">
        <v>44.208746116524679</v>
      </c>
      <c r="L154">
        <v>1.503838266725892</v>
      </c>
      <c r="M154">
        <v>14.298448829729432</v>
      </c>
      <c r="N154">
        <v>2.0662786527305652</v>
      </c>
      <c r="O154">
        <v>8.5012337752508955</v>
      </c>
      <c r="P154">
        <v>8.7463692407589857</v>
      </c>
      <c r="R154">
        <v>11.240423321169818</v>
      </c>
      <c r="S154">
        <v>37.166030148145239</v>
      </c>
      <c r="U154">
        <v>2.9848722774653731</v>
      </c>
      <c r="V154">
        <v>46.832916146598976</v>
      </c>
      <c r="W154">
        <v>26.589651404219037</v>
      </c>
      <c r="X154">
        <v>43.825596997147343</v>
      </c>
      <c r="Y154">
        <v>3.2086874510292014</v>
      </c>
      <c r="Z154">
        <v>18.494519007938482</v>
      </c>
      <c r="AB154">
        <v>31.214434953850763</v>
      </c>
      <c r="AD154">
        <v>0.84003807401114083</v>
      </c>
      <c r="AE154">
        <v>7.2665456382046774</v>
      </c>
      <c r="AF154">
        <v>13.902678896108826</v>
      </c>
      <c r="AG154">
        <v>16.886699525659949</v>
      </c>
      <c r="AI154">
        <v>1.999847690075105</v>
      </c>
      <c r="AK154">
        <v>39.978296494039839</v>
      </c>
    </row>
    <row r="155" spans="1:37" x14ac:dyDescent="0.2">
      <c r="A155">
        <v>154</v>
      </c>
      <c r="B155">
        <v>764</v>
      </c>
      <c r="C155">
        <v>140</v>
      </c>
      <c r="D155">
        <v>0.45100564045702202</v>
      </c>
      <c r="E155">
        <v>122.94693738920384</v>
      </c>
      <c r="F155">
        <v>49.336662528845416</v>
      </c>
      <c r="G155">
        <v>71.03519233596667</v>
      </c>
      <c r="H155">
        <v>66.446747353179546</v>
      </c>
      <c r="J155">
        <v>40.067720044921941</v>
      </c>
      <c r="L155">
        <v>1.5229056981952562</v>
      </c>
      <c r="M155">
        <v>13.910578826850598</v>
      </c>
      <c r="N155">
        <v>2.0682822083359809</v>
      </c>
      <c r="O155">
        <v>8.3301245313585213</v>
      </c>
      <c r="P155">
        <v>8.9094552975534977</v>
      </c>
      <c r="R155">
        <v>10.997005861690909</v>
      </c>
      <c r="S155">
        <v>37.275222051343071</v>
      </c>
      <c r="U155">
        <v>2.9736317926799472</v>
      </c>
      <c r="V155">
        <v>47.289948186796892</v>
      </c>
      <c r="W155">
        <v>26.109278757508608</v>
      </c>
      <c r="X155">
        <v>43.833598482115228</v>
      </c>
      <c r="Y155">
        <v>3.0624518145798056</v>
      </c>
      <c r="Z155">
        <v>17.14326445048896</v>
      </c>
      <c r="AB155">
        <v>30.685102731784873</v>
      </c>
      <c r="AD155">
        <v>0.13068681321241291</v>
      </c>
      <c r="AE155">
        <v>6.4594621811971402</v>
      </c>
      <c r="AF155">
        <v>13.513699302698898</v>
      </c>
      <c r="AG155">
        <v>16.342563339282574</v>
      </c>
      <c r="AI155">
        <v>2.0015768118985457</v>
      </c>
      <c r="AK155">
        <v>37.150156394815212</v>
      </c>
    </row>
    <row r="156" spans="1:37" x14ac:dyDescent="0.2">
      <c r="A156">
        <v>155</v>
      </c>
      <c r="B156">
        <v>794</v>
      </c>
      <c r="C156">
        <v>120</v>
      </c>
      <c r="D156">
        <v>0.489022630370612</v>
      </c>
      <c r="E156">
        <v>114.92748874603063</v>
      </c>
      <c r="F156">
        <v>74.193632669571514</v>
      </c>
      <c r="G156">
        <v>74.597467904407196</v>
      </c>
      <c r="H156">
        <v>70.090532823872877</v>
      </c>
      <c r="J156">
        <v>69.870199122657823</v>
      </c>
      <c r="L156">
        <v>10.536654104969442</v>
      </c>
      <c r="M156">
        <v>15.278287250491216</v>
      </c>
      <c r="N156">
        <v>2.1672012379061152</v>
      </c>
      <c r="O156">
        <v>49.616691692460591</v>
      </c>
      <c r="P156">
        <v>15.382172110939633</v>
      </c>
      <c r="Q156">
        <v>4.3663427979883623E-2</v>
      </c>
      <c r="R156">
        <v>24.6606161671602</v>
      </c>
      <c r="S156">
        <v>61.243824006307634</v>
      </c>
      <c r="U156">
        <v>3.7331971997581244</v>
      </c>
      <c r="V156">
        <v>48.024069171144426</v>
      </c>
      <c r="W156">
        <v>32.341168389157666</v>
      </c>
      <c r="X156">
        <v>42.720970668333663</v>
      </c>
      <c r="Y156">
        <v>11.923781746605179</v>
      </c>
      <c r="Z156">
        <v>40.062691876019528</v>
      </c>
      <c r="AA156">
        <v>9.9125187468818758</v>
      </c>
      <c r="AB156">
        <v>42.283275170967272</v>
      </c>
      <c r="AC156">
        <v>0.23164087884034518</v>
      </c>
      <c r="AD156">
        <v>12.805761312985521</v>
      </c>
      <c r="AE156">
        <v>17.842161385044452</v>
      </c>
      <c r="AF156">
        <v>15.135634368774248</v>
      </c>
      <c r="AG156">
        <v>28.630299802061181</v>
      </c>
      <c r="AH156">
        <v>10.837727645663509</v>
      </c>
      <c r="AI156">
        <v>2.106035918824952</v>
      </c>
      <c r="AK156">
        <v>55.916774497190531</v>
      </c>
    </row>
    <row r="157" spans="1:37" x14ac:dyDescent="0.2">
      <c r="A157">
        <v>156</v>
      </c>
      <c r="B157">
        <v>793</v>
      </c>
      <c r="C157">
        <v>120</v>
      </c>
      <c r="D157">
        <v>0.488477700136005</v>
      </c>
      <c r="E157">
        <v>114.8264566925031</v>
      </c>
      <c r="F157">
        <v>73.868697808803716</v>
      </c>
      <c r="G157">
        <v>74.541023187474494</v>
      </c>
      <c r="H157">
        <v>70.031162346185326</v>
      </c>
      <c r="J157">
        <v>69.802831590297018</v>
      </c>
      <c r="L157">
        <v>10.457262328904108</v>
      </c>
      <c r="M157">
        <v>15.23919244150783</v>
      </c>
      <c r="N157">
        <v>2.1600521200261911</v>
      </c>
      <c r="O157">
        <v>49.223030363044003</v>
      </c>
      <c r="P157">
        <v>15.283292087386144</v>
      </c>
      <c r="R157">
        <v>24.485708092367116</v>
      </c>
      <c r="S157">
        <v>60.918731775217125</v>
      </c>
      <c r="U157">
        <v>3.6793696961970439</v>
      </c>
      <c r="V157">
        <v>47.963861915897262</v>
      </c>
      <c r="W157">
        <v>32.178908914927263</v>
      </c>
      <c r="X157">
        <v>42.606085964198343</v>
      </c>
      <c r="Y157">
        <v>11.840294841668799</v>
      </c>
      <c r="Z157">
        <v>39.88305390743443</v>
      </c>
      <c r="AA157">
        <v>9.8298659782472679</v>
      </c>
      <c r="AB157">
        <v>42.175886160533935</v>
      </c>
      <c r="AC157">
        <v>0.22249897937103111</v>
      </c>
      <c r="AD157">
        <v>12.712401237360123</v>
      </c>
      <c r="AE157">
        <v>17.759453841950041</v>
      </c>
      <c r="AF157">
        <v>15.086268392118624</v>
      </c>
      <c r="AG157">
        <v>28.498911134097504</v>
      </c>
      <c r="AH157">
        <v>10.724123075486963</v>
      </c>
      <c r="AI157">
        <v>2.0986361426671403</v>
      </c>
      <c r="AK157">
        <v>55.907007757389032</v>
      </c>
    </row>
    <row r="158" spans="1:37" x14ac:dyDescent="0.2">
      <c r="A158">
        <v>157</v>
      </c>
      <c r="B158">
        <v>792</v>
      </c>
      <c r="C158">
        <v>120</v>
      </c>
      <c r="D158">
        <v>0.48793174670234402</v>
      </c>
      <c r="E158">
        <v>114.72072560982119</v>
      </c>
      <c r="F158">
        <v>73.429383442105916</v>
      </c>
      <c r="G158">
        <v>74.462951025772981</v>
      </c>
      <c r="H158">
        <v>69.95017672588412</v>
      </c>
      <c r="J158">
        <v>69.751076217997493</v>
      </c>
      <c r="L158">
        <v>10.335957263142678</v>
      </c>
      <c r="M158">
        <v>15.257682591940165</v>
      </c>
      <c r="N158">
        <v>2.1434726831384308</v>
      </c>
      <c r="O158">
        <v>48.639934911887757</v>
      </c>
      <c r="P158">
        <v>15.131733785353397</v>
      </c>
      <c r="R158">
        <v>24.324140184728922</v>
      </c>
      <c r="S158">
        <v>60.804036479796501</v>
      </c>
      <c r="U158">
        <v>3.6706842252002034</v>
      </c>
      <c r="V158">
        <v>48.005905222183792</v>
      </c>
      <c r="W158">
        <v>32.069638236076557</v>
      </c>
      <c r="X158">
        <v>42.640170832737446</v>
      </c>
      <c r="Y158">
        <v>11.708559032276373</v>
      </c>
      <c r="Z158">
        <v>39.639211102518701</v>
      </c>
      <c r="AA158">
        <v>9.7015182307810459</v>
      </c>
      <c r="AB158">
        <v>42.153700117133859</v>
      </c>
      <c r="AC158">
        <v>0.20392691979858368</v>
      </c>
      <c r="AD158">
        <v>12.582243128849488</v>
      </c>
      <c r="AE158">
        <v>17.655502010071647</v>
      </c>
      <c r="AF158">
        <v>15.085057191066209</v>
      </c>
      <c r="AG158">
        <v>28.443297428643341</v>
      </c>
      <c r="AH158">
        <v>10.554618213938527</v>
      </c>
      <c r="AI158">
        <v>2.0818052843222237</v>
      </c>
      <c r="AK158">
        <v>55.872128868002498</v>
      </c>
    </row>
    <row r="159" spans="1:37" x14ac:dyDescent="0.2">
      <c r="A159">
        <v>158</v>
      </c>
      <c r="B159">
        <v>791</v>
      </c>
      <c r="C159">
        <v>120</v>
      </c>
      <c r="D159">
        <v>0.48738476718508</v>
      </c>
      <c r="E159">
        <v>114.61547136437488</v>
      </c>
      <c r="F159">
        <v>72.991070496790996</v>
      </c>
      <c r="G159">
        <v>74.384896989579701</v>
      </c>
      <c r="H159">
        <v>69.86922155266295</v>
      </c>
      <c r="J159">
        <v>69.698256419555435</v>
      </c>
      <c r="L159">
        <v>10.214235826607547</v>
      </c>
      <c r="M159">
        <v>15.276381544306997</v>
      </c>
      <c r="N159">
        <v>2.1268475463054854</v>
      </c>
      <c r="O159">
        <v>48.056851711465939</v>
      </c>
      <c r="P159">
        <v>14.980172985002907</v>
      </c>
      <c r="R159">
        <v>24.161330748382227</v>
      </c>
      <c r="S159">
        <v>60.685021514692458</v>
      </c>
      <c r="U159">
        <v>3.6624719253477807</v>
      </c>
      <c r="V159">
        <v>48.046319755016441</v>
      </c>
      <c r="W159">
        <v>31.961172102193395</v>
      </c>
      <c r="X159">
        <v>42.67590338465768</v>
      </c>
      <c r="Y159">
        <v>11.576770506316915</v>
      </c>
      <c r="Z159">
        <v>39.395508254243936</v>
      </c>
      <c r="AA159">
        <v>9.5730352813800934</v>
      </c>
      <c r="AB159">
        <v>42.129082245935052</v>
      </c>
      <c r="AC159">
        <v>0.18530931875282122</v>
      </c>
      <c r="AD159">
        <v>12.451941819784405</v>
      </c>
      <c r="AE159">
        <v>17.551629107335113</v>
      </c>
      <c r="AF159">
        <v>15.084009232359701</v>
      </c>
      <c r="AG159">
        <v>28.385208515210554</v>
      </c>
      <c r="AH159">
        <v>10.384929080355674</v>
      </c>
      <c r="AI159">
        <v>2.0649279610336309</v>
      </c>
      <c r="AK159">
        <v>55.837339179639756</v>
      </c>
    </row>
    <row r="160" spans="1:37" x14ac:dyDescent="0.2">
      <c r="A160">
        <v>159</v>
      </c>
      <c r="B160">
        <v>790</v>
      </c>
      <c r="C160">
        <v>120</v>
      </c>
      <c r="D160">
        <v>0.486836758688802</v>
      </c>
      <c r="E160">
        <v>114.51069694996768</v>
      </c>
      <c r="F160">
        <v>72.553794143608499</v>
      </c>
      <c r="G160">
        <v>74.306871907881856</v>
      </c>
      <c r="H160">
        <v>69.788307674962482</v>
      </c>
      <c r="J160">
        <v>69.644365429102649</v>
      </c>
      <c r="L160">
        <v>10.092126119085052</v>
      </c>
      <c r="M160">
        <v>15.295273902152552</v>
      </c>
      <c r="N160">
        <v>2.1101780081309567</v>
      </c>
      <c r="O160">
        <v>47.473845605938052</v>
      </c>
      <c r="P160">
        <v>14.828632663511497</v>
      </c>
      <c r="R160">
        <v>23.997321725121562</v>
      </c>
      <c r="S160">
        <v>60.561637077529895</v>
      </c>
      <c r="U160">
        <v>3.6547175783955446</v>
      </c>
      <c r="V160">
        <v>48.085093299351712</v>
      </c>
      <c r="W160">
        <v>31.85350855967279</v>
      </c>
      <c r="X160">
        <v>42.713237918560438</v>
      </c>
      <c r="Y160">
        <v>11.444949968714965</v>
      </c>
      <c r="Z160">
        <v>39.151951742906931</v>
      </c>
      <c r="AA160">
        <v>9.4445119627787282</v>
      </c>
      <c r="AB160">
        <v>42.101998814920726</v>
      </c>
      <c r="AC160">
        <v>0.16664747440381469</v>
      </c>
      <c r="AD160">
        <v>12.321506889446763</v>
      </c>
      <c r="AE160">
        <v>17.447829204969686</v>
      </c>
      <c r="AF160">
        <v>15.083110423316707</v>
      </c>
      <c r="AG160">
        <v>28.324611965686099</v>
      </c>
      <c r="AH160">
        <v>10.215086341985371</v>
      </c>
      <c r="AI160">
        <v>2.0480054695852754</v>
      </c>
      <c r="AK160">
        <v>55.802643509868581</v>
      </c>
    </row>
    <row r="161" spans="1:37" x14ac:dyDescent="0.2">
      <c r="A161">
        <v>160</v>
      </c>
      <c r="B161">
        <v>789</v>
      </c>
      <c r="C161">
        <v>120</v>
      </c>
      <c r="D161">
        <v>0.48628771830721002</v>
      </c>
      <c r="E161">
        <v>114.40640502259487</v>
      </c>
      <c r="F161">
        <v>72.117588446391707</v>
      </c>
      <c r="G161">
        <v>74.22888654256711</v>
      </c>
      <c r="H161">
        <v>69.707445874160683</v>
      </c>
      <c r="J161">
        <v>69.589398700405198</v>
      </c>
      <c r="L161">
        <v>9.9696560398883989</v>
      </c>
      <c r="M161">
        <v>15.314343990138154</v>
      </c>
      <c r="N161">
        <v>2.0934653773768468</v>
      </c>
      <c r="O161">
        <v>46.890981043273982</v>
      </c>
      <c r="P161">
        <v>14.677135674075297</v>
      </c>
      <c r="R161">
        <v>23.832155388325148</v>
      </c>
      <c r="S161">
        <v>60.433842372917269</v>
      </c>
      <c r="U161">
        <v>3.6474055482706289</v>
      </c>
      <c r="V161">
        <v>48.12221645219077</v>
      </c>
      <c r="W161">
        <v>31.746645137438424</v>
      </c>
      <c r="X161">
        <v>42.752127488712986</v>
      </c>
      <c r="Y161">
        <v>11.31311803620183</v>
      </c>
      <c r="Z161">
        <v>38.90854741568954</v>
      </c>
      <c r="AA161">
        <v>9.3158087020756497</v>
      </c>
      <c r="AB161">
        <v>42.072420778124894</v>
      </c>
      <c r="AC161">
        <v>0.14794269507980343</v>
      </c>
      <c r="AD161">
        <v>12.190947573829799</v>
      </c>
      <c r="AE161">
        <v>17.344096123794092</v>
      </c>
      <c r="AF161">
        <v>15.082346402547085</v>
      </c>
      <c r="AG161">
        <v>28.261480048180573</v>
      </c>
      <c r="AH161">
        <v>10.045120501172606</v>
      </c>
      <c r="AI161">
        <v>2.031039116918425</v>
      </c>
      <c r="AK161">
        <v>55.768046510267119</v>
      </c>
    </row>
    <row r="162" spans="1:37" x14ac:dyDescent="0.2">
      <c r="A162">
        <v>161</v>
      </c>
      <c r="B162">
        <v>788</v>
      </c>
      <c r="C162">
        <v>120</v>
      </c>
      <c r="D162">
        <v>0.48573764312303003</v>
      </c>
      <c r="E162">
        <v>114.30259790707639</v>
      </c>
      <c r="F162">
        <v>71.682486259501147</v>
      </c>
      <c r="G162">
        <v>74.150951556410462</v>
      </c>
      <c r="H162">
        <v>69.626646832558151</v>
      </c>
      <c r="J162">
        <v>69.533353795113797</v>
      </c>
      <c r="L162">
        <v>9.8468531923972726</v>
      </c>
      <c r="M162">
        <v>15.333575898764074</v>
      </c>
      <c r="N162">
        <v>2.0767109635148269</v>
      </c>
      <c r="O162">
        <v>46.30832185064375</v>
      </c>
      <c r="P162">
        <v>14.525704672425373</v>
      </c>
      <c r="R162">
        <v>23.665874148499494</v>
      </c>
      <c r="S162">
        <v>60.301605322241031</v>
      </c>
      <c r="U162">
        <v>3.6405198417754558</v>
      </c>
      <c r="V162">
        <v>48.157682496504442</v>
      </c>
      <c r="W162">
        <v>31.640578899045348</v>
      </c>
      <c r="X162">
        <v>42.792524091273457</v>
      </c>
      <c r="Y162">
        <v>11.181295171126147</v>
      </c>
      <c r="Z162">
        <v>38.665300538422557</v>
      </c>
      <c r="AA162">
        <v>9.1870255061700732</v>
      </c>
      <c r="AB162">
        <v>42.040323640507012</v>
      </c>
      <c r="AC162">
        <v>0.12919628981834524</v>
      </c>
      <c r="AD162">
        <v>12.060272729375038</v>
      </c>
      <c r="AE162">
        <v>17.240423433328974</v>
      </c>
      <c r="AF162">
        <v>15.08170257521839</v>
      </c>
      <c r="AG162">
        <v>28.195789582458804</v>
      </c>
      <c r="AH162">
        <v>9.8750618097603287</v>
      </c>
      <c r="AI162">
        <v>2.0140302106833157</v>
      </c>
      <c r="AK162">
        <v>55.733552636614121</v>
      </c>
    </row>
    <row r="163" spans="1:37" x14ac:dyDescent="0.2">
      <c r="A163">
        <v>162</v>
      </c>
      <c r="B163">
        <v>787</v>
      </c>
      <c r="C163">
        <v>120</v>
      </c>
      <c r="D163">
        <v>0.48518653020799002</v>
      </c>
      <c r="E163">
        <v>114.19927760514503</v>
      </c>
      <c r="F163">
        <v>71.248519140491211</v>
      </c>
      <c r="G163">
        <v>74.073077484146879</v>
      </c>
      <c r="H163">
        <v>69.545921104453228</v>
      </c>
      <c r="J163">
        <v>69.476230264862153</v>
      </c>
      <c r="L163">
        <v>9.7237448058801856</v>
      </c>
      <c r="M163">
        <v>15.352953526124477</v>
      </c>
      <c r="N163">
        <v>2.0599160679929902</v>
      </c>
      <c r="O163">
        <v>45.725931031417318</v>
      </c>
      <c r="P163">
        <v>14.374362050248877</v>
      </c>
      <c r="R163">
        <v>23.498520370450777</v>
      </c>
      <c r="S163">
        <v>60.164902233727368</v>
      </c>
      <c r="U163">
        <v>3.6340441661356424</v>
      </c>
      <c r="V163">
        <v>48.19148726516574</v>
      </c>
      <c r="W163">
        <v>31.535306493859263</v>
      </c>
      <c r="X163">
        <v>42.834378842065149</v>
      </c>
      <c r="Y163">
        <v>11.049501621399283</v>
      </c>
      <c r="Z163">
        <v>38.422215754301291</v>
      </c>
      <c r="AA163">
        <v>9.0581805332729353</v>
      </c>
      <c r="AB163">
        <v>42.005687301654902</v>
      </c>
      <c r="AC163">
        <v>0.11040955963330464</v>
      </c>
      <c r="AD163">
        <v>11.929490800728701</v>
      </c>
      <c r="AE163">
        <v>17.13680445254198</v>
      </c>
      <c r="AF163">
        <v>15.081164146079905</v>
      </c>
      <c r="AG163">
        <v>28.127521774904583</v>
      </c>
      <c r="AH163">
        <v>9.7049401911167212</v>
      </c>
      <c r="AI163">
        <v>1.9969800505059085</v>
      </c>
      <c r="AK163">
        <v>55.699166122642403</v>
      </c>
    </row>
    <row r="164" spans="1:37" x14ac:dyDescent="0.2">
      <c r="A164">
        <v>163</v>
      </c>
      <c r="B164">
        <v>786</v>
      </c>
      <c r="C164">
        <v>120</v>
      </c>
      <c r="D164">
        <v>0.48463437662276798</v>
      </c>
      <c r="E164">
        <v>114.09644580459808</v>
      </c>
      <c r="F164">
        <v>70.815717277545431</v>
      </c>
      <c r="G164">
        <v>73.995274706618815</v>
      </c>
      <c r="H164">
        <v>69.465279090289442</v>
      </c>
      <c r="J164">
        <v>69.41802953012197</v>
      </c>
      <c r="L164">
        <v>9.6003576704248843</v>
      </c>
      <c r="M164">
        <v>15.372460616692086</v>
      </c>
      <c r="N164">
        <v>2.0430819763076213</v>
      </c>
      <c r="O164">
        <v>45.143870584140338</v>
      </c>
      <c r="P164">
        <v>14.223129875551328</v>
      </c>
      <c r="R164">
        <v>23.330136203656124</v>
      </c>
      <c r="S164">
        <v>60.023717442849652</v>
      </c>
      <c r="U164">
        <v>3.6279619830479017</v>
      </c>
      <c r="V164">
        <v>48.223628998367069</v>
      </c>
      <c r="W164">
        <v>31.430824206645006</v>
      </c>
      <c r="X164">
        <v>42.877642141066055</v>
      </c>
      <c r="Y164">
        <v>10.917757366639051</v>
      </c>
      <c r="Z164">
        <v>38.179297049749486</v>
      </c>
      <c r="AA164">
        <v>8.9292917553186122</v>
      </c>
      <c r="AB164">
        <v>41.968495883581994</v>
      </c>
      <c r="AC164">
        <v>9.1583789586271128E-2</v>
      </c>
      <c r="AD164">
        <v>11.798609792780221</v>
      </c>
      <c r="AE164">
        <v>17.033232252382902</v>
      </c>
      <c r="AF164">
        <v>15.080716150321756</v>
      </c>
      <c r="AG164">
        <v>28.056662038393803</v>
      </c>
      <c r="AH164">
        <v>9.5347851718410546</v>
      </c>
      <c r="AI164">
        <v>1.9798899200595403</v>
      </c>
      <c r="AK164">
        <v>55.664890957544614</v>
      </c>
    </row>
    <row r="165" spans="1:37" x14ac:dyDescent="0.2">
      <c r="A165">
        <v>164</v>
      </c>
      <c r="B165">
        <v>785</v>
      </c>
      <c r="C165">
        <v>120</v>
      </c>
      <c r="D165">
        <v>0.48408117941691098</v>
      </c>
      <c r="E165">
        <v>113.994103889116</v>
      </c>
      <c r="F165">
        <v>70.384109433840919</v>
      </c>
      <c r="G165">
        <v>73.917553428525537</v>
      </c>
      <c r="H165">
        <v>69.384731014402092</v>
      </c>
      <c r="J165">
        <v>69.358754758501249</v>
      </c>
      <c r="L165">
        <v>9.4767180835857801</v>
      </c>
      <c r="M165">
        <v>15.39208079565817</v>
      </c>
      <c r="N165">
        <v>2.0262099511817224</v>
      </c>
      <c r="O165">
        <v>44.562201348537471</v>
      </c>
      <c r="P165">
        <v>14.072029841335386</v>
      </c>
      <c r="R165">
        <v>23.160763427090572</v>
      </c>
      <c r="S165">
        <v>59.878042928681474</v>
      </c>
      <c r="U165">
        <v>3.6222565576629964</v>
      </c>
      <c r="V165">
        <v>48.254108195419143</v>
      </c>
      <c r="W165">
        <v>31.327128003358773</v>
      </c>
      <c r="X165">
        <v>42.92226382386945</v>
      </c>
      <c r="Y165">
        <v>10.786082071750107</v>
      </c>
      <c r="Z165">
        <v>37.936547729443305</v>
      </c>
      <c r="AA165">
        <v>8.8004490753779603</v>
      </c>
      <c r="AB165">
        <v>41.928737546347378</v>
      </c>
      <c r="AC165">
        <v>7.2720241964970372E-2</v>
      </c>
      <c r="AD165">
        <v>11.667637248212795</v>
      </c>
      <c r="AE165">
        <v>16.929699660912966</v>
      </c>
      <c r="AF165">
        <v>15.080343481088279</v>
      </c>
      <c r="AG165">
        <v>27.98319980108926</v>
      </c>
      <c r="AH165">
        <v>9.3646258129269278</v>
      </c>
      <c r="AI165">
        <v>1.9627610802438005</v>
      </c>
      <c r="AK165">
        <v>55.630730868026674</v>
      </c>
    </row>
    <row r="166" spans="1:37" x14ac:dyDescent="0.2">
      <c r="A166">
        <v>165</v>
      </c>
      <c r="B166">
        <v>784</v>
      </c>
      <c r="C166">
        <v>120</v>
      </c>
      <c r="D166">
        <v>0.48352693562881199</v>
      </c>
      <c r="E166">
        <v>113.89225294814274</v>
      </c>
      <c r="F166">
        <v>69.953722905507504</v>
      </c>
      <c r="G166">
        <v>73.839923659186084</v>
      </c>
      <c r="H166">
        <v>69.30428690578529</v>
      </c>
      <c r="J166">
        <v>69.298410745312225</v>
      </c>
      <c r="L166">
        <v>9.352851806343141</v>
      </c>
      <c r="M166">
        <v>15.411797600040559</v>
      </c>
      <c r="N166">
        <v>2.0093012267058317</v>
      </c>
      <c r="O166">
        <v>43.980982874393746</v>
      </c>
      <c r="P166">
        <v>13.921083221267354</v>
      </c>
      <c r="R166">
        <v>22.990443309479087</v>
      </c>
      <c r="S166">
        <v>59.727877919676217</v>
      </c>
      <c r="U166">
        <v>3.6169110032818295</v>
      </c>
      <c r="V166">
        <v>48.282927465969301</v>
      </c>
      <c r="W166">
        <v>31.224213573571109</v>
      </c>
      <c r="X166">
        <v>42.968193296325722</v>
      </c>
      <c r="Y166">
        <v>10.654495046750856</v>
      </c>
      <c r="Z166">
        <v>37.69397039949375</v>
      </c>
      <c r="AA166">
        <v>8.6715210794560118</v>
      </c>
      <c r="AB166">
        <v>41.886404298361924</v>
      </c>
      <c r="AC166">
        <v>5.3820150425012502E-2</v>
      </c>
      <c r="AD166">
        <v>11.536580230003075</v>
      </c>
      <c r="AE166">
        <v>16.826199270931539</v>
      </c>
      <c r="AF166">
        <v>15.080030914732941</v>
      </c>
      <c r="AG166">
        <v>27.907128310892052</v>
      </c>
      <c r="AH166">
        <v>9.1944906665489086</v>
      </c>
      <c r="AI166">
        <v>1.9455947633246493</v>
      </c>
      <c r="AK166">
        <v>55.596689304377009</v>
      </c>
    </row>
    <row r="167" spans="1:37" x14ac:dyDescent="0.2">
      <c r="A167">
        <v>166</v>
      </c>
      <c r="B167">
        <v>783</v>
      </c>
      <c r="C167">
        <v>120</v>
      </c>
      <c r="D167">
        <v>0.48297164228566197</v>
      </c>
      <c r="E167">
        <v>113.7908937871042</v>
      </c>
      <c r="F167">
        <v>69.524583495842251</v>
      </c>
      <c r="G167">
        <v>73.762395196657025</v>
      </c>
      <c r="H167">
        <v>69.22395658220664</v>
      </c>
      <c r="J167">
        <v>69.237003799685098</v>
      </c>
      <c r="L167">
        <v>9.2287840284994704</v>
      </c>
      <c r="M167">
        <v>15.431594506137886</v>
      </c>
      <c r="N167">
        <v>1.9923570037816427</v>
      </c>
      <c r="O167">
        <v>43.400273316445237</v>
      </c>
      <c r="P167">
        <v>13.770310833356968</v>
      </c>
      <c r="R167">
        <v>22.819216486721249</v>
      </c>
      <c r="S167">
        <v>59.573228496594567</v>
      </c>
      <c r="U167">
        <v>3.6119083208015406</v>
      </c>
      <c r="V167">
        <v>48.31009138290014</v>
      </c>
      <c r="W167">
        <v>31.122076367656224</v>
      </c>
      <c r="X167">
        <v>43.015379655226781</v>
      </c>
      <c r="Y167">
        <v>10.523015213764989</v>
      </c>
      <c r="Z167">
        <v>37.451566959903474</v>
      </c>
      <c r="AA167">
        <v>8.5426019068271852</v>
      </c>
      <c r="AB167">
        <v>41.841491805308564</v>
      </c>
      <c r="AC167">
        <v>3.4884715432115798E-2</v>
      </c>
      <c r="AD167">
        <v>11.405445309626586</v>
      </c>
      <c r="AE167">
        <v>16.722723450509015</v>
      </c>
      <c r="AF167">
        <v>15.079763133709539</v>
      </c>
      <c r="AG167">
        <v>27.82844443980164</v>
      </c>
      <c r="AH167">
        <v>9.0244077330150922</v>
      </c>
      <c r="AI167">
        <v>1.9283921683792034</v>
      </c>
      <c r="AK167">
        <v>55.562769431846277</v>
      </c>
    </row>
    <row r="168" spans="1:37" x14ac:dyDescent="0.2">
      <c r="A168">
        <v>167</v>
      </c>
      <c r="B168">
        <v>782</v>
      </c>
      <c r="C168">
        <v>120</v>
      </c>
      <c r="D168">
        <v>0.48241529640335601</v>
      </c>
      <c r="E168">
        <v>113.69002693678559</v>
      </c>
      <c r="F168">
        <v>69.096715502858117</v>
      </c>
      <c r="G168">
        <v>73.684977614843859</v>
      </c>
      <c r="H168">
        <v>69.143749637320269</v>
      </c>
      <c r="J168">
        <v>69.174541638013622</v>
      </c>
      <c r="L168">
        <v>9.104539342384939</v>
      </c>
      <c r="M168">
        <v>15.451454953216363</v>
      </c>
      <c r="N168">
        <v>1.9753784467959028</v>
      </c>
      <c r="O168">
        <v>42.820129353988918</v>
      </c>
      <c r="P168">
        <v>13.619733010852649</v>
      </c>
      <c r="R168">
        <v>22.647122855961911</v>
      </c>
      <c r="S168">
        <v>59.414107200404509</v>
      </c>
      <c r="U168">
        <v>3.6072314329102726</v>
      </c>
      <c r="V168">
        <v>48.335606338854468</v>
      </c>
      <c r="W168">
        <v>31.020711628208623</v>
      </c>
      <c r="X168">
        <v>43.063771790609245</v>
      </c>
      <c r="Y168">
        <v>10.391661080483624</v>
      </c>
      <c r="Z168">
        <v>37.209338606847183</v>
      </c>
      <c r="AA168">
        <v>8.4137083791986367</v>
      </c>
      <c r="AB168">
        <v>41.79399920288666</v>
      </c>
      <c r="AC168">
        <v>1.5915100937285123E-2</v>
      </c>
      <c r="AD168">
        <v>11.274238561097825</v>
      </c>
      <c r="AE168">
        <v>16.619264357099194</v>
      </c>
      <c r="AF168">
        <v>15.079524746939757</v>
      </c>
      <c r="AG168">
        <v>27.74714849333677</v>
      </c>
      <c r="AH168">
        <v>8.8544044094498453</v>
      </c>
      <c r="AI168">
        <v>1.9111544579680029</v>
      </c>
      <c r="AK168">
        <v>55.52897412666033</v>
      </c>
    </row>
    <row r="169" spans="1:37" x14ac:dyDescent="0.2">
      <c r="A169">
        <v>168</v>
      </c>
      <c r="B169">
        <v>781</v>
      </c>
      <c r="C169">
        <v>120</v>
      </c>
      <c r="D169">
        <v>0.48185789498648202</v>
      </c>
      <c r="E169">
        <v>113.57131346456396</v>
      </c>
      <c r="F169">
        <v>68.567564123076338</v>
      </c>
      <c r="G169">
        <v>73.590453891178825</v>
      </c>
      <c r="H169">
        <v>69.046449068345822</v>
      </c>
      <c r="J169">
        <v>69.077144925785049</v>
      </c>
      <c r="L169">
        <v>8.9526602865247558</v>
      </c>
      <c r="M169">
        <v>15.471858444664274</v>
      </c>
      <c r="N169">
        <v>1.9612363373448964</v>
      </c>
      <c r="O169">
        <v>42.140352777966889</v>
      </c>
      <c r="P169">
        <v>13.437786511327097</v>
      </c>
      <c r="R169">
        <v>22.437401093217538</v>
      </c>
      <c r="S169">
        <v>59.200929566601019</v>
      </c>
      <c r="U169">
        <v>3.6017794930782254</v>
      </c>
      <c r="V169">
        <v>48.356501388325768</v>
      </c>
      <c r="W169">
        <v>30.901969759516813</v>
      </c>
      <c r="X169">
        <v>43.107556944087854</v>
      </c>
      <c r="Y169">
        <v>10.228378470833299</v>
      </c>
      <c r="Z169">
        <v>36.911325191089198</v>
      </c>
      <c r="AA169">
        <v>8.2567179943881488</v>
      </c>
      <c r="AB169">
        <v>41.72872296094971</v>
      </c>
      <c r="AD169">
        <v>11.108301546505412</v>
      </c>
      <c r="AE169">
        <v>16.495854528392897</v>
      </c>
      <c r="AF169">
        <v>15.082666044685508</v>
      </c>
      <c r="AG169">
        <v>27.650907728397776</v>
      </c>
      <c r="AH169">
        <v>8.6348966991600626</v>
      </c>
      <c r="AI169">
        <v>1.8967524118615904</v>
      </c>
      <c r="AK169">
        <v>55.471129667429317</v>
      </c>
    </row>
    <row r="170" spans="1:37" x14ac:dyDescent="0.2">
      <c r="A170">
        <v>169</v>
      </c>
      <c r="B170">
        <v>780</v>
      </c>
      <c r="C170">
        <v>120</v>
      </c>
      <c r="D170">
        <v>0.48129943502824801</v>
      </c>
      <c r="E170">
        <v>113.34506316815541</v>
      </c>
      <c r="F170">
        <v>67.421446657082726</v>
      </c>
      <c r="G170">
        <v>73.392165541710469</v>
      </c>
      <c r="H170">
        <v>68.845396411154084</v>
      </c>
      <c r="J170">
        <v>68.763265529069614</v>
      </c>
      <c r="L170">
        <v>8.6324011349012189</v>
      </c>
      <c r="M170">
        <v>15.49657481162494</v>
      </c>
      <c r="N170">
        <v>1.9632188483445514</v>
      </c>
      <c r="O170">
        <v>40.850495811706175</v>
      </c>
      <c r="P170">
        <v>13.064442560957255</v>
      </c>
      <c r="R170">
        <v>21.998180821910683</v>
      </c>
      <c r="S170">
        <v>58.654956523903543</v>
      </c>
      <c r="U170">
        <v>3.5933619321757377</v>
      </c>
      <c r="V170">
        <v>48.348847220385075</v>
      </c>
      <c r="W170">
        <v>30.683194671471067</v>
      </c>
      <c r="X170">
        <v>43.128366956962687</v>
      </c>
      <c r="Y170">
        <v>9.8709705437190784</v>
      </c>
      <c r="Z170">
        <v>36.272082286059479</v>
      </c>
      <c r="AA170">
        <v>7.9283201301463855</v>
      </c>
      <c r="AB170">
        <v>41.551373797801389</v>
      </c>
      <c r="AD170">
        <v>10.731292890317338</v>
      </c>
      <c r="AE170">
        <v>16.249590746870382</v>
      </c>
      <c r="AF170">
        <v>15.106245036298393</v>
      </c>
      <c r="AG170">
        <v>27.45872104166753</v>
      </c>
      <c r="AH170">
        <v>8.1155967671759495</v>
      </c>
      <c r="AI170">
        <v>1.8984742011487559</v>
      </c>
      <c r="AK170">
        <v>55.265334846507827</v>
      </c>
    </row>
    <row r="171" spans="1:37" x14ac:dyDescent="0.2">
      <c r="A171">
        <v>170</v>
      </c>
      <c r="B171">
        <v>779</v>
      </c>
      <c r="C171">
        <v>120</v>
      </c>
      <c r="D171">
        <v>0.48073991351043299</v>
      </c>
      <c r="E171">
        <v>113.10660573102082</v>
      </c>
      <c r="F171">
        <v>66.170735224296067</v>
      </c>
      <c r="G171">
        <v>73.176550006980676</v>
      </c>
      <c r="H171">
        <v>68.627029126149267</v>
      </c>
      <c r="J171">
        <v>68.385532581092704</v>
      </c>
      <c r="L171">
        <v>8.2779902466643396</v>
      </c>
      <c r="M171">
        <v>15.523994767151651</v>
      </c>
      <c r="N171">
        <v>1.9651999316973636</v>
      </c>
      <c r="O171">
        <v>39.443528454980445</v>
      </c>
      <c r="P171">
        <v>12.656450013955121</v>
      </c>
      <c r="R171">
        <v>21.504180860655534</v>
      </c>
      <c r="S171">
        <v>57.982347945491981</v>
      </c>
      <c r="U171">
        <v>3.5912631112951625</v>
      </c>
      <c r="V171">
        <v>48.314900665533933</v>
      </c>
      <c r="W171">
        <v>30.467615759637429</v>
      </c>
      <c r="X171">
        <v>43.167936804184521</v>
      </c>
      <c r="Y171">
        <v>9.4789901907726311</v>
      </c>
      <c r="Z171">
        <v>35.563741109573435</v>
      </c>
      <c r="AA171">
        <v>7.5666636953485282</v>
      </c>
      <c r="AB171">
        <v>41.311613345291761</v>
      </c>
      <c r="AD171">
        <v>10.313047778860026</v>
      </c>
      <c r="AE171">
        <v>15.975125510818209</v>
      </c>
      <c r="AF171">
        <v>15.132526392035635</v>
      </c>
      <c r="AG171">
        <v>27.204124022383731</v>
      </c>
      <c r="AH171">
        <v>7.5442264046309191</v>
      </c>
      <c r="AI171">
        <v>1.9001937759038086</v>
      </c>
      <c r="AK171">
        <v>55.028337306998736</v>
      </c>
    </row>
    <row r="172" spans="1:37" x14ac:dyDescent="0.2">
      <c r="A172">
        <v>171</v>
      </c>
      <c r="B172">
        <v>778</v>
      </c>
      <c r="C172">
        <v>120</v>
      </c>
      <c r="D172">
        <v>0.48017932740332298</v>
      </c>
      <c r="E172">
        <v>112.84271374731526</v>
      </c>
      <c r="F172">
        <v>64.708859452075743</v>
      </c>
      <c r="G172">
        <v>72.927252837491011</v>
      </c>
      <c r="H172">
        <v>68.374992783732509</v>
      </c>
      <c r="J172">
        <v>67.882618838878003</v>
      </c>
      <c r="L172">
        <v>7.85749322165774</v>
      </c>
      <c r="M172">
        <v>15.553724052999511</v>
      </c>
      <c r="N172">
        <v>1.967178659916061</v>
      </c>
      <c r="O172">
        <v>37.806748098305746</v>
      </c>
      <c r="P172">
        <v>12.181099065118957</v>
      </c>
      <c r="R172">
        <v>20.904258942086305</v>
      </c>
      <c r="S172">
        <v>57.070355248142796</v>
      </c>
      <c r="U172">
        <v>3.598390427384031</v>
      </c>
      <c r="V172">
        <v>48.232863038615577</v>
      </c>
      <c r="W172">
        <v>30.255905739823987</v>
      </c>
      <c r="X172">
        <v>43.234646284306336</v>
      </c>
      <c r="Y172">
        <v>9.0196444749836591</v>
      </c>
      <c r="Z172">
        <v>34.714052733683836</v>
      </c>
      <c r="AA172">
        <v>7.1402426913239614</v>
      </c>
      <c r="AB172">
        <v>40.953048985335812</v>
      </c>
      <c r="AD172">
        <v>9.8118278026610426</v>
      </c>
      <c r="AE172">
        <v>15.641408433873556</v>
      </c>
      <c r="AF172">
        <v>15.16111493148164</v>
      </c>
      <c r="AG172">
        <v>26.830723130475988</v>
      </c>
      <c r="AH172">
        <v>6.871411874158091</v>
      </c>
      <c r="AI172">
        <v>1.9019102068117559</v>
      </c>
      <c r="AK172">
        <v>54.727699997461471</v>
      </c>
    </row>
    <row r="173" spans="1:37" x14ac:dyDescent="0.2">
      <c r="A173">
        <v>172</v>
      </c>
      <c r="B173">
        <v>777</v>
      </c>
      <c r="C173">
        <v>120</v>
      </c>
      <c r="D173">
        <v>0.47961767366567098</v>
      </c>
      <c r="E173">
        <v>112.29511313106343</v>
      </c>
      <c r="F173">
        <v>61.066667508251449</v>
      </c>
      <c r="G173">
        <v>72.359622421608478</v>
      </c>
      <c r="H173">
        <v>67.804635792206682</v>
      </c>
      <c r="J173">
        <v>66.251618845956017</v>
      </c>
      <c r="L173">
        <v>6.8168928246805667</v>
      </c>
      <c r="M173">
        <v>15.550331316280287</v>
      </c>
      <c r="N173">
        <v>1.9691422592137395</v>
      </c>
      <c r="O173">
        <v>33.946620264512568</v>
      </c>
      <c r="P173">
        <v>11.069073738734767</v>
      </c>
      <c r="R173">
        <v>19.330461259232717</v>
      </c>
      <c r="S173">
        <v>54.346218184436864</v>
      </c>
      <c r="U173">
        <v>3.6238150285958017</v>
      </c>
      <c r="V173">
        <v>47.871293415709175</v>
      </c>
      <c r="W173">
        <v>30.059898473318714</v>
      </c>
      <c r="X173">
        <v>43.351391616068696</v>
      </c>
      <c r="Y173">
        <v>7.9189831581016117</v>
      </c>
      <c r="Z173">
        <v>32.370718743989279</v>
      </c>
      <c r="AA173">
        <v>6.0931251552499601</v>
      </c>
      <c r="AB173">
        <v>39.67389768380329</v>
      </c>
      <c r="AD173">
        <v>8.4564275149446235</v>
      </c>
      <c r="AE173">
        <v>14.649816209306127</v>
      </c>
      <c r="AF173">
        <v>15.156566533287268</v>
      </c>
      <c r="AG173">
        <v>25.536722563542451</v>
      </c>
      <c r="AH173">
        <v>5.22734654474539</v>
      </c>
      <c r="AI173">
        <v>1.9036107182564601</v>
      </c>
      <c r="AK173">
        <v>53.762543504484071</v>
      </c>
    </row>
    <row r="174" spans="1:37" x14ac:dyDescent="0.2">
      <c r="A174">
        <v>173</v>
      </c>
      <c r="B174">
        <v>776</v>
      </c>
      <c r="C174">
        <v>120</v>
      </c>
      <c r="D174">
        <v>0.47905494924462999</v>
      </c>
      <c r="E174">
        <v>111.5014015045746</v>
      </c>
      <c r="F174">
        <v>55.531599514886686</v>
      </c>
      <c r="G174">
        <v>71.523406522145123</v>
      </c>
      <c r="H174">
        <v>66.965705934360713</v>
      </c>
      <c r="J174">
        <v>63.687267574582044</v>
      </c>
      <c r="L174">
        <v>5.248556890518346</v>
      </c>
      <c r="M174">
        <v>15.49757358004117</v>
      </c>
      <c r="N174">
        <v>1.9710928512479982</v>
      </c>
      <c r="O174">
        <v>28.191812002089968</v>
      </c>
      <c r="P174">
        <v>9.4198717034870096</v>
      </c>
      <c r="R174">
        <v>16.938902696159779</v>
      </c>
      <c r="S174">
        <v>50.287641068688494</v>
      </c>
      <c r="U174">
        <v>3.6476974931178989</v>
      </c>
      <c r="V174">
        <v>47.341168925867734</v>
      </c>
      <c r="W174">
        <v>29.882144864553577</v>
      </c>
      <c r="X174">
        <v>43.460040450485863</v>
      </c>
      <c r="Y174">
        <v>6.2743928241837175</v>
      </c>
      <c r="Z174">
        <v>28.683210866225373</v>
      </c>
      <c r="AA174">
        <v>4.5163581630750267</v>
      </c>
      <c r="AB174">
        <v>37.699502304861156</v>
      </c>
      <c r="AD174">
        <v>6.3251806521438567</v>
      </c>
      <c r="AE174">
        <v>13.063346153736932</v>
      </c>
      <c r="AF174">
        <v>15.102640347497051</v>
      </c>
      <c r="AG174">
        <v>23.547467312942754</v>
      </c>
      <c r="AH174">
        <v>2.7398165339660454</v>
      </c>
      <c r="AI174">
        <v>1.9052974300664023</v>
      </c>
      <c r="AK174">
        <v>52.208575310002161</v>
      </c>
    </row>
    <row r="175" spans="1:37" x14ac:dyDescent="0.2">
      <c r="A175">
        <v>174</v>
      </c>
      <c r="B175">
        <v>775</v>
      </c>
      <c r="C175">
        <v>120</v>
      </c>
      <c r="D175">
        <v>0.478491151075708</v>
      </c>
      <c r="E175">
        <v>110.79469203311662</v>
      </c>
      <c r="F175">
        <v>50.623694861678587</v>
      </c>
      <c r="G175">
        <v>70.781981687030978</v>
      </c>
      <c r="H175">
        <v>66.221579778135506</v>
      </c>
      <c r="J175">
        <v>61.448088884359663</v>
      </c>
      <c r="L175">
        <v>3.8587521894371095</v>
      </c>
      <c r="M175">
        <v>15.437997273329753</v>
      </c>
      <c r="N175">
        <v>1.9730479952859512</v>
      </c>
      <c r="O175">
        <v>23.088415416037279</v>
      </c>
      <c r="P175">
        <v>7.9602636359545258</v>
      </c>
      <c r="R175">
        <v>14.823821175939555</v>
      </c>
      <c r="S175">
        <v>46.8251509846395</v>
      </c>
      <c r="U175">
        <v>3.6605285930316898</v>
      </c>
      <c r="V175">
        <v>46.915330526849765</v>
      </c>
      <c r="W175">
        <v>29.70739371252234</v>
      </c>
      <c r="X175">
        <v>43.537086471889282</v>
      </c>
      <c r="Y175">
        <v>4.8185240279463679</v>
      </c>
      <c r="Z175">
        <v>25.377354129194504</v>
      </c>
      <c r="AA175">
        <v>3.1191430628202359</v>
      </c>
      <c r="AB175">
        <v>36.014266987783898</v>
      </c>
      <c r="AD175">
        <v>4.4047913090002213</v>
      </c>
      <c r="AE175">
        <v>11.645646534828705</v>
      </c>
      <c r="AF175">
        <v>15.041900367776607</v>
      </c>
      <c r="AG175">
        <v>21.847379082771283</v>
      </c>
      <c r="AH175">
        <v>0.51952781737538678</v>
      </c>
      <c r="AI175">
        <v>1.9069878996784153</v>
      </c>
      <c r="AK175">
        <v>50.831220233376229</v>
      </c>
    </row>
    <row r="176" spans="1:37" x14ac:dyDescent="0.2">
      <c r="A176">
        <v>175</v>
      </c>
      <c r="B176">
        <v>774</v>
      </c>
      <c r="C176">
        <v>120</v>
      </c>
      <c r="D176">
        <v>0.47792627608270499</v>
      </c>
      <c r="E176">
        <v>111.16586801572159</v>
      </c>
      <c r="F176">
        <v>50.57115186245106</v>
      </c>
      <c r="G176">
        <v>71.018424392443947</v>
      </c>
      <c r="H176">
        <v>66.455333819761748</v>
      </c>
      <c r="J176">
        <v>54.044354982486055</v>
      </c>
      <c r="L176">
        <v>2.5861079372904969</v>
      </c>
      <c r="M176">
        <v>15.273646885107842</v>
      </c>
      <c r="N176">
        <v>1.9750581517854009</v>
      </c>
      <c r="O176">
        <v>15.680975775149422</v>
      </c>
      <c r="P176">
        <v>8.4564529704709344</v>
      </c>
      <c r="R176">
        <v>13.408218824144404</v>
      </c>
      <c r="S176">
        <v>42.06945805221482</v>
      </c>
      <c r="U176">
        <v>3.720055933912279</v>
      </c>
      <c r="V176">
        <v>46.487856706829291</v>
      </c>
      <c r="W176">
        <v>29.392909724599267</v>
      </c>
      <c r="X176">
        <v>43.748820229450814</v>
      </c>
      <c r="Y176">
        <v>4.0859318213618376</v>
      </c>
      <c r="Z176">
        <v>22.87863263954744</v>
      </c>
      <c r="AA176">
        <v>1.5634038470928935</v>
      </c>
      <c r="AB176">
        <v>33.850464979144576</v>
      </c>
      <c r="AD176">
        <v>3.1313878494972398</v>
      </c>
      <c r="AE176">
        <v>9.9938186896173331</v>
      </c>
      <c r="AF176">
        <v>14.876441548909268</v>
      </c>
      <c r="AG176">
        <v>19.668781585627737</v>
      </c>
      <c r="AI176">
        <v>1.9087325857193211</v>
      </c>
      <c r="AK176">
        <v>46.092252345600258</v>
      </c>
    </row>
    <row r="177" spans="1:37" x14ac:dyDescent="0.2">
      <c r="A177">
        <v>176</v>
      </c>
      <c r="B177">
        <v>773</v>
      </c>
      <c r="C177">
        <v>120</v>
      </c>
      <c r="D177">
        <v>0.47736032117765198</v>
      </c>
      <c r="E177">
        <v>111.37341814200444</v>
      </c>
      <c r="F177">
        <v>50.431298017551143</v>
      </c>
      <c r="G177">
        <v>71.116529872005671</v>
      </c>
      <c r="H177">
        <v>66.550763312951062</v>
      </c>
      <c r="J177">
        <v>49.088708596150596</v>
      </c>
      <c r="L177">
        <v>1.3977198496441088</v>
      </c>
      <c r="M177">
        <v>15.066840256847776</v>
      </c>
      <c r="N177">
        <v>1.9770648660917021</v>
      </c>
      <c r="O177">
        <v>9.7317670547104296</v>
      </c>
      <c r="P177">
        <v>8.675971741199664</v>
      </c>
      <c r="R177">
        <v>12.058270108639901</v>
      </c>
      <c r="S177">
        <v>38.483666147892819</v>
      </c>
      <c r="U177">
        <v>3.7338737355512528</v>
      </c>
      <c r="V177">
        <v>46.379940034447635</v>
      </c>
      <c r="W177">
        <v>29.071990026294596</v>
      </c>
      <c r="X177">
        <v>43.829044342282245</v>
      </c>
      <c r="Y177">
        <v>3.2099713455247647</v>
      </c>
      <c r="Z177">
        <v>21.258724235171904</v>
      </c>
      <c r="AA177">
        <v>0.22294042458986951</v>
      </c>
      <c r="AB177">
        <v>32.761562780535144</v>
      </c>
      <c r="AD177">
        <v>2.2155172770198814</v>
      </c>
      <c r="AE177">
        <v>8.9969439182871795</v>
      </c>
      <c r="AF177">
        <v>14.668523283086456</v>
      </c>
      <c r="AG177">
        <v>18.565082874039224</v>
      </c>
      <c r="AI177">
        <v>1.91047303170396</v>
      </c>
      <c r="AK177">
        <v>42.845324605174469</v>
      </c>
    </row>
    <row r="178" spans="1:37" x14ac:dyDescent="0.2">
      <c r="A178">
        <v>177</v>
      </c>
      <c r="B178">
        <v>772</v>
      </c>
      <c r="C178">
        <v>120</v>
      </c>
      <c r="D178">
        <v>0.47679328326077502</v>
      </c>
      <c r="E178">
        <v>111.66642033856877</v>
      </c>
      <c r="F178">
        <v>50.153675154404198</v>
      </c>
      <c r="G178">
        <v>71.228203663168344</v>
      </c>
      <c r="H178">
        <v>66.659773815282023</v>
      </c>
      <c r="J178">
        <v>43.433329863333348</v>
      </c>
      <c r="L178">
        <v>1.4704858592814818</v>
      </c>
      <c r="M178">
        <v>14.699412618666289</v>
      </c>
      <c r="N178">
        <v>1.9790733039483797</v>
      </c>
      <c r="O178">
        <v>9.7418990458280206</v>
      </c>
      <c r="P178">
        <v>8.9226362104196451</v>
      </c>
      <c r="R178">
        <v>11.899352289405952</v>
      </c>
      <c r="S178">
        <v>38.45154151651127</v>
      </c>
      <c r="U178">
        <v>3.7393418452882408</v>
      </c>
      <c r="V178">
        <v>46.733845297823073</v>
      </c>
      <c r="W178">
        <v>28.597101406732449</v>
      </c>
      <c r="X178">
        <v>43.885460245151549</v>
      </c>
      <c r="Y178">
        <v>3.1255057953877232</v>
      </c>
      <c r="Z178">
        <v>19.025302598584425</v>
      </c>
      <c r="AB178">
        <v>31.551888296081753</v>
      </c>
      <c r="AD178">
        <v>1.101870552399965</v>
      </c>
      <c r="AE178">
        <v>7.6506812217468481</v>
      </c>
      <c r="AF178">
        <v>14.299985971558574</v>
      </c>
      <c r="AG178">
        <v>17.340616023476038</v>
      </c>
      <c r="AI178">
        <v>1.9122144015438292</v>
      </c>
      <c r="AK178">
        <v>39.055665803398121</v>
      </c>
    </row>
    <row r="179" spans="1:37" x14ac:dyDescent="0.2">
      <c r="A179">
        <v>178</v>
      </c>
      <c r="B179">
        <v>771</v>
      </c>
      <c r="C179">
        <v>120</v>
      </c>
      <c r="D179">
        <v>0.47622515922041903</v>
      </c>
      <c r="E179">
        <v>111.89808621124682</v>
      </c>
      <c r="F179">
        <v>50.194802746904962</v>
      </c>
      <c r="G179">
        <v>71.291688644144457</v>
      </c>
      <c r="H179">
        <v>66.720608225134896</v>
      </c>
      <c r="J179">
        <v>39.674447751352972</v>
      </c>
      <c r="L179">
        <v>1.4878972346333539</v>
      </c>
      <c r="M179">
        <v>14.326250124391963</v>
      </c>
      <c r="N179">
        <v>1.9810792478336803</v>
      </c>
      <c r="O179">
        <v>9.5764083450533715</v>
      </c>
      <c r="P179">
        <v>9.0729279387306363</v>
      </c>
      <c r="R179">
        <v>11.658181995998698</v>
      </c>
      <c r="S179">
        <v>38.532996975078888</v>
      </c>
      <c r="U179">
        <v>3.7289978276489197</v>
      </c>
      <c r="V179">
        <v>47.165519082827039</v>
      </c>
      <c r="W179">
        <v>28.128066947714245</v>
      </c>
      <c r="X179">
        <v>43.89657539106031</v>
      </c>
      <c r="Y179">
        <v>2.9785511045253004</v>
      </c>
      <c r="Z179">
        <v>17.757505801350902</v>
      </c>
      <c r="AB179">
        <v>31.047455284237927</v>
      </c>
      <c r="AD179">
        <v>0.43457753232624924</v>
      </c>
      <c r="AE179">
        <v>6.8904066330636944</v>
      </c>
      <c r="AF179">
        <v>13.925711556029004</v>
      </c>
      <c r="AG179">
        <v>16.821390580493293</v>
      </c>
      <c r="AI179">
        <v>1.9139524758843323</v>
      </c>
      <c r="AK179">
        <v>36.490550804456817</v>
      </c>
    </row>
    <row r="180" spans="1:37" x14ac:dyDescent="0.2">
      <c r="A180">
        <v>179</v>
      </c>
      <c r="B180">
        <v>807</v>
      </c>
      <c r="C180">
        <v>100</v>
      </c>
      <c r="D180">
        <v>0.516382446882378</v>
      </c>
      <c r="E180">
        <v>104.29456416899259</v>
      </c>
      <c r="F180">
        <v>77.115518689072914</v>
      </c>
      <c r="G180">
        <v>75.252653516728245</v>
      </c>
      <c r="H180">
        <v>70.784391311229015</v>
      </c>
      <c r="J180">
        <v>70.339090352593743</v>
      </c>
      <c r="L180">
        <v>11.230367495396486</v>
      </c>
      <c r="M180">
        <v>15.732399528032543</v>
      </c>
      <c r="N180">
        <v>2.1148094015869692</v>
      </c>
      <c r="O180">
        <v>54.63525425152946</v>
      </c>
      <c r="P180">
        <v>16.253136274004405</v>
      </c>
      <c r="Q180">
        <v>1.5703677055261538E-2</v>
      </c>
      <c r="R180">
        <v>26.559838459566183</v>
      </c>
      <c r="S180">
        <v>65.246728552855785</v>
      </c>
      <c r="U180">
        <v>4.6117349884933043</v>
      </c>
      <c r="V180">
        <v>48.170758082028314</v>
      </c>
      <c r="W180">
        <v>35.432194288534625</v>
      </c>
      <c r="X180">
        <v>42.433198839600522</v>
      </c>
      <c r="Y180">
        <v>12.631837852167498</v>
      </c>
      <c r="Z180">
        <v>42.248657567954474</v>
      </c>
      <c r="AA180">
        <v>10.672525231630599</v>
      </c>
      <c r="AB180">
        <v>43.814963797813341</v>
      </c>
      <c r="AC180">
        <v>0.2785195739706659</v>
      </c>
      <c r="AD180">
        <v>13.76883614532521</v>
      </c>
      <c r="AE180">
        <v>19.09514491464779</v>
      </c>
      <c r="AF180">
        <v>15.639812188436768</v>
      </c>
      <c r="AG180">
        <v>30.413875523164624</v>
      </c>
      <c r="AH180">
        <v>11.695571160063393</v>
      </c>
      <c r="AI180">
        <v>2.0545147991875101</v>
      </c>
      <c r="AK180">
        <v>55.442382609348769</v>
      </c>
    </row>
    <row r="181" spans="1:37" x14ac:dyDescent="0.2">
      <c r="A181">
        <v>180</v>
      </c>
      <c r="B181">
        <v>806</v>
      </c>
      <c r="C181">
        <v>100</v>
      </c>
      <c r="D181">
        <v>0.51586943427697896</v>
      </c>
      <c r="E181">
        <v>104.19130401018148</v>
      </c>
      <c r="F181">
        <v>76.719144136759425</v>
      </c>
      <c r="G181">
        <v>75.182490416125091</v>
      </c>
      <c r="H181">
        <v>70.711136045202778</v>
      </c>
      <c r="J181">
        <v>70.277723027728584</v>
      </c>
      <c r="L181">
        <v>11.125285380493576</v>
      </c>
      <c r="M181">
        <v>15.729591812472233</v>
      </c>
      <c r="N181">
        <v>2.1019673137785491</v>
      </c>
      <c r="O181">
        <v>54.120119846046798</v>
      </c>
      <c r="P181">
        <v>16.121030812965536</v>
      </c>
      <c r="R181">
        <v>26.393846356253736</v>
      </c>
      <c r="S181">
        <v>65.051714429944127</v>
      </c>
      <c r="U181">
        <v>4.5879639863684671</v>
      </c>
      <c r="V181">
        <v>48.175422224414213</v>
      </c>
      <c r="W181">
        <v>35.301186831049783</v>
      </c>
      <c r="X181">
        <v>42.414654196363585</v>
      </c>
      <c r="Y181">
        <v>12.518260760802118</v>
      </c>
      <c r="Z181">
        <v>42.027422559268075</v>
      </c>
      <c r="AA181">
        <v>10.561626591785432</v>
      </c>
      <c r="AB181">
        <v>43.759581894565201</v>
      </c>
      <c r="AC181">
        <v>0.26368085836370891</v>
      </c>
      <c r="AD181">
        <v>13.654175110760672</v>
      </c>
      <c r="AE181">
        <v>18.998137946711729</v>
      </c>
      <c r="AF181">
        <v>15.621035995030567</v>
      </c>
      <c r="AG181">
        <v>30.328797684022213</v>
      </c>
      <c r="AH181">
        <v>11.54760105040301</v>
      </c>
      <c r="AI181">
        <v>2.0414327114785178</v>
      </c>
      <c r="AK181">
        <v>55.415826006009269</v>
      </c>
    </row>
    <row r="182" spans="1:37" x14ac:dyDescent="0.2">
      <c r="A182">
        <v>181</v>
      </c>
      <c r="B182">
        <v>805</v>
      </c>
      <c r="C182">
        <v>100</v>
      </c>
      <c r="D182">
        <v>0.51535547001808601</v>
      </c>
      <c r="E182">
        <v>104.08702193270952</v>
      </c>
      <c r="F182">
        <v>76.284493820808336</v>
      </c>
      <c r="G182">
        <v>75.10496203998855</v>
      </c>
      <c r="H182">
        <v>70.630527558550767</v>
      </c>
      <c r="J182">
        <v>70.221514168052323</v>
      </c>
      <c r="L182">
        <v>11.005677106166244</v>
      </c>
      <c r="M182">
        <v>15.746916903955071</v>
      </c>
      <c r="N182">
        <v>2.0858070575146268</v>
      </c>
      <c r="O182">
        <v>53.539821324945223</v>
      </c>
      <c r="P182">
        <v>15.970883297649989</v>
      </c>
      <c r="R182">
        <v>26.23176594547169</v>
      </c>
      <c r="S182">
        <v>64.926503278475508</v>
      </c>
      <c r="U182">
        <v>4.5802833460726067</v>
      </c>
      <c r="V182">
        <v>48.214234924189839</v>
      </c>
      <c r="W182">
        <v>35.189068712978781</v>
      </c>
      <c r="X182">
        <v>42.449424587113008</v>
      </c>
      <c r="Y182">
        <v>12.38816943001086</v>
      </c>
      <c r="Z182">
        <v>41.783899951563221</v>
      </c>
      <c r="AA182">
        <v>10.434949624472749</v>
      </c>
      <c r="AB182">
        <v>43.73150264489005</v>
      </c>
      <c r="AC182">
        <v>0.24552413880436505</v>
      </c>
      <c r="AD182">
        <v>13.526243881092629</v>
      </c>
      <c r="AE182">
        <v>18.893625746873433</v>
      </c>
      <c r="AF182">
        <v>15.619074514195578</v>
      </c>
      <c r="AG182">
        <v>30.267706577258874</v>
      </c>
      <c r="AH182">
        <v>11.380668917691116</v>
      </c>
      <c r="AI182">
        <v>2.025031715705365</v>
      </c>
      <c r="AK182">
        <v>55.381067642200762</v>
      </c>
    </row>
    <row r="183" spans="1:37" x14ac:dyDescent="0.2">
      <c r="A183">
        <v>182</v>
      </c>
      <c r="B183">
        <v>804</v>
      </c>
      <c r="C183">
        <v>100</v>
      </c>
      <c r="D183">
        <v>0.514840551455232</v>
      </c>
      <c r="E183">
        <v>103.98319573010286</v>
      </c>
      <c r="F183">
        <v>75.850906152718906</v>
      </c>
      <c r="G183">
        <v>75.027474682154889</v>
      </c>
      <c r="H183">
        <v>70.549972164061217</v>
      </c>
      <c r="J183">
        <v>70.164375333578292</v>
      </c>
      <c r="L183">
        <v>10.885729771286519</v>
      </c>
      <c r="M183">
        <v>15.764404442836669</v>
      </c>
      <c r="N183">
        <v>2.069613045536165</v>
      </c>
      <c r="O183">
        <v>52.959731938508696</v>
      </c>
      <c r="P183">
        <v>15.820790748312929</v>
      </c>
      <c r="R183">
        <v>26.068603436315094</v>
      </c>
      <c r="S183">
        <v>64.797292190242459</v>
      </c>
      <c r="U183">
        <v>4.5730018955709193</v>
      </c>
      <c r="V183">
        <v>48.251546497407901</v>
      </c>
      <c r="W183">
        <v>35.077666970446636</v>
      </c>
      <c r="X183">
        <v>42.485635202527227</v>
      </c>
      <c r="Y183">
        <v>12.258079781157964</v>
      </c>
      <c r="Z183">
        <v>41.540566621406427</v>
      </c>
      <c r="AA183">
        <v>10.308193329709349</v>
      </c>
      <c r="AB183">
        <v>43.701160504191705</v>
      </c>
      <c r="AC183">
        <v>0.22733382760518858</v>
      </c>
      <c r="AD183">
        <v>13.398285057610106</v>
      </c>
      <c r="AE183">
        <v>18.789203406102249</v>
      </c>
      <c r="AF183">
        <v>15.617241804038194</v>
      </c>
      <c r="AG183">
        <v>30.204321076095795</v>
      </c>
      <c r="AH183">
        <v>11.213598704751346</v>
      </c>
      <c r="AI183">
        <v>2.0085962228013172</v>
      </c>
      <c r="AK183">
        <v>55.346435384565062</v>
      </c>
    </row>
    <row r="184" spans="1:37" x14ac:dyDescent="0.2">
      <c r="A184">
        <v>183</v>
      </c>
      <c r="B184">
        <v>803</v>
      </c>
      <c r="C184">
        <v>100</v>
      </c>
      <c r="D184">
        <v>0.51432467592807896</v>
      </c>
      <c r="E184">
        <v>103.87982667725571</v>
      </c>
      <c r="F184">
        <v>75.418409924582079</v>
      </c>
      <c r="G184">
        <v>74.950037596760268</v>
      </c>
      <c r="H184">
        <v>70.469479134856684</v>
      </c>
      <c r="J184">
        <v>70.106305431669256</v>
      </c>
      <c r="L184">
        <v>10.765468851232358</v>
      </c>
      <c r="M184">
        <v>15.782040857379464</v>
      </c>
      <c r="N184">
        <v>2.0533866649690928</v>
      </c>
      <c r="O184">
        <v>52.379908558883848</v>
      </c>
      <c r="P184">
        <v>15.67077308024826</v>
      </c>
      <c r="R184">
        <v>25.904398693962225</v>
      </c>
      <c r="S184">
        <v>64.664055220582256</v>
      </c>
      <c r="U184">
        <v>4.5661051479193446</v>
      </c>
      <c r="V184">
        <v>48.287351797895887</v>
      </c>
      <c r="W184">
        <v>34.966977741788476</v>
      </c>
      <c r="X184">
        <v>42.523242449227681</v>
      </c>
      <c r="Y184">
        <v>12.128009723395747</v>
      </c>
      <c r="Z184">
        <v>41.297429638985349</v>
      </c>
      <c r="AA184">
        <v>10.181374059360925</v>
      </c>
      <c r="AB184">
        <v>43.668536316524786</v>
      </c>
      <c r="AC184">
        <v>0.20911131146335077</v>
      </c>
      <c r="AD184">
        <v>13.270310849162867</v>
      </c>
      <c r="AE184">
        <v>18.684866603469235</v>
      </c>
      <c r="AF184">
        <v>15.615525684970684</v>
      </c>
      <c r="AG184">
        <v>30.138623416805867</v>
      </c>
      <c r="AH184">
        <v>11.046417655385921</v>
      </c>
      <c r="AI184">
        <v>1.9921276180839076</v>
      </c>
      <c r="AK184">
        <v>55.311933515528246</v>
      </c>
    </row>
    <row r="185" spans="1:37" x14ac:dyDescent="0.2">
      <c r="A185">
        <v>184</v>
      </c>
      <c r="B185">
        <v>802</v>
      </c>
      <c r="C185">
        <v>100</v>
      </c>
      <c r="D185">
        <v>0.51380784076640695</v>
      </c>
      <c r="E185">
        <v>103.77691575340441</v>
      </c>
      <c r="F185">
        <v>74.98703282298051</v>
      </c>
      <c r="G185">
        <v>74.872659914618666</v>
      </c>
      <c r="H185">
        <v>70.389057620773869</v>
      </c>
      <c r="J185">
        <v>70.047305220498146</v>
      </c>
      <c r="L185">
        <v>10.644919458541871</v>
      </c>
      <c r="M185">
        <v>15.799812457324142</v>
      </c>
      <c r="N185">
        <v>2.0371293054721868</v>
      </c>
      <c r="O185">
        <v>51.80040732847133</v>
      </c>
      <c r="P185">
        <v>15.520849964687722</v>
      </c>
      <c r="R185">
        <v>25.739191613712482</v>
      </c>
      <c r="S185">
        <v>64.526773970010936</v>
      </c>
      <c r="U185">
        <v>4.5595783728865591</v>
      </c>
      <c r="V185">
        <v>48.321647977838651</v>
      </c>
      <c r="W185">
        <v>34.856996736711224</v>
      </c>
      <c r="X185">
        <v>42.562202022251071</v>
      </c>
      <c r="Y185">
        <v>11.9979769645382</v>
      </c>
      <c r="Z185">
        <v>41.054495629329161</v>
      </c>
      <c r="AA185">
        <v>10.054585042898434</v>
      </c>
      <c r="AB185">
        <v>43.633614914837118</v>
      </c>
      <c r="AC185">
        <v>0.19085797960793974</v>
      </c>
      <c r="AD185">
        <v>13.142333244549063</v>
      </c>
      <c r="AE185">
        <v>18.58061086866352</v>
      </c>
      <c r="AF185">
        <v>15.613913861423981</v>
      </c>
      <c r="AG185">
        <v>30.070599827103774</v>
      </c>
      <c r="AH185">
        <v>10.879152697513591</v>
      </c>
      <c r="AI185">
        <v>1.9756272894017717</v>
      </c>
      <c r="AK185">
        <v>55.277566171717858</v>
      </c>
    </row>
    <row r="186" spans="1:37" x14ac:dyDescent="0.2">
      <c r="A186">
        <v>185</v>
      </c>
      <c r="B186">
        <v>801</v>
      </c>
      <c r="C186">
        <v>100</v>
      </c>
      <c r="D186">
        <v>0.51329004329004402</v>
      </c>
      <c r="E186">
        <v>103.67446365083256</v>
      </c>
      <c r="F186">
        <v>74.55680136497898</v>
      </c>
      <c r="G186">
        <v>74.795350620082203</v>
      </c>
      <c r="H186">
        <v>70.308716625220697</v>
      </c>
      <c r="J186">
        <v>69.987377206582778</v>
      </c>
      <c r="L186">
        <v>10.52410628703063</v>
      </c>
      <c r="M186">
        <v>15.817705470344421</v>
      </c>
      <c r="N186">
        <v>2.0208423521784624</v>
      </c>
      <c r="O186">
        <v>51.221283497359863</v>
      </c>
      <c r="P186">
        <v>15.371040775472668</v>
      </c>
      <c r="R186">
        <v>25.573021973531457</v>
      </c>
      <c r="S186">
        <v>64.385437279376873</v>
      </c>
      <c r="U186">
        <v>4.553406646838746</v>
      </c>
      <c r="V186">
        <v>48.354434369141337</v>
      </c>
      <c r="W186">
        <v>34.747719278607505</v>
      </c>
      <c r="X186">
        <v>42.60246905865003</v>
      </c>
      <c r="Y186">
        <v>11.867998962975307</v>
      </c>
      <c r="Z186">
        <v>40.81177074117759</v>
      </c>
      <c r="AA186">
        <v>9.9276835014468965</v>
      </c>
      <c r="AB186">
        <v>43.59638497355656</v>
      </c>
      <c r="AC186">
        <v>0.17257521674309639</v>
      </c>
      <c r="AD186">
        <v>13.014363978799405</v>
      </c>
      <c r="AE186">
        <v>18.476431584115716</v>
      </c>
      <c r="AF186">
        <v>15.612393951253051</v>
      </c>
      <c r="AG186">
        <v>30.000240371671502</v>
      </c>
      <c r="AH186">
        <v>10.711830381146521</v>
      </c>
      <c r="AI186">
        <v>1.9590966200780149</v>
      </c>
      <c r="AK186">
        <v>55.243337325437025</v>
      </c>
    </row>
    <row r="187" spans="1:37" x14ac:dyDescent="0.2">
      <c r="A187">
        <v>186</v>
      </c>
      <c r="B187">
        <v>800</v>
      </c>
      <c r="C187">
        <v>100</v>
      </c>
      <c r="D187">
        <v>0.51277128080883805</v>
      </c>
      <c r="E187">
        <v>103.57247078449863</v>
      </c>
      <c r="F187">
        <v>74.127740846187777</v>
      </c>
      <c r="G187">
        <v>74.718118530462462</v>
      </c>
      <c r="H187">
        <v>70.228464984602738</v>
      </c>
      <c r="J187">
        <v>69.926525539647642</v>
      </c>
      <c r="L187">
        <v>10.403053564422665</v>
      </c>
      <c r="M187">
        <v>15.835706075947634</v>
      </c>
      <c r="N187">
        <v>2.0045271792842971</v>
      </c>
      <c r="O187">
        <v>50.642591278724005</v>
      </c>
      <c r="P187">
        <v>15.221364541475578</v>
      </c>
      <c r="R187">
        <v>25.405929297582279</v>
      </c>
      <c r="S187">
        <v>64.240040902062105</v>
      </c>
      <c r="U187">
        <v>4.5475748996279721</v>
      </c>
      <c r="V187">
        <v>48.385712359906066</v>
      </c>
      <c r="W187">
        <v>34.639140345530805</v>
      </c>
      <c r="X187">
        <v>42.643998280310569</v>
      </c>
      <c r="Y187">
        <v>11.73809288472563</v>
      </c>
      <c r="Z187">
        <v>40.569260621489093</v>
      </c>
      <c r="AA187">
        <v>9.800767384505539</v>
      </c>
      <c r="AB187">
        <v>43.556838848704764</v>
      </c>
      <c r="AC187">
        <v>0.15426439663469449</v>
      </c>
      <c r="AD187">
        <v>12.886414515218263</v>
      </c>
      <c r="AE187">
        <v>18.372323988356392</v>
      </c>
      <c r="AF187">
        <v>15.610953513218339</v>
      </c>
      <c r="AG187">
        <v>29.927538785867391</v>
      </c>
      <c r="AH187">
        <v>10.544476822703677</v>
      </c>
      <c r="AI187">
        <v>1.9425369824970107</v>
      </c>
      <c r="AK187">
        <v>55.209250769011703</v>
      </c>
    </row>
    <row r="188" spans="1:37" x14ac:dyDescent="0.2">
      <c r="A188">
        <v>187</v>
      </c>
      <c r="B188">
        <v>799</v>
      </c>
      <c r="C188">
        <v>100</v>
      </c>
      <c r="D188">
        <v>0.51225155062258299</v>
      </c>
      <c r="E188">
        <v>103.47093730218549</v>
      </c>
      <c r="F188">
        <v>73.699875302110541</v>
      </c>
      <c r="G188">
        <v>74.640972278356998</v>
      </c>
      <c r="H188">
        <v>70.148311350645486</v>
      </c>
      <c r="J188">
        <v>69.864755906513722</v>
      </c>
      <c r="L188">
        <v>10.281785013050358</v>
      </c>
      <c r="M188">
        <v>15.853800435583242</v>
      </c>
      <c r="N188">
        <v>1.9881851445105068</v>
      </c>
      <c r="O188">
        <v>50.064383725881228</v>
      </c>
      <c r="P188">
        <v>15.071839905723394</v>
      </c>
      <c r="R188">
        <v>25.237952731216769</v>
      </c>
      <c r="S188">
        <v>64.090587156600492</v>
      </c>
      <c r="U188">
        <v>4.5420679572880838</v>
      </c>
      <c r="V188">
        <v>48.415485266350373</v>
      </c>
      <c r="W188">
        <v>34.53125460822902</v>
      </c>
      <c r="X188">
        <v>42.686744125074618</v>
      </c>
      <c r="Y188">
        <v>11.608275566455969</v>
      </c>
      <c r="Z188">
        <v>40.326970396943423</v>
      </c>
      <c r="AA188">
        <v>9.6738523075562988</v>
      </c>
      <c r="AB188">
        <v>43.514972408025351</v>
      </c>
      <c r="AC188">
        <v>0.13592687657327854</v>
      </c>
      <c r="AD188">
        <v>12.758496001990549</v>
      </c>
      <c r="AE188">
        <v>18.268283181162083</v>
      </c>
      <c r="AF188">
        <v>15.609580071556396</v>
      </c>
      <c r="AG188">
        <v>29.852492300310633</v>
      </c>
      <c r="AH188">
        <v>10.377117656648949</v>
      </c>
      <c r="AI188">
        <v>1.9259497325673374</v>
      </c>
      <c r="AK188">
        <v>55.175310102399472</v>
      </c>
    </row>
    <row r="189" spans="1:37" x14ac:dyDescent="0.2">
      <c r="A189">
        <v>188</v>
      </c>
      <c r="B189">
        <v>798</v>
      </c>
      <c r="C189">
        <v>100</v>
      </c>
      <c r="D189">
        <v>0.51173085002101004</v>
      </c>
      <c r="E189">
        <v>103.36986309481379</v>
      </c>
      <c r="F189">
        <v>73.273227478047104</v>
      </c>
      <c r="G189">
        <v>74.563920296017642</v>
      </c>
      <c r="H189">
        <v>70.068264174764153</v>
      </c>
      <c r="J189">
        <v>69.802075425985848</v>
      </c>
      <c r="L189">
        <v>10.160323816273397</v>
      </c>
      <c r="M189">
        <v>15.871974721129185</v>
      </c>
      <c r="N189">
        <v>1.9718175840811187</v>
      </c>
      <c r="O189">
        <v>49.486712623642127</v>
      </c>
      <c r="P189">
        <v>14.922485089104102</v>
      </c>
      <c r="R189">
        <v>25.069130928149097</v>
      </c>
      <c r="S189">
        <v>63.937084572908823</v>
      </c>
      <c r="U189">
        <v>4.5368705822142337</v>
      </c>
      <c r="V189">
        <v>48.443758205555433</v>
      </c>
      <c r="W189">
        <v>34.424056466997939</v>
      </c>
      <c r="X189">
        <v>42.73066086559124</v>
      </c>
      <c r="Y189">
        <v>11.478563482579718</v>
      </c>
      <c r="Z189">
        <v>40.084904660054427</v>
      </c>
      <c r="AA189">
        <v>9.5469536059542293</v>
      </c>
      <c r="AB189">
        <v>43.470784857093413</v>
      </c>
      <c r="AC189">
        <v>0.11756399235237261</v>
      </c>
      <c r="AD189">
        <v>12.630619271869236</v>
      </c>
      <c r="AE189">
        <v>18.164304129772116</v>
      </c>
      <c r="AF189">
        <v>15.608261139449908</v>
      </c>
      <c r="AG189">
        <v>29.775101461969545</v>
      </c>
      <c r="AH189">
        <v>10.209777992725645</v>
      </c>
      <c r="AI189">
        <v>1.9093362047000868</v>
      </c>
      <c r="AK189">
        <v>55.141518723107907</v>
      </c>
    </row>
    <row r="190" spans="1:37" x14ac:dyDescent="0.2">
      <c r="A190">
        <v>189</v>
      </c>
      <c r="B190">
        <v>797</v>
      </c>
      <c r="C190">
        <v>100</v>
      </c>
      <c r="D190">
        <v>0.511209176283699</v>
      </c>
      <c r="E190">
        <v>103.26924780705725</v>
      </c>
      <c r="F190">
        <v>72.847818812415909</v>
      </c>
      <c r="G190">
        <v>74.486970802611438</v>
      </c>
      <c r="H190">
        <v>69.988331695326835</v>
      </c>
      <c r="J190">
        <v>69.738492546692086</v>
      </c>
      <c r="L190">
        <v>10.038692592089486</v>
      </c>
      <c r="M190">
        <v>15.890215139590802</v>
      </c>
      <c r="N190">
        <v>1.9554258087455783</v>
      </c>
      <c r="O190">
        <v>48.90962840185621</v>
      </c>
      <c r="P190">
        <v>14.773317860921573</v>
      </c>
      <c r="R190">
        <v>24.899501950536209</v>
      </c>
      <c r="S190">
        <v>63.779547531851165</v>
      </c>
      <c r="U190">
        <v>4.5319675086361428</v>
      </c>
      <c r="V190">
        <v>48.470537967738281</v>
      </c>
      <c r="W190">
        <v>34.317540084250027</v>
      </c>
      <c r="X190">
        <v>42.775702727132867</v>
      </c>
      <c r="Y190">
        <v>11.348972718470838</v>
      </c>
      <c r="Z190">
        <v>39.84306746265127</v>
      </c>
      <c r="AA190">
        <v>9.4201601872645764</v>
      </c>
      <c r="AB190">
        <v>43.42427856221056</v>
      </c>
      <c r="AC190">
        <v>9.9177054290452288E-2</v>
      </c>
      <c r="AD190">
        <v>12.502794816663121</v>
      </c>
      <c r="AE190">
        <v>18.060381677155146</v>
      </c>
      <c r="AF190">
        <v>15.606984239744268</v>
      </c>
      <c r="AG190">
        <v>29.695369953081244</v>
      </c>
      <c r="AH190">
        <v>10.042482378827938</v>
      </c>
      <c r="AI190">
        <v>1.8926977078303717</v>
      </c>
      <c r="AK190">
        <v>55.10787981996689</v>
      </c>
    </row>
    <row r="191" spans="1:37" x14ac:dyDescent="0.2">
      <c r="A191">
        <v>190</v>
      </c>
      <c r="B191">
        <v>796</v>
      </c>
      <c r="C191">
        <v>100</v>
      </c>
      <c r="D191">
        <v>0.51068652668007097</v>
      </c>
      <c r="E191">
        <v>103.16909084739923</v>
      </c>
      <c r="F191">
        <v>72.423669428287042</v>
      </c>
      <c r="G191">
        <v>74.410131793571168</v>
      </c>
      <c r="H191">
        <v>69.908521927001885</v>
      </c>
      <c r="J191">
        <v>69.674016948689797</v>
      </c>
      <c r="L191">
        <v>9.9169133720229699</v>
      </c>
      <c r="M191">
        <v>15.908507955336376</v>
      </c>
      <c r="N191">
        <v>1.9390111004760451</v>
      </c>
      <c r="O191">
        <v>48.333180064964971</v>
      </c>
      <c r="P191">
        <v>14.62435551428513</v>
      </c>
      <c r="R191">
        <v>24.729103181240919</v>
      </c>
      <c r="S191">
        <v>63.617995906987538</v>
      </c>
      <c r="U191">
        <v>4.5273434747086743</v>
      </c>
      <c r="V191">
        <v>48.495832891197871</v>
      </c>
      <c r="W191">
        <v>34.211699414335001</v>
      </c>
      <c r="X191">
        <v>42.821823970019025</v>
      </c>
      <c r="Y191">
        <v>11.21951894799388</v>
      </c>
      <c r="Z191">
        <v>39.601462315004184</v>
      </c>
      <c r="AA191">
        <v>9.2933345312310855</v>
      </c>
      <c r="AB191">
        <v>43.375458874639413</v>
      </c>
      <c r="AC191">
        <v>8.0767343928242044E-2</v>
      </c>
      <c r="AD191">
        <v>12.375032777293486</v>
      </c>
      <c r="AE191">
        <v>17.956510551975338</v>
      </c>
      <c r="AF191">
        <v>15.605736923884844</v>
      </c>
      <c r="AG191">
        <v>29.613304412084631</v>
      </c>
      <c r="AH191">
        <v>9.8752547728175823</v>
      </c>
      <c r="AI191">
        <v>1.8760355221154363</v>
      </c>
      <c r="AK191">
        <v>55.074396369323168</v>
      </c>
    </row>
    <row r="192" spans="1:37" x14ac:dyDescent="0.2">
      <c r="A192">
        <v>191</v>
      </c>
      <c r="B192">
        <v>795</v>
      </c>
      <c r="C192">
        <v>100</v>
      </c>
      <c r="D192">
        <v>0.51016289846931695</v>
      </c>
      <c r="E192">
        <v>103.06939139820626</v>
      </c>
      <c r="F192">
        <v>72.000798135829825</v>
      </c>
      <c r="G192">
        <v>74.333411032288936</v>
      </c>
      <c r="H192">
        <v>69.828842652452778</v>
      </c>
      <c r="J192">
        <v>69.608659451251526</v>
      </c>
      <c r="L192">
        <v>9.795007585941196</v>
      </c>
      <c r="M192">
        <v>15.926839509785772</v>
      </c>
      <c r="N192">
        <v>1.9225747101307051</v>
      </c>
      <c r="O192">
        <v>47.757415139783895</v>
      </c>
      <c r="P192">
        <v>14.47561484716296</v>
      </c>
      <c r="R192">
        <v>24.557971249600829</v>
      </c>
      <c r="S192">
        <v>63.4524547137149</v>
      </c>
      <c r="U192">
        <v>4.5229832505994363</v>
      </c>
      <c r="V192">
        <v>48.519652741663116</v>
      </c>
      <c r="W192">
        <v>34.106528229098288</v>
      </c>
      <c r="X192">
        <v>42.868978982833191</v>
      </c>
      <c r="Y192">
        <v>11.090217416086039</v>
      </c>
      <c r="Z192">
        <v>39.360092191317499</v>
      </c>
      <c r="AA192">
        <v>9.1665695683056843</v>
      </c>
      <c r="AB192">
        <v>43.324333958624685</v>
      </c>
      <c r="AC192">
        <v>6.2336111692259638E-2</v>
      </c>
      <c r="AD192">
        <v>12.247342935942703</v>
      </c>
      <c r="AE192">
        <v>17.852685380486069</v>
      </c>
      <c r="AF192">
        <v>15.604506789261018</v>
      </c>
      <c r="AG192">
        <v>29.528914259300102</v>
      </c>
      <c r="AH192">
        <v>9.7081185168879109</v>
      </c>
      <c r="AI192">
        <v>1.8593508965979699</v>
      </c>
      <c r="AK192">
        <v>55.041071134924934</v>
      </c>
    </row>
    <row r="193" spans="1:37" x14ac:dyDescent="0.2">
      <c r="A193">
        <v>192</v>
      </c>
      <c r="B193">
        <v>794</v>
      </c>
      <c r="C193">
        <v>100</v>
      </c>
      <c r="D193">
        <v>0.50963828890034402</v>
      </c>
      <c r="E193">
        <v>102.97014842505931</v>
      </c>
      <c r="F193">
        <v>71.579222442615745</v>
      </c>
      <c r="G193">
        <v>74.256816043717919</v>
      </c>
      <c r="H193">
        <v>69.749301415940408</v>
      </c>
      <c r="J193">
        <v>69.542431927260679</v>
      </c>
      <c r="L193">
        <v>9.672996051777325</v>
      </c>
      <c r="M193">
        <v>15.945196238845483</v>
      </c>
      <c r="N193">
        <v>1.9061178559156911</v>
      </c>
      <c r="O193">
        <v>47.182379638716149</v>
      </c>
      <c r="P193">
        <v>14.327112148050222</v>
      </c>
      <c r="R193">
        <v>24.386141969612371</v>
      </c>
      <c r="S193">
        <v>63.282953770042781</v>
      </c>
      <c r="U193">
        <v>4.5188716630342114</v>
      </c>
      <c r="V193">
        <v>48.542008597097265</v>
      </c>
      <c r="W193">
        <v>34.002020139567655</v>
      </c>
      <c r="X193">
        <v>42.917122353410818</v>
      </c>
      <c r="Y193">
        <v>10.961082925451946</v>
      </c>
      <c r="Z193">
        <v>39.118959541119757</v>
      </c>
      <c r="AA193">
        <v>9.0398792752900192</v>
      </c>
      <c r="AB193">
        <v>43.270914625914358</v>
      </c>
      <c r="AC193">
        <v>4.3884575356271348E-2</v>
      </c>
      <c r="AD193">
        <v>12.119734711798269</v>
      </c>
      <c r="AE193">
        <v>17.748900700456925</v>
      </c>
      <c r="AF193">
        <v>15.6032814951141</v>
      </c>
      <c r="AG193">
        <v>29.442211529914989</v>
      </c>
      <c r="AH193">
        <v>9.5410963217406515</v>
      </c>
      <c r="AI193">
        <v>1.8426450476668619</v>
      </c>
      <c r="AK193">
        <v>55.007906670651444</v>
      </c>
    </row>
    <row r="194" spans="1:37" x14ac:dyDescent="0.2">
      <c r="A194">
        <v>193</v>
      </c>
      <c r="B194">
        <v>793</v>
      </c>
      <c r="C194">
        <v>100</v>
      </c>
      <c r="D194">
        <v>0.50911269521174396</v>
      </c>
      <c r="E194">
        <v>102.87136068541082</v>
      </c>
      <c r="F194">
        <v>71.158958573284536</v>
      </c>
      <c r="G194">
        <v>74.180354110040852</v>
      </c>
      <c r="H194">
        <v>69.669905518991087</v>
      </c>
      <c r="J194">
        <v>69.475347225783949</v>
      </c>
      <c r="L194">
        <v>9.5508989706508185</v>
      </c>
      <c r="M194">
        <v>15.963564687680117</v>
      </c>
      <c r="N194">
        <v>1.8896417228590017</v>
      </c>
      <c r="O194">
        <v>46.608118040391538</v>
      </c>
      <c r="P194">
        <v>14.17886318677526</v>
      </c>
      <c r="R194">
        <v>24.213650290792895</v>
      </c>
      <c r="S194">
        <v>63.10952737187695</v>
      </c>
      <c r="U194">
        <v>4.5149936157000017</v>
      </c>
      <c r="V194">
        <v>48.56291273842627</v>
      </c>
      <c r="W194">
        <v>33.898168612484227</v>
      </c>
      <c r="X194">
        <v>42.966208928937782</v>
      </c>
      <c r="Y194">
        <v>10.832129827856564</v>
      </c>
      <c r="Z194">
        <v>38.878066307417328</v>
      </c>
      <c r="AA194">
        <v>8.9132772534539697</v>
      </c>
      <c r="AB194">
        <v>43.215214178549417</v>
      </c>
      <c r="AC194">
        <v>2.5413919516142369E-2</v>
      </c>
      <c r="AD194">
        <v>11.992217160844838</v>
      </c>
      <c r="AE194">
        <v>17.645150977544599</v>
      </c>
      <c r="AF194">
        <v>15.602048776771881</v>
      </c>
      <c r="AG194">
        <v>29.353210716248959</v>
      </c>
      <c r="AH194">
        <v>9.3742102488780468</v>
      </c>
      <c r="AI194">
        <v>1.825919158532868</v>
      </c>
      <c r="AK194">
        <v>54.974905326760421</v>
      </c>
    </row>
    <row r="195" spans="1:37" x14ac:dyDescent="0.2">
      <c r="A195">
        <v>194</v>
      </c>
      <c r="B195">
        <v>792</v>
      </c>
      <c r="C195">
        <v>100</v>
      </c>
      <c r="D195">
        <v>0.50858611463174297</v>
      </c>
      <c r="E195">
        <v>102.77302673617858</v>
      </c>
      <c r="F195">
        <v>70.740021494778077</v>
      </c>
      <c r="G195">
        <v>74.104032267705676</v>
      </c>
      <c r="H195">
        <v>69.590662017433587</v>
      </c>
      <c r="J195">
        <v>69.407419103201221</v>
      </c>
      <c r="L195">
        <v>9.4287359258756656</v>
      </c>
      <c r="M195">
        <v>15.981931524186988</v>
      </c>
      <c r="N195">
        <v>1.873147463022145</v>
      </c>
      <c r="O195">
        <v>46.034673282300986</v>
      </c>
      <c r="P195">
        <v>14.030883208788266</v>
      </c>
      <c r="R195">
        <v>24.040530260896297</v>
      </c>
      <c r="S195">
        <v>62.932213988725742</v>
      </c>
      <c r="U195">
        <v>4.5113341067779889</v>
      </c>
      <c r="V195">
        <v>48.582378548473365</v>
      </c>
      <c r="W195">
        <v>33.794966982853644</v>
      </c>
      <c r="X195">
        <v>43.016193866150445</v>
      </c>
      <c r="Y195">
        <v>10.703372018501472</v>
      </c>
      <c r="Z195">
        <v>38.63741395016833</v>
      </c>
      <c r="AA195">
        <v>8.7867767221618998</v>
      </c>
      <c r="AB195">
        <v>43.157248262848064</v>
      </c>
      <c r="AC195">
        <v>6.9252958006649906E-3</v>
      </c>
      <c r="AD195">
        <v>11.864798978618769</v>
      </c>
      <c r="AE195">
        <v>17.541430623832039</v>
      </c>
      <c r="AF195">
        <v>15.600796459344688</v>
      </c>
      <c r="AG195">
        <v>29.261928621951029</v>
      </c>
      <c r="AH195">
        <v>9.2074817057314302</v>
      </c>
      <c r="AI195">
        <v>1.8091743794395547</v>
      </c>
      <c r="AK195">
        <v>54.942069258758842</v>
      </c>
    </row>
    <row r="196" spans="1:37" x14ac:dyDescent="0.2">
      <c r="A196">
        <v>195</v>
      </c>
      <c r="B196">
        <v>791</v>
      </c>
      <c r="C196">
        <v>100</v>
      </c>
      <c r="D196">
        <v>0.50805854437814801</v>
      </c>
      <c r="E196">
        <v>102.59966555241044</v>
      </c>
      <c r="F196">
        <v>69.89087694444342</v>
      </c>
      <c r="G196">
        <v>73.955251910892585</v>
      </c>
      <c r="H196">
        <v>69.43897232486475</v>
      </c>
      <c r="J196">
        <v>69.188629961877481</v>
      </c>
      <c r="L196">
        <v>9.1889685084907473</v>
      </c>
      <c r="M196">
        <v>16.003353850062364</v>
      </c>
      <c r="N196">
        <v>1.8679856679617564</v>
      </c>
      <c r="O196">
        <v>45.0353773289687</v>
      </c>
      <c r="P196">
        <v>13.749325614554625</v>
      </c>
      <c r="R196">
        <v>23.706633615289267</v>
      </c>
      <c r="S196">
        <v>62.519966947173458</v>
      </c>
      <c r="U196">
        <v>4.5054093930943786</v>
      </c>
      <c r="V196">
        <v>48.581036742748012</v>
      </c>
      <c r="W196">
        <v>33.620806608438421</v>
      </c>
      <c r="X196">
        <v>43.050282727372355</v>
      </c>
      <c r="Y196">
        <v>10.438998419975972</v>
      </c>
      <c r="Z196">
        <v>38.159456151509609</v>
      </c>
      <c r="AA196">
        <v>8.5406930809546022</v>
      </c>
      <c r="AB196">
        <v>43.02001137289713</v>
      </c>
      <c r="AD196">
        <v>11.590256654329039</v>
      </c>
      <c r="AE196">
        <v>17.352262033264964</v>
      </c>
      <c r="AF196">
        <v>15.613932241245877</v>
      </c>
      <c r="AG196">
        <v>29.102710337943869</v>
      </c>
      <c r="AH196">
        <v>8.8321331046578937</v>
      </c>
      <c r="AI196">
        <v>1.803761300124102</v>
      </c>
      <c r="AK196">
        <v>54.806564594770826</v>
      </c>
    </row>
    <row r="197" spans="1:37" x14ac:dyDescent="0.2">
      <c r="A197">
        <v>196</v>
      </c>
      <c r="B197">
        <v>790</v>
      </c>
      <c r="C197">
        <v>100</v>
      </c>
      <c r="D197">
        <v>0.507529981658283</v>
      </c>
      <c r="E197">
        <v>102.37147838636142</v>
      </c>
      <c r="F197">
        <v>68.705575739891685</v>
      </c>
      <c r="G197">
        <v>73.7499803663232</v>
      </c>
      <c r="H197">
        <v>69.230803787459678</v>
      </c>
      <c r="J197">
        <v>68.834727606854088</v>
      </c>
      <c r="L197">
        <v>8.8538738628468714</v>
      </c>
      <c r="M197">
        <v>16.028446196472167</v>
      </c>
      <c r="N197">
        <v>1.8699706582057842</v>
      </c>
      <c r="O197">
        <v>43.694619804138554</v>
      </c>
      <c r="P197">
        <v>13.361939398646893</v>
      </c>
      <c r="R197">
        <v>23.237159131932788</v>
      </c>
      <c r="S197">
        <v>61.879442207046139</v>
      </c>
      <c r="U197">
        <v>4.5021289166613521</v>
      </c>
      <c r="V197">
        <v>48.550001388259922</v>
      </c>
      <c r="W197">
        <v>33.404031208771265</v>
      </c>
      <c r="X197">
        <v>43.086401119902504</v>
      </c>
      <c r="Y197">
        <v>10.067574314338678</v>
      </c>
      <c r="Z197">
        <v>37.489213323123799</v>
      </c>
      <c r="AA197">
        <v>8.1984063334389798</v>
      </c>
      <c r="AB197">
        <v>42.793291065020547</v>
      </c>
      <c r="AD197">
        <v>11.198212575936969</v>
      </c>
      <c r="AE197">
        <v>17.0917628699796</v>
      </c>
      <c r="AF197">
        <v>15.637884979340717</v>
      </c>
      <c r="AG197">
        <v>28.861157746381828</v>
      </c>
      <c r="AH197">
        <v>8.2928400360485011</v>
      </c>
      <c r="AI197">
        <v>1.8054942392950033</v>
      </c>
      <c r="AK197">
        <v>54.586999581227133</v>
      </c>
    </row>
    <row r="198" spans="1:37" x14ac:dyDescent="0.2">
      <c r="A198">
        <v>197</v>
      </c>
      <c r="B198">
        <v>789</v>
      </c>
      <c r="C198">
        <v>100</v>
      </c>
      <c r="D198">
        <v>0.50700042366897302</v>
      </c>
      <c r="E198">
        <v>102.12817398749958</v>
      </c>
      <c r="F198">
        <v>67.391701005302792</v>
      </c>
      <c r="G198">
        <v>73.523886066909597</v>
      </c>
      <c r="H198">
        <v>69.001824857619781</v>
      </c>
      <c r="J198">
        <v>68.402605842189686</v>
      </c>
      <c r="L198">
        <v>8.477759167290623</v>
      </c>
      <c r="M198">
        <v>16.055526542753107</v>
      </c>
      <c r="N198">
        <v>1.8719539933008875</v>
      </c>
      <c r="O198">
        <v>42.212170625536437</v>
      </c>
      <c r="P198">
        <v>12.932913007096017</v>
      </c>
      <c r="R198">
        <v>22.701583617117794</v>
      </c>
      <c r="S198">
        <v>61.085518567366783</v>
      </c>
      <c r="U198">
        <v>4.5053784525667497</v>
      </c>
      <c r="V198">
        <v>48.487693359856451</v>
      </c>
      <c r="W198">
        <v>33.190535967212909</v>
      </c>
      <c r="X198">
        <v>43.141884978834945</v>
      </c>
      <c r="Y198">
        <v>9.6544991889872946</v>
      </c>
      <c r="Z198">
        <v>36.733280503736204</v>
      </c>
      <c r="AA198">
        <v>7.8160060416905468</v>
      </c>
      <c r="AB198">
        <v>42.490367766337528</v>
      </c>
      <c r="AD198">
        <v>10.757357338305413</v>
      </c>
      <c r="AE198">
        <v>16.795390313552456</v>
      </c>
      <c r="AF198">
        <v>15.663824217697377</v>
      </c>
      <c r="AG198">
        <v>28.543402839244582</v>
      </c>
      <c r="AH198">
        <v>7.6908694986086674</v>
      </c>
      <c r="AI198">
        <v>1.8072247546778328</v>
      </c>
      <c r="AK198">
        <v>54.328694798248868</v>
      </c>
    </row>
    <row r="199" spans="1:37" x14ac:dyDescent="0.2">
      <c r="A199">
        <v>198</v>
      </c>
      <c r="B199">
        <v>788</v>
      </c>
      <c r="C199">
        <v>100</v>
      </c>
      <c r="D199">
        <v>0.50646986759647905</v>
      </c>
      <c r="E199">
        <v>101.85318499179968</v>
      </c>
      <c r="F199">
        <v>65.81572031223071</v>
      </c>
      <c r="G199">
        <v>73.25669134273609</v>
      </c>
      <c r="H199">
        <v>68.731757884954988</v>
      </c>
      <c r="J199">
        <v>67.815355634755051</v>
      </c>
      <c r="L199">
        <v>8.020908558493101</v>
      </c>
      <c r="M199">
        <v>16.083270270880206</v>
      </c>
      <c r="N199">
        <v>1.8739345198941635</v>
      </c>
      <c r="O199">
        <v>40.447857142336595</v>
      </c>
      <c r="P199">
        <v>12.421689967430316</v>
      </c>
      <c r="R199">
        <v>22.035693870511725</v>
      </c>
      <c r="S199">
        <v>59.997865842211866</v>
      </c>
      <c r="U199">
        <v>4.5181901821003256</v>
      </c>
      <c r="V199">
        <v>48.367130433062478</v>
      </c>
      <c r="W199">
        <v>32.981091025254557</v>
      </c>
      <c r="X199">
        <v>43.22537400080931</v>
      </c>
      <c r="Y199">
        <v>9.159042766048179</v>
      </c>
      <c r="Z199">
        <v>35.800949117484585</v>
      </c>
      <c r="AA199">
        <v>7.3541569153049933</v>
      </c>
      <c r="AB199">
        <v>42.040803072496139</v>
      </c>
      <c r="AD199">
        <v>10.217905340282233</v>
      </c>
      <c r="AE199">
        <v>16.423581952110975</v>
      </c>
      <c r="AF199">
        <v>15.690424190134976</v>
      </c>
      <c r="AG199">
        <v>28.079006064160733</v>
      </c>
      <c r="AH199">
        <v>6.9649325980126751</v>
      </c>
      <c r="AI199">
        <v>1.8089516910987193</v>
      </c>
      <c r="AK199">
        <v>53.99067000100208</v>
      </c>
    </row>
    <row r="200" spans="1:37" x14ac:dyDescent="0.2">
      <c r="A200">
        <v>199</v>
      </c>
      <c r="B200">
        <v>787</v>
      </c>
      <c r="C200">
        <v>100</v>
      </c>
      <c r="D200">
        <v>0.50593831061642502</v>
      </c>
      <c r="E200">
        <v>101.44603612875953</v>
      </c>
      <c r="F200">
        <v>63.19456769693965</v>
      </c>
      <c r="G200">
        <v>72.833891000174319</v>
      </c>
      <c r="H200">
        <v>68.306097695401732</v>
      </c>
      <c r="J200">
        <v>66.650413486346309</v>
      </c>
      <c r="L200">
        <v>7.2593900468269643</v>
      </c>
      <c r="M200">
        <v>16.095629197096109</v>
      </c>
      <c r="N200">
        <v>1.8759065854476931</v>
      </c>
      <c r="O200">
        <v>37.602269601547661</v>
      </c>
      <c r="P200">
        <v>11.599254260627474</v>
      </c>
      <c r="R200">
        <v>20.879203924699819</v>
      </c>
      <c r="S200">
        <v>57.908077204559376</v>
      </c>
      <c r="U200">
        <v>4.5467599972852044</v>
      </c>
      <c r="V200">
        <v>48.067304925286635</v>
      </c>
      <c r="W200">
        <v>32.779881644871651</v>
      </c>
      <c r="X200">
        <v>43.352952640622703</v>
      </c>
      <c r="Y200">
        <v>8.3503810758024226</v>
      </c>
      <c r="Z200">
        <v>34.155517094264852</v>
      </c>
      <c r="AA200">
        <v>6.5888596620528697</v>
      </c>
      <c r="AB200">
        <v>41.085449801998735</v>
      </c>
      <c r="AD200">
        <v>9.2901314839667055</v>
      </c>
      <c r="AE200">
        <v>15.737749220863449</v>
      </c>
      <c r="AF200">
        <v>15.701631065564463</v>
      </c>
      <c r="AG200">
        <v>27.10881459244272</v>
      </c>
      <c r="AH200">
        <v>5.7660096828508518</v>
      </c>
      <c r="AI200">
        <v>1.8106693941972616</v>
      </c>
      <c r="AK200">
        <v>53.331404342153171</v>
      </c>
    </row>
    <row r="201" spans="1:37" x14ac:dyDescent="0.2">
      <c r="A201">
        <v>200</v>
      </c>
      <c r="B201">
        <v>786</v>
      </c>
      <c r="C201">
        <v>100</v>
      </c>
      <c r="D201">
        <v>0.50540574989378495</v>
      </c>
      <c r="E201">
        <v>100.72219574140213</v>
      </c>
      <c r="F201">
        <v>58.151743310157165</v>
      </c>
      <c r="G201">
        <v>72.066202346340631</v>
      </c>
      <c r="H201">
        <v>67.535561615675576</v>
      </c>
      <c r="J201">
        <v>64.273891193824497</v>
      </c>
      <c r="L201">
        <v>5.8223119265176395</v>
      </c>
      <c r="M201">
        <v>16.046840155028395</v>
      </c>
      <c r="N201">
        <v>1.8778621298632001</v>
      </c>
      <c r="O201">
        <v>32.329249855831641</v>
      </c>
      <c r="P201">
        <v>10.087032461650875</v>
      </c>
      <c r="R201">
        <v>18.666743648804239</v>
      </c>
      <c r="S201">
        <v>54.022350022785332</v>
      </c>
      <c r="U201">
        <v>4.5739849335182479</v>
      </c>
      <c r="V201">
        <v>47.524448905523158</v>
      </c>
      <c r="W201">
        <v>32.597480092215399</v>
      </c>
      <c r="X201">
        <v>43.470782422865845</v>
      </c>
      <c r="Y201">
        <v>6.8439404213132295</v>
      </c>
      <c r="Z201">
        <v>30.826202735176828</v>
      </c>
      <c r="AA201">
        <v>5.1456232825925694</v>
      </c>
      <c r="AB201">
        <v>39.203733813125936</v>
      </c>
      <c r="AD201">
        <v>7.4306446343237331</v>
      </c>
      <c r="AE201">
        <v>14.298319755217527</v>
      </c>
      <c r="AF201">
        <v>15.65167362273624</v>
      </c>
      <c r="AG201">
        <v>25.212246227638346</v>
      </c>
      <c r="AH201">
        <v>3.4998476319747067</v>
      </c>
      <c r="AI201">
        <v>1.8123698020522365</v>
      </c>
      <c r="AK201">
        <v>51.921975693353509</v>
      </c>
    </row>
    <row r="202" spans="1:37" x14ac:dyDescent="0.2">
      <c r="A202">
        <v>201</v>
      </c>
      <c r="B202">
        <v>785</v>
      </c>
      <c r="C202">
        <v>100</v>
      </c>
      <c r="D202">
        <v>0.50487218258281097</v>
      </c>
      <c r="E202">
        <v>100.05962440096741</v>
      </c>
      <c r="F202">
        <v>53.552024239666949</v>
      </c>
      <c r="G202">
        <v>71.366486283997801</v>
      </c>
      <c r="H202">
        <v>66.833010568176661</v>
      </c>
      <c r="J202">
        <v>62.141743824710773</v>
      </c>
      <c r="L202">
        <v>4.5133247486496115</v>
      </c>
      <c r="M202">
        <v>15.991584627185604</v>
      </c>
      <c r="N202">
        <v>1.879820685343311</v>
      </c>
      <c r="O202">
        <v>27.521080541482537</v>
      </c>
      <c r="P202">
        <v>8.7107659291087405</v>
      </c>
      <c r="R202">
        <v>16.65928878558141</v>
      </c>
      <c r="S202">
        <v>50.62395776518197</v>
      </c>
      <c r="U202">
        <v>4.5914557787655728</v>
      </c>
      <c r="V202">
        <v>47.074017713240252</v>
      </c>
      <c r="W202">
        <v>32.418328962730868</v>
      </c>
      <c r="X202">
        <v>43.560680335471979</v>
      </c>
      <c r="Y202">
        <v>5.4724656736008628</v>
      </c>
      <c r="Z202">
        <v>27.757632445188449</v>
      </c>
      <c r="AA202">
        <v>3.8305430132292821</v>
      </c>
      <c r="AB202">
        <v>37.557254464891571</v>
      </c>
      <c r="AD202">
        <v>5.6645610173723622</v>
      </c>
      <c r="AE202">
        <v>12.975527699577158</v>
      </c>
      <c r="AF202">
        <v>15.595252881591671</v>
      </c>
      <c r="AG202">
        <v>23.550919866345836</v>
      </c>
      <c r="AH202">
        <v>1.4210064603425399</v>
      </c>
      <c r="AI202">
        <v>1.8140724450430896</v>
      </c>
      <c r="AK202">
        <v>50.635892578385835</v>
      </c>
    </row>
    <row r="203" spans="1:37" x14ac:dyDescent="0.2">
      <c r="A203">
        <v>202</v>
      </c>
      <c r="B203">
        <v>784</v>
      </c>
      <c r="C203">
        <v>100</v>
      </c>
      <c r="D203">
        <v>0.50433760582698905</v>
      </c>
      <c r="E203">
        <v>100.02210511275628</v>
      </c>
      <c r="F203">
        <v>51.749076225198294</v>
      </c>
      <c r="G203">
        <v>71.236275223660797</v>
      </c>
      <c r="H203">
        <v>66.699976983094629</v>
      </c>
      <c r="J203">
        <v>57.273615692878074</v>
      </c>
      <c r="L203">
        <v>3.3884803183156471</v>
      </c>
      <c r="M203">
        <v>15.891183093430595</v>
      </c>
      <c r="N203">
        <v>1.8818110667760031</v>
      </c>
      <c r="O203">
        <v>21.863371795502101</v>
      </c>
      <c r="P203">
        <v>8.4735483198627275</v>
      </c>
      <c r="R203">
        <v>15.163790814287097</v>
      </c>
      <c r="S203">
        <v>46.687212187644178</v>
      </c>
      <c r="U203">
        <v>4.6410350168178098</v>
      </c>
      <c r="V203">
        <v>46.582460061447811</v>
      </c>
      <c r="W203">
        <v>32.168799209184115</v>
      </c>
      <c r="X203">
        <v>43.743625403285982</v>
      </c>
      <c r="Y203">
        <v>4.611914637508618</v>
      </c>
      <c r="Z203">
        <v>25.146315459158785</v>
      </c>
      <c r="AA203">
        <v>2.5444666960509932</v>
      </c>
      <c r="AB203">
        <v>35.553497083284491</v>
      </c>
      <c r="AD203">
        <v>4.2908034899114371</v>
      </c>
      <c r="AE203">
        <v>11.49081789344107</v>
      </c>
      <c r="AF203">
        <v>15.493718142126449</v>
      </c>
      <c r="AG203">
        <v>21.532349654842186</v>
      </c>
      <c r="AI203">
        <v>1.8158061362332212</v>
      </c>
      <c r="AK203">
        <v>47.590894833466109</v>
      </c>
    </row>
    <row r="204" spans="1:37" x14ac:dyDescent="0.2">
      <c r="A204">
        <v>203</v>
      </c>
      <c r="B204">
        <v>783</v>
      </c>
      <c r="C204">
        <v>100</v>
      </c>
      <c r="D204">
        <v>0.50380201675898495</v>
      </c>
      <c r="E204">
        <v>100.24093808559995</v>
      </c>
      <c r="F204">
        <v>51.42310206147372</v>
      </c>
      <c r="G204">
        <v>71.343866912163719</v>
      </c>
      <c r="H204">
        <v>66.804758626974575</v>
      </c>
      <c r="J204">
        <v>51.99289703601243</v>
      </c>
      <c r="L204">
        <v>2.2807709039180883</v>
      </c>
      <c r="M204">
        <v>15.723821622272141</v>
      </c>
      <c r="N204">
        <v>1.8838193601970057</v>
      </c>
      <c r="O204">
        <v>15.98562172254641</v>
      </c>
      <c r="P204">
        <v>8.7119612346131312</v>
      </c>
      <c r="R204">
        <v>13.872154576190859</v>
      </c>
      <c r="S204">
        <v>42.916165032052618</v>
      </c>
      <c r="U204">
        <v>4.6760029703003116</v>
      </c>
      <c r="V204">
        <v>46.310662607901115</v>
      </c>
      <c r="W204">
        <v>31.866127404061718</v>
      </c>
      <c r="X204">
        <v>43.884511339579092</v>
      </c>
      <c r="Y204">
        <v>3.8523870502103681</v>
      </c>
      <c r="Z204">
        <v>23.186590274290797</v>
      </c>
      <c r="AA204">
        <v>1.2561270675629639</v>
      </c>
      <c r="AB204">
        <v>34.020409214672462</v>
      </c>
      <c r="AD204">
        <v>3.2514587280405425</v>
      </c>
      <c r="AE204">
        <v>10.256927272897101</v>
      </c>
      <c r="AF204">
        <v>15.325241564139716</v>
      </c>
      <c r="AG204">
        <v>19.984469230943848</v>
      </c>
      <c r="AI204">
        <v>1.8175569598335501</v>
      </c>
      <c r="AK204">
        <v>44.197510445413265</v>
      </c>
    </row>
    <row r="205" spans="1:37" x14ac:dyDescent="0.2">
      <c r="A205">
        <v>204</v>
      </c>
      <c r="B205">
        <v>782</v>
      </c>
      <c r="C205">
        <v>100</v>
      </c>
      <c r="D205">
        <v>0.50326541250059598</v>
      </c>
      <c r="E205">
        <v>100.42757377907998</v>
      </c>
      <c r="F205">
        <v>51.344316098791971</v>
      </c>
      <c r="G205">
        <v>71.426040682340428</v>
      </c>
      <c r="H205">
        <v>66.884134852399043</v>
      </c>
      <c r="J205">
        <v>47.85396516746308</v>
      </c>
      <c r="L205">
        <v>1.2465632130343582</v>
      </c>
      <c r="M205">
        <v>15.519494019559003</v>
      </c>
      <c r="N205">
        <v>1.8858288321381578</v>
      </c>
      <c r="O205">
        <v>10.903788700297401</v>
      </c>
      <c r="P205">
        <v>8.8995466266121248</v>
      </c>
      <c r="R205">
        <v>12.665377259043769</v>
      </c>
      <c r="S205">
        <v>39.814236885674966</v>
      </c>
      <c r="U205">
        <v>4.6862435617283449</v>
      </c>
      <c r="V205">
        <v>46.237427690941502</v>
      </c>
      <c r="W205">
        <v>31.546757446194814</v>
      </c>
      <c r="X205">
        <v>43.954150001057222</v>
      </c>
      <c r="Y205">
        <v>3.049258017497313</v>
      </c>
      <c r="Z205">
        <v>21.81934444531678</v>
      </c>
      <c r="AA205">
        <v>0.10064195820101304</v>
      </c>
      <c r="AB205">
        <v>33.110949387815616</v>
      </c>
      <c r="AD205">
        <v>2.4700395197837661</v>
      </c>
      <c r="AE205">
        <v>9.410864709014195</v>
      </c>
      <c r="AF205">
        <v>15.119800225279283</v>
      </c>
      <c r="AG205">
        <v>19.060220395376927</v>
      </c>
      <c r="AI205">
        <v>1.819308180549825</v>
      </c>
      <c r="AK205">
        <v>41.486680041767748</v>
      </c>
    </row>
    <row r="206" spans="1:37" x14ac:dyDescent="0.2">
      <c r="A206">
        <v>205</v>
      </c>
      <c r="B206">
        <v>781</v>
      </c>
      <c r="C206">
        <v>100</v>
      </c>
      <c r="D206">
        <v>0.50272779016268998</v>
      </c>
      <c r="E206">
        <v>100.70770681199609</v>
      </c>
      <c r="F206">
        <v>51.083539529793619</v>
      </c>
      <c r="G206">
        <v>71.525905047345248</v>
      </c>
      <c r="H206">
        <v>66.981214192309224</v>
      </c>
      <c r="J206">
        <v>42.761277022508551</v>
      </c>
      <c r="L206">
        <v>1.4323923527461229</v>
      </c>
      <c r="M206">
        <v>15.15559219178429</v>
      </c>
      <c r="N206">
        <v>1.887840103554479</v>
      </c>
      <c r="O206">
        <v>11.448415732518514</v>
      </c>
      <c r="P206">
        <v>9.1225221642391325</v>
      </c>
      <c r="R206">
        <v>12.614476328868713</v>
      </c>
      <c r="S206">
        <v>40.074940881969255</v>
      </c>
      <c r="U206">
        <v>4.692513239704688</v>
      </c>
      <c r="V206">
        <v>46.601463324356324</v>
      </c>
      <c r="W206">
        <v>31.071354776439712</v>
      </c>
      <c r="X206">
        <v>44.012587688307008</v>
      </c>
      <c r="Y206">
        <v>3.0403612265604529</v>
      </c>
      <c r="Z206">
        <v>19.72566968994542</v>
      </c>
      <c r="AB206">
        <v>31.973892923330489</v>
      </c>
      <c r="AD206">
        <v>1.4370680755225811</v>
      </c>
      <c r="AE206">
        <v>8.1427353468741117</v>
      </c>
      <c r="AF206">
        <v>14.7547866582719</v>
      </c>
      <c r="AG206">
        <v>17.908379095162989</v>
      </c>
      <c r="AI206">
        <v>1.82106041751144</v>
      </c>
      <c r="AK206">
        <v>38.075151373644459</v>
      </c>
    </row>
    <row r="207" spans="1:37" x14ac:dyDescent="0.2">
      <c r="A207">
        <v>206</v>
      </c>
      <c r="B207">
        <v>780</v>
      </c>
      <c r="C207">
        <v>100</v>
      </c>
      <c r="D207">
        <v>0.50218914684517901</v>
      </c>
      <c r="E207">
        <v>100.92637341117664</v>
      </c>
      <c r="F207">
        <v>51.122859823486721</v>
      </c>
      <c r="G207">
        <v>71.583454701469435</v>
      </c>
      <c r="H207">
        <v>67.035991360820063</v>
      </c>
      <c r="J207">
        <v>39.355250789018399</v>
      </c>
      <c r="L207">
        <v>1.4482496632592483</v>
      </c>
      <c r="M207">
        <v>14.798298479345039</v>
      </c>
      <c r="N207">
        <v>1.889849261947609</v>
      </c>
      <c r="O207">
        <v>11.286816178384672</v>
      </c>
      <c r="P207">
        <v>9.2608733447448461</v>
      </c>
      <c r="R207">
        <v>12.377310659500703</v>
      </c>
      <c r="S207">
        <v>40.1300274484638</v>
      </c>
      <c r="U207">
        <v>4.6832103748471585</v>
      </c>
      <c r="V207">
        <v>47.007325086370358</v>
      </c>
      <c r="W207">
        <v>30.61442812210402</v>
      </c>
      <c r="X207">
        <v>44.026299312834311</v>
      </c>
      <c r="Y207">
        <v>2.8942337882886657</v>
      </c>
      <c r="Z207">
        <v>18.533993808636996</v>
      </c>
      <c r="AB207">
        <v>31.490199301298308</v>
      </c>
      <c r="AD207">
        <v>0.80915401792055186</v>
      </c>
      <c r="AE207">
        <v>7.424577915254754</v>
      </c>
      <c r="AF207">
        <v>14.396379296307201</v>
      </c>
      <c r="AG207">
        <v>17.409900903348372</v>
      </c>
      <c r="AI207">
        <v>1.8228097563925474</v>
      </c>
      <c r="AK207">
        <v>35.75356434619065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87E4F-F99E-48D9-BFEE-46BF47DE6A67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0.52</v>
      </c>
      <c r="D7" t="s">
        <v>26</v>
      </c>
      <c r="E7">
        <v>20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2025-06-09T22:08:44Z</dcterms:created>
  <dcterms:modified xsi:type="dcterms:W3CDTF">2025-06-09T22:10:28Z</dcterms:modified>
</cp:coreProperties>
</file>