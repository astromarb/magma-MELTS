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June2025\"/>
    </mc:Choice>
  </mc:AlternateContent>
  <xr:revisionPtr revIDLastSave="0" documentId="8_{5BC6E049-EA97-4464-9CB8-79E32EC83BE6}" xr6:coauthVersionLast="47" xr6:coauthVersionMax="47" xr10:uidLastSave="{00000000-0000-0000-0000-000000000000}"/>
  <bookViews>
    <workbookView xWindow="29970" yWindow="5760" windowWidth="14790" windowHeight="15480" activeTab="1" xr2:uid="{261EFC74-F3ED-47AC-84EC-5747A1E65702}"/>
  </bookViews>
  <sheets>
    <sheet name="Phase_Diagram" sheetId="17" r:id="rId1"/>
    <sheet name="P_Calc" sheetId="18" r:id="rId2"/>
    <sheet name="Phase_Data" sheetId="14" r:id="rId3"/>
    <sheet name="system" sheetId="3" r:id="rId4"/>
    <sheet name="liquid" sheetId="5" r:id="rId5"/>
    <sheet name="tot_solids" sheetId="4" r:id="rId6"/>
    <sheet name="rhm-oxide" sheetId="13" r:id="rId7"/>
    <sheet name="spinel" sheetId="12" r:id="rId8"/>
    <sheet name="leucite" sheetId="11" r:id="rId9"/>
    <sheet name="orthopyroxene" sheetId="10" r:id="rId10"/>
    <sheet name="feldspar1" sheetId="15" r:id="rId11"/>
    <sheet name="feldspar2" sheetId="16" r:id="rId12"/>
    <sheet name="feldspar" sheetId="9" r:id="rId13"/>
    <sheet name="quartz" sheetId="8" r:id="rId14"/>
    <sheet name="water" sheetId="6" r:id="rId15"/>
    <sheet name="affinities (kJ)" sheetId="7" r:id="rId16"/>
    <sheet name="init_cond" sheetId="2" r:id="rId1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8" l="1"/>
  <c r="D1" i="18"/>
  <c r="E1" i="18"/>
  <c r="F1" i="18"/>
  <c r="G1" i="18"/>
  <c r="H1" i="18"/>
  <c r="I1" i="18"/>
  <c r="J1" i="18"/>
  <c r="B1" i="18"/>
  <c r="C2" i="14"/>
  <c r="G3" i="14"/>
  <c r="G6" i="14"/>
  <c r="C8" i="14"/>
  <c r="G9" i="14"/>
  <c r="C11" i="14"/>
  <c r="D8" i="14"/>
  <c r="D11" i="14"/>
  <c r="E2" i="14"/>
  <c r="I6" i="14"/>
  <c r="I9" i="14"/>
  <c r="J9" i="14"/>
  <c r="C4" i="14"/>
  <c r="C7" i="14"/>
  <c r="H2" i="14"/>
  <c r="H8" i="14"/>
  <c r="I8" i="14"/>
  <c r="F7" i="14"/>
  <c r="G4" i="14"/>
  <c r="H7" i="14"/>
  <c r="E6" i="14"/>
  <c r="F9" i="14"/>
  <c r="D2" i="14"/>
  <c r="H3" i="14"/>
  <c r="H6" i="14"/>
  <c r="H9" i="14"/>
  <c r="E8" i="14"/>
  <c r="E11" i="14"/>
  <c r="F8" i="14"/>
  <c r="G2" i="14"/>
  <c r="C10" i="14"/>
  <c r="D7" i="14"/>
  <c r="H11" i="14"/>
  <c r="J11" i="14"/>
  <c r="C9" i="14"/>
  <c r="H10" i="14"/>
  <c r="E9" i="14"/>
  <c r="I10" i="14"/>
  <c r="I3" i="14"/>
  <c r="G11" i="14"/>
  <c r="D10" i="14"/>
  <c r="E10" i="14"/>
  <c r="F4" i="14"/>
  <c r="G7" i="14"/>
  <c r="H4" i="14"/>
  <c r="E3" i="14"/>
  <c r="J10" i="14"/>
  <c r="F2" i="14"/>
  <c r="J6" i="14"/>
  <c r="F11" i="14"/>
  <c r="G8" i="14"/>
  <c r="D4" i="14"/>
  <c r="E4" i="14"/>
  <c r="I11" i="14"/>
  <c r="J8" i="14"/>
  <c r="C6" i="14"/>
  <c r="D6" i="14"/>
  <c r="I4" i="14"/>
  <c r="I2" i="14"/>
  <c r="E7" i="14"/>
  <c r="F10" i="14"/>
  <c r="G10" i="14"/>
  <c r="D9" i="14"/>
  <c r="I7" i="14"/>
  <c r="J4" i="14"/>
  <c r="J2" i="14"/>
  <c r="F6" i="14"/>
  <c r="C3" i="14"/>
  <c r="J7" i="14"/>
  <c r="D3" i="14"/>
  <c r="F3" i="14"/>
  <c r="B11" i="14"/>
  <c r="B10" i="14"/>
  <c r="B9" i="14"/>
  <c r="B8" i="14"/>
  <c r="B7" i="14"/>
  <c r="B6" i="14"/>
  <c r="B5" i="14"/>
  <c r="B4" i="14"/>
  <c r="B3" i="14"/>
  <c r="B2" i="14"/>
  <c r="J3" i="18" l="1"/>
  <c r="I3" i="18"/>
  <c r="D2" i="18"/>
  <c r="E3" i="18"/>
  <c r="J4" i="18"/>
  <c r="G4" i="18"/>
  <c r="G3" i="18"/>
  <c r="E2" i="18"/>
  <c r="C2" i="18"/>
  <c r="D3" i="18"/>
  <c r="F4" i="18"/>
  <c r="E4" i="18"/>
  <c r="H2" i="18"/>
  <c r="F2" i="18"/>
  <c r="H3" i="18"/>
  <c r="F3" i="18"/>
  <c r="I4" i="18"/>
  <c r="H4" i="18"/>
  <c r="C3" i="18"/>
  <c r="J2" i="18"/>
  <c r="I2" i="18"/>
  <c r="D4" i="18"/>
  <c r="G2" i="18"/>
  <c r="C4" i="18"/>
  <c r="B4" i="18"/>
  <c r="B3" i="18"/>
  <c r="B2" i="18"/>
  <c r="J6" i="18" l="1"/>
  <c r="J7" i="18"/>
  <c r="C6" i="18"/>
  <c r="C7" i="18"/>
  <c r="D6" i="18"/>
  <c r="D7" i="18"/>
  <c r="G6" i="18"/>
  <c r="G7" i="18"/>
  <c r="E7" i="18"/>
  <c r="E6" i="18"/>
  <c r="I6" i="18"/>
  <c r="I7" i="18"/>
  <c r="F6" i="18"/>
  <c r="F7" i="18"/>
  <c r="H6" i="18"/>
  <c r="H7" i="18"/>
  <c r="B6" i="18"/>
  <c r="B7" i="18"/>
  <c r="L7" i="18" l="1"/>
  <c r="L6" i="18"/>
  <c r="N7" i="18"/>
  <c r="M7" i="18"/>
  <c r="M6" i="18"/>
  <c r="N6" i="18"/>
  <c r="P7" i="18" a="1"/>
  <c r="P6" i="18" a="1"/>
  <c r="Q7" i="18" l="1"/>
  <c r="R7" i="18"/>
  <c r="P7" i="18"/>
  <c r="R6" i="18"/>
  <c r="Q6" i="18"/>
  <c r="P6" i="18"/>
  <c r="B9" i="18"/>
  <c r="C9" i="18" l="1"/>
  <c r="I9" i="18"/>
  <c r="D9" i="18"/>
  <c r="H9" i="18"/>
  <c r="E9" i="18"/>
  <c r="J9" i="18"/>
  <c r="F9" i="18"/>
  <c r="G9" i="18"/>
  <c r="C14" i="18"/>
  <c r="G10" i="18"/>
  <c r="F10" i="18"/>
  <c r="H10" i="18"/>
  <c r="I10" i="18"/>
  <c r="J10" i="18"/>
  <c r="C10" i="18"/>
  <c r="D10" i="18"/>
  <c r="E10" i="18"/>
  <c r="B14" i="18"/>
  <c r="B13" i="18"/>
  <c r="C13" i="18" s="1"/>
  <c r="B10" i="18"/>
</calcChain>
</file>

<file path=xl/sharedStrings.xml><?xml version="1.0" encoding="utf-8"?>
<sst xmlns="http://schemas.openxmlformats.org/spreadsheetml/2006/main" count="619" uniqueCount="152">
  <si>
    <t xml:space="preserve"> </t>
  </si>
  <si>
    <t>060925-KCP109B-c1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</si>
  <si>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</si>
  <si>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</si>
  <si>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</si>
  <si>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</si>
  <si>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</si>
  <si>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</si>
  <si>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</si>
  <si>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</si>
  <si>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</si>
  <si>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</si>
  <si>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</si>
  <si>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</si>
  <si>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</si>
  <si>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</si>
  <si>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</si>
  <si>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</si>
  <si>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</si>
  <si>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</si>
  <si>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</si>
  <si>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</si>
  <si>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</si>
  <si>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</si>
  <si>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</si>
  <si>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</si>
  <si>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</si>
  <si>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</si>
  <si>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</si>
  <si>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</si>
  <si>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</si>
  <si>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</si>
  <si>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</si>
  <si>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</si>
  <si>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</si>
  <si>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</si>
  <si>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</si>
  <si>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</si>
  <si>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</si>
  <si>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</si>
  <si>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</si>
  <si>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</si>
  <si>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</si>
  <si>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</si>
  <si>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</si>
  <si>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</si>
  <si>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</si>
  <si>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</si>
  <si>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</si>
  <si>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</si>
  <si>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</si>
  <si>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</si>
  <si>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</si>
  <si>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</si>
  <si>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</si>
  <si>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</si>
  <si>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</si>
  <si>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</si>
  <si>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</si>
  <si>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</si>
  <si>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</si>
  <si>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</si>
  <si>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</si>
  <si>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</si>
  <si>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</si>
  <si>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</si>
  <si>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</si>
  <si>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</si>
  <si>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</si>
  <si>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</si>
  <si>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</si>
  <si>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</si>
  <si>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</si>
  <si>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</si>
  <si>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</si>
  <si>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</si>
  <si>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</si>
  <si>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</si>
  <si>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</si>
  <si>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</si>
  <si>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</si>
  <si>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</si>
  <si>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</si>
  <si>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</si>
  <si>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</si>
  <si>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</si>
  <si>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</si>
  <si>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</si>
  <si>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</si>
  <si>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</si>
  <si>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</si>
  <si>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</si>
  <si>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</si>
  <si>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</si>
  <si>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</si>
  <si>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</si>
  <si>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</si>
  <si>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</si>
  <si>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</si>
  <si>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</si>
  <si>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</si>
  <si>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</si>
  <si>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</si>
  <si>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</si>
  <si>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</si>
  <si>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</si>
  <si>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</si>
  <si>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</si>
  <si>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</si>
  <si>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</si>
  <si>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</si>
  <si>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</si>
  <si>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</si>
  <si>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</si>
  <si>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</si>
  <si>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</si>
  <si>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</si>
  <si>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</si>
  <si>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</si>
  <si>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</si>
  <si>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</si>
  <si>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</si>
  <si>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</si>
  <si>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</si>
  <si>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analcime</t>
  </si>
  <si>
    <t>na-leucite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</si>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</sst>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calcChain" Target="calcChain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worksheet" Target="worksheets/sheet16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sharedStrings" Target="sharedStrings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Phase_Data!$B$2:$J$2</c:f>
              <c:numCache>
                <c:formatCode>General</c:formatCode>
                <c:ptCount val="9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758</c:v>
                </c:pt>
                <c:pt idx="4">
                  <c:v>758</c:v>
                </c:pt>
                <c:pt idx="5">
                  <c:v>768</c:v>
                </c:pt>
                <c:pt idx="6">
                  <c:v>778</c:v>
                </c:pt>
                <c:pt idx="7">
                  <c:v>792</c:v>
                </c:pt>
                <c:pt idx="8">
                  <c:v>808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7A-4622-A7B4-6C0AFF2FB48C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Phase_Data!$B$3:$J$3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750</c:v>
                </c:pt>
                <c:pt idx="5">
                  <c:v>754</c:v>
                </c:pt>
                <c:pt idx="6">
                  <c:v>760</c:v>
                </c:pt>
                <c:pt idx="7">
                  <c:v>768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7A-4622-A7B4-6C0AFF2FB48C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Phase_Data!$B$4:$J$4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750</c:v>
                </c:pt>
                <c:pt idx="5">
                  <c:v>756</c:v>
                </c:pt>
                <c:pt idx="6">
                  <c:v>764</c:v>
                </c:pt>
                <c:pt idx="7">
                  <c:v>772</c:v>
                </c:pt>
                <c:pt idx="8">
                  <c:v>784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7A-4622-A7B4-6C0AFF2FB48C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leucite</c:v>
                </c:pt>
              </c:strCache>
            </c:strRef>
          </c:tx>
          <c:xVal>
            <c:numRef>
              <c:f>Phase_Data!$B$5:$J$5</c:f>
              <c:numCache>
                <c:formatCode>General</c:formatCode>
                <c:ptCount val="9"/>
                <c:pt idx="0">
                  <c:v>734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7A-4622-A7B4-6C0AFF2FB48C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Phase_Data!$B$6:$J$6</c:f>
              <c:numCache>
                <c:formatCode>General</c:formatCode>
                <c:ptCount val="9"/>
                <c:pt idx="0">
                  <c:v>734</c:v>
                </c:pt>
                <c:pt idx="1">
                  <c:v>738</c:v>
                </c:pt>
                <c:pt idx="2">
                  <c:v>742</c:v>
                </c:pt>
                <c:pt idx="3">
                  <c:v>746</c:v>
                </c:pt>
                <c:pt idx="4">
                  <c:v>750</c:v>
                </c:pt>
                <c:pt idx="5">
                  <c:v>756</c:v>
                </c:pt>
                <c:pt idx="6">
                  <c:v>762</c:v>
                </c:pt>
                <c:pt idx="7">
                  <c:v>770</c:v>
                </c:pt>
                <c:pt idx="8">
                  <c:v>780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17A-4622-A7B4-6C0AFF2FB48C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Phase_Data!$B$7:$J$7</c:f>
              <c:numCache>
                <c:formatCode>General</c:formatCode>
                <c:ptCount val="9"/>
                <c:pt idx="0">
                  <c:v>738</c:v>
                </c:pt>
                <c:pt idx="1">
                  <c:v>740</c:v>
                </c:pt>
                <c:pt idx="2">
                  <c:v>744</c:v>
                </c:pt>
                <c:pt idx="3">
                  <c:v>750</c:v>
                </c:pt>
                <c:pt idx="4">
                  <c:v>756</c:v>
                </c:pt>
                <c:pt idx="5">
                  <c:v>766</c:v>
                </c:pt>
                <c:pt idx="6">
                  <c:v>776</c:v>
                </c:pt>
                <c:pt idx="7">
                  <c:v>790</c:v>
                </c:pt>
                <c:pt idx="8">
                  <c:v>806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7A-4622-A7B4-6C0AFF2FB48C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Phase_Data!$B$8:$J$8</c:f>
              <c:numCache>
                <c:formatCode>General</c:formatCode>
                <c:ptCount val="9"/>
                <c:pt idx="0">
                  <c:v>736</c:v>
                </c:pt>
                <c:pt idx="1">
                  <c:v>740</c:v>
                </c:pt>
                <c:pt idx="2">
                  <c:v>744</c:v>
                </c:pt>
                <c:pt idx="3">
                  <c:v>748</c:v>
                </c:pt>
                <c:pt idx="4">
                  <c:v>754</c:v>
                </c:pt>
                <c:pt idx="5">
                  <c:v>758</c:v>
                </c:pt>
                <c:pt idx="6">
                  <c:v>766</c:v>
                </c:pt>
                <c:pt idx="7">
                  <c:v>774</c:v>
                </c:pt>
                <c:pt idx="8">
                  <c:v>786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17A-4622-A7B4-6C0AFF2FB48C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Phase_Data!$B$9:$J$9</c:f>
              <c:numCache>
                <c:formatCode>General</c:formatCode>
                <c:ptCount val="9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756</c:v>
                </c:pt>
                <c:pt idx="5">
                  <c:v>762</c:v>
                </c:pt>
                <c:pt idx="6">
                  <c:v>768</c:v>
                </c:pt>
                <c:pt idx="7">
                  <c:v>778</c:v>
                </c:pt>
                <c:pt idx="8">
                  <c:v>790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17A-4622-A7B4-6C0AFF2FB48C}"/>
            </c:ext>
          </c:extLst>
        </c:ser>
        <c:ser>
          <c:idx val="8"/>
          <c:order val="8"/>
          <c:tx>
            <c:strRef>
              <c:f>Phase_Data!$A$10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Phase_Data!$B$10:$J$10</c:f>
              <c:numCache>
                <c:formatCode>General</c:formatCode>
                <c:ptCount val="9"/>
                <c:pt idx="0">
                  <c:v>758</c:v>
                </c:pt>
                <c:pt idx="1">
                  <c:v>758</c:v>
                </c:pt>
                <c:pt idx="2">
                  <c:v>758</c:v>
                </c:pt>
                <c:pt idx="3">
                  <c:v>758</c:v>
                </c:pt>
                <c:pt idx="4">
                  <c:v>758</c:v>
                </c:pt>
                <c:pt idx="5">
                  <c:v>768</c:v>
                </c:pt>
                <c:pt idx="6">
                  <c:v>778</c:v>
                </c:pt>
                <c:pt idx="7">
                  <c:v>792</c:v>
                </c:pt>
                <c:pt idx="8">
                  <c:v>808</c:v>
                </c:pt>
              </c:numCache>
            </c:numRef>
          </c:xVal>
          <c:yVal>
            <c:numRef>
              <c:f>Phase_Data!$B$1:$J$1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17A-4622-A7B4-6C0AFF2FB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9444511"/>
        <c:axId val="1723493263"/>
      </c:scatterChart>
      <c:valAx>
        <c:axId val="17194445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1723493263"/>
        <c:crosses val="autoZero"/>
        <c:crossBetween val="midCat"/>
      </c:valAx>
      <c:valAx>
        <c:axId val="1723493263"/>
        <c:scaling>
          <c:orientation val="minMax"/>
          <c:max val="300"/>
          <c:min val="10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1719444511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756</c:v>
                </c:pt>
                <c:pt idx="5">
                  <c:v>762</c:v>
                </c:pt>
                <c:pt idx="6">
                  <c:v>768</c:v>
                </c:pt>
                <c:pt idx="7">
                  <c:v>778</c:v>
                </c:pt>
                <c:pt idx="8">
                  <c:v>790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E6-46F5-AAB1-2E48343D6137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738</c:v>
                </c:pt>
                <c:pt idx="1">
                  <c:v>740</c:v>
                </c:pt>
                <c:pt idx="2">
                  <c:v>744</c:v>
                </c:pt>
                <c:pt idx="3">
                  <c:v>750</c:v>
                </c:pt>
                <c:pt idx="4">
                  <c:v>756</c:v>
                </c:pt>
                <c:pt idx="5">
                  <c:v>766</c:v>
                </c:pt>
                <c:pt idx="6">
                  <c:v>776</c:v>
                </c:pt>
                <c:pt idx="7">
                  <c:v>790</c:v>
                </c:pt>
                <c:pt idx="8">
                  <c:v>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E6-46F5-AAB1-2E48343D6137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P_Calc!$B$4:$J$4</c:f>
              <c:numCache>
                <c:formatCode>General</c:formatCode>
                <c:ptCount val="9"/>
                <c:pt idx="0">
                  <c:v>736</c:v>
                </c:pt>
                <c:pt idx="1">
                  <c:v>740</c:v>
                </c:pt>
                <c:pt idx="2">
                  <c:v>744</c:v>
                </c:pt>
                <c:pt idx="3">
                  <c:v>748</c:v>
                </c:pt>
                <c:pt idx="4">
                  <c:v>754</c:v>
                </c:pt>
                <c:pt idx="5">
                  <c:v>758</c:v>
                </c:pt>
                <c:pt idx="6">
                  <c:v>766</c:v>
                </c:pt>
                <c:pt idx="7">
                  <c:v>774</c:v>
                </c:pt>
                <c:pt idx="8">
                  <c:v>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E6-46F5-AAB1-2E48343D6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2831391"/>
        <c:axId val="1732832351"/>
      </c:scatterChart>
      <c:valAx>
        <c:axId val="1732831391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32832351"/>
        <c:crosses val="autoZero"/>
        <c:crossBetween val="midCat"/>
      </c:valAx>
      <c:valAx>
        <c:axId val="1732832351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732831391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P_Calc!$B$2:$J$2</c:f>
              <c:numCache>
                <c:formatCode>General</c:formatCode>
                <c:ptCount val="9"/>
                <c:pt idx="0">
                  <c:v>756</c:v>
                </c:pt>
                <c:pt idx="1">
                  <c:v>756</c:v>
                </c:pt>
                <c:pt idx="2">
                  <c:v>756</c:v>
                </c:pt>
                <c:pt idx="3">
                  <c:v>756</c:v>
                </c:pt>
                <c:pt idx="4">
                  <c:v>756</c:v>
                </c:pt>
                <c:pt idx="5">
                  <c:v>762</c:v>
                </c:pt>
                <c:pt idx="6">
                  <c:v>768</c:v>
                </c:pt>
                <c:pt idx="7">
                  <c:v>778</c:v>
                </c:pt>
                <c:pt idx="8">
                  <c:v>790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F9-4B77-BA72-63C4709C606D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P_Calc!$B$3:$J$3</c:f>
              <c:numCache>
                <c:formatCode>General</c:formatCode>
                <c:ptCount val="9"/>
                <c:pt idx="0">
                  <c:v>738</c:v>
                </c:pt>
                <c:pt idx="1">
                  <c:v>740</c:v>
                </c:pt>
                <c:pt idx="2">
                  <c:v>744</c:v>
                </c:pt>
                <c:pt idx="3">
                  <c:v>750</c:v>
                </c:pt>
                <c:pt idx="4">
                  <c:v>756</c:v>
                </c:pt>
                <c:pt idx="5">
                  <c:v>766</c:v>
                </c:pt>
                <c:pt idx="6">
                  <c:v>776</c:v>
                </c:pt>
                <c:pt idx="7">
                  <c:v>790</c:v>
                </c:pt>
                <c:pt idx="8">
                  <c:v>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F9-4B77-BA72-63C4709C6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7100607"/>
        <c:axId val="1497097247"/>
      </c:scatterChart>
      <c:valAx>
        <c:axId val="1497100607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97097247"/>
        <c:crosses val="autoZero"/>
        <c:crossBetween val="midCat"/>
      </c:valAx>
      <c:valAx>
        <c:axId val="1497097247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497100607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P_Calc!$B$6:$J$6</c:f>
              <c:numCache>
                <c:formatCode>General</c:formatCode>
                <c:ptCount val="9"/>
                <c:pt idx="0">
                  <c:v>20</c:v>
                </c:pt>
                <c:pt idx="1">
                  <c:v>16</c:v>
                </c:pt>
                <c:pt idx="2">
                  <c:v>12</c:v>
                </c:pt>
                <c:pt idx="3">
                  <c:v>8</c:v>
                </c:pt>
                <c:pt idx="4">
                  <c:v>2</c:v>
                </c:pt>
                <c:pt idx="5">
                  <c:v>8</c:v>
                </c:pt>
                <c:pt idx="6">
                  <c:v>10</c:v>
                </c:pt>
                <c:pt idx="7">
                  <c:v>16</c:v>
                </c:pt>
                <c:pt idx="8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7D-4BB3-AAA5-F31B4ADF73C7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P_Calc!$B$9:$J$9</c:f>
              <c:numCache>
                <c:formatCode>General</c:formatCode>
                <c:ptCount val="9"/>
                <c:pt idx="0">
                  <c:v>33.599999999990843</c:v>
                </c:pt>
                <c:pt idx="1">
                  <c:v>21.199999999995072</c:v>
                </c:pt>
                <c:pt idx="2">
                  <c:v>12.228571428569921</c:v>
                </c:pt>
                <c:pt idx="3">
                  <c:v>6.6857142857153633</c:v>
                </c:pt>
                <c:pt idx="4">
                  <c:v>4.57142857143144</c:v>
                </c:pt>
                <c:pt idx="5">
                  <c:v>5.8857142857181231</c:v>
                </c:pt>
                <c:pt idx="6">
                  <c:v>10.628571428575412</c:v>
                </c:pt>
                <c:pt idx="7">
                  <c:v>18.800000000003337</c:v>
                </c:pt>
                <c:pt idx="8">
                  <c:v>30.400000000001867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7D-4BB3-AAA5-F31B4ADF73C7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P_Calc!$B$13:$B$13</c:f>
              <c:numCache>
                <c:formatCode>0</c:formatCode>
                <c:ptCount val="1"/>
                <c:pt idx="0">
                  <c:v>197.08333333334267</c:v>
                </c:pt>
              </c:numCache>
            </c:numRef>
          </c:xVal>
          <c:yVal>
            <c:numRef>
              <c:f>P_Calc!$C$13:$C$13</c:f>
              <c:numCache>
                <c:formatCode>0</c:formatCode>
                <c:ptCount val="1"/>
                <c:pt idx="0">
                  <c:v>4.54809523809827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37D-4BB3-AAA5-F31B4ADF73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984479"/>
        <c:axId val="182983999"/>
      </c:scatterChart>
      <c:valAx>
        <c:axId val="18298447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82983999"/>
        <c:crosses val="autoZero"/>
        <c:crossBetween val="midCat"/>
      </c:valAx>
      <c:valAx>
        <c:axId val="182983999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82984479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P_Calc!$B$7:$J$7</c:f>
              <c:numCache>
                <c:formatCode>General</c:formatCode>
                <c:ptCount val="9"/>
                <c:pt idx="0">
                  <c:v>18</c:v>
                </c:pt>
                <c:pt idx="1">
                  <c:v>16</c:v>
                </c:pt>
                <c:pt idx="2">
                  <c:v>12</c:v>
                </c:pt>
                <c:pt idx="3">
                  <c:v>6</c:v>
                </c:pt>
                <c:pt idx="4">
                  <c:v>0</c:v>
                </c:pt>
                <c:pt idx="5">
                  <c:v>4</c:v>
                </c:pt>
                <c:pt idx="6">
                  <c:v>8</c:v>
                </c:pt>
                <c:pt idx="7">
                  <c:v>12</c:v>
                </c:pt>
                <c:pt idx="8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35-484D-B85B-3274C85E6A97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P_Calc!$B$1:$J$1</c:f>
              <c:numCache>
                <c:formatCode>General</c:formatCode>
                <c:ptCount val="9"/>
                <c:pt idx="0">
                  <c:v>300</c:v>
                </c:pt>
                <c:pt idx="1">
                  <c:v>275</c:v>
                </c:pt>
                <c:pt idx="2">
                  <c:v>250</c:v>
                </c:pt>
                <c:pt idx="3">
                  <c:v>225</c:v>
                </c:pt>
                <c:pt idx="4">
                  <c:v>200</c:v>
                </c:pt>
                <c:pt idx="5">
                  <c:v>175</c:v>
                </c:pt>
                <c:pt idx="6">
                  <c:v>150</c:v>
                </c:pt>
                <c:pt idx="7">
                  <c:v>125</c:v>
                </c:pt>
                <c:pt idx="8">
                  <c:v>100</c:v>
                </c:pt>
              </c:numCache>
            </c:numRef>
          </c:xVal>
          <c:yVal>
            <c:numRef>
              <c:f>P_Calc!$B$10:$J$10</c:f>
              <c:numCache>
                <c:formatCode>General</c:formatCode>
                <c:ptCount val="9"/>
                <c:pt idx="0">
                  <c:v>39.999999999995282</c:v>
                </c:pt>
                <c:pt idx="1">
                  <c:v>23.999999999998693</c:v>
                </c:pt>
                <c:pt idx="2">
                  <c:v>12.2857142857155</c:v>
                </c:pt>
                <c:pt idx="3">
                  <c:v>4.8571428571457602</c:v>
                </c:pt>
                <c:pt idx="4">
                  <c:v>1.7142857142894172</c:v>
                </c:pt>
                <c:pt idx="5">
                  <c:v>2.8571428571464992</c:v>
                </c:pt>
                <c:pt idx="6">
                  <c:v>8.2857142857169492</c:v>
                </c:pt>
                <c:pt idx="7">
                  <c:v>18.000000000000796</c:v>
                </c:pt>
                <c:pt idx="8">
                  <c:v>31.999999999998096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35-484D-B85B-3274C85E6A97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P_Calc!$B$14:$B$14</c:f>
              <c:numCache>
                <c:formatCode>0</c:formatCode>
                <c:ptCount val="1"/>
                <c:pt idx="0">
                  <c:v>194.16666666666754</c:v>
                </c:pt>
              </c:numCache>
            </c:numRef>
          </c:xVal>
          <c:yVal>
            <c:numRef>
              <c:f>P_Calc!$C$14:$C$14</c:f>
              <c:numCache>
                <c:formatCode>0</c:formatCode>
                <c:ptCount val="1"/>
                <c:pt idx="0">
                  <c:v>1.5976190476227714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35-484D-B85B-3274C85E6A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459599"/>
        <c:axId val="139458159"/>
      </c:scatterChart>
      <c:valAx>
        <c:axId val="139459599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39458159"/>
        <c:crosses val="autoZero"/>
        <c:crossBetween val="midCat"/>
      </c:valAx>
      <c:valAx>
        <c:axId val="139458159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139459599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DFB605E-9683-43BF-A47A-7BE0E2A03E41}">
  <sheetPr codeName="Chart1"/>
  <sheetViews>
    <sheetView zoomScale="10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4223" cy="629759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78E67C-F7A0-40E3-34A4-853C2C487AC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609600</xdr:colOff>
      <xdr:row>15</xdr:row>
      <xdr:rowOff>0</xdr:rowOff>
    </xdr:from>
    <xdr:to>
      <xdr:col>6</xdr:col>
      <xdr:colOff>304800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B72FAA-0817-166D-7E5B-DBF32E9BEB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304800</xdr:colOff>
      <xdr:row>15</xdr:row>
      <xdr:rowOff>0</xdr:rowOff>
    </xdr:from>
    <xdr:to>
      <xdr:col>12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75FEF6E-F9B8-1B3C-A928-A852028A1D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609600</xdr:colOff>
      <xdr:row>31</xdr:row>
      <xdr:rowOff>127000</xdr:rowOff>
    </xdr:from>
    <xdr:to>
      <xdr:col>6</xdr:col>
      <xdr:colOff>304800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F21AB01-2CAF-7F92-F0A4-A93A451951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304800</xdr:colOff>
      <xdr:row>31</xdr:row>
      <xdr:rowOff>127000</xdr:rowOff>
    </xdr:from>
    <xdr:to>
      <xdr:col>12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D137A2E-A2F2-31C2-ADFC-F27045C93B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3D10E1-3087-453C-BBE4-CEB0BA55B016}">
  <dimension ref="A1:R14"/>
  <sheetViews>
    <sheetView tabSelected="1" workbookViewId="0"/>
  </sheetViews>
  <sheetFormatPr defaultRowHeight="15" x14ac:dyDescent="0.2"/>
  <sheetData>
    <row r="1" spans="1:18" x14ac:dyDescent="0.2">
      <c r="A1" t="s">
        <v>137</v>
      </c>
      <c r="B1">
        <f>Phase_Data!B1</f>
        <v>300</v>
      </c>
      <c r="C1">
        <f>Phase_Data!C1</f>
        <v>275</v>
      </c>
      <c r="D1">
        <f>Phase_Data!D1</f>
        <v>250</v>
      </c>
      <c r="E1">
        <f>Phase_Data!E1</f>
        <v>225</v>
      </c>
      <c r="F1">
        <f>Phase_Data!F1</f>
        <v>200</v>
      </c>
      <c r="G1">
        <f>Phase_Data!G1</f>
        <v>175</v>
      </c>
      <c r="H1">
        <f>Phase_Data!H1</f>
        <v>150</v>
      </c>
      <c r="I1">
        <f>Phase_Data!I1</f>
        <v>125</v>
      </c>
      <c r="J1">
        <f>Phase_Data!J1</f>
        <v>100</v>
      </c>
      <c r="L1" t="s">
        <v>144</v>
      </c>
      <c r="M1" t="s">
        <v>145</v>
      </c>
      <c r="N1" t="s">
        <v>146</v>
      </c>
      <c r="P1" t="s">
        <v>147</v>
      </c>
      <c r="Q1" t="s">
        <v>148</v>
      </c>
      <c r="R1" t="s">
        <v>149</v>
      </c>
    </row>
    <row r="2" spans="1:18" x14ac:dyDescent="0.2">
      <c r="A2" t="s">
        <v>96</v>
      </c>
      <c r="B2">
        <f ca="1">IFERROR(VLOOKUP($A2,Phase_Data!$1:$1048576,COLUMN(),0),"-")</f>
        <v>756</v>
      </c>
      <c r="C2">
        <f ca="1">IFERROR(VLOOKUP($A2,Phase_Data!$1:$1048576,COLUMN(),0),"-")</f>
        <v>756</v>
      </c>
      <c r="D2">
        <f ca="1">IFERROR(VLOOKUP($A2,Phase_Data!$1:$1048576,COLUMN(),0),"-")</f>
        <v>756</v>
      </c>
      <c r="E2">
        <f ca="1">IFERROR(VLOOKUP($A2,Phase_Data!$1:$1048576,COLUMN(),0),"-")</f>
        <v>756</v>
      </c>
      <c r="F2">
        <f ca="1">IFERROR(VLOOKUP($A2,Phase_Data!$1:$1048576,COLUMN(),0),"-")</f>
        <v>756</v>
      </c>
      <c r="G2">
        <f ca="1">IFERROR(VLOOKUP($A2,Phase_Data!$1:$1048576,COLUMN(),0),"-")</f>
        <v>762</v>
      </c>
      <c r="H2">
        <f ca="1">IFERROR(VLOOKUP($A2,Phase_Data!$1:$1048576,COLUMN(),0),"-")</f>
        <v>768</v>
      </c>
      <c r="I2">
        <f ca="1">IFERROR(VLOOKUP($A2,Phase_Data!$1:$1048576,COLUMN(),0),"-")</f>
        <v>778</v>
      </c>
      <c r="J2">
        <f ca="1">IFERROR(VLOOKUP($A2,Phase_Data!$1:$1048576,COLUMN(),0),"-")</f>
        <v>790</v>
      </c>
    </row>
    <row r="3" spans="1:18" x14ac:dyDescent="0.2">
      <c r="A3" t="s">
        <v>135</v>
      </c>
      <c r="B3">
        <f ca="1">IFERROR(VLOOKUP($A3,Phase_Data!$1:$1048576,COLUMN(),0),"-")</f>
        <v>738</v>
      </c>
      <c r="C3">
        <f ca="1">IFERROR(VLOOKUP($A3,Phase_Data!$1:$1048576,COLUMN(),0),"-")</f>
        <v>740</v>
      </c>
      <c r="D3">
        <f ca="1">IFERROR(VLOOKUP($A3,Phase_Data!$1:$1048576,COLUMN(),0),"-")</f>
        <v>744</v>
      </c>
      <c r="E3">
        <f ca="1">IFERROR(VLOOKUP($A3,Phase_Data!$1:$1048576,COLUMN(),0),"-")</f>
        <v>750</v>
      </c>
      <c r="F3">
        <f ca="1">IFERROR(VLOOKUP($A3,Phase_Data!$1:$1048576,COLUMN(),0),"-")</f>
        <v>756</v>
      </c>
      <c r="G3">
        <f ca="1">IFERROR(VLOOKUP($A3,Phase_Data!$1:$1048576,COLUMN(),0),"-")</f>
        <v>766</v>
      </c>
      <c r="H3">
        <f ca="1">IFERROR(VLOOKUP($A3,Phase_Data!$1:$1048576,COLUMN(),0),"-")</f>
        <v>776</v>
      </c>
      <c r="I3">
        <f ca="1">IFERROR(VLOOKUP($A3,Phase_Data!$1:$1048576,COLUMN(),0),"-")</f>
        <v>790</v>
      </c>
      <c r="J3">
        <f ca="1">IFERROR(VLOOKUP($A3,Phase_Data!$1:$1048576,COLUMN(),0),"-")</f>
        <v>806</v>
      </c>
    </row>
    <row r="4" spans="1:18" x14ac:dyDescent="0.2">
      <c r="A4" t="s">
        <v>136</v>
      </c>
      <c r="B4">
        <f ca="1">IFERROR(VLOOKUP($A4,Phase_Data!$1:$1048576,COLUMN(),0),"-")</f>
        <v>736</v>
      </c>
      <c r="C4">
        <f ca="1">IFERROR(VLOOKUP($A4,Phase_Data!$1:$1048576,COLUMN(),0),"-")</f>
        <v>740</v>
      </c>
      <c r="D4">
        <f ca="1">IFERROR(VLOOKUP($A4,Phase_Data!$1:$1048576,COLUMN(),0),"-")</f>
        <v>744</v>
      </c>
      <c r="E4">
        <f ca="1">IFERROR(VLOOKUP($A4,Phase_Data!$1:$1048576,COLUMN(),0),"-")</f>
        <v>748</v>
      </c>
      <c r="F4">
        <f ca="1">IFERROR(VLOOKUP($A4,Phase_Data!$1:$1048576,COLUMN(),0),"-")</f>
        <v>754</v>
      </c>
      <c r="G4">
        <f ca="1">IFERROR(VLOOKUP($A4,Phase_Data!$1:$1048576,COLUMN(),0),"-")</f>
        <v>758</v>
      </c>
      <c r="H4">
        <f ca="1">IFERROR(VLOOKUP($A4,Phase_Data!$1:$1048576,COLUMN(),0),"-")</f>
        <v>766</v>
      </c>
      <c r="I4">
        <f ca="1">IFERROR(VLOOKUP($A4,Phase_Data!$1:$1048576,COLUMN(),0),"-")</f>
        <v>774</v>
      </c>
      <c r="J4">
        <f ca="1">IFERROR(VLOOKUP($A4,Phase_Data!$1:$1048576,COLUMN(),0),"-")</f>
        <v>786</v>
      </c>
    </row>
    <row r="6" spans="1:18" x14ac:dyDescent="0.2">
      <c r="A6" t="s">
        <v>138</v>
      </c>
      <c r="B6">
        <f ca="1">IF(AND(B2&lt;&gt;0,B3&lt;&gt;0,B4&lt;&gt;0),MAX(B2:B4)-MIN(B2:B4),"-")</f>
        <v>20</v>
      </c>
      <c r="C6">
        <f t="shared" ref="C6:J6" ca="1" si="0">IF(AND(C2&lt;&gt;0,C3&lt;&gt;0,C4&lt;&gt;0),MAX(C2:C4)-MIN(C2:C4),"-")</f>
        <v>16</v>
      </c>
      <c r="D6">
        <f t="shared" ca="1" si="0"/>
        <v>12</v>
      </c>
      <c r="E6">
        <f t="shared" ca="1" si="0"/>
        <v>8</v>
      </c>
      <c r="F6">
        <f t="shared" ca="1" si="0"/>
        <v>2</v>
      </c>
      <c r="G6">
        <f t="shared" ca="1" si="0"/>
        <v>8</v>
      </c>
      <c r="H6">
        <f t="shared" ca="1" si="0"/>
        <v>10</v>
      </c>
      <c r="I6">
        <f t="shared" ca="1" si="0"/>
        <v>16</v>
      </c>
      <c r="J6">
        <f t="shared" ca="1" si="0"/>
        <v>20</v>
      </c>
      <c r="L6">
        <f ca="1">MIN(B6:J6)</f>
        <v>2</v>
      </c>
      <c r="M6">
        <f ca="1">IF(L6&lt;=5,INDEX(B$1:J$1,1,MATCH(L6,B6:J6,0)),"-")</f>
        <v>200</v>
      </c>
      <c r="N6">
        <f ca="1">IF(L6&lt;=5,MATCH(L6,B6:J6,0),"-")</f>
        <v>5</v>
      </c>
      <c r="P6">
        <f t="array" aca="1" ref="P6:R6" ca="1">IF(N6="-","-",TRANSPOSE(MMULT(MINVERSE(MMULT(TRANSPOSE(generate_matrix(TRANSPOSE(INDEX(B$1:J$1,1,MAX(N6-2,1)):INDEX(B$1:J$1,1,MIN(N6+2,COUNT(B$1:J$1)))))),generate_matrix(TRANSPOSE(INDEX(B$1:J$1,1,MAX(N6-2,1)):INDEX(B$1:J$1,1,MIN(N6+2,COUNT(B$1:J$1))))))),MMULT(TRANSPOSE(generate_matrix(TRANSPOSE(INDEX(B$1:J$1,1,MAX(N6-2,1)):INDEX(B$1:J$1,1,MIN(N6+2,COUNT(B$1:J$1)))))),TRANSPOSE(INDEX(B6:J6,1,MAX(N6-2,1)):INDEX(B6:J6,1,MIN(N6+2,COUNT(B$1:J$1))))))))</f>
        <v>111.08571428570212</v>
      </c>
      <c r="Q6">
        <f ca="1"/>
        <v>-1.0811428571426518</v>
      </c>
      <c r="R6">
        <f ca="1"/>
        <v>2.7428571428564918E-3</v>
      </c>
    </row>
    <row r="7" spans="1:18" x14ac:dyDescent="0.2">
      <c r="A7" t="s">
        <v>139</v>
      </c>
      <c r="B7">
        <f ca="1">IF(AND(MAX(B2:B4)&lt;&gt;0,LARGE(B2:B4,2)&lt;&gt;0),MAX(B2:B4)-LARGE(B2:B4,2),"-")</f>
        <v>18</v>
      </c>
      <c r="C7">
        <f t="shared" ref="C7:J7" ca="1" si="1">IF(AND(MAX(C2:C4)&lt;&gt;0,LARGE(C2:C4,2)&lt;&gt;0),MAX(C2:C4)-LARGE(C2:C4,2),"-")</f>
        <v>16</v>
      </c>
      <c r="D7">
        <f t="shared" ca="1" si="1"/>
        <v>12</v>
      </c>
      <c r="E7">
        <f t="shared" ca="1" si="1"/>
        <v>6</v>
      </c>
      <c r="F7">
        <f t="shared" ca="1" si="1"/>
        <v>0</v>
      </c>
      <c r="G7">
        <f t="shared" ca="1" si="1"/>
        <v>4</v>
      </c>
      <c r="H7">
        <f t="shared" ca="1" si="1"/>
        <v>8</v>
      </c>
      <c r="I7">
        <f t="shared" ca="1" si="1"/>
        <v>12</v>
      </c>
      <c r="J7">
        <f t="shared" ca="1" si="1"/>
        <v>16</v>
      </c>
      <c r="L7">
        <f ca="1">MIN(B7:J7)</f>
        <v>0</v>
      </c>
      <c r="M7">
        <f ca="1">IF(L7&lt;=5,INDEX(B$1:J$1,1,MATCH(L7,B7:J7,0)),"-")</f>
        <v>200</v>
      </c>
      <c r="N7">
        <f ca="1">IF(L7&lt;=5,MATCH(L7,B7:J7,0),"-")</f>
        <v>5</v>
      </c>
      <c r="P7">
        <f t="array" aca="1" ref="P7:R7" ca="1">IF(N7="-","-",TRANSPOSE(MMULT(MINVERSE(MMULT(TRANSPOSE(generate_matrix(TRANSPOSE(INDEX(B$1:J$1,1,MAX(N7-2,1)):INDEX(B$1:J$1,1,MIN(N7+2,COUNT(B$1:J$1)))))),generate_matrix(TRANSPOSE(INDEX(B$1:J$1,1,MAX(N7-2,1)):INDEX(B$1:J$1,1,MIN(N7+2,COUNT(B$1:J$1))))))),MMULT(TRANSPOSE(generate_matrix(TRANSPOSE(INDEX(B$1:J$1,1,MAX(N7-2,1)):INDEX(B$1:J$1,1,MIN(N7+2,COUNT(B$1:J$1)))))),TRANSPOSE(INDEX(B7:J7,1,MAX(N7-2,1)):INDEX(B7:J7,1,MIN(N7+2,COUNT(B$1:J$1))))))))</f>
        <v>130.85714285712129</v>
      </c>
      <c r="Q7">
        <f ca="1"/>
        <v>-1.3314285714283045</v>
      </c>
      <c r="R7">
        <f ca="1"/>
        <v>3.4285714285707258E-3</v>
      </c>
    </row>
    <row r="9" spans="1:18" x14ac:dyDescent="0.2">
      <c r="A9" t="s">
        <v>140</v>
      </c>
      <c r="B9">
        <f ca="1">IFERROR(IF($R6&gt;0,$R6*B$1^2+$Q6*B$1+$P6,"-"),"-")</f>
        <v>33.599999999990843</v>
      </c>
      <c r="C9">
        <f ca="1">IFERROR(IF($R6&gt;0,$R6*C$1^2+$Q6*C$1+$P6,"-"),"-")</f>
        <v>21.199999999995072</v>
      </c>
      <c r="D9">
        <f ca="1">IFERROR(IF($R6&gt;0,$R6*D$1^2+$Q6*D$1+$P6,"-"),"-")</f>
        <v>12.228571428569921</v>
      </c>
      <c r="E9">
        <f ca="1">IFERROR(IF($R6&gt;0,$R6*E$1^2+$Q6*E$1+$P6,"-"),"-")</f>
        <v>6.6857142857153633</v>
      </c>
      <c r="F9">
        <f ca="1">IFERROR(IF($R6&gt;0,$R6*F$1^2+$Q6*F$1+$P6,"-"),"-")</f>
        <v>4.57142857143144</v>
      </c>
      <c r="G9">
        <f ca="1">IFERROR(IF($R6&gt;0,$R6*G$1^2+$Q6*G$1+$P6,"-"),"-")</f>
        <v>5.8857142857181231</v>
      </c>
      <c r="H9">
        <f ca="1">IFERROR(IF($R6&gt;0,$R6*H$1^2+$Q6*H$1+$P6,"-"),"-")</f>
        <v>10.628571428575412</v>
      </c>
      <c r="I9">
        <f ca="1">IFERROR(IF($R6&gt;0,$R6*I$1^2+$Q6*I$1+$P6,"-"),"-")</f>
        <v>18.800000000003337</v>
      </c>
      <c r="J9">
        <f ca="1">IFERROR(IF($R6&gt;0,$R6*J$1^2+$Q6*J$1+$P6,"-"),"-")</f>
        <v>30.400000000001867</v>
      </c>
    </row>
    <row r="10" spans="1:18" x14ac:dyDescent="0.2">
      <c r="A10" t="s">
        <v>141</v>
      </c>
      <c r="B10">
        <f ca="1">IFERROR(IF($R7&gt;0,$R7*B$1^2+$Q7*B$1+$P7,"-"),"-")</f>
        <v>39.999999999995282</v>
      </c>
      <c r="C10">
        <f ca="1">IFERROR(IF($R7&gt;0,$R7*C$1^2+$Q7*C$1+$P7,"-"),"-")</f>
        <v>23.999999999998693</v>
      </c>
      <c r="D10">
        <f ca="1">IFERROR(IF($R7&gt;0,$R7*D$1^2+$Q7*D$1+$P7,"-"),"-")</f>
        <v>12.2857142857155</v>
      </c>
      <c r="E10">
        <f ca="1">IFERROR(IF($R7&gt;0,$R7*E$1^2+$Q7*E$1+$P7,"-"),"-")</f>
        <v>4.8571428571457602</v>
      </c>
      <c r="F10">
        <f ca="1">IFERROR(IF($R7&gt;0,$R7*F$1^2+$Q7*F$1+$P7,"-"),"-")</f>
        <v>1.7142857142894172</v>
      </c>
      <c r="G10">
        <f ca="1">IFERROR(IF($R7&gt;0,$R7*G$1^2+$Q7*G$1+$P7,"-"),"-")</f>
        <v>2.8571428571464992</v>
      </c>
      <c r="H10">
        <f ca="1">IFERROR(IF($R7&gt;0,$R7*H$1^2+$Q7*H$1+$P7,"-"),"-")</f>
        <v>8.2857142857169492</v>
      </c>
      <c r="I10">
        <f ca="1">IFERROR(IF($R7&gt;0,$R7*I$1^2+$Q7*I$1+$P7,"-"),"-")</f>
        <v>18.000000000000796</v>
      </c>
      <c r="J10">
        <f ca="1">IFERROR(IF($R7&gt;0,$R7*J$1^2+$Q7*J$1+$P7,"-"),"-")</f>
        <v>31.999999999998096</v>
      </c>
    </row>
    <row r="12" spans="1:18" x14ac:dyDescent="0.2">
      <c r="B12" t="s">
        <v>150</v>
      </c>
      <c r="C12" t="s">
        <v>151</v>
      </c>
    </row>
    <row r="13" spans="1:18" x14ac:dyDescent="0.2">
      <c r="A13" t="s">
        <v>142</v>
      </c>
      <c r="B13" s="2">
        <f ca="1">IFERROR(IF($L6&lt;=5,IF($R6&gt;0,-$Q6/(2*$R6),"-"),"-"),"-")</f>
        <v>197.08333333334267</v>
      </c>
      <c r="C13" s="2">
        <f ca="1">IFERROR(IF($R6&gt;0,$R6*B13^2+$Q6*B13+$P6,"-"),"-")</f>
        <v>4.54809523809827</v>
      </c>
    </row>
    <row r="14" spans="1:18" x14ac:dyDescent="0.2">
      <c r="A14" t="s">
        <v>143</v>
      </c>
      <c r="B14" s="2">
        <f ca="1">IFERROR(IF($L7&lt;=5,IF($R7&gt;0,-$Q7/(2*$R7),"-"),"-"),"-")</f>
        <v>194.16666666666754</v>
      </c>
      <c r="C14" s="2">
        <f ca="1">IFERROR(IF($R7&gt;0,$R7*B14^2+$Q7*B14+$P7,"-"),"-")</f>
        <v>1.5976190476227714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D6473-762C-42B2-A93F-D2875DCE4353}">
  <sheetPr codeName="Sheet2"/>
  <dimension ref="A1:J11"/>
  <sheetViews>
    <sheetView workbookViewId="0"/>
  </sheetViews>
  <sheetFormatPr defaultRowHeight="15" x14ac:dyDescent="0.2"/>
  <sheetData>
    <row r="1" spans="1:10" x14ac:dyDescent="0.2">
      <c r="A1">
        <v>300</v>
      </c>
      <c r="B1">
        <v>300</v>
      </c>
      <c r="C1">
        <v>275</v>
      </c>
      <c r="D1">
        <v>250</v>
      </c>
      <c r="E1">
        <v>225</v>
      </c>
      <c r="F1">
        <v>200</v>
      </c>
      <c r="G1">
        <v>175</v>
      </c>
      <c r="H1">
        <v>150</v>
      </c>
      <c r="I1">
        <v>125</v>
      </c>
      <c r="J1">
        <v>100</v>
      </c>
    </row>
    <row r="2" spans="1:10" x14ac:dyDescent="0.2">
      <c r="A2" t="s">
        <v>134</v>
      </c>
      <c r="B2">
        <f ca="1">_xlfn.IFNA(INDEX(INDIRECT("'"&amp;$A2&amp;"'!$B:$B"),MATCH(B$1,INDIRECT("'"&amp;$A2&amp;"'!$c:$c"),0)),"")</f>
        <v>758</v>
      </c>
      <c r="C2">
        <f t="shared" ref="C2:J11" ca="1" si="0">_xlfn.IFNA(INDEX(INDIRECT("'"&amp;$A2&amp;"'!$B:$B"),MATCH(C$1,INDIRECT("'"&amp;$A2&amp;"'!$c:$c"),0)),"")</f>
        <v>758</v>
      </c>
      <c r="D2">
        <f t="shared" ca="1" si="0"/>
        <v>758</v>
      </c>
      <c r="E2">
        <f t="shared" ca="1" si="0"/>
        <v>758</v>
      </c>
      <c r="F2">
        <f t="shared" ca="1" si="0"/>
        <v>758</v>
      </c>
      <c r="G2">
        <f t="shared" ca="1" si="0"/>
        <v>768</v>
      </c>
      <c r="H2">
        <f t="shared" ca="1" si="0"/>
        <v>778</v>
      </c>
      <c r="I2">
        <f t="shared" ca="1" si="0"/>
        <v>792</v>
      </c>
      <c r="J2">
        <f t="shared" ca="1" si="0"/>
        <v>808</v>
      </c>
    </row>
    <row r="3" spans="1:10" x14ac:dyDescent="0.2">
      <c r="A3" t="s">
        <v>97</v>
      </c>
      <c r="B3">
        <f ca="1">_xlfn.IFNA(INDEX(INDIRECT("'"&amp;$A3&amp;"'!$B:$B"),MATCH(B$1,INDIRECT("'"&amp;$A3&amp;"'!$c:$c"),0)),"")</f>
        <v>734</v>
      </c>
      <c r="C3">
        <f t="shared" ca="1" si="0"/>
        <v>738</v>
      </c>
      <c r="D3">
        <f t="shared" ca="1" si="0"/>
        <v>742</v>
      </c>
      <c r="E3">
        <f t="shared" ca="1" si="0"/>
        <v>746</v>
      </c>
      <c r="F3">
        <f t="shared" ca="1" si="0"/>
        <v>750</v>
      </c>
      <c r="G3">
        <f t="shared" ca="1" si="0"/>
        <v>754</v>
      </c>
      <c r="H3">
        <f t="shared" ca="1" si="0"/>
        <v>760</v>
      </c>
      <c r="I3">
        <f t="shared" ca="1" si="0"/>
        <v>768</v>
      </c>
    </row>
    <row r="4" spans="1:10" x14ac:dyDescent="0.2">
      <c r="A4" t="s">
        <v>101</v>
      </c>
      <c r="B4">
        <f ca="1">_xlfn.IFNA(INDEX(INDIRECT("'"&amp;$A4&amp;"'!$B:$B"),MATCH(B$1,INDIRECT("'"&amp;$A4&amp;"'!$c:$c"),0)),"")</f>
        <v>734</v>
      </c>
      <c r="C4">
        <f t="shared" ca="1" si="0"/>
        <v>738</v>
      </c>
      <c r="D4">
        <f t="shared" ca="1" si="0"/>
        <v>742</v>
      </c>
      <c r="E4">
        <f t="shared" ca="1" si="0"/>
        <v>746</v>
      </c>
      <c r="F4">
        <f t="shared" ca="1" si="0"/>
        <v>750</v>
      </c>
      <c r="G4">
        <f t="shared" ca="1" si="0"/>
        <v>756</v>
      </c>
      <c r="H4">
        <f t="shared" ca="1" si="0"/>
        <v>764</v>
      </c>
      <c r="I4">
        <f t="shared" ca="1" si="0"/>
        <v>772</v>
      </c>
      <c r="J4">
        <f t="shared" ca="1" si="0"/>
        <v>784</v>
      </c>
    </row>
    <row r="5" spans="1:10" x14ac:dyDescent="0.2">
      <c r="A5" t="s">
        <v>88</v>
      </c>
      <c r="B5">
        <f ca="1">_xlfn.IFNA(INDEX(INDIRECT("'"&amp;$A5&amp;"'!$B:$B"),MATCH(B$1,INDIRECT("'"&amp;$A5&amp;"'!$c:$c"),0)),"")</f>
        <v>734</v>
      </c>
    </row>
    <row r="6" spans="1:10" x14ac:dyDescent="0.2">
      <c r="A6" t="s">
        <v>94</v>
      </c>
      <c r="B6">
        <f ca="1">_xlfn.IFNA(INDEX(INDIRECT("'"&amp;$A6&amp;"'!$B:$B"),MATCH(B$1,INDIRECT("'"&amp;$A6&amp;"'!$c:$c"),0)),"")</f>
        <v>734</v>
      </c>
      <c r="C6">
        <f t="shared" ca="1" si="0"/>
        <v>738</v>
      </c>
      <c r="D6">
        <f t="shared" ca="1" si="0"/>
        <v>742</v>
      </c>
      <c r="E6">
        <f t="shared" ca="1" si="0"/>
        <v>746</v>
      </c>
      <c r="F6">
        <f t="shared" ca="1" si="0"/>
        <v>750</v>
      </c>
      <c r="G6">
        <f t="shared" ca="1" si="0"/>
        <v>756</v>
      </c>
      <c r="H6">
        <f t="shared" ca="1" si="0"/>
        <v>762</v>
      </c>
      <c r="I6">
        <f t="shared" ca="1" si="0"/>
        <v>770</v>
      </c>
      <c r="J6">
        <f t="shared" ca="1" si="0"/>
        <v>780</v>
      </c>
    </row>
    <row r="7" spans="1:10" x14ac:dyDescent="0.2">
      <c r="A7" t="s">
        <v>135</v>
      </c>
      <c r="B7">
        <f ca="1">_xlfn.IFNA(INDEX(INDIRECT("'"&amp;$A7&amp;"'!$B:$B"),MATCH(B$1,INDIRECT("'"&amp;$A7&amp;"'!$c:$c"),0)),"")</f>
        <v>738</v>
      </c>
      <c r="C7">
        <f t="shared" ca="1" si="0"/>
        <v>740</v>
      </c>
      <c r="D7">
        <f t="shared" ca="1" si="0"/>
        <v>744</v>
      </c>
      <c r="E7">
        <f t="shared" ca="1" si="0"/>
        <v>750</v>
      </c>
      <c r="F7">
        <f t="shared" ca="1" si="0"/>
        <v>756</v>
      </c>
      <c r="G7">
        <f t="shared" ca="1" si="0"/>
        <v>766</v>
      </c>
      <c r="H7">
        <f t="shared" ca="1" si="0"/>
        <v>776</v>
      </c>
      <c r="I7">
        <f t="shared" ca="1" si="0"/>
        <v>790</v>
      </c>
      <c r="J7">
        <f t="shared" ca="1" si="0"/>
        <v>806</v>
      </c>
    </row>
    <row r="8" spans="1:10" x14ac:dyDescent="0.2">
      <c r="A8" t="s">
        <v>136</v>
      </c>
      <c r="B8">
        <f ca="1">_xlfn.IFNA(INDEX(INDIRECT("'"&amp;$A8&amp;"'!$B:$B"),MATCH(B$1,INDIRECT("'"&amp;$A8&amp;"'!$c:$c"),0)),"")</f>
        <v>736</v>
      </c>
      <c r="C8">
        <f t="shared" ca="1" si="0"/>
        <v>740</v>
      </c>
      <c r="D8">
        <f t="shared" ca="1" si="0"/>
        <v>744</v>
      </c>
      <c r="E8">
        <f t="shared" ca="1" si="0"/>
        <v>748</v>
      </c>
      <c r="F8">
        <f t="shared" ca="1" si="0"/>
        <v>754</v>
      </c>
      <c r="G8">
        <f t="shared" ca="1" si="0"/>
        <v>758</v>
      </c>
      <c r="H8">
        <f t="shared" ca="1" si="0"/>
        <v>766</v>
      </c>
      <c r="I8">
        <f t="shared" ca="1" si="0"/>
        <v>774</v>
      </c>
      <c r="J8">
        <f t="shared" ca="1" si="0"/>
        <v>786</v>
      </c>
    </row>
    <row r="9" spans="1:10" x14ac:dyDescent="0.2">
      <c r="A9" t="s">
        <v>96</v>
      </c>
      <c r="B9">
        <f ca="1">_xlfn.IFNA(INDEX(INDIRECT("'"&amp;$A9&amp;"'!$B:$B"),MATCH(B$1,INDIRECT("'"&amp;$A9&amp;"'!$c:$c"),0)),"")</f>
        <v>756</v>
      </c>
      <c r="C9">
        <f t="shared" ca="1" si="0"/>
        <v>756</v>
      </c>
      <c r="D9">
        <f t="shared" ca="1" si="0"/>
        <v>756</v>
      </c>
      <c r="E9">
        <f t="shared" ca="1" si="0"/>
        <v>756</v>
      </c>
      <c r="F9">
        <f t="shared" ca="1" si="0"/>
        <v>756</v>
      </c>
      <c r="G9">
        <f t="shared" ca="1" si="0"/>
        <v>762</v>
      </c>
      <c r="H9">
        <f t="shared" ca="1" si="0"/>
        <v>768</v>
      </c>
      <c r="I9">
        <f t="shared" ca="1" si="0"/>
        <v>778</v>
      </c>
      <c r="J9">
        <f t="shared" ca="1" si="0"/>
        <v>790</v>
      </c>
    </row>
    <row r="10" spans="1:10" x14ac:dyDescent="0.2">
      <c r="A10" t="s">
        <v>71</v>
      </c>
      <c r="B10">
        <f ca="1">_xlfn.IFNA(INDEX(INDIRECT("'"&amp;$A10&amp;"'!$B:$B"),MATCH(B$1,INDIRECT("'"&amp;$A10&amp;"'!$c:$c"),0)),"")</f>
        <v>758</v>
      </c>
      <c r="C10">
        <f t="shared" ca="1" si="0"/>
        <v>758</v>
      </c>
      <c r="D10">
        <f t="shared" ca="1" si="0"/>
        <v>758</v>
      </c>
      <c r="E10">
        <f t="shared" ca="1" si="0"/>
        <v>758</v>
      </c>
      <c r="F10">
        <f t="shared" ca="1" si="0"/>
        <v>758</v>
      </c>
      <c r="G10">
        <f t="shared" ca="1" si="0"/>
        <v>768</v>
      </c>
      <c r="H10">
        <f t="shared" ca="1" si="0"/>
        <v>778</v>
      </c>
      <c r="I10">
        <f t="shared" ca="1" si="0"/>
        <v>792</v>
      </c>
      <c r="J10">
        <f t="shared" ca="1" si="0"/>
        <v>808</v>
      </c>
    </row>
    <row r="11" spans="1:10" x14ac:dyDescent="0.2">
      <c r="A11" t="s">
        <v>84</v>
      </c>
      <c r="B11">
        <f ca="1">_xlfn.IFNA(INDEX(INDIRECT("'"&amp;$A11&amp;"'!$B:$B"),MATCH(B$1,INDIRECT("'"&amp;$A11&amp;"'!$c:$c"),0)),"")</f>
        <v>738</v>
      </c>
      <c r="C11">
        <f t="shared" ca="1" si="0"/>
        <v>740</v>
      </c>
      <c r="D11">
        <f t="shared" ca="1" si="0"/>
        <v>744</v>
      </c>
      <c r="E11">
        <f t="shared" ca="1" si="0"/>
        <v>750</v>
      </c>
      <c r="F11">
        <f t="shared" ca="1" si="0"/>
        <v>756</v>
      </c>
      <c r="G11">
        <f t="shared" ca="1" si="0"/>
        <v>766</v>
      </c>
      <c r="H11">
        <f t="shared" ca="1" si="0"/>
        <v>776</v>
      </c>
      <c r="I11">
        <f t="shared" ca="1" si="0"/>
        <v>790</v>
      </c>
      <c r="J11">
        <f t="shared" ca="1" si="0"/>
        <v>806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4C7CE-0C33-4DC7-B375-A2418FD8D246}">
  <sheetPr codeName="Sheet3"/>
  <dimension ref="A1:Q97"/>
  <sheetViews>
    <sheetView workbookViewId="0"/>
  </sheetViews>
  <sheetFormatPr defaultRowHeight="15" x14ac:dyDescent="0.2"/>
  <sheetData>
    <row r="1" spans="1:17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">
      <c r="A2">
        <v>1</v>
      </c>
      <c r="B2">
        <v>758</v>
      </c>
      <c r="C2">
        <v>300</v>
      </c>
      <c r="D2">
        <v>0.27672065169955901</v>
      </c>
      <c r="E2">
        <v>109.68166074849</v>
      </c>
      <c r="F2">
        <v>2.0031775855791598</v>
      </c>
      <c r="G2">
        <v>-1815.6709698230979</v>
      </c>
      <c r="H2">
        <v>-1492.8224177743327</v>
      </c>
      <c r="I2">
        <v>313.09766744253699</v>
      </c>
      <c r="J2">
        <v>158.00112085179899</v>
      </c>
      <c r="K2">
        <v>54.753837871433099</v>
      </c>
      <c r="L2">
        <v>0.88391920259010137</v>
      </c>
      <c r="M2">
        <v>-0.88376985511348627</v>
      </c>
      <c r="N2">
        <v>48.3908657750003</v>
      </c>
      <c r="O2">
        <v>48.390861882717303</v>
      </c>
      <c r="P2">
        <v>48.390857991277002</v>
      </c>
      <c r="Q2" t="s">
        <v>51</v>
      </c>
    </row>
    <row r="3" spans="1:17" x14ac:dyDescent="0.2">
      <c r="A3">
        <v>2</v>
      </c>
      <c r="B3">
        <v>756</v>
      </c>
      <c r="C3">
        <v>300</v>
      </c>
      <c r="D3">
        <v>0.27517903123937498</v>
      </c>
      <c r="E3">
        <v>109.681713724847</v>
      </c>
      <c r="F3">
        <v>2.0042557213032501</v>
      </c>
      <c r="G3">
        <v>-1815.0459448314423</v>
      </c>
      <c r="H3">
        <v>-1493.1685242281876</v>
      </c>
      <c r="I3">
        <v>312.76250733583697</v>
      </c>
      <c r="J3">
        <v>157.994214913344</v>
      </c>
      <c r="K3">
        <v>54.724410941697101</v>
      </c>
      <c r="L3">
        <v>0.88255096076606676</v>
      </c>
      <c r="M3">
        <v>-0.88240138627288711</v>
      </c>
      <c r="N3">
        <v>48.289967483958598</v>
      </c>
      <c r="O3">
        <v>48.289963513660297</v>
      </c>
      <c r="P3">
        <v>48.289959620350302</v>
      </c>
      <c r="Q3" t="s">
        <v>51</v>
      </c>
    </row>
    <row r="4" spans="1:17" x14ac:dyDescent="0.2">
      <c r="A4">
        <v>3</v>
      </c>
      <c r="B4">
        <v>754</v>
      </c>
      <c r="C4">
        <v>300</v>
      </c>
      <c r="D4">
        <v>0.27363140729202201</v>
      </c>
      <c r="E4">
        <v>109.681773812385</v>
      </c>
      <c r="F4">
        <v>2.00535777702214</v>
      </c>
      <c r="G4">
        <v>-1814.4217669074867</v>
      </c>
      <c r="H4">
        <v>-1493.5592720311913</v>
      </c>
      <c r="I4">
        <v>312.38341321079997</v>
      </c>
      <c r="J4">
        <v>158.00098561063299</v>
      </c>
      <c r="K4">
        <v>54.694366795364303</v>
      </c>
      <c r="L4">
        <v>0.87886036960282643</v>
      </c>
      <c r="M4">
        <v>-0.87870999558587992</v>
      </c>
      <c r="N4">
        <v>48.061559383602599</v>
      </c>
      <c r="O4">
        <v>48.061555319353701</v>
      </c>
      <c r="P4">
        <v>48.061551409477801</v>
      </c>
      <c r="Q4" t="s">
        <v>51</v>
      </c>
    </row>
    <row r="5" spans="1:17" x14ac:dyDescent="0.2">
      <c r="A5">
        <v>4</v>
      </c>
      <c r="B5">
        <v>752</v>
      </c>
      <c r="C5">
        <v>300</v>
      </c>
      <c r="D5">
        <v>0.27207774472028401</v>
      </c>
      <c r="E5">
        <v>109.681834368369</v>
      </c>
      <c r="F5">
        <v>2.0064654912772499</v>
      </c>
      <c r="G5">
        <v>-1813.7983545922852</v>
      </c>
      <c r="H5">
        <v>-1493.9493179680512</v>
      </c>
      <c r="I5">
        <v>312.00427119900002</v>
      </c>
      <c r="J5">
        <v>158.007471601541</v>
      </c>
      <c r="K5">
        <v>54.6642017244708</v>
      </c>
      <c r="L5">
        <v>0.87520936401131311</v>
      </c>
      <c r="M5">
        <v>-0.87505820866877515</v>
      </c>
      <c r="N5">
        <v>47.835432018438297</v>
      </c>
      <c r="O5">
        <v>47.835427859627799</v>
      </c>
      <c r="P5">
        <v>47.835423933785201</v>
      </c>
      <c r="Q5" t="s">
        <v>51</v>
      </c>
    </row>
    <row r="6" spans="1:17" x14ac:dyDescent="0.2">
      <c r="A6">
        <v>5</v>
      </c>
      <c r="B6">
        <v>750</v>
      </c>
      <c r="C6">
        <v>300</v>
      </c>
      <c r="D6">
        <v>0.270518008112205</v>
      </c>
      <c r="E6">
        <v>109.681895397217</v>
      </c>
      <c r="F6">
        <v>2.0075787828896301</v>
      </c>
      <c r="G6">
        <v>-1813.175708062545</v>
      </c>
      <c r="H6">
        <v>-1494.3386736800514</v>
      </c>
      <c r="I6">
        <v>311.62506981693099</v>
      </c>
      <c r="J6">
        <v>158.01367153258499</v>
      </c>
      <c r="K6">
        <v>54.6339183956432</v>
      </c>
      <c r="L6">
        <v>0.87159725434064605</v>
      </c>
      <c r="M6">
        <v>-0.87144533568444904</v>
      </c>
      <c r="N6">
        <v>47.611547767979502</v>
      </c>
      <c r="O6">
        <v>47.6115435140171</v>
      </c>
      <c r="P6">
        <v>47.611539572802201</v>
      </c>
      <c r="Q6" t="s">
        <v>51</v>
      </c>
    </row>
    <row r="7" spans="1:17" x14ac:dyDescent="0.2">
      <c r="A7">
        <v>6</v>
      </c>
      <c r="B7">
        <v>748</v>
      </c>
      <c r="C7">
        <v>300</v>
      </c>
      <c r="D7">
        <v>0.26895216177838999</v>
      </c>
      <c r="E7">
        <v>109.681956903467</v>
      </c>
      <c r="F7">
        <v>2.0086975725666401</v>
      </c>
      <c r="G7">
        <v>-1812.5538275196909</v>
      </c>
      <c r="H7">
        <v>-1494.7273505509124</v>
      </c>
      <c r="I7">
        <v>311.24579776748902</v>
      </c>
      <c r="J7">
        <v>158.019583962289</v>
      </c>
      <c r="K7">
        <v>54.603519415478701</v>
      </c>
      <c r="L7">
        <v>0.86802336648791412</v>
      </c>
      <c r="M7">
        <v>-0.8678707023484562</v>
      </c>
      <c r="N7">
        <v>47.389869825849502</v>
      </c>
      <c r="O7">
        <v>47.389865476166399</v>
      </c>
      <c r="P7">
        <v>47.3898615201689</v>
      </c>
      <c r="Q7" t="s">
        <v>51</v>
      </c>
    </row>
    <row r="8" spans="1:17" x14ac:dyDescent="0.2">
      <c r="A8">
        <v>7</v>
      </c>
      <c r="B8">
        <v>746</v>
      </c>
      <c r="C8">
        <v>300</v>
      </c>
      <c r="D8">
        <v>0.26738016974930101</v>
      </c>
      <c r="E8">
        <v>109.682018891581</v>
      </c>
      <c r="F8">
        <v>2.0098217828650098</v>
      </c>
      <c r="G8">
        <v>-1811.9327131862519</v>
      </c>
      <c r="H8">
        <v>-1495.1153597103093</v>
      </c>
      <c r="I8">
        <v>310.866443934801</v>
      </c>
      <c r="J8">
        <v>158.02520736171999</v>
      </c>
      <c r="K8">
        <v>54.573007331639602</v>
      </c>
      <c r="L8">
        <v>0.86448704149589684</v>
      </c>
      <c r="M8">
        <v>-0.86433364952662006</v>
      </c>
      <c r="N8">
        <v>47.170362179292503</v>
      </c>
      <c r="O8">
        <v>47.170357733341</v>
      </c>
      <c r="P8">
        <v>47.170353763145997</v>
      </c>
      <c r="Q8" t="s">
        <v>51</v>
      </c>
    </row>
    <row r="9" spans="1:17" x14ac:dyDescent="0.2">
      <c r="A9">
        <v>8</v>
      </c>
      <c r="B9">
        <v>744</v>
      </c>
      <c r="C9">
        <v>300</v>
      </c>
      <c r="D9">
        <v>0.26580199577250502</v>
      </c>
      <c r="E9">
        <v>109.682081366226</v>
      </c>
      <c r="F9">
        <v>2.0109513381686099</v>
      </c>
      <c r="G9">
        <v>-1811.3123653101661</v>
      </c>
      <c r="H9">
        <v>-1495.5027120446491</v>
      </c>
      <c r="I9">
        <v>310.48699737964699</v>
      </c>
      <c r="J9">
        <v>158.03054011513001</v>
      </c>
      <c r="K9">
        <v>54.542384633789403</v>
      </c>
      <c r="L9">
        <v>0.86098763514571064</v>
      </c>
      <c r="M9">
        <v>-0.86083353282756225</v>
      </c>
      <c r="N9">
        <v>46.952989588226899</v>
      </c>
      <c r="O9">
        <v>46.952985045480901</v>
      </c>
      <c r="P9">
        <v>46.952981061668901</v>
      </c>
      <c r="Q9" t="s">
        <v>51</v>
      </c>
    </row>
    <row r="10" spans="1:17" x14ac:dyDescent="0.2">
      <c r="A10">
        <v>9</v>
      </c>
      <c r="B10">
        <v>742</v>
      </c>
      <c r="C10">
        <v>300</v>
      </c>
      <c r="D10">
        <v>0.264217603309855</v>
      </c>
      <c r="E10">
        <v>109.682144331979</v>
      </c>
      <c r="F10">
        <v>2.0120861646568402</v>
      </c>
      <c r="G10">
        <v>-1810.6927841595602</v>
      </c>
      <c r="H10">
        <v>-1495.8894182002755</v>
      </c>
      <c r="I10">
        <v>310.10744733289999</v>
      </c>
      <c r="J10">
        <v>158.03558052068101</v>
      </c>
      <c r="K10">
        <v>54.511653754492599</v>
      </c>
      <c r="L10">
        <v>0.85752451750342151</v>
      </c>
      <c r="M10">
        <v>-0.85736972214917595</v>
      </c>
      <c r="N10">
        <v>46.737717561720899</v>
      </c>
      <c r="O10">
        <v>46.737712921676099</v>
      </c>
      <c r="P10">
        <v>46.737708924823103</v>
      </c>
      <c r="Q10" t="s">
        <v>51</v>
      </c>
    </row>
    <row r="11" spans="1:17" x14ac:dyDescent="0.2">
      <c r="A11">
        <v>10</v>
      </c>
      <c r="B11">
        <v>740</v>
      </c>
      <c r="C11">
        <v>300</v>
      </c>
      <c r="D11">
        <v>0.26262695553471999</v>
      </c>
      <c r="E11">
        <v>109.68220779338699</v>
      </c>
      <c r="F11">
        <v>2.01322619028155</v>
      </c>
      <c r="G11">
        <v>-1810.0739700234305</v>
      </c>
      <c r="H11">
        <v>-1496.275488589918</v>
      </c>
      <c r="I11">
        <v>309.72778319151502</v>
      </c>
      <c r="J11">
        <v>158.04032679065901</v>
      </c>
      <c r="K11">
        <v>54.480817070061903</v>
      </c>
      <c r="L11">
        <v>0.85409707257505474</v>
      </c>
      <c r="M11">
        <v>-0.85394160133353314</v>
      </c>
      <c r="N11">
        <v>46.524512340309002</v>
      </c>
      <c r="O11">
        <v>46.5245076024827</v>
      </c>
      <c r="P11">
        <v>46.524503593160297</v>
      </c>
      <c r="Q11" t="s">
        <v>51</v>
      </c>
    </row>
    <row r="12" spans="1:17" x14ac:dyDescent="0.2">
      <c r="A12">
        <v>11</v>
      </c>
      <c r="B12">
        <v>738</v>
      </c>
      <c r="C12">
        <v>300</v>
      </c>
      <c r="D12">
        <v>0.26103001532908299</v>
      </c>
      <c r="E12">
        <v>109.68226142719099</v>
      </c>
      <c r="F12">
        <v>2.0117988949922001</v>
      </c>
      <c r="G12">
        <v>-1809.455999477035</v>
      </c>
      <c r="H12">
        <v>-1497.2642105331647</v>
      </c>
      <c r="I12">
        <v>308.75156995251803</v>
      </c>
      <c r="J12">
        <v>158.04332592300599</v>
      </c>
      <c r="K12">
        <v>54.519495810547397</v>
      </c>
      <c r="L12">
        <v>0.81821926369898479</v>
      </c>
      <c r="M12">
        <v>-0.81805399251804378</v>
      </c>
      <c r="N12">
        <v>44.601030163128002</v>
      </c>
      <c r="O12">
        <v>44.6010250811524</v>
      </c>
      <c r="P12">
        <v>44.601020832987103</v>
      </c>
      <c r="Q12" t="s">
        <v>51</v>
      </c>
    </row>
    <row r="13" spans="1:17" x14ac:dyDescent="0.2">
      <c r="A13">
        <v>12</v>
      </c>
      <c r="B13">
        <v>736</v>
      </c>
      <c r="C13">
        <v>300</v>
      </c>
      <c r="D13">
        <v>0.25942674528068399</v>
      </c>
      <c r="E13">
        <v>109.682265954676</v>
      </c>
      <c r="F13">
        <v>1.9902670961617901</v>
      </c>
      <c r="G13">
        <v>-1808.8417208672311</v>
      </c>
      <c r="H13">
        <v>-1501.803953458551</v>
      </c>
      <c r="I13">
        <v>304.25715816930602</v>
      </c>
      <c r="J13">
        <v>158.370963179245</v>
      </c>
      <c r="K13">
        <v>55.109319832597997</v>
      </c>
      <c r="L13">
        <v>0.59609289964771461</v>
      </c>
      <c r="M13">
        <v>-0.59585830819950758</v>
      </c>
      <c r="N13">
        <v>32.8389627265027</v>
      </c>
      <c r="O13">
        <v>32.838955707431602</v>
      </c>
      <c r="P13">
        <v>32.838949708661701</v>
      </c>
      <c r="Q13" t="s">
        <v>51</v>
      </c>
    </row>
    <row r="14" spans="1:17" x14ac:dyDescent="0.2">
      <c r="A14">
        <v>13</v>
      </c>
      <c r="B14">
        <v>734</v>
      </c>
      <c r="C14">
        <v>300</v>
      </c>
      <c r="D14">
        <v>0.25781710768008598</v>
      </c>
      <c r="E14">
        <v>109.68945024213799</v>
      </c>
      <c r="F14">
        <v>1.94495969063804</v>
      </c>
      <c r="G14">
        <v>-1808.3588745392124</v>
      </c>
      <c r="H14">
        <v>-1511.7434172050096</v>
      </c>
      <c r="I14">
        <v>294.51508557071298</v>
      </c>
      <c r="J14">
        <v>159.51321850234899</v>
      </c>
      <c r="K14">
        <v>56.396773038599399</v>
      </c>
      <c r="L14">
        <v>0.13790712838719912</v>
      </c>
      <c r="M14">
        <v>-0.13753205003079602</v>
      </c>
      <c r="N14">
        <v>7.7589842242469702</v>
      </c>
      <c r="O14">
        <v>7.7589731238738997</v>
      </c>
      <c r="P14">
        <v>7.7589634450086002</v>
      </c>
      <c r="Q14" t="s">
        <v>51</v>
      </c>
    </row>
    <row r="15" spans="1:17" x14ac:dyDescent="0.2">
      <c r="A15">
        <v>14</v>
      </c>
      <c r="B15">
        <v>732</v>
      </c>
      <c r="C15">
        <v>300</v>
      </c>
      <c r="D15">
        <v>0.256201064517732</v>
      </c>
      <c r="E15">
        <v>109.690138505134</v>
      </c>
      <c r="F15">
        <v>1.9393917922600099</v>
      </c>
      <c r="G15">
        <v>-1807.7835677577916</v>
      </c>
      <c r="H15">
        <v>-1513.8153264812568</v>
      </c>
      <c r="I15">
        <v>292.46778037151199</v>
      </c>
      <c r="J15">
        <v>159.80803655693799</v>
      </c>
      <c r="K15">
        <v>56.559040284124301</v>
      </c>
      <c r="L15">
        <v>5.9893756890963358E-2</v>
      </c>
      <c r="M15">
        <v>-5.9496774354900757E-2</v>
      </c>
      <c r="N15">
        <v>3.3678498626828199</v>
      </c>
      <c r="O15">
        <v>3.36783797659049</v>
      </c>
      <c r="P15">
        <v>3.3678277245435599</v>
      </c>
      <c r="Q15" t="s">
        <v>51</v>
      </c>
    </row>
    <row r="16" spans="1:17" x14ac:dyDescent="0.2">
      <c r="A16">
        <v>15</v>
      </c>
      <c r="B16">
        <v>758</v>
      </c>
      <c r="C16">
        <v>275</v>
      </c>
      <c r="D16">
        <v>0.303389904475587</v>
      </c>
      <c r="E16">
        <v>109.68185103146099</v>
      </c>
      <c r="F16">
        <v>1.97269443566254</v>
      </c>
      <c r="G16">
        <v>-1817.0532385568549</v>
      </c>
      <c r="H16">
        <v>-1493.8128386358126</v>
      </c>
      <c r="I16">
        <v>313.477913067408</v>
      </c>
      <c r="J16">
        <v>158.812504902771</v>
      </c>
      <c r="K16">
        <v>55.6000204839752</v>
      </c>
      <c r="L16">
        <v>0.86665666895801552</v>
      </c>
      <c r="M16">
        <v>-0.86647065092248376</v>
      </c>
      <c r="N16">
        <v>48.177236220755802</v>
      </c>
      <c r="O16">
        <v>48.1772316639331</v>
      </c>
      <c r="P16">
        <v>48.177226137732298</v>
      </c>
      <c r="Q16" t="s">
        <v>51</v>
      </c>
    </row>
    <row r="17" spans="1:17" x14ac:dyDescent="0.2">
      <c r="A17">
        <v>16</v>
      </c>
      <c r="B17">
        <v>756</v>
      </c>
      <c r="C17">
        <v>275</v>
      </c>
      <c r="D17">
        <v>0.30190011174270298</v>
      </c>
      <c r="E17">
        <v>109.68190316966199</v>
      </c>
      <c r="F17">
        <v>1.97382705397314</v>
      </c>
      <c r="G17">
        <v>-1816.4274350792641</v>
      </c>
      <c r="H17">
        <v>-1494.1497652079277</v>
      </c>
      <c r="I17">
        <v>313.15165361218101</v>
      </c>
      <c r="J17">
        <v>158.80613109081301</v>
      </c>
      <c r="K17">
        <v>55.568142583152003</v>
      </c>
      <c r="L17">
        <v>0.86587969826253797</v>
      </c>
      <c r="M17">
        <v>-0.86569359669020163</v>
      </c>
      <c r="N17">
        <v>48.106429581459501</v>
      </c>
      <c r="O17">
        <v>48.106424919099297</v>
      </c>
      <c r="P17">
        <v>48.106419394993303</v>
      </c>
      <c r="Q17" t="s">
        <v>51</v>
      </c>
    </row>
    <row r="18" spans="1:17" x14ac:dyDescent="0.2">
      <c r="A18">
        <v>17</v>
      </c>
      <c r="B18">
        <v>754</v>
      </c>
      <c r="C18">
        <v>275</v>
      </c>
      <c r="D18">
        <v>0.30040451735384299</v>
      </c>
      <c r="E18">
        <v>109.681963875077</v>
      </c>
      <c r="F18">
        <v>1.9749786928259301</v>
      </c>
      <c r="G18">
        <v>-1815.8024879464331</v>
      </c>
      <c r="H18">
        <v>-1494.5389302418832</v>
      </c>
      <c r="I18">
        <v>312.77410868554199</v>
      </c>
      <c r="J18">
        <v>158.81550946477199</v>
      </c>
      <c r="K18">
        <v>55.535770726790197</v>
      </c>
      <c r="L18">
        <v>0.8623746623868761</v>
      </c>
      <c r="M18">
        <v>-0.8621877444808892</v>
      </c>
      <c r="N18">
        <v>47.883705143796099</v>
      </c>
      <c r="O18">
        <v>47.883700356564098</v>
      </c>
      <c r="P18">
        <v>47.883694813071699</v>
      </c>
      <c r="Q18" t="s">
        <v>51</v>
      </c>
    </row>
    <row r="19" spans="1:17" x14ac:dyDescent="0.2">
      <c r="A19">
        <v>18</v>
      </c>
      <c r="B19">
        <v>752</v>
      </c>
      <c r="C19">
        <v>275</v>
      </c>
      <c r="D19">
        <v>0.29890308735307097</v>
      </c>
      <c r="E19">
        <v>109.682025053701</v>
      </c>
      <c r="F19">
        <v>1.9761361097350201</v>
      </c>
      <c r="G19">
        <v>-1815.1783034454377</v>
      </c>
      <c r="H19">
        <v>-1494.9274344875416</v>
      </c>
      <c r="I19">
        <v>312.39647896649501</v>
      </c>
      <c r="J19">
        <v>158.82465162381101</v>
      </c>
      <c r="K19">
        <v>55.503274553496396</v>
      </c>
      <c r="L19">
        <v>0.85890661577210781</v>
      </c>
      <c r="M19">
        <v>-0.85871890058110989</v>
      </c>
      <c r="N19">
        <v>47.663154829086302</v>
      </c>
      <c r="O19">
        <v>47.663149916001203</v>
      </c>
      <c r="P19">
        <v>47.663144353860098</v>
      </c>
      <c r="Q19" t="s">
        <v>51</v>
      </c>
    </row>
    <row r="20" spans="1:17" x14ac:dyDescent="0.2">
      <c r="A20">
        <v>19</v>
      </c>
      <c r="B20">
        <v>750</v>
      </c>
      <c r="C20">
        <v>275</v>
      </c>
      <c r="D20">
        <v>0.29739578751893703</v>
      </c>
      <c r="E20">
        <v>109.68208670996501</v>
      </c>
      <c r="F20">
        <v>1.97729920902901</v>
      </c>
      <c r="G20">
        <v>-1814.5548818263601</v>
      </c>
      <c r="H20">
        <v>-1495.3152886893049</v>
      </c>
      <c r="I20">
        <v>312.018753703301</v>
      </c>
      <c r="J20">
        <v>158.833555718887</v>
      </c>
      <c r="K20">
        <v>55.470657252640301</v>
      </c>
      <c r="L20">
        <v>0.85547491880291493</v>
      </c>
      <c r="M20">
        <v>-0.85528642519590681</v>
      </c>
      <c r="N20">
        <v>47.4447435649871</v>
      </c>
      <c r="O20">
        <v>47.444738525096199</v>
      </c>
      <c r="P20">
        <v>47.444732945040002</v>
      </c>
      <c r="Q20" t="s">
        <v>51</v>
      </c>
    </row>
    <row r="21" spans="1:17" x14ac:dyDescent="0.2">
      <c r="A21">
        <v>20</v>
      </c>
      <c r="B21">
        <v>748</v>
      </c>
      <c r="C21">
        <v>275</v>
      </c>
      <c r="D21">
        <v>0.29588258336189799</v>
      </c>
      <c r="E21">
        <v>109.682148848544</v>
      </c>
      <c r="F21">
        <v>1.9784678966274001</v>
      </c>
      <c r="G21">
        <v>-1813.9322233646287</v>
      </c>
      <c r="H21">
        <v>-1495.7025033544667</v>
      </c>
      <c r="I21">
        <v>311.64092231695099</v>
      </c>
      <c r="J21">
        <v>158.84221983561599</v>
      </c>
      <c r="K21">
        <v>55.437921957447102</v>
      </c>
      <c r="L21">
        <v>0.85207894600133582</v>
      </c>
      <c r="M21">
        <v>-0.8518896926716556</v>
      </c>
      <c r="N21">
        <v>47.228437028090397</v>
      </c>
      <c r="O21">
        <v>47.228431860470103</v>
      </c>
      <c r="P21">
        <v>47.228426263228201</v>
      </c>
      <c r="Q21" t="s">
        <v>51</v>
      </c>
    </row>
    <row r="22" spans="1:17" x14ac:dyDescent="0.2">
      <c r="A22">
        <v>21</v>
      </c>
      <c r="B22">
        <v>746</v>
      </c>
      <c r="C22">
        <v>275</v>
      </c>
      <c r="D22">
        <v>0.29436344012167098</v>
      </c>
      <c r="E22">
        <v>109.682211473788</v>
      </c>
      <c r="F22">
        <v>1.9796420800010399</v>
      </c>
      <c r="G22">
        <v>-1813.3103283512578</v>
      </c>
      <c r="H22">
        <v>-1496.0890887519286</v>
      </c>
      <c r="I22">
        <v>311.26297439454203</v>
      </c>
      <c r="J22">
        <v>158.85064199504299</v>
      </c>
      <c r="K22">
        <v>55.405071745964399</v>
      </c>
      <c r="L22">
        <v>0.84871808560309792</v>
      </c>
      <c r="M22">
        <v>-0.84852809107224547</v>
      </c>
      <c r="N22">
        <v>47.014201621798598</v>
      </c>
      <c r="O22">
        <v>47.014196325554899</v>
      </c>
      <c r="P22">
        <v>47.014190711852699</v>
      </c>
      <c r="Q22" t="s">
        <v>51</v>
      </c>
    </row>
    <row r="23" spans="1:17" x14ac:dyDescent="0.2">
      <c r="A23">
        <v>22</v>
      </c>
      <c r="B23">
        <v>744</v>
      </c>
      <c r="C23">
        <v>275</v>
      </c>
      <c r="D23">
        <v>0.29283832276459099</v>
      </c>
      <c r="E23">
        <v>109.682274590383</v>
      </c>
      <c r="F23">
        <v>1.9808216681356801</v>
      </c>
      <c r="G23">
        <v>-1812.6891971034436</v>
      </c>
      <c r="H23">
        <v>-1496.4750549270873</v>
      </c>
      <c r="I23">
        <v>310.88489968669899</v>
      </c>
      <c r="J23">
        <v>158.85882015551499</v>
      </c>
      <c r="K23">
        <v>55.372109642567899</v>
      </c>
      <c r="L23">
        <v>0.84539173921443678</v>
      </c>
      <c r="M23">
        <v>-0.84520102183577062</v>
      </c>
      <c r="N23">
        <v>46.802004459085502</v>
      </c>
      <c r="O23">
        <v>46.8019990333541</v>
      </c>
      <c r="P23">
        <v>46.801993403912697</v>
      </c>
      <c r="Q23" t="s">
        <v>51</v>
      </c>
    </row>
    <row r="24" spans="1:17" x14ac:dyDescent="0.2">
      <c r="A24">
        <v>23</v>
      </c>
      <c r="B24">
        <v>742</v>
      </c>
      <c r="C24">
        <v>275</v>
      </c>
      <c r="D24">
        <v>0.291307195980888</v>
      </c>
      <c r="E24">
        <v>109.682338202973</v>
      </c>
      <c r="F24">
        <v>1.98200657149185</v>
      </c>
      <c r="G24">
        <v>-1812.0688299579756</v>
      </c>
      <c r="H24">
        <v>-1496.8604117026841</v>
      </c>
      <c r="I24">
        <v>310.506688101853</v>
      </c>
      <c r="J24">
        <v>158.866752213772</v>
      </c>
      <c r="K24">
        <v>55.339038619037503</v>
      </c>
      <c r="L24">
        <v>0.84209932142100319</v>
      </c>
      <c r="M24">
        <v>-0.84190789938328914</v>
      </c>
      <c r="N24">
        <v>46.5918133421902</v>
      </c>
      <c r="O24">
        <v>46.591807786136698</v>
      </c>
      <c r="P24">
        <v>46.591802141673497</v>
      </c>
      <c r="Q24" t="s">
        <v>51</v>
      </c>
    </row>
    <row r="25" spans="1:17" x14ac:dyDescent="0.2">
      <c r="A25">
        <v>24</v>
      </c>
      <c r="B25">
        <v>740</v>
      </c>
      <c r="C25">
        <v>275</v>
      </c>
      <c r="D25">
        <v>0.28977002418201098</v>
      </c>
      <c r="E25">
        <v>109.68233702469399</v>
      </c>
      <c r="F25">
        <v>1.95768234252841</v>
      </c>
      <c r="G25">
        <v>-1811.451283684122</v>
      </c>
      <c r="H25">
        <v>-1501.9534009642634</v>
      </c>
      <c r="I25">
        <v>305.48426919710801</v>
      </c>
      <c r="J25">
        <v>159.090529424192</v>
      </c>
      <c r="K25">
        <v>56.026626302935298</v>
      </c>
      <c r="L25">
        <v>0.59297731489872396</v>
      </c>
      <c r="M25">
        <v>-0.59270284824857566</v>
      </c>
      <c r="N25">
        <v>33.209207298354698</v>
      </c>
      <c r="O25">
        <v>33.209199479949</v>
      </c>
      <c r="P25">
        <v>33.209191414716898</v>
      </c>
      <c r="Q25" t="s">
        <v>51</v>
      </c>
    </row>
    <row r="26" spans="1:17" x14ac:dyDescent="0.2">
      <c r="A26">
        <v>25</v>
      </c>
      <c r="B26">
        <v>738</v>
      </c>
      <c r="C26">
        <v>275</v>
      </c>
      <c r="D26">
        <v>0.28822677149780002</v>
      </c>
      <c r="E26">
        <v>109.68980670439301</v>
      </c>
      <c r="F26">
        <v>1.9121677809675</v>
      </c>
      <c r="G26">
        <v>-1810.9695411353396</v>
      </c>
      <c r="H26">
        <v>-1511.1154431262535</v>
      </c>
      <c r="I26">
        <v>296.55298916609303</v>
      </c>
      <c r="J26">
        <v>159.591013776137</v>
      </c>
      <c r="K26">
        <v>57.3641119760387</v>
      </c>
      <c r="L26">
        <v>0.16222164710121093</v>
      </c>
      <c r="M26">
        <v>-0.16179994027341241</v>
      </c>
      <c r="N26">
        <v>9.2847276678206807</v>
      </c>
      <c r="O26">
        <v>9.2847157227958501</v>
      </c>
      <c r="P26">
        <v>9.2847031986056994</v>
      </c>
      <c r="Q26" t="s">
        <v>51</v>
      </c>
    </row>
    <row r="27" spans="1:17" x14ac:dyDescent="0.2">
      <c r="A27">
        <v>26</v>
      </c>
      <c r="B27">
        <v>736</v>
      </c>
      <c r="C27">
        <v>275</v>
      </c>
      <c r="D27">
        <v>0.28667740177377199</v>
      </c>
      <c r="E27">
        <v>109.690524553731</v>
      </c>
      <c r="F27">
        <v>1.90301785352606</v>
      </c>
      <c r="G27">
        <v>-1810.3911353525893</v>
      </c>
      <c r="H27">
        <v>-1513.5163138869254</v>
      </c>
      <c r="I27">
        <v>294.18890990556901</v>
      </c>
      <c r="J27">
        <v>159.779319115302</v>
      </c>
      <c r="K27">
        <v>57.640302402044298</v>
      </c>
      <c r="L27">
        <v>6.4079724504793156E-2</v>
      </c>
      <c r="M27">
        <v>-6.3624792918596254E-2</v>
      </c>
      <c r="N27">
        <v>3.67082284343567</v>
      </c>
      <c r="O27">
        <v>3.6708097823420598</v>
      </c>
      <c r="P27">
        <v>3.6707962387931601</v>
      </c>
      <c r="Q27" t="s">
        <v>51</v>
      </c>
    </row>
    <row r="28" spans="1:17" x14ac:dyDescent="0.2">
      <c r="A28">
        <v>27</v>
      </c>
      <c r="B28">
        <v>758</v>
      </c>
      <c r="C28">
        <v>250</v>
      </c>
      <c r="D28">
        <v>0.330059157251614</v>
      </c>
      <c r="E28">
        <v>109.68204306101801</v>
      </c>
      <c r="F28">
        <v>1.93870751095814</v>
      </c>
      <c r="G28">
        <v>-1818.4581999466782</v>
      </c>
      <c r="H28">
        <v>-1494.7852502011008</v>
      </c>
      <c r="I28">
        <v>313.89762348021799</v>
      </c>
      <c r="J28">
        <v>159.636057867445</v>
      </c>
      <c r="K28">
        <v>56.574827528682398</v>
      </c>
      <c r="L28">
        <v>0.84807579752956386</v>
      </c>
      <c r="M28">
        <v>-0.84784403033698086</v>
      </c>
      <c r="N28">
        <v>47.968610602001398</v>
      </c>
      <c r="O28">
        <v>47.968605687258702</v>
      </c>
      <c r="P28">
        <v>47.968597754624199</v>
      </c>
      <c r="Q28" t="s">
        <v>51</v>
      </c>
    </row>
    <row r="29" spans="1:17" x14ac:dyDescent="0.2">
      <c r="A29">
        <v>28</v>
      </c>
      <c r="B29">
        <v>756</v>
      </c>
      <c r="C29">
        <v>250</v>
      </c>
      <c r="D29">
        <v>0.32862119224602798</v>
      </c>
      <c r="E29">
        <v>109.682095086594</v>
      </c>
      <c r="F29">
        <v>1.9399237095245001</v>
      </c>
      <c r="G29">
        <v>-1817.8315552389788</v>
      </c>
      <c r="H29">
        <v>-1495.11848361887</v>
      </c>
      <c r="I29">
        <v>313.57494993222298</v>
      </c>
      <c r="J29">
        <v>159.632550785875</v>
      </c>
      <c r="K29">
        <v>56.539385826403802</v>
      </c>
      <c r="L29">
        <v>0.84762397271022605</v>
      </c>
      <c r="M29">
        <v>-0.84739221211429239</v>
      </c>
      <c r="N29">
        <v>47.913006595181301</v>
      </c>
      <c r="O29">
        <v>47.913001531015098</v>
      </c>
      <c r="P29">
        <v>47.9129936027851</v>
      </c>
      <c r="Q29" t="s">
        <v>51</v>
      </c>
    </row>
    <row r="30" spans="1:17" x14ac:dyDescent="0.2">
      <c r="A30">
        <v>29</v>
      </c>
      <c r="B30">
        <v>754</v>
      </c>
      <c r="C30">
        <v>250</v>
      </c>
      <c r="D30">
        <v>0.32717762741566497</v>
      </c>
      <c r="E30">
        <v>109.682156367819</v>
      </c>
      <c r="F30">
        <v>1.94114560781921</v>
      </c>
      <c r="G30">
        <v>-1817.2057698411904</v>
      </c>
      <c r="H30">
        <v>-1495.5059787700638</v>
      </c>
      <c r="I30">
        <v>313.19903810779198</v>
      </c>
      <c r="J30">
        <v>159.64512403559701</v>
      </c>
      <c r="K30">
        <v>56.503827392444698</v>
      </c>
      <c r="L30">
        <v>0.84432769585940282</v>
      </c>
      <c r="M30">
        <v>-0.84409510171974134</v>
      </c>
      <c r="N30">
        <v>47.696573119311303</v>
      </c>
      <c r="O30">
        <v>47.696567885842498</v>
      </c>
      <c r="P30">
        <v>47.696559933587601</v>
      </c>
      <c r="Q30" t="s">
        <v>51</v>
      </c>
    </row>
    <row r="31" spans="1:17" x14ac:dyDescent="0.2">
      <c r="A31">
        <v>30</v>
      </c>
      <c r="B31">
        <v>752</v>
      </c>
      <c r="C31">
        <v>250</v>
      </c>
      <c r="D31">
        <v>0.32572842998585799</v>
      </c>
      <c r="E31">
        <v>109.682218126572</v>
      </c>
      <c r="F31">
        <v>1.9423736606934201</v>
      </c>
      <c r="G31">
        <v>-1816.5807439299213</v>
      </c>
      <c r="H31">
        <v>-1495.8928611156364</v>
      </c>
      <c r="I31">
        <v>312.82299801055899</v>
      </c>
      <c r="J31">
        <v>159.65750743268401</v>
      </c>
      <c r="K31">
        <v>56.468135017551603</v>
      </c>
      <c r="L31">
        <v>0.8410656813559062</v>
      </c>
      <c r="M31">
        <v>-0.84083227411040318</v>
      </c>
      <c r="N31">
        <v>47.482197167950801</v>
      </c>
      <c r="O31">
        <v>47.4821917635322</v>
      </c>
      <c r="P31">
        <v>47.482183788186298</v>
      </c>
      <c r="Q31" t="s">
        <v>51</v>
      </c>
    </row>
    <row r="32" spans="1:17" x14ac:dyDescent="0.2">
      <c r="A32">
        <v>31</v>
      </c>
      <c r="B32">
        <v>750</v>
      </c>
      <c r="C32">
        <v>250</v>
      </c>
      <c r="D32">
        <v>0.324273566925672</v>
      </c>
      <c r="E32">
        <v>109.68228036730601</v>
      </c>
      <c r="F32">
        <v>1.9436077602530899</v>
      </c>
      <c r="G32">
        <v>-1815.9564778419995</v>
      </c>
      <c r="H32">
        <v>-1496.2791405100254</v>
      </c>
      <c r="I32">
        <v>312.44681958823202</v>
      </c>
      <c r="J32">
        <v>159.66969815505399</v>
      </c>
      <c r="K32">
        <v>56.432312429656101</v>
      </c>
      <c r="L32">
        <v>0.83783734191329973</v>
      </c>
      <c r="M32">
        <v>-0.83760314184251683</v>
      </c>
      <c r="N32">
        <v>47.269846357424399</v>
      </c>
      <c r="O32">
        <v>47.269840780448597</v>
      </c>
      <c r="P32">
        <v>47.269832782943901</v>
      </c>
      <c r="Q32" t="s">
        <v>51</v>
      </c>
    </row>
    <row r="33" spans="1:17" x14ac:dyDescent="0.2">
      <c r="A33">
        <v>32</v>
      </c>
      <c r="B33">
        <v>748</v>
      </c>
      <c r="C33">
        <v>250</v>
      </c>
      <c r="D33">
        <v>0.32281300494540499</v>
      </c>
      <c r="E33">
        <v>109.682343094579</v>
      </c>
      <c r="F33">
        <v>1.9448477999603899</v>
      </c>
      <c r="G33">
        <v>-1815.3329719358674</v>
      </c>
      <c r="H33">
        <v>-1496.6648265896661</v>
      </c>
      <c r="I33">
        <v>312.07049294437502</v>
      </c>
      <c r="J33">
        <v>159.68169332332201</v>
      </c>
      <c r="K33">
        <v>56.396363302471698</v>
      </c>
      <c r="L33">
        <v>0.83464210291363117</v>
      </c>
      <c r="M33">
        <v>-0.83440713014400825</v>
      </c>
      <c r="N33">
        <v>47.059488982681501</v>
      </c>
      <c r="O33">
        <v>47.059483231581602</v>
      </c>
      <c r="P33">
        <v>47.059475212848398</v>
      </c>
      <c r="Q33" t="s">
        <v>51</v>
      </c>
    </row>
    <row r="34" spans="1:17" x14ac:dyDescent="0.2">
      <c r="A34">
        <v>33</v>
      </c>
      <c r="B34">
        <v>746</v>
      </c>
      <c r="C34">
        <v>250</v>
      </c>
      <c r="D34">
        <v>0.32134671049404001</v>
      </c>
      <c r="E34">
        <v>109.682406312976</v>
      </c>
      <c r="F34">
        <v>1.94609367459024</v>
      </c>
      <c r="G34">
        <v>-1814.7102265900905</v>
      </c>
      <c r="H34">
        <v>-1497.0499287782652</v>
      </c>
      <c r="I34">
        <v>311.69400833329701</v>
      </c>
      <c r="J34">
        <v>159.69349000279499</v>
      </c>
      <c r="K34">
        <v>56.360291256827701</v>
      </c>
      <c r="L34">
        <v>0.83147940201841819</v>
      </c>
      <c r="M34">
        <v>-0.83124367652530273</v>
      </c>
      <c r="N34">
        <v>46.851093997043598</v>
      </c>
      <c r="O34">
        <v>46.851088070293997</v>
      </c>
      <c r="P34">
        <v>46.8510800312608</v>
      </c>
      <c r="Q34" t="s">
        <v>51</v>
      </c>
    </row>
    <row r="35" spans="1:17" x14ac:dyDescent="0.2">
      <c r="A35">
        <v>34</v>
      </c>
      <c r="B35">
        <v>744</v>
      </c>
      <c r="C35">
        <v>250</v>
      </c>
      <c r="D35">
        <v>0.31987464975667701</v>
      </c>
      <c r="E35">
        <v>109.68240283951</v>
      </c>
      <c r="F35">
        <v>1.9192359746451999</v>
      </c>
      <c r="G35">
        <v>-1814.0904325693011</v>
      </c>
      <c r="H35">
        <v>-1502.4241587963102</v>
      </c>
      <c r="I35">
        <v>306.41498576414199</v>
      </c>
      <c r="J35">
        <v>159.82361770034501</v>
      </c>
      <c r="K35">
        <v>57.148992770306101</v>
      </c>
      <c r="L35">
        <v>0.5709913967575343</v>
      </c>
      <c r="M35">
        <v>-0.57066072666720569</v>
      </c>
      <c r="N35">
        <v>32.615441121992703</v>
      </c>
      <c r="O35">
        <v>32.615432849600403</v>
      </c>
      <c r="P35">
        <v>32.615421565887402</v>
      </c>
      <c r="Q35" t="s">
        <v>51</v>
      </c>
    </row>
    <row r="36" spans="1:17" x14ac:dyDescent="0.2">
      <c r="A36">
        <v>35</v>
      </c>
      <c r="B36">
        <v>742</v>
      </c>
      <c r="C36">
        <v>250</v>
      </c>
      <c r="D36">
        <v>0.318396788651924</v>
      </c>
      <c r="E36">
        <v>109.690454678005</v>
      </c>
      <c r="F36">
        <v>1.87554963158032</v>
      </c>
      <c r="G36">
        <v>-1813.6163661530982</v>
      </c>
      <c r="H36">
        <v>-1511.3194568448052</v>
      </c>
      <c r="I36">
        <v>297.79088952481698</v>
      </c>
      <c r="J36">
        <v>159.99322658992199</v>
      </c>
      <c r="K36">
        <v>58.4844318865511</v>
      </c>
      <c r="L36">
        <v>0.15857469590478404</v>
      </c>
      <c r="M36">
        <v>-0.15809304517822151</v>
      </c>
      <c r="N36">
        <v>9.2500500180399694</v>
      </c>
      <c r="O36">
        <v>9.2500378535394407</v>
      </c>
      <c r="P36">
        <v>9.2500212119188792</v>
      </c>
      <c r="Q36" t="s">
        <v>51</v>
      </c>
    </row>
    <row r="37" spans="1:17" x14ac:dyDescent="0.2">
      <c r="A37">
        <v>36</v>
      </c>
      <c r="B37">
        <v>740</v>
      </c>
      <c r="C37">
        <v>250</v>
      </c>
      <c r="D37">
        <v>0.31691309282929903</v>
      </c>
      <c r="E37">
        <v>109.690976496736</v>
      </c>
      <c r="F37">
        <v>1.8669050130998901</v>
      </c>
      <c r="G37">
        <v>-1813.0322374488769</v>
      </c>
      <c r="H37">
        <v>-1513.6772950801421</v>
      </c>
      <c r="I37">
        <v>295.47537656008501</v>
      </c>
      <c r="J37">
        <v>160.08961078700401</v>
      </c>
      <c r="K37">
        <v>58.755520889946403</v>
      </c>
      <c r="L37">
        <v>6.3496832654176841E-2</v>
      </c>
      <c r="M37">
        <v>-6.2980840554336545E-2</v>
      </c>
      <c r="N37">
        <v>3.7048281905024298</v>
      </c>
      <c r="O37">
        <v>3.70481487396269</v>
      </c>
      <c r="P37">
        <v>3.7047969954155899</v>
      </c>
      <c r="Q37" t="s">
        <v>51</v>
      </c>
    </row>
    <row r="38" spans="1:17" x14ac:dyDescent="0.2">
      <c r="A38">
        <v>37</v>
      </c>
      <c r="B38">
        <v>758</v>
      </c>
      <c r="C38">
        <v>225</v>
      </c>
      <c r="D38">
        <v>0.356728410027642</v>
      </c>
      <c r="E38">
        <v>109.682237254036</v>
      </c>
      <c r="F38">
        <v>1.8996085166669501</v>
      </c>
      <c r="G38">
        <v>-1819.8897814868253</v>
      </c>
      <c r="H38">
        <v>-1495.7277726467589</v>
      </c>
      <c r="I38">
        <v>314.37213180922998</v>
      </c>
      <c r="J38">
        <v>160.475013192544</v>
      </c>
      <c r="K38">
        <v>57.739390138387201</v>
      </c>
      <c r="L38">
        <v>0.82738005303090056</v>
      </c>
      <c r="M38">
        <v>-0.82708937037619079</v>
      </c>
      <c r="N38">
        <v>47.758399534948303</v>
      </c>
      <c r="O38">
        <v>47.758395148239103</v>
      </c>
      <c r="P38">
        <v>47.758383564817898</v>
      </c>
      <c r="Q38" t="s">
        <v>51</v>
      </c>
    </row>
    <row r="39" spans="1:17" x14ac:dyDescent="0.2">
      <c r="A39">
        <v>38</v>
      </c>
      <c r="B39">
        <v>756</v>
      </c>
      <c r="C39">
        <v>225</v>
      </c>
      <c r="D39">
        <v>0.35534227274935698</v>
      </c>
      <c r="E39">
        <v>109.68229047071701</v>
      </c>
      <c r="F39">
        <v>1.9009394712194401</v>
      </c>
      <c r="G39">
        <v>-1819.2622107783309</v>
      </c>
      <c r="H39">
        <v>-1496.065560453857</v>
      </c>
      <c r="I39">
        <v>314.04505561387401</v>
      </c>
      <c r="J39">
        <v>160.477983316001</v>
      </c>
      <c r="K39">
        <v>57.698991541459598</v>
      </c>
      <c r="L39">
        <v>0.82684098213010382</v>
      </c>
      <c r="M39">
        <v>-0.82655026162554535</v>
      </c>
      <c r="N39">
        <v>47.693866891167097</v>
      </c>
      <c r="O39">
        <v>47.693862287543602</v>
      </c>
      <c r="P39">
        <v>47.693850703943397</v>
      </c>
      <c r="Q39" t="s">
        <v>51</v>
      </c>
    </row>
    <row r="40" spans="1:17" x14ac:dyDescent="0.2">
      <c r="A40">
        <v>39</v>
      </c>
      <c r="B40">
        <v>754</v>
      </c>
      <c r="C40">
        <v>225</v>
      </c>
      <c r="D40">
        <v>0.35395073747748601</v>
      </c>
      <c r="E40">
        <v>109.682352282946</v>
      </c>
      <c r="F40">
        <v>1.9022574999728901</v>
      </c>
      <c r="G40">
        <v>-1818.6354926139848</v>
      </c>
      <c r="H40">
        <v>-1496.4512121894534</v>
      </c>
      <c r="I40">
        <v>313.67094481687502</v>
      </c>
      <c r="J40">
        <v>160.49485692783901</v>
      </c>
      <c r="K40">
        <v>57.659045783501803</v>
      </c>
      <c r="L40">
        <v>0.82378412314259275</v>
      </c>
      <c r="M40">
        <v>-0.82349253862242577</v>
      </c>
      <c r="N40">
        <v>47.484538907094397</v>
      </c>
      <c r="O40">
        <v>47.484534070752602</v>
      </c>
      <c r="P40">
        <v>47.484522454320199</v>
      </c>
      <c r="Q40" t="s">
        <v>51</v>
      </c>
    </row>
    <row r="41" spans="1:17" x14ac:dyDescent="0.2">
      <c r="A41">
        <v>40</v>
      </c>
      <c r="B41">
        <v>752</v>
      </c>
      <c r="C41">
        <v>225</v>
      </c>
      <c r="D41">
        <v>0.35255377261864101</v>
      </c>
      <c r="E41">
        <v>109.682414576676</v>
      </c>
      <c r="F41">
        <v>1.90358235285219</v>
      </c>
      <c r="G41">
        <v>-1818.0095304565914</v>
      </c>
      <c r="H41">
        <v>-1496.8363066611935</v>
      </c>
      <c r="I41">
        <v>313.29665522055399</v>
      </c>
      <c r="J41">
        <v>160.51159495851499</v>
      </c>
      <c r="K41">
        <v>57.6189490369756</v>
      </c>
      <c r="L41">
        <v>0.82075862524934051</v>
      </c>
      <c r="M41">
        <v>-0.82046619916941188</v>
      </c>
      <c r="N41">
        <v>47.277139350168198</v>
      </c>
      <c r="O41">
        <v>47.277134278168397</v>
      </c>
      <c r="P41">
        <v>47.277122630096898</v>
      </c>
      <c r="Q41" t="s">
        <v>51</v>
      </c>
    </row>
    <row r="42" spans="1:17" x14ac:dyDescent="0.2">
      <c r="A42">
        <v>41</v>
      </c>
      <c r="B42">
        <v>750</v>
      </c>
      <c r="C42">
        <v>225</v>
      </c>
      <c r="D42">
        <v>0.35115134633240402</v>
      </c>
      <c r="E42">
        <v>109.682477863958</v>
      </c>
      <c r="F42">
        <v>1.90252794889939</v>
      </c>
      <c r="G42">
        <v>-1817.3844603922942</v>
      </c>
      <c r="H42">
        <v>-1497.5427417893934</v>
      </c>
      <c r="I42">
        <v>312.60777474302898</v>
      </c>
      <c r="J42">
        <v>160.548787089142</v>
      </c>
      <c r="K42">
        <v>57.650915418829797</v>
      </c>
      <c r="L42">
        <v>0.8017602039774292</v>
      </c>
      <c r="M42">
        <v>-0.8014596468263252</v>
      </c>
      <c r="N42">
        <v>46.207685801163997</v>
      </c>
      <c r="O42">
        <v>46.207680377015997</v>
      </c>
      <c r="P42">
        <v>46.207668403189402</v>
      </c>
      <c r="Q42" t="s">
        <v>51</v>
      </c>
    </row>
    <row r="43" spans="1:17" x14ac:dyDescent="0.2">
      <c r="A43">
        <v>42</v>
      </c>
      <c r="B43">
        <v>748</v>
      </c>
      <c r="C43">
        <v>225</v>
      </c>
      <c r="D43">
        <v>0.34974342652891699</v>
      </c>
      <c r="E43">
        <v>109.682455792939</v>
      </c>
      <c r="F43">
        <v>1.8711278700025</v>
      </c>
      <c r="G43">
        <v>-1816.7640529218065</v>
      </c>
      <c r="H43">
        <v>-1503.5204150903594</v>
      </c>
      <c r="I43">
        <v>306.75974345508399</v>
      </c>
      <c r="J43">
        <v>160.53146973847001</v>
      </c>
      <c r="K43">
        <v>58.618364651258503</v>
      </c>
      <c r="L43">
        <v>0.51401940246375422</v>
      </c>
      <c r="M43">
        <v>-0.5136040067021711</v>
      </c>
      <c r="N43">
        <v>30.110525788647301</v>
      </c>
      <c r="O43">
        <v>30.110518185478401</v>
      </c>
      <c r="P43">
        <v>30.110501539983002</v>
      </c>
      <c r="Q43" t="s">
        <v>51</v>
      </c>
    </row>
    <row r="44" spans="1:17" x14ac:dyDescent="0.2">
      <c r="A44">
        <v>43</v>
      </c>
      <c r="B44">
        <v>746</v>
      </c>
      <c r="C44">
        <v>225</v>
      </c>
      <c r="D44">
        <v>0.34832998086640898</v>
      </c>
      <c r="E44">
        <v>109.69113442905</v>
      </c>
      <c r="F44">
        <v>1.82950272336481</v>
      </c>
      <c r="G44">
        <v>-1816.3000839035515</v>
      </c>
      <c r="H44">
        <v>-1511.922977530872</v>
      </c>
      <c r="I44">
        <v>298.663357147591</v>
      </c>
      <c r="J44">
        <v>160.39707499483799</v>
      </c>
      <c r="K44">
        <v>59.956803030774999</v>
      </c>
      <c r="L44">
        <v>0.13301552806959541</v>
      </c>
      <c r="M44">
        <v>-0.13244851901390139</v>
      </c>
      <c r="N44">
        <v>7.9465859027013801</v>
      </c>
      <c r="O44">
        <v>7.9465752075109801</v>
      </c>
      <c r="P44">
        <v>7.9465521447212204</v>
      </c>
      <c r="Q44" t="s">
        <v>51</v>
      </c>
    </row>
    <row r="45" spans="1:17" x14ac:dyDescent="0.2">
      <c r="A45">
        <v>44</v>
      </c>
      <c r="B45">
        <v>744</v>
      </c>
      <c r="C45">
        <v>225</v>
      </c>
      <c r="D45">
        <v>0.34691097674876298</v>
      </c>
      <c r="E45">
        <v>109.69141155584499</v>
      </c>
      <c r="F45">
        <v>1.8231805102654</v>
      </c>
      <c r="G45">
        <v>-1815.7095929555469</v>
      </c>
      <c r="H45">
        <v>-1513.8361535650354</v>
      </c>
      <c r="I45">
        <v>296.789465057619</v>
      </c>
      <c r="J45">
        <v>160.42719451519301</v>
      </c>
      <c r="K45">
        <v>60.164866253357197</v>
      </c>
      <c r="L45">
        <v>5.9805057113490753E-2</v>
      </c>
      <c r="M45">
        <v>-5.9209473753327725E-2</v>
      </c>
      <c r="N45">
        <v>3.5679894446832598</v>
      </c>
      <c r="O45">
        <v>3.5679777886709898</v>
      </c>
      <c r="P45">
        <v>3.5679534975605698</v>
      </c>
      <c r="Q45" t="s">
        <v>51</v>
      </c>
    </row>
    <row r="46" spans="1:17" x14ac:dyDescent="0.2">
      <c r="A46">
        <v>45</v>
      </c>
      <c r="B46">
        <v>758</v>
      </c>
      <c r="C46">
        <v>200</v>
      </c>
      <c r="D46">
        <v>0.383397662803666</v>
      </c>
      <c r="E46">
        <v>109.68243412501</v>
      </c>
      <c r="F46">
        <v>1.85293491169389</v>
      </c>
      <c r="G46">
        <v>-1821.3538797831375</v>
      </c>
      <c r="H46">
        <v>-1496.6240974563577</v>
      </c>
      <c r="I46">
        <v>314.92297600737101</v>
      </c>
      <c r="J46">
        <v>161.316957708525</v>
      </c>
      <c r="K46">
        <v>59.193894741149698</v>
      </c>
      <c r="L46">
        <v>0.80340792443737652</v>
      </c>
      <c r="M46">
        <v>-0.80303899706165571</v>
      </c>
      <c r="N46">
        <v>47.5389838423146</v>
      </c>
      <c r="O46">
        <v>47.538982167135501</v>
      </c>
      <c r="P46">
        <v>47.538964880538899</v>
      </c>
      <c r="Q46" t="s">
        <v>51</v>
      </c>
    </row>
    <row r="47" spans="1:17" x14ac:dyDescent="0.2">
      <c r="A47">
        <v>46</v>
      </c>
      <c r="B47">
        <v>756</v>
      </c>
      <c r="C47">
        <v>200</v>
      </c>
      <c r="D47">
        <v>0.38206335325268598</v>
      </c>
      <c r="E47">
        <v>109.68249121272</v>
      </c>
      <c r="F47">
        <v>1.8518226925566901</v>
      </c>
      <c r="G47">
        <v>-1820.7254265108431</v>
      </c>
      <c r="H47">
        <v>-1497.3093706489208</v>
      </c>
      <c r="I47">
        <v>314.25853938772298</v>
      </c>
      <c r="J47">
        <v>161.33704273198799</v>
      </c>
      <c r="K47">
        <v>59.2294778833759</v>
      </c>
      <c r="L47">
        <v>0.78597206391896968</v>
      </c>
      <c r="M47">
        <v>-0.7855945960246572</v>
      </c>
      <c r="N47">
        <v>46.534410579125897</v>
      </c>
      <c r="O47">
        <v>46.534408567498602</v>
      </c>
      <c r="P47">
        <v>46.534390861692501</v>
      </c>
      <c r="Q47" t="s">
        <v>51</v>
      </c>
    </row>
    <row r="48" spans="1:17" x14ac:dyDescent="0.2">
      <c r="A48">
        <v>47</v>
      </c>
      <c r="B48">
        <v>754</v>
      </c>
      <c r="C48">
        <v>200</v>
      </c>
      <c r="D48">
        <v>0.38072384753930699</v>
      </c>
      <c r="E48">
        <v>109.682537585053</v>
      </c>
      <c r="F48">
        <v>1.84038053868089</v>
      </c>
      <c r="G48">
        <v>-1820.098955494356</v>
      </c>
      <c r="H48">
        <v>-1499.5863068395527</v>
      </c>
      <c r="I48">
        <v>312.044156897704</v>
      </c>
      <c r="J48">
        <v>161.32274933198801</v>
      </c>
      <c r="K48">
        <v>59.597749095776301</v>
      </c>
      <c r="L48">
        <v>0.68776517106315183</v>
      </c>
      <c r="M48">
        <v>-0.68734267820587436</v>
      </c>
      <c r="N48">
        <v>40.968610941822</v>
      </c>
      <c r="O48">
        <v>40.968608409374397</v>
      </c>
      <c r="P48">
        <v>40.9685885186394</v>
      </c>
      <c r="Q48" t="s">
        <v>51</v>
      </c>
    </row>
    <row r="49" spans="1:17" x14ac:dyDescent="0.2">
      <c r="A49">
        <v>48</v>
      </c>
      <c r="B49">
        <v>752</v>
      </c>
      <c r="C49">
        <v>200</v>
      </c>
      <c r="D49">
        <v>0.37937911525142798</v>
      </c>
      <c r="E49">
        <v>109.682486294128</v>
      </c>
      <c r="F49">
        <v>1.80978193998151</v>
      </c>
      <c r="G49">
        <v>-1819.4802990961305</v>
      </c>
      <c r="H49">
        <v>-1505.2345511458427</v>
      </c>
      <c r="I49">
        <v>306.54077231953499</v>
      </c>
      <c r="J49">
        <v>161.11232999883799</v>
      </c>
      <c r="K49">
        <v>60.6053601657933</v>
      </c>
      <c r="L49">
        <v>0.42234897185751791</v>
      </c>
      <c r="M49">
        <v>-0.42181006547493888</v>
      </c>
      <c r="N49">
        <v>25.569782320784999</v>
      </c>
      <c r="O49">
        <v>25.569778779769901</v>
      </c>
      <c r="P49">
        <v>25.569753134293101</v>
      </c>
      <c r="Q49" t="s">
        <v>51</v>
      </c>
    </row>
    <row r="50" spans="1:17" x14ac:dyDescent="0.2">
      <c r="A50">
        <v>49</v>
      </c>
      <c r="B50">
        <v>750</v>
      </c>
      <c r="C50">
        <v>200</v>
      </c>
      <c r="D50">
        <v>0.37802912573913899</v>
      </c>
      <c r="E50">
        <v>109.69172751039601</v>
      </c>
      <c r="F50">
        <v>1.7716842929032299</v>
      </c>
      <c r="G50">
        <v>-1819.0279750898574</v>
      </c>
      <c r="H50">
        <v>-1512.747608043662</v>
      </c>
      <c r="I50">
        <v>299.35611192024902</v>
      </c>
      <c r="J50">
        <v>160.70733406698801</v>
      </c>
      <c r="K50">
        <v>61.913811591480702</v>
      </c>
      <c r="L50">
        <v>9.3640124189110011E-2</v>
      </c>
      <c r="M50">
        <v>-9.2956880435741268E-2</v>
      </c>
      <c r="N50">
        <v>5.7628098451867196</v>
      </c>
      <c r="O50">
        <v>5.7628048855510103</v>
      </c>
      <c r="P50">
        <v>5.7627718157780699</v>
      </c>
      <c r="Q50" t="s">
        <v>51</v>
      </c>
    </row>
    <row r="51" spans="1:17" x14ac:dyDescent="0.2">
      <c r="A51">
        <v>50</v>
      </c>
      <c r="B51">
        <v>748</v>
      </c>
      <c r="C51">
        <v>200</v>
      </c>
      <c r="D51">
        <v>0.37667384811242399</v>
      </c>
      <c r="E51">
        <v>109.69182225748899</v>
      </c>
      <c r="F51">
        <v>1.7687829782778599</v>
      </c>
      <c r="G51">
        <v>-1818.4322290824882</v>
      </c>
      <c r="H51">
        <v>-1513.9991427467792</v>
      </c>
      <c r="I51">
        <v>298.133570439778</v>
      </c>
      <c r="J51">
        <v>160.72621120407601</v>
      </c>
      <c r="K51">
        <v>62.0154216795369</v>
      </c>
      <c r="L51">
        <v>5.1811202978615169E-2</v>
      </c>
      <c r="M51">
        <v>-5.111007719043302E-2</v>
      </c>
      <c r="N51">
        <v>3.1772796852490401</v>
      </c>
      <c r="O51">
        <v>3.1772740172168099</v>
      </c>
      <c r="P51">
        <v>3.1772400085137402</v>
      </c>
      <c r="Q51" t="s">
        <v>51</v>
      </c>
    </row>
    <row r="52" spans="1:17" x14ac:dyDescent="0.2">
      <c r="A52">
        <v>51</v>
      </c>
      <c r="B52">
        <v>768</v>
      </c>
      <c r="C52">
        <v>175</v>
      </c>
      <c r="D52">
        <v>0.416405417086878</v>
      </c>
      <c r="E52">
        <v>109.68238245575</v>
      </c>
      <c r="F52">
        <v>1.78625778152562</v>
      </c>
      <c r="G52">
        <v>-1826.019297725047</v>
      </c>
      <c r="H52">
        <v>-1495.8262444416532</v>
      </c>
      <c r="I52">
        <v>317.14577936866402</v>
      </c>
      <c r="J52">
        <v>162.03406866672699</v>
      </c>
      <c r="K52">
        <v>61.403445566558503</v>
      </c>
      <c r="L52">
        <v>0.7718776065361882</v>
      </c>
      <c r="M52">
        <v>-0.77140134623028167</v>
      </c>
      <c r="N52">
        <v>47.372840745549802</v>
      </c>
      <c r="O52">
        <v>47.372848611504502</v>
      </c>
      <c r="P52">
        <v>47.3728222417406</v>
      </c>
      <c r="Q52" t="s">
        <v>51</v>
      </c>
    </row>
    <row r="53" spans="1:17" x14ac:dyDescent="0.2">
      <c r="A53">
        <v>52</v>
      </c>
      <c r="B53">
        <v>766</v>
      </c>
      <c r="C53">
        <v>175</v>
      </c>
      <c r="D53">
        <v>0.41514747630275201</v>
      </c>
      <c r="E53">
        <v>109.682431001824</v>
      </c>
      <c r="F53">
        <v>1.7878133343445399</v>
      </c>
      <c r="G53">
        <v>-1825.386102790337</v>
      </c>
      <c r="H53">
        <v>-1496.1644917332906</v>
      </c>
      <c r="I53">
        <v>316.82133400101498</v>
      </c>
      <c r="J53">
        <v>162.04753482603701</v>
      </c>
      <c r="K53">
        <v>61.350046391748499</v>
      </c>
      <c r="L53">
        <v>0.77176948809692325</v>
      </c>
      <c r="M53">
        <v>-0.77129293391785347</v>
      </c>
      <c r="N53">
        <v>47.3249686825854</v>
      </c>
      <c r="O53">
        <v>47.324976184382102</v>
      </c>
      <c r="P53">
        <v>47.324949774391797</v>
      </c>
      <c r="Q53" t="s">
        <v>51</v>
      </c>
    </row>
    <row r="54" spans="1:17" x14ac:dyDescent="0.2">
      <c r="A54">
        <v>53</v>
      </c>
      <c r="B54">
        <v>764</v>
      </c>
      <c r="C54">
        <v>175</v>
      </c>
      <c r="D54">
        <v>0.41388468398978101</v>
      </c>
      <c r="E54">
        <v>109.682468400696</v>
      </c>
      <c r="F54">
        <v>1.7876171119047199</v>
      </c>
      <c r="G54">
        <v>-1824.7535393611754</v>
      </c>
      <c r="H54">
        <v>-1496.6604569021335</v>
      </c>
      <c r="I54">
        <v>316.34420980784103</v>
      </c>
      <c r="J54">
        <v>162.034545153896</v>
      </c>
      <c r="K54">
        <v>61.356801560166801</v>
      </c>
      <c r="L54">
        <v>0.76439648080950817</v>
      </c>
      <c r="M54">
        <v>-0.763915106972609</v>
      </c>
      <c r="N54">
        <v>46.877532404529397</v>
      </c>
      <c r="O54">
        <v>46.877539615668397</v>
      </c>
      <c r="P54">
        <v>46.877512897551703</v>
      </c>
      <c r="Q54" t="s">
        <v>51</v>
      </c>
    </row>
    <row r="55" spans="1:17" x14ac:dyDescent="0.2">
      <c r="A55">
        <v>54</v>
      </c>
      <c r="B55">
        <v>762</v>
      </c>
      <c r="C55">
        <v>175</v>
      </c>
      <c r="D55">
        <v>0.41261701202724399</v>
      </c>
      <c r="E55">
        <v>109.682512862227</v>
      </c>
      <c r="F55">
        <v>1.7860915978831</v>
      </c>
      <c r="G55">
        <v>-1824.1221019056213</v>
      </c>
      <c r="H55">
        <v>-1497.3474026929769</v>
      </c>
      <c r="I55">
        <v>315.68186906420902</v>
      </c>
      <c r="J55">
        <v>162.029406703289</v>
      </c>
      <c r="K55">
        <v>61.409231750613699</v>
      </c>
      <c r="L55">
        <v>0.74758542926412486</v>
      </c>
      <c r="M55">
        <v>-0.74709425172231447</v>
      </c>
      <c r="N55">
        <v>45.8847287465466</v>
      </c>
      <c r="O55">
        <v>45.884735733344399</v>
      </c>
      <c r="P55">
        <v>45.884708415266999</v>
      </c>
      <c r="Q55" t="s">
        <v>51</v>
      </c>
    </row>
    <row r="56" spans="1:17" x14ac:dyDescent="0.2">
      <c r="A56">
        <v>55</v>
      </c>
      <c r="B56">
        <v>760</v>
      </c>
      <c r="C56">
        <v>175</v>
      </c>
      <c r="D56">
        <v>0.41134443207665999</v>
      </c>
      <c r="E56">
        <v>109.68257138830501</v>
      </c>
      <c r="F56">
        <v>1.7807940680640999</v>
      </c>
      <c r="G56">
        <v>-1823.4928306682727</v>
      </c>
      <c r="H56">
        <v>-1498.5705815525964</v>
      </c>
      <c r="I56">
        <v>314.500132125172</v>
      </c>
      <c r="J56">
        <v>162.03666780773401</v>
      </c>
      <c r="K56">
        <v>61.591945613083404</v>
      </c>
      <c r="L56">
        <v>0.70408950411763449</v>
      </c>
      <c r="M56">
        <v>-0.70357454765639937</v>
      </c>
      <c r="N56">
        <v>43.341057106805003</v>
      </c>
      <c r="O56">
        <v>43.341064063748902</v>
      </c>
      <c r="P56">
        <v>43.341035322697401</v>
      </c>
      <c r="Q56" t="s">
        <v>51</v>
      </c>
    </row>
    <row r="57" spans="1:17" x14ac:dyDescent="0.2">
      <c r="A57">
        <v>56</v>
      </c>
      <c r="B57">
        <v>758</v>
      </c>
      <c r="C57">
        <v>175</v>
      </c>
      <c r="D57">
        <v>0.41006691557969399</v>
      </c>
      <c r="E57">
        <v>109.682531668536</v>
      </c>
      <c r="F57">
        <v>1.7474362531640799</v>
      </c>
      <c r="G57">
        <v>-1822.8687781843735</v>
      </c>
      <c r="H57">
        <v>-1504.112974787578</v>
      </c>
      <c r="I57">
        <v>309.130881634979</v>
      </c>
      <c r="J57">
        <v>161.60511223991401</v>
      </c>
      <c r="K57">
        <v>62.767686929886104</v>
      </c>
      <c r="L57">
        <v>0.44640573741149359</v>
      </c>
      <c r="M57">
        <v>-0.44576371610633025</v>
      </c>
      <c r="N57">
        <v>27.987788093604799</v>
      </c>
      <c r="O57">
        <v>27.987796494170698</v>
      </c>
      <c r="P57">
        <v>27.987760131454799</v>
      </c>
      <c r="Q57" t="s">
        <v>51</v>
      </c>
    </row>
    <row r="58" spans="1:17" x14ac:dyDescent="0.2">
      <c r="A58">
        <v>57</v>
      </c>
      <c r="B58">
        <v>756</v>
      </c>
      <c r="C58">
        <v>175</v>
      </c>
      <c r="D58">
        <v>0.40878443375601398</v>
      </c>
      <c r="E58">
        <v>109.692096916683</v>
      </c>
      <c r="F58">
        <v>1.7067215822725901</v>
      </c>
      <c r="G58">
        <v>-1822.4142584029601</v>
      </c>
      <c r="H58">
        <v>-1511.4274868993389</v>
      </c>
      <c r="I58">
        <v>302.18382247875201</v>
      </c>
      <c r="J58">
        <v>160.915185067831</v>
      </c>
      <c r="K58">
        <v>64.270644993322307</v>
      </c>
      <c r="L58">
        <v>0.13080972419639772</v>
      </c>
      <c r="M58">
        <v>-0.1300124343061472</v>
      </c>
      <c r="N58">
        <v>8.3663707860374199</v>
      </c>
      <c r="O58">
        <v>8.3663808905636294</v>
      </c>
      <c r="P58">
        <v>8.3663347904207495</v>
      </c>
      <c r="Q58" t="s">
        <v>51</v>
      </c>
    </row>
    <row r="59" spans="1:17" x14ac:dyDescent="0.2">
      <c r="A59">
        <v>58</v>
      </c>
      <c r="B59">
        <v>754</v>
      </c>
      <c r="C59">
        <v>175</v>
      </c>
      <c r="D59">
        <v>0.40749695760112897</v>
      </c>
      <c r="E59">
        <v>109.692173155481</v>
      </c>
      <c r="F59">
        <v>1.69961291798773</v>
      </c>
      <c r="G59">
        <v>-1821.8133963358216</v>
      </c>
      <c r="H59">
        <v>-1513.3497369453617</v>
      </c>
      <c r="I59">
        <v>300.31606387667199</v>
      </c>
      <c r="J59">
        <v>160.81089892873501</v>
      </c>
      <c r="K59">
        <v>64.539503080120397</v>
      </c>
      <c r="L59">
        <v>6.0026746072338398E-2</v>
      </c>
      <c r="M59">
        <v>-5.9194850500027409E-2</v>
      </c>
      <c r="N59">
        <v>3.8312350798887098</v>
      </c>
      <c r="O59">
        <v>3.8312449745396102</v>
      </c>
      <c r="P59">
        <v>3.8311966261953398</v>
      </c>
      <c r="Q59" t="s">
        <v>51</v>
      </c>
    </row>
    <row r="60" spans="1:17" x14ac:dyDescent="0.2">
      <c r="A60">
        <v>59</v>
      </c>
      <c r="B60">
        <v>778</v>
      </c>
      <c r="C60">
        <v>150</v>
      </c>
      <c r="D60">
        <v>0.44878514008467002</v>
      </c>
      <c r="E60">
        <v>109.682340229053</v>
      </c>
      <c r="F60">
        <v>1.69937450339625</v>
      </c>
      <c r="G60">
        <v>-1830.7736134573797</v>
      </c>
      <c r="H60">
        <v>-1494.9170102553785</v>
      </c>
      <c r="I60">
        <v>319.51683582037901</v>
      </c>
      <c r="J60">
        <v>162.474461193504</v>
      </c>
      <c r="K60">
        <v>64.542771478476098</v>
      </c>
      <c r="L60">
        <v>0.73117301883639185</v>
      </c>
      <c r="M60">
        <v>-0.73055080630477831</v>
      </c>
      <c r="N60">
        <v>47.161719874715203</v>
      </c>
      <c r="O60">
        <v>47.161747333370897</v>
      </c>
      <c r="P60">
        <v>47.161706164023599</v>
      </c>
      <c r="Q60" t="s">
        <v>51</v>
      </c>
    </row>
    <row r="61" spans="1:17" x14ac:dyDescent="0.2">
      <c r="A61">
        <v>60</v>
      </c>
      <c r="B61">
        <v>776</v>
      </c>
      <c r="C61">
        <v>150</v>
      </c>
      <c r="D61">
        <v>0.447600915026452</v>
      </c>
      <c r="E61">
        <v>109.68238226782</v>
      </c>
      <c r="F61">
        <v>1.7003698422992899</v>
      </c>
      <c r="G61">
        <v>-1830.1356052661665</v>
      </c>
      <c r="H61">
        <v>-1495.3217464305919</v>
      </c>
      <c r="I61">
        <v>319.13205239904102</v>
      </c>
      <c r="J61">
        <v>162.47925324406401</v>
      </c>
      <c r="K61">
        <v>64.505015049846094</v>
      </c>
      <c r="L61">
        <v>0.72831042641996047</v>
      </c>
      <c r="M61">
        <v>-0.72768551749951582</v>
      </c>
      <c r="N61">
        <v>46.949305121236101</v>
      </c>
      <c r="O61">
        <v>46.949332363150802</v>
      </c>
      <c r="P61">
        <v>46.949290964805499</v>
      </c>
      <c r="Q61" t="s">
        <v>51</v>
      </c>
    </row>
    <row r="62" spans="1:17" x14ac:dyDescent="0.2">
      <c r="A62">
        <v>61</v>
      </c>
      <c r="B62">
        <v>774</v>
      </c>
      <c r="C62">
        <v>150</v>
      </c>
      <c r="D62">
        <v>0.44641216635630598</v>
      </c>
      <c r="E62">
        <v>109.68241818757799</v>
      </c>
      <c r="F62">
        <v>1.7004033771737701</v>
      </c>
      <c r="G62">
        <v>-1829.4983844528165</v>
      </c>
      <c r="H62">
        <v>-1495.8088332208433</v>
      </c>
      <c r="I62">
        <v>318.66792365917598</v>
      </c>
      <c r="J62">
        <v>162.46373125237599</v>
      </c>
      <c r="K62">
        <v>64.503764024439803</v>
      </c>
      <c r="L62">
        <v>0.7217773745718693</v>
      </c>
      <c r="M62">
        <v>-0.72114723804662273</v>
      </c>
      <c r="N62">
        <v>46.526689094483601</v>
      </c>
      <c r="O62">
        <v>46.5267162309787</v>
      </c>
      <c r="P62">
        <v>46.526674416056203</v>
      </c>
      <c r="Q62" t="s">
        <v>51</v>
      </c>
    </row>
    <row r="63" spans="1:17" x14ac:dyDescent="0.2">
      <c r="A63">
        <v>62</v>
      </c>
      <c r="B63">
        <v>772</v>
      </c>
      <c r="C63">
        <v>150</v>
      </c>
      <c r="D63">
        <v>0.44521886810505501</v>
      </c>
      <c r="E63">
        <v>109.682454015378</v>
      </c>
      <c r="F63">
        <v>1.7004594306174501</v>
      </c>
      <c r="G63">
        <v>-1828.8620908727194</v>
      </c>
      <c r="H63">
        <v>-1496.2955824470362</v>
      </c>
      <c r="I63">
        <v>318.20322880112201</v>
      </c>
      <c r="J63">
        <v>162.451086411761</v>
      </c>
      <c r="K63">
        <v>64.501658810849307</v>
      </c>
      <c r="L63">
        <v>0.71522445085315411</v>
      </c>
      <c r="M63">
        <v>-0.71458909022422235</v>
      </c>
      <c r="N63">
        <v>46.102196501409999</v>
      </c>
      <c r="O63">
        <v>46.102223516355203</v>
      </c>
      <c r="P63">
        <v>46.102181283091298</v>
      </c>
      <c r="Q63" t="s">
        <v>51</v>
      </c>
    </row>
    <row r="64" spans="1:17" x14ac:dyDescent="0.2">
      <c r="A64">
        <v>63</v>
      </c>
      <c r="B64">
        <v>770</v>
      </c>
      <c r="C64">
        <v>150</v>
      </c>
      <c r="D64">
        <v>0.44402099410439499</v>
      </c>
      <c r="E64">
        <v>109.682489761063</v>
      </c>
      <c r="F64">
        <v>1.70054155316288</v>
      </c>
      <c r="G64">
        <v>-1828.2267255809327</v>
      </c>
      <c r="H64">
        <v>-1496.7817444004486</v>
      </c>
      <c r="I64">
        <v>317.73820490266303</v>
      </c>
      <c r="J64">
        <v>162.44134989946701</v>
      </c>
      <c r="K64">
        <v>64.498564917194997</v>
      </c>
      <c r="L64">
        <v>0.70866247822495398</v>
      </c>
      <c r="M64">
        <v>-0.70802190689928013</v>
      </c>
      <c r="N64">
        <v>45.676447581674601</v>
      </c>
      <c r="O64">
        <v>45.6764744580071</v>
      </c>
      <c r="P64">
        <v>45.676431805354198</v>
      </c>
      <c r="Q64" t="s">
        <v>51</v>
      </c>
    </row>
    <row r="65" spans="1:17" x14ac:dyDescent="0.2">
      <c r="A65">
        <v>64</v>
      </c>
      <c r="B65">
        <v>768</v>
      </c>
      <c r="C65">
        <v>150</v>
      </c>
      <c r="D65">
        <v>0.442818517984921</v>
      </c>
      <c r="E65">
        <v>109.682543607741</v>
      </c>
      <c r="F65">
        <v>1.6961047136645599</v>
      </c>
      <c r="G65">
        <v>-1827.5930286139078</v>
      </c>
      <c r="H65">
        <v>-1497.830754893017</v>
      </c>
      <c r="I65">
        <v>316.73249016626801</v>
      </c>
      <c r="J65">
        <v>162.40932519831</v>
      </c>
      <c r="K65">
        <v>64.667318429157902</v>
      </c>
      <c r="L65">
        <v>0.6748229000416649</v>
      </c>
      <c r="M65">
        <v>-0.67416089720892669</v>
      </c>
      <c r="N65">
        <v>43.606540586418397</v>
      </c>
      <c r="O65">
        <v>43.606568052570204</v>
      </c>
      <c r="P65">
        <v>43.606523801409502</v>
      </c>
      <c r="Q65" t="s">
        <v>51</v>
      </c>
    </row>
    <row r="66" spans="1:17" x14ac:dyDescent="0.2">
      <c r="A66">
        <v>65</v>
      </c>
      <c r="B66">
        <v>766</v>
      </c>
      <c r="C66">
        <v>150</v>
      </c>
      <c r="D66">
        <v>0.44161141317423203</v>
      </c>
      <c r="E66">
        <v>109.68256638225201</v>
      </c>
      <c r="F66">
        <v>1.67753980817601</v>
      </c>
      <c r="G66">
        <v>-1826.9616870941738</v>
      </c>
      <c r="H66">
        <v>-1500.7436344483676</v>
      </c>
      <c r="I66">
        <v>313.93182632615401</v>
      </c>
      <c r="J66">
        <v>162.09722041526501</v>
      </c>
      <c r="K66">
        <v>65.382988736052496</v>
      </c>
      <c r="L66">
        <v>0.54942529628583425</v>
      </c>
      <c r="M66">
        <v>-0.54869151101338565</v>
      </c>
      <c r="N66">
        <v>35.886634065728799</v>
      </c>
      <c r="O66">
        <v>35.886664390608601</v>
      </c>
      <c r="P66">
        <v>35.886614821973801</v>
      </c>
      <c r="Q66" t="s">
        <v>51</v>
      </c>
    </row>
    <row r="67" spans="1:17" x14ac:dyDescent="0.2">
      <c r="A67">
        <v>66</v>
      </c>
      <c r="B67">
        <v>764</v>
      </c>
      <c r="C67">
        <v>150</v>
      </c>
      <c r="D67">
        <v>0.44039965289495597</v>
      </c>
      <c r="E67">
        <v>109.68764281638801</v>
      </c>
      <c r="F67">
        <v>1.63784871374723</v>
      </c>
      <c r="G67">
        <v>-1826.4214580879914</v>
      </c>
      <c r="H67">
        <v>-1506.8826901668137</v>
      </c>
      <c r="I67">
        <v>308.098085699602</v>
      </c>
      <c r="J67">
        <v>161.227812257051</v>
      </c>
      <c r="K67">
        <v>66.970558327963005</v>
      </c>
      <c r="L67">
        <v>0.28271650658927655</v>
      </c>
      <c r="M67">
        <v>-0.28183418307927394</v>
      </c>
      <c r="N67">
        <v>18.8887079274682</v>
      </c>
      <c r="O67">
        <v>18.8887446818628</v>
      </c>
      <c r="P67">
        <v>18.888683753646699</v>
      </c>
      <c r="Q67" t="s">
        <v>51</v>
      </c>
    </row>
    <row r="68" spans="1:17" x14ac:dyDescent="0.2">
      <c r="A68">
        <v>67</v>
      </c>
      <c r="B68">
        <v>762</v>
      </c>
      <c r="C68">
        <v>150</v>
      </c>
      <c r="D68">
        <v>0.439183210162781</v>
      </c>
      <c r="E68">
        <v>109.692571016326</v>
      </c>
      <c r="F68">
        <v>1.6118596271414301</v>
      </c>
      <c r="G68">
        <v>-1825.8906421055065</v>
      </c>
      <c r="H68">
        <v>-1511.4591641075931</v>
      </c>
      <c r="I68">
        <v>303.76015239203099</v>
      </c>
      <c r="J68">
        <v>160.57256992054499</v>
      </c>
      <c r="K68">
        <v>68.053426718591496</v>
      </c>
      <c r="L68">
        <v>9.9710493164141045E-2</v>
      </c>
      <c r="M68">
        <v>-9.8726231432934186E-2</v>
      </c>
      <c r="N68">
        <v>6.7345657494418996</v>
      </c>
      <c r="O68">
        <v>6.7346067541569203</v>
      </c>
      <c r="P68">
        <v>6.73453768592712</v>
      </c>
      <c r="Q68" t="s">
        <v>51</v>
      </c>
    </row>
    <row r="69" spans="1:17" x14ac:dyDescent="0.2">
      <c r="A69">
        <v>68</v>
      </c>
      <c r="B69">
        <v>760</v>
      </c>
      <c r="C69">
        <v>150</v>
      </c>
      <c r="D69">
        <v>0.43796205778444602</v>
      </c>
      <c r="E69">
        <v>109.692520363737</v>
      </c>
      <c r="F69">
        <v>1.60730143082277</v>
      </c>
      <c r="G69">
        <v>-1825.2838802370848</v>
      </c>
      <c r="H69">
        <v>-1512.873428925451</v>
      </c>
      <c r="I69">
        <v>302.39217004962899</v>
      </c>
      <c r="J69">
        <v>160.471470688148</v>
      </c>
      <c r="K69">
        <v>68.246390042461698</v>
      </c>
      <c r="L69">
        <v>5.3302027428262733E-2</v>
      </c>
      <c r="M69">
        <v>-5.2291472914325281E-2</v>
      </c>
      <c r="N69">
        <v>3.5850045943822502</v>
      </c>
      <c r="O69">
        <v>3.5850461394254398</v>
      </c>
      <c r="P69">
        <v>3.5849749060457299</v>
      </c>
      <c r="Q69" t="s">
        <v>51</v>
      </c>
    </row>
    <row r="70" spans="1:17" x14ac:dyDescent="0.2">
      <c r="A70">
        <v>69</v>
      </c>
      <c r="B70">
        <v>792</v>
      </c>
      <c r="C70">
        <v>125</v>
      </c>
      <c r="D70">
        <v>0.48276815471999501</v>
      </c>
      <c r="E70">
        <v>109.682216794947</v>
      </c>
      <c r="F70">
        <v>1.57777156239441</v>
      </c>
      <c r="G70">
        <v>-1836.9379093697917</v>
      </c>
      <c r="H70">
        <v>-1493.2147930324695</v>
      </c>
      <c r="I70">
        <v>322.70281233768901</v>
      </c>
      <c r="J70">
        <v>162.37884620119101</v>
      </c>
      <c r="K70">
        <v>69.517171819534298</v>
      </c>
      <c r="L70">
        <v>0.67534877941257421</v>
      </c>
      <c r="M70">
        <v>-0.67452911272304839</v>
      </c>
      <c r="N70">
        <v>46.908568416138799</v>
      </c>
      <c r="O70">
        <v>46.908631659774599</v>
      </c>
      <c r="P70">
        <v>46.908564474751699</v>
      </c>
      <c r="Q70" t="s">
        <v>51</v>
      </c>
    </row>
    <row r="71" spans="1:17" x14ac:dyDescent="0.2">
      <c r="A71">
        <v>70</v>
      </c>
      <c r="B71">
        <v>790</v>
      </c>
      <c r="C71">
        <v>125</v>
      </c>
      <c r="D71">
        <v>0.48166345294643498</v>
      </c>
      <c r="E71">
        <v>109.682261844815</v>
      </c>
      <c r="F71">
        <v>1.57979834154232</v>
      </c>
      <c r="G71">
        <v>-1836.2935392321124</v>
      </c>
      <c r="H71">
        <v>-1493.5481596551917</v>
      </c>
      <c r="I71">
        <v>322.39022214283398</v>
      </c>
      <c r="J71">
        <v>162.40843014519899</v>
      </c>
      <c r="K71">
        <v>69.428014298163504</v>
      </c>
      <c r="L71">
        <v>0.67577414381767043</v>
      </c>
      <c r="M71">
        <v>-0.67495334456784717</v>
      </c>
      <c r="N71">
        <v>46.877818188492803</v>
      </c>
      <c r="O71">
        <v>46.877881341396098</v>
      </c>
      <c r="P71">
        <v>46.877814062242301</v>
      </c>
      <c r="Q71" t="s">
        <v>51</v>
      </c>
    </row>
    <row r="72" spans="1:17" x14ac:dyDescent="0.2">
      <c r="A72">
        <v>71</v>
      </c>
      <c r="B72">
        <v>788</v>
      </c>
      <c r="C72">
        <v>125</v>
      </c>
      <c r="D72">
        <v>0.48055458700466802</v>
      </c>
      <c r="E72">
        <v>109.682295959076</v>
      </c>
      <c r="F72">
        <v>1.58002330486145</v>
      </c>
      <c r="G72">
        <v>-1835.6497593787669</v>
      </c>
      <c r="H72">
        <v>-1494.0262832491856</v>
      </c>
      <c r="I72">
        <v>321.940618238041</v>
      </c>
      <c r="J72">
        <v>162.38274855503599</v>
      </c>
      <c r="K72">
        <v>69.418150746006802</v>
      </c>
      <c r="L72">
        <v>0.67015544718526965</v>
      </c>
      <c r="M72">
        <v>-0.66932890708377912</v>
      </c>
      <c r="N72">
        <v>46.480771017492103</v>
      </c>
      <c r="O72">
        <v>46.480834490885499</v>
      </c>
      <c r="P72">
        <v>46.4807666716328</v>
      </c>
      <c r="Q72" t="s">
        <v>51</v>
      </c>
    </row>
    <row r="73" spans="1:17" x14ac:dyDescent="0.2">
      <c r="A73">
        <v>72</v>
      </c>
      <c r="B73">
        <v>786</v>
      </c>
      <c r="C73">
        <v>125</v>
      </c>
      <c r="D73">
        <v>0.47944153330501299</v>
      </c>
      <c r="E73">
        <v>109.682330025943</v>
      </c>
      <c r="F73">
        <v>1.58027067725707</v>
      </c>
      <c r="G73">
        <v>-1835.0068782179028</v>
      </c>
      <c r="H73">
        <v>-1494.5038805771887</v>
      </c>
      <c r="I73">
        <v>321.49066175614098</v>
      </c>
      <c r="J73">
        <v>162.359727357146</v>
      </c>
      <c r="K73">
        <v>69.407305725827896</v>
      </c>
      <c r="L73">
        <v>0.66452569038121534</v>
      </c>
      <c r="M73">
        <v>-0.66369339698027985</v>
      </c>
      <c r="N73">
        <v>46.082413735483399</v>
      </c>
      <c r="O73">
        <v>46.082477520189499</v>
      </c>
      <c r="P73">
        <v>46.0824091572957</v>
      </c>
      <c r="Q73" t="s">
        <v>51</v>
      </c>
    </row>
    <row r="74" spans="1:17" x14ac:dyDescent="0.2">
      <c r="A74">
        <v>73</v>
      </c>
      <c r="B74">
        <v>784</v>
      </c>
      <c r="C74">
        <v>125</v>
      </c>
      <c r="D74">
        <v>0.47832426807926898</v>
      </c>
      <c r="E74">
        <v>109.68236405814601</v>
      </c>
      <c r="F74">
        <v>1.58054373540666</v>
      </c>
      <c r="G74">
        <v>-1834.3648964594784</v>
      </c>
      <c r="H74">
        <v>-1494.9807361561254</v>
      </c>
      <c r="I74">
        <v>321.04055515858403</v>
      </c>
      <c r="J74">
        <v>162.33942536254801</v>
      </c>
      <c r="K74">
        <v>69.395336301735099</v>
      </c>
      <c r="L74">
        <v>0.65889407617591833</v>
      </c>
      <c r="M74">
        <v>-0.65805602556627485</v>
      </c>
      <c r="N74">
        <v>45.683308242722099</v>
      </c>
      <c r="O74">
        <v>45.683372328313297</v>
      </c>
      <c r="P74">
        <v>45.683303418979797</v>
      </c>
      <c r="Q74" t="s">
        <v>51</v>
      </c>
    </row>
    <row r="75" spans="1:17" x14ac:dyDescent="0.2">
      <c r="A75">
        <v>74</v>
      </c>
      <c r="B75">
        <v>782</v>
      </c>
      <c r="C75">
        <v>125</v>
      </c>
      <c r="D75">
        <v>0.47720276737904699</v>
      </c>
      <c r="E75">
        <v>109.682398068483</v>
      </c>
      <c r="F75">
        <v>1.5808455199734399</v>
      </c>
      <c r="G75">
        <v>-1833.7238144222226</v>
      </c>
      <c r="H75">
        <v>-1495.4566493642676</v>
      </c>
      <c r="I75">
        <v>320.59048798880798</v>
      </c>
      <c r="J75">
        <v>162.32189586784801</v>
      </c>
      <c r="K75">
        <v>69.382110195261404</v>
      </c>
      <c r="L75">
        <v>0.65326919146711293</v>
      </c>
      <c r="M75">
        <v>-0.65242538783556181</v>
      </c>
      <c r="N75">
        <v>45.283983457707997</v>
      </c>
      <c r="O75">
        <v>45.284047832534597</v>
      </c>
      <c r="P75">
        <v>45.283978374666702</v>
      </c>
      <c r="Q75" t="s">
        <v>51</v>
      </c>
    </row>
    <row r="76" spans="1:17" x14ac:dyDescent="0.2">
      <c r="A76">
        <v>75</v>
      </c>
      <c r="B76">
        <v>780</v>
      </c>
      <c r="C76">
        <v>125</v>
      </c>
      <c r="D76">
        <v>0.47607700707401701</v>
      </c>
      <c r="E76">
        <v>109.682432069493</v>
      </c>
      <c r="F76">
        <v>1.58117881133974</v>
      </c>
      <c r="G76">
        <v>-1833.0836320565425</v>
      </c>
      <c r="H76">
        <v>-1495.9314365915693</v>
      </c>
      <c r="I76">
        <v>320.14063472992501</v>
      </c>
      <c r="J76">
        <v>162.30718699875399</v>
      </c>
      <c r="K76">
        <v>69.367506877074106</v>
      </c>
      <c r="L76">
        <v>0.64765891183243551</v>
      </c>
      <c r="M76">
        <v>-0.64680936694183533</v>
      </c>
      <c r="N76">
        <v>44.8849290305293</v>
      </c>
      <c r="O76">
        <v>44.884993681753798</v>
      </c>
      <c r="P76">
        <v>44.884923673913697</v>
      </c>
      <c r="Q76" t="s">
        <v>51</v>
      </c>
    </row>
    <row r="77" spans="1:17" x14ac:dyDescent="0.2">
      <c r="A77">
        <v>76</v>
      </c>
      <c r="B77">
        <v>778</v>
      </c>
      <c r="C77">
        <v>125</v>
      </c>
      <c r="D77">
        <v>0.47494696285021398</v>
      </c>
      <c r="E77">
        <v>109.682475799914</v>
      </c>
      <c r="F77">
        <v>1.5787824440360201</v>
      </c>
      <c r="G77">
        <v>-1832.4446394714639</v>
      </c>
      <c r="H77">
        <v>-1496.7037365686356</v>
      </c>
      <c r="I77">
        <v>319.40721249996398</v>
      </c>
      <c r="J77">
        <v>162.254728358916</v>
      </c>
      <c r="K77">
        <v>69.4728245897644</v>
      </c>
      <c r="L77">
        <v>0.62817916294321918</v>
      </c>
      <c r="M77">
        <v>-0.62731459955177982</v>
      </c>
      <c r="N77">
        <v>43.598951250680699</v>
      </c>
      <c r="O77">
        <v>43.5990169775068</v>
      </c>
      <c r="P77">
        <v>43.598945541290902</v>
      </c>
      <c r="Q77" t="s">
        <v>51</v>
      </c>
    </row>
    <row r="78" spans="1:17" x14ac:dyDescent="0.2">
      <c r="A78">
        <v>77</v>
      </c>
      <c r="B78">
        <v>776</v>
      </c>
      <c r="C78">
        <v>125</v>
      </c>
      <c r="D78">
        <v>0.47381261020826598</v>
      </c>
      <c r="E78">
        <v>109.68252661801201</v>
      </c>
      <c r="F78">
        <v>1.5720032423577499</v>
      </c>
      <c r="G78">
        <v>-1831.8077934611727</v>
      </c>
      <c r="H78">
        <v>-1497.9584410450591</v>
      </c>
      <c r="I78">
        <v>318.213310560661</v>
      </c>
      <c r="J78">
        <v>162.12840520031901</v>
      </c>
      <c r="K78">
        <v>69.772455719305995</v>
      </c>
      <c r="L78">
        <v>0.58594483530908448</v>
      </c>
      <c r="M78">
        <v>-0.5850503376149514</v>
      </c>
      <c r="N78">
        <v>40.838639095809398</v>
      </c>
      <c r="O78">
        <v>40.838707195652397</v>
      </c>
      <c r="P78">
        <v>40.838632902567802</v>
      </c>
      <c r="Q78" t="s">
        <v>51</v>
      </c>
    </row>
    <row r="79" spans="1:17" x14ac:dyDescent="0.2">
      <c r="A79">
        <v>78</v>
      </c>
      <c r="B79">
        <v>774</v>
      </c>
      <c r="C79">
        <v>125</v>
      </c>
      <c r="D79">
        <v>0.47267392446163797</v>
      </c>
      <c r="E79">
        <v>109.682513790407</v>
      </c>
      <c r="F79">
        <v>1.5444129947432199</v>
      </c>
      <c r="G79">
        <v>-1831.1742120210258</v>
      </c>
      <c r="H79">
        <v>-1501.7115410161534</v>
      </c>
      <c r="I79">
        <v>314.63243367544601</v>
      </c>
      <c r="J79">
        <v>161.378723494882</v>
      </c>
      <c r="K79">
        <v>71.018901138320999</v>
      </c>
      <c r="L79">
        <v>0.42773092989463424</v>
      </c>
      <c r="M79">
        <v>-0.42673559352493923</v>
      </c>
      <c r="N79">
        <v>30.326834143387099</v>
      </c>
      <c r="O79">
        <v>30.3269109490749</v>
      </c>
      <c r="P79">
        <v>30.326826861817899</v>
      </c>
      <c r="Q79" t="s">
        <v>51</v>
      </c>
    </row>
    <row r="80" spans="1:17" x14ac:dyDescent="0.2">
      <c r="A80">
        <v>79</v>
      </c>
      <c r="B80">
        <v>772</v>
      </c>
      <c r="C80">
        <v>125</v>
      </c>
      <c r="D80">
        <v>0.47153088073482102</v>
      </c>
      <c r="E80">
        <v>109.690242628996</v>
      </c>
      <c r="F80">
        <v>1.50464283461284</v>
      </c>
      <c r="G80">
        <v>-1830.6757254980819</v>
      </c>
      <c r="H80">
        <v>-1507.4268170358846</v>
      </c>
      <c r="I80">
        <v>309.28995372916302</v>
      </c>
      <c r="J80">
        <v>160.11607479861101</v>
      </c>
      <c r="K80">
        <v>72.901182995511107</v>
      </c>
      <c r="L80">
        <v>0.19990099407079087</v>
      </c>
      <c r="M80">
        <v>-0.19876199931201785</v>
      </c>
      <c r="N80">
        <v>14.513970475021299</v>
      </c>
      <c r="O80">
        <v>14.514060282488799</v>
      </c>
      <c r="P80">
        <v>14.513961601374801</v>
      </c>
      <c r="Q80" t="s">
        <v>51</v>
      </c>
    </row>
    <row r="81" spans="1:17" x14ac:dyDescent="0.2">
      <c r="A81">
        <v>80</v>
      </c>
      <c r="B81">
        <v>770</v>
      </c>
      <c r="C81">
        <v>125</v>
      </c>
      <c r="D81">
        <v>0.47038345396155901</v>
      </c>
      <c r="E81">
        <v>109.69295930305999</v>
      </c>
      <c r="F81">
        <v>1.4861405188099099</v>
      </c>
      <c r="G81">
        <v>-1830.1048276429074</v>
      </c>
      <c r="H81">
        <v>-1510.6101718060245</v>
      </c>
      <c r="I81">
        <v>306.28439331156102</v>
      </c>
      <c r="J81">
        <v>159.46028056315399</v>
      </c>
      <c r="K81">
        <v>73.810624173615395</v>
      </c>
      <c r="L81">
        <v>8.4399903369976673E-2</v>
      </c>
      <c r="M81">
        <v>-8.3187309388284905E-2</v>
      </c>
      <c r="N81">
        <v>6.1658349176331297</v>
      </c>
      <c r="O81">
        <v>6.1659313685266897</v>
      </c>
      <c r="P81">
        <v>6.1658249361847197</v>
      </c>
      <c r="Q81" t="s">
        <v>51</v>
      </c>
    </row>
    <row r="82" spans="1:17" x14ac:dyDescent="0.2">
      <c r="A82">
        <v>81</v>
      </c>
      <c r="B82">
        <v>768</v>
      </c>
      <c r="C82">
        <v>125</v>
      </c>
      <c r="D82">
        <v>0.46923161888296799</v>
      </c>
      <c r="E82">
        <v>109.692833268275</v>
      </c>
      <c r="F82">
        <v>1.48241652210342</v>
      </c>
      <c r="G82">
        <v>-1829.4915045457926</v>
      </c>
      <c r="H82">
        <v>-1511.8148500786058</v>
      </c>
      <c r="I82">
        <v>305.126729394314</v>
      </c>
      <c r="J82">
        <v>159.32465619592901</v>
      </c>
      <c r="K82">
        <v>73.995959727048103</v>
      </c>
      <c r="L82">
        <v>4.9042179023636917E-2</v>
      </c>
      <c r="M82">
        <v>-4.7805755638102673E-2</v>
      </c>
      <c r="N82">
        <v>3.5636171051046501</v>
      </c>
      <c r="O82">
        <v>3.5637153778802402</v>
      </c>
      <c r="P82">
        <v>3.5636064280314002</v>
      </c>
      <c r="Q82" t="s">
        <v>51</v>
      </c>
    </row>
    <row r="83" spans="1:17" x14ac:dyDescent="0.2">
      <c r="A83">
        <v>82</v>
      </c>
      <c r="B83">
        <v>808</v>
      </c>
      <c r="C83">
        <v>100</v>
      </c>
      <c r="D83">
        <v>0.51689451047495805</v>
      </c>
      <c r="E83">
        <v>109.68206920991901</v>
      </c>
      <c r="F83">
        <v>1.4086665566187</v>
      </c>
      <c r="G83">
        <v>-1843.9611809936084</v>
      </c>
      <c r="H83">
        <v>-1491.0229790341516</v>
      </c>
      <c r="I83">
        <v>326.45080067683</v>
      </c>
      <c r="J83">
        <v>161.601465860677</v>
      </c>
      <c r="K83">
        <v>77.862336331171704</v>
      </c>
      <c r="L83">
        <v>0.59878058909089993</v>
      </c>
      <c r="M83">
        <v>-0.59769104114587179</v>
      </c>
      <c r="N83">
        <v>46.5697148115663</v>
      </c>
      <c r="O83">
        <v>46.5698407464523</v>
      </c>
      <c r="P83">
        <v>46.569719823795303</v>
      </c>
      <c r="Q83" t="s">
        <v>51</v>
      </c>
    </row>
    <row r="84" spans="1:17" x14ac:dyDescent="0.2">
      <c r="A84">
        <v>83</v>
      </c>
      <c r="B84">
        <v>806</v>
      </c>
      <c r="C84">
        <v>100</v>
      </c>
      <c r="D84">
        <v>0.51586943427697896</v>
      </c>
      <c r="E84">
        <v>109.68210841689501</v>
      </c>
      <c r="F84">
        <v>1.4102341436780601</v>
      </c>
      <c r="G84">
        <v>-1843.3092302402144</v>
      </c>
      <c r="H84">
        <v>-1491.3965585045207</v>
      </c>
      <c r="I84">
        <v>326.10550852168501</v>
      </c>
      <c r="J84">
        <v>161.60606960018001</v>
      </c>
      <c r="K84">
        <v>77.775813972870793</v>
      </c>
      <c r="L84">
        <v>0.59773100941310531</v>
      </c>
      <c r="M84">
        <v>-0.59663831346410856</v>
      </c>
      <c r="N84">
        <v>46.436079423954503</v>
      </c>
      <c r="O84">
        <v>46.4362057866485</v>
      </c>
      <c r="P84">
        <v>46.436084618352197</v>
      </c>
      <c r="Q84" t="s">
        <v>51</v>
      </c>
    </row>
    <row r="85" spans="1:17" x14ac:dyDescent="0.2">
      <c r="A85">
        <v>84</v>
      </c>
      <c r="B85">
        <v>804</v>
      </c>
      <c r="C85">
        <v>100</v>
      </c>
      <c r="D85">
        <v>0.514840551455232</v>
      </c>
      <c r="E85">
        <v>109.68214009560801</v>
      </c>
      <c r="F85">
        <v>1.4106054064436699</v>
      </c>
      <c r="G85">
        <v>-1842.6579662734594</v>
      </c>
      <c r="H85">
        <v>-1491.8656245967691</v>
      </c>
      <c r="I85">
        <v>325.67093753561397</v>
      </c>
      <c r="J85">
        <v>161.56262852875301</v>
      </c>
      <c r="K85">
        <v>77.755366309088103</v>
      </c>
      <c r="L85">
        <v>0.59307332694190906</v>
      </c>
      <c r="M85">
        <v>-0.59197449273679392</v>
      </c>
      <c r="N85">
        <v>46.0613090282936</v>
      </c>
      <c r="O85">
        <v>46.061436264881898</v>
      </c>
      <c r="P85">
        <v>46.0613144235231</v>
      </c>
      <c r="Q85" t="s">
        <v>51</v>
      </c>
    </row>
    <row r="86" spans="1:17" x14ac:dyDescent="0.2">
      <c r="A86">
        <v>85</v>
      </c>
      <c r="B86">
        <v>802</v>
      </c>
      <c r="C86">
        <v>100</v>
      </c>
      <c r="D86">
        <v>0.51380784076640695</v>
      </c>
      <c r="E86">
        <v>109.682171769672</v>
      </c>
      <c r="F86">
        <v>1.4110000203812401</v>
      </c>
      <c r="G86">
        <v>-1842.0075712435191</v>
      </c>
      <c r="H86">
        <v>-1492.3337852175825</v>
      </c>
      <c r="I86">
        <v>325.23640012775002</v>
      </c>
      <c r="J86">
        <v>161.52150551627699</v>
      </c>
      <c r="K86">
        <v>77.733642937891005</v>
      </c>
      <c r="L86">
        <v>0.58841847867644914</v>
      </c>
      <c r="M86">
        <v>-0.58731348462677546</v>
      </c>
      <c r="N86">
        <v>45.686197220854901</v>
      </c>
      <c r="O86">
        <v>45.6863253337714</v>
      </c>
      <c r="P86">
        <v>45.686202816512598</v>
      </c>
      <c r="Q86" t="s">
        <v>51</v>
      </c>
    </row>
    <row r="87" spans="1:17" x14ac:dyDescent="0.2">
      <c r="A87">
        <v>86</v>
      </c>
      <c r="B87">
        <v>800</v>
      </c>
      <c r="C87">
        <v>100</v>
      </c>
      <c r="D87">
        <v>0.51277128080883805</v>
      </c>
      <c r="E87">
        <v>109.682203453363</v>
      </c>
      <c r="F87">
        <v>1.41142070293541</v>
      </c>
      <c r="G87">
        <v>-1841.3580451538935</v>
      </c>
      <c r="H87">
        <v>-1492.8008667199813</v>
      </c>
      <c r="I87">
        <v>324.802058269697</v>
      </c>
      <c r="J87">
        <v>161.48277304600401</v>
      </c>
      <c r="K87">
        <v>77.7104963993025</v>
      </c>
      <c r="L87">
        <v>0.58377345420948368</v>
      </c>
      <c r="M87">
        <v>-0.58266228507226225</v>
      </c>
      <c r="N87">
        <v>45.311219135782501</v>
      </c>
      <c r="O87">
        <v>45.311348126349998</v>
      </c>
      <c r="P87">
        <v>45.311224931195703</v>
      </c>
      <c r="Q87" t="s">
        <v>51</v>
      </c>
    </row>
    <row r="88" spans="1:17" x14ac:dyDescent="0.2">
      <c r="A88">
        <v>87</v>
      </c>
      <c r="B88">
        <v>798</v>
      </c>
      <c r="C88">
        <v>100</v>
      </c>
      <c r="D88">
        <v>0.51173085002101004</v>
      </c>
      <c r="E88">
        <v>109.682235160932</v>
      </c>
      <c r="F88">
        <v>1.41186996384759</v>
      </c>
      <c r="G88">
        <v>-1840.7093876957651</v>
      </c>
      <c r="H88">
        <v>-1493.2667095269833</v>
      </c>
      <c r="I88">
        <v>324.36806171767</v>
      </c>
      <c r="J88">
        <v>161.44649845881301</v>
      </c>
      <c r="K88">
        <v>77.685791163110196</v>
      </c>
      <c r="L88">
        <v>0.57914473643660513</v>
      </c>
      <c r="M88">
        <v>-0.57802738290198297</v>
      </c>
      <c r="N88">
        <v>44.936819459080297</v>
      </c>
      <c r="O88">
        <v>44.936949327556803</v>
      </c>
      <c r="P88">
        <v>44.936825453291704</v>
      </c>
      <c r="Q88" t="s">
        <v>51</v>
      </c>
    </row>
    <row r="89" spans="1:17" x14ac:dyDescent="0.2">
      <c r="A89">
        <v>88</v>
      </c>
      <c r="B89">
        <v>796</v>
      </c>
      <c r="C89">
        <v>100</v>
      </c>
      <c r="D89">
        <v>0.51068652668007097</v>
      </c>
      <c r="E89">
        <v>109.682266906484</v>
      </c>
      <c r="F89">
        <v>1.41235009169536</v>
      </c>
      <c r="G89">
        <v>-1840.0615982717306</v>
      </c>
      <c r="H89">
        <v>-1493.7311692726803</v>
      </c>
      <c r="I89">
        <v>323.934546853369</v>
      </c>
      <c r="J89">
        <v>161.41274406928801</v>
      </c>
      <c r="K89">
        <v>77.659404386644596</v>
      </c>
      <c r="L89">
        <v>0.57453825345134968</v>
      </c>
      <c r="M89">
        <v>-0.57341471168640135</v>
      </c>
      <c r="N89">
        <v>44.563408792951797</v>
      </c>
      <c r="O89">
        <v>44.563539538582603</v>
      </c>
      <c r="P89">
        <v>44.563414984704202</v>
      </c>
      <c r="Q89" t="s">
        <v>51</v>
      </c>
    </row>
    <row r="90" spans="1:17" x14ac:dyDescent="0.2">
      <c r="A90">
        <v>89</v>
      </c>
      <c r="B90">
        <v>794</v>
      </c>
      <c r="C90">
        <v>100</v>
      </c>
      <c r="D90">
        <v>0.50963828890034402</v>
      </c>
      <c r="E90">
        <v>109.682298703692</v>
      </c>
      <c r="F90">
        <v>1.41286314853144</v>
      </c>
      <c r="G90">
        <v>-1839.414676018529</v>
      </c>
      <c r="H90">
        <v>-1494.1941173539992</v>
      </c>
      <c r="I90">
        <v>323.50163606302101</v>
      </c>
      <c r="J90">
        <v>161.38156750347301</v>
      </c>
      <c r="K90">
        <v>77.6312262215191</v>
      </c>
      <c r="L90">
        <v>0.56995935494631877</v>
      </c>
      <c r="M90">
        <v>-0.56882962611482779</v>
      </c>
      <c r="N90">
        <v>44.191361652598502</v>
      </c>
      <c r="O90">
        <v>44.191493273673302</v>
      </c>
      <c r="P90">
        <v>44.19136804032</v>
      </c>
      <c r="Q90" t="s">
        <v>51</v>
      </c>
    </row>
    <row r="91" spans="1:17" x14ac:dyDescent="0.2">
      <c r="A91">
        <v>90</v>
      </c>
      <c r="B91">
        <v>792</v>
      </c>
      <c r="C91">
        <v>100</v>
      </c>
      <c r="D91">
        <v>0.50858611463174297</v>
      </c>
      <c r="E91">
        <v>109.682330565805</v>
      </c>
      <c r="F91">
        <v>1.41341097168728</v>
      </c>
      <c r="G91">
        <v>-1838.7686198354595</v>
      </c>
      <c r="H91">
        <v>-1494.6554409545863</v>
      </c>
      <c r="I91">
        <v>323.06943761027799</v>
      </c>
      <c r="J91">
        <v>161.35302223784899</v>
      </c>
      <c r="K91">
        <v>77.601159721344203</v>
      </c>
      <c r="L91">
        <v>0.5654128114162893</v>
      </c>
      <c r="M91">
        <v>-0.56427690119267948</v>
      </c>
      <c r="N91">
        <v>43.821016008870501</v>
      </c>
      <c r="O91">
        <v>43.821148502781597</v>
      </c>
      <c r="P91">
        <v>43.82102259066</v>
      </c>
      <c r="Q91" t="s">
        <v>51</v>
      </c>
    </row>
    <row r="92" spans="1:17" x14ac:dyDescent="0.2">
      <c r="A92">
        <v>91</v>
      </c>
      <c r="B92">
        <v>790</v>
      </c>
      <c r="C92">
        <v>100</v>
      </c>
      <c r="D92">
        <v>0.507529981658283</v>
      </c>
      <c r="E92">
        <v>109.682377406321</v>
      </c>
      <c r="F92">
        <v>1.4087334272516501</v>
      </c>
      <c r="G92">
        <v>-1838.1240530211553</v>
      </c>
      <c r="H92">
        <v>-1495.6315013834535</v>
      </c>
      <c r="I92">
        <v>322.152923505964</v>
      </c>
      <c r="J92">
        <v>161.19434965084099</v>
      </c>
      <c r="K92">
        <v>77.858859088979401</v>
      </c>
      <c r="L92">
        <v>0.53866494324594949</v>
      </c>
      <c r="M92">
        <v>-0.53750643594105452</v>
      </c>
      <c r="N92">
        <v>41.882748014735903</v>
      </c>
      <c r="O92">
        <v>41.882883775838103</v>
      </c>
      <c r="P92">
        <v>41.8827549164602</v>
      </c>
      <c r="Q92" t="s">
        <v>51</v>
      </c>
    </row>
    <row r="93" spans="1:17" x14ac:dyDescent="0.2">
      <c r="A93">
        <v>92</v>
      </c>
      <c r="B93">
        <v>788</v>
      </c>
      <c r="C93">
        <v>100</v>
      </c>
      <c r="D93">
        <v>0.50646986759647905</v>
      </c>
      <c r="E93">
        <v>109.682421638823</v>
      </c>
      <c r="F93">
        <v>1.40072691569774</v>
      </c>
      <c r="G93">
        <v>-1837.4816373457279</v>
      </c>
      <c r="H93">
        <v>-1496.9479431567772</v>
      </c>
      <c r="I93">
        <v>320.91426266812601</v>
      </c>
      <c r="J93">
        <v>160.93101331930799</v>
      </c>
      <c r="K93">
        <v>78.303929488059794</v>
      </c>
      <c r="L93">
        <v>0.49691328463160056</v>
      </c>
      <c r="M93">
        <v>-0.49572155225381698</v>
      </c>
      <c r="N93">
        <v>38.851071085116303</v>
      </c>
      <c r="O93">
        <v>38.8512117074483</v>
      </c>
      <c r="P93">
        <v>38.851078396650202</v>
      </c>
      <c r="Q93" t="s">
        <v>51</v>
      </c>
    </row>
    <row r="94" spans="1:17" x14ac:dyDescent="0.2">
      <c r="A94">
        <v>93</v>
      </c>
      <c r="B94">
        <v>786</v>
      </c>
      <c r="C94">
        <v>100</v>
      </c>
      <c r="D94">
        <v>0.50540574989378495</v>
      </c>
      <c r="E94">
        <v>109.682415589526</v>
      </c>
      <c r="F94">
        <v>1.37716943821902</v>
      </c>
      <c r="G94">
        <v>-1836.8421299279307</v>
      </c>
      <c r="H94">
        <v>-1499.9766368804137</v>
      </c>
      <c r="I94">
        <v>318.05726678284901</v>
      </c>
      <c r="J94">
        <v>160.045882325588</v>
      </c>
      <c r="K94">
        <v>79.643370340376805</v>
      </c>
      <c r="L94">
        <v>0.38212841595981784</v>
      </c>
      <c r="M94">
        <v>-0.38085400039644718</v>
      </c>
      <c r="N94">
        <v>30.369451040947599</v>
      </c>
      <c r="O94">
        <v>30.369604069123898</v>
      </c>
      <c r="P94">
        <v>30.3694591805626</v>
      </c>
      <c r="Q94" t="s">
        <v>51</v>
      </c>
    </row>
    <row r="95" spans="1:17" x14ac:dyDescent="0.2">
      <c r="A95">
        <v>94</v>
      </c>
      <c r="B95">
        <v>784</v>
      </c>
      <c r="C95">
        <v>100</v>
      </c>
      <c r="D95">
        <v>0.50433760582698905</v>
      </c>
      <c r="E95">
        <v>109.687362978641</v>
      </c>
      <c r="F95">
        <v>1.34480634154669</v>
      </c>
      <c r="G95">
        <v>-1836.2901415644735</v>
      </c>
      <c r="H95">
        <v>-1504.3191551255397</v>
      </c>
      <c r="I95">
        <v>314.02960055337502</v>
      </c>
      <c r="J95">
        <v>158.683693191733</v>
      </c>
      <c r="K95">
        <v>81.563686599281993</v>
      </c>
      <c r="L95">
        <v>0.22459643659036721</v>
      </c>
      <c r="M95">
        <v>-0.22321028359857903</v>
      </c>
      <c r="N95">
        <v>18.246829273865998</v>
      </c>
      <c r="O95">
        <v>18.246999781986698</v>
      </c>
      <c r="P95">
        <v>18.2468385442704</v>
      </c>
      <c r="Q95" t="s">
        <v>51</v>
      </c>
    </row>
    <row r="96" spans="1:17" x14ac:dyDescent="0.2">
      <c r="A96">
        <v>95</v>
      </c>
      <c r="B96">
        <v>782</v>
      </c>
      <c r="C96">
        <v>100</v>
      </c>
      <c r="D96">
        <v>0.50326541250059598</v>
      </c>
      <c r="E96">
        <v>109.693442082082</v>
      </c>
      <c r="F96">
        <v>1.3218137892740001</v>
      </c>
      <c r="G96">
        <v>-1835.7651499093722</v>
      </c>
      <c r="H96">
        <v>-1507.8316282461483</v>
      </c>
      <c r="I96">
        <v>310.79879321550499</v>
      </c>
      <c r="J96">
        <v>157.61026136206701</v>
      </c>
      <c r="K96">
        <v>82.987061394125007</v>
      </c>
      <c r="L96">
        <v>0.10793121803892176</v>
      </c>
      <c r="M96">
        <v>-0.10646154506006955</v>
      </c>
      <c r="N96">
        <v>8.8789485459848407</v>
      </c>
      <c r="O96">
        <v>8.8791326233786592</v>
      </c>
      <c r="P96">
        <v>8.8789587545326807</v>
      </c>
      <c r="Q96" t="s">
        <v>51</v>
      </c>
    </row>
    <row r="97" spans="1:17" x14ac:dyDescent="0.2">
      <c r="A97">
        <v>96</v>
      </c>
      <c r="B97">
        <v>780</v>
      </c>
      <c r="C97">
        <v>100</v>
      </c>
      <c r="D97">
        <v>0.50218914684517901</v>
      </c>
      <c r="E97">
        <v>109.69323211107501</v>
      </c>
      <c r="F97">
        <v>1.31297534952262</v>
      </c>
      <c r="G97">
        <v>-1835.142152793891</v>
      </c>
      <c r="H97">
        <v>-1509.6010630577871</v>
      </c>
      <c r="I97">
        <v>309.11751280808801</v>
      </c>
      <c r="J97">
        <v>157.140360813006</v>
      </c>
      <c r="K97">
        <v>83.545538117648206</v>
      </c>
      <c r="L97">
        <v>5.5051784897067017E-2</v>
      </c>
      <c r="M97">
        <v>-5.3542487479846981E-2</v>
      </c>
      <c r="N97">
        <v>4.5185724163763501</v>
      </c>
      <c r="O97">
        <v>4.5187629670640197</v>
      </c>
      <c r="P97">
        <v>4.5185831739616997</v>
      </c>
      <c r="Q97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21AC6-7C09-4DDE-8F70-2DD286A5238A}">
  <sheetPr codeName="Sheet4"/>
  <dimension ref="A1:AI97"/>
  <sheetViews>
    <sheetView workbookViewId="0"/>
  </sheetViews>
  <sheetFormatPr defaultRowHeight="15" x14ac:dyDescent="0.2"/>
  <sheetData>
    <row r="1" spans="1:35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">
      <c r="A2">
        <v>1</v>
      </c>
      <c r="B2">
        <v>758</v>
      </c>
      <c r="C2">
        <v>300</v>
      </c>
      <c r="D2">
        <v>0.27672065169955901</v>
      </c>
      <c r="E2">
        <v>105.998493264213</v>
      </c>
      <c r="F2">
        <v>2.1904651173810699</v>
      </c>
      <c r="G2">
        <v>-1735.9894762354481</v>
      </c>
      <c r="H2">
        <v>-1445.9186708428263</v>
      </c>
      <c r="I2">
        <v>281.30805934405402</v>
      </c>
      <c r="J2">
        <v>143.91375561398601</v>
      </c>
      <c r="K2">
        <v>48.390861111244298</v>
      </c>
      <c r="L2">
        <v>1.6383621705479218E-4</v>
      </c>
      <c r="M2">
        <v>1.7812330086064982E-5</v>
      </c>
      <c r="N2" s="1">
        <v>4.0278471280077398E-6</v>
      </c>
      <c r="O2" s="1">
        <v>1.0901888796321699E-7</v>
      </c>
      <c r="P2" s="1">
        <v>-5.5024690088546699E-7</v>
      </c>
      <c r="Q2">
        <v>72.038759843203195</v>
      </c>
      <c r="R2">
        <v>6.50952649185398E-2</v>
      </c>
      <c r="S2">
        <v>11.9341319017327</v>
      </c>
      <c r="T2">
        <v>0.14530056658733601</v>
      </c>
      <c r="V2">
        <v>0.35982996119744398</v>
      </c>
      <c r="W2">
        <v>2.2641831276013599E-2</v>
      </c>
      <c r="X2">
        <v>4.7170481825029302E-2</v>
      </c>
      <c r="AA2">
        <v>0.50944120371030999</v>
      </c>
      <c r="AB2">
        <v>3.7453362569072701</v>
      </c>
      <c r="AC2">
        <v>4.3491184242676102</v>
      </c>
      <c r="AD2">
        <v>5.6604578190033302E-3</v>
      </c>
      <c r="AE2">
        <v>6.7775138065554197</v>
      </c>
    </row>
    <row r="3" spans="1:35" x14ac:dyDescent="0.2">
      <c r="A3">
        <v>2</v>
      </c>
      <c r="B3">
        <v>756</v>
      </c>
      <c r="C3">
        <v>300</v>
      </c>
      <c r="D3">
        <v>0.27517903123937498</v>
      </c>
      <c r="E3">
        <v>105.816546571982</v>
      </c>
      <c r="F3">
        <v>2.1912741397225299</v>
      </c>
      <c r="G3">
        <v>-1732.4057696179455</v>
      </c>
      <c r="H3">
        <v>-1443.6557942945335</v>
      </c>
      <c r="I3">
        <v>280.57132130730298</v>
      </c>
      <c r="J3">
        <v>143.65702702010501</v>
      </c>
      <c r="K3">
        <v>48.289962745319002</v>
      </c>
      <c r="L3">
        <v>1.6379786044295514E-4</v>
      </c>
      <c r="M3">
        <v>1.7795721060928432E-5</v>
      </c>
      <c r="N3" s="1">
        <v>4.0313944988900701E-6</v>
      </c>
      <c r="O3" s="1">
        <v>1.08673967123872E-7</v>
      </c>
      <c r="P3" s="1">
        <v>-5.4942793815644699E-7</v>
      </c>
      <c r="Q3">
        <v>72.000683470626996</v>
      </c>
      <c r="R3">
        <v>6.5207193237083405E-2</v>
      </c>
      <c r="S3">
        <v>11.9546520934674</v>
      </c>
      <c r="T3">
        <v>0.14605010251511899</v>
      </c>
      <c r="V3">
        <v>0.35999903827890301</v>
      </c>
      <c r="W3">
        <v>2.2680762865071601E-2</v>
      </c>
      <c r="X3">
        <v>4.7251589302236503E-2</v>
      </c>
      <c r="AA3">
        <v>0.51031716446412601</v>
      </c>
      <c r="AB3">
        <v>3.7517761905973002</v>
      </c>
      <c r="AC3">
        <v>4.3565965336657797</v>
      </c>
      <c r="AD3">
        <v>5.6701907162674996E-3</v>
      </c>
      <c r="AE3">
        <v>6.7791156702635504</v>
      </c>
    </row>
    <row r="4" spans="1:35" x14ac:dyDescent="0.2">
      <c r="A4">
        <v>3</v>
      </c>
      <c r="B4">
        <v>754</v>
      </c>
      <c r="C4">
        <v>300</v>
      </c>
      <c r="D4">
        <v>0.27363140729202201</v>
      </c>
      <c r="E4">
        <v>105.359313001253</v>
      </c>
      <c r="F4">
        <v>2.1921744726109198</v>
      </c>
      <c r="G4">
        <v>-1724.2647311231581</v>
      </c>
      <c r="H4">
        <v>-1437.5291668931302</v>
      </c>
      <c r="I4">
        <v>279.15646617341901</v>
      </c>
      <c r="J4">
        <v>143.057340301712</v>
      </c>
      <c r="K4">
        <v>48.061554551252797</v>
      </c>
      <c r="L4">
        <v>1.6390381085119957E-4</v>
      </c>
      <c r="M4">
        <v>1.7781750838586246E-5</v>
      </c>
      <c r="N4" s="1">
        <v>4.02694526325773E-6</v>
      </c>
      <c r="O4" s="1">
        <v>1.08111923274054E-7</v>
      </c>
      <c r="P4" s="1">
        <v>-5.4793084706462296E-7</v>
      </c>
      <c r="Q4">
        <v>71.902637645287598</v>
      </c>
      <c r="R4">
        <v>6.5490176458516E-2</v>
      </c>
      <c r="S4">
        <v>12.006532350730801</v>
      </c>
      <c r="T4">
        <v>0.147253158662352</v>
      </c>
      <c r="V4">
        <v>0.36104914228618001</v>
      </c>
      <c r="W4">
        <v>2.27791918116566E-2</v>
      </c>
      <c r="X4">
        <v>4.7456649607623198E-2</v>
      </c>
      <c r="AA4">
        <v>0.51253181576229301</v>
      </c>
      <c r="AB4">
        <v>3.7680579788449098</v>
      </c>
      <c r="AC4">
        <v>4.3755030938222896</v>
      </c>
      <c r="AD4">
        <v>5.6947979529135802E-3</v>
      </c>
      <c r="AE4">
        <v>6.7850139987726701</v>
      </c>
    </row>
    <row r="5" spans="1:35" x14ac:dyDescent="0.2">
      <c r="A5">
        <v>4</v>
      </c>
      <c r="B5">
        <v>752</v>
      </c>
      <c r="C5">
        <v>300</v>
      </c>
      <c r="D5">
        <v>0.27207774472028401</v>
      </c>
      <c r="E5">
        <v>104.906640033505</v>
      </c>
      <c r="F5">
        <v>2.1930741797694702</v>
      </c>
      <c r="G5">
        <v>-1716.2046784208735</v>
      </c>
      <c r="H5">
        <v>-1431.4640226157101</v>
      </c>
      <c r="I5">
        <v>277.75511467118298</v>
      </c>
      <c r="J5">
        <v>142.463687087126</v>
      </c>
      <c r="K5">
        <v>47.835427091906404</v>
      </c>
      <c r="L5">
        <v>1.6401028886492105E-4</v>
      </c>
      <c r="M5">
        <v>1.7767789590395289E-5</v>
      </c>
      <c r="N5" s="1">
        <v>4.0226173036992596E-6</v>
      </c>
      <c r="O5" s="1">
        <v>1.07556112437988E-7</v>
      </c>
      <c r="P5" s="1">
        <v>-5.4645542810673703E-7</v>
      </c>
      <c r="Q5">
        <v>71.804646773191294</v>
      </c>
      <c r="R5">
        <v>6.5772767079342598E-2</v>
      </c>
      <c r="S5">
        <v>12.0583406312169</v>
      </c>
      <c r="T5">
        <v>0.14846470470642001</v>
      </c>
      <c r="V5">
        <v>0.36208864826154402</v>
      </c>
      <c r="W5">
        <v>2.2877484201508799E-2</v>
      </c>
      <c r="X5">
        <v>4.7661425419817598E-2</v>
      </c>
      <c r="AA5">
        <v>0.51474339453397699</v>
      </c>
      <c r="AB5">
        <v>3.7843171783329899</v>
      </c>
      <c r="AC5">
        <v>4.3943834237063699</v>
      </c>
      <c r="AD5">
        <v>5.7193710503762899E-3</v>
      </c>
      <c r="AE5">
        <v>6.79098419829932</v>
      </c>
    </row>
    <row r="6" spans="1:35" x14ac:dyDescent="0.2">
      <c r="A6">
        <v>5</v>
      </c>
      <c r="B6">
        <v>750</v>
      </c>
      <c r="C6">
        <v>300</v>
      </c>
      <c r="D6">
        <v>0.270518008112205</v>
      </c>
      <c r="E6">
        <v>104.45845144689</v>
      </c>
      <c r="F6">
        <v>2.19397325565311</v>
      </c>
      <c r="G6">
        <v>-1708.224272959442</v>
      </c>
      <c r="H6">
        <v>-1425.4593290196092</v>
      </c>
      <c r="I6">
        <v>276.36704680626701</v>
      </c>
      <c r="J6">
        <v>141.875968432218</v>
      </c>
      <c r="K6">
        <v>47.611542746811601</v>
      </c>
      <c r="L6">
        <v>1.6411730635094944E-4</v>
      </c>
      <c r="M6">
        <v>1.7753837686357876E-5</v>
      </c>
      <c r="N6" s="1">
        <v>4.0184094159578997E-6</v>
      </c>
      <c r="O6" s="1">
        <v>1.07006441682397E-7</v>
      </c>
      <c r="P6" s="1">
        <v>-5.4500141016448702E-7</v>
      </c>
      <c r="Q6">
        <v>71.706708018988706</v>
      </c>
      <c r="R6">
        <v>6.6054971181612798E-2</v>
      </c>
      <c r="S6">
        <v>12.110078049967299</v>
      </c>
      <c r="T6">
        <v>0.14968484414271899</v>
      </c>
      <c r="V6">
        <v>0.36311750891452599</v>
      </c>
      <c r="W6">
        <v>2.2975642150124199E-2</v>
      </c>
      <c r="X6">
        <v>4.7865921146101199E-2</v>
      </c>
      <c r="AA6">
        <v>0.51695194837782898</v>
      </c>
      <c r="AB6">
        <v>3.8005541389998099</v>
      </c>
      <c r="AC6">
        <v>4.4132379296695596</v>
      </c>
      <c r="AD6">
        <v>5.7439105375299204E-3</v>
      </c>
      <c r="AE6">
        <v>6.7970271159239903</v>
      </c>
    </row>
    <row r="7" spans="1:35" x14ac:dyDescent="0.2">
      <c r="A7">
        <v>6</v>
      </c>
      <c r="B7">
        <v>748</v>
      </c>
      <c r="C7">
        <v>300</v>
      </c>
      <c r="D7">
        <v>0.26895216177838999</v>
      </c>
      <c r="E7">
        <v>104.01467264543599</v>
      </c>
      <c r="F7">
        <v>2.1948716942494801</v>
      </c>
      <c r="G7">
        <v>-1700.3222048899804</v>
      </c>
      <c r="H7">
        <v>-1419.5140756349492</v>
      </c>
      <c r="I7">
        <v>274.992047451433</v>
      </c>
      <c r="J7">
        <v>141.294087549734</v>
      </c>
      <c r="K7">
        <v>47.389864709610599</v>
      </c>
      <c r="L7">
        <v>1.6422487554532272E-4</v>
      </c>
      <c r="M7">
        <v>1.7739895517082832E-5</v>
      </c>
      <c r="N7" s="1">
        <v>4.01432044253353E-6</v>
      </c>
      <c r="O7" s="1">
        <v>1.06462820378978E-7</v>
      </c>
      <c r="P7" s="1">
        <v>-5.43568530388477E-7</v>
      </c>
      <c r="Q7">
        <v>71.6088185220475</v>
      </c>
      <c r="R7">
        <v>6.6336794843559005E-2</v>
      </c>
      <c r="S7">
        <v>12.1617457213256</v>
      </c>
      <c r="T7">
        <v>0.15091368160149601</v>
      </c>
      <c r="V7">
        <v>0.36413567590453999</v>
      </c>
      <c r="W7">
        <v>2.3073667771670098E-2</v>
      </c>
      <c r="X7">
        <v>4.8070141190991199E-2</v>
      </c>
      <c r="AA7">
        <v>0.51915752486262201</v>
      </c>
      <c r="AB7">
        <v>3.8167692105638902</v>
      </c>
      <c r="AC7">
        <v>4.4320670178081203</v>
      </c>
      <c r="AD7">
        <v>5.7684169429160301E-3</v>
      </c>
      <c r="AE7">
        <v>6.8031436251369302</v>
      </c>
    </row>
    <row r="8" spans="1:35" x14ac:dyDescent="0.2">
      <c r="A8">
        <v>7</v>
      </c>
      <c r="B8">
        <v>746</v>
      </c>
      <c r="C8">
        <v>300</v>
      </c>
      <c r="D8">
        <v>0.26738016974930101</v>
      </c>
      <c r="E8">
        <v>103.575230617758</v>
      </c>
      <c r="F8">
        <v>2.19576948906654</v>
      </c>
      <c r="G8">
        <v>-1692.4971923380749</v>
      </c>
      <c r="H8">
        <v>-1413.6272734070637</v>
      </c>
      <c r="I8">
        <v>273.62990622676801</v>
      </c>
      <c r="J8">
        <v>140.71794975554701</v>
      </c>
      <c r="K8">
        <v>47.170356967565901</v>
      </c>
      <c r="L8">
        <v>1.6433300906218312E-4</v>
      </c>
      <c r="M8">
        <v>1.7725963494293508E-5</v>
      </c>
      <c r="N8" s="1">
        <v>4.0103492721756301E-6</v>
      </c>
      <c r="O8" s="1">
        <v>1.05925160153158E-7</v>
      </c>
      <c r="P8" s="1">
        <v>-5.4215653405550295E-7</v>
      </c>
      <c r="Q8">
        <v>71.510975396088895</v>
      </c>
      <c r="R8">
        <v>6.6618244138548305E-2</v>
      </c>
      <c r="S8">
        <v>12.213344758740799</v>
      </c>
      <c r="T8">
        <v>0.15215132285494601</v>
      </c>
      <c r="V8">
        <v>0.36514309982707399</v>
      </c>
      <c r="W8">
        <v>2.3171563178622699E-2</v>
      </c>
      <c r="X8">
        <v>4.8274089955476697E-2</v>
      </c>
      <c r="AA8">
        <v>0.521360171519059</v>
      </c>
      <c r="AB8">
        <v>3.8329627424639701</v>
      </c>
      <c r="AC8">
        <v>4.45087109389359</v>
      </c>
      <c r="AD8">
        <v>5.7928907946540598E-3</v>
      </c>
      <c r="AE8">
        <v>6.80933462654425</v>
      </c>
    </row>
    <row r="9" spans="1:35" x14ac:dyDescent="0.2">
      <c r="A9">
        <v>8</v>
      </c>
      <c r="B9">
        <v>744</v>
      </c>
      <c r="C9">
        <v>300</v>
      </c>
      <c r="D9">
        <v>0.26580199577250502</v>
      </c>
      <c r="E9">
        <v>103.14005389420799</v>
      </c>
      <c r="F9">
        <v>2.1966666331109099</v>
      </c>
      <c r="G9">
        <v>-1684.7479806533022</v>
      </c>
      <c r="H9">
        <v>-1407.7979541159375</v>
      </c>
      <c r="I9">
        <v>272.28041737930999</v>
      </c>
      <c r="J9">
        <v>140.14746241358799</v>
      </c>
      <c r="K9">
        <v>46.952984280615098</v>
      </c>
      <c r="L9">
        <v>1.6444171991075051E-4</v>
      </c>
      <c r="M9">
        <v>1.7712042051833985E-5</v>
      </c>
      <c r="N9" s="1">
        <v>4.0064948395497203E-6</v>
      </c>
      <c r="O9" s="1">
        <v>1.05393374837863E-7</v>
      </c>
      <c r="P9" s="1">
        <v>-5.4076517445998003E-7</v>
      </c>
      <c r="Q9">
        <v>71.4131757277773</v>
      </c>
      <c r="R9">
        <v>6.6899325135875598E-2</v>
      </c>
      <c r="S9">
        <v>12.2648762749192</v>
      </c>
      <c r="T9">
        <v>0.153397874828542</v>
      </c>
      <c r="V9">
        <v>0.36613973020878898</v>
      </c>
      <c r="W9">
        <v>2.32693304820401E-2</v>
      </c>
      <c r="X9">
        <v>4.8477771837599597E-2</v>
      </c>
      <c r="AA9">
        <v>0.52355993584596405</v>
      </c>
      <c r="AB9">
        <v>3.8491350839043199</v>
      </c>
      <c r="AC9">
        <v>4.4696505634249899</v>
      </c>
      <c r="AD9">
        <v>5.81733262050805E-3</v>
      </c>
      <c r="AE9">
        <v>6.8156010490148402</v>
      </c>
    </row>
    <row r="10" spans="1:35" x14ac:dyDescent="0.2">
      <c r="A10">
        <v>9</v>
      </c>
      <c r="B10">
        <v>742</v>
      </c>
      <c r="C10">
        <v>300</v>
      </c>
      <c r="D10">
        <v>0.264217603309855</v>
      </c>
      <c r="E10">
        <v>102.709072498765</v>
      </c>
      <c r="F10">
        <v>2.1975631188769</v>
      </c>
      <c r="G10">
        <v>-1677.073341571335</v>
      </c>
      <c r="H10">
        <v>-1402.0251697213989</v>
      </c>
      <c r="I10">
        <v>270.94337964826502</v>
      </c>
      <c r="J10">
        <v>139.58253487389001</v>
      </c>
      <c r="K10">
        <v>46.737712157845301</v>
      </c>
      <c r="L10">
        <v>1.6455102151084183E-4</v>
      </c>
      <c r="M10">
        <v>1.7698131646355013E-5</v>
      </c>
      <c r="N10" s="1">
        <v>4.0027561245580597E-6</v>
      </c>
      <c r="O10" s="1">
        <v>1.04867380419156E-7</v>
      </c>
      <c r="P10" s="1">
        <v>-5.3939421276530797E-7</v>
      </c>
      <c r="Q10">
        <v>71.315416574097597</v>
      </c>
      <c r="R10">
        <v>6.7180043905891496E-2</v>
      </c>
      <c r="S10">
        <v>12.316341382757701</v>
      </c>
      <c r="T10">
        <v>0.154653445624619</v>
      </c>
      <c r="V10">
        <v>0.36712551552565997</v>
      </c>
      <c r="W10">
        <v>2.3366971793349098E-2</v>
      </c>
      <c r="X10">
        <v>4.8681191236164101E-2</v>
      </c>
      <c r="AA10">
        <v>0.52575686535043198</v>
      </c>
      <c r="AB10">
        <v>3.8652865841500499</v>
      </c>
      <c r="AC10">
        <v>4.4884058319721998</v>
      </c>
      <c r="AD10">
        <v>5.8417429483348096E-3</v>
      </c>
      <c r="AE10">
        <v>6.82194385063785</v>
      </c>
    </row>
    <row r="11" spans="1:35" x14ac:dyDescent="0.2">
      <c r="A11">
        <v>10</v>
      </c>
      <c r="B11">
        <v>740</v>
      </c>
      <c r="C11">
        <v>300</v>
      </c>
      <c r="D11">
        <v>0.26262695553471999</v>
      </c>
      <c r="E11">
        <v>102.282217913167</v>
      </c>
      <c r="F11">
        <v>2.1984589383255</v>
      </c>
      <c r="G11">
        <v>-1669.4720725811981</v>
      </c>
      <c r="H11">
        <v>-1396.3079918791796</v>
      </c>
      <c r="I11">
        <v>269.61859616248103</v>
      </c>
      <c r="J11">
        <v>139.023078426268</v>
      </c>
      <c r="K11">
        <v>46.5245068398104</v>
      </c>
      <c r="L11">
        <v>1.6466092770656439E-4</v>
      </c>
      <c r="M11">
        <v>1.7684232758183989E-5</v>
      </c>
      <c r="N11" s="1">
        <v>3.9991321521502104E-6</v>
      </c>
      <c r="O11" s="1">
        <v>1.04347094995515E-7</v>
      </c>
      <c r="P11" s="1">
        <v>-5.3804341790937597E-7</v>
      </c>
      <c r="Q11">
        <v>71.217694961923499</v>
      </c>
      <c r="R11">
        <v>6.7460406518152105E-2</v>
      </c>
      <c r="S11">
        <v>12.367741195006101</v>
      </c>
      <c r="T11">
        <v>0.155918144527014</v>
      </c>
      <c r="V11">
        <v>0.368100403184694</v>
      </c>
      <c r="W11">
        <v>2.34644892237004E-2</v>
      </c>
      <c r="X11">
        <v>4.8884352549396999E-2</v>
      </c>
      <c r="AA11">
        <v>0.52795100753334001</v>
      </c>
      <c r="AB11">
        <v>3.8814175924206702</v>
      </c>
      <c r="AC11">
        <v>4.5071373050521597</v>
      </c>
      <c r="AD11">
        <v>5.8661223059225404E-3</v>
      </c>
      <c r="AE11">
        <v>6.82836401975523</v>
      </c>
    </row>
    <row r="12" spans="1:35" x14ac:dyDescent="0.2">
      <c r="A12">
        <v>11</v>
      </c>
      <c r="B12">
        <v>738</v>
      </c>
      <c r="C12">
        <v>300</v>
      </c>
      <c r="D12">
        <v>0.26103001532908299</v>
      </c>
      <c r="E12">
        <v>98.069834888334299</v>
      </c>
      <c r="F12">
        <v>2.1988247238399601</v>
      </c>
      <c r="G12">
        <v>-1600.5063388977655</v>
      </c>
      <c r="H12">
        <v>-1338.9811063798459</v>
      </c>
      <c r="I12">
        <v>258.64138111844801</v>
      </c>
      <c r="J12">
        <v>133.40928050770199</v>
      </c>
      <c r="K12">
        <v>44.601024276763603</v>
      </c>
      <c r="L12">
        <v>1.6545676003517458E-4</v>
      </c>
      <c r="M12">
        <v>1.7723222213575861E-5</v>
      </c>
      <c r="N12" s="1">
        <v>3.8690822098604899E-6</v>
      </c>
      <c r="O12" s="1">
        <v>1.00502442479197E-7</v>
      </c>
      <c r="P12" s="1">
        <v>-5.1950214169615795E-7</v>
      </c>
      <c r="Q12">
        <v>71.058183102402793</v>
      </c>
      <c r="R12">
        <v>7.0358026072513902E-2</v>
      </c>
      <c r="S12">
        <v>12.438656150527599</v>
      </c>
      <c r="T12">
        <v>0.16316114163745099</v>
      </c>
      <c r="V12">
        <v>0.38342020750222</v>
      </c>
      <c r="W12">
        <v>2.44723568947821E-2</v>
      </c>
      <c r="X12">
        <v>5.0984076864153599E-2</v>
      </c>
      <c r="AA12">
        <v>0.54567458596881802</v>
      </c>
      <c r="AB12">
        <v>3.9463452782418198</v>
      </c>
      <c r="AC12">
        <v>4.4384751972904199</v>
      </c>
      <c r="AD12">
        <v>6.1180892236929697E-3</v>
      </c>
      <c r="AE12">
        <v>6.8741517873736102</v>
      </c>
    </row>
    <row r="13" spans="1:35" x14ac:dyDescent="0.2">
      <c r="A13">
        <v>12</v>
      </c>
      <c r="B13">
        <v>736</v>
      </c>
      <c r="C13">
        <v>300</v>
      </c>
      <c r="D13">
        <v>0.25942674528068399</v>
      </c>
      <c r="E13">
        <v>72.268298412174403</v>
      </c>
      <c r="F13">
        <v>2.2006881566089098</v>
      </c>
      <c r="G13">
        <v>-1178.2988422543169</v>
      </c>
      <c r="H13">
        <v>-985.6777009561132</v>
      </c>
      <c r="I13">
        <v>190.87463835723401</v>
      </c>
      <c r="J13">
        <v>98.447068735994506</v>
      </c>
      <c r="K13">
        <v>32.838954576614803</v>
      </c>
      <c r="L13">
        <v>1.6705010292700253E-4</v>
      </c>
      <c r="M13">
        <v>1.7811177735235966E-5</v>
      </c>
      <c r="N13" s="1">
        <v>2.8901462881383E-6</v>
      </c>
      <c r="O13" s="1">
        <v>7.4713985974399705E-8</v>
      </c>
      <c r="P13" s="1">
        <v>-3.8720500525081098E-7</v>
      </c>
      <c r="Q13">
        <v>70.737057284410398</v>
      </c>
      <c r="R13">
        <v>9.5477548961344E-2</v>
      </c>
      <c r="S13">
        <v>12.489147911814801</v>
      </c>
      <c r="T13">
        <v>0.22147615064582599</v>
      </c>
      <c r="V13">
        <v>0.52025426956861698</v>
      </c>
      <c r="W13">
        <v>3.3209582247406701E-2</v>
      </c>
      <c r="X13">
        <v>6.91866296821773E-2</v>
      </c>
      <c r="AA13">
        <v>0.55093832472896997</v>
      </c>
      <c r="AB13">
        <v>4.0428347115300101</v>
      </c>
      <c r="AC13">
        <v>4.2800077422646599</v>
      </c>
      <c r="AD13">
        <v>8.3023955618438706E-3</v>
      </c>
      <c r="AE13">
        <v>6.9521074485838197</v>
      </c>
    </row>
    <row r="14" spans="1:35" x14ac:dyDescent="0.2">
      <c r="A14">
        <v>13</v>
      </c>
      <c r="B14">
        <v>734</v>
      </c>
      <c r="C14">
        <v>300</v>
      </c>
      <c r="D14">
        <v>0.25781710768008598</v>
      </c>
      <c r="E14">
        <v>17.1253124588739</v>
      </c>
      <c r="F14">
        <v>2.2071627513741001</v>
      </c>
      <c r="G14">
        <v>-278.80019882813036</v>
      </c>
      <c r="H14">
        <v>-233.35028970258531</v>
      </c>
      <c r="I14">
        <v>45.127249293099297</v>
      </c>
      <c r="J14">
        <v>23.348047982380599</v>
      </c>
      <c r="K14">
        <v>7.7589713074906799</v>
      </c>
      <c r="L14">
        <v>1.6704968824606239E-4</v>
      </c>
      <c r="M14">
        <v>1.7795518683442227E-5</v>
      </c>
      <c r="N14" s="1">
        <v>6.8421305327253504E-7</v>
      </c>
      <c r="O14" s="1">
        <v>1.7618153857983199E-8</v>
      </c>
      <c r="P14" s="1">
        <v>-9.1165484579069897E-8</v>
      </c>
      <c r="Q14">
        <v>70.259390516723997</v>
      </c>
      <c r="R14">
        <v>0.122025192133962</v>
      </c>
      <c r="S14">
        <v>12.7995126683547</v>
      </c>
      <c r="T14">
        <v>0.262269582788204</v>
      </c>
      <c r="V14">
        <v>0.62243616997971396</v>
      </c>
      <c r="W14">
        <v>0.13889202320723301</v>
      </c>
      <c r="X14">
        <v>0.129807715001867</v>
      </c>
      <c r="AA14">
        <v>0.57297677026665095</v>
      </c>
      <c r="AB14">
        <v>3.8365925165230998</v>
      </c>
      <c r="AC14">
        <v>4.2916309732716398</v>
      </c>
      <c r="AD14">
        <v>3.5035857093955701E-2</v>
      </c>
      <c r="AE14">
        <v>6.9294300146548498</v>
      </c>
    </row>
    <row r="15" spans="1:35" x14ac:dyDescent="0.2">
      <c r="A15">
        <v>14</v>
      </c>
      <c r="B15">
        <v>732</v>
      </c>
      <c r="C15">
        <v>300</v>
      </c>
      <c r="D15">
        <v>0.256201064517732</v>
      </c>
      <c r="E15">
        <v>7.4524761673651296</v>
      </c>
      <c r="F15">
        <v>2.2128381640783599</v>
      </c>
      <c r="G15">
        <v>-121.25397126452665</v>
      </c>
      <c r="H15">
        <v>-101.56925680418637</v>
      </c>
      <c r="I15">
        <v>19.5838575937325</v>
      </c>
      <c r="J15">
        <v>10.1699922634389</v>
      </c>
      <c r="K15">
        <v>3.3678360615535698</v>
      </c>
      <c r="L15">
        <v>1.6693074377329263E-4</v>
      </c>
      <c r="M15">
        <v>1.7803498375380561E-5</v>
      </c>
      <c r="N15" s="1">
        <v>2.97673488110574E-7</v>
      </c>
      <c r="O15" s="1">
        <v>7.6343277917316806E-9</v>
      </c>
      <c r="P15" s="1">
        <v>-3.9354614233433201E-8</v>
      </c>
      <c r="Q15">
        <v>69.699452029069306</v>
      </c>
      <c r="R15">
        <v>0.121899852257623</v>
      </c>
      <c r="S15">
        <v>13.3976870367092</v>
      </c>
      <c r="T15">
        <v>0.25381458819923503</v>
      </c>
      <c r="V15">
        <v>0.61121026173507398</v>
      </c>
      <c r="W15">
        <v>0.31393339178622098</v>
      </c>
      <c r="X15">
        <v>0.128722645238286</v>
      </c>
      <c r="AA15">
        <v>0.60095580656631598</v>
      </c>
      <c r="AB15">
        <v>3.53716762302972</v>
      </c>
      <c r="AC15">
        <v>4.3429176194526597</v>
      </c>
      <c r="AD15">
        <v>8.0510153474336599E-2</v>
      </c>
      <c r="AE15">
        <v>6.9117289924819003</v>
      </c>
    </row>
    <row r="16" spans="1:35" x14ac:dyDescent="0.2">
      <c r="A16">
        <v>15</v>
      </c>
      <c r="B16">
        <v>758</v>
      </c>
      <c r="C16">
        <v>275</v>
      </c>
      <c r="D16">
        <v>0.303389904475587</v>
      </c>
      <c r="E16">
        <v>105.575094247148</v>
      </c>
      <c r="F16">
        <v>2.1913898573547601</v>
      </c>
      <c r="G16">
        <v>-1728.0264929493765</v>
      </c>
      <c r="H16">
        <v>-1441.5498751383732</v>
      </c>
      <c r="I16">
        <v>277.82244853901301</v>
      </c>
      <c r="J16">
        <v>142.963973379713</v>
      </c>
      <c r="K16">
        <v>48.177230488137802</v>
      </c>
      <c r="L16">
        <v>1.5964750955507358E-4</v>
      </c>
      <c r="M16">
        <v>1.7806551560321899E-5</v>
      </c>
      <c r="N16" s="1">
        <v>3.8200026061335502E-6</v>
      </c>
      <c r="O16" s="1">
        <v>1.05177578354464E-7</v>
      </c>
      <c r="P16" s="1">
        <v>-5.3443227291546599E-7</v>
      </c>
      <c r="Q16">
        <v>72.327664535410307</v>
      </c>
      <c r="R16">
        <v>6.5356323375353395E-2</v>
      </c>
      <c r="S16">
        <v>11.9819926188152</v>
      </c>
      <c r="T16">
        <v>0.14768222823859301</v>
      </c>
      <c r="V16">
        <v>0.35965431288397798</v>
      </c>
      <c r="W16">
        <v>2.2732634217514001E-2</v>
      </c>
      <c r="X16">
        <v>4.7359654619821702E-2</v>
      </c>
      <c r="AA16">
        <v>0.51148426989406903</v>
      </c>
      <c r="AB16">
        <v>3.7603565768137899</v>
      </c>
      <c r="AC16">
        <v>4.3665601559474796</v>
      </c>
      <c r="AD16">
        <v>5.6831585543784301E-3</v>
      </c>
      <c r="AE16">
        <v>6.4034735312293902</v>
      </c>
    </row>
    <row r="17" spans="1:31" x14ac:dyDescent="0.2">
      <c r="A17">
        <v>16</v>
      </c>
      <c r="B17">
        <v>756</v>
      </c>
      <c r="C17">
        <v>275</v>
      </c>
      <c r="D17">
        <v>0.30190011174270298</v>
      </c>
      <c r="E17">
        <v>105.457860864777</v>
      </c>
      <c r="F17">
        <v>2.1921783546909301</v>
      </c>
      <c r="G17">
        <v>-1725.5193912193108</v>
      </c>
      <c r="H17">
        <v>-1440.1919616165619</v>
      </c>
      <c r="I17">
        <v>277.24571695355201</v>
      </c>
      <c r="J17">
        <v>142.787865935604</v>
      </c>
      <c r="K17">
        <v>48.106423749287501</v>
      </c>
      <c r="L17">
        <v>1.5957115419982341E-4</v>
      </c>
      <c r="M17">
        <v>1.7788955075323654E-5</v>
      </c>
      <c r="N17" s="1">
        <v>3.8247049866230504E-6</v>
      </c>
      <c r="O17" s="1">
        <v>1.04889165572485E-7</v>
      </c>
      <c r="P17" s="1">
        <v>-5.3374485062271102E-7</v>
      </c>
      <c r="Q17">
        <v>72.3039866660081</v>
      </c>
      <c r="R17">
        <v>6.54289774457638E-2</v>
      </c>
      <c r="S17">
        <v>11.9953125317244</v>
      </c>
      <c r="T17">
        <v>0.14833986634042501</v>
      </c>
      <c r="V17">
        <v>0.359610100800271</v>
      </c>
      <c r="W17">
        <v>2.2757905198526E-2</v>
      </c>
      <c r="X17">
        <v>4.7412302496931402E-2</v>
      </c>
      <c r="AA17">
        <v>0.51205286696684404</v>
      </c>
      <c r="AB17">
        <v>3.76453681825621</v>
      </c>
      <c r="AC17">
        <v>4.3714142902168502</v>
      </c>
      <c r="AD17">
        <v>5.6894762996313099E-3</v>
      </c>
      <c r="AE17">
        <v>6.4034581982459198</v>
      </c>
    </row>
    <row r="18" spans="1:31" x14ac:dyDescent="0.2">
      <c r="A18">
        <v>17</v>
      </c>
      <c r="B18">
        <v>754</v>
      </c>
      <c r="C18">
        <v>275</v>
      </c>
      <c r="D18">
        <v>0.30040451735384299</v>
      </c>
      <c r="E18">
        <v>105.013336802457</v>
      </c>
      <c r="F18">
        <v>2.1930915652471601</v>
      </c>
      <c r="G18">
        <v>-1717.5923747900722</v>
      </c>
      <c r="H18">
        <v>-1434.2362505655051</v>
      </c>
      <c r="I18">
        <v>275.866352747473</v>
      </c>
      <c r="J18">
        <v>142.204496271007</v>
      </c>
      <c r="K18">
        <v>47.883699188192303</v>
      </c>
      <c r="L18">
        <v>1.5966103140316781E-4</v>
      </c>
      <c r="M18">
        <v>1.7774117359575264E-5</v>
      </c>
      <c r="N18" s="1">
        <v>3.8201784504742697E-6</v>
      </c>
      <c r="O18" s="1">
        <v>1.0434548250087601E-7</v>
      </c>
      <c r="P18" s="1">
        <v>-5.32253040115172E-7</v>
      </c>
      <c r="Q18">
        <v>72.209302056215293</v>
      </c>
      <c r="R18">
        <v>6.5705939931989796E-2</v>
      </c>
      <c r="S18">
        <v>12.046088987533</v>
      </c>
      <c r="T18">
        <v>0.14954477542986799</v>
      </c>
      <c r="V18">
        <v>0.36061316385315101</v>
      </c>
      <c r="W18">
        <v>2.2854239976343602E-2</v>
      </c>
      <c r="X18">
        <v>4.7612999950718798E-2</v>
      </c>
      <c r="AA18">
        <v>0.51422039946774301</v>
      </c>
      <c r="AB18">
        <v>3.7804721960868801</v>
      </c>
      <c r="AC18">
        <v>4.3899185954559696</v>
      </c>
      <c r="AD18">
        <v>5.71355999408555E-3</v>
      </c>
      <c r="AE18">
        <v>6.4079530861048202</v>
      </c>
    </row>
    <row r="19" spans="1:31" x14ac:dyDescent="0.2">
      <c r="A19">
        <v>18</v>
      </c>
      <c r="B19">
        <v>752</v>
      </c>
      <c r="C19">
        <v>275</v>
      </c>
      <c r="D19">
        <v>0.29890308735307097</v>
      </c>
      <c r="E19">
        <v>104.573168444293</v>
      </c>
      <c r="F19">
        <v>2.1940046175807102</v>
      </c>
      <c r="G19">
        <v>-1709.7427039262757</v>
      </c>
      <c r="H19">
        <v>-1428.3393011742753</v>
      </c>
      <c r="I19">
        <v>274.49973443105898</v>
      </c>
      <c r="J19">
        <v>141.62685617260499</v>
      </c>
      <c r="K19">
        <v>47.663148749251</v>
      </c>
      <c r="L19">
        <v>1.5975110821857873E-4</v>
      </c>
      <c r="M19">
        <v>1.7759269945601497E-5</v>
      </c>
      <c r="N19" s="1">
        <v>3.8157533786716404E-6</v>
      </c>
      <c r="O19" s="1">
        <v>1.03807463673555E-7</v>
      </c>
      <c r="P19" s="1">
        <v>-5.3078038939853205E-7</v>
      </c>
      <c r="Q19">
        <v>72.114697177064102</v>
      </c>
      <c r="R19">
        <v>6.5982508731919895E-2</v>
      </c>
      <c r="S19">
        <v>12.0967932675212</v>
      </c>
      <c r="T19">
        <v>0.15075816560434699</v>
      </c>
      <c r="V19">
        <v>0.361605628621053</v>
      </c>
      <c r="W19">
        <v>2.2950437819797199E-2</v>
      </c>
      <c r="X19">
        <v>4.7813412124582198E-2</v>
      </c>
      <c r="AA19">
        <v>0.51638485094545405</v>
      </c>
      <c r="AB19">
        <v>3.7963849226914999</v>
      </c>
      <c r="AC19">
        <v>4.4083965978859698</v>
      </c>
      <c r="AD19">
        <v>5.7376094549486901E-3</v>
      </c>
      <c r="AE19">
        <v>6.4124954215349801</v>
      </c>
    </row>
    <row r="20" spans="1:31" x14ac:dyDescent="0.2">
      <c r="A20">
        <v>19</v>
      </c>
      <c r="B20">
        <v>750</v>
      </c>
      <c r="C20">
        <v>275</v>
      </c>
      <c r="D20">
        <v>0.29739578751893703</v>
      </c>
      <c r="E20">
        <v>104.137285045044</v>
      </c>
      <c r="F20">
        <v>2.1949175153938398</v>
      </c>
      <c r="G20">
        <v>-1701.9691337499769</v>
      </c>
      <c r="H20">
        <v>-1422.5001552750639</v>
      </c>
      <c r="I20">
        <v>273.14565652632803</v>
      </c>
      <c r="J20">
        <v>141.05485356926701</v>
      </c>
      <c r="K20">
        <v>47.444737360145901</v>
      </c>
      <c r="L20">
        <v>1.5984138870041092E-4</v>
      </c>
      <c r="M20">
        <v>1.7744412769282999E-5</v>
      </c>
      <c r="N20" s="1">
        <v>3.8114284970395302E-6</v>
      </c>
      <c r="O20" s="1">
        <v>1.03275021218414E-7</v>
      </c>
      <c r="P20" s="1">
        <v>-5.2932662499554903E-7</v>
      </c>
      <c r="Q20">
        <v>72.020169978640496</v>
      </c>
      <c r="R20">
        <v>6.6258689162248696E-2</v>
      </c>
      <c r="S20">
        <v>12.1474263464151</v>
      </c>
      <c r="T20">
        <v>0.15198013838588401</v>
      </c>
      <c r="V20">
        <v>0.36258744382131802</v>
      </c>
      <c r="W20">
        <v>2.3046500578172299E-2</v>
      </c>
      <c r="X20">
        <v>4.80135428711976E-2</v>
      </c>
      <c r="AA20">
        <v>0.51854626300889695</v>
      </c>
      <c r="AB20">
        <v>3.81227530397272</v>
      </c>
      <c r="AC20">
        <v>4.4268486527238498</v>
      </c>
      <c r="AD20">
        <v>5.7616251445423098E-3</v>
      </c>
      <c r="AE20">
        <v>6.4170855152753798</v>
      </c>
    </row>
    <row r="21" spans="1:31" x14ac:dyDescent="0.2">
      <c r="A21">
        <v>20</v>
      </c>
      <c r="B21">
        <v>748</v>
      </c>
      <c r="C21">
        <v>275</v>
      </c>
      <c r="D21">
        <v>0.29588258336189799</v>
      </c>
      <c r="E21">
        <v>103.705617361959</v>
      </c>
      <c r="F21">
        <v>2.1958302622039301</v>
      </c>
      <c r="G21">
        <v>-1694.2704458673154</v>
      </c>
      <c r="H21">
        <v>-1416.717875033544</v>
      </c>
      <c r="I21">
        <v>271.80391796873198</v>
      </c>
      <c r="J21">
        <v>140.48839836490899</v>
      </c>
      <c r="K21">
        <v>47.228430697494403</v>
      </c>
      <c r="L21">
        <v>1.5993187702900856E-4</v>
      </c>
      <c r="M21">
        <v>1.7729545773876778E-5</v>
      </c>
      <c r="N21" s="1">
        <v>3.80720256633919E-6</v>
      </c>
      <c r="O21" s="1">
        <v>1.02748069240208E-7</v>
      </c>
      <c r="P21" s="1">
        <v>-5.2789148013729003E-7</v>
      </c>
      <c r="Q21">
        <v>71.925718408855403</v>
      </c>
      <c r="R21">
        <v>6.6534486515976002E-2</v>
      </c>
      <c r="S21">
        <v>12.197989194601501</v>
      </c>
      <c r="T21">
        <v>0.153210796349003</v>
      </c>
      <c r="V21">
        <v>0.36355855704518097</v>
      </c>
      <c r="W21">
        <v>2.3142430092511001E-2</v>
      </c>
      <c r="X21">
        <v>4.8213396026075502E-2</v>
      </c>
      <c r="AA21">
        <v>0.520704677081539</v>
      </c>
      <c r="AB21">
        <v>3.8281436444696402</v>
      </c>
      <c r="AC21">
        <v>4.4452751136030004</v>
      </c>
      <c r="AD21">
        <v>5.78560752312645E-3</v>
      </c>
      <c r="AE21">
        <v>6.4217236878368498</v>
      </c>
    </row>
    <row r="22" spans="1:31" x14ac:dyDescent="0.2">
      <c r="A22">
        <v>21</v>
      </c>
      <c r="B22">
        <v>746</v>
      </c>
      <c r="C22">
        <v>275</v>
      </c>
      <c r="D22">
        <v>0.29436344012167098</v>
      </c>
      <c r="E22">
        <v>103.278097609684</v>
      </c>
      <c r="F22">
        <v>2.1967428613384699</v>
      </c>
      <c r="G22">
        <v>-1686.645447581212</v>
      </c>
      <c r="H22">
        <v>-1410.9915423354566</v>
      </c>
      <c r="I22">
        <v>270.47432197984102</v>
      </c>
      <c r="J22">
        <v>139.92740238020599</v>
      </c>
      <c r="K22">
        <v>47.0141951647254</v>
      </c>
      <c r="L22">
        <v>1.6002257751911628E-4</v>
      </c>
      <c r="M22">
        <v>1.771466891040116E-5</v>
      </c>
      <c r="N22" s="1">
        <v>3.8030743815023001E-6</v>
      </c>
      <c r="O22" s="1">
        <v>1.0222652376895901E-7</v>
      </c>
      <c r="P22" s="1">
        <v>-5.2647469461023298E-7</v>
      </c>
      <c r="Q22">
        <v>71.831340411767997</v>
      </c>
      <c r="R22">
        <v>6.6809906066214106E-2</v>
      </c>
      <c r="S22">
        <v>12.2484827788129</v>
      </c>
      <c r="T22">
        <v>0.154450243139828</v>
      </c>
      <c r="V22">
        <v>0.364518914770598</v>
      </c>
      <c r="W22">
        <v>2.3238228196941199E-2</v>
      </c>
      <c r="X22">
        <v>4.8412975410307098E-2</v>
      </c>
      <c r="AA22">
        <v>0.52286013443122603</v>
      </c>
      <c r="AB22">
        <v>3.8439902475774899</v>
      </c>
      <c r="AC22">
        <v>4.4636763328289399</v>
      </c>
      <c r="AD22">
        <v>5.8095570492337004E-3</v>
      </c>
      <c r="AE22">
        <v>6.4264102699481302</v>
      </c>
    </row>
    <row r="23" spans="1:31" x14ac:dyDescent="0.2">
      <c r="A23">
        <v>22</v>
      </c>
      <c r="B23">
        <v>744</v>
      </c>
      <c r="C23">
        <v>275</v>
      </c>
      <c r="D23">
        <v>0.29283832276459099</v>
      </c>
      <c r="E23">
        <v>102.85465942574599</v>
      </c>
      <c r="F23">
        <v>2.1976553159291798</v>
      </c>
      <c r="G23">
        <v>-1679.0929712799218</v>
      </c>
      <c r="H23">
        <v>-1405.320258321281</v>
      </c>
      <c r="I23">
        <v>269.15667596582603</v>
      </c>
      <c r="J23">
        <v>139.371779307406</v>
      </c>
      <c r="K23">
        <v>46.801997874839003</v>
      </c>
      <c r="L23">
        <v>1.6011349462186528E-4</v>
      </c>
      <c r="M23">
        <v>1.7699782137817912E-5</v>
      </c>
      <c r="N23" s="1">
        <v>3.7990427710971701E-6</v>
      </c>
      <c r="O23" s="1">
        <v>1.01710302715703E-7</v>
      </c>
      <c r="P23" s="1">
        <v>-5.2507601462188797E-7</v>
      </c>
      <c r="Q23">
        <v>71.737033928028893</v>
      </c>
      <c r="R23">
        <v>6.7084953064101602E-2</v>
      </c>
      <c r="S23">
        <v>12.2989080617601</v>
      </c>
      <c r="T23">
        <v>0.15569858347854801</v>
      </c>
      <c r="V23">
        <v>0.36546846234278502</v>
      </c>
      <c r="W23">
        <v>2.3333896717945099E-2</v>
      </c>
      <c r="X23">
        <v>4.86122848290673E-2</v>
      </c>
      <c r="AA23">
        <v>0.52501267615382097</v>
      </c>
      <c r="AB23">
        <v>3.85981541542691</v>
      </c>
      <c r="AC23">
        <v>4.4820526612384102</v>
      </c>
      <c r="AD23">
        <v>5.8334741794844299E-3</v>
      </c>
      <c r="AE23">
        <v>6.43114560277981</v>
      </c>
    </row>
    <row r="24" spans="1:31" x14ac:dyDescent="0.2">
      <c r="A24">
        <v>23</v>
      </c>
      <c r="B24">
        <v>742</v>
      </c>
      <c r="C24">
        <v>275</v>
      </c>
      <c r="D24">
        <v>0.291307195980888</v>
      </c>
      <c r="E24">
        <v>102.435237829397</v>
      </c>
      <c r="F24">
        <v>2.1985676289104998</v>
      </c>
      <c r="G24">
        <v>-1671.6118737167315</v>
      </c>
      <c r="H24">
        <v>-1399.7031428270589</v>
      </c>
      <c r="I24">
        <v>267.85079139996299</v>
      </c>
      <c r="J24">
        <v>138.82144465691101</v>
      </c>
      <c r="K24">
        <v>46.591806630100997</v>
      </c>
      <c r="L24">
        <v>1.6020463293006451E-4</v>
      </c>
      <c r="M24">
        <v>1.7684885423218047E-5</v>
      </c>
      <c r="N24" s="1">
        <v>3.79510659657078E-6</v>
      </c>
      <c r="O24" s="1">
        <v>1.01199325822972E-7</v>
      </c>
      <c r="P24" s="1">
        <v>-5.2369519264767801E-7</v>
      </c>
      <c r="Q24">
        <v>71.642796893640295</v>
      </c>
      <c r="R24">
        <v>6.7359632741733996E-2</v>
      </c>
      <c r="S24">
        <v>12.349266002660601</v>
      </c>
      <c r="T24">
        <v>0.156955923176125</v>
      </c>
      <c r="V24">
        <v>0.36640714398214502</v>
      </c>
      <c r="W24">
        <v>2.3429437475381999E-2</v>
      </c>
      <c r="X24">
        <v>4.8811328073729697E-2</v>
      </c>
      <c r="AA24">
        <v>0.52716234319615896</v>
      </c>
      <c r="AB24">
        <v>3.8756194490529499</v>
      </c>
      <c r="AC24">
        <v>4.5004044483960399</v>
      </c>
      <c r="AD24">
        <v>5.8573593688433902E-3</v>
      </c>
      <c r="AE24">
        <v>6.43593003823581</v>
      </c>
    </row>
    <row r="25" spans="1:31" x14ac:dyDescent="0.2">
      <c r="A25">
        <v>24</v>
      </c>
      <c r="B25">
        <v>740</v>
      </c>
      <c r="C25">
        <v>275</v>
      </c>
      <c r="D25">
        <v>0.28977002418201098</v>
      </c>
      <c r="E25">
        <v>73.100138504616993</v>
      </c>
      <c r="F25">
        <v>2.2012015727102598</v>
      </c>
      <c r="G25">
        <v>-1191.4552901994523</v>
      </c>
      <c r="H25">
        <v>-997.6525098504128</v>
      </c>
      <c r="I25">
        <v>191.28735167451899</v>
      </c>
      <c r="J25">
        <v>99.170966335494299</v>
      </c>
      <c r="K25">
        <v>33.209197835803501</v>
      </c>
      <c r="L25">
        <v>1.6141566691855124E-4</v>
      </c>
      <c r="M25">
        <v>1.7746237985483509E-5</v>
      </c>
      <c r="N25" s="1">
        <v>2.7366700854859701E-6</v>
      </c>
      <c r="O25" s="1">
        <v>7.2642727009596605E-8</v>
      </c>
      <c r="P25" s="1">
        <v>-3.76759786855291E-7</v>
      </c>
      <c r="Q25">
        <v>71.338561232031594</v>
      </c>
      <c r="R25">
        <v>9.4391066024660297E-2</v>
      </c>
      <c r="S25">
        <v>12.388992862186999</v>
      </c>
      <c r="T25">
        <v>0.21992626899787601</v>
      </c>
      <c r="V25">
        <v>0.51346088279401003</v>
      </c>
      <c r="W25">
        <v>3.2831675138998997E-2</v>
      </c>
      <c r="X25">
        <v>6.83993232063108E-2</v>
      </c>
      <c r="AA25">
        <v>0.53472100646865395</v>
      </c>
      <c r="AB25">
        <v>3.9421505590730401</v>
      </c>
      <c r="AC25">
        <v>4.3698939324909603</v>
      </c>
      <c r="AD25">
        <v>8.2079187847448002E-3</v>
      </c>
      <c r="AE25">
        <v>6.4884632728019804</v>
      </c>
    </row>
    <row r="26" spans="1:31" x14ac:dyDescent="0.2">
      <c r="A26">
        <v>25</v>
      </c>
      <c r="B26">
        <v>738</v>
      </c>
      <c r="C26">
        <v>275</v>
      </c>
      <c r="D26">
        <v>0.28822677149780002</v>
      </c>
      <c r="E26">
        <v>20.482175226816299</v>
      </c>
      <c r="F26">
        <v>2.2060105494073299</v>
      </c>
      <c r="G26">
        <v>-333.4350342163072</v>
      </c>
      <c r="H26">
        <v>-279.28976707521286</v>
      </c>
      <c r="I26">
        <v>53.548204659144901</v>
      </c>
      <c r="J26">
        <v>27.819578667952499</v>
      </c>
      <c r="K26">
        <v>9.2847131815933803</v>
      </c>
      <c r="L26">
        <v>1.6198580978202287E-4</v>
      </c>
      <c r="M26">
        <v>1.7768962490129518E-5</v>
      </c>
      <c r="N26" s="1">
        <v>7.6996058785645704E-7</v>
      </c>
      <c r="O26" s="1">
        <v>2.0352585566652098E-8</v>
      </c>
      <c r="P26" s="1">
        <v>-1.05529868357522E-7</v>
      </c>
      <c r="Q26">
        <v>70.908747648799704</v>
      </c>
      <c r="R26">
        <v>0.12997972693628301</v>
      </c>
      <c r="S26">
        <v>12.6182706320068</v>
      </c>
      <c r="T26">
        <v>0.26068093466387798</v>
      </c>
      <c r="V26">
        <v>0.61304548612861698</v>
      </c>
      <c r="W26">
        <v>0.11656428377748</v>
      </c>
      <c r="X26">
        <v>0.13959108671655401</v>
      </c>
      <c r="AA26">
        <v>0.50905325038953397</v>
      </c>
      <c r="AB26">
        <v>3.85303168312051</v>
      </c>
      <c r="AC26">
        <v>4.3214444034430599</v>
      </c>
      <c r="AD26">
        <v>2.92937636435073E-2</v>
      </c>
      <c r="AE26">
        <v>6.50029710037394</v>
      </c>
    </row>
    <row r="27" spans="1:31" x14ac:dyDescent="0.2">
      <c r="A27">
        <v>26</v>
      </c>
      <c r="B27">
        <v>736</v>
      </c>
      <c r="C27">
        <v>275</v>
      </c>
      <c r="D27">
        <v>0.28667740177377199</v>
      </c>
      <c r="E27">
        <v>8.1162477715487409</v>
      </c>
      <c r="F27">
        <v>2.2110254411524601</v>
      </c>
      <c r="G27">
        <v>-132.06283462305535</v>
      </c>
      <c r="H27">
        <v>-110.69527353012161</v>
      </c>
      <c r="I27">
        <v>21.173820634131399</v>
      </c>
      <c r="J27">
        <v>11.036375277932001</v>
      </c>
      <c r="K27">
        <v>3.6708070474839398</v>
      </c>
      <c r="L27">
        <v>1.6215345626611533E-4</v>
      </c>
      <c r="M27">
        <v>1.779914233400964E-5</v>
      </c>
      <c r="N27" s="1">
        <v>3.0582056702832998E-7</v>
      </c>
      <c r="O27" s="1">
        <v>8.0506991558556195E-9</v>
      </c>
      <c r="P27" s="1">
        <v>-4.1596400476323802E-8</v>
      </c>
      <c r="Q27">
        <v>70.345867994224506</v>
      </c>
      <c r="R27">
        <v>0.12875656341768399</v>
      </c>
      <c r="S27">
        <v>13.207277498402201</v>
      </c>
      <c r="T27">
        <v>0.253471565612368</v>
      </c>
      <c r="V27">
        <v>0.60463304404217599</v>
      </c>
      <c r="W27">
        <v>0.289070006602347</v>
      </c>
      <c r="X27">
        <v>0.13848392171854701</v>
      </c>
      <c r="AA27">
        <v>0.51693864087408303</v>
      </c>
      <c r="AB27">
        <v>3.5963792098261602</v>
      </c>
      <c r="AC27">
        <v>4.3445328500451099</v>
      </c>
      <c r="AD27">
        <v>7.3925786507220995E-2</v>
      </c>
      <c r="AE27">
        <v>6.5006629187275502</v>
      </c>
    </row>
    <row r="28" spans="1:31" x14ac:dyDescent="0.2">
      <c r="A28">
        <v>27</v>
      </c>
      <c r="B28">
        <v>758</v>
      </c>
      <c r="C28">
        <v>250</v>
      </c>
      <c r="D28">
        <v>0.330059157251614</v>
      </c>
      <c r="E28">
        <v>105.16539032384399</v>
      </c>
      <c r="F28">
        <v>2.1923796372585</v>
      </c>
      <c r="G28">
        <v>-1720.3362593873378</v>
      </c>
      <c r="H28">
        <v>-1437.3654846182376</v>
      </c>
      <c r="I28">
        <v>274.42251347437298</v>
      </c>
      <c r="J28">
        <v>142.036924036052</v>
      </c>
      <c r="K28">
        <v>47.968603857017499</v>
      </c>
      <c r="L28">
        <v>1.5537543765626591E-4</v>
      </c>
      <c r="M28">
        <v>1.7768132053066297E-5</v>
      </c>
      <c r="N28" s="1">
        <v>3.6162404020360298E-6</v>
      </c>
      <c r="O28" s="1">
        <v>1.01262152671073E-7</v>
      </c>
      <c r="P28" s="1">
        <v>-5.1721973508470003E-7</v>
      </c>
      <c r="Q28">
        <v>72.609439060586894</v>
      </c>
      <c r="R28">
        <v>6.5610938910151406E-2</v>
      </c>
      <c r="S28">
        <v>12.0286721335282</v>
      </c>
      <c r="T28">
        <v>0.15008010186335</v>
      </c>
      <c r="V28">
        <v>0.35941552150391898</v>
      </c>
      <c r="W28">
        <v>2.2821196142661201E-2</v>
      </c>
      <c r="X28">
        <v>4.7544158630545001E-2</v>
      </c>
      <c r="AA28">
        <v>0.51347691320987998</v>
      </c>
      <c r="AB28">
        <v>3.7750061952652101</v>
      </c>
      <c r="AC28">
        <v>4.38357142573616</v>
      </c>
      <c r="AD28">
        <v>5.70529903566521E-3</v>
      </c>
      <c r="AE28">
        <v>6.0386570555872199</v>
      </c>
    </row>
    <row r="29" spans="1:31" x14ac:dyDescent="0.2">
      <c r="A29">
        <v>28</v>
      </c>
      <c r="B29">
        <v>756</v>
      </c>
      <c r="C29">
        <v>250</v>
      </c>
      <c r="D29">
        <v>0.32862119224602798</v>
      </c>
      <c r="E29">
        <v>105.080303816536</v>
      </c>
      <c r="F29">
        <v>2.1931480903068001</v>
      </c>
      <c r="G29">
        <v>-1718.3675446785883</v>
      </c>
      <c r="H29">
        <v>-1436.4562550830879</v>
      </c>
      <c r="I29">
        <v>273.92633687557702</v>
      </c>
      <c r="J29">
        <v>141.90107171993401</v>
      </c>
      <c r="K29">
        <v>47.912999710765497</v>
      </c>
      <c r="L29">
        <v>1.5528296019835417E-4</v>
      </c>
      <c r="M29">
        <v>1.7750263991152395E-5</v>
      </c>
      <c r="N29" s="1">
        <v>3.6212725871858201E-6</v>
      </c>
      <c r="O29" s="1">
        <v>1.01007263504552E-7</v>
      </c>
      <c r="P29" s="1">
        <v>-5.1660642366446004E-7</v>
      </c>
      <c r="Q29">
        <v>72.592859056672907</v>
      </c>
      <c r="R29">
        <v>6.5664065951379594E-2</v>
      </c>
      <c r="S29">
        <v>12.038412091087199</v>
      </c>
      <c r="T29">
        <v>0.15069579485568901</v>
      </c>
      <c r="V29">
        <v>0.35926189187170599</v>
      </c>
      <c r="W29">
        <v>2.28396751135229E-2</v>
      </c>
      <c r="X29">
        <v>4.7582656486508002E-2</v>
      </c>
      <c r="AA29">
        <v>0.51389269005427296</v>
      </c>
      <c r="AB29">
        <v>3.77806292502861</v>
      </c>
      <c r="AC29">
        <v>4.3871209280558396</v>
      </c>
      <c r="AD29">
        <v>5.7099187783805601E-3</v>
      </c>
      <c r="AE29">
        <v>6.0378983060438998</v>
      </c>
    </row>
    <row r="30" spans="1:31" x14ac:dyDescent="0.2">
      <c r="A30">
        <v>29</v>
      </c>
      <c r="B30">
        <v>754</v>
      </c>
      <c r="C30">
        <v>250</v>
      </c>
      <c r="D30">
        <v>0.32717762741566497</v>
      </c>
      <c r="E30">
        <v>104.64935057316799</v>
      </c>
      <c r="F30">
        <v>2.19406467169232</v>
      </c>
      <c r="G30">
        <v>-1710.6705093759451</v>
      </c>
      <c r="H30">
        <v>-1430.683453748557</v>
      </c>
      <c r="I30">
        <v>272.58633658899601</v>
      </c>
      <c r="J30">
        <v>141.33546530376799</v>
      </c>
      <c r="K30">
        <v>47.6965660690622</v>
      </c>
      <c r="L30">
        <v>1.5536154023031347E-4</v>
      </c>
      <c r="M30">
        <v>1.7734919679419608E-5</v>
      </c>
      <c r="N30" s="1">
        <v>3.61686984648934E-6</v>
      </c>
      <c r="O30" s="1">
        <v>1.00486942488871E-7</v>
      </c>
      <c r="P30" s="1">
        <v>-5.1515383426549601E-7</v>
      </c>
      <c r="Q30">
        <v>72.501340813031703</v>
      </c>
      <c r="R30">
        <v>6.5934475103844703E-2</v>
      </c>
      <c r="S30">
        <v>12.0879871023734</v>
      </c>
      <c r="T30">
        <v>0.15190085181823601</v>
      </c>
      <c r="V30">
        <v>0.36021543442385701</v>
      </c>
      <c r="W30">
        <v>2.2933730470901699E-2</v>
      </c>
      <c r="X30">
        <v>4.7778605147715397E-2</v>
      </c>
      <c r="AA30">
        <v>0.51600893559530203</v>
      </c>
      <c r="AB30">
        <v>3.79362124872836</v>
      </c>
      <c r="AC30">
        <v>4.4051873946189897</v>
      </c>
      <c r="AD30">
        <v>5.7334326177250804E-3</v>
      </c>
      <c r="AE30">
        <v>6.0413579760698601</v>
      </c>
    </row>
    <row r="31" spans="1:31" x14ac:dyDescent="0.2">
      <c r="A31">
        <v>30</v>
      </c>
      <c r="B31">
        <v>752</v>
      </c>
      <c r="C31">
        <v>250</v>
      </c>
      <c r="D31">
        <v>0.32572842998585799</v>
      </c>
      <c r="E31">
        <v>104.22252575339699</v>
      </c>
      <c r="F31">
        <v>2.1949814417177098</v>
      </c>
      <c r="G31">
        <v>-1703.0468162915977</v>
      </c>
      <c r="H31">
        <v>-1424.9663745784542</v>
      </c>
      <c r="I31">
        <v>271.25829557932298</v>
      </c>
      <c r="J31">
        <v>140.775262084324</v>
      </c>
      <c r="K31">
        <v>47.4821899504702</v>
      </c>
      <c r="L31">
        <v>1.5544008695818389E-4</v>
      </c>
      <c r="M31">
        <v>1.7719551718875705E-5</v>
      </c>
      <c r="N31" s="1">
        <v>3.6125517023665E-6</v>
      </c>
      <c r="O31" s="1">
        <v>9.9971736894988497E-8</v>
      </c>
      <c r="P31" s="1">
        <v>-5.1371807130328699E-7</v>
      </c>
      <c r="Q31">
        <v>72.409917214938304</v>
      </c>
      <c r="R31">
        <v>6.6204498021150901E-2</v>
      </c>
      <c r="S31">
        <v>12.1374913038809</v>
      </c>
      <c r="T31">
        <v>0.153114382642379</v>
      </c>
      <c r="V31">
        <v>0.36115844134427</v>
      </c>
      <c r="W31">
        <v>2.3027651485616401E-2</v>
      </c>
      <c r="X31">
        <v>4.7974273928373501E-2</v>
      </c>
      <c r="AA31">
        <v>0.51812215842639198</v>
      </c>
      <c r="AB31">
        <v>3.8091573499124398</v>
      </c>
      <c r="AC31">
        <v>4.4232280561953896</v>
      </c>
      <c r="AD31">
        <v>5.7569128714035104E-3</v>
      </c>
      <c r="AE31">
        <v>6.0448477563532297</v>
      </c>
    </row>
    <row r="32" spans="1:31" x14ac:dyDescent="0.2">
      <c r="A32">
        <v>31</v>
      </c>
      <c r="B32">
        <v>750</v>
      </c>
      <c r="C32">
        <v>250</v>
      </c>
      <c r="D32">
        <v>0.324273566925672</v>
      </c>
      <c r="E32">
        <v>103.79976423470499</v>
      </c>
      <c r="F32">
        <v>2.1958984099272798</v>
      </c>
      <c r="G32">
        <v>-1695.4953175062578</v>
      </c>
      <c r="H32">
        <v>-1419.3041355961022</v>
      </c>
      <c r="I32">
        <v>269.94202405331998</v>
      </c>
      <c r="J32">
        <v>140.22037721902299</v>
      </c>
      <c r="K32">
        <v>47.269838971349699</v>
      </c>
      <c r="L32">
        <v>1.555185993004426E-4</v>
      </c>
      <c r="M32">
        <v>1.7704159751426936E-5</v>
      </c>
      <c r="N32" s="1">
        <v>3.6083169003787501E-6</v>
      </c>
      <c r="O32" s="1">
        <v>9.9461565544036005E-8</v>
      </c>
      <c r="P32" s="1">
        <v>-5.1229887129743401E-7</v>
      </c>
      <c r="Q32">
        <v>72.3185867442307</v>
      </c>
      <c r="R32">
        <v>6.6474139424809398E-2</v>
      </c>
      <c r="S32">
        <v>12.1869255612191</v>
      </c>
      <c r="T32">
        <v>0.15433648718010401</v>
      </c>
      <c r="V32">
        <v>0.36209085836753802</v>
      </c>
      <c r="W32">
        <v>2.3121439799932E-2</v>
      </c>
      <c r="X32">
        <v>4.8169666249865899E-2</v>
      </c>
      <c r="AA32">
        <v>0.52023239549849898</v>
      </c>
      <c r="AB32">
        <v>3.8246715002388401</v>
      </c>
      <c r="AC32">
        <v>4.4412432282368401</v>
      </c>
      <c r="AD32">
        <v>5.7803599499822497E-3</v>
      </c>
      <c r="AE32">
        <v>6.04836761960369</v>
      </c>
    </row>
    <row r="33" spans="1:31" x14ac:dyDescent="0.2">
      <c r="A33">
        <v>32</v>
      </c>
      <c r="B33">
        <v>748</v>
      </c>
      <c r="C33">
        <v>250</v>
      </c>
      <c r="D33">
        <v>0.32281300494540499</v>
      </c>
      <c r="E33">
        <v>103.38100225930999</v>
      </c>
      <c r="F33">
        <v>2.1968155858318599</v>
      </c>
      <c r="G33">
        <v>-1688.0148891454417</v>
      </c>
      <c r="H33">
        <v>-1413.6958733112956</v>
      </c>
      <c r="I33">
        <v>268.63733617406399</v>
      </c>
      <c r="J33">
        <v>139.67072764754201</v>
      </c>
      <c r="K33">
        <v>47.059481426686503</v>
      </c>
      <c r="L33">
        <v>1.5559707616534331E-4</v>
      </c>
      <c r="M33">
        <v>1.768874341887332E-5</v>
      </c>
      <c r="N33" s="1">
        <v>3.6041642125199202E-6</v>
      </c>
      <c r="O33" s="1">
        <v>9.8956348950833905E-8</v>
      </c>
      <c r="P33" s="1">
        <v>-5.1089597625974696E-7</v>
      </c>
      <c r="Q33">
        <v>72.227347892880204</v>
      </c>
      <c r="R33">
        <v>6.6743404002729101E-2</v>
      </c>
      <c r="S33">
        <v>12.236290733838199</v>
      </c>
      <c r="T33">
        <v>0.15556726627930401</v>
      </c>
      <c r="V33">
        <v>0.36301263007874801</v>
      </c>
      <c r="W33">
        <v>2.3215097044425599E-2</v>
      </c>
      <c r="X33">
        <v>4.83647855092285E-2</v>
      </c>
      <c r="AA33">
        <v>0.52233968349960902</v>
      </c>
      <c r="AB33">
        <v>3.8401639694321701</v>
      </c>
      <c r="AC33">
        <v>4.4592332239499699</v>
      </c>
      <c r="AD33">
        <v>5.80377426110547E-3</v>
      </c>
      <c r="AE33">
        <v>6.05191753922416</v>
      </c>
    </row>
    <row r="34" spans="1:31" x14ac:dyDescent="0.2">
      <c r="A34">
        <v>33</v>
      </c>
      <c r="B34">
        <v>746</v>
      </c>
      <c r="C34">
        <v>250</v>
      </c>
      <c r="D34">
        <v>0.32134671049404001</v>
      </c>
      <c r="E34">
        <v>102.966177393053</v>
      </c>
      <c r="F34">
        <v>2.1977329789114801</v>
      </c>
      <c r="G34">
        <v>-1680.6044306613023</v>
      </c>
      <c r="H34">
        <v>-1408.1407421605422</v>
      </c>
      <c r="I34">
        <v>267.34404994432498</v>
      </c>
      <c r="J34">
        <v>139.126232038528</v>
      </c>
      <c r="K34">
        <v>46.851086269839399</v>
      </c>
      <c r="L34">
        <v>1.5567551645388931E-4</v>
      </c>
      <c r="M34">
        <v>1.7673302362948229E-5</v>
      </c>
      <c r="N34" s="1">
        <v>3.6000924363787802E-6</v>
      </c>
      <c r="O34" s="1">
        <v>9.8456009275671198E-8</v>
      </c>
      <c r="P34" s="1">
        <v>-5.0950913353853301E-7</v>
      </c>
      <c r="Q34">
        <v>72.136199161614101</v>
      </c>
      <c r="R34">
        <v>6.7012296413227396E-2</v>
      </c>
      <c r="S34">
        <v>12.2855876757635</v>
      </c>
      <c r="T34">
        <v>0.15680682180231501</v>
      </c>
      <c r="V34">
        <v>0.36392369992718399</v>
      </c>
      <c r="W34">
        <v>2.3308624839381301E-2</v>
      </c>
      <c r="X34">
        <v>4.8559635082053902E-2</v>
      </c>
      <c r="AA34">
        <v>0.524444058886116</v>
      </c>
      <c r="AB34">
        <v>3.85563502551443</v>
      </c>
      <c r="AC34">
        <v>4.4771983545643703</v>
      </c>
      <c r="AD34">
        <v>5.8271562098442696E-3</v>
      </c>
      <c r="AE34">
        <v>6.0554974893833799</v>
      </c>
    </row>
    <row r="35" spans="1:31" x14ac:dyDescent="0.2">
      <c r="A35">
        <v>34</v>
      </c>
      <c r="B35">
        <v>744</v>
      </c>
      <c r="C35">
        <v>250</v>
      </c>
      <c r="D35">
        <v>0.31987464975667701</v>
      </c>
      <c r="E35">
        <v>71.808347469477297</v>
      </c>
      <c r="F35">
        <v>2.2016679446616201</v>
      </c>
      <c r="G35">
        <v>-1169.9640007090718</v>
      </c>
      <c r="H35">
        <v>-980.48205772960637</v>
      </c>
      <c r="I35">
        <v>186.28711889049299</v>
      </c>
      <c r="J35">
        <v>97.047485391193604</v>
      </c>
      <c r="K35">
        <v>32.6154303348018</v>
      </c>
      <c r="L35">
        <v>1.560758746471903E-4</v>
      </c>
      <c r="M35">
        <v>1.766821427049969E-5</v>
      </c>
      <c r="N35" s="1">
        <v>2.5179823187998899E-6</v>
      </c>
      <c r="O35" s="1">
        <v>6.8589276580353506E-8</v>
      </c>
      <c r="P35" s="1">
        <v>-3.5567190464301202E-7</v>
      </c>
      <c r="Q35">
        <v>71.874575371336803</v>
      </c>
      <c r="R35">
        <v>9.6089107229958906E-2</v>
      </c>
      <c r="S35">
        <v>12.295485720321601</v>
      </c>
      <c r="T35">
        <v>0.224797426309744</v>
      </c>
      <c r="V35">
        <v>0.52187459407932202</v>
      </c>
      <c r="W35">
        <v>3.3422298166933498E-2</v>
      </c>
      <c r="X35">
        <v>6.9629787847820507E-2</v>
      </c>
      <c r="AA35">
        <v>0.51991491733361705</v>
      </c>
      <c r="AB35">
        <v>3.8468944905439502</v>
      </c>
      <c r="AC35">
        <v>4.4498010509864399</v>
      </c>
      <c r="AD35">
        <v>8.3555745417292094E-3</v>
      </c>
      <c r="AE35">
        <v>6.0591596613020302</v>
      </c>
    </row>
    <row r="36" spans="1:31" x14ac:dyDescent="0.2">
      <c r="A36">
        <v>35</v>
      </c>
      <c r="B36">
        <v>742</v>
      </c>
      <c r="C36">
        <v>250</v>
      </c>
      <c r="D36">
        <v>0.318396788651924</v>
      </c>
      <c r="E36">
        <v>20.4144270655671</v>
      </c>
      <c r="F36">
        <v>2.2069569372581599</v>
      </c>
      <c r="G36">
        <v>-332.22770940627481</v>
      </c>
      <c r="H36">
        <v>-278.55267470491987</v>
      </c>
      <c r="I36">
        <v>52.873993696847698</v>
      </c>
      <c r="J36">
        <v>27.616988770746101</v>
      </c>
      <c r="K36">
        <v>9.2500341628455995</v>
      </c>
      <c r="L36">
        <v>1.5624256928477385E-4</v>
      </c>
      <c r="M36">
        <v>1.7661253181231476E-5</v>
      </c>
      <c r="N36" s="1">
        <v>7.1631157335312102E-7</v>
      </c>
      <c r="O36" s="1">
        <v>1.94357980803115E-8</v>
      </c>
      <c r="P36" s="1">
        <v>-1.0068686643397199E-7</v>
      </c>
      <c r="Q36">
        <v>71.469943538257994</v>
      </c>
      <c r="R36">
        <v>0.14109909894938899</v>
      </c>
      <c r="S36">
        <v>12.527015552478501</v>
      </c>
      <c r="T36">
        <v>0.25558325399162701</v>
      </c>
      <c r="V36">
        <v>0.59767871168093001</v>
      </c>
      <c r="W36">
        <v>0.117188119973576</v>
      </c>
      <c r="X36">
        <v>0.149829596477976</v>
      </c>
      <c r="AA36">
        <v>0.51431848094879096</v>
      </c>
      <c r="AB36">
        <v>3.7163339567771101</v>
      </c>
      <c r="AC36">
        <v>4.4323121945987998</v>
      </c>
      <c r="AD36">
        <v>2.9390979138057102E-2</v>
      </c>
      <c r="AE36">
        <v>6.0493065167270696</v>
      </c>
    </row>
    <row r="37" spans="1:31" x14ac:dyDescent="0.2">
      <c r="A37">
        <v>36</v>
      </c>
      <c r="B37">
        <v>740</v>
      </c>
      <c r="C37">
        <v>250</v>
      </c>
      <c r="D37">
        <v>0.31691309282929903</v>
      </c>
      <c r="E37">
        <v>8.19509609735338</v>
      </c>
      <c r="F37">
        <v>2.2120146628069599</v>
      </c>
      <c r="G37">
        <v>-133.30100945375676</v>
      </c>
      <c r="H37">
        <v>-111.84502379032888</v>
      </c>
      <c r="I37">
        <v>21.177501518460101</v>
      </c>
      <c r="J37">
        <v>11.098380818417001</v>
      </c>
      <c r="K37">
        <v>3.7048109287639699</v>
      </c>
      <c r="L37">
        <v>1.5630876391095624E-4</v>
      </c>
      <c r="M37">
        <v>1.7684620390342243E-5</v>
      </c>
      <c r="N37" s="1">
        <v>2.88014448621503E-7</v>
      </c>
      <c r="O37" s="1">
        <v>7.7834817355790902E-9</v>
      </c>
      <c r="P37" s="1">
        <v>-4.0168502733665099E-8</v>
      </c>
      <c r="Q37">
        <v>70.918132611411494</v>
      </c>
      <c r="R37">
        <v>0.13984660913583</v>
      </c>
      <c r="S37">
        <v>13.1084969829825</v>
      </c>
      <c r="T37">
        <v>0.24831362899540499</v>
      </c>
      <c r="V37">
        <v>0.58899416604325205</v>
      </c>
      <c r="W37">
        <v>0.28674535484420299</v>
      </c>
      <c r="X37">
        <v>0.14874168791140299</v>
      </c>
      <c r="AA37">
        <v>0.52444819799919995</v>
      </c>
      <c r="AB37">
        <v>3.45628849293883</v>
      </c>
      <c r="AC37">
        <v>4.4615943938699996</v>
      </c>
      <c r="AD37">
        <v>7.3214516690443293E-2</v>
      </c>
      <c r="AE37">
        <v>6.0451833571772902</v>
      </c>
    </row>
    <row r="38" spans="1:31" x14ac:dyDescent="0.2">
      <c r="A38">
        <v>37</v>
      </c>
      <c r="B38">
        <v>758</v>
      </c>
      <c r="C38">
        <v>225</v>
      </c>
      <c r="D38">
        <v>0.356728410027642</v>
      </c>
      <c r="E38">
        <v>104.763375022549</v>
      </c>
      <c r="F38">
        <v>2.1936118485656499</v>
      </c>
      <c r="G38">
        <v>-1712.7884428211592</v>
      </c>
      <c r="H38">
        <v>-1433.2892325967798</v>
      </c>
      <c r="I38">
        <v>271.05582138813799</v>
      </c>
      <c r="J38">
        <v>141.11793571224501</v>
      </c>
      <c r="K38">
        <v>47.758392211024798</v>
      </c>
      <c r="L38">
        <v>1.509226403768855E-4</v>
      </c>
      <c r="M38">
        <v>1.7689824968502104E-5</v>
      </c>
      <c r="N38" s="1">
        <v>3.41329379073854E-6</v>
      </c>
      <c r="O38" s="1">
        <v>9.7194125714416499E-8</v>
      </c>
      <c r="P38" s="1">
        <v>-4.98153960788514E-7</v>
      </c>
      <c r="Q38">
        <v>72.888067975649307</v>
      </c>
      <c r="R38">
        <v>6.5862712026171499E-2</v>
      </c>
      <c r="S38">
        <v>12.0748305381319</v>
      </c>
      <c r="T38">
        <v>0.152506152050287</v>
      </c>
      <c r="V38">
        <v>0.35912995541592502</v>
      </c>
      <c r="W38">
        <v>2.29087694004073E-2</v>
      </c>
      <c r="X38">
        <v>4.7726602917516098E-2</v>
      </c>
      <c r="AA38">
        <v>0.515447311509168</v>
      </c>
      <c r="AB38">
        <v>3.7894922716507198</v>
      </c>
      <c r="AC38">
        <v>4.4003927889948899</v>
      </c>
      <c r="AD38">
        <v>5.7271923501017504E-3</v>
      </c>
      <c r="AE38">
        <v>5.6779077299035601</v>
      </c>
    </row>
    <row r="39" spans="1:31" x14ac:dyDescent="0.2">
      <c r="A39">
        <v>38</v>
      </c>
      <c r="B39">
        <v>756</v>
      </c>
      <c r="C39">
        <v>225</v>
      </c>
      <c r="D39">
        <v>0.35534227274935698</v>
      </c>
      <c r="E39">
        <v>104.65820006192401</v>
      </c>
      <c r="F39">
        <v>2.1943747361755701</v>
      </c>
      <c r="G39">
        <v>-1710.4937731889004</v>
      </c>
      <c r="H39">
        <v>-1432.0941952818787</v>
      </c>
      <c r="I39">
        <v>270.51409212167499</v>
      </c>
      <c r="J39">
        <v>140.95771399752101</v>
      </c>
      <c r="K39">
        <v>47.693859365299502</v>
      </c>
      <c r="L39">
        <v>1.5084390517087725E-4</v>
      </c>
      <c r="M39">
        <v>1.7672438856943549E-5</v>
      </c>
      <c r="N39" s="1">
        <v>3.4173757852809598E-6</v>
      </c>
      <c r="O39" s="1">
        <v>9.6935935203755196E-8</v>
      </c>
      <c r="P39" s="1">
        <v>-4.9751161451728799E-7</v>
      </c>
      <c r="Q39">
        <v>72.867091925884395</v>
      </c>
      <c r="R39">
        <v>6.59288999420726E-2</v>
      </c>
      <c r="S39">
        <v>12.0869649893808</v>
      </c>
      <c r="T39">
        <v>0.153166932651917</v>
      </c>
      <c r="V39">
        <v>0.35903418523655201</v>
      </c>
      <c r="W39">
        <v>2.29317912841988E-2</v>
      </c>
      <c r="X39">
        <v>4.7774565175415701E-2</v>
      </c>
      <c r="AA39">
        <v>0.51596530389448003</v>
      </c>
      <c r="AB39">
        <v>3.7933004749279</v>
      </c>
      <c r="AC39">
        <v>4.4048149091731696</v>
      </c>
      <c r="AD39">
        <v>5.7329478210495499E-3</v>
      </c>
      <c r="AE39">
        <v>5.6772930746279897</v>
      </c>
    </row>
    <row r="40" spans="1:31" x14ac:dyDescent="0.2">
      <c r="A40">
        <v>39</v>
      </c>
      <c r="B40">
        <v>754</v>
      </c>
      <c r="C40">
        <v>225</v>
      </c>
      <c r="D40">
        <v>0.35395073747748601</v>
      </c>
      <c r="E40">
        <v>104.242096378545</v>
      </c>
      <c r="F40">
        <v>2.1952853664638901</v>
      </c>
      <c r="G40">
        <v>-1703.0496473605237</v>
      </c>
      <c r="H40">
        <v>-1426.5221358331255</v>
      </c>
      <c r="I40">
        <v>269.21823640889602</v>
      </c>
      <c r="J40">
        <v>140.411811094537</v>
      </c>
      <c r="K40">
        <v>47.484531155262097</v>
      </c>
      <c r="L40">
        <v>1.509155175033427E-4</v>
      </c>
      <c r="M40">
        <v>1.7656962587319232E-5</v>
      </c>
      <c r="N40" s="1">
        <v>3.41328260195707E-6</v>
      </c>
      <c r="O40" s="1">
        <v>9.6444202882699101E-8</v>
      </c>
      <c r="P40" s="1">
        <v>-4.96132646173485E-7</v>
      </c>
      <c r="Q40">
        <v>72.778646997340502</v>
      </c>
      <c r="R40">
        <v>6.6192068652795893E-2</v>
      </c>
      <c r="S40">
        <v>12.135212586347199</v>
      </c>
      <c r="T40">
        <v>0.15437017912924</v>
      </c>
      <c r="V40">
        <v>0.35993479123538302</v>
      </c>
      <c r="W40">
        <v>2.3023328227058801E-2</v>
      </c>
      <c r="X40">
        <v>4.7965267139708397E-2</v>
      </c>
      <c r="AA40">
        <v>0.51802488510883504</v>
      </c>
      <c r="AB40">
        <v>3.8084422108926899</v>
      </c>
      <c r="AC40">
        <v>4.4223976302808703</v>
      </c>
      <c r="AD40">
        <v>5.7558320567644696E-3</v>
      </c>
      <c r="AE40">
        <v>5.6800342235888701</v>
      </c>
    </row>
    <row r="41" spans="1:31" x14ac:dyDescent="0.2">
      <c r="A41">
        <v>40</v>
      </c>
      <c r="B41">
        <v>752</v>
      </c>
      <c r="C41">
        <v>225</v>
      </c>
      <c r="D41">
        <v>0.35255377261864101</v>
      </c>
      <c r="E41">
        <v>103.8298676563</v>
      </c>
      <c r="F41">
        <v>2.1961964410269399</v>
      </c>
      <c r="G41">
        <v>-1695.6744241506126</v>
      </c>
      <c r="H41">
        <v>-1421.0023897633257</v>
      </c>
      <c r="I41">
        <v>267.93350669393402</v>
      </c>
      <c r="J41">
        <v>139.87095617073899</v>
      </c>
      <c r="K41">
        <v>47.277131369791803</v>
      </c>
      <c r="L41">
        <v>1.5098693926899619E-4</v>
      </c>
      <c r="M41">
        <v>1.7641452601041368E-5</v>
      </c>
      <c r="N41" s="1">
        <v>3.4092592971117302E-6</v>
      </c>
      <c r="O41" s="1">
        <v>9.5957040990723699E-8</v>
      </c>
      <c r="P41" s="1">
        <v>-4.9476826241295098E-7</v>
      </c>
      <c r="Q41">
        <v>72.690303654926595</v>
      </c>
      <c r="R41">
        <v>6.64548665595978E-2</v>
      </c>
      <c r="S41">
        <v>12.1833922025957</v>
      </c>
      <c r="T41">
        <v>0.15558189189812099</v>
      </c>
      <c r="V41">
        <v>0.36082498470740698</v>
      </c>
      <c r="W41">
        <v>2.3114736194641401E-2</v>
      </c>
      <c r="X41">
        <v>4.8155700405508303E-2</v>
      </c>
      <c r="AA41">
        <v>0.52008156437945496</v>
      </c>
      <c r="AB41">
        <v>3.8235626121970099</v>
      </c>
      <c r="AC41">
        <v>4.4399555773873303</v>
      </c>
      <c r="AD41">
        <v>5.7786840486597699E-3</v>
      </c>
      <c r="AE41">
        <v>5.6827935246998704</v>
      </c>
    </row>
    <row r="42" spans="1:31" x14ac:dyDescent="0.2">
      <c r="A42">
        <v>41</v>
      </c>
      <c r="B42">
        <v>750</v>
      </c>
      <c r="C42">
        <v>225</v>
      </c>
      <c r="D42">
        <v>0.35115134633240402</v>
      </c>
      <c r="E42">
        <v>101.547422180685</v>
      </c>
      <c r="F42">
        <v>2.1976309541729702</v>
      </c>
      <c r="G42">
        <v>-1657.2830693442622</v>
      </c>
      <c r="H42">
        <v>-1389.5766752957836</v>
      </c>
      <c r="I42">
        <v>261.64921472753599</v>
      </c>
      <c r="J42">
        <v>136.75552422590499</v>
      </c>
      <c r="K42">
        <v>46.207677402733097</v>
      </c>
      <c r="L42">
        <v>1.507301069091912E-4</v>
      </c>
      <c r="M42">
        <v>1.7595453730379762E-5</v>
      </c>
      <c r="N42" s="1">
        <v>3.33225573712857E-6</v>
      </c>
      <c r="O42" s="1">
        <v>9.3452316044207606E-8</v>
      </c>
      <c r="P42" s="1">
        <v>-4.8302912680059803E-7</v>
      </c>
      <c r="Q42">
        <v>72.618392390958803</v>
      </c>
      <c r="R42">
        <v>6.7948549080082701E-2</v>
      </c>
      <c r="S42">
        <v>12.2139899092234</v>
      </c>
      <c r="T42">
        <v>0.159700903460329</v>
      </c>
      <c r="V42">
        <v>0.368375390582866</v>
      </c>
      <c r="W42">
        <v>2.3634277940896301E-2</v>
      </c>
      <c r="X42">
        <v>4.92380790435425E-2</v>
      </c>
      <c r="AA42">
        <v>0.508527638884821</v>
      </c>
      <c r="AB42">
        <v>3.8047968516867998</v>
      </c>
      <c r="AC42">
        <v>4.5132058458558797</v>
      </c>
      <c r="AD42">
        <v>5.9085694852233197E-3</v>
      </c>
      <c r="AE42">
        <v>5.6662815937973097</v>
      </c>
    </row>
    <row r="43" spans="1:31" x14ac:dyDescent="0.2">
      <c r="A43">
        <v>42</v>
      </c>
      <c r="B43">
        <v>748</v>
      </c>
      <c r="C43">
        <v>225</v>
      </c>
      <c r="D43">
        <v>0.34974342652891699</v>
      </c>
      <c r="E43">
        <v>66.3292264132388</v>
      </c>
      <c r="F43">
        <v>2.2028593153484701</v>
      </c>
      <c r="G43">
        <v>-1080.0058545699994</v>
      </c>
      <c r="H43">
        <v>-905.76025234981432</v>
      </c>
      <c r="I43">
        <v>170.63663734043499</v>
      </c>
      <c r="J43">
        <v>89.318733699228005</v>
      </c>
      <c r="K43">
        <v>30.110514071910199</v>
      </c>
      <c r="L43">
        <v>1.5085265763654772E-4</v>
      </c>
      <c r="M43">
        <v>1.7563291039243488E-5</v>
      </c>
      <c r="N43" s="1">
        <v>2.1753854349494802E-6</v>
      </c>
      <c r="O43" s="1">
        <v>6.0784462390353405E-8</v>
      </c>
      <c r="P43" s="1">
        <v>-3.1472522736553898E-7</v>
      </c>
      <c r="Q43">
        <v>72.331686851360303</v>
      </c>
      <c r="R43">
        <v>0.10402654113606701</v>
      </c>
      <c r="S43">
        <v>12.2069846873486</v>
      </c>
      <c r="T43">
        <v>0.24416364305799401</v>
      </c>
      <c r="V43">
        <v>0.56426700148142095</v>
      </c>
      <c r="W43">
        <v>3.6183144742972802E-2</v>
      </c>
      <c r="X43">
        <v>7.5381551547887504E-2</v>
      </c>
      <c r="AA43">
        <v>0.50888102534356305</v>
      </c>
      <c r="AB43">
        <v>3.7481197994668101</v>
      </c>
      <c r="AC43">
        <v>4.5210201496327302</v>
      </c>
      <c r="AD43">
        <v>9.0457861857445691E-3</v>
      </c>
      <c r="AE43">
        <v>5.6502398186957699</v>
      </c>
    </row>
    <row r="44" spans="1:31" x14ac:dyDescent="0.2">
      <c r="A44">
        <v>43</v>
      </c>
      <c r="B44">
        <v>746</v>
      </c>
      <c r="C44">
        <v>225</v>
      </c>
      <c r="D44">
        <v>0.34832998086640898</v>
      </c>
      <c r="E44">
        <v>17.548347680311799</v>
      </c>
      <c r="F44">
        <v>2.2082922193940902</v>
      </c>
      <c r="G44">
        <v>-285.50446164169153</v>
      </c>
      <c r="H44">
        <v>-239.60064171377581</v>
      </c>
      <c r="I44">
        <v>45.041279426890704</v>
      </c>
      <c r="J44">
        <v>23.653212222477201</v>
      </c>
      <c r="K44">
        <v>7.9465695373987799</v>
      </c>
      <c r="L44">
        <v>1.5065067767125985E-4</v>
      </c>
      <c r="M44">
        <v>1.7534680180308068E-5</v>
      </c>
      <c r="N44" s="1">
        <v>5.7422241318423298E-7</v>
      </c>
      <c r="O44" s="1">
        <v>1.59858977810728E-8</v>
      </c>
      <c r="P44" s="1">
        <v>-8.2589723655147494E-8</v>
      </c>
      <c r="Q44">
        <v>71.930377696178297</v>
      </c>
      <c r="R44">
        <v>0.15274592351444999</v>
      </c>
      <c r="S44">
        <v>12.506094351717399</v>
      </c>
      <c r="T44">
        <v>0.25045827608653198</v>
      </c>
      <c r="V44">
        <v>0.58357339021004495</v>
      </c>
      <c r="W44">
        <v>0.13634522316097</v>
      </c>
      <c r="X44">
        <v>0.16036990283356301</v>
      </c>
      <c r="AA44">
        <v>0.52167678723251298</v>
      </c>
      <c r="AB44">
        <v>3.5573201480149899</v>
      </c>
      <c r="AC44">
        <v>4.5422859661840302</v>
      </c>
      <c r="AD44">
        <v>3.4191253269550803E-2</v>
      </c>
      <c r="AE44">
        <v>5.6245610815975704</v>
      </c>
    </row>
    <row r="45" spans="1:31" x14ac:dyDescent="0.2">
      <c r="A45">
        <v>44</v>
      </c>
      <c r="B45">
        <v>744</v>
      </c>
      <c r="C45">
        <v>225</v>
      </c>
      <c r="D45">
        <v>0.34691097674876298</v>
      </c>
      <c r="E45">
        <v>7.8966362336104901</v>
      </c>
      <c r="F45">
        <v>2.2132002635463701</v>
      </c>
      <c r="G45">
        <v>-128.4099638675489</v>
      </c>
      <c r="H45">
        <v>-107.8414005160223</v>
      </c>
      <c r="I45">
        <v>20.221760164701902</v>
      </c>
      <c r="J45">
        <v>10.654481234037901</v>
      </c>
      <c r="K45">
        <v>3.5679718476795701</v>
      </c>
      <c r="L45">
        <v>1.5065619668217699E-4</v>
      </c>
      <c r="M45">
        <v>1.755307057344604E-5</v>
      </c>
      <c r="N45" s="1">
        <v>2.5871290175031402E-7</v>
      </c>
      <c r="O45" s="1">
        <v>7.1741288648322202E-9</v>
      </c>
      <c r="P45" s="1">
        <v>-3.6920168502292301E-8</v>
      </c>
      <c r="Q45">
        <v>71.402218077673297</v>
      </c>
      <c r="R45">
        <v>0.15143167329537999</v>
      </c>
      <c r="S45">
        <v>13.0638738336405</v>
      </c>
      <c r="T45">
        <v>0.24334675889184099</v>
      </c>
      <c r="V45">
        <v>0.57476463289463198</v>
      </c>
      <c r="W45">
        <v>0.29777115647921998</v>
      </c>
      <c r="X45">
        <v>0.15928388359215201</v>
      </c>
      <c r="AA45">
        <v>0.53338045903836895</v>
      </c>
      <c r="AB45">
        <v>3.3049245948725101</v>
      </c>
      <c r="AC45">
        <v>4.5743720541081796</v>
      </c>
      <c r="AD45">
        <v>7.5981719589144001E-2</v>
      </c>
      <c r="AE45">
        <v>5.6186511559246499</v>
      </c>
    </row>
    <row r="46" spans="1:31" x14ac:dyDescent="0.2">
      <c r="A46">
        <v>45</v>
      </c>
      <c r="B46">
        <v>758</v>
      </c>
      <c r="C46">
        <v>200</v>
      </c>
      <c r="D46">
        <v>0.383397662803666</v>
      </c>
      <c r="E46">
        <v>104.362517066169</v>
      </c>
      <c r="F46">
        <v>2.1953042128986802</v>
      </c>
      <c r="G46">
        <v>-1705.2400261345249</v>
      </c>
      <c r="H46">
        <v>-1429.2387954029671</v>
      </c>
      <c r="I46">
        <v>267.663512322705</v>
      </c>
      <c r="J46">
        <v>140.19065909903799</v>
      </c>
      <c r="K46">
        <v>47.538977264735699</v>
      </c>
      <c r="L46">
        <v>1.4616894641811384E-4</v>
      </c>
      <c r="M46">
        <v>1.7561829440261628E-5</v>
      </c>
      <c r="N46" s="1">
        <v>3.2074871768593902E-6</v>
      </c>
      <c r="O46" s="1">
        <v>9.2878872681946603E-8</v>
      </c>
      <c r="P46" s="1">
        <v>-4.7665048796623202E-7</v>
      </c>
      <c r="Q46">
        <v>73.168032112144502</v>
      </c>
      <c r="R46">
        <v>6.6115691667585699E-2</v>
      </c>
      <c r="S46">
        <v>12.1212101390577</v>
      </c>
      <c r="T46">
        <v>0.15497478664036299</v>
      </c>
      <c r="V46">
        <v>0.358815164068221</v>
      </c>
      <c r="W46">
        <v>2.2996762319160102E-2</v>
      </c>
      <c r="X46">
        <v>4.79099214982509E-2</v>
      </c>
      <c r="AA46">
        <v>0.51742715218110502</v>
      </c>
      <c r="AB46">
        <v>3.8040477669610699</v>
      </c>
      <c r="AC46">
        <v>4.4172947621386598</v>
      </c>
      <c r="AD46">
        <v>5.7491905797899603E-3</v>
      </c>
      <c r="AE46">
        <v>5.3154265507434904</v>
      </c>
    </row>
    <row r="47" spans="1:31" x14ac:dyDescent="0.2">
      <c r="A47">
        <v>46</v>
      </c>
      <c r="B47">
        <v>756</v>
      </c>
      <c r="C47">
        <v>200</v>
      </c>
      <c r="D47">
        <v>0.38206335325268598</v>
      </c>
      <c r="E47">
        <v>102.217617826555</v>
      </c>
      <c r="F47">
        <v>2.19660315763391</v>
      </c>
      <c r="G47">
        <v>-1669.1094299013869</v>
      </c>
      <c r="H47">
        <v>-1399.7395437580035</v>
      </c>
      <c r="I47">
        <v>261.74016046580402</v>
      </c>
      <c r="J47">
        <v>137.247050901188</v>
      </c>
      <c r="K47">
        <v>46.534403572769001</v>
      </c>
      <c r="L47">
        <v>1.4583254869667814E-4</v>
      </c>
      <c r="M47">
        <v>1.7515332192643904E-5</v>
      </c>
      <c r="N47" s="1">
        <v>3.1383163235969699E-6</v>
      </c>
      <c r="O47" s="1">
        <v>9.0556644770637101E-8</v>
      </c>
      <c r="P47" s="1">
        <v>-4.6559149590438698E-7</v>
      </c>
      <c r="Q47">
        <v>73.139937489725099</v>
      </c>
      <c r="R47">
        <v>6.7503040539529505E-2</v>
      </c>
      <c r="S47">
        <v>12.1270408996038</v>
      </c>
      <c r="T47">
        <v>0.15878416166468801</v>
      </c>
      <c r="V47">
        <v>0.36584282927752498</v>
      </c>
      <c r="W47">
        <v>2.3479318448531E-2</v>
      </c>
      <c r="X47">
        <v>4.8915246767777198E-2</v>
      </c>
      <c r="AA47">
        <v>0.50429058951293704</v>
      </c>
      <c r="AB47">
        <v>3.77616022279779</v>
      </c>
      <c r="AC47">
        <v>4.4843955403813096</v>
      </c>
      <c r="AD47">
        <v>5.86982961213237E-3</v>
      </c>
      <c r="AE47">
        <v>5.29778083166872</v>
      </c>
    </row>
    <row r="48" spans="1:31" x14ac:dyDescent="0.2">
      <c r="A48">
        <v>47</v>
      </c>
      <c r="B48">
        <v>754</v>
      </c>
      <c r="C48">
        <v>200</v>
      </c>
      <c r="D48">
        <v>0.38072384753930699</v>
      </c>
      <c r="E48">
        <v>90.106093606292703</v>
      </c>
      <c r="F48">
        <v>2.1993938622836802</v>
      </c>
      <c r="G48">
        <v>-1469.390680775015</v>
      </c>
      <c r="H48">
        <v>-1232.9637584471802</v>
      </c>
      <c r="I48">
        <v>230.177600474939</v>
      </c>
      <c r="J48">
        <v>120.89570154477801</v>
      </c>
      <c r="K48">
        <v>40.9686028280234</v>
      </c>
      <c r="L48">
        <v>1.4525228942473788E-4</v>
      </c>
      <c r="M48">
        <v>1.7433978129194757E-5</v>
      </c>
      <c r="N48" s="1">
        <v>2.7525270267681199E-6</v>
      </c>
      <c r="O48" s="1">
        <v>7.9172107021263604E-8</v>
      </c>
      <c r="P48" s="1">
        <v>-4.0804298014675698E-7</v>
      </c>
      <c r="Q48">
        <v>73.045153775682493</v>
      </c>
      <c r="R48">
        <v>7.6576397043125202E-2</v>
      </c>
      <c r="S48">
        <v>12.1317360071208</v>
      </c>
      <c r="T48">
        <v>0.180640649597194</v>
      </c>
      <c r="V48">
        <v>0.41455503934149301</v>
      </c>
      <c r="W48">
        <v>2.6635268536734799E-2</v>
      </c>
      <c r="X48">
        <v>5.5490142784885697E-2</v>
      </c>
      <c r="AA48">
        <v>0.486726232492599</v>
      </c>
      <c r="AB48">
        <v>3.6986628407967901</v>
      </c>
      <c r="AC48">
        <v>4.6181061064849196</v>
      </c>
      <c r="AD48">
        <v>6.6588171341821498E-3</v>
      </c>
      <c r="AE48">
        <v>5.2590587229846602</v>
      </c>
    </row>
    <row r="49" spans="1:31" x14ac:dyDescent="0.2">
      <c r="A49">
        <v>48</v>
      </c>
      <c r="B49">
        <v>752</v>
      </c>
      <c r="C49">
        <v>200</v>
      </c>
      <c r="D49">
        <v>0.37937911525142798</v>
      </c>
      <c r="E49">
        <v>56.398404313900002</v>
      </c>
      <c r="F49">
        <v>2.2056671114622199</v>
      </c>
      <c r="G49">
        <v>-917.23370944677799</v>
      </c>
      <c r="H49">
        <v>-769.74980757271692</v>
      </c>
      <c r="I49">
        <v>143.86568002151901</v>
      </c>
      <c r="J49">
        <v>75.679523040057106</v>
      </c>
      <c r="K49">
        <v>25.569771621843401</v>
      </c>
      <c r="L49">
        <v>1.4557050092289288E-4</v>
      </c>
      <c r="M49">
        <v>1.7415245544040611E-5</v>
      </c>
      <c r="N49" s="1">
        <v>1.72347504986704E-6</v>
      </c>
      <c r="O49" s="1">
        <v>4.9388485811692302E-8</v>
      </c>
      <c r="P49" s="1">
        <v>-2.54865650073064E-7</v>
      </c>
      <c r="Q49">
        <v>72.687378433329002</v>
      </c>
      <c r="R49">
        <v>0.122343886922703</v>
      </c>
      <c r="S49">
        <v>12.1229668710889</v>
      </c>
      <c r="T49">
        <v>0.28769659708829498</v>
      </c>
      <c r="V49">
        <v>0.66313933543191195</v>
      </c>
      <c r="W49">
        <v>4.2554395451365398E-2</v>
      </c>
      <c r="X49">
        <v>8.8654990523729604E-2</v>
      </c>
      <c r="AA49">
        <v>0.50555560522106902</v>
      </c>
      <c r="AB49">
        <v>3.6343956715335199</v>
      </c>
      <c r="AC49">
        <v>4.58565111457676</v>
      </c>
      <c r="AD49">
        <v>1.0638598862833901E-2</v>
      </c>
      <c r="AE49">
        <v>5.2490244999698303</v>
      </c>
    </row>
    <row r="50" spans="1:31" x14ac:dyDescent="0.2">
      <c r="A50">
        <v>49</v>
      </c>
      <c r="B50">
        <v>750</v>
      </c>
      <c r="C50">
        <v>200</v>
      </c>
      <c r="D50">
        <v>0.37802912573913899</v>
      </c>
      <c r="E50">
        <v>12.740166152531099</v>
      </c>
      <c r="F50">
        <v>2.2107613743974599</v>
      </c>
      <c r="G50">
        <v>-207.21072465027174</v>
      </c>
      <c r="H50">
        <v>-174.05986696319729</v>
      </c>
      <c r="I50">
        <v>32.400779638444298</v>
      </c>
      <c r="J50">
        <v>17.1151464825302</v>
      </c>
      <c r="K50">
        <v>5.7627957047166403</v>
      </c>
      <c r="L50">
        <v>1.449866448530204E-4</v>
      </c>
      <c r="M50">
        <v>1.7375345662819056E-5</v>
      </c>
      <c r="N50" s="1">
        <v>3.8750065452155099E-7</v>
      </c>
      <c r="O50" s="1">
        <v>1.10657755845048E-8</v>
      </c>
      <c r="P50" s="1">
        <v>-5.6849925853320799E-8</v>
      </c>
      <c r="Q50">
        <v>72.257271082881303</v>
      </c>
      <c r="R50">
        <v>0.16526385391274601</v>
      </c>
      <c r="S50">
        <v>12.601735855774301</v>
      </c>
      <c r="T50">
        <v>0.24461409422587699</v>
      </c>
      <c r="V50">
        <v>0.56991237413284102</v>
      </c>
      <c r="W50">
        <v>0.18719321731209601</v>
      </c>
      <c r="X50">
        <v>0.17125823099161799</v>
      </c>
      <c r="AA50">
        <v>0.53399448957251106</v>
      </c>
      <c r="AB50">
        <v>3.3492884706419601</v>
      </c>
      <c r="AC50">
        <v>4.6598278836518103</v>
      </c>
      <c r="AD50">
        <v>4.7095147175919602E-2</v>
      </c>
      <c r="AE50">
        <v>5.2125452997270099</v>
      </c>
    </row>
    <row r="51" spans="1:31" x14ac:dyDescent="0.2">
      <c r="A51">
        <v>50</v>
      </c>
      <c r="B51">
        <v>748</v>
      </c>
      <c r="C51">
        <v>200</v>
      </c>
      <c r="D51">
        <v>0.37667384811242399</v>
      </c>
      <c r="E51">
        <v>7.0384302863488699</v>
      </c>
      <c r="F51">
        <v>2.2152483703923602</v>
      </c>
      <c r="G51">
        <v>-114.42104085462701</v>
      </c>
      <c r="H51">
        <v>-96.181995130820539</v>
      </c>
      <c r="I51">
        <v>17.861279659018201</v>
      </c>
      <c r="J51">
        <v>9.4642912933272907</v>
      </c>
      <c r="K51">
        <v>3.17726462658552</v>
      </c>
      <c r="L51">
        <v>1.4498908361492961E-4</v>
      </c>
      <c r="M51">
        <v>1.7392025830095836E-5</v>
      </c>
      <c r="N51" s="1">
        <v>2.14386557383288E-7</v>
      </c>
      <c r="O51" s="1">
        <v>6.0984603198878304E-9</v>
      </c>
      <c r="P51" s="1">
        <v>-3.1215230473300497E-8</v>
      </c>
      <c r="Q51">
        <v>71.771058807096793</v>
      </c>
      <c r="R51">
        <v>0.163788827058968</v>
      </c>
      <c r="S51">
        <v>13.1138561277739</v>
      </c>
      <c r="T51">
        <v>0.23801430286584099</v>
      </c>
      <c r="V51">
        <v>0.56130447237983605</v>
      </c>
      <c r="W51">
        <v>0.33357098332308999</v>
      </c>
      <c r="X51">
        <v>0.17014850544995799</v>
      </c>
      <c r="AA51">
        <v>0.544860107608233</v>
      </c>
      <c r="AB51">
        <v>3.1220083953695301</v>
      </c>
      <c r="AC51">
        <v>4.6879324244951102</v>
      </c>
      <c r="AD51">
        <v>8.5246280148979003E-2</v>
      </c>
      <c r="AE51">
        <v>5.2082107664296897</v>
      </c>
    </row>
    <row r="52" spans="1:31" x14ac:dyDescent="0.2">
      <c r="A52">
        <v>51</v>
      </c>
      <c r="B52">
        <v>768</v>
      </c>
      <c r="C52">
        <v>175</v>
      </c>
      <c r="D52">
        <v>0.416405417086878</v>
      </c>
      <c r="E52">
        <v>103.959637131088</v>
      </c>
      <c r="F52">
        <v>2.1944987360733799</v>
      </c>
      <c r="G52">
        <v>-1700.2701288868852</v>
      </c>
      <c r="H52">
        <v>-1423.7805874183573</v>
      </c>
      <c r="I52">
        <v>265.561678402273</v>
      </c>
      <c r="J52">
        <v>139.37867139305499</v>
      </c>
      <c r="K52">
        <v>47.372839829975597</v>
      </c>
      <c r="L52">
        <v>1.414694627237591E-4</v>
      </c>
      <c r="M52">
        <v>1.7448475358540331E-5</v>
      </c>
      <c r="N52" s="1">
        <v>2.9630259769064799E-6</v>
      </c>
      <c r="O52" s="1">
        <v>8.8924147637777799E-8</v>
      </c>
      <c r="P52" s="1">
        <v>-4.5332913312612699E-7</v>
      </c>
      <c r="Q52">
        <v>73.451583813947494</v>
      </c>
      <c r="R52">
        <v>6.6371913084877596E-2</v>
      </c>
      <c r="S52">
        <v>12.168184065561199</v>
      </c>
      <c r="T52">
        <v>0.155079292941049</v>
      </c>
      <c r="V52">
        <v>0.36065207216247203</v>
      </c>
      <c r="W52">
        <v>2.30858828121311E-2</v>
      </c>
      <c r="X52">
        <v>4.8095589191940603E-2</v>
      </c>
      <c r="AA52">
        <v>0.51943236327295395</v>
      </c>
      <c r="AB52">
        <v>3.81878978184004</v>
      </c>
      <c r="AC52">
        <v>4.4344133234968499</v>
      </c>
      <c r="AD52">
        <v>5.77147070303273E-3</v>
      </c>
      <c r="AE52">
        <v>4.9485404309858296</v>
      </c>
    </row>
    <row r="53" spans="1:31" x14ac:dyDescent="0.2">
      <c r="A53">
        <v>52</v>
      </c>
      <c r="B53">
        <v>766</v>
      </c>
      <c r="C53">
        <v>175</v>
      </c>
      <c r="D53">
        <v>0.41514747630275201</v>
      </c>
      <c r="E53">
        <v>103.885354429122</v>
      </c>
      <c r="F53">
        <v>2.1951489892061198</v>
      </c>
      <c r="G53">
        <v>-1698.500256854976</v>
      </c>
      <c r="H53">
        <v>-1423.0380957477128</v>
      </c>
      <c r="I53">
        <v>265.084117891799</v>
      </c>
      <c r="J53">
        <v>139.245213023736</v>
      </c>
      <c r="K53">
        <v>47.324967434985702</v>
      </c>
      <c r="L53">
        <v>1.4133732038346537E-4</v>
      </c>
      <c r="M53">
        <v>1.7431296905693688E-5</v>
      </c>
      <c r="N53" s="1">
        <v>2.96655427100181E-6</v>
      </c>
      <c r="O53" s="1">
        <v>8.8697796688495901E-8</v>
      </c>
      <c r="P53" s="1">
        <v>-4.5259372582395201E-7</v>
      </c>
      <c r="Q53">
        <v>73.460805420948105</v>
      </c>
      <c r="R53">
        <v>6.6419371988644504E-2</v>
      </c>
      <c r="S53">
        <v>12.1629114830505</v>
      </c>
      <c r="T53">
        <v>0.15565660420510499</v>
      </c>
      <c r="V53">
        <v>0.36049026243374999</v>
      </c>
      <c r="W53">
        <v>2.3102390256919399E-2</v>
      </c>
      <c r="X53">
        <v>4.8129979701917201E-2</v>
      </c>
      <c r="AA53">
        <v>0.51837896295480101</v>
      </c>
      <c r="AB53">
        <v>3.8154553607194801</v>
      </c>
      <c r="AC53">
        <v>4.4362857661038202</v>
      </c>
      <c r="AD53">
        <v>5.7755975642296998E-3</v>
      </c>
      <c r="AE53">
        <v>4.94658880007258</v>
      </c>
    </row>
    <row r="54" spans="1:31" x14ac:dyDescent="0.2">
      <c r="A54">
        <v>53</v>
      </c>
      <c r="B54">
        <v>764</v>
      </c>
      <c r="C54">
        <v>175</v>
      </c>
      <c r="D54">
        <v>0.41388468398978101</v>
      </c>
      <c r="E54">
        <v>102.93711434325</v>
      </c>
      <c r="F54">
        <v>2.19587321609899</v>
      </c>
      <c r="G54">
        <v>-1682.2141961143195</v>
      </c>
      <c r="H54">
        <v>-1410.2685926172103</v>
      </c>
      <c r="I54">
        <v>262.204698931792</v>
      </c>
      <c r="J54">
        <v>137.859672468632</v>
      </c>
      <c r="K54">
        <v>46.877530810326</v>
      </c>
      <c r="L54">
        <v>1.4081051440782867E-4</v>
      </c>
      <c r="M54">
        <v>1.7392780579363972E-5</v>
      </c>
      <c r="N54" s="1">
        <v>2.9363884830111899E-6</v>
      </c>
      <c r="O54" s="1">
        <v>8.7490085237255902E-8</v>
      </c>
      <c r="P54" s="1">
        <v>-4.4627875839059499E-7</v>
      </c>
      <c r="Q54">
        <v>73.573555571702101</v>
      </c>
      <c r="R54">
        <v>6.7031216524990098E-2</v>
      </c>
      <c r="S54">
        <v>12.093973797349401</v>
      </c>
      <c r="T54">
        <v>0.157453119752754</v>
      </c>
      <c r="V54">
        <v>0.36348474026459199</v>
      </c>
      <c r="W54">
        <v>2.3315205747822001E-2</v>
      </c>
      <c r="X54">
        <v>4.8573345307965497E-2</v>
      </c>
      <c r="AA54">
        <v>0.50543555828945297</v>
      </c>
      <c r="AB54">
        <v>3.7718027771367102</v>
      </c>
      <c r="AC54">
        <v>4.4594760433318301</v>
      </c>
      <c r="AD54">
        <v>5.8288014369551498E-3</v>
      </c>
      <c r="AE54">
        <v>4.9300698231552902</v>
      </c>
    </row>
    <row r="55" spans="1:31" x14ac:dyDescent="0.2">
      <c r="A55">
        <v>54</v>
      </c>
      <c r="B55">
        <v>762</v>
      </c>
      <c r="C55">
        <v>175</v>
      </c>
      <c r="D55">
        <v>0.41261701202724399</v>
      </c>
      <c r="E55">
        <v>100.80808309906401</v>
      </c>
      <c r="F55">
        <v>2.1969855805799998</v>
      </c>
      <c r="G55">
        <v>-1646.3682174307608</v>
      </c>
      <c r="H55">
        <v>-1381.0698815988915</v>
      </c>
      <c r="I55">
        <v>256.28975108135899</v>
      </c>
      <c r="J55">
        <v>134.89874702636899</v>
      </c>
      <c r="K55">
        <v>45.884726777520001</v>
      </c>
      <c r="L55">
        <v>1.4026764569325623E-4</v>
      </c>
      <c r="M55">
        <v>1.7341841603822659E-5</v>
      </c>
      <c r="N55" s="1">
        <v>2.86933414580564E-6</v>
      </c>
      <c r="O55" s="1">
        <v>8.5204380092412805E-8</v>
      </c>
      <c r="P55" s="1">
        <v>-4.3486228354112799E-7</v>
      </c>
      <c r="Q55">
        <v>73.634848456658403</v>
      </c>
      <c r="R55">
        <v>6.8446892232040105E-2</v>
      </c>
      <c r="S55">
        <v>12.0480580067953</v>
      </c>
      <c r="T55">
        <v>0.16121869207461001</v>
      </c>
      <c r="V55">
        <v>0.37076529722567603</v>
      </c>
      <c r="W55">
        <v>2.3807614689403199E-2</v>
      </c>
      <c r="X55">
        <v>4.9599197269599299E-2</v>
      </c>
      <c r="AA55">
        <v>0.48937171725169099</v>
      </c>
      <c r="AB55">
        <v>3.7200613784602301</v>
      </c>
      <c r="AC55">
        <v>4.5198849309164002</v>
      </c>
      <c r="AD55">
        <v>5.95190367234968E-3</v>
      </c>
      <c r="AE55">
        <v>4.9079859127542003</v>
      </c>
    </row>
    <row r="56" spans="1:31" x14ac:dyDescent="0.2">
      <c r="A56">
        <v>55</v>
      </c>
      <c r="B56">
        <v>760</v>
      </c>
      <c r="C56">
        <v>175</v>
      </c>
      <c r="D56">
        <v>0.41134443207665999</v>
      </c>
      <c r="E56">
        <v>95.314840780465104</v>
      </c>
      <c r="F56">
        <v>2.19918138724602</v>
      </c>
      <c r="G56">
        <v>-1554.9257332312009</v>
      </c>
      <c r="H56">
        <v>-1305.1717575909918</v>
      </c>
      <c r="I56">
        <v>241.74028518628299</v>
      </c>
      <c r="J56">
        <v>127.445270250028</v>
      </c>
      <c r="K56">
        <v>43.341054691184603</v>
      </c>
      <c r="L56">
        <v>1.396461624547779E-4</v>
      </c>
      <c r="M56">
        <v>1.7257296755377122E-5</v>
      </c>
      <c r="N56" s="1">
        <v>2.6983028377953399E-6</v>
      </c>
      <c r="O56" s="1">
        <v>7.9880838201275404E-8</v>
      </c>
      <c r="P56" s="1">
        <v>-4.0878032157971997E-7</v>
      </c>
      <c r="Q56">
        <v>73.571762695257405</v>
      </c>
      <c r="R56">
        <v>7.2391664755468599E-2</v>
      </c>
      <c r="S56">
        <v>12.0552999420061</v>
      </c>
      <c r="T56">
        <v>0.171123014832613</v>
      </c>
      <c r="V56">
        <v>0.39158199901344998</v>
      </c>
      <c r="W56">
        <v>2.5179709480160101E-2</v>
      </c>
      <c r="X56">
        <v>5.2457728083680003E-2</v>
      </c>
      <c r="AA56">
        <v>0.46876827809084298</v>
      </c>
      <c r="AB56">
        <v>3.6404692146700701</v>
      </c>
      <c r="AC56">
        <v>4.6743680552344902</v>
      </c>
      <c r="AD56">
        <v>6.2949273700390398E-3</v>
      </c>
      <c r="AE56">
        <v>4.8703027712055302</v>
      </c>
    </row>
    <row r="57" spans="1:31" x14ac:dyDescent="0.2">
      <c r="A57">
        <v>56</v>
      </c>
      <c r="B57">
        <v>758</v>
      </c>
      <c r="C57">
        <v>175</v>
      </c>
      <c r="D57">
        <v>0.41006691557969399</v>
      </c>
      <c r="E57">
        <v>61.714884450067601</v>
      </c>
      <c r="F57">
        <v>2.2050649993820799</v>
      </c>
      <c r="G57">
        <v>-1004.2968454227217</v>
      </c>
      <c r="H57">
        <v>-843.18098991150998</v>
      </c>
      <c r="I57">
        <v>156.24870824924699</v>
      </c>
      <c r="J57">
        <v>82.514757904329699</v>
      </c>
      <c r="K57">
        <v>27.987784699027799</v>
      </c>
      <c r="L57">
        <v>1.3973366296889027E-4</v>
      </c>
      <c r="M57">
        <v>1.7222119612492493E-5</v>
      </c>
      <c r="N57" s="1">
        <v>1.7446278840507399E-6</v>
      </c>
      <c r="O57" s="1">
        <v>5.1466348097048103E-8</v>
      </c>
      <c r="P57" s="1">
        <v>-2.63686451362243E-7</v>
      </c>
      <c r="Q57">
        <v>73.256164352509799</v>
      </c>
      <c r="R57">
        <v>0.111804470857972</v>
      </c>
      <c r="S57">
        <v>12.052291602686999</v>
      </c>
      <c r="T57">
        <v>0.26364657290087001</v>
      </c>
      <c r="V57">
        <v>0.60535232863461896</v>
      </c>
      <c r="W57">
        <v>3.8888511602762098E-2</v>
      </c>
      <c r="X57">
        <v>8.1017732505801104E-2</v>
      </c>
      <c r="AA57">
        <v>0.497121175046776</v>
      </c>
      <c r="AB57">
        <v>3.55373439181212</v>
      </c>
      <c r="AC57">
        <v>4.6779392793216896</v>
      </c>
      <c r="AD57">
        <v>9.7221279006896397E-3</v>
      </c>
      <c r="AE57">
        <v>4.8523174542198104</v>
      </c>
    </row>
    <row r="58" spans="1:31" x14ac:dyDescent="0.2">
      <c r="A58">
        <v>57</v>
      </c>
      <c r="B58">
        <v>756</v>
      </c>
      <c r="C58">
        <v>175</v>
      </c>
      <c r="D58">
        <v>0.40878443375601398</v>
      </c>
      <c r="E58">
        <v>18.4915929069622</v>
      </c>
      <c r="F58">
        <v>2.21022996961762</v>
      </c>
      <c r="G58">
        <v>-300.77661521445151</v>
      </c>
      <c r="H58">
        <v>-252.7288039944535</v>
      </c>
      <c r="I58">
        <v>46.686888422482497</v>
      </c>
      <c r="J58">
        <v>24.745368839782198</v>
      </c>
      <c r="K58">
        <v>8.3663660167278096</v>
      </c>
      <c r="L58">
        <v>1.3919562561746376E-4</v>
      </c>
      <c r="M58">
        <v>1.7164385558026299E-5</v>
      </c>
      <c r="N58" s="1">
        <v>5.1987290899713001E-7</v>
      </c>
      <c r="O58" s="1">
        <v>1.52853317701994E-8</v>
      </c>
      <c r="P58" s="1">
        <v>-7.8097208042123506E-8</v>
      </c>
      <c r="Q58">
        <v>72.911487933749001</v>
      </c>
      <c r="R58">
        <v>0.16833438423067701</v>
      </c>
      <c r="S58">
        <v>12.3342159364651</v>
      </c>
      <c r="T58">
        <v>0.248162221309498</v>
      </c>
      <c r="V58">
        <v>0.57363217111661902</v>
      </c>
      <c r="W58">
        <v>0.129788710581838</v>
      </c>
      <c r="X58">
        <v>0.18111692084546899</v>
      </c>
      <c r="AA58">
        <v>0.53726001797715595</v>
      </c>
      <c r="AB58">
        <v>3.3258090779548999</v>
      </c>
      <c r="AC58">
        <v>4.7430153325542603</v>
      </c>
      <c r="AD58">
        <v>3.2447177645438301E-2</v>
      </c>
      <c r="AE58">
        <v>4.8147301155699296</v>
      </c>
    </row>
    <row r="59" spans="1:31" x14ac:dyDescent="0.2">
      <c r="A59">
        <v>58</v>
      </c>
      <c r="B59">
        <v>754</v>
      </c>
      <c r="C59">
        <v>175</v>
      </c>
      <c r="D59">
        <v>0.40749695760112897</v>
      </c>
      <c r="E59">
        <v>8.4860322774415593</v>
      </c>
      <c r="F59">
        <v>2.2149632036643201</v>
      </c>
      <c r="G59">
        <v>-137.96343949357768</v>
      </c>
      <c r="H59">
        <v>-116.00926273073063</v>
      </c>
      <c r="I59">
        <v>21.3738760286687</v>
      </c>
      <c r="J59">
        <v>11.3658207027731</v>
      </c>
      <c r="K59">
        <v>3.8312294594342302</v>
      </c>
      <c r="L59">
        <v>1.3906615991778081E-4</v>
      </c>
      <c r="M59">
        <v>1.717004499441255E-5</v>
      </c>
      <c r="N59" s="1">
        <v>2.3856748855986198E-7</v>
      </c>
      <c r="O59" s="1">
        <v>6.9882902812756999E-9</v>
      </c>
      <c r="P59" s="1">
        <v>-3.5553215327850898E-8</v>
      </c>
      <c r="Q59">
        <v>72.4226163802592</v>
      </c>
      <c r="R59">
        <v>0.178964050045538</v>
      </c>
      <c r="S59">
        <v>12.8508083580102</v>
      </c>
      <c r="T59">
        <v>0.23766556316384699</v>
      </c>
      <c r="V59">
        <v>0.55626704927613202</v>
      </c>
      <c r="W59">
        <v>0.27900978305470098</v>
      </c>
      <c r="X59">
        <v>0.182546493337822</v>
      </c>
      <c r="AA59">
        <v>0.55118777490100301</v>
      </c>
      <c r="AB59">
        <v>3.0796327434212198</v>
      </c>
      <c r="AC59">
        <v>4.7869549485887104</v>
      </c>
      <c r="AD59">
        <v>7.0704421145549604E-2</v>
      </c>
      <c r="AE59">
        <v>4.8036424347959503</v>
      </c>
    </row>
    <row r="60" spans="1:31" x14ac:dyDescent="0.2">
      <c r="A60">
        <v>59</v>
      </c>
      <c r="B60">
        <v>778</v>
      </c>
      <c r="C60">
        <v>150</v>
      </c>
      <c r="D60">
        <v>0.44878514008467002</v>
      </c>
      <c r="E60">
        <v>103.53345346537699</v>
      </c>
      <c r="F60">
        <v>2.1952852785179502</v>
      </c>
      <c r="G60">
        <v>-1694.6980137961596</v>
      </c>
      <c r="H60">
        <v>-1418.0613919628613</v>
      </c>
      <c r="I60">
        <v>263.17520984949601</v>
      </c>
      <c r="J60">
        <v>138.48905636456001</v>
      </c>
      <c r="K60">
        <v>47.1617308595415</v>
      </c>
      <c r="L60">
        <v>1.3590634058619305E-4</v>
      </c>
      <c r="M60">
        <v>1.7232853927013099E-5</v>
      </c>
      <c r="N60" s="1">
        <v>2.7069973996316698E-6</v>
      </c>
      <c r="O60" s="1">
        <v>8.4215228278597603E-8</v>
      </c>
      <c r="P60" s="1">
        <v>-4.24804811692949E-7</v>
      </c>
      <c r="Q60">
        <v>73.753938890456794</v>
      </c>
      <c r="R60">
        <v>6.66451255033952E-2</v>
      </c>
      <c r="S60">
        <v>12.218273008956499</v>
      </c>
      <c r="T60">
        <v>0.15531057277548599</v>
      </c>
      <c r="V60">
        <v>0.36250295616023898</v>
      </c>
      <c r="W60">
        <v>2.3180913218571901E-2</v>
      </c>
      <c r="X60">
        <v>4.8293569205359599E-2</v>
      </c>
      <c r="AA60">
        <v>0.52157054741787401</v>
      </c>
      <c r="AB60">
        <v>3.8345093949054601</v>
      </c>
      <c r="AC60">
        <v>4.4526670807340096</v>
      </c>
      <c r="AD60">
        <v>5.7952283046428504E-3</v>
      </c>
      <c r="AE60">
        <v>4.5573127123615</v>
      </c>
    </row>
    <row r="61" spans="1:31" x14ac:dyDescent="0.2">
      <c r="A61">
        <v>60</v>
      </c>
      <c r="B61">
        <v>776</v>
      </c>
      <c r="C61">
        <v>150</v>
      </c>
      <c r="D61">
        <v>0.447600915026452</v>
      </c>
      <c r="E61">
        <v>103.095683598118</v>
      </c>
      <c r="F61">
        <v>2.1958932026402298</v>
      </c>
      <c r="G61">
        <v>-1686.8938492116874</v>
      </c>
      <c r="H61">
        <v>-1412.3130466427808</v>
      </c>
      <c r="I61">
        <v>261.71739271687198</v>
      </c>
      <c r="J61">
        <v>137.838687286283</v>
      </c>
      <c r="K61">
        <v>46.949315874816499</v>
      </c>
      <c r="L61">
        <v>1.3564427224350479E-4</v>
      </c>
      <c r="M61">
        <v>1.7209706688550279E-5</v>
      </c>
      <c r="N61" s="1">
        <v>2.6980111472373599E-6</v>
      </c>
      <c r="O61" s="1">
        <v>8.3633326041593801E-8</v>
      </c>
      <c r="P61" s="1">
        <v>-4.2203335055908902E-7</v>
      </c>
      <c r="Q61">
        <v>73.805487992106507</v>
      </c>
      <c r="R61">
        <v>6.6928117251709496E-2</v>
      </c>
      <c r="S61">
        <v>12.1858565610731</v>
      </c>
      <c r="T61">
        <v>0.15637705518723499</v>
      </c>
      <c r="V61">
        <v>0.36367601497916702</v>
      </c>
      <c r="W61">
        <v>2.3279345131028899E-2</v>
      </c>
      <c r="X61">
        <v>4.8498635689645901E-2</v>
      </c>
      <c r="AA61">
        <v>0.51528574905763902</v>
      </c>
      <c r="AB61">
        <v>3.8140994850021102</v>
      </c>
      <c r="AC61">
        <v>4.4637369883307603</v>
      </c>
      <c r="AD61">
        <v>5.8198362827569898E-3</v>
      </c>
      <c r="AE61">
        <v>4.5509542199082</v>
      </c>
    </row>
    <row r="62" spans="1:31" x14ac:dyDescent="0.2">
      <c r="A62">
        <v>61</v>
      </c>
      <c r="B62">
        <v>774</v>
      </c>
      <c r="C62">
        <v>150</v>
      </c>
      <c r="D62">
        <v>0.44641216635630598</v>
      </c>
      <c r="E62">
        <v>102.19679910021</v>
      </c>
      <c r="F62">
        <v>2.1965194148290399</v>
      </c>
      <c r="G62">
        <v>-1671.4368356254997</v>
      </c>
      <c r="H62">
        <v>-1400.2186242958176</v>
      </c>
      <c r="I62">
        <v>259.00607489823</v>
      </c>
      <c r="J62">
        <v>136.53102333495599</v>
      </c>
      <c r="K62">
        <v>46.526699655037902</v>
      </c>
      <c r="L62">
        <v>1.351851578395392E-4</v>
      </c>
      <c r="M62">
        <v>1.7176203951417054E-5</v>
      </c>
      <c r="N62" s="1">
        <v>2.6729197555616498E-6</v>
      </c>
      <c r="O62" s="1">
        <v>8.2568275954573104E-8</v>
      </c>
      <c r="P62" s="1">
        <v>-4.1652353980234799E-7</v>
      </c>
      <c r="Q62">
        <v>73.9116635728939</v>
      </c>
      <c r="R62">
        <v>6.7516791726854E-2</v>
      </c>
      <c r="S62">
        <v>12.1193199363491</v>
      </c>
      <c r="T62">
        <v>0.158103301960937</v>
      </c>
      <c r="V62">
        <v>0.36655910647261403</v>
      </c>
      <c r="W62">
        <v>2.3484101470209399E-2</v>
      </c>
      <c r="X62">
        <v>4.8925211396272698E-2</v>
      </c>
      <c r="AA62">
        <v>0.50319741313044197</v>
      </c>
      <c r="AB62">
        <v>3.7717289518252701</v>
      </c>
      <c r="AC62">
        <v>4.4858064210822297</v>
      </c>
      <c r="AD62">
        <v>5.8710253675521001E-3</v>
      </c>
      <c r="AE62">
        <v>4.5378241663245804</v>
      </c>
    </row>
    <row r="63" spans="1:31" x14ac:dyDescent="0.2">
      <c r="A63">
        <v>62</v>
      </c>
      <c r="B63">
        <v>772</v>
      </c>
      <c r="C63">
        <v>150</v>
      </c>
      <c r="D63">
        <v>0.44521886810505501</v>
      </c>
      <c r="E63">
        <v>101.29348728996</v>
      </c>
      <c r="F63">
        <v>2.1971505097480302</v>
      </c>
      <c r="G63">
        <v>-1655.9246686510901</v>
      </c>
      <c r="H63">
        <v>-1388.0642463819117</v>
      </c>
      <c r="I63">
        <v>256.288975045857</v>
      </c>
      <c r="J63">
        <v>135.21888851728099</v>
      </c>
      <c r="K63">
        <v>46.102206854084102</v>
      </c>
      <c r="L63">
        <v>1.3472135115060919E-4</v>
      </c>
      <c r="M63">
        <v>1.7142735111110143E-5</v>
      </c>
      <c r="N63" s="1">
        <v>2.6476447128962399E-6</v>
      </c>
      <c r="O63" s="1">
        <v>8.1504405425674197E-8</v>
      </c>
      <c r="P63" s="1">
        <v>-4.1100006565798503E-7</v>
      </c>
      <c r="Q63">
        <v>74.018845961149793</v>
      </c>
      <c r="R63">
        <v>6.8118890805371396E-2</v>
      </c>
      <c r="S63">
        <v>12.052395851623899</v>
      </c>
      <c r="T63">
        <v>0.15986626594540301</v>
      </c>
      <c r="V63">
        <v>0.36951033033945502</v>
      </c>
      <c r="W63">
        <v>2.3693527236650001E-2</v>
      </c>
      <c r="X63">
        <v>4.93615150763584E-2</v>
      </c>
      <c r="AA63">
        <v>0.492095635053652</v>
      </c>
      <c r="AB63">
        <v>3.7285796009006198</v>
      </c>
      <c r="AC63">
        <v>4.5070178606380704</v>
      </c>
      <c r="AD63">
        <v>5.9233818091621203E-3</v>
      </c>
      <c r="AE63">
        <v>4.5245911794215203</v>
      </c>
    </row>
    <row r="64" spans="1:31" x14ac:dyDescent="0.2">
      <c r="A64">
        <v>63</v>
      </c>
      <c r="B64">
        <v>770</v>
      </c>
      <c r="C64">
        <v>150</v>
      </c>
      <c r="D64">
        <v>0.44402099410439499</v>
      </c>
      <c r="E64">
        <v>100.387027929213</v>
      </c>
      <c r="F64">
        <v>2.1977848756226801</v>
      </c>
      <c r="G64">
        <v>-1640.3791468927236</v>
      </c>
      <c r="H64">
        <v>-1375.8677046138973</v>
      </c>
      <c r="I64">
        <v>253.56990104857999</v>
      </c>
      <c r="J64">
        <v>133.90411756670599</v>
      </c>
      <c r="K64">
        <v>45.676457710981097</v>
      </c>
      <c r="L64">
        <v>1.3425365703953333E-4</v>
      </c>
      <c r="M64">
        <v>1.7109379408144708E-5</v>
      </c>
      <c r="N64" s="1">
        <v>2.6222458272617802E-6</v>
      </c>
      <c r="O64" s="1">
        <v>8.0443496784863601E-8</v>
      </c>
      <c r="P64" s="1">
        <v>-4.0547273393005002E-7</v>
      </c>
      <c r="Q64">
        <v>74.127018399100507</v>
      </c>
      <c r="R64">
        <v>6.8733980299382602E-2</v>
      </c>
      <c r="S64">
        <v>11.985097594503101</v>
      </c>
      <c r="T64">
        <v>0.161665208572812</v>
      </c>
      <c r="V64">
        <v>0.37252707901063098</v>
      </c>
      <c r="W64">
        <v>2.3907471408479701E-2</v>
      </c>
      <c r="X64">
        <v>4.9807232101004698E-2</v>
      </c>
      <c r="AA64">
        <v>0.48194544277443702</v>
      </c>
      <c r="AB64">
        <v>3.6847869847213799</v>
      </c>
      <c r="AC64">
        <v>4.5272371583105802</v>
      </c>
      <c r="AD64">
        <v>5.9768678521194699E-3</v>
      </c>
      <c r="AE64">
        <v>4.5112965813454604</v>
      </c>
    </row>
    <row r="65" spans="1:31" x14ac:dyDescent="0.2">
      <c r="A65">
        <v>64</v>
      </c>
      <c r="B65">
        <v>768</v>
      </c>
      <c r="C65">
        <v>150</v>
      </c>
      <c r="D65">
        <v>0.442818517984921</v>
      </c>
      <c r="E65">
        <v>95.915934191851406</v>
      </c>
      <c r="F65">
        <v>2.1995762681453401</v>
      </c>
      <c r="G65">
        <v>-1565.8144515863398</v>
      </c>
      <c r="H65">
        <v>-1314.1110576248636</v>
      </c>
      <c r="I65">
        <v>241.75516876672501</v>
      </c>
      <c r="J65">
        <v>127.84600873161899</v>
      </c>
      <c r="K65">
        <v>43.606550762036697</v>
      </c>
      <c r="L65">
        <v>1.3374650335260812E-4</v>
      </c>
      <c r="M65">
        <v>1.7040023216731136E-5</v>
      </c>
      <c r="N65" s="1">
        <v>2.4952451864660901E-6</v>
      </c>
      <c r="O65" s="1">
        <v>7.6310045577372006E-8</v>
      </c>
      <c r="P65" s="1">
        <v>-3.8551814693987302E-7</v>
      </c>
      <c r="Q65">
        <v>74.087868747973005</v>
      </c>
      <c r="R65">
        <v>7.1937995059285595E-2</v>
      </c>
      <c r="S65">
        <v>11.981600376428201</v>
      </c>
      <c r="T65">
        <v>0.169761520914124</v>
      </c>
      <c r="V65">
        <v>0.38938812620436603</v>
      </c>
      <c r="W65">
        <v>2.5021911324967099E-2</v>
      </c>
      <c r="X65">
        <v>5.2128981927022498E-2</v>
      </c>
      <c r="AA65">
        <v>0.46433877247910998</v>
      </c>
      <c r="AB65">
        <v>3.6136057855247601</v>
      </c>
      <c r="AC65">
        <v>4.6554433701565703</v>
      </c>
      <c r="AD65">
        <v>6.2554778312412396E-3</v>
      </c>
      <c r="AE65">
        <v>4.48264893417727</v>
      </c>
    </row>
    <row r="66" spans="1:31" x14ac:dyDescent="0.2">
      <c r="A66">
        <v>65</v>
      </c>
      <c r="B66">
        <v>766</v>
      </c>
      <c r="C66">
        <v>150</v>
      </c>
      <c r="D66">
        <v>0.44161141317423203</v>
      </c>
      <c r="E66">
        <v>79.059933596378102</v>
      </c>
      <c r="F66">
        <v>2.2030461008181002</v>
      </c>
      <c r="G66">
        <v>-1288.6293649020981</v>
      </c>
      <c r="H66">
        <v>-1082.0270468238652</v>
      </c>
      <c r="I66">
        <v>198.81857102269399</v>
      </c>
      <c r="J66">
        <v>105.32018720348</v>
      </c>
      <c r="K66">
        <v>35.886645116967401</v>
      </c>
      <c r="L66">
        <v>1.3335128340519667E-4</v>
      </c>
      <c r="M66">
        <v>1.6970460546936791E-5</v>
      </c>
      <c r="N66" s="1">
        <v>2.0473411561867501E-6</v>
      </c>
      <c r="O66" s="1">
        <v>6.2418135891581093E-8</v>
      </c>
      <c r="P66" s="1">
        <v>-3.1600386369709499E-7</v>
      </c>
      <c r="Q66">
        <v>73.937511127489898</v>
      </c>
      <c r="R66">
        <v>8.7275560275919303E-2</v>
      </c>
      <c r="S66">
        <v>11.9883719483352</v>
      </c>
      <c r="T66">
        <v>0.20624310072403701</v>
      </c>
      <c r="V66">
        <v>0.47214904698438198</v>
      </c>
      <c r="W66">
        <v>3.03567166177004E-2</v>
      </c>
      <c r="X66">
        <v>6.3243159620255895E-2</v>
      </c>
      <c r="AA66">
        <v>0.47185187649836102</v>
      </c>
      <c r="AB66">
        <v>3.5154737075906701</v>
      </c>
      <c r="AC66">
        <v>4.7679362764191504</v>
      </c>
      <c r="AD66">
        <v>7.5891791544205802E-3</v>
      </c>
      <c r="AE66">
        <v>4.4519983002898602</v>
      </c>
    </row>
    <row r="67" spans="1:31" x14ac:dyDescent="0.2">
      <c r="A67">
        <v>66</v>
      </c>
      <c r="B67">
        <v>764</v>
      </c>
      <c r="C67">
        <v>150</v>
      </c>
      <c r="D67">
        <v>0.44039965289495597</v>
      </c>
      <c r="E67">
        <v>41.720359276001602</v>
      </c>
      <c r="F67">
        <v>2.2087445220481601</v>
      </c>
      <c r="G67">
        <v>-678.70647048943761</v>
      </c>
      <c r="H67">
        <v>-570.11621373169942</v>
      </c>
      <c r="I67">
        <v>104.70062841222401</v>
      </c>
      <c r="J67">
        <v>55.588847380744902</v>
      </c>
      <c r="K67">
        <v>18.888721108095499</v>
      </c>
      <c r="L67">
        <v>1.3323764633614663E-4</v>
      </c>
      <c r="M67">
        <v>1.6924432522198252E-5</v>
      </c>
      <c r="N67" s="1">
        <v>1.07707091902319E-6</v>
      </c>
      <c r="O67" s="1">
        <v>3.2726589719005999E-8</v>
      </c>
      <c r="P67" s="1">
        <v>-1.6570482947369399E-7</v>
      </c>
      <c r="Q67">
        <v>73.628221200310094</v>
      </c>
      <c r="R67">
        <v>0.13311990368226401</v>
      </c>
      <c r="S67">
        <v>12.0405079391378</v>
      </c>
      <c r="T67">
        <v>0.26923891397801802</v>
      </c>
      <c r="V67">
        <v>0.61876809131597799</v>
      </c>
      <c r="W67">
        <v>5.7525870861318898E-2</v>
      </c>
      <c r="X67">
        <v>0.116095619973182</v>
      </c>
      <c r="AA67">
        <v>0.51775577225979097</v>
      </c>
      <c r="AB67">
        <v>3.3843958070404199</v>
      </c>
      <c r="AC67">
        <v>4.7917744926146497</v>
      </c>
      <c r="AD67">
        <v>1.4381467715315399E-2</v>
      </c>
      <c r="AE67">
        <v>4.4282149211110697</v>
      </c>
    </row>
    <row r="68" spans="1:31" x14ac:dyDescent="0.2">
      <c r="A68">
        <v>67</v>
      </c>
      <c r="B68">
        <v>762</v>
      </c>
      <c r="C68">
        <v>150</v>
      </c>
      <c r="D68">
        <v>0.439183210162781</v>
      </c>
      <c r="E68">
        <v>14.9068458630745</v>
      </c>
      <c r="F68">
        <v>2.2134781233404199</v>
      </c>
      <c r="G68">
        <v>-242.4344270681479</v>
      </c>
      <c r="H68">
        <v>-203.81364998357481</v>
      </c>
      <c r="I68">
        <v>37.3093533155321</v>
      </c>
      <c r="J68">
        <v>19.879527470484302</v>
      </c>
      <c r="K68">
        <v>6.7345801640805103</v>
      </c>
      <c r="L68">
        <v>1.3276457123724905E-4</v>
      </c>
      <c r="M68">
        <v>1.6879058455011392E-5</v>
      </c>
      <c r="N68" s="1">
        <v>3.8305359894074699E-7</v>
      </c>
      <c r="O68" s="1">
        <v>1.16005606715596E-8</v>
      </c>
      <c r="P68" s="1">
        <v>-5.8536476730190703E-8</v>
      </c>
      <c r="Q68">
        <v>73.266367499523597</v>
      </c>
      <c r="R68">
        <v>0.18628415943651899</v>
      </c>
      <c r="S68">
        <v>12.377896204081001</v>
      </c>
      <c r="T68">
        <v>0.24467844047461901</v>
      </c>
      <c r="V68">
        <v>0.56654697574319501</v>
      </c>
      <c r="W68">
        <v>0.160999853493071</v>
      </c>
      <c r="X68">
        <v>0.19431831769098401</v>
      </c>
      <c r="AA68">
        <v>0.55345584071714904</v>
      </c>
      <c r="AB68">
        <v>3.1485910132124801</v>
      </c>
      <c r="AC68">
        <v>4.8629717217315198</v>
      </c>
      <c r="AD68">
        <v>4.0249963373220003E-2</v>
      </c>
      <c r="AE68">
        <v>4.3976400105225304</v>
      </c>
    </row>
    <row r="69" spans="1:31" x14ac:dyDescent="0.2">
      <c r="A69">
        <v>68</v>
      </c>
      <c r="B69">
        <v>760</v>
      </c>
      <c r="C69">
        <v>150</v>
      </c>
      <c r="D69">
        <v>0.43796205778444602</v>
      </c>
      <c r="E69">
        <v>7.9508997482577897</v>
      </c>
      <c r="F69">
        <v>2.2178125338644699</v>
      </c>
      <c r="G69">
        <v>-129.24810975045094</v>
      </c>
      <c r="H69">
        <v>-108.73461733095563</v>
      </c>
      <c r="I69">
        <v>19.855289570241698</v>
      </c>
      <c r="J69">
        <v>10.611908246207101</v>
      </c>
      <c r="K69">
        <v>3.585018853872</v>
      </c>
      <c r="L69">
        <v>1.3266490821899727E-4</v>
      </c>
      <c r="M69">
        <v>1.688587998329614E-5</v>
      </c>
      <c r="N69" s="1">
        <v>2.0439398045746799E-7</v>
      </c>
      <c r="O69" s="1">
        <v>6.1670867788939799E-9</v>
      </c>
      <c r="P69" s="1">
        <v>-3.0990547510847801E-8</v>
      </c>
      <c r="Q69">
        <v>72.811381516995297</v>
      </c>
      <c r="R69">
        <v>0.196228225426201</v>
      </c>
      <c r="S69">
        <v>12.855653221731901</v>
      </c>
      <c r="T69">
        <v>0.23505512809628301</v>
      </c>
      <c r="V69">
        <v>0.55045231396302197</v>
      </c>
      <c r="W69">
        <v>0.298263445161705</v>
      </c>
      <c r="X69">
        <v>0.195484132443175</v>
      </c>
      <c r="AA69">
        <v>0.56504159987842695</v>
      </c>
      <c r="AB69">
        <v>2.9252735740481501</v>
      </c>
      <c r="AC69">
        <v>4.9022203213789002</v>
      </c>
      <c r="AD69">
        <v>7.5463157503700903E-2</v>
      </c>
      <c r="AE69">
        <v>4.3894833633731203</v>
      </c>
    </row>
    <row r="70" spans="1:31" x14ac:dyDescent="0.2">
      <c r="A70">
        <v>69</v>
      </c>
      <c r="B70">
        <v>792</v>
      </c>
      <c r="C70">
        <v>125</v>
      </c>
      <c r="D70">
        <v>0.48276815471999501</v>
      </c>
      <c r="E70">
        <v>103.06946234181299</v>
      </c>
      <c r="F70">
        <v>2.1972402792735699</v>
      </c>
      <c r="G70">
        <v>-1689.2274514405822</v>
      </c>
      <c r="H70">
        <v>-1411.3555095271281</v>
      </c>
      <c r="I70">
        <v>260.87587843351002</v>
      </c>
      <c r="J70">
        <v>137.53095274929601</v>
      </c>
      <c r="K70">
        <v>46.908598624402003</v>
      </c>
      <c r="L70">
        <v>1.2925451045445199E-4</v>
      </c>
      <c r="M70">
        <v>1.6902161270150387E-5</v>
      </c>
      <c r="N70" s="1">
        <v>2.4200401538003601E-6</v>
      </c>
      <c r="O70" s="1">
        <v>7.8690984471486604E-8</v>
      </c>
      <c r="P70" s="1">
        <v>-3.8954949640234098E-7</v>
      </c>
      <c r="Q70">
        <v>74.085959376394499</v>
      </c>
      <c r="R70">
        <v>6.6945144014793401E-2</v>
      </c>
      <c r="S70">
        <v>12.2732764027126</v>
      </c>
      <c r="T70">
        <v>0.15481441678063099</v>
      </c>
      <c r="V70">
        <v>0.36521041185922498</v>
      </c>
      <c r="W70">
        <v>2.3285267483406199E-2</v>
      </c>
      <c r="X70">
        <v>4.8510973923763898E-2</v>
      </c>
      <c r="AA70">
        <v>0.52391851837664305</v>
      </c>
      <c r="AB70">
        <v>3.8517713295467799</v>
      </c>
      <c r="AC70">
        <v>4.4727117957709304</v>
      </c>
      <c r="AD70">
        <v>5.82131687085145E-3</v>
      </c>
      <c r="AE70">
        <v>4.1277750462657696</v>
      </c>
    </row>
    <row r="71" spans="1:31" x14ac:dyDescent="0.2">
      <c r="A71">
        <v>70</v>
      </c>
      <c r="B71">
        <v>790</v>
      </c>
      <c r="C71">
        <v>125</v>
      </c>
      <c r="D71">
        <v>0.48166345294643498</v>
      </c>
      <c r="E71">
        <v>103.027120231167</v>
      </c>
      <c r="F71">
        <v>2.1977783494437801</v>
      </c>
      <c r="G71">
        <v>-1688.0060528831684</v>
      </c>
      <c r="H71">
        <v>-1411.0468434657266</v>
      </c>
      <c r="I71">
        <v>260.50812154206</v>
      </c>
      <c r="J71">
        <v>137.44772653616801</v>
      </c>
      <c r="K71">
        <v>46.877848376858097</v>
      </c>
      <c r="L71">
        <v>1.2918370768519717E-4</v>
      </c>
      <c r="M71">
        <v>1.6890490591758192E-5</v>
      </c>
      <c r="N71" s="1">
        <v>2.4248140663908901E-6</v>
      </c>
      <c r="O71" s="1">
        <v>7.8554643622342496E-8</v>
      </c>
      <c r="P71" s="1">
        <v>-3.8925408946048499E-7</v>
      </c>
      <c r="Q71">
        <v>74.090404819986702</v>
      </c>
      <c r="R71">
        <v>6.6972657146178005E-2</v>
      </c>
      <c r="S71">
        <v>12.269928006918599</v>
      </c>
      <c r="T71">
        <v>0.15531447965334899</v>
      </c>
      <c r="V71">
        <v>0.36496779511786998</v>
      </c>
      <c r="W71">
        <v>2.3294837268235401E-2</v>
      </c>
      <c r="X71">
        <v>4.8530910975492302E-2</v>
      </c>
      <c r="AA71">
        <v>0.52327727460821705</v>
      </c>
      <c r="AB71">
        <v>3.8496990537362601</v>
      </c>
      <c r="AC71">
        <v>4.4737907022504597</v>
      </c>
      <c r="AD71">
        <v>5.8237093170586699E-3</v>
      </c>
      <c r="AE71">
        <v>4.1279957530215796</v>
      </c>
    </row>
    <row r="72" spans="1:31" x14ac:dyDescent="0.2">
      <c r="A72">
        <v>71</v>
      </c>
      <c r="B72">
        <v>788</v>
      </c>
      <c r="C72">
        <v>125</v>
      </c>
      <c r="D72">
        <v>0.48055458700466802</v>
      </c>
      <c r="E72">
        <v>102.17861124121799</v>
      </c>
      <c r="F72">
        <v>2.1982971077475599</v>
      </c>
      <c r="G72">
        <v>-1673.3793025583523</v>
      </c>
      <c r="H72">
        <v>-1399.6433722561985</v>
      </c>
      <c r="I72">
        <v>257.96157970329602</v>
      </c>
      <c r="J72">
        <v>136.21804622801901</v>
      </c>
      <c r="K72">
        <v>46.480801380807598</v>
      </c>
      <c r="L72">
        <v>1.2879610894986888E-4</v>
      </c>
      <c r="M72">
        <v>1.6862427728116976E-5</v>
      </c>
      <c r="N72" s="1">
        <v>2.4046688638512201E-6</v>
      </c>
      <c r="O72" s="1">
        <v>7.7632370392062999E-8</v>
      </c>
      <c r="P72" s="1">
        <v>-3.8457667083809401E-7</v>
      </c>
      <c r="Q72">
        <v>74.189563451189301</v>
      </c>
      <c r="R72">
        <v>6.7528809759518693E-2</v>
      </c>
      <c r="S72">
        <v>12.2060290404222</v>
      </c>
      <c r="T72">
        <v>0.15693747696635499</v>
      </c>
      <c r="V72">
        <v>0.36769869932109001</v>
      </c>
      <c r="W72">
        <v>2.3488281655484101E-2</v>
      </c>
      <c r="X72">
        <v>4.8933920115594901E-2</v>
      </c>
      <c r="AA72">
        <v>0.51126884146891005</v>
      </c>
      <c r="AB72">
        <v>3.8092427140347001</v>
      </c>
      <c r="AC72">
        <v>4.4953176885193402</v>
      </c>
      <c r="AD72">
        <v>5.87207041387068E-3</v>
      </c>
      <c r="AE72">
        <v>4.1181190061334698</v>
      </c>
    </row>
    <row r="73" spans="1:31" x14ac:dyDescent="0.2">
      <c r="A73">
        <v>72</v>
      </c>
      <c r="B73">
        <v>786</v>
      </c>
      <c r="C73">
        <v>125</v>
      </c>
      <c r="D73">
        <v>0.47944153330501299</v>
      </c>
      <c r="E73">
        <v>101.327037722181</v>
      </c>
      <c r="F73">
        <v>2.1988208163987299</v>
      </c>
      <c r="G73">
        <v>-1658.7177703232212</v>
      </c>
      <c r="H73">
        <v>-1388.1980833394152</v>
      </c>
      <c r="I73">
        <v>255.41206343181301</v>
      </c>
      <c r="J73">
        <v>134.98556534818101</v>
      </c>
      <c r="K73">
        <v>46.082444265802899</v>
      </c>
      <c r="L73">
        <v>1.2840446906565325E-4</v>
      </c>
      <c r="M73">
        <v>1.6834377671995039E-5</v>
      </c>
      <c r="N73" s="1">
        <v>2.3843788953083498E-6</v>
      </c>
      <c r="O73" s="1">
        <v>7.6711296165425501E-8</v>
      </c>
      <c r="P73" s="1">
        <v>-3.79888722703002E-7</v>
      </c>
      <c r="Q73">
        <v>74.289483722510596</v>
      </c>
      <c r="R73">
        <v>6.8096335934723598E-2</v>
      </c>
      <c r="S73">
        <v>12.1418543319605</v>
      </c>
      <c r="T73">
        <v>0.158591984831426</v>
      </c>
      <c r="V73">
        <v>0.37048696378215801</v>
      </c>
      <c r="W73">
        <v>2.3685682064250702E-2</v>
      </c>
      <c r="X73">
        <v>4.9345170967193201E-2</v>
      </c>
      <c r="AA73">
        <v>0.50016088210231802</v>
      </c>
      <c r="AB73">
        <v>3.7680660461068101</v>
      </c>
      <c r="AC73">
        <v>4.5161496569788202</v>
      </c>
      <c r="AD73">
        <v>5.9214205160622504E-3</v>
      </c>
      <c r="AE73">
        <v>4.1081578022449801</v>
      </c>
    </row>
    <row r="74" spans="1:31" x14ac:dyDescent="0.2">
      <c r="A74">
        <v>73</v>
      </c>
      <c r="B74">
        <v>784</v>
      </c>
      <c r="C74">
        <v>125</v>
      </c>
      <c r="D74">
        <v>0.47832426807926898</v>
      </c>
      <c r="E74">
        <v>100.473573009014</v>
      </c>
      <c r="F74">
        <v>2.1993482823178199</v>
      </c>
      <c r="G74">
        <v>-1644.0412970852315</v>
      </c>
      <c r="H74">
        <v>-1376.7272222686352</v>
      </c>
      <c r="I74">
        <v>252.862956833558</v>
      </c>
      <c r="J74">
        <v>133.75194201469199</v>
      </c>
      <c r="K74">
        <v>45.683338931262199</v>
      </c>
      <c r="L74">
        <v>1.2800937754291823E-4</v>
      </c>
      <c r="M74">
        <v>1.6806397369109275E-5</v>
      </c>
      <c r="N74" s="1">
        <v>2.3639895819602401E-6</v>
      </c>
      <c r="O74" s="1">
        <v>7.5792837601053799E-8</v>
      </c>
      <c r="P74" s="1">
        <v>-3.7519799322038002E-7</v>
      </c>
      <c r="Q74">
        <v>74.390144575836104</v>
      </c>
      <c r="R74">
        <v>6.8674774802534796E-2</v>
      </c>
      <c r="S74">
        <v>12.077420731006301</v>
      </c>
      <c r="T74">
        <v>0.16027721059286601</v>
      </c>
      <c r="V74">
        <v>0.37332982852379998</v>
      </c>
      <c r="W74">
        <v>2.38868781921849E-2</v>
      </c>
      <c r="X74">
        <v>4.97643295670568E-2</v>
      </c>
      <c r="AA74">
        <v>0.48991930344496099</v>
      </c>
      <c r="AB74">
        <v>3.7262825755778302</v>
      </c>
      <c r="AC74">
        <v>4.5361878051648397</v>
      </c>
      <c r="AD74">
        <v>5.97171954804565E-3</v>
      </c>
      <c r="AE74">
        <v>4.0981402677433998</v>
      </c>
    </row>
    <row r="75" spans="1:31" x14ac:dyDescent="0.2">
      <c r="A75">
        <v>74</v>
      </c>
      <c r="B75">
        <v>782</v>
      </c>
      <c r="C75">
        <v>125</v>
      </c>
      <c r="D75">
        <v>0.47720276737904699</v>
      </c>
      <c r="E75">
        <v>99.619320749147803</v>
      </c>
      <c r="F75">
        <v>2.1998783080605002</v>
      </c>
      <c r="G75">
        <v>-1629.3685248177683</v>
      </c>
      <c r="H75">
        <v>-1365.2460795712316</v>
      </c>
      <c r="I75">
        <v>250.317438512569</v>
      </c>
      <c r="J75">
        <v>132.51873316643801</v>
      </c>
      <c r="K75">
        <v>45.284014294852398</v>
      </c>
      <c r="L75">
        <v>1.2761142097123896E-4</v>
      </c>
      <c r="M75">
        <v>1.6778543569912891E-5</v>
      </c>
      <c r="N75" s="1">
        <v>2.3435443100572701E-6</v>
      </c>
      <c r="O75" s="1">
        <v>7.4878327309236998E-8</v>
      </c>
      <c r="P75" s="1">
        <v>-3.7051180654823301E-7</v>
      </c>
      <c r="Q75">
        <v>74.491527164279901</v>
      </c>
      <c r="R75">
        <v>6.9263672429317996E-2</v>
      </c>
      <c r="S75">
        <v>12.0127436246005</v>
      </c>
      <c r="T75">
        <v>0.1619923731722</v>
      </c>
      <c r="V75">
        <v>0.37622457541987903</v>
      </c>
      <c r="W75">
        <v>2.4091712149326601E-2</v>
      </c>
      <c r="X75">
        <v>5.0191066977769698E-2</v>
      </c>
      <c r="AA75">
        <v>0.480509086161857</v>
      </c>
      <c r="AB75">
        <v>3.6840059890119301</v>
      </c>
      <c r="AC75">
        <v>4.5553332771083097</v>
      </c>
      <c r="AD75">
        <v>6.0229280373310101E-3</v>
      </c>
      <c r="AE75">
        <v>4.0880945306516203</v>
      </c>
    </row>
    <row r="76" spans="1:31" x14ac:dyDescent="0.2">
      <c r="A76">
        <v>75</v>
      </c>
      <c r="B76">
        <v>780</v>
      </c>
      <c r="C76">
        <v>125</v>
      </c>
      <c r="D76">
        <v>0.47607700707401701</v>
      </c>
      <c r="E76">
        <v>98.765301460828297</v>
      </c>
      <c r="F76">
        <v>2.2004097017795599</v>
      </c>
      <c r="G76">
        <v>-1614.7166762191139</v>
      </c>
      <c r="H76">
        <v>-1353.7688060103947</v>
      </c>
      <c r="I76">
        <v>247.77844581372</v>
      </c>
      <c r="J76">
        <v>131.287376205481</v>
      </c>
      <c r="K76">
        <v>44.884960005835502</v>
      </c>
      <c r="L76">
        <v>1.272111765614501E-4</v>
      </c>
      <c r="M76">
        <v>1.6750872429048804E-5</v>
      </c>
      <c r="N76" s="1">
        <v>2.32308396614932E-6</v>
      </c>
      <c r="O76" s="1">
        <v>7.3969000771395306E-8</v>
      </c>
      <c r="P76" s="1">
        <v>-3.6583698563978899E-7</v>
      </c>
      <c r="Q76">
        <v>74.593615728288299</v>
      </c>
      <c r="R76">
        <v>6.9862592407889404E-2</v>
      </c>
      <c r="S76">
        <v>11.9478364409224</v>
      </c>
      <c r="T76">
        <v>0.16373672513910401</v>
      </c>
      <c r="V76">
        <v>0.37916858815066501</v>
      </c>
      <c r="W76">
        <v>2.4300032141872902E-2</v>
      </c>
      <c r="X76">
        <v>5.0625066962242601E-2</v>
      </c>
      <c r="AA76">
        <v>0.47189488648322397</v>
      </c>
      <c r="AB76">
        <v>3.6413488992124701</v>
      </c>
      <c r="AC76">
        <v>4.5734875494310403</v>
      </c>
      <c r="AD76">
        <v>6.0750080354673303E-3</v>
      </c>
      <c r="AE76">
        <v>4.0780484828251904</v>
      </c>
    </row>
    <row r="77" spans="1:31" x14ac:dyDescent="0.2">
      <c r="A77">
        <v>76</v>
      </c>
      <c r="B77">
        <v>778</v>
      </c>
      <c r="C77">
        <v>125</v>
      </c>
      <c r="D77">
        <v>0.47494696285021398</v>
      </c>
      <c r="E77">
        <v>95.985862250987793</v>
      </c>
      <c r="F77">
        <v>2.2015619678835798</v>
      </c>
      <c r="G77">
        <v>-1568.1753641953044</v>
      </c>
      <c r="H77">
        <v>-1315.5149099274995</v>
      </c>
      <c r="I77">
        <v>240.36574634239099</v>
      </c>
      <c r="J77">
        <v>127.50396422355399</v>
      </c>
      <c r="K77">
        <v>43.598982745537299</v>
      </c>
      <c r="L77">
        <v>1.2680293720637115E-4</v>
      </c>
      <c r="M77">
        <v>1.6704463009067845E-5</v>
      </c>
      <c r="N77" s="1">
        <v>2.2531477340428601E-6</v>
      </c>
      <c r="O77" s="1">
        <v>7.1509953909702001E-8</v>
      </c>
      <c r="P77" s="1">
        <v>-3.5406965053888003E-7</v>
      </c>
      <c r="Q77">
        <v>74.614960820610506</v>
      </c>
      <c r="R77">
        <v>7.1885586462284601E-2</v>
      </c>
      <c r="S77">
        <v>11.9175452569327</v>
      </c>
      <c r="T77">
        <v>0.168932741007566</v>
      </c>
      <c r="V77">
        <v>0.389738908150285</v>
      </c>
      <c r="W77">
        <v>2.5003682247747901E-2</v>
      </c>
      <c r="X77">
        <v>5.2091004682822302E-2</v>
      </c>
      <c r="AA77">
        <v>0.45994068323007697</v>
      </c>
      <c r="AB77">
        <v>3.5831905053336501</v>
      </c>
      <c r="AC77">
        <v>4.6499824853226297</v>
      </c>
      <c r="AD77">
        <v>6.2509205619355303E-3</v>
      </c>
      <c r="AE77">
        <v>4.0604774054576396</v>
      </c>
    </row>
    <row r="78" spans="1:31" x14ac:dyDescent="0.2">
      <c r="A78">
        <v>77</v>
      </c>
      <c r="B78">
        <v>776</v>
      </c>
      <c r="C78">
        <v>125</v>
      </c>
      <c r="D78">
        <v>0.47381261020826598</v>
      </c>
      <c r="E78">
        <v>89.994916793719497</v>
      </c>
      <c r="F78">
        <v>2.2036690464372799</v>
      </c>
      <c r="G78">
        <v>-1468.6786078886998</v>
      </c>
      <c r="H78">
        <v>-1232.7636757214943</v>
      </c>
      <c r="I78">
        <v>224.862919665639</v>
      </c>
      <c r="J78">
        <v>119.463721254365</v>
      </c>
      <c r="K78">
        <v>40.838671732135097</v>
      </c>
      <c r="L78">
        <v>1.2635068938991756E-4</v>
      </c>
      <c r="M78">
        <v>1.6632569119902808E-5</v>
      </c>
      <c r="N78" s="1">
        <v>2.1025462282573999E-6</v>
      </c>
      <c r="O78" s="1">
        <v>6.6533302031359305E-8</v>
      </c>
      <c r="P78" s="1">
        <v>-3.30370976834719E-7</v>
      </c>
      <c r="Q78">
        <v>74.535594627154197</v>
      </c>
      <c r="R78">
        <v>7.6670997049937198E-2</v>
      </c>
      <c r="S78">
        <v>11.9265854222946</v>
      </c>
      <c r="T78">
        <v>0.18074217259859199</v>
      </c>
      <c r="V78">
        <v>0.41517661541413298</v>
      </c>
      <c r="W78">
        <v>2.6668172886928201E-2</v>
      </c>
      <c r="X78">
        <v>5.5558693514462701E-2</v>
      </c>
      <c r="AA78">
        <v>0.45001060135765297</v>
      </c>
      <c r="AB78">
        <v>3.4956617960544598</v>
      </c>
      <c r="AC78">
        <v>4.7986001312992999</v>
      </c>
      <c r="AD78">
        <v>6.6670432217287101E-3</v>
      </c>
      <c r="AE78">
        <v>4.0320637271538597</v>
      </c>
    </row>
    <row r="79" spans="1:31" x14ac:dyDescent="0.2">
      <c r="A79">
        <v>78</v>
      </c>
      <c r="B79">
        <v>774</v>
      </c>
      <c r="C79">
        <v>125</v>
      </c>
      <c r="D79">
        <v>0.47267392446163797</v>
      </c>
      <c r="E79">
        <v>66.970544708494202</v>
      </c>
      <c r="F79">
        <v>2.2082906205840298</v>
      </c>
      <c r="G79">
        <v>-1090.7949639051105</v>
      </c>
      <c r="H79">
        <v>-915.92298027402728</v>
      </c>
      <c r="I79">
        <v>166.99802667342999</v>
      </c>
      <c r="J79">
        <v>88.8768208494118</v>
      </c>
      <c r="K79">
        <v>30.326870967183801</v>
      </c>
      <c r="L79">
        <v>1.262092549817346E-4</v>
      </c>
      <c r="M79">
        <v>1.6582678691311465E-5</v>
      </c>
      <c r="N79" s="1">
        <v>1.55978945305325E-6</v>
      </c>
      <c r="O79" s="1">
        <v>4.9199641310744597E-8</v>
      </c>
      <c r="P79" s="1">
        <v>-2.44659557525846E-7</v>
      </c>
      <c r="Q79">
        <v>74.301726991389202</v>
      </c>
      <c r="R79">
        <v>0.103030369993782</v>
      </c>
      <c r="S79">
        <v>11.933454689571899</v>
      </c>
      <c r="T79">
        <v>0.242689871702439</v>
      </c>
      <c r="V79">
        <v>0.55808574044797099</v>
      </c>
      <c r="W79">
        <v>3.5836650432601702E-2</v>
      </c>
      <c r="X79">
        <v>7.4659688401335397E-2</v>
      </c>
      <c r="AA79">
        <v>0.48328714082344998</v>
      </c>
      <c r="AB79">
        <v>3.3894695351794302</v>
      </c>
      <c r="AC79">
        <v>4.8583848485200196</v>
      </c>
      <c r="AD79">
        <v>8.9591626081442898E-3</v>
      </c>
      <c r="AE79">
        <v>4.0104153109295799</v>
      </c>
    </row>
    <row r="80" spans="1:31" x14ac:dyDescent="0.2">
      <c r="A80">
        <v>79</v>
      </c>
      <c r="B80">
        <v>772</v>
      </c>
      <c r="C80">
        <v>125</v>
      </c>
      <c r="D80">
        <v>0.47153088073482102</v>
      </c>
      <c r="E80">
        <v>32.123081478870503</v>
      </c>
      <c r="F80">
        <v>2.2132459346647599</v>
      </c>
      <c r="G80">
        <v>-522.57479423095401</v>
      </c>
      <c r="H80">
        <v>-439.05028243653271</v>
      </c>
      <c r="I80">
        <v>79.916291244721904</v>
      </c>
      <c r="J80">
        <v>42.647603056437298</v>
      </c>
      <c r="K80">
        <v>14.514013547137001</v>
      </c>
      <c r="L80">
        <v>1.2589882192175932E-4</v>
      </c>
      <c r="M80">
        <v>1.6526966396210293E-5</v>
      </c>
      <c r="N80" s="1">
        <v>7.4478236009973603E-7</v>
      </c>
      <c r="O80" s="1">
        <v>2.34173435556949E-8</v>
      </c>
      <c r="P80" s="1">
        <v>-1.1635993470853101E-7</v>
      </c>
      <c r="Q80">
        <v>74.023121597393896</v>
      </c>
      <c r="R80">
        <v>0.14948977434050101</v>
      </c>
      <c r="S80">
        <v>12.041987739392599</v>
      </c>
      <c r="T80">
        <v>0.26793244528667198</v>
      </c>
      <c r="V80">
        <v>0.61825955918665298</v>
      </c>
      <c r="W80">
        <v>7.4712633082147498E-2</v>
      </c>
      <c r="X80">
        <v>0.14705989503542799</v>
      </c>
      <c r="AA80">
        <v>0.53995275472274995</v>
      </c>
      <c r="AB80">
        <v>3.2204316398426598</v>
      </c>
      <c r="AC80">
        <v>4.9152020332246398</v>
      </c>
      <c r="AD80">
        <v>1.86781582705162E-2</v>
      </c>
      <c r="AE80">
        <v>3.9831717702214098</v>
      </c>
    </row>
    <row r="81" spans="1:31" x14ac:dyDescent="0.2">
      <c r="A81">
        <v>80</v>
      </c>
      <c r="B81">
        <v>770</v>
      </c>
      <c r="C81">
        <v>125</v>
      </c>
      <c r="D81">
        <v>0.47038345396155901</v>
      </c>
      <c r="E81">
        <v>13.6735286164927</v>
      </c>
      <c r="F81">
        <v>2.2176114414445798</v>
      </c>
      <c r="G81">
        <v>-222.36913417764649</v>
      </c>
      <c r="H81">
        <v>-186.97210235305846</v>
      </c>
      <c r="I81">
        <v>33.9328302013976</v>
      </c>
      <c r="J81">
        <v>18.168090830650002</v>
      </c>
      <c r="K81">
        <v>6.1658811642789697</v>
      </c>
      <c r="L81">
        <v>1.2553677048675733E-4</v>
      </c>
      <c r="M81">
        <v>1.649231603180309E-5</v>
      </c>
      <c r="N81" s="1">
        <v>3.15884740961535E-7</v>
      </c>
      <c r="O81" s="1">
        <v>9.8992027526886008E-9</v>
      </c>
      <c r="P81" s="1">
        <v>-4.9016337308550298E-8</v>
      </c>
      <c r="Q81">
        <v>73.665426151793099</v>
      </c>
      <c r="R81">
        <v>0.199642983392679</v>
      </c>
      <c r="S81">
        <v>12.376428548322201</v>
      </c>
      <c r="T81">
        <v>0.24608096988548001</v>
      </c>
      <c r="V81">
        <v>0.57198927687648105</v>
      </c>
      <c r="W81">
        <v>0.17552162776064101</v>
      </c>
      <c r="X81">
        <v>0.20766145935387401</v>
      </c>
      <c r="AA81">
        <v>0.57149473259261896</v>
      </c>
      <c r="AB81">
        <v>2.9988900480176599</v>
      </c>
      <c r="AC81">
        <v>4.9831514340140002</v>
      </c>
      <c r="AD81">
        <v>4.3880406940103901E-2</v>
      </c>
      <c r="AE81">
        <v>3.95983236105105</v>
      </c>
    </row>
    <row r="82" spans="1:31" x14ac:dyDescent="0.2">
      <c r="A82">
        <v>81</v>
      </c>
      <c r="B82">
        <v>768</v>
      </c>
      <c r="C82">
        <v>125</v>
      </c>
      <c r="D82">
        <v>0.46923161888296799</v>
      </c>
      <c r="E82">
        <v>7.917137257916</v>
      </c>
      <c r="F82">
        <v>2.2216283086875501</v>
      </c>
      <c r="G82">
        <v>-128.69939368852155</v>
      </c>
      <c r="H82">
        <v>-108.28703872813908</v>
      </c>
      <c r="I82">
        <v>19.605585132192701</v>
      </c>
      <c r="J82">
        <v>10.5274300760315</v>
      </c>
      <c r="K82">
        <v>3.5636641948414498</v>
      </c>
      <c r="L82">
        <v>1.2543400891276384E-4</v>
      </c>
      <c r="M82">
        <v>1.6496163889480027E-5</v>
      </c>
      <c r="N82" s="1">
        <v>1.8295664364043401E-7</v>
      </c>
      <c r="O82" s="1">
        <v>5.7127135626062699E-9</v>
      </c>
      <c r="P82" s="1">
        <v>-2.8170466655087499E-8</v>
      </c>
      <c r="Q82">
        <v>73.246196855971306</v>
      </c>
      <c r="R82">
        <v>0.21864816082500099</v>
      </c>
      <c r="S82">
        <v>12.8114966912652</v>
      </c>
      <c r="T82">
        <v>0.234796786710913</v>
      </c>
      <c r="V82">
        <v>0.55122727490386403</v>
      </c>
      <c r="W82">
        <v>0.30100274679148198</v>
      </c>
      <c r="X82">
        <v>0.210370713339183</v>
      </c>
      <c r="AA82">
        <v>0.58157791563398697</v>
      </c>
      <c r="AB82">
        <v>2.79400928441826</v>
      </c>
      <c r="AC82">
        <v>5.0228341981462803</v>
      </c>
      <c r="AD82">
        <v>7.5784968790180499E-2</v>
      </c>
      <c r="AE82">
        <v>3.9520544032042801</v>
      </c>
    </row>
    <row r="83" spans="1:31" x14ac:dyDescent="0.2">
      <c r="A83">
        <v>82</v>
      </c>
      <c r="B83">
        <v>808</v>
      </c>
      <c r="C83">
        <v>100</v>
      </c>
      <c r="D83">
        <v>0.51689451047495805</v>
      </c>
      <c r="E83">
        <v>102.550376860288</v>
      </c>
      <c r="F83">
        <v>2.2020804755921999</v>
      </c>
      <c r="G83">
        <v>-1682.8912817944538</v>
      </c>
      <c r="H83">
        <v>-1403.7440407321265</v>
      </c>
      <c r="I83">
        <v>258.19473806809998</v>
      </c>
      <c r="J83">
        <v>136.42725662926699</v>
      </c>
      <c r="K83">
        <v>46.5697679975612</v>
      </c>
      <c r="L83">
        <v>1.2090984938555689E-4</v>
      </c>
      <c r="M83">
        <v>1.6385680315790254E-5</v>
      </c>
      <c r="N83" s="1">
        <v>2.1016164150068299E-6</v>
      </c>
      <c r="O83" s="1">
        <v>7.18225959938001E-8</v>
      </c>
      <c r="P83" s="1">
        <v>-3.4496265712503698E-7</v>
      </c>
      <c r="Q83">
        <v>74.460964784219996</v>
      </c>
      <c r="R83">
        <v>6.7284004323069399E-2</v>
      </c>
      <c r="S83">
        <v>12.335400792563201</v>
      </c>
      <c r="T83">
        <v>0.15416161840155901</v>
      </c>
      <c r="V83">
        <v>0.36835153688842898</v>
      </c>
      <c r="W83">
        <v>2.34031319384587E-2</v>
      </c>
      <c r="X83">
        <v>4.8756524871789997E-2</v>
      </c>
      <c r="AA83">
        <v>0.52657046861532497</v>
      </c>
      <c r="AB83">
        <v>3.8712680748200499</v>
      </c>
      <c r="AC83">
        <v>4.4953515931789303</v>
      </c>
      <c r="AD83">
        <v>5.8507829846145797E-3</v>
      </c>
      <c r="AE83">
        <v>3.6426366871944502</v>
      </c>
    </row>
    <row r="84" spans="1:31" x14ac:dyDescent="0.2">
      <c r="A84">
        <v>83</v>
      </c>
      <c r="B84">
        <v>806</v>
      </c>
      <c r="C84">
        <v>100</v>
      </c>
      <c r="D84">
        <v>0.51586943427697896</v>
      </c>
      <c r="E84">
        <v>102.277320768332</v>
      </c>
      <c r="F84">
        <v>2.2025374219852898</v>
      </c>
      <c r="G84">
        <v>-1677.8372246756489</v>
      </c>
      <c r="H84">
        <v>-1400.2586828951185</v>
      </c>
      <c r="I84">
        <v>257.21960967477202</v>
      </c>
      <c r="J84">
        <v>136.01963882294001</v>
      </c>
      <c r="K84">
        <v>46.436133047012099</v>
      </c>
      <c r="L84">
        <v>1.2077909404679023E-4</v>
      </c>
      <c r="M84">
        <v>1.6372624341679012E-5</v>
      </c>
      <c r="N84" s="1">
        <v>2.10007199273602E-6</v>
      </c>
      <c r="O84" s="1">
        <v>7.1510115855627106E-8</v>
      </c>
      <c r="P84" s="1">
        <v>-3.4366798241862999E-7</v>
      </c>
      <c r="Q84">
        <v>74.491959839904993</v>
      </c>
      <c r="R84">
        <v>6.7463636592800399E-2</v>
      </c>
      <c r="S84">
        <v>12.314332190423601</v>
      </c>
      <c r="T84">
        <v>0.15495580972640699</v>
      </c>
      <c r="V84">
        <v>0.36899066522763302</v>
      </c>
      <c r="W84">
        <v>2.3465612727930098E-2</v>
      </c>
      <c r="X84">
        <v>4.8886693183189799E-2</v>
      </c>
      <c r="AA84">
        <v>0.522578122794773</v>
      </c>
      <c r="AB84">
        <v>3.85800001532332</v>
      </c>
      <c r="AC84">
        <v>4.5024040983951803</v>
      </c>
      <c r="AD84">
        <v>5.8664031819823104E-3</v>
      </c>
      <c r="AE84">
        <v>3.6410969125181198</v>
      </c>
    </row>
    <row r="85" spans="1:31" x14ac:dyDescent="0.2">
      <c r="A85">
        <v>84</v>
      </c>
      <c r="B85">
        <v>804</v>
      </c>
      <c r="C85">
        <v>100</v>
      </c>
      <c r="D85">
        <v>0.514840551455232</v>
      </c>
      <c r="E85">
        <v>101.470871598122</v>
      </c>
      <c r="F85">
        <v>2.2029498123978399</v>
      </c>
      <c r="G85">
        <v>-1663.9127177279433</v>
      </c>
      <c r="H85">
        <v>-1389.4354701645225</v>
      </c>
      <c r="I85">
        <v>254.81803607985901</v>
      </c>
      <c r="J85">
        <v>134.85757267445001</v>
      </c>
      <c r="K85">
        <v>46.061363280752403</v>
      </c>
      <c r="L85">
        <v>1.2045657541819106E-4</v>
      </c>
      <c r="M85">
        <v>1.6350249809209686E-5</v>
      </c>
      <c r="N85" s="1">
        <v>2.0843611704530401E-6</v>
      </c>
      <c r="O85" s="1">
        <v>7.0729877522956199E-8</v>
      </c>
      <c r="P85" s="1">
        <v>-3.3981207374160898E-7</v>
      </c>
      <c r="Q85">
        <v>74.585418208310003</v>
      </c>
      <c r="R85">
        <v>6.7999810106368797E-2</v>
      </c>
      <c r="S85">
        <v>12.252620098562</v>
      </c>
      <c r="T85">
        <v>0.15649894143901399</v>
      </c>
      <c r="V85">
        <v>0.37164286624883103</v>
      </c>
      <c r="W85">
        <v>2.3652107863084099E-2</v>
      </c>
      <c r="X85">
        <v>4.9275224714761597E-2</v>
      </c>
      <c r="AA85">
        <v>0.51141036640919502</v>
      </c>
      <c r="AB85">
        <v>3.8186750701719001</v>
      </c>
      <c r="AC85">
        <v>4.52285920915803</v>
      </c>
      <c r="AD85">
        <v>5.9130269657707499E-3</v>
      </c>
      <c r="AE85">
        <v>3.6340350700508801</v>
      </c>
    </row>
    <row r="86" spans="1:31" x14ac:dyDescent="0.2">
      <c r="A86">
        <v>85</v>
      </c>
      <c r="B86">
        <v>802</v>
      </c>
      <c r="C86">
        <v>100</v>
      </c>
      <c r="D86">
        <v>0.51380784076640695</v>
      </c>
      <c r="E86">
        <v>100.66354129469499</v>
      </c>
      <c r="F86">
        <v>2.2033661474163502</v>
      </c>
      <c r="G86">
        <v>-1649.9881533779203</v>
      </c>
      <c r="H86">
        <v>-1378.600067578916</v>
      </c>
      <c r="I86">
        <v>252.418812071807</v>
      </c>
      <c r="J86">
        <v>133.69557009493201</v>
      </c>
      <c r="K86">
        <v>45.686252106910302</v>
      </c>
      <c r="L86">
        <v>1.201311762513581E-4</v>
      </c>
      <c r="M86">
        <v>1.6327925733200093E-5</v>
      </c>
      <c r="N86" s="1">
        <v>2.06857595481961E-6</v>
      </c>
      <c r="O86" s="1">
        <v>6.9951987029444701E-8</v>
      </c>
      <c r="P86" s="1">
        <v>-3.3595455049641798E-7</v>
      </c>
      <c r="Q86">
        <v>74.679403616728194</v>
      </c>
      <c r="R86">
        <v>6.8545174461925207E-2</v>
      </c>
      <c r="S86">
        <v>12.1907463277257</v>
      </c>
      <c r="T86">
        <v>0.1580681355272</v>
      </c>
      <c r="V86">
        <v>0.37434088037392799</v>
      </c>
      <c r="W86">
        <v>2.38417998128427E-2</v>
      </c>
      <c r="X86">
        <v>4.9670416276759402E-2</v>
      </c>
      <c r="AA86">
        <v>0.50104135197011401</v>
      </c>
      <c r="AB86">
        <v>3.7787818646560201</v>
      </c>
      <c r="AC86">
        <v>4.54266875741697</v>
      </c>
      <c r="AD86">
        <v>5.9604499532102898E-3</v>
      </c>
      <c r="AE86">
        <v>3.6269312250970702</v>
      </c>
    </row>
    <row r="87" spans="1:31" x14ac:dyDescent="0.2">
      <c r="A87">
        <v>86</v>
      </c>
      <c r="B87">
        <v>800</v>
      </c>
      <c r="C87">
        <v>100</v>
      </c>
      <c r="D87">
        <v>0.51277128080883805</v>
      </c>
      <c r="E87">
        <v>99.856332052506801</v>
      </c>
      <c r="F87">
        <v>2.2037855435275402</v>
      </c>
      <c r="G87">
        <v>-1636.0803701161246</v>
      </c>
      <c r="H87">
        <v>-1367.7663113986405</v>
      </c>
      <c r="I87">
        <v>250.024748373931</v>
      </c>
      <c r="J87">
        <v>132.53502695218299</v>
      </c>
      <c r="K87">
        <v>45.3112746590892</v>
      </c>
      <c r="L87">
        <v>1.1980332177117942E-4</v>
      </c>
      <c r="M87">
        <v>1.6305692028729928E-5</v>
      </c>
      <c r="N87" s="1">
        <v>2.0527483808933801E-6</v>
      </c>
      <c r="O87" s="1">
        <v>6.9177481829472402E-8</v>
      </c>
      <c r="P87" s="1">
        <v>-3.32101035424916E-7</v>
      </c>
      <c r="Q87">
        <v>74.773895391902599</v>
      </c>
      <c r="R87">
        <v>6.9099273507982797E-2</v>
      </c>
      <c r="S87">
        <v>12.128727852311499</v>
      </c>
      <c r="T87">
        <v>0.15966260581660499</v>
      </c>
      <c r="V87">
        <v>0.37708197734787002</v>
      </c>
      <c r="W87">
        <v>2.4034529915818899E-2</v>
      </c>
      <c r="X87">
        <v>5.0071937324628002E-2</v>
      </c>
      <c r="AA87">
        <v>0.49143754127729999</v>
      </c>
      <c r="AB87">
        <v>3.73841629617981</v>
      </c>
      <c r="AC87">
        <v>4.5617599083271099</v>
      </c>
      <c r="AD87">
        <v>6.0086324789542398E-3</v>
      </c>
      <c r="AE87">
        <v>3.6198040536097298</v>
      </c>
    </row>
    <row r="88" spans="1:31" x14ac:dyDescent="0.2">
      <c r="A88">
        <v>87</v>
      </c>
      <c r="B88">
        <v>798</v>
      </c>
      <c r="C88">
        <v>100</v>
      </c>
      <c r="D88">
        <v>0.51173085002101004</v>
      </c>
      <c r="E88">
        <v>99.050181562864395</v>
      </c>
      <c r="F88">
        <v>2.2042071281141502</v>
      </c>
      <c r="G88">
        <v>-1622.2050948009914</v>
      </c>
      <c r="H88">
        <v>-1356.9471511640932</v>
      </c>
      <c r="I88">
        <v>247.63846672912101</v>
      </c>
      <c r="J88">
        <v>131.37724615438199</v>
      </c>
      <c r="K88">
        <v>44.936875622758798</v>
      </c>
      <c r="L88">
        <v>1.1947342869875609E-4</v>
      </c>
      <c r="M88">
        <v>1.6283587745485615E-5</v>
      </c>
      <c r="N88" s="1">
        <v>2.0369087642398801E-6</v>
      </c>
      <c r="O88" s="1">
        <v>6.8407328326352395E-8</v>
      </c>
      <c r="P88" s="1">
        <v>-3.2825680032106597E-7</v>
      </c>
      <c r="Q88">
        <v>74.868874367803798</v>
      </c>
      <c r="R88">
        <v>6.9661659283490496E-2</v>
      </c>
      <c r="S88">
        <v>12.066580487511301</v>
      </c>
      <c r="T88">
        <v>0.16128158143734</v>
      </c>
      <c r="V88">
        <v>0.37986347486956901</v>
      </c>
      <c r="W88">
        <v>2.42301423594736E-2</v>
      </c>
      <c r="X88">
        <v>5.0479463248909298E-2</v>
      </c>
      <c r="AA88">
        <v>0.48256502833652598</v>
      </c>
      <c r="AB88">
        <v>3.6976728453913599</v>
      </c>
      <c r="AC88">
        <v>4.58006151105337</v>
      </c>
      <c r="AD88">
        <v>6.0575355898678501E-3</v>
      </c>
      <c r="AE88">
        <v>3.6126719031149301</v>
      </c>
    </row>
    <row r="89" spans="1:31" x14ac:dyDescent="0.2">
      <c r="A89">
        <v>88</v>
      </c>
      <c r="B89">
        <v>796</v>
      </c>
      <c r="C89">
        <v>100</v>
      </c>
      <c r="D89">
        <v>0.51068652668007097</v>
      </c>
      <c r="E89">
        <v>98.245955217452405</v>
      </c>
      <c r="F89">
        <v>2.2046300460603998</v>
      </c>
      <c r="G89">
        <v>-1608.376815654874</v>
      </c>
      <c r="H89">
        <v>-1346.154542457906</v>
      </c>
      <c r="I89">
        <v>245.262379644547</v>
      </c>
      <c r="J89">
        <v>130.22342715188</v>
      </c>
      <c r="K89">
        <v>44.563465599597599</v>
      </c>
      <c r="L89">
        <v>1.1914190127197992E-4</v>
      </c>
      <c r="M89">
        <v>1.6261650814193653E-5</v>
      </c>
      <c r="N89" s="1">
        <v>2.02108545875746E-6</v>
      </c>
      <c r="O89" s="1">
        <v>6.7642415144331795E-8</v>
      </c>
      <c r="P89" s="1">
        <v>-3.2442672593353601E-7</v>
      </c>
      <c r="Q89">
        <v>74.964323384410903</v>
      </c>
      <c r="R89">
        <v>7.0231898959382894E-2</v>
      </c>
      <c r="S89">
        <v>12.004318591901001</v>
      </c>
      <c r="T89">
        <v>0.16292432112374</v>
      </c>
      <c r="V89">
        <v>0.38268277803775103</v>
      </c>
      <c r="W89">
        <v>2.4428486594566201E-2</v>
      </c>
      <c r="X89">
        <v>5.0892680405354003E-2</v>
      </c>
      <c r="AA89">
        <v>0.47438997451599602</v>
      </c>
      <c r="AB89">
        <v>3.6566437014783499</v>
      </c>
      <c r="AC89">
        <v>4.5975044087753796</v>
      </c>
      <c r="AD89">
        <v>6.10712164864082E-3</v>
      </c>
      <c r="AE89">
        <v>3.6055526521487802</v>
      </c>
    </row>
    <row r="90" spans="1:31" x14ac:dyDescent="0.2">
      <c r="A90">
        <v>89</v>
      </c>
      <c r="B90">
        <v>794</v>
      </c>
      <c r="C90">
        <v>100</v>
      </c>
      <c r="D90">
        <v>0.50963828890034402</v>
      </c>
      <c r="E90">
        <v>97.4444418310039</v>
      </c>
      <c r="F90">
        <v>2.2050534652673202</v>
      </c>
      <c r="G90">
        <v>-1594.6087137638153</v>
      </c>
      <c r="H90">
        <v>-1335.3993877596429</v>
      </c>
      <c r="I90">
        <v>242.89867966468799</v>
      </c>
      <c r="J90">
        <v>129.074660312878</v>
      </c>
      <c r="K90">
        <v>44.1914191042939</v>
      </c>
      <c r="L90">
        <v>1.1880912815887783E-4</v>
      </c>
      <c r="M90">
        <v>1.6239917842572851E-5</v>
      </c>
      <c r="N90" s="1">
        <v>2.0053047067986199E-6</v>
      </c>
      <c r="O90" s="1">
        <v>6.6883549572352296E-8</v>
      </c>
      <c r="P90" s="1">
        <v>-3.2061527933823698E-7</v>
      </c>
      <c r="Q90">
        <v>75.060227607739904</v>
      </c>
      <c r="R90">
        <v>7.0809580006284401E-2</v>
      </c>
      <c r="S90">
        <v>11.941954877449801</v>
      </c>
      <c r="T90">
        <v>0.16459012397199699</v>
      </c>
      <c r="V90">
        <v>0.38553740861642799</v>
      </c>
      <c r="W90">
        <v>2.46294191326187E-2</v>
      </c>
      <c r="X90">
        <v>5.1311289859631001E-2</v>
      </c>
      <c r="AA90">
        <v>0.46687897035256198</v>
      </c>
      <c r="AB90">
        <v>3.6154180627854302</v>
      </c>
      <c r="AC90">
        <v>4.6140217081872503</v>
      </c>
      <c r="AD90">
        <v>6.1573547831537496E-3</v>
      </c>
      <c r="AE90">
        <v>3.5984635971148902</v>
      </c>
    </row>
    <row r="91" spans="1:31" x14ac:dyDescent="0.2">
      <c r="A91">
        <v>90</v>
      </c>
      <c r="B91">
        <v>792</v>
      </c>
      <c r="C91">
        <v>100</v>
      </c>
      <c r="D91">
        <v>0.50858611463174297</v>
      </c>
      <c r="E91">
        <v>96.646352708612994</v>
      </c>
      <c r="F91">
        <v>2.2054765812492501</v>
      </c>
      <c r="G91">
        <v>-1580.9126498408189</v>
      </c>
      <c r="H91">
        <v>-1324.6915229269628</v>
      </c>
      <c r="I91">
        <v>240.54933757109799</v>
      </c>
      <c r="J91">
        <v>127.93192590058101</v>
      </c>
      <c r="K91">
        <v>43.821074107197802</v>
      </c>
      <c r="L91">
        <v>1.1847548021638198E-4</v>
      </c>
      <c r="M91">
        <v>1.6218423949369933E-5</v>
      </c>
      <c r="N91" s="1">
        <v>1.9895905748961201E-6</v>
      </c>
      <c r="O91" s="1">
        <v>6.6131456893112094E-8</v>
      </c>
      <c r="P91" s="1">
        <v>-3.1682650750984098E-7</v>
      </c>
      <c r="Q91">
        <v>75.156574655267505</v>
      </c>
      <c r="R91">
        <v>7.1394313459542502E-2</v>
      </c>
      <c r="S91">
        <v>11.879500332875899</v>
      </c>
      <c r="T91">
        <v>0.16627833638370099</v>
      </c>
      <c r="V91">
        <v>0.38842502339279</v>
      </c>
      <c r="W91">
        <v>2.4832804681577801E-2</v>
      </c>
      <c r="X91">
        <v>5.1735009753297E-2</v>
      </c>
      <c r="AA91">
        <v>0.45999931790356502</v>
      </c>
      <c r="AB91">
        <v>3.5740816019297901</v>
      </c>
      <c r="AC91">
        <v>4.6295490409169497</v>
      </c>
      <c r="AD91">
        <v>6.2082011703933999E-3</v>
      </c>
      <c r="AE91">
        <v>3.5914213622648701</v>
      </c>
    </row>
    <row r="92" spans="1:31" x14ac:dyDescent="0.2">
      <c r="A92">
        <v>91</v>
      </c>
      <c r="B92">
        <v>790</v>
      </c>
      <c r="C92">
        <v>100</v>
      </c>
      <c r="D92">
        <v>0.507529981658283</v>
      </c>
      <c r="E92">
        <v>92.434244993698698</v>
      </c>
      <c r="F92">
        <v>2.2069734529109</v>
      </c>
      <c r="G92">
        <v>-1510.6739285424546</v>
      </c>
      <c r="H92">
        <v>-1266.541560872708</v>
      </c>
      <c r="I92">
        <v>229.631159920751</v>
      </c>
      <c r="J92">
        <v>122.28119702863</v>
      </c>
      <c r="K92">
        <v>41.882807820720302</v>
      </c>
      <c r="L92">
        <v>1.1814979693121625E-4</v>
      </c>
      <c r="M92">
        <v>1.6166258580556839E-5</v>
      </c>
      <c r="N92" s="1">
        <v>1.8974118825352401E-6</v>
      </c>
      <c r="O92" s="1">
        <v>6.2875239001962197E-8</v>
      </c>
      <c r="P92" s="1">
        <v>-3.01964946875951E-7</v>
      </c>
      <c r="Q92">
        <v>75.113907924867405</v>
      </c>
      <c r="R92">
        <v>7.46476589977111E-2</v>
      </c>
      <c r="S92">
        <v>11.874872545397899</v>
      </c>
      <c r="T92">
        <v>0.174361208269561</v>
      </c>
      <c r="V92">
        <v>0.40566993263977702</v>
      </c>
      <c r="W92">
        <v>2.5964403129633599E-2</v>
      </c>
      <c r="X92">
        <v>5.4092506520092801E-2</v>
      </c>
      <c r="AA92">
        <v>0.449199967750047</v>
      </c>
      <c r="AB92">
        <v>3.5031407045756899</v>
      </c>
      <c r="AC92">
        <v>4.7448129355381496</v>
      </c>
      <c r="AD92">
        <v>6.4911007824058698E-3</v>
      </c>
      <c r="AE92">
        <v>3.5728391115315001</v>
      </c>
    </row>
    <row r="93" spans="1:31" x14ac:dyDescent="0.2">
      <c r="A93">
        <v>92</v>
      </c>
      <c r="B93">
        <v>788</v>
      </c>
      <c r="C93">
        <v>100</v>
      </c>
      <c r="D93">
        <v>0.50646986759647905</v>
      </c>
      <c r="E93">
        <v>85.825307558153398</v>
      </c>
      <c r="F93">
        <v>2.20908118314482</v>
      </c>
      <c r="G93">
        <v>-1401.0969367868036</v>
      </c>
      <c r="H93">
        <v>-1175.3238851461886</v>
      </c>
      <c r="I93">
        <v>212.76261757585101</v>
      </c>
      <c r="J93">
        <v>113.468691757253</v>
      </c>
      <c r="K93">
        <v>38.851133318682997</v>
      </c>
      <c r="L93">
        <v>1.1779757442561199E-4</v>
      </c>
      <c r="M93">
        <v>1.6102886582095217E-5</v>
      </c>
      <c r="N93" s="1">
        <v>1.75421483504211E-6</v>
      </c>
      <c r="O93" s="1">
        <v>5.79615644772976E-8</v>
      </c>
      <c r="P93" s="1">
        <v>-2.7920754439516602E-7</v>
      </c>
      <c r="Q93">
        <v>75.022619091950403</v>
      </c>
      <c r="R93">
        <v>8.0395866863926704E-2</v>
      </c>
      <c r="S93">
        <v>11.884738979174401</v>
      </c>
      <c r="T93">
        <v>0.18830221378186901</v>
      </c>
      <c r="V93">
        <v>0.43644548976592801</v>
      </c>
      <c r="W93">
        <v>2.79637797787484E-2</v>
      </c>
      <c r="X93">
        <v>5.8257874539099898E-2</v>
      </c>
      <c r="AA93">
        <v>0.44657083270748599</v>
      </c>
      <c r="AB93">
        <v>3.4104063772992901</v>
      </c>
      <c r="AC93">
        <v>4.8879400349162099</v>
      </c>
      <c r="AD93">
        <v>6.9909449446820702E-3</v>
      </c>
      <c r="AE93">
        <v>3.54936851427779</v>
      </c>
    </row>
    <row r="94" spans="1:31" x14ac:dyDescent="0.2">
      <c r="A94">
        <v>93</v>
      </c>
      <c r="B94">
        <v>786</v>
      </c>
      <c r="C94">
        <v>100</v>
      </c>
      <c r="D94">
        <v>0.50540574989378495</v>
      </c>
      <c r="E94">
        <v>67.2138533574891</v>
      </c>
      <c r="F94">
        <v>2.2132011105375802</v>
      </c>
      <c r="G94">
        <v>-1095.3309741147552</v>
      </c>
      <c r="H94">
        <v>-919.19983010084024</v>
      </c>
      <c r="I94">
        <v>166.29480622566601</v>
      </c>
      <c r="J94">
        <v>88.838075500413197</v>
      </c>
      <c r="K94">
        <v>30.369519081419099</v>
      </c>
      <c r="L94">
        <v>1.176523385709797E-4</v>
      </c>
      <c r="M94">
        <v>1.6054664560310609E-5</v>
      </c>
      <c r="N94" s="1">
        <v>1.3695133557316099E-6</v>
      </c>
      <c r="O94" s="1">
        <v>4.5109469053413002E-8</v>
      </c>
      <c r="P94" s="1">
        <v>-2.17656749323382E-7</v>
      </c>
      <c r="Q94">
        <v>74.811803536169606</v>
      </c>
      <c r="R94">
        <v>0.102657408485459</v>
      </c>
      <c r="S94">
        <v>11.8952661381811</v>
      </c>
      <c r="T94">
        <v>0.240353085709713</v>
      </c>
      <c r="V94">
        <v>0.55737768180413105</v>
      </c>
      <c r="W94">
        <v>3.57069246905743E-2</v>
      </c>
      <c r="X94">
        <v>7.4389426438789499E-2</v>
      </c>
      <c r="AA94">
        <v>0.48251872594351403</v>
      </c>
      <c r="AB94">
        <v>3.30050007474355</v>
      </c>
      <c r="AC94">
        <v>4.9603564343133</v>
      </c>
      <c r="AD94">
        <v>8.9267311726334998E-3</v>
      </c>
      <c r="AE94">
        <v>3.5301438323474699</v>
      </c>
    </row>
    <row r="95" spans="1:31" x14ac:dyDescent="0.2">
      <c r="A95">
        <v>94</v>
      </c>
      <c r="B95">
        <v>784</v>
      </c>
      <c r="C95">
        <v>100</v>
      </c>
      <c r="D95">
        <v>0.50433760582698905</v>
      </c>
      <c r="E95">
        <v>40.470486002811803</v>
      </c>
      <c r="F95">
        <v>2.21793696126471</v>
      </c>
      <c r="G95">
        <v>-658.50409597130181</v>
      </c>
      <c r="H95">
        <v>-552.86662284950205</v>
      </c>
      <c r="I95">
        <v>99.926664259376395</v>
      </c>
      <c r="J95">
        <v>53.499736794685802</v>
      </c>
      <c r="K95">
        <v>18.246905439429</v>
      </c>
      <c r="L95">
        <v>1.1751065487271964E-4</v>
      </c>
      <c r="M95">
        <v>1.6010474117882704E-5</v>
      </c>
      <c r="N95" s="1">
        <v>8.2198998948474005E-7</v>
      </c>
      <c r="O95" s="1">
        <v>2.69883939982038E-8</v>
      </c>
      <c r="P95" s="1">
        <v>-1.3023076424180301E-7</v>
      </c>
      <c r="Q95">
        <v>74.548434285629199</v>
      </c>
      <c r="R95">
        <v>0.14237929659788401</v>
      </c>
      <c r="S95">
        <v>11.9551492251796</v>
      </c>
      <c r="T95">
        <v>0.28340441192770099</v>
      </c>
      <c r="V95">
        <v>0.65897659318191104</v>
      </c>
      <c r="W95">
        <v>5.9302475384951203E-2</v>
      </c>
      <c r="X95">
        <v>0.119846929308009</v>
      </c>
      <c r="AA95">
        <v>0.53751559373422997</v>
      </c>
      <c r="AB95">
        <v>3.16270705748197</v>
      </c>
      <c r="AC95">
        <v>5.0065738325980504</v>
      </c>
      <c r="AD95">
        <v>1.4825618846219401E-2</v>
      </c>
      <c r="AE95">
        <v>3.5108846801301699</v>
      </c>
    </row>
    <row r="96" spans="1:31" x14ac:dyDescent="0.2">
      <c r="A96">
        <v>95</v>
      </c>
      <c r="B96">
        <v>782</v>
      </c>
      <c r="C96">
        <v>100</v>
      </c>
      <c r="D96">
        <v>0.50326541250059598</v>
      </c>
      <c r="E96">
        <v>19.7263963460253</v>
      </c>
      <c r="F96">
        <v>2.22168342697822</v>
      </c>
      <c r="G96">
        <v>-320.89889704509102</v>
      </c>
      <c r="H96">
        <v>-269.62017366535468</v>
      </c>
      <c r="I96">
        <v>48.5985152629829</v>
      </c>
      <c r="J96">
        <v>26.101303142366401</v>
      </c>
      <c r="K96">
        <v>8.87903114660031</v>
      </c>
      <c r="L96">
        <v>1.171665507059335E-4</v>
      </c>
      <c r="M96">
        <v>1.5964311533641845E-5</v>
      </c>
      <c r="N96" s="1">
        <v>3.9911245674117399E-7</v>
      </c>
      <c r="O96" s="1">
        <v>1.3062034021012699E-8</v>
      </c>
      <c r="P96" s="1">
        <v>-6.28958805494314E-8</v>
      </c>
      <c r="Q96">
        <v>74.288696635948398</v>
      </c>
      <c r="R96">
        <v>0.18256744915255699</v>
      </c>
      <c r="S96">
        <v>12.152275150629601</v>
      </c>
      <c r="T96">
        <v>0.26329823883103798</v>
      </c>
      <c r="V96">
        <v>0.61448132051846205</v>
      </c>
      <c r="W96">
        <v>0.12166439109808</v>
      </c>
      <c r="X96">
        <v>0.22675341738774599</v>
      </c>
      <c r="AA96">
        <v>0.58203597614310898</v>
      </c>
      <c r="AB96">
        <v>2.9772386088465002</v>
      </c>
      <c r="AC96">
        <v>5.0712446923930496</v>
      </c>
      <c r="AD96">
        <v>3.04160977744737E-2</v>
      </c>
      <c r="AE96">
        <v>3.4893280212768598</v>
      </c>
    </row>
    <row r="97" spans="1:31" x14ac:dyDescent="0.2">
      <c r="A97">
        <v>96</v>
      </c>
      <c r="B97">
        <v>780</v>
      </c>
      <c r="C97">
        <v>100</v>
      </c>
      <c r="D97">
        <v>0.50218914684517901</v>
      </c>
      <c r="E97">
        <v>10.057234878967099</v>
      </c>
      <c r="F97">
        <v>2.22571263620434</v>
      </c>
      <c r="G97">
        <v>-163.53946907865992</v>
      </c>
      <c r="H97">
        <v>-137.50549659163349</v>
      </c>
      <c r="I97">
        <v>24.720099213812301</v>
      </c>
      <c r="J97">
        <v>13.3148657343802</v>
      </c>
      <c r="K97">
        <v>4.5186583008839696</v>
      </c>
      <c r="L97">
        <v>1.1695143085149673E-4</v>
      </c>
      <c r="M97">
        <v>1.5953258133551936E-5</v>
      </c>
      <c r="N97" s="1">
        <v>2.0312976207184499E-7</v>
      </c>
      <c r="O97" s="1">
        <v>6.6256226029146897E-9</v>
      </c>
      <c r="P97" s="1">
        <v>-3.1757808821610898E-8</v>
      </c>
      <c r="Q97">
        <v>73.891746917524202</v>
      </c>
      <c r="R97">
        <v>0.23227820757786599</v>
      </c>
      <c r="S97">
        <v>12.558191131225099</v>
      </c>
      <c r="T97">
        <v>0.24440055163983801</v>
      </c>
      <c r="V97">
        <v>0.57541998658930804</v>
      </c>
      <c r="W97">
        <v>0.23863418015796101</v>
      </c>
      <c r="X97">
        <v>0.225748458362445</v>
      </c>
      <c r="AA97">
        <v>0.60094028261085997</v>
      </c>
      <c r="AB97">
        <v>2.7600364300996998</v>
      </c>
      <c r="AC97">
        <v>5.1376051257751403</v>
      </c>
      <c r="AD97">
        <v>5.9658545039386501E-2</v>
      </c>
      <c r="AE97">
        <v>3.4753401833980901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7E924-FE09-4E76-9A93-975FFC4AD95E}">
  <sheetPr codeName="Sheet5"/>
  <dimension ref="A1:P97"/>
  <sheetViews>
    <sheetView workbookViewId="0"/>
  </sheetViews>
  <sheetFormatPr defaultRowHeight="15" x14ac:dyDescent="0.2"/>
  <sheetData>
    <row r="1" spans="1:1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">
      <c r="A2">
        <v>1</v>
      </c>
      <c r="B2">
        <v>758</v>
      </c>
      <c r="C2">
        <v>300</v>
      </c>
      <c r="D2">
        <v>0.27672065169955901</v>
      </c>
      <c r="E2">
        <v>3.68316748427719</v>
      </c>
      <c r="F2">
        <v>0.57884346008014098</v>
      </c>
      <c r="G2">
        <v>-79.681493587649854</v>
      </c>
      <c r="H2">
        <v>-46.90374693150634</v>
      </c>
      <c r="I2">
        <v>31.789608098482599</v>
      </c>
      <c r="J2">
        <v>14.087365237812801</v>
      </c>
      <c r="K2">
        <v>6.3629767601887703</v>
      </c>
      <c r="L2">
        <v>1.1170241678359536E-3</v>
      </c>
      <c r="M2">
        <v>1.6812079328550452E-4</v>
      </c>
      <c r="N2" s="1">
        <v>4.6637559895894803E-6</v>
      </c>
      <c r="O2" s="1">
        <v>7.7147300563144798E-7</v>
      </c>
      <c r="P2" s="1">
        <v>-3.1199673286730399E-6</v>
      </c>
    </row>
    <row r="3" spans="1:16" x14ac:dyDescent="0.2">
      <c r="A3">
        <v>2</v>
      </c>
      <c r="B3">
        <v>756</v>
      </c>
      <c r="C3">
        <v>300</v>
      </c>
      <c r="D3">
        <v>0.27517903123937498</v>
      </c>
      <c r="E3">
        <v>3.8651671528645801</v>
      </c>
      <c r="F3">
        <v>0.60069908637081004</v>
      </c>
      <c r="G3">
        <v>-82.640175213496875</v>
      </c>
      <c r="H3">
        <v>-49.512729933654008</v>
      </c>
      <c r="I3">
        <v>32.1911860285337</v>
      </c>
      <c r="J3">
        <v>14.3371878932392</v>
      </c>
      <c r="K3">
        <v>6.4344481963780202</v>
      </c>
      <c r="L3">
        <v>1.1063432971229479E-3</v>
      </c>
      <c r="M3">
        <v>1.657744946967835E-4</v>
      </c>
      <c r="N3" s="1">
        <v>4.7386395406983199E-6</v>
      </c>
      <c r="O3" s="1">
        <v>7.6834124649230903E-7</v>
      </c>
      <c r="P3" s="1">
        <v>-3.12496873349568E-6</v>
      </c>
    </row>
    <row r="4" spans="1:16" x14ac:dyDescent="0.2">
      <c r="A4">
        <v>3</v>
      </c>
      <c r="B4">
        <v>754</v>
      </c>
      <c r="C4">
        <v>300</v>
      </c>
      <c r="D4">
        <v>0.27363140729202201</v>
      </c>
      <c r="E4">
        <v>4.3224608111317897</v>
      </c>
      <c r="F4">
        <v>0.65167845131892699</v>
      </c>
      <c r="G4">
        <v>-90.157035784328642</v>
      </c>
      <c r="H4">
        <v>-56.03010513806106</v>
      </c>
      <c r="I4">
        <v>33.226947037381301</v>
      </c>
      <c r="J4">
        <v>14.9436453089202</v>
      </c>
      <c r="K4">
        <v>6.6328122441114798</v>
      </c>
      <c r="L4">
        <v>1.0790092422644727E-3</v>
      </c>
      <c r="M4">
        <v>1.6097936839758358E-4</v>
      </c>
      <c r="N4" s="1">
        <v>4.8323497656614602E-6</v>
      </c>
      <c r="O4" s="1">
        <v>7.6810092940756503E-7</v>
      </c>
      <c r="P4" s="1">
        <v>-3.1417749513566102E-6</v>
      </c>
    </row>
    <row r="5" spans="1:16" x14ac:dyDescent="0.2">
      <c r="A5">
        <v>4</v>
      </c>
      <c r="B5">
        <v>752</v>
      </c>
      <c r="C5">
        <v>300</v>
      </c>
      <c r="D5">
        <v>0.27207774472028401</v>
      </c>
      <c r="E5">
        <v>4.77519433486402</v>
      </c>
      <c r="F5">
        <v>0.699275432534046</v>
      </c>
      <c r="G5">
        <v>-97.593676171411659</v>
      </c>
      <c r="H5">
        <v>-62.485295352341112</v>
      </c>
      <c r="I5">
        <v>34.2491565278171</v>
      </c>
      <c r="J5">
        <v>15.5437845144144</v>
      </c>
      <c r="K5">
        <v>6.8287746325644401</v>
      </c>
      <c r="L5">
        <v>1.0535028524057701E-3</v>
      </c>
      <c r="M5">
        <v>1.5649258320603454E-4</v>
      </c>
      <c r="N5" s="1">
        <v>4.9265319414985999E-6</v>
      </c>
      <c r="O5" s="1">
        <v>7.6772144194024896E-7</v>
      </c>
      <c r="P5" s="1">
        <v>-3.1581211516594199E-6</v>
      </c>
    </row>
    <row r="6" spans="1:16" x14ac:dyDescent="0.2">
      <c r="A6">
        <v>5</v>
      </c>
      <c r="B6">
        <v>750</v>
      </c>
      <c r="C6">
        <v>300</v>
      </c>
      <c r="D6">
        <v>0.270518008112205</v>
      </c>
      <c r="E6">
        <v>5.2234439503271304</v>
      </c>
      <c r="F6">
        <v>0.743828614636454</v>
      </c>
      <c r="G6">
        <v>-104.95143510310275</v>
      </c>
      <c r="H6">
        <v>-68.879344660442229</v>
      </c>
      <c r="I6">
        <v>35.258023010663599</v>
      </c>
      <c r="J6">
        <v>16.137703100366299</v>
      </c>
      <c r="K6">
        <v>7.0223756488315301</v>
      </c>
      <c r="L6">
        <v>1.0296402618497106E-3</v>
      </c>
      <c r="M6">
        <v>1.5228333217323056E-4</v>
      </c>
      <c r="N6" s="1">
        <v>5.0211678196371997E-6</v>
      </c>
      <c r="O6" s="1">
        <v>7.6720551580497398E-7</v>
      </c>
      <c r="P6" s="1">
        <v>-3.17400938042308E-6</v>
      </c>
    </row>
    <row r="7" spans="1:16" x14ac:dyDescent="0.2">
      <c r="A7">
        <v>6</v>
      </c>
      <c r="B7">
        <v>748</v>
      </c>
      <c r="C7">
        <v>300</v>
      </c>
      <c r="D7">
        <v>0.26895216177838999</v>
      </c>
      <c r="E7">
        <v>5.6672842580308096</v>
      </c>
      <c r="F7">
        <v>0.78563287114652702</v>
      </c>
      <c r="G7">
        <v>-112.2316226297104</v>
      </c>
      <c r="H7">
        <v>-75.213274915963282</v>
      </c>
      <c r="I7">
        <v>36.253750316055999</v>
      </c>
      <c r="J7">
        <v>16.7254964125556</v>
      </c>
      <c r="K7">
        <v>7.2136547058681</v>
      </c>
      <c r="L7">
        <v>1.0072613394553681E-3</v>
      </c>
      <c r="M7">
        <v>1.4832478752699831E-4</v>
      </c>
      <c r="N7" s="1">
        <v>5.1162389279099096E-6</v>
      </c>
      <c r="O7" s="1">
        <v>7.6655584420152101E-7</v>
      </c>
      <c r="P7" s="1">
        <v>-3.18944164659673E-6</v>
      </c>
    </row>
    <row r="8" spans="1:16" x14ac:dyDescent="0.2">
      <c r="A8">
        <v>7</v>
      </c>
      <c r="B8">
        <v>746</v>
      </c>
      <c r="C8">
        <v>300</v>
      </c>
      <c r="D8">
        <v>0.26738016974930101</v>
      </c>
      <c r="E8">
        <v>6.1067882738224704</v>
      </c>
      <c r="F8">
        <v>0.82494619811572001</v>
      </c>
      <c r="G8">
        <v>-119.43552084817682</v>
      </c>
      <c r="H8">
        <v>-81.48808630324568</v>
      </c>
      <c r="I8">
        <v>37.236537708032699</v>
      </c>
      <c r="J8">
        <v>17.307257606173401</v>
      </c>
      <c r="K8">
        <v>7.4026503640736001</v>
      </c>
      <c r="L8">
        <v>9.8622597825839819E-4</v>
      </c>
      <c r="M8">
        <v>1.445934785928018E-4</v>
      </c>
      <c r="N8" s="1">
        <v>5.2117265732264798E-6</v>
      </c>
      <c r="O8" s="1">
        <v>7.6577508285245795E-7</v>
      </c>
      <c r="P8" s="1">
        <v>-3.2044199250647598E-6</v>
      </c>
    </row>
    <row r="9" spans="1:16" x14ac:dyDescent="0.2">
      <c r="A9">
        <v>8</v>
      </c>
      <c r="B9">
        <v>744</v>
      </c>
      <c r="C9">
        <v>300</v>
      </c>
      <c r="D9">
        <v>0.26580199577250502</v>
      </c>
      <c r="E9">
        <v>6.5420274720179403</v>
      </c>
      <c r="F9">
        <v>0.86199530497579602</v>
      </c>
      <c r="G9">
        <v>-126.56438465686384</v>
      </c>
      <c r="H9">
        <v>-87.704757928711487</v>
      </c>
      <c r="I9">
        <v>38.206580000337702</v>
      </c>
      <c r="J9">
        <v>17.883077701541598</v>
      </c>
      <c r="K9">
        <v>7.5894003531743497</v>
      </c>
      <c r="L9">
        <v>9.6641105986208309E-4</v>
      </c>
      <c r="M9">
        <v>1.4106878284980326E-4</v>
      </c>
      <c r="N9" s="1">
        <v>5.3076118440482199E-6</v>
      </c>
      <c r="O9" s="1">
        <v>7.6486585094888302E-7</v>
      </c>
      <c r="P9" s="1">
        <v>-3.21894615935974E-6</v>
      </c>
    </row>
    <row r="10" spans="1:16" x14ac:dyDescent="0.2">
      <c r="A10">
        <v>9</v>
      </c>
      <c r="B10">
        <v>742</v>
      </c>
      <c r="C10">
        <v>300</v>
      </c>
      <c r="D10">
        <v>0.264217603309855</v>
      </c>
      <c r="E10">
        <v>6.9730718332133002</v>
      </c>
      <c r="F10">
        <v>0.89698021866032895</v>
      </c>
      <c r="G10">
        <v>-133.61944258822521</v>
      </c>
      <c r="H10">
        <v>-93.86424847887632</v>
      </c>
      <c r="I10">
        <v>39.164067684635803</v>
      </c>
      <c r="J10">
        <v>18.4530456467911</v>
      </c>
      <c r="K10">
        <v>7.77394159664727</v>
      </c>
      <c r="L10">
        <v>9.4770795457016976E-4</v>
      </c>
      <c r="M10">
        <v>1.37732506813502E-4</v>
      </c>
      <c r="N10" s="1">
        <v>5.40387561388284E-6</v>
      </c>
      <c r="O10" s="1">
        <v>7.6383073218773203E-7</v>
      </c>
      <c r="P10" s="1">
        <v>-3.2330222648472198E-6</v>
      </c>
    </row>
    <row r="11" spans="1:16" x14ac:dyDescent="0.2">
      <c r="A11">
        <v>10</v>
      </c>
      <c r="B11">
        <v>740</v>
      </c>
      <c r="C11">
        <v>300</v>
      </c>
      <c r="D11">
        <v>0.26262695553471999</v>
      </c>
      <c r="E11">
        <v>7.3999898802197599</v>
      </c>
      <c r="F11">
        <v>0.93007809726718704</v>
      </c>
      <c r="G11">
        <v>-140.60189744223268</v>
      </c>
      <c r="H11">
        <v>-99.967496710738317</v>
      </c>
      <c r="I11">
        <v>40.109187029033997</v>
      </c>
      <c r="J11">
        <v>19.017248364390898</v>
      </c>
      <c r="K11">
        <v>7.9563102302514901</v>
      </c>
      <c r="L11">
        <v>9.3002045073434909E-4</v>
      </c>
      <c r="M11">
        <v>1.3456853886848865E-4</v>
      </c>
      <c r="N11" s="1">
        <v>5.5004985438207999E-6</v>
      </c>
      <c r="O11" s="1">
        <v>7.6267227560681804E-7</v>
      </c>
      <c r="P11" s="1">
        <v>-3.2466501311501902E-6</v>
      </c>
    </row>
    <row r="12" spans="1:16" x14ac:dyDescent="0.2">
      <c r="A12">
        <v>11</v>
      </c>
      <c r="B12">
        <v>738</v>
      </c>
      <c r="C12">
        <v>300</v>
      </c>
      <c r="D12">
        <v>0.26103001532908299</v>
      </c>
      <c r="E12">
        <v>11.6124265388572</v>
      </c>
      <c r="F12">
        <v>1.17078790812712</v>
      </c>
      <c r="G12">
        <v>-208.94966057926916</v>
      </c>
      <c r="H12">
        <v>-158.28310415331882</v>
      </c>
      <c r="I12">
        <v>50.110188834069199</v>
      </c>
      <c r="J12">
        <v>24.6340454153035</v>
      </c>
      <c r="K12">
        <v>9.9184715337838298</v>
      </c>
      <c r="L12">
        <v>7.9421940725206484E-4</v>
      </c>
      <c r="M12">
        <v>1.1423724619811755E-4</v>
      </c>
      <c r="N12" s="1">
        <v>5.8863644134939901E-6</v>
      </c>
      <c r="O12" s="1">
        <v>8.0438886595295805E-7</v>
      </c>
      <c r="P12" s="1">
        <v>-3.4437764161909E-6</v>
      </c>
    </row>
    <row r="13" spans="1:16" x14ac:dyDescent="0.2">
      <c r="A13">
        <v>12</v>
      </c>
      <c r="B13">
        <v>736</v>
      </c>
      <c r="C13">
        <v>300</v>
      </c>
      <c r="D13">
        <v>0.25942674528068399</v>
      </c>
      <c r="E13">
        <v>37.413967542501901</v>
      </c>
      <c r="F13">
        <v>1.6799889499993801</v>
      </c>
      <c r="G13">
        <v>-630.54287861291402</v>
      </c>
      <c r="H13">
        <v>-516.12625250243775</v>
      </c>
      <c r="I13">
        <v>113.382519812071</v>
      </c>
      <c r="J13">
        <v>59.9238944432512</v>
      </c>
      <c r="K13">
        <v>22.270365255983101</v>
      </c>
      <c r="L13">
        <v>5.0828443456910598E-4</v>
      </c>
      <c r="M13">
        <v>7.2225808556161322E-5</v>
      </c>
      <c r="N13" s="1">
        <v>8.1498878761696499E-6</v>
      </c>
      <c r="O13" s="1">
        <v>1.13081672265873E-6</v>
      </c>
      <c r="P13" s="1">
        <v>-4.8679531610313898E-6</v>
      </c>
    </row>
    <row r="14" spans="1:16" x14ac:dyDescent="0.2">
      <c r="A14">
        <v>13</v>
      </c>
      <c r="B14">
        <v>734</v>
      </c>
      <c r="C14">
        <v>300</v>
      </c>
      <c r="D14">
        <v>0.25781710768008598</v>
      </c>
      <c r="E14">
        <v>92.564137783264599</v>
      </c>
      <c r="F14">
        <v>1.90313160728356</v>
      </c>
      <c r="G14">
        <v>-1529.5586757110818</v>
      </c>
      <c r="H14">
        <v>-1278.3931275024245</v>
      </c>
      <c r="I14">
        <v>249.38783627761299</v>
      </c>
      <c r="J14">
        <v>136.165170519969</v>
      </c>
      <c r="K14">
        <v>48.637801731108802</v>
      </c>
      <c r="L14">
        <v>3.8130244186841775E-4</v>
      </c>
      <c r="M14">
        <v>5.3610489737731349E-5</v>
      </c>
      <c r="N14" s="1">
        <v>1.2916756289744001E-5</v>
      </c>
      <c r="O14" s="1">
        <v>1.8163832187192099E-6</v>
      </c>
      <c r="P14" s="1">
        <v>-7.8624820809903008E-6</v>
      </c>
    </row>
    <row r="15" spans="1:16" x14ac:dyDescent="0.2">
      <c r="A15">
        <v>14</v>
      </c>
      <c r="B15">
        <v>732</v>
      </c>
      <c r="C15">
        <v>300</v>
      </c>
      <c r="D15">
        <v>0.256201064517732</v>
      </c>
      <c r="E15">
        <v>102.237662337769</v>
      </c>
      <c r="F15">
        <v>1.92207835547341</v>
      </c>
      <c r="G15">
        <v>-1686.529596493265</v>
      </c>
      <c r="H15">
        <v>-1412.2460696770704</v>
      </c>
      <c r="I15">
        <v>272.88392277777899</v>
      </c>
      <c r="J15">
        <v>149.63804429349901</v>
      </c>
      <c r="K15">
        <v>53.191204222570697</v>
      </c>
      <c r="L15">
        <v>3.703121126483669E-4</v>
      </c>
      <c r="M15">
        <v>5.1805633648690589E-5</v>
      </c>
      <c r="N15" s="1">
        <v>1.38011292469821E-5</v>
      </c>
      <c r="O15" s="1">
        <v>1.9150369172183802E-6</v>
      </c>
      <c r="P15" s="1">
        <v>-8.3370100049239099E-6</v>
      </c>
    </row>
    <row r="16" spans="1:16" x14ac:dyDescent="0.2">
      <c r="A16">
        <v>15</v>
      </c>
      <c r="B16">
        <v>758</v>
      </c>
      <c r="C16">
        <v>275</v>
      </c>
      <c r="D16">
        <v>0.303389904475587</v>
      </c>
      <c r="E16">
        <v>4.1067567843133599</v>
      </c>
      <c r="F16">
        <v>0.55326323210226602</v>
      </c>
      <c r="G16">
        <v>-89.026745607478475</v>
      </c>
      <c r="H16">
        <v>-52.262963497439507</v>
      </c>
      <c r="I16">
        <v>35.6554645283951</v>
      </c>
      <c r="J16">
        <v>15.8485315230577</v>
      </c>
      <c r="K16">
        <v>7.4227899958373902</v>
      </c>
      <c r="L16">
        <v>1.1987485172768263E-3</v>
      </c>
      <c r="M16">
        <v>1.9460985494651061E-4</v>
      </c>
      <c r="N16" s="1">
        <v>5.7326180073492501E-6</v>
      </c>
      <c r="O16" s="1">
        <v>1.1757953029413699E-6</v>
      </c>
      <c r="P16" s="1">
        <v>-4.3504054304921104E-6</v>
      </c>
    </row>
    <row r="17" spans="1:16" x14ac:dyDescent="0.2">
      <c r="A17">
        <v>16</v>
      </c>
      <c r="B17">
        <v>756</v>
      </c>
      <c r="C17">
        <v>275</v>
      </c>
      <c r="D17">
        <v>0.30190011174270298</v>
      </c>
      <c r="E17">
        <v>4.2240423048846099</v>
      </c>
      <c r="F17">
        <v>0.56609507794826797</v>
      </c>
      <c r="G17">
        <v>-90.908043859953224</v>
      </c>
      <c r="H17">
        <v>-53.957803591365575</v>
      </c>
      <c r="I17">
        <v>35.905936658629003</v>
      </c>
      <c r="J17">
        <v>16.018265155208599</v>
      </c>
      <c r="K17">
        <v>7.4617188338645404</v>
      </c>
      <c r="L17">
        <v>1.1931277256762962E-3</v>
      </c>
      <c r="M17">
        <v>1.9278870146176405E-4</v>
      </c>
      <c r="N17" s="1">
        <v>5.8321720736008704E-6</v>
      </c>
      <c r="O17" s="1">
        <v>1.16981183505268E-6</v>
      </c>
      <c r="P17" s="1">
        <v>-4.3542941745820398E-6</v>
      </c>
    </row>
    <row r="18" spans="1:16" x14ac:dyDescent="0.2">
      <c r="A18">
        <v>17</v>
      </c>
      <c r="B18">
        <v>754</v>
      </c>
      <c r="C18">
        <v>275</v>
      </c>
      <c r="D18">
        <v>0.30040451735384299</v>
      </c>
      <c r="E18">
        <v>4.66862707262014</v>
      </c>
      <c r="F18">
        <v>0.61011283664443705</v>
      </c>
      <c r="G18">
        <v>-98.210113156360762</v>
      </c>
      <c r="H18">
        <v>-60.302679676378197</v>
      </c>
      <c r="I18">
        <v>36.907755938068803</v>
      </c>
      <c r="J18">
        <v>16.6110131937651</v>
      </c>
      <c r="K18">
        <v>7.6520715385979097</v>
      </c>
      <c r="L18">
        <v>1.168617239561572E-3</v>
      </c>
      <c r="M18">
        <v>1.8796050794986547E-4</v>
      </c>
      <c r="N18" s="1">
        <v>5.9556038328592299E-6</v>
      </c>
      <c r="O18" s="1">
        <v>1.1683718181345501E-6</v>
      </c>
      <c r="P18" s="1">
        <v>-4.3751206073309601E-6</v>
      </c>
    </row>
    <row r="19" spans="1:16" x14ac:dyDescent="0.2">
      <c r="A19">
        <v>18</v>
      </c>
      <c r="B19">
        <v>752</v>
      </c>
      <c r="C19">
        <v>275</v>
      </c>
      <c r="D19">
        <v>0.29890308735307097</v>
      </c>
      <c r="E19">
        <v>5.1088566094082504</v>
      </c>
      <c r="F19">
        <v>0.65162941730371804</v>
      </c>
      <c r="G19">
        <v>-105.43559951916208</v>
      </c>
      <c r="H19">
        <v>-66.588133313266255</v>
      </c>
      <c r="I19">
        <v>37.896744535436497</v>
      </c>
      <c r="J19">
        <v>17.197795451205799</v>
      </c>
      <c r="K19">
        <v>7.8401258042453597</v>
      </c>
      <c r="L19">
        <v>1.1455124556599286E-3</v>
      </c>
      <c r="M19">
        <v>1.8339578432939585E-4</v>
      </c>
      <c r="N19" s="1">
        <v>6.0798353457734999E-6</v>
      </c>
      <c r="O19" s="1">
        <v>1.1667501949312301E-6</v>
      </c>
      <c r="P19" s="1">
        <v>-4.3953909059413202E-6</v>
      </c>
    </row>
    <row r="20" spans="1:16" x14ac:dyDescent="0.2">
      <c r="A20">
        <v>19</v>
      </c>
      <c r="B20">
        <v>750</v>
      </c>
      <c r="C20">
        <v>275</v>
      </c>
      <c r="D20">
        <v>0.29739578751893703</v>
      </c>
      <c r="E20">
        <v>5.5448016649201302</v>
      </c>
      <c r="F20">
        <v>0.69086182508567695</v>
      </c>
      <c r="G20">
        <v>-112.58574807638313</v>
      </c>
      <c r="H20">
        <v>-72.815133414241004</v>
      </c>
      <c r="I20">
        <v>38.873097176973403</v>
      </c>
      <c r="J20">
        <v>17.778702149619601</v>
      </c>
      <c r="K20">
        <v>8.0259198924944108</v>
      </c>
      <c r="L20">
        <v>1.1236903833698644E-3</v>
      </c>
      <c r="M20">
        <v>1.7907171850883597E-4</v>
      </c>
      <c r="N20" s="1">
        <v>6.2048412884126898E-6</v>
      </c>
      <c r="O20" s="1">
        <v>1.1649503635272201E-6</v>
      </c>
      <c r="P20" s="1">
        <v>-4.4151058525718903E-6</v>
      </c>
    </row>
    <row r="21" spans="1:16" x14ac:dyDescent="0.2">
      <c r="A21">
        <v>20</v>
      </c>
      <c r="B21">
        <v>748</v>
      </c>
      <c r="C21">
        <v>275</v>
      </c>
      <c r="D21">
        <v>0.29588258336189799</v>
      </c>
      <c r="E21">
        <v>5.97653148658509</v>
      </c>
      <c r="F21">
        <v>0.72800266147302595</v>
      </c>
      <c r="G21">
        <v>-119.66177749731321</v>
      </c>
      <c r="H21">
        <v>-78.984628320922667</v>
      </c>
      <c r="I21">
        <v>39.837004348218699</v>
      </c>
      <c r="J21">
        <v>18.353821470707</v>
      </c>
      <c r="K21">
        <v>8.2094912599526708</v>
      </c>
      <c r="L21">
        <v>1.1030418602893059E-3</v>
      </c>
      <c r="M21">
        <v>1.7496806612101338E-4</v>
      </c>
      <c r="N21" s="1">
        <v>6.3305959409876803E-6</v>
      </c>
      <c r="O21" s="1">
        <v>1.1629756861578899E-6</v>
      </c>
      <c r="P21" s="1">
        <v>-4.4342662185983899E-6</v>
      </c>
    </row>
    <row r="22" spans="1:16" x14ac:dyDescent="0.2">
      <c r="A22">
        <v>21</v>
      </c>
      <c r="B22">
        <v>746</v>
      </c>
      <c r="C22">
        <v>275</v>
      </c>
      <c r="D22">
        <v>0.29436344012167098</v>
      </c>
      <c r="E22">
        <v>6.4041138641039002</v>
      </c>
      <c r="F22">
        <v>0.763223460874489</v>
      </c>
      <c r="G22">
        <v>-126.66488077004576</v>
      </c>
      <c r="H22">
        <v>-85.097546416471957</v>
      </c>
      <c r="I22">
        <v>40.788652414701403</v>
      </c>
      <c r="J22">
        <v>18.923239614837499</v>
      </c>
      <c r="K22">
        <v>8.3908765812389596</v>
      </c>
      <c r="L22">
        <v>1.0834696618077105E-3</v>
      </c>
      <c r="M22">
        <v>1.7106679946556855E-4</v>
      </c>
      <c r="N22" s="1">
        <v>6.4570731956969699E-6</v>
      </c>
      <c r="O22" s="1">
        <v>1.16082949047035E-6</v>
      </c>
      <c r="P22" s="1">
        <v>-4.4528727694655699E-6</v>
      </c>
    </row>
    <row r="23" spans="1:16" x14ac:dyDescent="0.2">
      <c r="A23">
        <v>22</v>
      </c>
      <c r="B23">
        <v>744</v>
      </c>
      <c r="C23">
        <v>275</v>
      </c>
      <c r="D23">
        <v>0.29283832276459099</v>
      </c>
      <c r="E23">
        <v>6.8276151646372503</v>
      </c>
      <c r="F23">
        <v>0.79667749379265695</v>
      </c>
      <c r="G23">
        <v>-133.59622582352196</v>
      </c>
      <c r="H23">
        <v>-91.154796605806354</v>
      </c>
      <c r="I23">
        <v>41.728223720872499</v>
      </c>
      <c r="J23">
        <v>19.487040848109402</v>
      </c>
      <c r="K23">
        <v>8.57011176772893</v>
      </c>
      <c r="L23">
        <v>1.0648869129522636E-3</v>
      </c>
      <c r="M23">
        <v>1.6735181256948855E-4</v>
      </c>
      <c r="N23" s="1">
        <v>6.5842465644612699E-6</v>
      </c>
      <c r="O23" s="1">
        <v>1.1585150706214601E-6</v>
      </c>
      <c r="P23" s="1">
        <v>-4.4709262690514803E-6</v>
      </c>
    </row>
    <row r="24" spans="1:16" x14ac:dyDescent="0.2">
      <c r="A24">
        <v>23</v>
      </c>
      <c r="B24">
        <v>742</v>
      </c>
      <c r="C24">
        <v>275</v>
      </c>
      <c r="D24">
        <v>0.291307195980888</v>
      </c>
      <c r="E24">
        <v>7.2471003735760604</v>
      </c>
      <c r="F24">
        <v>0.82850213447433396</v>
      </c>
      <c r="G24">
        <v>-140.45695624124411</v>
      </c>
      <c r="H24">
        <v>-97.15726887562532</v>
      </c>
      <c r="I24">
        <v>42.655896701889702</v>
      </c>
      <c r="J24">
        <v>20.045307556861001</v>
      </c>
      <c r="K24">
        <v>8.7472319889364893</v>
      </c>
      <c r="L24">
        <v>1.0472157469619808E-3</v>
      </c>
      <c r="M24">
        <v>1.6380867207499674E-4</v>
      </c>
      <c r="N24" s="1">
        <v>6.7120891877202502E-6</v>
      </c>
      <c r="O24" s="1">
        <v>1.15603568843648E-6</v>
      </c>
      <c r="P24" s="1">
        <v>-4.4884274843862702E-6</v>
      </c>
    </row>
    <row r="25" spans="1:16" x14ac:dyDescent="0.2">
      <c r="A25">
        <v>24</v>
      </c>
      <c r="B25">
        <v>740</v>
      </c>
      <c r="C25">
        <v>275</v>
      </c>
      <c r="D25">
        <v>0.28977002418201098</v>
      </c>
      <c r="E25">
        <v>36.582198520077498</v>
      </c>
      <c r="F25">
        <v>1.6032568513482399</v>
      </c>
      <c r="G25">
        <v>-619.99599348466973</v>
      </c>
      <c r="H25">
        <v>-504.30089111385053</v>
      </c>
      <c r="I25">
        <v>114.196917522588</v>
      </c>
      <c r="J25">
        <v>59.919563088698403</v>
      </c>
      <c r="K25">
        <v>22.817428467131698</v>
      </c>
      <c r="L25">
        <v>5.8379024456885848E-4</v>
      </c>
      <c r="M25">
        <v>9.0143738072049015E-5</v>
      </c>
      <c r="N25" s="1">
        <v>9.4625512192091697E-6</v>
      </c>
      <c r="O25" s="1">
        <v>1.6441455239912199E-6</v>
      </c>
      <c r="P25" s="1">
        <v>-6.4210866411474298E-6</v>
      </c>
    </row>
    <row r="26" spans="1:16" x14ac:dyDescent="0.2">
      <c r="A26">
        <v>25</v>
      </c>
      <c r="B26">
        <v>738</v>
      </c>
      <c r="C26">
        <v>275</v>
      </c>
      <c r="D26">
        <v>0.28822677149780002</v>
      </c>
      <c r="E26">
        <v>89.207631477577394</v>
      </c>
      <c r="F26">
        <v>1.8554231898566</v>
      </c>
      <c r="G26">
        <v>-1477.5345069190325</v>
      </c>
      <c r="H26">
        <v>-1231.8256760510405</v>
      </c>
      <c r="I26">
        <v>243.004784506948</v>
      </c>
      <c r="J26">
        <v>131.77143510818399</v>
      </c>
      <c r="K26">
        <v>48.079398794445297</v>
      </c>
      <c r="L26">
        <v>4.3651851279681846E-4</v>
      </c>
      <c r="M26">
        <v>6.6625001836494505E-5</v>
      </c>
      <c r="N26" s="1">
        <v>1.44862272977457E-5</v>
      </c>
      <c r="O26" s="1">
        <v>2.5412024663442001E-6</v>
      </c>
      <c r="P26" s="1">
        <v>-9.9829876856064994E-6</v>
      </c>
    </row>
    <row r="27" spans="1:16" x14ac:dyDescent="0.2">
      <c r="A27">
        <v>26</v>
      </c>
      <c r="B27">
        <v>736</v>
      </c>
      <c r="C27">
        <v>275</v>
      </c>
      <c r="D27">
        <v>0.28667740177377199</v>
      </c>
      <c r="E27">
        <v>101.574276782182</v>
      </c>
      <c r="F27">
        <v>1.88206830756663</v>
      </c>
      <c r="G27">
        <v>-1678.328300729534</v>
      </c>
      <c r="H27">
        <v>-1402.8210403568037</v>
      </c>
      <c r="I27">
        <v>273.015089271438</v>
      </c>
      <c r="J27">
        <v>148.74294383737001</v>
      </c>
      <c r="K27">
        <v>53.969495354560301</v>
      </c>
      <c r="L27">
        <v>4.2186147308678529E-4</v>
      </c>
      <c r="M27">
        <v>6.4012890354254824E-5</v>
      </c>
      <c r="N27" s="1">
        <v>1.57959517323007E-5</v>
      </c>
      <c r="O27" s="1">
        <v>2.7348581267291198E-6</v>
      </c>
      <c r="P27" s="1">
        <v>-1.0808690780541901E-5</v>
      </c>
    </row>
    <row r="28" spans="1:16" x14ac:dyDescent="0.2">
      <c r="A28">
        <v>27</v>
      </c>
      <c r="B28">
        <v>758</v>
      </c>
      <c r="C28">
        <v>250</v>
      </c>
      <c r="D28">
        <v>0.330059157251614</v>
      </c>
      <c r="E28">
        <v>4.5166527371732696</v>
      </c>
      <c r="F28">
        <v>0.52481238107299899</v>
      </c>
      <c r="G28">
        <v>-98.121940559340317</v>
      </c>
      <c r="H28">
        <v>-57.419765582863349</v>
      </c>
      <c r="I28">
        <v>39.475110005845302</v>
      </c>
      <c r="J28">
        <v>17.599133831393601</v>
      </c>
      <c r="K28">
        <v>8.6062236716648908</v>
      </c>
      <c r="L28">
        <v>1.2941935850456405E-3</v>
      </c>
      <c r="M28">
        <v>2.2937696661968069E-4</v>
      </c>
      <c r="N28" s="1">
        <v>6.7449838718183103E-6</v>
      </c>
      <c r="O28" s="1">
        <v>1.8302411448618899E-6</v>
      </c>
      <c r="P28" s="1">
        <v>-6.1023933567228497E-6</v>
      </c>
    </row>
    <row r="29" spans="1:16" x14ac:dyDescent="0.2">
      <c r="A29">
        <v>28</v>
      </c>
      <c r="B29">
        <v>756</v>
      </c>
      <c r="C29">
        <v>250</v>
      </c>
      <c r="D29">
        <v>0.32862119224602798</v>
      </c>
      <c r="E29">
        <v>4.6017912700584098</v>
      </c>
      <c r="F29">
        <v>0.53345528572110701</v>
      </c>
      <c r="G29">
        <v>-99.464010560390648</v>
      </c>
      <c r="H29">
        <v>-58.662228535782127</v>
      </c>
      <c r="I29">
        <v>39.6486130566459</v>
      </c>
      <c r="J29">
        <v>17.731479065940398</v>
      </c>
      <c r="K29">
        <v>8.6263861156382706</v>
      </c>
      <c r="L29">
        <v>1.2912844217478712E-3</v>
      </c>
      <c r="M29">
        <v>2.2772963317570466E-4</v>
      </c>
      <c r="N29" s="1">
        <v>6.8844157873570103E-6</v>
      </c>
      <c r="O29" s="1">
        <v>1.82024961461085E-6</v>
      </c>
      <c r="P29" s="1">
        <v>-6.1079804295032501E-6</v>
      </c>
    </row>
    <row r="30" spans="1:16" x14ac:dyDescent="0.2">
      <c r="A30">
        <v>29</v>
      </c>
      <c r="B30">
        <v>754</v>
      </c>
      <c r="C30">
        <v>250</v>
      </c>
      <c r="D30">
        <v>0.32717762741566497</v>
      </c>
      <c r="E30">
        <v>5.0328057946509697</v>
      </c>
      <c r="F30">
        <v>0.57143822691956603</v>
      </c>
      <c r="G30">
        <v>-106.53526046524527</v>
      </c>
      <c r="H30">
        <v>-64.822525021506934</v>
      </c>
      <c r="I30">
        <v>40.612701518795099</v>
      </c>
      <c r="J30">
        <v>18.309658731829799</v>
      </c>
      <c r="K30">
        <v>8.8072613233824999</v>
      </c>
      <c r="L30">
        <v>1.2694434770947549E-3</v>
      </c>
      <c r="M30">
        <v>2.2278647241629249E-4</v>
      </c>
      <c r="N30" s="1">
        <v>7.05024912828538E-6</v>
      </c>
      <c r="O30" s="1">
        <v>1.8167802934097701E-6</v>
      </c>
      <c r="P30" s="1">
        <v>-6.1354746515294697E-6</v>
      </c>
    </row>
    <row r="31" spans="1:16" x14ac:dyDescent="0.2">
      <c r="A31">
        <v>30</v>
      </c>
      <c r="B31">
        <v>752</v>
      </c>
      <c r="C31">
        <v>250</v>
      </c>
      <c r="D31">
        <v>0.32572842998585799</v>
      </c>
      <c r="E31">
        <v>5.4596923731750397</v>
      </c>
      <c r="F31">
        <v>0.60758132087583605</v>
      </c>
      <c r="G31">
        <v>-113.53392763832353</v>
      </c>
      <c r="H31">
        <v>-70.926486537182114</v>
      </c>
      <c r="I31">
        <v>41.564702431236</v>
      </c>
      <c r="J31">
        <v>18.882245348360399</v>
      </c>
      <c r="K31">
        <v>8.98594506708144</v>
      </c>
      <c r="L31">
        <v>1.2486725525705184E-3</v>
      </c>
      <c r="M31">
        <v>2.1807042824569425E-4</v>
      </c>
      <c r="N31" s="1">
        <v>7.2174806236186699E-6</v>
      </c>
      <c r="O31" s="1">
        <v>1.8130619924908601E-6</v>
      </c>
      <c r="P31" s="1">
        <v>-6.1622838796571899E-6</v>
      </c>
    </row>
    <row r="32" spans="1:16" x14ac:dyDescent="0.2">
      <c r="A32">
        <v>31</v>
      </c>
      <c r="B32">
        <v>750</v>
      </c>
      <c r="C32">
        <v>250</v>
      </c>
      <c r="D32">
        <v>0.324273566925672</v>
      </c>
      <c r="E32">
        <v>5.8825161326010402</v>
      </c>
      <c r="F32">
        <v>0.64202272010601102</v>
      </c>
      <c r="G32">
        <v>-120.46116033574145</v>
      </c>
      <c r="H32">
        <v>-76.975004913923101</v>
      </c>
      <c r="I32">
        <v>42.5047955349118</v>
      </c>
      <c r="J32">
        <v>19.449320936030499</v>
      </c>
      <c r="K32">
        <v>9.1624734583064402</v>
      </c>
      <c r="L32">
        <v>1.2288900792464287E-3</v>
      </c>
      <c r="M32">
        <v>2.1356447471376655E-4</v>
      </c>
      <c r="N32" s="1">
        <v>7.38607471283572E-6</v>
      </c>
      <c r="O32" s="1">
        <v>1.80909886815494E-6</v>
      </c>
      <c r="P32" s="1">
        <v>-6.1884058047506196E-6</v>
      </c>
    </row>
    <row r="33" spans="1:16" x14ac:dyDescent="0.2">
      <c r="A33">
        <v>32</v>
      </c>
      <c r="B33">
        <v>748</v>
      </c>
      <c r="C33">
        <v>250</v>
      </c>
      <c r="D33">
        <v>0.32281300494540499</v>
      </c>
      <c r="E33">
        <v>6.3013408352687401</v>
      </c>
      <c r="F33">
        <v>0.67488706819896704</v>
      </c>
      <c r="G33">
        <v>-127.31808279042581</v>
      </c>
      <c r="H33">
        <v>-82.968953278370449</v>
      </c>
      <c r="I33">
        <v>43.4331567703113</v>
      </c>
      <c r="J33">
        <v>20.010965675779499</v>
      </c>
      <c r="K33">
        <v>9.3368818757851795</v>
      </c>
      <c r="L33">
        <v>1.2100224593067587E-3</v>
      </c>
      <c r="M33">
        <v>2.0925325373469264E-4</v>
      </c>
      <c r="N33" s="1">
        <v>7.55599498196579E-6</v>
      </c>
      <c r="O33" s="1">
        <v>1.8048950522974499E-6</v>
      </c>
      <c r="P33" s="1">
        <v>-6.2138381262995398E-6</v>
      </c>
    </row>
    <row r="34" spans="1:16" x14ac:dyDescent="0.2">
      <c r="A34">
        <v>33</v>
      </c>
      <c r="B34">
        <v>746</v>
      </c>
      <c r="C34">
        <v>250</v>
      </c>
      <c r="D34">
        <v>0.32134671049404001</v>
      </c>
      <c r="E34">
        <v>6.7162289199234797</v>
      </c>
      <c r="F34">
        <v>0.70628711118473597</v>
      </c>
      <c r="G34">
        <v>-134.10579592878813</v>
      </c>
      <c r="H34">
        <v>-88.909186617722867</v>
      </c>
      <c r="I34">
        <v>44.349958388971899</v>
      </c>
      <c r="J34">
        <v>20.567257964267</v>
      </c>
      <c r="K34">
        <v>9.5092049869883297</v>
      </c>
      <c r="L34">
        <v>1.1920031156246143E-3</v>
      </c>
      <c r="M34">
        <v>2.0512287617267875E-4</v>
      </c>
      <c r="N34" s="1">
        <v>7.7272041757819697E-6</v>
      </c>
      <c r="O34" s="1">
        <v>1.80045465415344E-6</v>
      </c>
      <c r="P34" s="1">
        <v>-6.2385785609349702E-6</v>
      </c>
    </row>
    <row r="35" spans="1:16" x14ac:dyDescent="0.2">
      <c r="A35">
        <v>34</v>
      </c>
      <c r="B35">
        <v>744</v>
      </c>
      <c r="C35">
        <v>250</v>
      </c>
      <c r="D35">
        <v>0.31987464975667701</v>
      </c>
      <c r="E35">
        <v>37.874055370032899</v>
      </c>
      <c r="F35">
        <v>1.5437650145427899</v>
      </c>
      <c r="G35">
        <v>-644.12643186022933</v>
      </c>
      <c r="H35">
        <v>-521.9421010667038</v>
      </c>
      <c r="I35">
        <v>120.127866873649</v>
      </c>
      <c r="J35">
        <v>62.776132309151798</v>
      </c>
      <c r="K35">
        <v>24.533562435504301</v>
      </c>
      <c r="L35">
        <v>6.5839889514622606E-4</v>
      </c>
      <c r="M35">
        <v>1.1187091997860352E-4</v>
      </c>
      <c r="N35" s="1">
        <v>1.0787190918477899E-5</v>
      </c>
      <c r="O35" s="1">
        <v>2.5147986510097501E-6</v>
      </c>
      <c r="P35" s="1">
        <v>-8.7689143580892195E-6</v>
      </c>
    </row>
    <row r="36" spans="1:16" x14ac:dyDescent="0.2">
      <c r="A36">
        <v>35</v>
      </c>
      <c r="B36">
        <v>742</v>
      </c>
      <c r="C36">
        <v>250</v>
      </c>
      <c r="D36">
        <v>0.318396788651924</v>
      </c>
      <c r="E36">
        <v>89.276027612438199</v>
      </c>
      <c r="F36">
        <v>1.8132856649011699</v>
      </c>
      <c r="G36">
        <v>-1481.3886567468232</v>
      </c>
      <c r="H36">
        <v>-1232.7667821398854</v>
      </c>
      <c r="I36">
        <v>244.916895827969</v>
      </c>
      <c r="J36">
        <v>132.376237819176</v>
      </c>
      <c r="K36">
        <v>49.234397723705499</v>
      </c>
      <c r="L36">
        <v>4.8983718382492958E-4</v>
      </c>
      <c r="M36">
        <v>8.2304863465537938E-5</v>
      </c>
      <c r="N36" s="1">
        <v>1.58551943773809E-5</v>
      </c>
      <c r="O36" s="1">
        <v>3.6906938439674801E-6</v>
      </c>
      <c r="P36" s="1">
        <v>-1.2950926713170601E-5</v>
      </c>
    </row>
    <row r="37" spans="1:16" x14ac:dyDescent="0.2">
      <c r="A37">
        <v>36</v>
      </c>
      <c r="B37">
        <v>740</v>
      </c>
      <c r="C37">
        <v>250</v>
      </c>
      <c r="D37">
        <v>0.31691309282929903</v>
      </c>
      <c r="E37">
        <v>101.495880399383</v>
      </c>
      <c r="F37">
        <v>1.84367977217642</v>
      </c>
      <c r="G37">
        <v>-1679.7312279951202</v>
      </c>
      <c r="H37">
        <v>-1401.8322712898134</v>
      </c>
      <c r="I37">
        <v>274.29787504162499</v>
      </c>
      <c r="J37">
        <v>148.99122996858699</v>
      </c>
      <c r="K37">
        <v>55.050709961182399</v>
      </c>
      <c r="L37">
        <v>4.7190215552646525E-4</v>
      </c>
      <c r="M37">
        <v>7.8815257974501363E-5</v>
      </c>
      <c r="N37" s="1">
        <v>1.7261738456827401E-5</v>
      </c>
      <c r="O37" s="1">
        <v>3.9451987209915498E-6</v>
      </c>
      <c r="P37" s="1">
        <v>-1.39333483838618E-5</v>
      </c>
    </row>
    <row r="38" spans="1:16" x14ac:dyDescent="0.2">
      <c r="A38">
        <v>37</v>
      </c>
      <c r="B38">
        <v>758</v>
      </c>
      <c r="C38">
        <v>225</v>
      </c>
      <c r="D38">
        <v>0.356728410027642</v>
      </c>
      <c r="E38">
        <v>4.9188622314867496</v>
      </c>
      <c r="F38">
        <v>0.49282268840091997</v>
      </c>
      <c r="G38">
        <v>-107.10133866566603</v>
      </c>
      <c r="H38">
        <v>-62.438540049979132</v>
      </c>
      <c r="I38">
        <v>43.316310421091501</v>
      </c>
      <c r="J38">
        <v>19.357077480298699</v>
      </c>
      <c r="K38">
        <v>9.9809979273624005</v>
      </c>
      <c r="L38">
        <v>1.4054169480793059E-3</v>
      </c>
      <c r="M38">
        <v>2.7616232173905721E-4</v>
      </c>
      <c r="N38" s="1">
        <v>7.3239234372240102E-6</v>
      </c>
      <c r="O38" s="1">
        <v>2.93721426439655E-6</v>
      </c>
      <c r="P38" s="1">
        <v>-8.6462069589607094E-6</v>
      </c>
    </row>
    <row r="39" spans="1:16" x14ac:dyDescent="0.2">
      <c r="A39">
        <v>38</v>
      </c>
      <c r="B39">
        <v>756</v>
      </c>
      <c r="C39">
        <v>225</v>
      </c>
      <c r="D39">
        <v>0.35534227274935698</v>
      </c>
      <c r="E39">
        <v>5.0240904087932901</v>
      </c>
      <c r="F39">
        <v>0.50215132797191198</v>
      </c>
      <c r="G39">
        <v>-108.76843758943045</v>
      </c>
      <c r="H39">
        <v>-63.971365171978519</v>
      </c>
      <c r="I39">
        <v>43.530963492199</v>
      </c>
      <c r="J39">
        <v>19.520269318480299</v>
      </c>
      <c r="K39">
        <v>10.00513217616</v>
      </c>
      <c r="L39">
        <v>1.4024271254429413E-3</v>
      </c>
      <c r="M39">
        <v>2.7414042390153922E-4</v>
      </c>
      <c r="N39" s="1">
        <v>7.5258675661090797E-6</v>
      </c>
      <c r="O39" s="1">
        <v>2.92224413266429E-6</v>
      </c>
      <c r="P39" s="1">
        <v>-8.6613561177789397E-6</v>
      </c>
    </row>
    <row r="40" spans="1:16" x14ac:dyDescent="0.2">
      <c r="A40">
        <v>39</v>
      </c>
      <c r="B40">
        <v>754</v>
      </c>
      <c r="C40">
        <v>225</v>
      </c>
      <c r="D40">
        <v>0.35395073747748601</v>
      </c>
      <c r="E40">
        <v>5.4402559044011296</v>
      </c>
      <c r="F40">
        <v>0.53469439115076101</v>
      </c>
      <c r="G40">
        <v>-115.58584525346104</v>
      </c>
      <c r="H40">
        <v>-69.929076356327784</v>
      </c>
      <c r="I40">
        <v>44.452708407978498</v>
      </c>
      <c r="J40">
        <v>20.083045833302702</v>
      </c>
      <c r="K40">
        <v>10.174514628239599</v>
      </c>
      <c r="L40">
        <v>1.3833895033628118E-3</v>
      </c>
      <c r="M40">
        <v>2.6902201820582292E-4</v>
      </c>
      <c r="N40" s="1">
        <v>7.7518322915352202E-6</v>
      </c>
      <c r="O40" s="1">
        <v>2.91549048484736E-6</v>
      </c>
      <c r="P40" s="1">
        <v>-8.7009419041657503E-6</v>
      </c>
    </row>
    <row r="41" spans="1:16" x14ac:dyDescent="0.2">
      <c r="A41">
        <v>40</v>
      </c>
      <c r="B41">
        <v>752</v>
      </c>
      <c r="C41">
        <v>225</v>
      </c>
      <c r="D41">
        <v>0.35255377261864101</v>
      </c>
      <c r="E41">
        <v>5.8525469203764899</v>
      </c>
      <c r="F41">
        <v>0.56591085906953797</v>
      </c>
      <c r="G41">
        <v>-122.33510630597861</v>
      </c>
      <c r="H41">
        <v>-75.83391689786788</v>
      </c>
      <c r="I41">
        <v>45.363148526619199</v>
      </c>
      <c r="J41">
        <v>20.640638787775799</v>
      </c>
      <c r="K41">
        <v>10.341817667183699</v>
      </c>
      <c r="L41">
        <v>1.365140110027584E-3</v>
      </c>
      <c r="M41">
        <v>2.6409799285956646E-4</v>
      </c>
      <c r="N41" s="1">
        <v>7.9803763696047307E-6</v>
      </c>
      <c r="O41" s="1">
        <v>2.9083766028879298E-6</v>
      </c>
      <c r="P41" s="1">
        <v>-8.7396948632881607E-6</v>
      </c>
    </row>
    <row r="42" spans="1:16" x14ac:dyDescent="0.2">
      <c r="A42">
        <v>41</v>
      </c>
      <c r="B42">
        <v>750</v>
      </c>
      <c r="C42">
        <v>225</v>
      </c>
      <c r="D42">
        <v>0.35115134633240402</v>
      </c>
      <c r="E42">
        <v>8.1350556832730803</v>
      </c>
      <c r="F42">
        <v>0.71090504906302399</v>
      </c>
      <c r="G42">
        <v>-160.10139104803218</v>
      </c>
      <c r="H42">
        <v>-107.96606649360973</v>
      </c>
      <c r="I42">
        <v>50.958560015493497</v>
      </c>
      <c r="J42">
        <v>23.793262863236698</v>
      </c>
      <c r="K42">
        <v>11.443238016096601</v>
      </c>
      <c r="L42">
        <v>1.2699467522155042E-3</v>
      </c>
      <c r="M42">
        <v>2.4425708348640356E-4</v>
      </c>
      <c r="N42" s="1">
        <v>8.3984308739591602E-6</v>
      </c>
      <c r="O42" s="1">
        <v>2.9742828086512599E-6</v>
      </c>
      <c r="P42" s="1">
        <v>-8.9995437633252704E-6</v>
      </c>
    </row>
    <row r="43" spans="1:16" x14ac:dyDescent="0.2">
      <c r="A43">
        <v>42</v>
      </c>
      <c r="B43">
        <v>748</v>
      </c>
      <c r="C43">
        <v>225</v>
      </c>
      <c r="D43">
        <v>0.34974342652891699</v>
      </c>
      <c r="E43">
        <v>43.353229379700501</v>
      </c>
      <c r="F43">
        <v>1.52074703980336</v>
      </c>
      <c r="G43">
        <v>-736.75819835180687</v>
      </c>
      <c r="H43">
        <v>-597.76016274054507</v>
      </c>
      <c r="I43">
        <v>136.123106114649</v>
      </c>
      <c r="J43">
        <v>71.212736039242102</v>
      </c>
      <c r="K43">
        <v>28.507850579348201</v>
      </c>
      <c r="L43">
        <v>7.177917351269571E-4</v>
      </c>
      <c r="M43">
        <v>1.3635264027187814E-4</v>
      </c>
      <c r="N43" s="1">
        <v>1.1716737104706E-5</v>
      </c>
      <c r="O43" s="1">
        <v>4.1135681958252801E-6</v>
      </c>
      <c r="P43" s="1">
        <v>-1.25319271944356E-5</v>
      </c>
    </row>
    <row r="44" spans="1:16" x14ac:dyDescent="0.2">
      <c r="A44">
        <v>43</v>
      </c>
      <c r="B44">
        <v>746</v>
      </c>
      <c r="C44">
        <v>225</v>
      </c>
      <c r="D44">
        <v>0.34832998086640898</v>
      </c>
      <c r="E44">
        <v>92.142786748738601</v>
      </c>
      <c r="F44">
        <v>1.7716280154841699</v>
      </c>
      <c r="G44">
        <v>-1530.7956222618602</v>
      </c>
      <c r="H44">
        <v>-1272.322335817096</v>
      </c>
      <c r="I44">
        <v>253.62207772069999</v>
      </c>
      <c r="J44">
        <v>136.74386277236101</v>
      </c>
      <c r="K44">
        <v>52.010233493376198</v>
      </c>
      <c r="L44">
        <v>5.5020478052865505E-4</v>
      </c>
      <c r="M44">
        <v>1.0343678163125206E-4</v>
      </c>
      <c r="N44" s="1">
        <v>1.6365302592345799E-5</v>
      </c>
      <c r="O44" s="1">
        <v>5.6701121958192804E-6</v>
      </c>
      <c r="P44" s="1">
        <v>-1.7392677564225699E-5</v>
      </c>
    </row>
    <row r="45" spans="1:16" x14ac:dyDescent="0.2">
      <c r="A45">
        <v>44</v>
      </c>
      <c r="B45">
        <v>744</v>
      </c>
      <c r="C45">
        <v>225</v>
      </c>
      <c r="D45">
        <v>0.34691097674876298</v>
      </c>
      <c r="E45">
        <v>101.794775322235</v>
      </c>
      <c r="F45">
        <v>1.7985929509238801</v>
      </c>
      <c r="G45">
        <v>-1687.299629087998</v>
      </c>
      <c r="H45">
        <v>-1405.9947530490133</v>
      </c>
      <c r="I45">
        <v>276.56770489291699</v>
      </c>
      <c r="J45">
        <v>149.77271328115501</v>
      </c>
      <c r="K45">
        <v>56.596894405677602</v>
      </c>
      <c r="L45">
        <v>5.3344649286894284E-4</v>
      </c>
      <c r="M45">
        <v>9.9683532783828341E-5</v>
      </c>
      <c r="N45" s="1">
        <v>1.75970036841361E-5</v>
      </c>
      <c r="O45" s="1">
        <v>5.9409914145885599E-6</v>
      </c>
      <c r="P45" s="1">
        <v>-1.83501190055526E-5</v>
      </c>
    </row>
    <row r="46" spans="1:16" x14ac:dyDescent="0.2">
      <c r="A46">
        <v>45</v>
      </c>
      <c r="B46">
        <v>758</v>
      </c>
      <c r="C46">
        <v>200</v>
      </c>
      <c r="D46">
        <v>0.383397662803666</v>
      </c>
      <c r="E46">
        <v>5.3199170588405904</v>
      </c>
      <c r="F46">
        <v>0.45645257202433998</v>
      </c>
      <c r="G46">
        <v>-116.11385364861245</v>
      </c>
      <c r="H46">
        <v>-67.385302053390461</v>
      </c>
      <c r="I46">
        <v>47.259463684666002</v>
      </c>
      <c r="J46">
        <v>21.126298609486099</v>
      </c>
      <c r="K46">
        <v>11.6549174764139</v>
      </c>
      <c r="L46">
        <v>1.5329879985900398E-3</v>
      </c>
      <c r="M46">
        <v>3.4074884165332146E-4</v>
      </c>
      <c r="N46" s="1">
        <v>6.5775789199413998E-6</v>
      </c>
      <c r="O46" s="1">
        <v>4.9023998222455704E-6</v>
      </c>
      <c r="P46" s="1">
        <v>-1.23841967490542E-5</v>
      </c>
    </row>
    <row r="47" spans="1:16" x14ac:dyDescent="0.2">
      <c r="A47">
        <v>46</v>
      </c>
      <c r="B47">
        <v>756</v>
      </c>
      <c r="C47">
        <v>200</v>
      </c>
      <c r="D47">
        <v>0.38206335325268598</v>
      </c>
      <c r="E47">
        <v>7.4648733861649399</v>
      </c>
      <c r="F47">
        <v>0.58801336672191895</v>
      </c>
      <c r="G47">
        <v>-151.61599660945632</v>
      </c>
      <c r="H47">
        <v>-97.569826890917255</v>
      </c>
      <c r="I47">
        <v>52.518378921918902</v>
      </c>
      <c r="J47">
        <v>24.089991830799999</v>
      </c>
      <c r="K47">
        <v>12.6950743106069</v>
      </c>
      <c r="L47">
        <v>1.4424022753191481E-3</v>
      </c>
      <c r="M47">
        <v>3.1869228394616793E-4</v>
      </c>
      <c r="N47" s="1">
        <v>7.00635690325806E-6</v>
      </c>
      <c r="O47" s="1">
        <v>4.9947296067764004E-6</v>
      </c>
      <c r="P47" s="1">
        <v>-1.2711076441154E-5</v>
      </c>
    </row>
    <row r="48" spans="1:16" x14ac:dyDescent="0.2">
      <c r="A48">
        <v>47</v>
      </c>
      <c r="B48">
        <v>754</v>
      </c>
      <c r="C48">
        <v>200</v>
      </c>
      <c r="D48">
        <v>0.38072384753930699</v>
      </c>
      <c r="E48">
        <v>19.576443978760899</v>
      </c>
      <c r="F48">
        <v>1.0508503018545601</v>
      </c>
      <c r="G48">
        <v>-350.70827471934115</v>
      </c>
      <c r="H48">
        <v>-266.62254839237232</v>
      </c>
      <c r="I48">
        <v>81.866556422764205</v>
      </c>
      <c r="J48">
        <v>40.427047787209602</v>
      </c>
      <c r="K48">
        <v>18.629146267752802</v>
      </c>
      <c r="L48">
        <v>1.1086538006155988E-3</v>
      </c>
      <c r="M48">
        <v>2.4297138611489467E-4</v>
      </c>
      <c r="N48" s="1">
        <v>8.11379861327771E-6</v>
      </c>
      <c r="O48" s="1">
        <v>5.5813510185196196E-6</v>
      </c>
      <c r="P48" s="1">
        <v>-1.43093840511894E-5</v>
      </c>
    </row>
    <row r="49" spans="1:16" x14ac:dyDescent="0.2">
      <c r="A49">
        <v>48</v>
      </c>
      <c r="B49">
        <v>752</v>
      </c>
      <c r="C49">
        <v>200</v>
      </c>
      <c r="D49">
        <v>0.37937911525142798</v>
      </c>
      <c r="E49">
        <v>53.284081980228002</v>
      </c>
      <c r="F49">
        <v>1.52085591236426</v>
      </c>
      <c r="G49">
        <v>-902.24658964935259</v>
      </c>
      <c r="H49">
        <v>-735.4847435731258</v>
      </c>
      <c r="I49">
        <v>162.67509229801499</v>
      </c>
      <c r="J49">
        <v>85.432806958781697</v>
      </c>
      <c r="K49">
        <v>35.035588543949899</v>
      </c>
      <c r="L49">
        <v>7.6607627699239319E-4</v>
      </c>
      <c r="M49">
        <v>1.6613627513506642E-4</v>
      </c>
      <c r="N49" s="1">
        <v>1.06989416859198E-5</v>
      </c>
      <c r="O49" s="1">
        <v>7.1579265794688603E-6</v>
      </c>
      <c r="P49" s="1">
        <v>-1.8487550290945801E-5</v>
      </c>
    </row>
    <row r="50" spans="1:16" x14ac:dyDescent="0.2">
      <c r="A50">
        <v>49</v>
      </c>
      <c r="B50">
        <v>750</v>
      </c>
      <c r="C50">
        <v>200</v>
      </c>
      <c r="D50">
        <v>0.37802912573913899</v>
      </c>
      <c r="E50">
        <v>96.9515613578657</v>
      </c>
      <c r="F50">
        <v>1.7266216795325899</v>
      </c>
      <c r="G50">
        <v>-1611.8172504395857</v>
      </c>
      <c r="H50">
        <v>-1338.6877410804648</v>
      </c>
      <c r="I50">
        <v>266.95533228180398</v>
      </c>
      <c r="J50">
        <v>143.592187584458</v>
      </c>
      <c r="K50">
        <v>56.151015886764</v>
      </c>
      <c r="L50">
        <v>6.2013662942427645E-4</v>
      </c>
      <c r="M50">
        <v>1.3322863652990368E-4</v>
      </c>
      <c r="N50" s="1">
        <v>1.41404700749422E-5</v>
      </c>
      <c r="O50" s="1">
        <v>9.1808343659777508E-6</v>
      </c>
      <c r="P50" s="1">
        <v>-2.3888938577190901E-5</v>
      </c>
    </row>
    <row r="51" spans="1:16" x14ac:dyDescent="0.2">
      <c r="A51">
        <v>50</v>
      </c>
      <c r="B51">
        <v>748</v>
      </c>
      <c r="C51">
        <v>200</v>
      </c>
      <c r="D51">
        <v>0.37667384811242399</v>
      </c>
      <c r="E51">
        <v>102.65339197114</v>
      </c>
      <c r="F51">
        <v>1.7446738156458099</v>
      </c>
      <c r="G51">
        <v>-1704.0111882278611</v>
      </c>
      <c r="H51">
        <v>-1417.8171476159587</v>
      </c>
      <c r="I51">
        <v>280.27229078075902</v>
      </c>
      <c r="J51">
        <v>151.26191991074799</v>
      </c>
      <c r="K51">
        <v>58.838157052951402</v>
      </c>
      <c r="L51">
        <v>6.0894113024535248E-4</v>
      </c>
      <c r="M51">
        <v>1.300454998998182E-4</v>
      </c>
      <c r="N51" s="1">
        <v>1.5058663525339E-5</v>
      </c>
      <c r="O51" s="1">
        <v>9.3906312964588102E-6</v>
      </c>
      <c r="P51" s="1">
        <v>-2.4618071778543E-5</v>
      </c>
    </row>
    <row r="52" spans="1:16" x14ac:dyDescent="0.2">
      <c r="A52">
        <v>51</v>
      </c>
      <c r="B52">
        <v>768</v>
      </c>
      <c r="C52">
        <v>175</v>
      </c>
      <c r="D52">
        <v>0.416405417086878</v>
      </c>
      <c r="E52">
        <v>5.7227453246618998</v>
      </c>
      <c r="F52">
        <v>0.407875855975387</v>
      </c>
      <c r="G52">
        <v>-125.74916883816164</v>
      </c>
      <c r="H52">
        <v>-72.045657023295689</v>
      </c>
      <c r="I52">
        <v>51.584100966390501</v>
      </c>
      <c r="J52">
        <v>22.6553972736722</v>
      </c>
      <c r="K52">
        <v>14.0306057365828</v>
      </c>
      <c r="L52">
        <v>1.6467405220001745E-3</v>
      </c>
      <c r="M52">
        <v>4.37561775298123E-4</v>
      </c>
      <c r="N52" s="1">
        <v>9.1557417066094804E-7</v>
      </c>
      <c r="O52" s="1">
        <v>8.7815288867870601E-6</v>
      </c>
      <c r="P52" s="1">
        <v>-1.7588235011435298E-5</v>
      </c>
    </row>
    <row r="53" spans="1:16" x14ac:dyDescent="0.2">
      <c r="A53">
        <v>52</v>
      </c>
      <c r="B53">
        <v>766</v>
      </c>
      <c r="C53">
        <v>175</v>
      </c>
      <c r="D53">
        <v>0.41514747630275201</v>
      </c>
      <c r="E53">
        <v>5.7970765727025704</v>
      </c>
      <c r="F53">
        <v>0.41333646609577701</v>
      </c>
      <c r="G53">
        <v>-126.88584593536108</v>
      </c>
      <c r="H53">
        <v>-73.126395985577773</v>
      </c>
      <c r="I53">
        <v>51.737216109216597</v>
      </c>
      <c r="J53">
        <v>22.802321802301499</v>
      </c>
      <c r="K53">
        <v>14.0250789567627</v>
      </c>
      <c r="L53">
        <v>1.6489364208066709E-3</v>
      </c>
      <c r="M53">
        <v>4.3565940102417591E-4</v>
      </c>
      <c r="N53" s="1">
        <v>1.2475997042817201E-6</v>
      </c>
      <c r="O53" s="1">
        <v>8.7493964015084506E-6</v>
      </c>
      <c r="P53" s="1">
        <v>-1.7660593917298802E-5</v>
      </c>
    </row>
    <row r="54" spans="1:16" x14ac:dyDescent="0.2">
      <c r="A54">
        <v>53</v>
      </c>
      <c r="B54">
        <v>764</v>
      </c>
      <c r="C54">
        <v>175</v>
      </c>
      <c r="D54">
        <v>0.41388468398978101</v>
      </c>
      <c r="E54">
        <v>6.7453540574465096</v>
      </c>
      <c r="F54">
        <v>0.46586283066228601</v>
      </c>
      <c r="G54">
        <v>-142.53934324685576</v>
      </c>
      <c r="H54">
        <v>-86.391864284923329</v>
      </c>
      <c r="I54">
        <v>54.139510876048902</v>
      </c>
      <c r="J54">
        <v>24.174872685264098</v>
      </c>
      <c r="K54">
        <v>14.479270749840801</v>
      </c>
      <c r="L54">
        <v>1.6155769442435886E-3</v>
      </c>
      <c r="M54">
        <v>4.2427433674697707E-4</v>
      </c>
      <c r="N54" s="1">
        <v>1.59420348262974E-6</v>
      </c>
      <c r="O54" s="1">
        <v>8.8053424502516406E-6</v>
      </c>
      <c r="P54" s="1">
        <v>-1.7912774283985801E-5</v>
      </c>
    </row>
    <row r="55" spans="1:16" x14ac:dyDescent="0.2">
      <c r="A55">
        <v>54</v>
      </c>
      <c r="B55">
        <v>762</v>
      </c>
      <c r="C55">
        <v>175</v>
      </c>
      <c r="D55">
        <v>0.41261701202724399</v>
      </c>
      <c r="E55">
        <v>8.87442976316329</v>
      </c>
      <c r="F55">
        <v>0.57164011210302601</v>
      </c>
      <c r="G55">
        <v>-177.75388447486046</v>
      </c>
      <c r="H55">
        <v>-116.27752109408546</v>
      </c>
      <c r="I55">
        <v>59.3921179828506</v>
      </c>
      <c r="J55">
        <v>27.130659676919802</v>
      </c>
      <c r="K55">
        <v>15.5245049730937</v>
      </c>
      <c r="L55">
        <v>1.5407964108447047E-3</v>
      </c>
      <c r="M55">
        <v>4.0212128914034439E-4</v>
      </c>
      <c r="N55" s="1">
        <v>1.96902663810805E-6</v>
      </c>
      <c r="O55" s="1">
        <v>8.9558244320548797E-6</v>
      </c>
      <c r="P55" s="1">
        <v>-1.8362252930432202E-5</v>
      </c>
    </row>
    <row r="56" spans="1:16" x14ac:dyDescent="0.2">
      <c r="A56">
        <v>55</v>
      </c>
      <c r="B56">
        <v>760</v>
      </c>
      <c r="C56">
        <v>175</v>
      </c>
      <c r="D56">
        <v>0.41134443207665999</v>
      </c>
      <c r="E56">
        <v>14.3677306078405</v>
      </c>
      <c r="F56">
        <v>0.78723447909060895</v>
      </c>
      <c r="G56">
        <v>-268.56709743707188</v>
      </c>
      <c r="H56">
        <v>-193.39882396160479</v>
      </c>
      <c r="I56">
        <v>72.759846938888302</v>
      </c>
      <c r="J56">
        <v>34.591397557705903</v>
      </c>
      <c r="K56">
        <v>18.250890921898701</v>
      </c>
      <c r="L56">
        <v>1.3800834862999411E-3</v>
      </c>
      <c r="M56">
        <v>3.5775881900018756E-4</v>
      </c>
      <c r="N56" s="1">
        <v>2.4156203782749598E-6</v>
      </c>
      <c r="O56" s="1">
        <v>9.3725643353455892E-6</v>
      </c>
      <c r="P56" s="1">
        <v>-1.9368487208210301E-5</v>
      </c>
    </row>
    <row r="57" spans="1:16" x14ac:dyDescent="0.2">
      <c r="A57">
        <v>56</v>
      </c>
      <c r="B57">
        <v>758</v>
      </c>
      <c r="C57">
        <v>175</v>
      </c>
      <c r="D57">
        <v>0.41006691557969399</v>
      </c>
      <c r="E57">
        <v>47.967647218468997</v>
      </c>
      <c r="F57">
        <v>1.3791771724967601</v>
      </c>
      <c r="G57">
        <v>-818.57193276165185</v>
      </c>
      <c r="H57">
        <v>-660.93198487606787</v>
      </c>
      <c r="I57">
        <v>152.88217338573099</v>
      </c>
      <c r="J57">
        <v>79.090354335584806</v>
      </c>
      <c r="K57">
        <v>34.779902230858298</v>
      </c>
      <c r="L57">
        <v>9.2210927762004962E-4</v>
      </c>
      <c r="M57">
        <v>2.3655390715017469E-4</v>
      </c>
      <c r="N57" s="1">
        <v>3.3945770575348299E-6</v>
      </c>
      <c r="O57" s="1">
        <v>1.17951429569819E-5</v>
      </c>
      <c r="P57" s="1">
        <v>-2.45675730009968E-5</v>
      </c>
    </row>
    <row r="58" spans="1:16" x14ac:dyDescent="0.2">
      <c r="A58">
        <v>57</v>
      </c>
      <c r="B58">
        <v>756</v>
      </c>
      <c r="C58">
        <v>175</v>
      </c>
      <c r="D58">
        <v>0.40878443375601398</v>
      </c>
      <c r="E58">
        <v>91.2005040097213</v>
      </c>
      <c r="F58">
        <v>1.6313689341723601</v>
      </c>
      <c r="G58">
        <v>-1521.6376431885087</v>
      </c>
      <c r="H58">
        <v>-1258.6986829048853</v>
      </c>
      <c r="I58">
        <v>255.496934056269</v>
      </c>
      <c r="J58">
        <v>136.16981622804801</v>
      </c>
      <c r="K58">
        <v>55.904278976594497</v>
      </c>
      <c r="L58">
        <v>7.3088016733705333E-4</v>
      </c>
      <c r="M58">
        <v>1.8572830040670214E-4</v>
      </c>
      <c r="N58" s="1">
        <v>4.7693096146753298E-6</v>
      </c>
      <c r="O58" s="1">
        <v>1.48738358196339E-5</v>
      </c>
      <c r="P58" s="1">
        <v>-3.1226307054615697E-5</v>
      </c>
    </row>
    <row r="59" spans="1:16" x14ac:dyDescent="0.2">
      <c r="A59">
        <v>58</v>
      </c>
      <c r="B59">
        <v>754</v>
      </c>
      <c r="C59">
        <v>175</v>
      </c>
      <c r="D59">
        <v>0.40749695760112897</v>
      </c>
      <c r="E59">
        <v>101.20614087804</v>
      </c>
      <c r="F59">
        <v>1.6670897530440401</v>
      </c>
      <c r="G59">
        <v>-1683.849956842244</v>
      </c>
      <c r="H59">
        <v>-1397.3404742146308</v>
      </c>
      <c r="I59">
        <v>278.94218784800398</v>
      </c>
      <c r="J59">
        <v>149.44507822596199</v>
      </c>
      <c r="K59">
        <v>60.708273620686199</v>
      </c>
      <c r="L59">
        <v>7.0611303920283929E-4</v>
      </c>
      <c r="M59">
        <v>1.7828250771993563E-4</v>
      </c>
      <c r="N59" s="1">
        <v>5.6204544827184403E-6</v>
      </c>
      <c r="O59" s="1">
        <v>1.5515105378627099E-5</v>
      </c>
      <c r="P59" s="1">
        <v>-3.2833238890504603E-5</v>
      </c>
    </row>
    <row r="60" spans="1:16" x14ac:dyDescent="0.2">
      <c r="A60">
        <v>59</v>
      </c>
      <c r="B60">
        <v>778</v>
      </c>
      <c r="C60">
        <v>150</v>
      </c>
      <c r="D60">
        <v>0.44878514008467002</v>
      </c>
      <c r="E60">
        <v>6.1488867636754199</v>
      </c>
      <c r="F60">
        <v>0.353769771240103</v>
      </c>
      <c r="G60">
        <v>-136.07559966122008</v>
      </c>
      <c r="H60">
        <v>-76.855618292516951</v>
      </c>
      <c r="I60">
        <v>56.341625970883399</v>
      </c>
      <c r="J60">
        <v>23.985404828943601</v>
      </c>
      <c r="K60">
        <v>17.381040618934499</v>
      </c>
      <c r="L60">
        <v>1.7376523710728438E-3</v>
      </c>
      <c r="M60">
        <v>5.7287218953501972E-4</v>
      </c>
      <c r="N60" s="1">
        <v>-1.0984826377370699E-5</v>
      </c>
      <c r="O60" s="1">
        <v>1.6473829397990699E-5</v>
      </c>
      <c r="P60" s="1">
        <v>-2.4695517900200302E-5</v>
      </c>
    </row>
    <row r="61" spans="1:16" x14ac:dyDescent="0.2">
      <c r="A61">
        <v>60</v>
      </c>
      <c r="B61">
        <v>776</v>
      </c>
      <c r="C61">
        <v>150</v>
      </c>
      <c r="D61">
        <v>0.447600915026452</v>
      </c>
      <c r="E61">
        <v>6.5866986697016099</v>
      </c>
      <c r="F61">
        <v>0.37518862701123301</v>
      </c>
      <c r="G61">
        <v>-143.24175605447923</v>
      </c>
      <c r="H61">
        <v>-83.00869978781121</v>
      </c>
      <c r="I61">
        <v>57.414659682168697</v>
      </c>
      <c r="J61">
        <v>24.640565957780801</v>
      </c>
      <c r="K61">
        <v>17.555699175029599</v>
      </c>
      <c r="L61">
        <v>1.7293040886742076E-3</v>
      </c>
      <c r="M61">
        <v>5.6680265798256788E-4</v>
      </c>
      <c r="N61" s="1">
        <v>-1.07535803406108E-5</v>
      </c>
      <c r="O61" s="1">
        <v>1.6488334359697798E-5</v>
      </c>
      <c r="P61" s="1">
        <v>-2.49100109451581E-5</v>
      </c>
    </row>
    <row r="62" spans="1:16" x14ac:dyDescent="0.2">
      <c r="A62">
        <v>61</v>
      </c>
      <c r="B62">
        <v>774</v>
      </c>
      <c r="C62">
        <v>150</v>
      </c>
      <c r="D62">
        <v>0.44641216635630598</v>
      </c>
      <c r="E62">
        <v>7.4856190873672199</v>
      </c>
      <c r="F62">
        <v>0.41639830250083698</v>
      </c>
      <c r="G62">
        <v>-158.06154882731681</v>
      </c>
      <c r="H62">
        <v>-95.590208925025721</v>
      </c>
      <c r="I62">
        <v>59.661848760946</v>
      </c>
      <c r="J62">
        <v>25.932707917419201</v>
      </c>
      <c r="K62">
        <v>17.977064369401798</v>
      </c>
      <c r="L62">
        <v>1.7053836986747112E-3</v>
      </c>
      <c r="M62">
        <v>5.5561825873434939E-4</v>
      </c>
      <c r="N62" s="1">
        <v>-1.0560554291096201E-5</v>
      </c>
      <c r="O62" s="1">
        <v>1.6575940767735499E-5</v>
      </c>
      <c r="P62" s="1">
        <v>-2.5238981760093999E-5</v>
      </c>
    </row>
    <row r="63" spans="1:16" x14ac:dyDescent="0.2">
      <c r="A63">
        <v>62</v>
      </c>
      <c r="B63">
        <v>772</v>
      </c>
      <c r="C63">
        <v>150</v>
      </c>
      <c r="D63">
        <v>0.44521886810505501</v>
      </c>
      <c r="E63">
        <v>8.3889667254176992</v>
      </c>
      <c r="F63">
        <v>0.45593568466767398</v>
      </c>
      <c r="G63">
        <v>-172.93742222162945</v>
      </c>
      <c r="H63">
        <v>-108.23133606512441</v>
      </c>
      <c r="I63">
        <v>61.914253755264902</v>
      </c>
      <c r="J63">
        <v>27.232197894480102</v>
      </c>
      <c r="K63">
        <v>18.399451956765098</v>
      </c>
      <c r="L63">
        <v>1.6824766354877638E-3</v>
      </c>
      <c r="M63">
        <v>5.4486223338171111E-4</v>
      </c>
      <c r="N63" s="1">
        <v>-1.03526741408523E-5</v>
      </c>
      <c r="O63" s="1">
        <v>1.6662271041170801E-5</v>
      </c>
      <c r="P63" s="1">
        <v>-2.55709928696734E-5</v>
      </c>
    </row>
    <row r="64" spans="1:16" x14ac:dyDescent="0.2">
      <c r="A64">
        <v>63</v>
      </c>
      <c r="B64">
        <v>770</v>
      </c>
      <c r="C64">
        <v>150</v>
      </c>
      <c r="D64">
        <v>0.44402099410439499</v>
      </c>
      <c r="E64">
        <v>9.2954618318503606</v>
      </c>
      <c r="F64">
        <v>0.49385872314984902</v>
      </c>
      <c r="G64">
        <v>-187.84757868820907</v>
      </c>
      <c r="H64">
        <v>-120.91403978655127</v>
      </c>
      <c r="I64">
        <v>64.168303854083803</v>
      </c>
      <c r="J64">
        <v>28.537232332760599</v>
      </c>
      <c r="K64">
        <v>18.822107206213801</v>
      </c>
      <c r="L64">
        <v>1.6605550509787342E-3</v>
      </c>
      <c r="M64">
        <v>5.3451964392291912E-4</v>
      </c>
      <c r="N64" s="1">
        <v>-1.01293065500719E-5</v>
      </c>
      <c r="O64" s="1">
        <v>1.6747025986717001E-5</v>
      </c>
      <c r="P64" s="1">
        <v>-2.59056269112623E-5</v>
      </c>
    </row>
    <row r="65" spans="1:16" x14ac:dyDescent="0.2">
      <c r="A65">
        <v>64</v>
      </c>
      <c r="B65">
        <v>768</v>
      </c>
      <c r="C65">
        <v>150</v>
      </c>
      <c r="D65">
        <v>0.442818517984921</v>
      </c>
      <c r="E65">
        <v>13.7666094158904</v>
      </c>
      <c r="F65">
        <v>0.65366133055928999</v>
      </c>
      <c r="G65">
        <v>-261.77857702756791</v>
      </c>
      <c r="H65">
        <v>-183.71969726815334</v>
      </c>
      <c r="I65">
        <v>74.977321399542404</v>
      </c>
      <c r="J65">
        <v>34.563316466691099</v>
      </c>
      <c r="K65">
        <v>21.060767667121102</v>
      </c>
      <c r="L65">
        <v>1.5401432064613267E-3</v>
      </c>
      <c r="M65">
        <v>4.92543762139803E-4</v>
      </c>
      <c r="N65" s="1">
        <v>-1.0175618317821701E-5</v>
      </c>
      <c r="O65" s="1">
        <v>1.7290533472320801E-5</v>
      </c>
      <c r="P65" s="1">
        <v>-2.6960627223090299E-5</v>
      </c>
    </row>
    <row r="66" spans="1:16" x14ac:dyDescent="0.2">
      <c r="A66">
        <v>65</v>
      </c>
      <c r="B66">
        <v>766</v>
      </c>
      <c r="C66">
        <v>150</v>
      </c>
      <c r="D66">
        <v>0.44161141317423203</v>
      </c>
      <c r="E66">
        <v>30.622632785874099</v>
      </c>
      <c r="F66">
        <v>1.03818402651304</v>
      </c>
      <c r="G66">
        <v>-538.33232219207582</v>
      </c>
      <c r="H66">
        <v>-418.71658762450227</v>
      </c>
      <c r="I66">
        <v>115.11325530345999</v>
      </c>
      <c r="J66">
        <v>56.777033211784598</v>
      </c>
      <c r="K66">
        <v>29.496343619085</v>
      </c>
      <c r="L66">
        <v>1.2348256401520442E-3</v>
      </c>
      <c r="M66">
        <v>3.9171746033380165E-4</v>
      </c>
      <c r="N66" s="1">
        <v>-1.10512385924256E-5</v>
      </c>
      <c r="O66" s="1">
        <v>1.9273641173907001E-5</v>
      </c>
      <c r="P66" s="1">
        <v>-3.0294993577320799E-5</v>
      </c>
    </row>
    <row r="67" spans="1:16" x14ac:dyDescent="0.2">
      <c r="A67">
        <v>66</v>
      </c>
      <c r="B67">
        <v>764</v>
      </c>
      <c r="C67">
        <v>150</v>
      </c>
      <c r="D67">
        <v>0.44039965289495597</v>
      </c>
      <c r="E67">
        <v>67.967283540387001</v>
      </c>
      <c r="F67">
        <v>1.4135750102390601</v>
      </c>
      <c r="G67">
        <v>-1147.7149875985538</v>
      </c>
      <c r="H67">
        <v>-936.76647643511455</v>
      </c>
      <c r="I67">
        <v>203.39745728737799</v>
      </c>
      <c r="J67">
        <v>105.63896487630601</v>
      </c>
      <c r="K67">
        <v>48.081837219867502</v>
      </c>
      <c r="L67">
        <v>9.3509710358885524E-4</v>
      </c>
      <c r="M67">
        <v>2.9384300160218552E-4</v>
      </c>
      <c r="N67" s="1">
        <v>-1.3180627367356799E-5</v>
      </c>
      <c r="O67" s="1">
        <v>2.35737673036595E-5</v>
      </c>
      <c r="P67" s="1">
        <v>-3.7354448862138398E-5</v>
      </c>
    </row>
    <row r="68" spans="1:16" x14ac:dyDescent="0.2">
      <c r="A68">
        <v>67</v>
      </c>
      <c r="B68">
        <v>762</v>
      </c>
      <c r="C68">
        <v>150</v>
      </c>
      <c r="D68">
        <v>0.439183210162781</v>
      </c>
      <c r="E68">
        <v>94.785725153251605</v>
      </c>
      <c r="F68">
        <v>1.54578454226123</v>
      </c>
      <c r="G68">
        <v>-1583.4562150373588</v>
      </c>
      <c r="H68">
        <v>-1307.6455141240181</v>
      </c>
      <c r="I68">
        <v>266.45079907649898</v>
      </c>
      <c r="J68">
        <v>140.693042450061</v>
      </c>
      <c r="K68">
        <v>61.318846554510998</v>
      </c>
      <c r="L68">
        <v>8.3270606687929822E-4</v>
      </c>
      <c r="M68">
        <v>2.5965602667466398E-4</v>
      </c>
      <c r="N68" s="1">
        <v>-1.4414638605886201E-5</v>
      </c>
      <c r="O68" s="1">
        <v>2.6590076412332998E-5</v>
      </c>
      <c r="P68" s="1">
        <v>-4.2478153388106797E-5</v>
      </c>
    </row>
    <row r="69" spans="1:16" x14ac:dyDescent="0.2">
      <c r="A69">
        <v>68</v>
      </c>
      <c r="B69">
        <v>760</v>
      </c>
      <c r="C69">
        <v>150</v>
      </c>
      <c r="D69">
        <v>0.43796205778444602</v>
      </c>
      <c r="E69">
        <v>101.74162061548</v>
      </c>
      <c r="F69">
        <v>1.5734528783613699</v>
      </c>
      <c r="G69">
        <v>-1696.0357704866337</v>
      </c>
      <c r="H69">
        <v>-1404.1388115944953</v>
      </c>
      <c r="I69">
        <v>282.536880479388</v>
      </c>
      <c r="J69">
        <v>149.85956244194099</v>
      </c>
      <c r="K69">
        <v>64.661371188589698</v>
      </c>
      <c r="L69">
        <v>8.142744127346786E-4</v>
      </c>
      <c r="M69">
        <v>2.5230825091158445E-4</v>
      </c>
      <c r="N69" s="1">
        <v>-1.42594897475699E-5</v>
      </c>
      <c r="O69" s="1">
        <v>2.72855534387511E-5</v>
      </c>
      <c r="P69" s="1">
        <v>-4.3947826272161299E-5</v>
      </c>
    </row>
    <row r="70" spans="1:16" x14ac:dyDescent="0.2">
      <c r="A70">
        <v>69</v>
      </c>
      <c r="B70">
        <v>792</v>
      </c>
      <c r="C70">
        <v>125</v>
      </c>
      <c r="D70">
        <v>0.48276815471999501</v>
      </c>
      <c r="E70">
        <v>6.6127544531343103</v>
      </c>
      <c r="F70">
        <v>0.29248880042363901</v>
      </c>
      <c r="G70">
        <v>-147.71045792920924</v>
      </c>
      <c r="H70">
        <v>-81.859283505341224</v>
      </c>
      <c r="I70">
        <v>61.826933904178503</v>
      </c>
      <c r="J70">
        <v>24.847893451894599</v>
      </c>
      <c r="K70">
        <v>22.608573195132301</v>
      </c>
      <c r="L70">
        <v>1.7576744800185909E-3</v>
      </c>
      <c r="M70">
        <v>7.6264865575475496E-4</v>
      </c>
      <c r="N70" s="1">
        <v>-3.0208263168641399E-5</v>
      </c>
      <c r="O70" s="1">
        <v>3.3035372593879203E-5</v>
      </c>
      <c r="P70" s="1">
        <v>-3.4149650253087399E-5</v>
      </c>
    </row>
    <row r="71" spans="1:16" x14ac:dyDescent="0.2">
      <c r="A71">
        <v>70</v>
      </c>
      <c r="B71">
        <v>790</v>
      </c>
      <c r="C71">
        <v>125</v>
      </c>
      <c r="D71">
        <v>0.48166345294643498</v>
      </c>
      <c r="E71">
        <v>6.6551416136481496</v>
      </c>
      <c r="F71">
        <v>0.29512605968723099</v>
      </c>
      <c r="G71">
        <v>-148.28748634894413</v>
      </c>
      <c r="H71">
        <v>-82.50131618946503</v>
      </c>
      <c r="I71">
        <v>61.882100600773697</v>
      </c>
      <c r="J71">
        <v>24.960703609031299</v>
      </c>
      <c r="K71">
        <v>22.5501659213054</v>
      </c>
      <c r="L71">
        <v>1.7653325737496345E-3</v>
      </c>
      <c r="M71">
        <v>7.6176466586833232E-4</v>
      </c>
      <c r="N71" s="1">
        <v>-3.0188365311703501E-5</v>
      </c>
      <c r="O71" s="1">
        <v>3.2964537985368397E-5</v>
      </c>
      <c r="P71" s="1">
        <v>-3.4314615828535997E-5</v>
      </c>
    </row>
    <row r="72" spans="1:16" x14ac:dyDescent="0.2">
      <c r="A72">
        <v>71</v>
      </c>
      <c r="B72">
        <v>788</v>
      </c>
      <c r="C72">
        <v>125</v>
      </c>
      <c r="D72">
        <v>0.48055458700466802</v>
      </c>
      <c r="E72">
        <v>7.5036847178579702</v>
      </c>
      <c r="F72">
        <v>0.32713826686716801</v>
      </c>
      <c r="G72">
        <v>-162.27045682041472</v>
      </c>
      <c r="H72">
        <v>-94.382910992987306</v>
      </c>
      <c r="I72">
        <v>63.979038534744802</v>
      </c>
      <c r="J72">
        <v>26.164702327016698</v>
      </c>
      <c r="K72">
        <v>22.937349365199101</v>
      </c>
      <c r="L72">
        <v>1.7504409301055187E-3</v>
      </c>
      <c r="M72">
        <v>7.5102009092898572E-4</v>
      </c>
      <c r="N72" s="1">
        <v>-3.03633155276495E-5</v>
      </c>
      <c r="O72" s="1">
        <v>3.31100778461745E-5</v>
      </c>
      <c r="P72" s="1">
        <v>-3.4709174797312403E-5</v>
      </c>
    </row>
    <row r="73" spans="1:16" x14ac:dyDescent="0.2">
      <c r="A73">
        <v>72</v>
      </c>
      <c r="B73">
        <v>786</v>
      </c>
      <c r="C73">
        <v>125</v>
      </c>
      <c r="D73">
        <v>0.47944153330501299</v>
      </c>
      <c r="E73">
        <v>8.3552923037613205</v>
      </c>
      <c r="F73">
        <v>0.358214016322493</v>
      </c>
      <c r="G73">
        <v>-176.28910789468154</v>
      </c>
      <c r="H73">
        <v>-106.30579723777338</v>
      </c>
      <c r="I73">
        <v>66.078598324327501</v>
      </c>
      <c r="J73">
        <v>27.3741620089645</v>
      </c>
      <c r="K73">
        <v>23.324861460025001</v>
      </c>
      <c r="L73">
        <v>1.7360655806000569E-3</v>
      </c>
      <c r="M73">
        <v>7.4057260356781649E-4</v>
      </c>
      <c r="N73" s="1">
        <v>-3.0530319408350498E-5</v>
      </c>
      <c r="O73" s="1">
        <v>3.3254386626492503E-5</v>
      </c>
      <c r="P73" s="1">
        <v>-3.5108507175827401E-5</v>
      </c>
    </row>
    <row r="74" spans="1:16" x14ac:dyDescent="0.2">
      <c r="A74">
        <v>73</v>
      </c>
      <c r="B74">
        <v>784</v>
      </c>
      <c r="C74">
        <v>125</v>
      </c>
      <c r="D74">
        <v>0.47832426807926898</v>
      </c>
      <c r="E74">
        <v>9.2087910491319604</v>
      </c>
      <c r="F74">
        <v>0.38835998947094702</v>
      </c>
      <c r="G74">
        <v>-190.3235993742469</v>
      </c>
      <c r="H74">
        <v>-118.25351388749016</v>
      </c>
      <c r="I74">
        <v>68.177598325026196</v>
      </c>
      <c r="J74">
        <v>28.587483347855599</v>
      </c>
      <c r="K74">
        <v>23.711997370472801</v>
      </c>
      <c r="L74">
        <v>1.7222113999350848E-3</v>
      </c>
      <c r="M74">
        <v>7.3042061521959897E-4</v>
      </c>
      <c r="N74" s="1">
        <v>-3.0688540177508302E-5</v>
      </c>
      <c r="O74" s="1">
        <v>3.3397051091796401E-5</v>
      </c>
      <c r="P74" s="1">
        <v>-3.5512282448706E-5</v>
      </c>
    </row>
    <row r="75" spans="1:16" x14ac:dyDescent="0.2">
      <c r="A75">
        <v>74</v>
      </c>
      <c r="B75">
        <v>782</v>
      </c>
      <c r="C75">
        <v>125</v>
      </c>
      <c r="D75">
        <v>0.47720276737904699</v>
      </c>
      <c r="E75">
        <v>10.0630773193352</v>
      </c>
      <c r="F75">
        <v>0.41758806840687002</v>
      </c>
      <c r="G75">
        <v>-204.35528960445421</v>
      </c>
      <c r="H75">
        <v>-130.2105697930362</v>
      </c>
      <c r="I75">
        <v>70.273049476239507</v>
      </c>
      <c r="J75">
        <v>29.803162701410098</v>
      </c>
      <c r="K75">
        <v>24.0980959004089</v>
      </c>
      <c r="L75">
        <v>1.7088791935373677E-3</v>
      </c>
      <c r="M75">
        <v>7.2056074185800078E-4</v>
      </c>
      <c r="N75" s="1">
        <v>-3.0837144445898002E-5</v>
      </c>
      <c r="O75" s="1">
        <v>3.35376821567649E-5</v>
      </c>
      <c r="P75" s="1">
        <v>-3.59201856946566E-5</v>
      </c>
    </row>
    <row r="76" spans="1:16" x14ac:dyDescent="0.2">
      <c r="A76">
        <v>75</v>
      </c>
      <c r="B76">
        <v>780</v>
      </c>
      <c r="C76">
        <v>125</v>
      </c>
      <c r="D76">
        <v>0.47607700707401701</v>
      </c>
      <c r="E76">
        <v>10.9171306086653</v>
      </c>
      <c r="F76">
        <v>0.44591482520515202</v>
      </c>
      <c r="G76">
        <v>-218.36695583742863</v>
      </c>
      <c r="H76">
        <v>-142.16263058117477</v>
      </c>
      <c r="I76">
        <v>72.362188916205398</v>
      </c>
      <c r="J76">
        <v>31.019810793273699</v>
      </c>
      <c r="K76">
        <v>24.482546871238601</v>
      </c>
      <c r="L76">
        <v>1.6960659737608075E-3</v>
      </c>
      <c r="M76">
        <v>7.109879716895235E-4</v>
      </c>
      <c r="N76" s="1">
        <v>-3.0975306173926897E-5</v>
      </c>
      <c r="O76" s="1">
        <v>3.3675918366532803E-5</v>
      </c>
      <c r="P76" s="1">
        <v>-3.6331921800757899E-5</v>
      </c>
    </row>
    <row r="77" spans="1:16" x14ac:dyDescent="0.2">
      <c r="A77">
        <v>76</v>
      </c>
      <c r="B77">
        <v>778</v>
      </c>
      <c r="C77">
        <v>125</v>
      </c>
      <c r="D77">
        <v>0.47494696285021398</v>
      </c>
      <c r="E77">
        <v>13.6966135489264</v>
      </c>
      <c r="F77">
        <v>0.52936141572583495</v>
      </c>
      <c r="G77">
        <v>-264.26927527615931</v>
      </c>
      <c r="H77">
        <v>-181.18882664113605</v>
      </c>
      <c r="I77">
        <v>79.041466157573296</v>
      </c>
      <c r="J77">
        <v>34.750764135362203</v>
      </c>
      <c r="K77">
        <v>25.873841844227101</v>
      </c>
      <c r="L77">
        <v>1.638645424875011E-3</v>
      </c>
      <c r="M77">
        <v>6.8275938241322686E-4</v>
      </c>
      <c r="N77" s="1">
        <v>-3.1494856576551897E-5</v>
      </c>
      <c r="O77" s="1">
        <v>3.42319695390046E-5</v>
      </c>
      <c r="P77" s="1">
        <v>-3.7204246426991597E-5</v>
      </c>
    </row>
    <row r="78" spans="1:16" x14ac:dyDescent="0.2">
      <c r="A78">
        <v>77</v>
      </c>
      <c r="B78">
        <v>776</v>
      </c>
      <c r="C78">
        <v>125</v>
      </c>
      <c r="D78">
        <v>0.47381261020826598</v>
      </c>
      <c r="E78">
        <v>19.687609824292601</v>
      </c>
      <c r="F78">
        <v>0.68043674595144299</v>
      </c>
      <c r="G78">
        <v>-363.12918557247292</v>
      </c>
      <c r="H78">
        <v>-265.19476532356492</v>
      </c>
      <c r="I78">
        <v>93.350390895022002</v>
      </c>
      <c r="J78">
        <v>42.664683945953897</v>
      </c>
      <c r="K78">
        <v>28.933783987170901</v>
      </c>
      <c r="L78">
        <v>1.5254950214479604E-3</v>
      </c>
      <c r="M78">
        <v>6.3154398812604175E-4</v>
      </c>
      <c r="N78" s="1">
        <v>-3.2636325695165699E-5</v>
      </c>
      <c r="O78" s="1">
        <v>3.5463517332648599E-5</v>
      </c>
      <c r="P78" s="1">
        <v>-3.8829567213731601E-5</v>
      </c>
    </row>
    <row r="79" spans="1:16" x14ac:dyDescent="0.2">
      <c r="A79">
        <v>78</v>
      </c>
      <c r="B79">
        <v>774</v>
      </c>
      <c r="C79">
        <v>125</v>
      </c>
      <c r="D79">
        <v>0.47267392446163797</v>
      </c>
      <c r="E79">
        <v>42.711969081913203</v>
      </c>
      <c r="F79">
        <v>1.0496396690526499</v>
      </c>
      <c r="G79">
        <v>-740.37924811591517</v>
      </c>
      <c r="H79">
        <v>-585.78856074212626</v>
      </c>
      <c r="I79">
        <v>147.63440700201599</v>
      </c>
      <c r="J79">
        <v>72.501902645470807</v>
      </c>
      <c r="K79">
        <v>40.692030171137198</v>
      </c>
      <c r="L79">
        <v>1.2314366374583012E-3</v>
      </c>
      <c r="M79">
        <v>5.0570193590497136E-4</v>
      </c>
      <c r="N79" s="1">
        <v>-3.6823796673462398E-5</v>
      </c>
      <c r="O79" s="1">
        <v>3.9981891071902702E-5</v>
      </c>
      <c r="P79" s="1">
        <v>-4.4105365964879703E-5</v>
      </c>
    </row>
    <row r="80" spans="1:16" x14ac:dyDescent="0.2">
      <c r="A80">
        <v>79</v>
      </c>
      <c r="B80">
        <v>772</v>
      </c>
      <c r="C80">
        <v>125</v>
      </c>
      <c r="D80">
        <v>0.47153088073482102</v>
      </c>
      <c r="E80">
        <v>77.5671611501255</v>
      </c>
      <c r="F80">
        <v>1.3284966865658701</v>
      </c>
      <c r="G80">
        <v>-1308.1009312671279</v>
      </c>
      <c r="H80">
        <v>-1068.376534599352</v>
      </c>
      <c r="I80">
        <v>229.37366248444101</v>
      </c>
      <c r="J80">
        <v>117.468471742174</v>
      </c>
      <c r="K80">
        <v>58.387169448374102</v>
      </c>
      <c r="L80">
        <v>1.0105885104502654E-3</v>
      </c>
      <c r="M80">
        <v>4.1154012028699012E-4</v>
      </c>
      <c r="N80" s="1">
        <v>-4.3072115722149599E-5</v>
      </c>
      <c r="O80" s="1">
        <v>4.6735351767592301E-5</v>
      </c>
      <c r="P80" s="1">
        <v>-5.1945762275569101E-5</v>
      </c>
    </row>
    <row r="81" spans="1:16" x14ac:dyDescent="0.2">
      <c r="A81">
        <v>80</v>
      </c>
      <c r="B81">
        <v>770</v>
      </c>
      <c r="C81">
        <v>125</v>
      </c>
      <c r="D81">
        <v>0.47038345396155901</v>
      </c>
      <c r="E81">
        <v>96.019430686568001</v>
      </c>
      <c r="F81">
        <v>1.41946626470759</v>
      </c>
      <c r="G81">
        <v>-1607.735693465261</v>
      </c>
      <c r="H81">
        <v>-1323.638069452966</v>
      </c>
      <c r="I81">
        <v>272.351563110163</v>
      </c>
      <c r="J81">
        <v>141.292189732504</v>
      </c>
      <c r="K81">
        <v>67.644743009336395</v>
      </c>
      <c r="L81">
        <v>9.421040101082025E-4</v>
      </c>
      <c r="M81">
        <v>3.8101903946100566E-4</v>
      </c>
      <c r="N81" s="1">
        <v>-4.6246645835410803E-5</v>
      </c>
      <c r="O81" s="1">
        <v>5.0204247718468198E-5</v>
      </c>
      <c r="P81" s="1">
        <v>-5.6228094248272297E-5</v>
      </c>
    </row>
    <row r="82" spans="1:16" x14ac:dyDescent="0.2">
      <c r="A82">
        <v>81</v>
      </c>
      <c r="B82">
        <v>768</v>
      </c>
      <c r="C82">
        <v>125</v>
      </c>
      <c r="D82">
        <v>0.46923161888296799</v>
      </c>
      <c r="E82">
        <v>101.775696010359</v>
      </c>
      <c r="F82">
        <v>1.44501460929696</v>
      </c>
      <c r="G82">
        <v>-1700.7921108572712</v>
      </c>
      <c r="H82">
        <v>-1403.5278113504667</v>
      </c>
      <c r="I82">
        <v>285.52114426212103</v>
      </c>
      <c r="J82">
        <v>148.797226119898</v>
      </c>
      <c r="K82">
        <v>70.432295532206595</v>
      </c>
      <c r="L82">
        <v>9.2654809310351439E-4</v>
      </c>
      <c r="M82">
        <v>3.7243462995335737E-4</v>
      </c>
      <c r="N82" s="1">
        <v>-4.7089736801191899E-5</v>
      </c>
      <c r="O82" s="1">
        <v>5.1183038792345802E-5</v>
      </c>
      <c r="P82" s="1">
        <v>-5.7766810050722601E-5</v>
      </c>
    </row>
    <row r="83" spans="1:16" x14ac:dyDescent="0.2">
      <c r="A83">
        <v>82</v>
      </c>
      <c r="B83">
        <v>808</v>
      </c>
      <c r="C83">
        <v>100</v>
      </c>
      <c r="D83">
        <v>0.51689451047495805</v>
      </c>
      <c r="E83">
        <v>7.1316923496309403</v>
      </c>
      <c r="F83">
        <v>0.227903707794127</v>
      </c>
      <c r="G83">
        <v>-161.06989919915469</v>
      </c>
      <c r="H83">
        <v>-87.278938302025168</v>
      </c>
      <c r="I83">
        <v>68.256062608729593</v>
      </c>
      <c r="J83">
        <v>25.17420923141</v>
      </c>
      <c r="K83">
        <v>31.2925683336105</v>
      </c>
      <c r="L83">
        <v>1.6837102742700059E-3</v>
      </c>
      <c r="M83">
        <v>1.0273087651482414E-3</v>
      </c>
      <c r="N83" s="1">
        <v>-5.31859948295564E-5</v>
      </c>
      <c r="O83" s="1">
        <v>7.2748891143477901E-5</v>
      </c>
      <c r="P83" s="1">
        <v>-4.8173765877639101E-5</v>
      </c>
    </row>
    <row r="84" spans="1:16" x14ac:dyDescent="0.2">
      <c r="A84">
        <v>83</v>
      </c>
      <c r="B84">
        <v>806</v>
      </c>
      <c r="C84">
        <v>100</v>
      </c>
      <c r="D84">
        <v>0.51586943427697896</v>
      </c>
      <c r="E84">
        <v>7.4047876485633397</v>
      </c>
      <c r="F84">
        <v>0.23627514479426501</v>
      </c>
      <c r="G84">
        <v>-165.47200556456556</v>
      </c>
      <c r="H84">
        <v>-91.137875609402371</v>
      </c>
      <c r="I84">
        <v>68.885898846913406</v>
      </c>
      <c r="J84">
        <v>25.5864307772401</v>
      </c>
      <c r="K84">
        <v>31.339680925858602</v>
      </c>
      <c r="L84">
        <v>1.6874054028472038E-3</v>
      </c>
      <c r="M84">
        <v>1.0243425903481726E-3</v>
      </c>
      <c r="N84" s="1">
        <v>-5.3623057658701203E-5</v>
      </c>
      <c r="O84" s="1">
        <v>7.2739636337950197E-5</v>
      </c>
      <c r="P84" s="1">
        <v>-4.8428659932199197E-5</v>
      </c>
    </row>
    <row r="85" spans="1:16" x14ac:dyDescent="0.2">
      <c r="A85">
        <v>84</v>
      </c>
      <c r="B85">
        <v>804</v>
      </c>
      <c r="C85">
        <v>100</v>
      </c>
      <c r="D85">
        <v>0.514840551455232</v>
      </c>
      <c r="E85">
        <v>8.2112684974857899</v>
      </c>
      <c r="F85">
        <v>0.25907956436252499</v>
      </c>
      <c r="G85">
        <v>-178.74524854551603</v>
      </c>
      <c r="H85">
        <v>-102.43015443224657</v>
      </c>
      <c r="I85">
        <v>70.852901455755003</v>
      </c>
      <c r="J85">
        <v>26.7050558543033</v>
      </c>
      <c r="K85">
        <v>31.6940030283357</v>
      </c>
      <c r="L85">
        <v>1.6807754993175053E-3</v>
      </c>
      <c r="M85">
        <v>1.0150107052615822E-3</v>
      </c>
      <c r="N85" s="1">
        <v>-5.4252458738750201E-5</v>
      </c>
      <c r="O85" s="1">
        <v>7.2984129488913506E-5</v>
      </c>
      <c r="P85" s="1">
        <v>-4.8857229320865997E-5</v>
      </c>
    </row>
    <row r="86" spans="1:16" x14ac:dyDescent="0.2">
      <c r="A86">
        <v>85</v>
      </c>
      <c r="B86">
        <v>802</v>
      </c>
      <c r="C86">
        <v>100</v>
      </c>
      <c r="D86">
        <v>0.51380784076640695</v>
      </c>
      <c r="E86">
        <v>9.0186304749772894</v>
      </c>
      <c r="F86">
        <v>0.28141543636241501</v>
      </c>
      <c r="G86">
        <v>-192.01941786559888</v>
      </c>
      <c r="H86">
        <v>-113.73371763866659</v>
      </c>
      <c r="I86">
        <v>72.817588055942693</v>
      </c>
      <c r="J86">
        <v>27.825935421343999</v>
      </c>
      <c r="K86">
        <v>32.047390830980703</v>
      </c>
      <c r="L86">
        <v>1.6743894335991432E-3</v>
      </c>
      <c r="M86">
        <v>1.0058666084241672E-3</v>
      </c>
      <c r="N86" s="1">
        <v>-5.4886055333918602E-5</v>
      </c>
      <c r="O86" s="1">
        <v>7.3226861082279705E-5</v>
      </c>
      <c r="P86" s="1">
        <v>-4.92903976979808E-5</v>
      </c>
    </row>
    <row r="87" spans="1:16" x14ac:dyDescent="0.2">
      <c r="A87">
        <v>86</v>
      </c>
      <c r="B87">
        <v>800</v>
      </c>
      <c r="C87">
        <v>100</v>
      </c>
      <c r="D87">
        <v>0.51277128080883805</v>
      </c>
      <c r="E87">
        <v>9.8258714008566503</v>
      </c>
      <c r="F87">
        <v>0.30327492060282901</v>
      </c>
      <c r="G87">
        <v>-205.2776750377688</v>
      </c>
      <c r="H87">
        <v>-125.03455532134076</v>
      </c>
      <c r="I87">
        <v>74.777309895766507</v>
      </c>
      <c r="J87">
        <v>28.947746093820498</v>
      </c>
      <c r="K87">
        <v>32.3992217402132</v>
      </c>
      <c r="L87">
        <v>1.6682577346642036E-3</v>
      </c>
      <c r="M87">
        <v>9.969144700709108E-4</v>
      </c>
      <c r="N87" s="1">
        <v>-5.5523306756008199E-5</v>
      </c>
      <c r="O87" s="1">
        <v>7.3467260800930094E-5</v>
      </c>
      <c r="P87" s="1">
        <v>-4.9727893554915898E-5</v>
      </c>
    </row>
    <row r="88" spans="1:16" x14ac:dyDescent="0.2">
      <c r="A88">
        <v>87</v>
      </c>
      <c r="B88">
        <v>798</v>
      </c>
      <c r="C88">
        <v>100</v>
      </c>
      <c r="D88">
        <v>0.51173085002101004</v>
      </c>
      <c r="E88">
        <v>10.632053598068</v>
      </c>
      <c r="F88">
        <v>0.32465360829942003</v>
      </c>
      <c r="G88">
        <v>-218.50429289477367</v>
      </c>
      <c r="H88">
        <v>-136.31955836289023</v>
      </c>
      <c r="I88">
        <v>76.729594988549096</v>
      </c>
      <c r="J88">
        <v>30.069252304430901</v>
      </c>
      <c r="K88">
        <v>32.748915540351298</v>
      </c>
      <c r="L88">
        <v>1.6623886431492885E-3</v>
      </c>
      <c r="M88">
        <v>9.8815693717891413E-4</v>
      </c>
      <c r="N88" s="1">
        <v>-5.6163678538115802E-5</v>
      </c>
      <c r="O88" s="1">
        <v>7.3704797947051897E-5</v>
      </c>
      <c r="P88" s="1">
        <v>-5.0169467131055097E-5</v>
      </c>
    </row>
    <row r="89" spans="1:16" x14ac:dyDescent="0.2">
      <c r="A89">
        <v>88</v>
      </c>
      <c r="B89">
        <v>796</v>
      </c>
      <c r="C89">
        <v>100</v>
      </c>
      <c r="D89">
        <v>0.51068652668007097</v>
      </c>
      <c r="E89">
        <v>11.436311689032101</v>
      </c>
      <c r="F89">
        <v>0.34555030339577802</v>
      </c>
      <c r="G89">
        <v>-231.68478261685641</v>
      </c>
      <c r="H89">
        <v>-147.57662681477422</v>
      </c>
      <c r="I89">
        <v>78.672167208821506</v>
      </c>
      <c r="J89">
        <v>31.189316917408199</v>
      </c>
      <c r="K89">
        <v>33.095938787046897</v>
      </c>
      <c r="L89">
        <v>1.6567881977921695E-3</v>
      </c>
      <c r="M89">
        <v>9.7959522166107533E-4</v>
      </c>
      <c r="N89" s="1">
        <v>-5.6806645806257502E-5</v>
      </c>
      <c r="O89" s="1">
        <v>7.3938984987858498E-5</v>
      </c>
      <c r="P89" s="1">
        <v>-5.0614893389717802E-5</v>
      </c>
    </row>
    <row r="90" spans="1:16" x14ac:dyDescent="0.2">
      <c r="A90">
        <v>89</v>
      </c>
      <c r="B90">
        <v>794</v>
      </c>
      <c r="C90">
        <v>100</v>
      </c>
      <c r="D90">
        <v>0.50963828890034402</v>
      </c>
      <c r="E90">
        <v>12.2378568726881</v>
      </c>
      <c r="F90">
        <v>0.36596673030402399</v>
      </c>
      <c r="G90">
        <v>-244.80596225471371</v>
      </c>
      <c r="H90">
        <v>-158.79472959435631</v>
      </c>
      <c r="I90">
        <v>80.602956398332594</v>
      </c>
      <c r="J90">
        <v>32.306907190594899</v>
      </c>
      <c r="K90">
        <v>33.4398071172252</v>
      </c>
      <c r="L90">
        <v>1.6514603813725672E-3</v>
      </c>
      <c r="M90">
        <v>9.7122922263779535E-4</v>
      </c>
      <c r="N90" s="1">
        <v>-5.7451695466313E-5</v>
      </c>
      <c r="O90" s="1">
        <v>7.41693793794334E-5</v>
      </c>
      <c r="P90" s="1">
        <v>-5.1063973915827998E-5</v>
      </c>
    </row>
    <row r="91" spans="1:16" x14ac:dyDescent="0.2">
      <c r="A91">
        <v>90</v>
      </c>
      <c r="B91">
        <v>792</v>
      </c>
      <c r="C91">
        <v>100</v>
      </c>
      <c r="D91">
        <v>0.50858611463174297</v>
      </c>
      <c r="E91">
        <v>13.0359778571924</v>
      </c>
      <c r="F91">
        <v>0.38590718822018699</v>
      </c>
      <c r="G91">
        <v>-257.85596999464047</v>
      </c>
      <c r="H91">
        <v>-169.96391802762352</v>
      </c>
      <c r="I91">
        <v>82.520100039179695</v>
      </c>
      <c r="J91">
        <v>33.421096337267599</v>
      </c>
      <c r="K91">
        <v>33.780085614146401</v>
      </c>
      <c r="L91">
        <v>1.6464073136816903E-3</v>
      </c>
      <c r="M91">
        <v>9.630576740131629E-4</v>
      </c>
      <c r="N91" s="1">
        <v>-5.8098327258717702E-5</v>
      </c>
      <c r="O91" s="1">
        <v>7.4395583833904299E-5</v>
      </c>
      <c r="P91" s="1">
        <v>-5.1516537807473502E-5</v>
      </c>
    </row>
    <row r="92" spans="1:16" x14ac:dyDescent="0.2">
      <c r="A92">
        <v>91</v>
      </c>
      <c r="B92">
        <v>790</v>
      </c>
      <c r="C92">
        <v>100</v>
      </c>
      <c r="D92">
        <v>0.507529981658283</v>
      </c>
      <c r="E92">
        <v>17.248132412622901</v>
      </c>
      <c r="F92">
        <v>0.47943372895514402</v>
      </c>
      <c r="G92">
        <v>-327.45012447870045</v>
      </c>
      <c r="H92">
        <v>-229.08994051074555</v>
      </c>
      <c r="I92">
        <v>92.521763585212696</v>
      </c>
      <c r="J92">
        <v>38.9131526222112</v>
      </c>
      <c r="K92">
        <v>35.976051268258999</v>
      </c>
      <c r="L92">
        <v>1.585223770499501E-3</v>
      </c>
      <c r="M92">
        <v>9.2200128132106365E-4</v>
      </c>
      <c r="N92" s="1">
        <v>-5.9805984382436202E-5</v>
      </c>
      <c r="O92" s="1">
        <v>7.5955117797021907E-5</v>
      </c>
      <c r="P92" s="1">
        <v>-5.2904260035683897E-5</v>
      </c>
    </row>
    <row r="93" spans="1:16" x14ac:dyDescent="0.2">
      <c r="A93">
        <v>92</v>
      </c>
      <c r="B93">
        <v>788</v>
      </c>
      <c r="C93">
        <v>100</v>
      </c>
      <c r="D93">
        <v>0.50646986759647905</v>
      </c>
      <c r="E93">
        <v>23.857114080669898</v>
      </c>
      <c r="F93">
        <v>0.60470020878235697</v>
      </c>
      <c r="G93">
        <v>-436.38470055892441</v>
      </c>
      <c r="H93">
        <v>-321.62405801058856</v>
      </c>
      <c r="I93">
        <v>108.15164509227399</v>
      </c>
      <c r="J93">
        <v>47.462321562055202</v>
      </c>
      <c r="K93">
        <v>39.452796169376803</v>
      </c>
      <c r="L93">
        <v>1.4987399761528198E-3</v>
      </c>
      <c r="M93">
        <v>8.6655062778755057E-4</v>
      </c>
      <c r="N93" s="1">
        <v>-6.2233566651842296E-5</v>
      </c>
      <c r="O93" s="1">
        <v>7.8388765344118006E-5</v>
      </c>
      <c r="P93" s="1">
        <v>-5.4922032731237798E-5</v>
      </c>
    </row>
    <row r="94" spans="1:16" x14ac:dyDescent="0.2">
      <c r="A94">
        <v>93</v>
      </c>
      <c r="B94">
        <v>786</v>
      </c>
      <c r="C94">
        <v>100</v>
      </c>
      <c r="D94">
        <v>0.50540574989378495</v>
      </c>
      <c r="E94">
        <v>42.468562232037698</v>
      </c>
      <c r="F94">
        <v>0.86188842858750903</v>
      </c>
      <c r="G94">
        <v>-741.51115581317549</v>
      </c>
      <c r="H94">
        <v>-580.77680677957358</v>
      </c>
      <c r="I94">
        <v>151.76246055718201</v>
      </c>
      <c r="J94">
        <v>71.207806825175396</v>
      </c>
      <c r="K94">
        <v>49.273851258957599</v>
      </c>
      <c r="L94">
        <v>1.3085209863401988E-3</v>
      </c>
      <c r="M94">
        <v>7.5136976885250683E-4</v>
      </c>
      <c r="N94" s="1">
        <v>-6.8040471519617302E-5</v>
      </c>
      <c r="O94" s="1">
        <v>8.4987704741318299E-5</v>
      </c>
      <c r="P94" s="1">
        <v>-5.9900856566129602E-5</v>
      </c>
    </row>
    <row r="95" spans="1:16" x14ac:dyDescent="0.2">
      <c r="A95">
        <v>94</v>
      </c>
      <c r="B95">
        <v>784</v>
      </c>
      <c r="C95">
        <v>100</v>
      </c>
      <c r="D95">
        <v>0.50433760582698905</v>
      </c>
      <c r="E95">
        <v>69.216876975829706</v>
      </c>
      <c r="F95">
        <v>1.0931837612066999</v>
      </c>
      <c r="G95">
        <v>-1177.7860455931716</v>
      </c>
      <c r="H95">
        <v>-951.45253227603757</v>
      </c>
      <c r="I95">
        <v>214.10293629399899</v>
      </c>
      <c r="J95">
        <v>105.18395639704799</v>
      </c>
      <c r="K95">
        <v>63.316781159852901</v>
      </c>
      <c r="L95">
        <v>1.1372644759270916E-3</v>
      </c>
      <c r="M95">
        <v>6.4835611516758358E-4</v>
      </c>
      <c r="N95" s="1">
        <v>-7.6165563057822101E-5</v>
      </c>
      <c r="O95" s="1">
        <v>9.4342557656503493E-5</v>
      </c>
      <c r="P95" s="1">
        <v>-6.6895158630592998E-5</v>
      </c>
    </row>
    <row r="96" spans="1:16" x14ac:dyDescent="0.2">
      <c r="A96">
        <v>95</v>
      </c>
      <c r="B96">
        <v>782</v>
      </c>
      <c r="C96">
        <v>100</v>
      </c>
      <c r="D96">
        <v>0.50326541250059598</v>
      </c>
      <c r="E96">
        <v>89.967045736057599</v>
      </c>
      <c r="F96">
        <v>1.2139986103471201</v>
      </c>
      <c r="G96">
        <v>-1514.8662528642813</v>
      </c>
      <c r="H96">
        <v>-1238.2114545807935</v>
      </c>
      <c r="I96">
        <v>262.20027795252201</v>
      </c>
      <c r="J96">
        <v>131.50895821970099</v>
      </c>
      <c r="K96">
        <v>74.108030247524695</v>
      </c>
      <c r="L96">
        <v>1.0506752220821047E-3</v>
      </c>
      <c r="M96">
        <v>5.9508221227323353E-4</v>
      </c>
      <c r="N96" s="1">
        <v>-8.2600615465348298E-5</v>
      </c>
      <c r="O96">
        <v>1.0147677834826999E-4</v>
      </c>
      <c r="P96" s="1">
        <v>-7.2392067627315607E-5</v>
      </c>
    </row>
    <row r="97" spans="1:16" x14ac:dyDescent="0.2">
      <c r="A97">
        <v>96</v>
      </c>
      <c r="B97">
        <v>780</v>
      </c>
      <c r="C97">
        <v>100</v>
      </c>
      <c r="D97">
        <v>0.50218914684517901</v>
      </c>
      <c r="E97">
        <v>99.635997232107997</v>
      </c>
      <c r="F97">
        <v>1.26078617127652</v>
      </c>
      <c r="G97">
        <v>-1671.602683715231</v>
      </c>
      <c r="H97">
        <v>-1372.0955664661535</v>
      </c>
      <c r="I97">
        <v>284.39741359427597</v>
      </c>
      <c r="J97">
        <v>143.82549507862601</v>
      </c>
      <c r="K97">
        <v>79.026879816764193</v>
      </c>
      <c r="L97">
        <v>1.0208259881391883E-3</v>
      </c>
      <c r="M97">
        <v>5.747711706198948E-4</v>
      </c>
      <c r="N97" s="1">
        <v>-8.58845076231214E-5</v>
      </c>
      <c r="O97">
        <v>1.0466618004219399E-4</v>
      </c>
      <c r="P97" s="1">
        <v>-7.5126922269923597E-5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8AB87-7AF8-4ECC-AAA5-3072B808A05A}">
  <sheetPr codeName="Sheet6"/>
  <dimension ref="A1:AN14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130</v>
      </c>
      <c r="AK1" t="s">
        <v>131</v>
      </c>
      <c r="AL1" t="s">
        <v>132</v>
      </c>
      <c r="AM1" t="s">
        <v>133</v>
      </c>
      <c r="AN1" t="s">
        <v>80</v>
      </c>
    </row>
    <row r="2" spans="1:40" x14ac:dyDescent="0.2">
      <c r="A2">
        <v>13</v>
      </c>
      <c r="B2">
        <v>734</v>
      </c>
      <c r="C2">
        <v>300</v>
      </c>
      <c r="D2">
        <v>0.25781710768008598</v>
      </c>
      <c r="E2">
        <v>3.2621141328445499E-2</v>
      </c>
      <c r="F2">
        <v>4.66180299954046</v>
      </c>
      <c r="G2">
        <v>-0.30828656301033541</v>
      </c>
      <c r="H2">
        <v>-0.25079094327555579</v>
      </c>
      <c r="I2">
        <v>5.70874445065577E-2</v>
      </c>
      <c r="J2">
        <v>2.9865812822109799E-2</v>
      </c>
      <c r="K2">
        <v>6.9975375046223897E-3</v>
      </c>
      <c r="L2">
        <v>3.1689388980842878E-5</v>
      </c>
      <c r="M2">
        <v>5.5247479311660599E-7</v>
      </c>
      <c r="N2" s="1">
        <v>3.5941224185659502E-11</v>
      </c>
      <c r="O2" s="1">
        <v>1.53024656250403E-14</v>
      </c>
      <c r="P2" s="1">
        <v>5.15835048636015E-14</v>
      </c>
      <c r="R2">
        <v>47.2990343173445</v>
      </c>
      <c r="S2">
        <v>2.2810978299970399</v>
      </c>
      <c r="T2">
        <v>9.7000138832457203</v>
      </c>
      <c r="V2">
        <v>37.757938155296301</v>
      </c>
      <c r="W2">
        <v>0.65695753295441806</v>
      </c>
      <c r="X2">
        <v>2.30495828116192</v>
      </c>
      <c r="AJ2">
        <v>8.4711408689950404E-2</v>
      </c>
      <c r="AK2">
        <v>8.9974604592073903E-2</v>
      </c>
      <c r="AL2">
        <v>0.77845686659734503</v>
      </c>
      <c r="AM2">
        <v>1.37180798050966E-2</v>
      </c>
      <c r="AN2">
        <v>3.3139040315533101E-2</v>
      </c>
    </row>
    <row r="3" spans="1:40" x14ac:dyDescent="0.2">
      <c r="A3">
        <v>14</v>
      </c>
      <c r="B3">
        <v>732</v>
      </c>
      <c r="C3">
        <v>300</v>
      </c>
      <c r="D3">
        <v>0.256201064517732</v>
      </c>
      <c r="E3">
        <v>4.8725214330974598E-2</v>
      </c>
      <c r="F3">
        <v>4.66616003185392</v>
      </c>
      <c r="G3">
        <v>-0.46143216785624203</v>
      </c>
      <c r="H3">
        <v>-0.3756015098686204</v>
      </c>
      <c r="I3">
        <v>8.5390894878994802E-2</v>
      </c>
      <c r="J3">
        <v>4.4527019456795901E-2</v>
      </c>
      <c r="K3">
        <v>1.0442251015470499E-2</v>
      </c>
      <c r="L3">
        <v>3.1516581247521164E-5</v>
      </c>
      <c r="M3">
        <v>5.5193883270497187E-7</v>
      </c>
      <c r="N3" s="1">
        <v>6.1580898250059604E-11</v>
      </c>
      <c r="O3" s="1">
        <v>2.2816226355583201E-14</v>
      </c>
      <c r="P3" s="1">
        <v>6.64291739057796E-14</v>
      </c>
      <c r="R3">
        <v>47.200953282946699</v>
      </c>
      <c r="S3">
        <v>2.4162745496136599</v>
      </c>
      <c r="T3">
        <v>9.7599578244746805</v>
      </c>
      <c r="V3">
        <v>37.076110370460803</v>
      </c>
      <c r="W3">
        <v>1.2399920739387</v>
      </c>
      <c r="X3">
        <v>2.3067118985652799</v>
      </c>
      <c r="AJ3">
        <v>8.4716430263752904E-2</v>
      </c>
      <c r="AK3">
        <v>9.0467166662740198E-2</v>
      </c>
      <c r="AL3">
        <v>0.76386376015709601</v>
      </c>
      <c r="AM3">
        <v>2.5874406354404401E-2</v>
      </c>
      <c r="AN3">
        <v>3.5078236562005698E-2</v>
      </c>
    </row>
    <row r="4" spans="1:40" x14ac:dyDescent="0.2">
      <c r="A4">
        <v>25</v>
      </c>
      <c r="B4">
        <v>738</v>
      </c>
      <c r="C4">
        <v>275</v>
      </c>
      <c r="D4">
        <v>0.28822677149780002</v>
      </c>
      <c r="E4">
        <v>2.07521367432042E-2</v>
      </c>
      <c r="F4">
        <v>4.6574649514600699</v>
      </c>
      <c r="G4">
        <v>-0.1965691612309641</v>
      </c>
      <c r="H4">
        <v>-0.15975892719053306</v>
      </c>
      <c r="I4">
        <v>3.64043258076754E-2</v>
      </c>
      <c r="J4">
        <v>1.9026107281026699E-2</v>
      </c>
      <c r="K4">
        <v>4.4556721219552297E-3</v>
      </c>
      <c r="L4">
        <v>3.1686475805732651E-5</v>
      </c>
      <c r="M4">
        <v>5.5280077730316494E-7</v>
      </c>
      <c r="N4" s="1">
        <v>2.15470649406523E-11</v>
      </c>
      <c r="O4" s="1">
        <v>9.7307967622239993E-15</v>
      </c>
      <c r="P4" s="1">
        <v>3.5954873077994798E-14</v>
      </c>
      <c r="R4">
        <v>47.314095767949098</v>
      </c>
      <c r="S4">
        <v>2.23854827133033</v>
      </c>
      <c r="T4">
        <v>9.8023601896576</v>
      </c>
      <c r="V4">
        <v>37.6233659606389</v>
      </c>
      <c r="W4">
        <v>0.60282536853817703</v>
      </c>
      <c r="X4">
        <v>2.4188044418857699</v>
      </c>
      <c r="AJ4">
        <v>8.8841231954893699E-2</v>
      </c>
      <c r="AK4">
        <v>9.0868472539948897E-2</v>
      </c>
      <c r="AL4">
        <v>0.77520918572022901</v>
      </c>
      <c r="AM4">
        <v>1.2580054679087099E-2</v>
      </c>
      <c r="AN4">
        <v>3.2501055105840802E-2</v>
      </c>
    </row>
    <row r="5" spans="1:40" x14ac:dyDescent="0.2">
      <c r="A5">
        <v>26</v>
      </c>
      <c r="B5">
        <v>736</v>
      </c>
      <c r="C5">
        <v>275</v>
      </c>
      <c r="D5">
        <v>0.28667740177377199</v>
      </c>
      <c r="E5">
        <v>4.3636627695329999E-2</v>
      </c>
      <c r="F5">
        <v>4.6621299459774601</v>
      </c>
      <c r="G5">
        <v>-0.41426465808206481</v>
      </c>
      <c r="H5">
        <v>-0.33689129068020701</v>
      </c>
      <c r="I5">
        <v>7.6671820246601297E-2</v>
      </c>
      <c r="J5">
        <v>3.9928242497715101E-2</v>
      </c>
      <c r="K5">
        <v>9.3598051107477397E-3</v>
      </c>
      <c r="L5">
        <v>3.1507911167833047E-5</v>
      </c>
      <c r="M5">
        <v>5.5225458393449682E-7</v>
      </c>
      <c r="N5" s="1">
        <v>5.3083593652425899E-11</v>
      </c>
      <c r="O5" s="1">
        <v>2.0424448092563399E-14</v>
      </c>
      <c r="P5" s="1">
        <v>6.5206488279019896E-14</v>
      </c>
      <c r="R5">
        <v>47.215168573209603</v>
      </c>
      <c r="S5">
        <v>2.3743921753164199</v>
      </c>
      <c r="T5">
        <v>9.8671704368380606</v>
      </c>
      <c r="V5">
        <v>36.884738645841402</v>
      </c>
      <c r="W5">
        <v>1.2337388550475801</v>
      </c>
      <c r="X5">
        <v>2.4247913137468098</v>
      </c>
      <c r="AJ5">
        <v>8.8995254163906495E-2</v>
      </c>
      <c r="AK5">
        <v>9.1401614337501297E-2</v>
      </c>
      <c r="AL5">
        <v>0.75942805877103803</v>
      </c>
      <c r="AM5">
        <v>2.5727223316671499E-2</v>
      </c>
      <c r="AN5">
        <v>3.4447849410881699E-2</v>
      </c>
    </row>
    <row r="6" spans="1:40" x14ac:dyDescent="0.2">
      <c r="A6">
        <v>35</v>
      </c>
      <c r="B6">
        <v>742</v>
      </c>
      <c r="C6">
        <v>250</v>
      </c>
      <c r="D6">
        <v>0.318396788651924</v>
      </c>
      <c r="E6">
        <v>1.19037707702536E-2</v>
      </c>
      <c r="F6">
        <v>4.6538831144158799</v>
      </c>
      <c r="G6">
        <v>-0.11304940465162487</v>
      </c>
      <c r="H6">
        <v>-9.1792196716560137E-2</v>
      </c>
      <c r="I6">
        <v>2.09399674285226E-2</v>
      </c>
      <c r="J6">
        <v>1.0925829564296699E-2</v>
      </c>
      <c r="K6">
        <v>2.5578147275294701E-3</v>
      </c>
      <c r="L6">
        <v>3.1660749101118211E-5</v>
      </c>
      <c r="M6">
        <v>5.5307126865674764E-7</v>
      </c>
      <c r="N6" s="1">
        <v>1.20003655830776E-11</v>
      </c>
      <c r="O6" s="1">
        <v>5.5787129312261996E-15</v>
      </c>
      <c r="P6" s="1">
        <v>2.18655115096381E-14</v>
      </c>
      <c r="R6">
        <v>47.3207667742331</v>
      </c>
      <c r="S6">
        <v>2.20348690800627</v>
      </c>
      <c r="T6">
        <v>9.9166716013457492</v>
      </c>
      <c r="V6">
        <v>37.379022996455099</v>
      </c>
      <c r="W6">
        <v>0.64447409105861198</v>
      </c>
      <c r="X6">
        <v>2.5355776289011098</v>
      </c>
      <c r="AJ6">
        <v>9.3067492509904204E-2</v>
      </c>
      <c r="AK6">
        <v>9.1866207832321203E-2</v>
      </c>
      <c r="AL6">
        <v>0.76965571011627298</v>
      </c>
      <c r="AM6">
        <v>1.34401389279736E-2</v>
      </c>
      <c r="AN6">
        <v>3.1970450613527802E-2</v>
      </c>
    </row>
    <row r="7" spans="1:40" x14ac:dyDescent="0.2">
      <c r="A7">
        <v>36</v>
      </c>
      <c r="B7">
        <v>740</v>
      </c>
      <c r="C7">
        <v>250</v>
      </c>
      <c r="D7">
        <v>0.31691309282929903</v>
      </c>
      <c r="E7">
        <v>3.85496084085412E-2</v>
      </c>
      <c r="F7">
        <v>4.6587659363764704</v>
      </c>
      <c r="G7">
        <v>-0.3669327659539785</v>
      </c>
      <c r="H7">
        <v>-0.29811336572187958</v>
      </c>
      <c r="I7">
        <v>6.7926171082365802E-2</v>
      </c>
      <c r="J7">
        <v>3.5310518737958201E-2</v>
      </c>
      <c r="K7">
        <v>8.2746394506620306E-3</v>
      </c>
      <c r="L7">
        <v>3.1478563926394763E-5</v>
      </c>
      <c r="M7">
        <v>5.5251037493858635E-7</v>
      </c>
      <c r="N7" s="1">
        <v>4.5496866830406602E-11</v>
      </c>
      <c r="O7" s="1">
        <v>1.8030204262888399E-14</v>
      </c>
      <c r="P7" s="1">
        <v>6.2143780128130804E-14</v>
      </c>
      <c r="R7">
        <v>47.217205960292397</v>
      </c>
      <c r="S7">
        <v>2.33742277747477</v>
      </c>
      <c r="T7">
        <v>9.9938721068810192</v>
      </c>
      <c r="V7">
        <v>36.608704597805698</v>
      </c>
      <c r="W7">
        <v>1.29947523850299</v>
      </c>
      <c r="X7">
        <v>2.5433193190430301</v>
      </c>
      <c r="AJ7">
        <v>9.3282528106308896E-2</v>
      </c>
      <c r="AK7">
        <v>9.2512828899048397E-2</v>
      </c>
      <c r="AL7">
        <v>0.75323627596840603</v>
      </c>
      <c r="AM7">
        <v>2.7079748063988E-2</v>
      </c>
      <c r="AN7">
        <v>3.3888618962248498E-2</v>
      </c>
    </row>
    <row r="8" spans="1:40" x14ac:dyDescent="0.2">
      <c r="A8">
        <v>43</v>
      </c>
      <c r="B8">
        <v>746</v>
      </c>
      <c r="C8">
        <v>225</v>
      </c>
      <c r="D8">
        <v>0.34832998086640898</v>
      </c>
      <c r="E8">
        <v>9.5072382159791299E-3</v>
      </c>
      <c r="F8">
        <v>4.6508348346633497</v>
      </c>
      <c r="G8">
        <v>-9.0561150444056618E-2</v>
      </c>
      <c r="H8">
        <v>-7.3463333648739498E-2</v>
      </c>
      <c r="I8">
        <v>1.6776545940555498E-2</v>
      </c>
      <c r="J8">
        <v>8.7339987226751001E-3</v>
      </c>
      <c r="K8">
        <v>2.04420035412143E-3</v>
      </c>
      <c r="L8">
        <v>3.161283912248441E-5</v>
      </c>
      <c r="M8">
        <v>5.532648571538781E-7</v>
      </c>
      <c r="N8" s="1">
        <v>9.5473228348459294E-12</v>
      </c>
      <c r="O8" s="1">
        <v>4.45216743291061E-15</v>
      </c>
      <c r="P8" s="1">
        <v>1.81333240343691E-14</v>
      </c>
      <c r="R8">
        <v>47.315665292855599</v>
      </c>
      <c r="S8">
        <v>2.1846879816008902</v>
      </c>
      <c r="T8">
        <v>10.0420385204803</v>
      </c>
      <c r="V8">
        <v>37.025529666959102</v>
      </c>
      <c r="W8">
        <v>0.774843256583719</v>
      </c>
      <c r="X8">
        <v>2.6572352815201898</v>
      </c>
      <c r="AJ8">
        <v>9.7455498397186605E-2</v>
      </c>
      <c r="AK8">
        <v>9.2953763040368398E-2</v>
      </c>
      <c r="AL8">
        <v>0.76177210461363298</v>
      </c>
      <c r="AM8">
        <v>1.6146090711907701E-2</v>
      </c>
      <c r="AN8">
        <v>3.1672543236903501E-2</v>
      </c>
    </row>
    <row r="9" spans="1:40" x14ac:dyDescent="0.2">
      <c r="A9">
        <v>44</v>
      </c>
      <c r="B9">
        <v>744</v>
      </c>
      <c r="C9">
        <v>225</v>
      </c>
      <c r="D9">
        <v>0.34691097674876298</v>
      </c>
      <c r="E9">
        <v>3.4464897336939901E-2</v>
      </c>
      <c r="F9">
        <v>4.6556417409710598</v>
      </c>
      <c r="G9">
        <v>-0.3289887490642211</v>
      </c>
      <c r="H9">
        <v>-0.26703151146934678</v>
      </c>
      <c r="I9">
        <v>6.0912586732413398E-2</v>
      </c>
      <c r="J9">
        <v>3.1599977427130103E-2</v>
      </c>
      <c r="K9">
        <v>7.4028241979270703E-3</v>
      </c>
      <c r="L9">
        <v>3.1436531246179949E-5</v>
      </c>
      <c r="M9">
        <v>5.5270488618765343E-7</v>
      </c>
      <c r="N9" s="1">
        <v>3.9556757642305699E-11</v>
      </c>
      <c r="O9" s="1">
        <v>1.6103869322015198E-14</v>
      </c>
      <c r="P9" s="1">
        <v>5.9541761357619006E-14</v>
      </c>
      <c r="R9">
        <v>47.207808416724497</v>
      </c>
      <c r="S9">
        <v>2.3143964076235699</v>
      </c>
      <c r="T9">
        <v>10.1306292128204</v>
      </c>
      <c r="V9">
        <v>36.272737971556502</v>
      </c>
      <c r="W9">
        <v>1.4104059543723599</v>
      </c>
      <c r="X9">
        <v>2.6640220369024901</v>
      </c>
      <c r="AJ9">
        <v>9.7635567601269194E-2</v>
      </c>
      <c r="AK9">
        <v>9.3707730287481E-2</v>
      </c>
      <c r="AL9">
        <v>0.74575818638389202</v>
      </c>
      <c r="AM9">
        <v>2.9369162943955002E-2</v>
      </c>
      <c r="AN9">
        <v>3.3529352783402501E-2</v>
      </c>
    </row>
    <row r="10" spans="1:40" x14ac:dyDescent="0.2">
      <c r="A10">
        <v>49</v>
      </c>
      <c r="B10">
        <v>750</v>
      </c>
      <c r="C10">
        <v>200</v>
      </c>
      <c r="D10">
        <v>0.37802912573913899</v>
      </c>
      <c r="E10">
        <v>1.43569271220011E-2</v>
      </c>
      <c r="F10">
        <v>4.6487601017941298</v>
      </c>
      <c r="G10">
        <v>-0.13724996765536351</v>
      </c>
      <c r="H10">
        <v>-0.11123252654855036</v>
      </c>
      <c r="I10">
        <v>2.54287651926043E-2</v>
      </c>
      <c r="J10">
        <v>1.31959179260918E-2</v>
      </c>
      <c r="K10">
        <v>3.0883346973444E-3</v>
      </c>
      <c r="L10">
        <v>3.1524465439712608E-5</v>
      </c>
      <c r="M10">
        <v>5.5330785778249071E-7</v>
      </c>
      <c r="N10" s="1">
        <v>1.4806634637111501E-11</v>
      </c>
      <c r="O10" s="1">
        <v>6.7140987084599702E-15</v>
      </c>
      <c r="P10" s="1">
        <v>2.7906498677502E-14</v>
      </c>
      <c r="R10">
        <v>47.283514048503498</v>
      </c>
      <c r="S10">
        <v>2.1938632300449399</v>
      </c>
      <c r="T10">
        <v>10.1977262048156</v>
      </c>
      <c r="V10">
        <v>36.485930629297897</v>
      </c>
      <c r="W10">
        <v>1.05365923275476</v>
      </c>
      <c r="X10">
        <v>2.7853066545832199</v>
      </c>
      <c r="AJ10">
        <v>0.102052641570042</v>
      </c>
      <c r="AK10">
        <v>9.4302528564124702E-2</v>
      </c>
      <c r="AL10">
        <v>0.74993584180457296</v>
      </c>
      <c r="AM10">
        <v>2.1934543714831702E-2</v>
      </c>
      <c r="AN10">
        <v>3.17744443464274E-2</v>
      </c>
    </row>
    <row r="11" spans="1:40" x14ac:dyDescent="0.2">
      <c r="A11">
        <v>50</v>
      </c>
      <c r="B11">
        <v>748</v>
      </c>
      <c r="C11">
        <v>200</v>
      </c>
      <c r="D11">
        <v>0.37667384811242399</v>
      </c>
      <c r="E11">
        <v>3.2387678020843698E-2</v>
      </c>
      <c r="F11">
        <v>4.6530777421763601</v>
      </c>
      <c r="G11">
        <v>-0.31016311257274182</v>
      </c>
      <c r="H11">
        <v>-0.25151264037138182</v>
      </c>
      <c r="I11">
        <v>5.7435706998344903E-2</v>
      </c>
      <c r="J11">
        <v>2.9721075754068502E-2</v>
      </c>
      <c r="K11">
        <v>6.9604850413900804E-3</v>
      </c>
      <c r="L11">
        <v>3.1372508410955524E-5</v>
      </c>
      <c r="M11">
        <v>5.5278635429816859E-7</v>
      </c>
      <c r="N11" s="1">
        <v>3.6225816143385803E-11</v>
      </c>
      <c r="O11" s="1">
        <v>1.5110137566896199E-14</v>
      </c>
      <c r="P11" s="1">
        <v>5.9774110399856906E-14</v>
      </c>
      <c r="R11">
        <v>47.174889949507097</v>
      </c>
      <c r="S11">
        <v>2.31613308861693</v>
      </c>
      <c r="T11">
        <v>10.2906704940703</v>
      </c>
      <c r="V11">
        <v>35.819513263113897</v>
      </c>
      <c r="W11">
        <v>1.61122659972829</v>
      </c>
      <c r="X11">
        <v>2.7875666049633598</v>
      </c>
      <c r="AJ11">
        <v>0.102071884072772</v>
      </c>
      <c r="AK11">
        <v>9.5102800722024095E-2</v>
      </c>
      <c r="AL11">
        <v>0.73578004752897297</v>
      </c>
      <c r="AM11">
        <v>3.3520824698330398E-2</v>
      </c>
      <c r="AN11">
        <v>3.35244429778985E-2</v>
      </c>
    </row>
    <row r="12" spans="1:40" x14ac:dyDescent="0.2">
      <c r="A12">
        <v>58</v>
      </c>
      <c r="B12">
        <v>754</v>
      </c>
      <c r="C12">
        <v>175</v>
      </c>
      <c r="D12">
        <v>0.40749695760112897</v>
      </c>
      <c r="E12">
        <v>2.1597663348872202E-2</v>
      </c>
      <c r="F12">
        <v>4.6478092859415696</v>
      </c>
      <c r="G12">
        <v>-0.2073423392961305</v>
      </c>
      <c r="H12">
        <v>-0.16787801615697526</v>
      </c>
      <c r="I12">
        <v>3.8421187887996103E-2</v>
      </c>
      <c r="J12">
        <v>1.98558331308306E-2</v>
      </c>
      <c r="K12">
        <v>4.6468480137942898E-3</v>
      </c>
      <c r="L12">
        <v>3.1394326978478857E-5</v>
      </c>
      <c r="M12">
        <v>5.5314061475529366E-7</v>
      </c>
      <c r="N12" s="1">
        <v>2.2757959109442101E-11</v>
      </c>
      <c r="O12" s="1">
        <v>1.0075024771378199E-14</v>
      </c>
      <c r="P12" s="1">
        <v>4.3261881759412802E-14</v>
      </c>
      <c r="R12">
        <v>47.205166555908399</v>
      </c>
      <c r="S12">
        <v>2.2437102289498299</v>
      </c>
      <c r="T12">
        <v>10.405815399985901</v>
      </c>
      <c r="V12">
        <v>35.731611997666299</v>
      </c>
      <c r="W12">
        <v>1.49617922793322</v>
      </c>
      <c r="X12">
        <v>2.9175165895561999</v>
      </c>
      <c r="AJ12">
        <v>0.106768839230207</v>
      </c>
      <c r="AK12">
        <v>9.6111656071590196E-2</v>
      </c>
      <c r="AL12">
        <v>0.73355257316935396</v>
      </c>
      <c r="AM12">
        <v>3.11094262574577E-2</v>
      </c>
      <c r="AN12">
        <v>3.2457505271390699E-2</v>
      </c>
    </row>
    <row r="13" spans="1:40" x14ac:dyDescent="0.2">
      <c r="A13">
        <v>68</v>
      </c>
      <c r="B13">
        <v>760</v>
      </c>
      <c r="C13">
        <v>150</v>
      </c>
      <c r="D13">
        <v>0.43796205778444602</v>
      </c>
      <c r="E13">
        <v>1.7240122283160901E-2</v>
      </c>
      <c r="F13">
        <v>4.6443799239747996</v>
      </c>
      <c r="G13">
        <v>-0.16610235601923989</v>
      </c>
      <c r="H13">
        <v>-0.13428112022094449</v>
      </c>
      <c r="I13">
        <v>3.0800208874118301E-2</v>
      </c>
      <c r="J13">
        <v>1.5871636133342099E-2</v>
      </c>
      <c r="K13">
        <v>3.7120396189307199E-3</v>
      </c>
      <c r="L13">
        <v>3.1347727318125326E-5</v>
      </c>
      <c r="M13">
        <v>5.531685014386802E-7</v>
      </c>
      <c r="N13" s="1">
        <v>1.7410223014569301E-11</v>
      </c>
      <c r="O13" s="1">
        <v>8.0288066818061304E-15</v>
      </c>
      <c r="P13" s="1">
        <v>3.7094195135260001E-14</v>
      </c>
      <c r="R13">
        <v>47.167522935909503</v>
      </c>
      <c r="S13">
        <v>2.2402633246238102</v>
      </c>
      <c r="T13">
        <v>10.589370187837099</v>
      </c>
      <c r="V13">
        <v>35.2938632871547</v>
      </c>
      <c r="W13">
        <v>1.6552811215193599</v>
      </c>
      <c r="X13">
        <v>3.0536991429554199</v>
      </c>
      <c r="AJ13">
        <v>0.111646417887488</v>
      </c>
      <c r="AK13">
        <v>9.7714144369773701E-2</v>
      </c>
      <c r="AL13">
        <v>0.72387769343498298</v>
      </c>
      <c r="AM13">
        <v>3.4384879123377503E-2</v>
      </c>
      <c r="AN13">
        <v>3.2376865184375603E-2</v>
      </c>
    </row>
    <row r="14" spans="1:40" x14ac:dyDescent="0.2">
      <c r="A14">
        <v>81</v>
      </c>
      <c r="B14">
        <v>768</v>
      </c>
      <c r="C14">
        <v>125</v>
      </c>
      <c r="D14">
        <v>0.46923161888296799</v>
      </c>
      <c r="E14">
        <v>9.6050520249943705E-3</v>
      </c>
      <c r="F14">
        <v>4.6400531849798297</v>
      </c>
      <c r="G14">
        <v>-9.2899524375174652E-2</v>
      </c>
      <c r="H14">
        <v>-7.4942569949262558E-2</v>
      </c>
      <c r="I14">
        <v>1.7247230875389701E-2</v>
      </c>
      <c r="J14">
        <v>8.8596670244531304E-3</v>
      </c>
      <c r="K14">
        <v>2.0700305884610499E-3</v>
      </c>
      <c r="L14">
        <v>3.1320765888060144E-5</v>
      </c>
      <c r="M14">
        <v>5.5315112844760769E-7</v>
      </c>
      <c r="N14" s="1">
        <v>9.1219324729920804E-12</v>
      </c>
      <c r="O14" s="1">
        <v>4.4651025385610501E-15</v>
      </c>
      <c r="P14" s="1">
        <v>2.2405936455580301E-14</v>
      </c>
      <c r="R14">
        <v>47.126497457697297</v>
      </c>
      <c r="S14">
        <v>2.2305364547578699</v>
      </c>
      <c r="T14">
        <v>10.793069809122599</v>
      </c>
      <c r="V14">
        <v>34.888073817971502</v>
      </c>
      <c r="W14">
        <v>1.7615665793891899</v>
      </c>
      <c r="X14">
        <v>3.2002558810614001</v>
      </c>
      <c r="AJ14">
        <v>0.116889846801456</v>
      </c>
      <c r="AK14">
        <v>9.9496047231921694E-2</v>
      </c>
      <c r="AL14">
        <v>0.71485264117839498</v>
      </c>
      <c r="AM14">
        <v>3.65568141611936E-2</v>
      </c>
      <c r="AN14">
        <v>3.22046506270331E-2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C490A-D5C9-43FD-AE64-B59CC62A4C00}">
  <sheetPr codeName="Sheet7"/>
  <dimension ref="A1:AN22"/>
  <sheetViews>
    <sheetView workbookViewId="0"/>
  </sheetViews>
  <sheetFormatPr defaultRowHeight="15" x14ac:dyDescent="0.2"/>
  <sheetData>
    <row r="1" spans="1:40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126</v>
      </c>
      <c r="AK1" t="s">
        <v>127</v>
      </c>
      <c r="AL1" t="s">
        <v>128</v>
      </c>
      <c r="AM1" t="s">
        <v>101</v>
      </c>
      <c r="AN1" t="s">
        <v>129</v>
      </c>
    </row>
    <row r="2" spans="1:40" x14ac:dyDescent="0.2">
      <c r="A2">
        <v>13</v>
      </c>
      <c r="B2">
        <v>734</v>
      </c>
      <c r="C2">
        <v>300</v>
      </c>
      <c r="D2">
        <v>0.25781710768008598</v>
      </c>
      <c r="E2">
        <v>0.365454125968181</v>
      </c>
      <c r="F2">
        <v>4.9424494904126002</v>
      </c>
      <c r="G2">
        <v>-2.4334873178441532</v>
      </c>
      <c r="H2">
        <v>-1.7876769414227718</v>
      </c>
      <c r="I2">
        <v>0.64122561328638294</v>
      </c>
      <c r="J2">
        <v>0.32369114462009801</v>
      </c>
      <c r="K2">
        <v>7.3941904045168594E-2</v>
      </c>
      <c r="L2">
        <v>3.5609227378067388E-5</v>
      </c>
      <c r="M2">
        <v>4.1421453958704317E-7</v>
      </c>
      <c r="N2" s="1">
        <v>1.4423877220520599E-9</v>
      </c>
      <c r="O2" s="1">
        <v>1.7846497712650099E-13</v>
      </c>
      <c r="P2">
        <v>0</v>
      </c>
      <c r="R2">
        <v>8.9335336117958004</v>
      </c>
      <c r="S2">
        <v>1.84500038321663</v>
      </c>
      <c r="T2">
        <v>50.018715860349303</v>
      </c>
      <c r="V2">
        <v>38.349953934114403</v>
      </c>
      <c r="X2">
        <v>0.85279621052368504</v>
      </c>
      <c r="AJ2">
        <v>0</v>
      </c>
      <c r="AK2">
        <v>-6.9140227313221796E-3</v>
      </c>
      <c r="AL2">
        <v>0.70684198429485401</v>
      </c>
      <c r="AM2">
        <v>4.7749222581645101E-2</v>
      </c>
      <c r="AN2">
        <v>0.25232281585482202</v>
      </c>
    </row>
    <row r="3" spans="1:40" x14ac:dyDescent="0.2">
      <c r="A3">
        <v>14</v>
      </c>
      <c r="B3">
        <v>732</v>
      </c>
      <c r="C3">
        <v>300</v>
      </c>
      <c r="D3">
        <v>0.256201064517732</v>
      </c>
      <c r="E3">
        <v>0.42428695429439101</v>
      </c>
      <c r="F3">
        <v>4.9432154764901997</v>
      </c>
      <c r="G3">
        <v>-2.8232796575576122</v>
      </c>
      <c r="H3">
        <v>-2.0758119783413447</v>
      </c>
      <c r="I3">
        <v>0.74363794380566794</v>
      </c>
      <c r="J3">
        <v>0.37583469576182899</v>
      </c>
      <c r="K3">
        <v>8.5832178733111594E-2</v>
      </c>
      <c r="L3">
        <v>3.5774990353223894E-5</v>
      </c>
      <c r="M3">
        <v>4.164755406232406E-7</v>
      </c>
      <c r="N3" s="1">
        <v>1.6843662240394099E-9</v>
      </c>
      <c r="O3" s="1">
        <v>2.0849129631239399E-13</v>
      </c>
      <c r="P3">
        <v>0</v>
      </c>
      <c r="R3">
        <v>8.69149521991055</v>
      </c>
      <c r="S3">
        <v>1.9710782945157199</v>
      </c>
      <c r="T3">
        <v>50.331590862069703</v>
      </c>
      <c r="V3">
        <v>38.164247740089898</v>
      </c>
      <c r="X3">
        <v>0.84158788341410395</v>
      </c>
      <c r="AJ3">
        <v>0</v>
      </c>
      <c r="AK3">
        <v>-3.4946713155608201E-3</v>
      </c>
      <c r="AL3">
        <v>0.71099631814458597</v>
      </c>
      <c r="AM3">
        <v>4.7103959183530698E-2</v>
      </c>
      <c r="AN3">
        <v>0.245394393987443</v>
      </c>
    </row>
    <row r="4" spans="1:40" x14ac:dyDescent="0.2">
      <c r="A4">
        <v>25</v>
      </c>
      <c r="B4">
        <v>738</v>
      </c>
      <c r="C4">
        <v>275</v>
      </c>
      <c r="D4">
        <v>0.28822677149780002</v>
      </c>
      <c r="E4">
        <v>0.35956316613107098</v>
      </c>
      <c r="F4">
        <v>4.9389666382692603</v>
      </c>
      <c r="G4">
        <v>-2.4019421335184505</v>
      </c>
      <c r="H4">
        <v>-1.7624262982840078</v>
      </c>
      <c r="I4">
        <v>0.63246386316020597</v>
      </c>
      <c r="J4">
        <v>0.31863532688476298</v>
      </c>
      <c r="K4">
        <v>7.2801294777943795E-2</v>
      </c>
      <c r="L4">
        <v>3.5624469441244845E-5</v>
      </c>
      <c r="M4">
        <v>4.144873148251112E-7</v>
      </c>
      <c r="N4" s="1">
        <v>1.41655947015159E-9</v>
      </c>
      <c r="O4" s="1">
        <v>1.75031964561464E-13</v>
      </c>
      <c r="P4">
        <v>0</v>
      </c>
      <c r="R4">
        <v>9.0499859254309705</v>
      </c>
      <c r="S4">
        <v>1.8119175822615301</v>
      </c>
      <c r="T4">
        <v>49.8602644938235</v>
      </c>
      <c r="V4">
        <v>38.374242779078699</v>
      </c>
      <c r="X4">
        <v>0.90358921940525705</v>
      </c>
      <c r="AJ4">
        <v>0</v>
      </c>
      <c r="AK4">
        <v>-1.04868784990891E-2</v>
      </c>
      <c r="AL4">
        <v>0.70437900380682505</v>
      </c>
      <c r="AM4">
        <v>5.0577121476165499E-2</v>
      </c>
      <c r="AN4">
        <v>0.25553075321609697</v>
      </c>
    </row>
    <row r="5" spans="1:40" x14ac:dyDescent="0.2">
      <c r="A5">
        <v>26</v>
      </c>
      <c r="B5">
        <v>736</v>
      </c>
      <c r="C5">
        <v>275</v>
      </c>
      <c r="D5">
        <v>0.28667740177377199</v>
      </c>
      <c r="E5">
        <v>0.431025622489416</v>
      </c>
      <c r="F5">
        <v>4.9398217193049003</v>
      </c>
      <c r="G5">
        <v>-2.8770923521027898</v>
      </c>
      <c r="H5">
        <v>-2.1128366117567379</v>
      </c>
      <c r="I5">
        <v>0.75732620556512997</v>
      </c>
      <c r="J5">
        <v>0.38199842020629299</v>
      </c>
      <c r="K5">
        <v>8.7255299276279799E-2</v>
      </c>
      <c r="L5">
        <v>3.5805691182231445E-5</v>
      </c>
      <c r="M5">
        <v>4.1691964070005835E-7</v>
      </c>
      <c r="N5" s="1">
        <v>1.70873474856112E-9</v>
      </c>
      <c r="O5" s="1">
        <v>2.1122755967274701E-13</v>
      </c>
      <c r="P5">
        <v>0</v>
      </c>
      <c r="R5">
        <v>8.7952906520544296</v>
      </c>
      <c r="S5">
        <v>1.94003627576863</v>
      </c>
      <c r="T5">
        <v>50.194935496923499</v>
      </c>
      <c r="V5">
        <v>38.177789232594002</v>
      </c>
      <c r="X5">
        <v>0.89194834265928802</v>
      </c>
      <c r="AJ5">
        <v>0</v>
      </c>
      <c r="AK5">
        <v>-6.99796241025759E-3</v>
      </c>
      <c r="AL5">
        <v>0.70884379184375701</v>
      </c>
      <c r="AM5">
        <v>4.9907013989159997E-2</v>
      </c>
      <c r="AN5">
        <v>0.24824715657734001</v>
      </c>
    </row>
    <row r="6" spans="1:40" x14ac:dyDescent="0.2">
      <c r="A6">
        <v>35</v>
      </c>
      <c r="B6">
        <v>742</v>
      </c>
      <c r="C6">
        <v>250</v>
      </c>
      <c r="D6">
        <v>0.318396788651924</v>
      </c>
      <c r="E6">
        <v>0.37784164514270602</v>
      </c>
      <c r="F6">
        <v>4.9355459481350499</v>
      </c>
      <c r="G6">
        <v>-2.5319878739774575</v>
      </c>
      <c r="H6">
        <v>-1.855642553817517</v>
      </c>
      <c r="I6">
        <v>0.66625160829428198</v>
      </c>
      <c r="J6">
        <v>0.335008524704136</v>
      </c>
      <c r="K6">
        <v>7.6555187432806301E-2</v>
      </c>
      <c r="L6">
        <v>3.566335574351976E-5</v>
      </c>
      <c r="M6">
        <v>4.1502849174741055E-7</v>
      </c>
      <c r="N6" s="1">
        <v>1.48686053485091E-9</v>
      </c>
      <c r="O6" s="1">
        <v>1.83472285029689E-13</v>
      </c>
      <c r="P6">
        <v>0</v>
      </c>
      <c r="R6">
        <v>9.1432063209257901</v>
      </c>
      <c r="S6">
        <v>1.7876071211290701</v>
      </c>
      <c r="T6">
        <v>49.736251782997897</v>
      </c>
      <c r="V6">
        <v>38.378714189408498</v>
      </c>
      <c r="X6">
        <v>0.95422058553861999</v>
      </c>
      <c r="AJ6">
        <v>0</v>
      </c>
      <c r="AK6">
        <v>-1.3854044967571E-2</v>
      </c>
      <c r="AL6">
        <v>0.70238664306179499</v>
      </c>
      <c r="AM6">
        <v>5.3392863912958E-2</v>
      </c>
      <c r="AN6">
        <v>0.25807453799281699</v>
      </c>
    </row>
    <row r="7" spans="1:40" x14ac:dyDescent="0.2">
      <c r="A7">
        <v>36</v>
      </c>
      <c r="B7">
        <v>740</v>
      </c>
      <c r="C7">
        <v>250</v>
      </c>
      <c r="D7">
        <v>0.31691309282929903</v>
      </c>
      <c r="E7">
        <v>0.44254507823920802</v>
      </c>
      <c r="F7">
        <v>4.9365062405492504</v>
      </c>
      <c r="G7">
        <v>-2.9629959143622662</v>
      </c>
      <c r="H7">
        <v>-2.1732763774041652</v>
      </c>
      <c r="I7">
        <v>0.77946951286393995</v>
      </c>
      <c r="J7">
        <v>0.39241007658323501</v>
      </c>
      <c r="K7">
        <v>8.9647426069083297E-2</v>
      </c>
      <c r="L7">
        <v>3.5855717666863574E-5</v>
      </c>
      <c r="M7">
        <v>4.175815188425503E-7</v>
      </c>
      <c r="N7" s="1">
        <v>1.7529078362450299E-9</v>
      </c>
      <c r="O7" s="1">
        <v>2.16404675004979E-13</v>
      </c>
      <c r="P7">
        <v>0</v>
      </c>
      <c r="R7">
        <v>8.8810880680411604</v>
      </c>
      <c r="S7">
        <v>1.9143019307064499</v>
      </c>
      <c r="T7">
        <v>50.0865975061391</v>
      </c>
      <c r="V7">
        <v>38.1760372859532</v>
      </c>
      <c r="X7">
        <v>0.94197520915999999</v>
      </c>
      <c r="AJ7">
        <v>0</v>
      </c>
      <c r="AK7">
        <v>-1.0362947134303E-2</v>
      </c>
      <c r="AL7">
        <v>0.70708581304373197</v>
      </c>
      <c r="AM7">
        <v>5.2689164315747397E-2</v>
      </c>
      <c r="AN7">
        <v>0.25058796977482301</v>
      </c>
    </row>
    <row r="8" spans="1:40" x14ac:dyDescent="0.2">
      <c r="A8">
        <v>43</v>
      </c>
      <c r="B8">
        <v>746</v>
      </c>
      <c r="C8">
        <v>225</v>
      </c>
      <c r="D8">
        <v>0.34832998086640898</v>
      </c>
      <c r="E8">
        <v>0.40913959463444799</v>
      </c>
      <c r="F8">
        <v>4.9320668147047897</v>
      </c>
      <c r="G8">
        <v>-2.7504680513239488</v>
      </c>
      <c r="H8">
        <v>-2.0134072108987469</v>
      </c>
      <c r="I8">
        <v>0.72321134320286595</v>
      </c>
      <c r="J8">
        <v>0.362962390604258</v>
      </c>
      <c r="K8">
        <v>8.2954998382141196E-2</v>
      </c>
      <c r="L8">
        <v>3.5726312966202009E-5</v>
      </c>
      <c r="M8">
        <v>4.1585057506232164E-7</v>
      </c>
      <c r="N8" s="1">
        <v>1.6092806270567801E-9</v>
      </c>
      <c r="O8" s="1">
        <v>1.9831015645085601E-13</v>
      </c>
      <c r="P8">
        <v>0</v>
      </c>
      <c r="R8">
        <v>9.2095268746765893</v>
      </c>
      <c r="S8">
        <v>1.77901119756316</v>
      </c>
      <c r="T8">
        <v>49.646181789180098</v>
      </c>
      <c r="V8">
        <v>38.359503104170201</v>
      </c>
      <c r="X8">
        <v>1.00577703440981</v>
      </c>
      <c r="AJ8">
        <v>0</v>
      </c>
      <c r="AK8">
        <v>-1.6922048295807401E-2</v>
      </c>
      <c r="AL8">
        <v>0.70082742966807998</v>
      </c>
      <c r="AM8">
        <v>5.6254620167212298E-2</v>
      </c>
      <c r="AN8">
        <v>0.25983999846051398</v>
      </c>
    </row>
    <row r="9" spans="1:40" x14ac:dyDescent="0.2">
      <c r="A9">
        <v>44</v>
      </c>
      <c r="B9">
        <v>744</v>
      </c>
      <c r="C9">
        <v>225</v>
      </c>
      <c r="D9">
        <v>0.34691097674876298</v>
      </c>
      <c r="E9">
        <v>0.45517764075977302</v>
      </c>
      <c r="F9">
        <v>4.9330863994234102</v>
      </c>
      <c r="G9">
        <v>-3.0571205901105483</v>
      </c>
      <c r="H9">
        <v>-2.2396526595880335</v>
      </c>
      <c r="I9">
        <v>0.80368473727819301</v>
      </c>
      <c r="J9">
        <v>0.40383389306871997</v>
      </c>
      <c r="K9">
        <v>9.2270356508042398E-2</v>
      </c>
      <c r="L9">
        <v>3.5919241692920566E-5</v>
      </c>
      <c r="M9">
        <v>4.184058563357646E-7</v>
      </c>
      <c r="N9" s="1">
        <v>1.80211340321675E-9</v>
      </c>
      <c r="O9" s="1">
        <v>2.2218263031801001E-13</v>
      </c>
      <c r="P9">
        <v>0</v>
      </c>
      <c r="R9">
        <v>8.9500409448633906</v>
      </c>
      <c r="S9">
        <v>1.90107734245254</v>
      </c>
      <c r="T9">
        <v>49.9967287816919</v>
      </c>
      <c r="V9">
        <v>38.1589177466455</v>
      </c>
      <c r="X9">
        <v>0.99323518434651104</v>
      </c>
      <c r="AJ9">
        <v>0</v>
      </c>
      <c r="AK9">
        <v>-1.3517367540900599E-2</v>
      </c>
      <c r="AL9">
        <v>0.70554585479813003</v>
      </c>
      <c r="AM9">
        <v>5.5535027844625898E-2</v>
      </c>
      <c r="AN9">
        <v>0.25243648489814302</v>
      </c>
    </row>
    <row r="10" spans="1:40" x14ac:dyDescent="0.2">
      <c r="A10">
        <v>49</v>
      </c>
      <c r="B10">
        <v>750</v>
      </c>
      <c r="C10">
        <v>200</v>
      </c>
      <c r="D10">
        <v>0.37802912573913899</v>
      </c>
      <c r="E10">
        <v>0.44574827851065502</v>
      </c>
      <c r="F10">
        <v>4.9285550991244298</v>
      </c>
      <c r="G10">
        <v>-3.0062245930258724</v>
      </c>
      <c r="H10">
        <v>-2.1980905220287887</v>
      </c>
      <c r="I10">
        <v>0.78984906513911302</v>
      </c>
      <c r="J10">
        <v>0.39568509429507098</v>
      </c>
      <c r="K10">
        <v>9.0441979352091098E-2</v>
      </c>
      <c r="L10">
        <v>3.5831937038683052E-5</v>
      </c>
      <c r="M10">
        <v>4.1716077097080267E-7</v>
      </c>
      <c r="N10" s="1">
        <v>1.75460094289936E-9</v>
      </c>
      <c r="O10" s="1">
        <v>2.1593043653620001E-13</v>
      </c>
      <c r="P10">
        <v>0</v>
      </c>
      <c r="R10">
        <v>9.22802087545465</v>
      </c>
      <c r="S10">
        <v>1.7967041543269899</v>
      </c>
      <c r="T10">
        <v>49.617696093429302</v>
      </c>
      <c r="V10">
        <v>38.2999066572266</v>
      </c>
      <c r="X10">
        <v>1.0576722195622501</v>
      </c>
      <c r="AJ10">
        <v>0</v>
      </c>
      <c r="AK10">
        <v>-1.9423523638254302E-2</v>
      </c>
      <c r="AL10">
        <v>0.70006767951034099</v>
      </c>
      <c r="AM10">
        <v>5.9126990462822902E-2</v>
      </c>
      <c r="AN10">
        <v>0.26022885366508902</v>
      </c>
    </row>
    <row r="11" spans="1:40" x14ac:dyDescent="0.2">
      <c r="A11">
        <v>50</v>
      </c>
      <c r="B11">
        <v>748</v>
      </c>
      <c r="C11">
        <v>200</v>
      </c>
      <c r="D11">
        <v>0.37667384811242399</v>
      </c>
      <c r="E11">
        <v>0.46917632352093203</v>
      </c>
      <c r="F11">
        <v>4.9295513966540696</v>
      </c>
      <c r="G11">
        <v>-3.161325290953652</v>
      </c>
      <c r="H11">
        <v>-2.3133244097572656</v>
      </c>
      <c r="I11">
        <v>0.83043713577474998</v>
      </c>
      <c r="J11">
        <v>0.41650600973054003</v>
      </c>
      <c r="K11">
        <v>9.5176271788013994E-2</v>
      </c>
      <c r="L11">
        <v>3.6009414704938704E-5</v>
      </c>
      <c r="M11">
        <v>4.1954012187825985E-7</v>
      </c>
      <c r="N11" s="1">
        <v>1.85810436713867E-9</v>
      </c>
      <c r="O11" s="1">
        <v>2.2877886175700199E-13</v>
      </c>
      <c r="P11">
        <v>0</v>
      </c>
      <c r="R11">
        <v>8.9858798806517708</v>
      </c>
      <c r="S11">
        <v>1.9101767472893101</v>
      </c>
      <c r="T11">
        <v>49.945022568557498</v>
      </c>
      <c r="V11">
        <v>38.113506543441297</v>
      </c>
      <c r="X11">
        <v>1.0454142600599201</v>
      </c>
      <c r="AJ11">
        <v>0</v>
      </c>
      <c r="AK11">
        <v>-1.6225929530640702E-2</v>
      </c>
      <c r="AL11">
        <v>0.70447642658698695</v>
      </c>
      <c r="AM11">
        <v>5.8424353448791197E-2</v>
      </c>
      <c r="AN11">
        <v>0.25332514949486201</v>
      </c>
    </row>
    <row r="12" spans="1:40" x14ac:dyDescent="0.2">
      <c r="A12">
        <v>57</v>
      </c>
      <c r="B12">
        <v>756</v>
      </c>
      <c r="C12">
        <v>175</v>
      </c>
      <c r="D12">
        <v>0.40878443375601398</v>
      </c>
      <c r="E12">
        <v>0.422428969453361</v>
      </c>
      <c r="F12">
        <v>4.9280968172022002</v>
      </c>
      <c r="G12">
        <v>-2.8503850015743981</v>
      </c>
      <c r="H12">
        <v>-2.0780594324078847</v>
      </c>
      <c r="I12">
        <v>0.75044995303552697</v>
      </c>
      <c r="J12">
        <v>0.375166377563035</v>
      </c>
      <c r="K12">
        <v>8.5718480200878799E-2</v>
      </c>
      <c r="L12">
        <v>3.638568944840427E-5</v>
      </c>
      <c r="M12">
        <v>4.2303869557944559E-7</v>
      </c>
      <c r="N12" s="1">
        <v>1.68256597329852E-9</v>
      </c>
      <c r="O12" s="1">
        <v>2.0692531922489899E-13</v>
      </c>
      <c r="P12">
        <v>0</v>
      </c>
      <c r="R12">
        <v>8.9627919647229604</v>
      </c>
      <c r="S12">
        <v>1.7774197520623001</v>
      </c>
      <c r="T12">
        <v>50.173263068745101</v>
      </c>
      <c r="V12">
        <v>37.989981387712099</v>
      </c>
      <c r="X12">
        <v>1.0965438267574601</v>
      </c>
      <c r="AJ12">
        <v>0</v>
      </c>
      <c r="AK12">
        <v>-2.2024180792631302E-2</v>
      </c>
      <c r="AL12">
        <v>0.70795369301546895</v>
      </c>
      <c r="AM12">
        <v>6.13041313131856E-2</v>
      </c>
      <c r="AN12">
        <v>0.25276635646397599</v>
      </c>
    </row>
    <row r="13" spans="1:40" x14ac:dyDescent="0.2">
      <c r="A13">
        <v>58</v>
      </c>
      <c r="B13">
        <v>754</v>
      </c>
      <c r="C13">
        <v>175</v>
      </c>
      <c r="D13">
        <v>0.40749695760112897</v>
      </c>
      <c r="E13">
        <v>0.47454020985603701</v>
      </c>
      <c r="F13">
        <v>4.9249605850587903</v>
      </c>
      <c r="G13">
        <v>-3.2109805966896463</v>
      </c>
      <c r="H13">
        <v>-2.345170619046697</v>
      </c>
      <c r="I13">
        <v>0.84292457542028798</v>
      </c>
      <c r="J13">
        <v>0.42154050220744199</v>
      </c>
      <c r="K13">
        <v>9.6354113227968496E-2</v>
      </c>
      <c r="L13">
        <v>3.5989142352715814E-5</v>
      </c>
      <c r="M13">
        <v>4.1905845624395815E-7</v>
      </c>
      <c r="N13" s="1">
        <v>1.8721040947612202E-9</v>
      </c>
      <c r="O13" s="1">
        <v>2.3009352118144101E-13</v>
      </c>
      <c r="P13">
        <v>0</v>
      </c>
      <c r="R13">
        <v>9.18550810541708</v>
      </c>
      <c r="S13">
        <v>1.8508156433662599</v>
      </c>
      <c r="T13">
        <v>49.664238274901003</v>
      </c>
      <c r="V13">
        <v>38.189691066906299</v>
      </c>
      <c r="X13">
        <v>1.1097469094092001</v>
      </c>
      <c r="AJ13">
        <v>0</v>
      </c>
      <c r="AK13">
        <v>-2.1125092669335599E-2</v>
      </c>
      <c r="AL13">
        <v>0.700266678511132</v>
      </c>
      <c r="AM13">
        <v>6.19975989453539E-2</v>
      </c>
      <c r="AN13">
        <v>0.25886081521284898</v>
      </c>
    </row>
    <row r="14" spans="1:40" x14ac:dyDescent="0.2">
      <c r="A14">
        <v>66</v>
      </c>
      <c r="B14">
        <v>764</v>
      </c>
      <c r="C14">
        <v>150</v>
      </c>
      <c r="D14">
        <v>0.44039965289495597</v>
      </c>
      <c r="E14">
        <v>0.189501465488117</v>
      </c>
      <c r="F14">
        <v>4.94920493171358</v>
      </c>
      <c r="G14">
        <v>-1.257771218053344</v>
      </c>
      <c r="H14">
        <v>-0.90906224663838242</v>
      </c>
      <c r="I14">
        <v>0.33621845578263598</v>
      </c>
      <c r="J14">
        <v>0.16808440808004799</v>
      </c>
      <c r="K14">
        <v>3.8289274358761699E-2</v>
      </c>
      <c r="L14">
        <v>3.8648192608116766E-5</v>
      </c>
      <c r="M14">
        <v>4.4551635485119203E-7</v>
      </c>
      <c r="N14" s="1">
        <v>7.9845556707299004E-10</v>
      </c>
      <c r="O14" s="1">
        <v>9.8994673872693596E-14</v>
      </c>
      <c r="P14">
        <v>0</v>
      </c>
      <c r="R14">
        <v>7.1038489761708004</v>
      </c>
      <c r="S14">
        <v>1.86910163484478</v>
      </c>
      <c r="T14">
        <v>53.5071307276746</v>
      </c>
      <c r="V14">
        <v>36.694336526889998</v>
      </c>
      <c r="X14">
        <v>0.82558213441975403</v>
      </c>
      <c r="AJ14">
        <v>0</v>
      </c>
      <c r="AK14">
        <v>-4.8658326061144204E-3</v>
      </c>
      <c r="AL14">
        <v>0.75753886116755098</v>
      </c>
      <c r="AM14">
        <v>4.63110666294144E-2</v>
      </c>
      <c r="AN14">
        <v>0.20101590480914799</v>
      </c>
    </row>
    <row r="15" spans="1:40" x14ac:dyDescent="0.2">
      <c r="A15">
        <v>67</v>
      </c>
      <c r="B15">
        <v>762</v>
      </c>
      <c r="C15">
        <v>150</v>
      </c>
      <c r="D15">
        <v>0.439183210162781</v>
      </c>
      <c r="E15">
        <v>0.45265298432392098</v>
      </c>
      <c r="F15">
        <v>4.9228739642120303</v>
      </c>
      <c r="G15">
        <v>-3.0691353073517162</v>
      </c>
      <c r="H15">
        <v>-2.2336678315262768</v>
      </c>
      <c r="I15">
        <v>0.80709798176635195</v>
      </c>
      <c r="J15">
        <v>0.40234027097124297</v>
      </c>
      <c r="K15">
        <v>9.1948928129094207E-2</v>
      </c>
      <c r="L15">
        <v>3.6386922539192378E-5</v>
      </c>
      <c r="M15">
        <v>4.2281289796726794E-7</v>
      </c>
      <c r="N15" s="1">
        <v>1.79732661062925E-9</v>
      </c>
      <c r="O15" s="1">
        <v>2.20642396648255E-13</v>
      </c>
      <c r="P15">
        <v>0</v>
      </c>
      <c r="R15">
        <v>9.1054877491300896</v>
      </c>
      <c r="S15">
        <v>1.7828895841292101</v>
      </c>
      <c r="T15">
        <v>49.927059059425297</v>
      </c>
      <c r="V15">
        <v>38.0219875623729</v>
      </c>
      <c r="X15">
        <v>1.1625760449423801</v>
      </c>
      <c r="AJ15">
        <v>0</v>
      </c>
      <c r="AK15">
        <v>-2.55777761717969E-2</v>
      </c>
      <c r="AL15">
        <v>0.70400720377260395</v>
      </c>
      <c r="AM15">
        <v>6.4952180003845797E-2</v>
      </c>
      <c r="AN15">
        <v>0.25661839239534701</v>
      </c>
    </row>
    <row r="16" spans="1:40" x14ac:dyDescent="0.2">
      <c r="A16">
        <v>68</v>
      </c>
      <c r="B16">
        <v>760</v>
      </c>
      <c r="C16">
        <v>150</v>
      </c>
      <c r="D16">
        <v>0.43796205778444602</v>
      </c>
      <c r="E16">
        <v>0.48706325521709998</v>
      </c>
      <c r="F16">
        <v>4.9201772652347904</v>
      </c>
      <c r="G16">
        <v>-3.310318295304477</v>
      </c>
      <c r="H16">
        <v>-2.4132760743381492</v>
      </c>
      <c r="I16">
        <v>0.86825942115503796</v>
      </c>
      <c r="J16">
        <v>0.43300632161862501</v>
      </c>
      <c r="K16">
        <v>9.89930299175628E-2</v>
      </c>
      <c r="L16">
        <v>3.6046000533906591E-5</v>
      </c>
      <c r="M16">
        <v>4.194594684895077E-7</v>
      </c>
      <c r="N16" s="1">
        <v>1.9183731818035101E-9</v>
      </c>
      <c r="O16" s="1">
        <v>2.3537349183360501E-13</v>
      </c>
      <c r="P16">
        <v>0</v>
      </c>
      <c r="R16">
        <v>9.2878472708534492</v>
      </c>
      <c r="S16">
        <v>1.8540802554734399</v>
      </c>
      <c r="T16">
        <v>49.497651077160498</v>
      </c>
      <c r="V16">
        <v>38.186249279094497</v>
      </c>
      <c r="X16">
        <v>1.174172117418</v>
      </c>
      <c r="AJ16">
        <v>0</v>
      </c>
      <c r="AK16">
        <v>-2.46372433883323E-2</v>
      </c>
      <c r="AL16">
        <v>0.69749422427289298</v>
      </c>
      <c r="AM16">
        <v>6.5556994167075305E-2</v>
      </c>
      <c r="AN16">
        <v>0.26158602494836197</v>
      </c>
    </row>
    <row r="17" spans="1:40" x14ac:dyDescent="0.2">
      <c r="A17">
        <v>79</v>
      </c>
      <c r="B17">
        <v>772</v>
      </c>
      <c r="C17">
        <v>125</v>
      </c>
      <c r="D17">
        <v>0.47153088073482102</v>
      </c>
      <c r="E17">
        <v>0.28849685213391701</v>
      </c>
      <c r="F17">
        <v>4.9409479291332596</v>
      </c>
      <c r="G17">
        <v>-1.9281888085758241</v>
      </c>
      <c r="H17">
        <v>-1.3905069724462311</v>
      </c>
      <c r="I17">
        <v>0.51445422774682403</v>
      </c>
      <c r="J17">
        <v>0.25622348310304599</v>
      </c>
      <c r="K17">
        <v>5.8388968325866403E-2</v>
      </c>
      <c r="L17">
        <v>3.8751786423338026E-5</v>
      </c>
      <c r="M17">
        <v>4.4644309031206018E-7</v>
      </c>
      <c r="N17" s="1">
        <v>1.2134605956782401E-9</v>
      </c>
      <c r="O17" s="1">
        <v>1.49966207640884E-13</v>
      </c>
      <c r="P17">
        <v>0</v>
      </c>
      <c r="R17">
        <v>7.2719261339811796</v>
      </c>
      <c r="S17">
        <v>1.8777660853556299</v>
      </c>
      <c r="T17">
        <v>53.243272029779298</v>
      </c>
      <c r="V17">
        <v>36.650411761861299</v>
      </c>
      <c r="X17">
        <v>0.95662398902242496</v>
      </c>
      <c r="AJ17">
        <v>0</v>
      </c>
      <c r="AK17">
        <v>-1.20099444271552E-2</v>
      </c>
      <c r="AL17">
        <v>0.75289032479900297</v>
      </c>
      <c r="AM17">
        <v>5.3596877677373797E-2</v>
      </c>
      <c r="AN17">
        <v>0.20552274195077699</v>
      </c>
    </row>
    <row r="18" spans="1:40" x14ac:dyDescent="0.2">
      <c r="A18">
        <v>80</v>
      </c>
      <c r="B18">
        <v>770</v>
      </c>
      <c r="C18">
        <v>125</v>
      </c>
      <c r="D18">
        <v>0.47038345396155901</v>
      </c>
      <c r="E18">
        <v>0.46393210857404299</v>
      </c>
      <c r="F18">
        <v>4.9193963384125796</v>
      </c>
      <c r="G18">
        <v>-3.156178991538821</v>
      </c>
      <c r="H18">
        <v>-2.2897600642735578</v>
      </c>
      <c r="I18">
        <v>0.83057942507334703</v>
      </c>
      <c r="J18">
        <v>0.412727722173236</v>
      </c>
      <c r="K18">
        <v>9.4306715023442705E-2</v>
      </c>
      <c r="L18">
        <v>3.6760173281707797E-5</v>
      </c>
      <c r="M18">
        <v>4.263068547510101E-7</v>
      </c>
      <c r="N18" s="1">
        <v>1.85303441705408E-9</v>
      </c>
      <c r="O18" s="1">
        <v>2.27184711604722E-13</v>
      </c>
      <c r="P18">
        <v>0</v>
      </c>
      <c r="R18">
        <v>8.9856263542629708</v>
      </c>
      <c r="S18">
        <v>1.8099688080045699</v>
      </c>
      <c r="T18">
        <v>50.157638129598503</v>
      </c>
      <c r="V18">
        <v>37.826620649239501</v>
      </c>
      <c r="X18">
        <v>1.22014605889435</v>
      </c>
      <c r="AJ18">
        <v>0</v>
      </c>
      <c r="AK18">
        <v>-2.8182848853822998E-2</v>
      </c>
      <c r="AL18">
        <v>0.70692533798206703</v>
      </c>
      <c r="AM18">
        <v>6.8136455171147303E-2</v>
      </c>
      <c r="AN18">
        <v>0.253121055700608</v>
      </c>
    </row>
    <row r="19" spans="1:40" x14ac:dyDescent="0.2">
      <c r="A19">
        <v>81</v>
      </c>
      <c r="B19">
        <v>768</v>
      </c>
      <c r="C19">
        <v>125</v>
      </c>
      <c r="D19">
        <v>0.46923161888296799</v>
      </c>
      <c r="E19">
        <v>0.49820686525046798</v>
      </c>
      <c r="F19">
        <v>4.9141619817622004</v>
      </c>
      <c r="G19">
        <v>-3.4051214961475127</v>
      </c>
      <c r="H19">
        <v>-2.4761232262990784</v>
      </c>
      <c r="I19">
        <v>0.89228091038604795</v>
      </c>
      <c r="J19">
        <v>0.44333969252328798</v>
      </c>
      <c r="K19">
        <v>0.10138185658092801</v>
      </c>
      <c r="L19">
        <v>3.6062961997117621E-5</v>
      </c>
      <c r="M19">
        <v>4.1905432278567843E-7</v>
      </c>
      <c r="N19" s="1">
        <v>1.95492559573644E-9</v>
      </c>
      <c r="O19" s="1">
        <v>2.3935398350838499E-13</v>
      </c>
      <c r="P19">
        <v>0</v>
      </c>
      <c r="R19">
        <v>9.4609697239732906</v>
      </c>
      <c r="S19">
        <v>1.8503395325866501</v>
      </c>
      <c r="T19">
        <v>49.208866173985101</v>
      </c>
      <c r="V19">
        <v>38.229770859229397</v>
      </c>
      <c r="X19">
        <v>1.25005371022551</v>
      </c>
      <c r="AJ19">
        <v>0</v>
      </c>
      <c r="AK19">
        <v>-2.8935515505498499E-2</v>
      </c>
      <c r="AL19">
        <v>0.69292320272902297</v>
      </c>
      <c r="AM19">
        <v>6.9743166690857603E-2</v>
      </c>
      <c r="AN19">
        <v>0.26626914608561703</v>
      </c>
    </row>
    <row r="20" spans="1:40" x14ac:dyDescent="0.2">
      <c r="A20">
        <v>94</v>
      </c>
      <c r="B20">
        <v>784</v>
      </c>
      <c r="C20">
        <v>100</v>
      </c>
      <c r="D20">
        <v>0.50433760582698905</v>
      </c>
      <c r="E20">
        <v>0.17605633786139999</v>
      </c>
      <c r="F20">
        <v>4.9467972844616996</v>
      </c>
      <c r="G20">
        <v>-1.1722717584635813</v>
      </c>
      <c r="H20">
        <v>-0.83918507103992512</v>
      </c>
      <c r="I20">
        <v>0.31507987269891302</v>
      </c>
      <c r="J20">
        <v>0.15636303579344901</v>
      </c>
      <c r="K20">
        <v>3.55899641196957E-2</v>
      </c>
      <c r="L20">
        <v>3.9899216634058089E-5</v>
      </c>
      <c r="M20">
        <v>4.5640058795159508E-7</v>
      </c>
      <c r="N20" s="1">
        <v>7.5794115533905001E-10</v>
      </c>
      <c r="O20" s="1">
        <v>9.3956130268942802E-14</v>
      </c>
      <c r="P20">
        <v>0</v>
      </c>
      <c r="R20">
        <v>6.4629350114225996</v>
      </c>
      <c r="S20">
        <v>1.9503765970168401</v>
      </c>
      <c r="T20">
        <v>54.662043580516396</v>
      </c>
      <c r="V20">
        <v>36.074141348426501</v>
      </c>
      <c r="X20">
        <v>0.85050346261760201</v>
      </c>
      <c r="AJ20">
        <v>0</v>
      </c>
      <c r="AK20">
        <v>-4.4615371333984197E-3</v>
      </c>
      <c r="AL20">
        <v>0.77387638539402104</v>
      </c>
      <c r="AM20">
        <v>4.7708203180631799E-2</v>
      </c>
      <c r="AN20">
        <v>0.18287694855874401</v>
      </c>
    </row>
    <row r="21" spans="1:40" x14ac:dyDescent="0.2">
      <c r="A21">
        <v>95</v>
      </c>
      <c r="B21">
        <v>782</v>
      </c>
      <c r="C21">
        <v>100</v>
      </c>
      <c r="D21">
        <v>0.50326541250059598</v>
      </c>
      <c r="E21">
        <v>0.42030364350766097</v>
      </c>
      <c r="F21">
        <v>4.9229655321682104</v>
      </c>
      <c r="G21">
        <v>-2.8493513136009931</v>
      </c>
      <c r="H21">
        <v>-2.0523779319724098</v>
      </c>
      <c r="I21">
        <v>0.75531761515289997</v>
      </c>
      <c r="J21">
        <v>0.37418839602582898</v>
      </c>
      <c r="K21">
        <v>8.5376109331106204E-2</v>
      </c>
      <c r="L21">
        <v>3.8552614723978087E-5</v>
      </c>
      <c r="M21">
        <v>4.4474324745492347E-7</v>
      </c>
      <c r="N21" s="1">
        <v>1.7485420172027901E-9</v>
      </c>
      <c r="O21" s="1">
        <v>2.1446423126050699E-13</v>
      </c>
      <c r="P21">
        <v>0</v>
      </c>
      <c r="R21">
        <v>7.8481407170481301</v>
      </c>
      <c r="S21">
        <v>1.90102907104027</v>
      </c>
      <c r="T21">
        <v>52.264177711589703</v>
      </c>
      <c r="V21">
        <v>36.732863188852697</v>
      </c>
      <c r="X21">
        <v>1.2537893114691101</v>
      </c>
      <c r="AJ21">
        <v>0</v>
      </c>
      <c r="AK21">
        <v>-2.8061117818041301E-2</v>
      </c>
      <c r="AL21">
        <v>0.736867550703172</v>
      </c>
      <c r="AM21">
        <v>7.0039190338231597E-2</v>
      </c>
      <c r="AN21">
        <v>0.22115437677663699</v>
      </c>
    </row>
    <row r="22" spans="1:40" x14ac:dyDescent="0.2">
      <c r="A22">
        <v>96</v>
      </c>
      <c r="B22">
        <v>780</v>
      </c>
      <c r="C22">
        <v>100</v>
      </c>
      <c r="D22">
        <v>0.50218914684517901</v>
      </c>
      <c r="E22">
        <v>0.49242891689645202</v>
      </c>
      <c r="F22">
        <v>4.9108769516664603</v>
      </c>
      <c r="G22">
        <v>-3.3770651297873018</v>
      </c>
      <c r="H22">
        <v>-2.4429845419381202</v>
      </c>
      <c r="I22">
        <v>0.88693974063446002</v>
      </c>
      <c r="J22">
        <v>0.43866083671823197</v>
      </c>
      <c r="K22">
        <v>0.10027311246911801</v>
      </c>
      <c r="L22">
        <v>3.6648931477305552E-5</v>
      </c>
      <c r="M22">
        <v>4.2412099308610468E-7</v>
      </c>
      <c r="N22" s="1">
        <v>1.9510573028876499E-9</v>
      </c>
      <c r="O22" s="1">
        <v>2.3856872440884999E-13</v>
      </c>
      <c r="P22">
        <v>0</v>
      </c>
      <c r="R22">
        <v>9.2640580584440304</v>
      </c>
      <c r="S22">
        <v>1.8500435791963099</v>
      </c>
      <c r="T22">
        <v>49.622925798606303</v>
      </c>
      <c r="V22">
        <v>37.950564292789899</v>
      </c>
      <c r="X22">
        <v>1.31240827096333</v>
      </c>
      <c r="AJ22">
        <v>0</v>
      </c>
      <c r="AK22">
        <v>-3.2411793811407498E-2</v>
      </c>
      <c r="AL22">
        <v>0.69855663578328797</v>
      </c>
      <c r="AM22">
        <v>7.3201411924097903E-2</v>
      </c>
      <c r="AN22">
        <v>0.26065374610401998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053A3-64BD-47AF-AFF0-23CE3A5A0BE7}">
  <sheetPr codeName="Sheet8"/>
  <dimension ref="A1:AL3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88</v>
      </c>
      <c r="AK1" t="s">
        <v>124</v>
      </c>
      <c r="AL1" t="s">
        <v>125</v>
      </c>
    </row>
    <row r="2" spans="1:38" x14ac:dyDescent="0.2">
      <c r="A2">
        <v>13</v>
      </c>
      <c r="B2">
        <v>734</v>
      </c>
      <c r="C2">
        <v>300</v>
      </c>
      <c r="D2">
        <v>0.25781710768008598</v>
      </c>
      <c r="E2">
        <v>3.03292784204432</v>
      </c>
      <c r="F2">
        <v>2.2588307363625502</v>
      </c>
      <c r="G2">
        <v>-50.275076729571033</v>
      </c>
      <c r="H2">
        <v>-42.530513144888033</v>
      </c>
      <c r="I2">
        <v>7.6895830657627799</v>
      </c>
      <c r="J2">
        <v>4.7019822595081298</v>
      </c>
      <c r="K2">
        <v>1.3426981460896501</v>
      </c>
      <c r="L2">
        <v>1.2464226796440968E-5</v>
      </c>
      <c r="M2">
        <v>1.5426791614689644E-6</v>
      </c>
      <c r="N2">
        <v>0</v>
      </c>
      <c r="O2" s="1">
        <v>3.4065610710478302E-12</v>
      </c>
      <c r="P2">
        <v>0</v>
      </c>
      <c r="Q2">
        <v>55.017941986220897</v>
      </c>
      <c r="S2">
        <v>23.3409550742908</v>
      </c>
      <c r="AB2">
        <v>14.1160148545183</v>
      </c>
      <c r="AC2">
        <v>0.109725336789691</v>
      </c>
      <c r="AE2">
        <v>7.4153627481802502</v>
      </c>
      <c r="AJ2">
        <v>5.0881159663421502E-3</v>
      </c>
      <c r="AK2">
        <v>0.89904198472364305</v>
      </c>
      <c r="AL2">
        <v>9.5869899310014398E-2</v>
      </c>
    </row>
    <row r="3" spans="1:38" x14ac:dyDescent="0.2">
      <c r="A3">
        <v>14</v>
      </c>
      <c r="B3">
        <v>732</v>
      </c>
      <c r="C3">
        <v>300</v>
      </c>
      <c r="D3">
        <v>0.256201064517732</v>
      </c>
      <c r="E3">
        <v>4.1419645018158997</v>
      </c>
      <c r="F3">
        <v>2.2588694775831</v>
      </c>
      <c r="G3">
        <v>-68.640124209156795</v>
      </c>
      <c r="H3">
        <v>-58.096396197359802</v>
      </c>
      <c r="I3">
        <v>10.489706025764299</v>
      </c>
      <c r="J3">
        <v>6.4185502738535902</v>
      </c>
      <c r="K3">
        <v>1.8336449019832799</v>
      </c>
      <c r="L3">
        <v>1.2464537518086047E-5</v>
      </c>
      <c r="M3">
        <v>1.5427176190335369E-6</v>
      </c>
      <c r="N3">
        <v>0</v>
      </c>
      <c r="O3" s="1">
        <v>4.6522586457497504E-12</v>
      </c>
      <c r="P3">
        <v>0</v>
      </c>
      <c r="Q3">
        <v>55.0133593077624</v>
      </c>
      <c r="S3">
        <v>23.339010906839999</v>
      </c>
      <c r="AB3">
        <v>14.116084390917999</v>
      </c>
      <c r="AC3">
        <v>0.107823404114902</v>
      </c>
      <c r="AE3">
        <v>7.4237219903645997</v>
      </c>
      <c r="AJ3">
        <v>5.0003372111452902E-3</v>
      </c>
      <c r="AK3">
        <v>0.90013043877843302</v>
      </c>
      <c r="AL3">
        <v>9.4869224010420805E-2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3B467-B2B3-4087-9B68-DA519CFC664F}">
  <sheetPr codeName="Sheet9"/>
  <dimension ref="A1:AP18"/>
  <sheetViews>
    <sheetView workbookViewId="0"/>
  </sheetViews>
  <sheetFormatPr defaultRowHeight="15" x14ac:dyDescent="0.2"/>
  <sheetData>
    <row r="1" spans="1:42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">
      <c r="A2">
        <v>13</v>
      </c>
      <c r="B2">
        <v>734</v>
      </c>
      <c r="C2">
        <v>300</v>
      </c>
      <c r="D2">
        <v>0.25781710768008598</v>
      </c>
      <c r="E2">
        <v>0.16081008161131899</v>
      </c>
      <c r="F2">
        <v>3.59172810082126</v>
      </c>
      <c r="G2">
        <v>-2.0395635617360206</v>
      </c>
      <c r="H2">
        <v>-1.7340544311112231</v>
      </c>
      <c r="I2">
        <v>0.30334024785265101</v>
      </c>
      <c r="J2">
        <v>0.17923475320271201</v>
      </c>
      <c r="K2">
        <v>4.4772342754605801E-2</v>
      </c>
      <c r="L2">
        <v>4.435926107796794E-5</v>
      </c>
      <c r="M2">
        <v>9.1537943076129297E-7</v>
      </c>
      <c r="N2" s="1">
        <v>2.5265802194298698E-10</v>
      </c>
      <c r="O2" s="1">
        <v>4.3453523286662401E-14</v>
      </c>
      <c r="P2" s="1">
        <v>-3.12709371558386E-13</v>
      </c>
      <c r="Q2">
        <v>49.6569233872277</v>
      </c>
      <c r="R2">
        <v>1.5765527616264801E-2</v>
      </c>
      <c r="S2">
        <v>2.1279987990686098</v>
      </c>
      <c r="T2">
        <v>0.55356963915233004</v>
      </c>
      <c r="V2">
        <v>32.580758811712897</v>
      </c>
      <c r="X2">
        <v>14.8632102756702</v>
      </c>
      <c r="AA2">
        <v>0.18460889354468499</v>
      </c>
      <c r="AB2">
        <v>1.7164666007047899E-2</v>
      </c>
      <c r="AJ2">
        <v>-1.11540379938544</v>
      </c>
      <c r="AK2">
        <v>0.990958613086379</v>
      </c>
      <c r="AL2">
        <v>1.0661142707242901</v>
      </c>
      <c r="AM2">
        <v>4.0729548308582803E-2</v>
      </c>
      <c r="AN2">
        <v>-3.9801766565272602E-2</v>
      </c>
      <c r="AO2">
        <v>5.6100960543459297E-2</v>
      </c>
      <c r="AP2">
        <v>1.3021732879972901E-3</v>
      </c>
    </row>
    <row r="3" spans="1:42" x14ac:dyDescent="0.2">
      <c r="A3">
        <v>14</v>
      </c>
      <c r="B3">
        <v>732</v>
      </c>
      <c r="C3">
        <v>300</v>
      </c>
      <c r="D3">
        <v>0.256201064517732</v>
      </c>
      <c r="E3">
        <v>0.243524712237907</v>
      </c>
      <c r="F3">
        <v>3.59623925735053</v>
      </c>
      <c r="G3">
        <v>-3.0830907302805688</v>
      </c>
      <c r="H3">
        <v>-2.6220674663243</v>
      </c>
      <c r="I3">
        <v>0.458661158987484</v>
      </c>
      <c r="J3">
        <v>0.27117742170565701</v>
      </c>
      <c r="K3">
        <v>6.7716493484173496E-2</v>
      </c>
      <c r="L3">
        <v>4.4291258524277777E-5</v>
      </c>
      <c r="M3">
        <v>9.1541293067065364E-7</v>
      </c>
      <c r="N3" s="1">
        <v>4.0718574711252202E-10</v>
      </c>
      <c r="O3" s="1">
        <v>6.5841328265837202E-14</v>
      </c>
      <c r="P3" s="1">
        <v>-6.6012777136191099E-13</v>
      </c>
      <c r="Q3">
        <v>49.471140558244102</v>
      </c>
      <c r="R3">
        <v>1.6341897100624801E-2</v>
      </c>
      <c r="S3">
        <v>2.3451557588643399</v>
      </c>
      <c r="T3">
        <v>0.58008015687455705</v>
      </c>
      <c r="V3">
        <v>32.741162327707499</v>
      </c>
      <c r="X3">
        <v>14.664744821455599</v>
      </c>
      <c r="AA3">
        <v>0.164841312335503</v>
      </c>
      <c r="AB3">
        <v>1.6533167417567201E-2</v>
      </c>
      <c r="AJ3">
        <v>-1.12795219106823</v>
      </c>
      <c r="AK3">
        <v>0.99182773992903395</v>
      </c>
      <c r="AL3">
        <v>1.07234475723636</v>
      </c>
      <c r="AM3">
        <v>4.5428863844315402E-2</v>
      </c>
      <c r="AN3">
        <v>-4.4466282230026001E-2</v>
      </c>
      <c r="AO3">
        <v>6.1561697424301003E-2</v>
      </c>
      <c r="AP3">
        <v>1.2554148642458E-3</v>
      </c>
    </row>
    <row r="4" spans="1:42" x14ac:dyDescent="0.2">
      <c r="A4">
        <v>25</v>
      </c>
      <c r="B4">
        <v>738</v>
      </c>
      <c r="C4">
        <v>275</v>
      </c>
      <c r="D4">
        <v>0.28822677149780002</v>
      </c>
      <c r="E4">
        <v>0.115181082061395</v>
      </c>
      <c r="F4">
        <v>3.58130327880406</v>
      </c>
      <c r="G4">
        <v>-1.4699723217679483</v>
      </c>
      <c r="H4">
        <v>-1.2494792214272954</v>
      </c>
      <c r="I4">
        <v>0.218061712249075</v>
      </c>
      <c r="J4">
        <v>0.128831331072815</v>
      </c>
      <c r="K4">
        <v>3.21617782953749E-2</v>
      </c>
      <c r="L4">
        <v>4.4428851809873947E-5</v>
      </c>
      <c r="M4">
        <v>9.1361505462639749E-7</v>
      </c>
      <c r="N4" s="1">
        <v>1.6647448411361401E-10</v>
      </c>
      <c r="O4" s="1">
        <v>3.1660975741923601E-14</v>
      </c>
      <c r="P4" s="1">
        <v>-1.64355380411199E-13</v>
      </c>
      <c r="Q4">
        <v>49.886157769399098</v>
      </c>
      <c r="R4">
        <v>1.5820991426493802E-2</v>
      </c>
      <c r="S4">
        <v>2.0054018492681398</v>
      </c>
      <c r="T4">
        <v>0.53466158699316302</v>
      </c>
      <c r="V4">
        <v>32.038297872488997</v>
      </c>
      <c r="X4">
        <v>15.330452788156601</v>
      </c>
      <c r="AA4">
        <v>0.17209739124710699</v>
      </c>
      <c r="AB4">
        <v>1.7109751020220401E-2</v>
      </c>
      <c r="AJ4">
        <v>-1.0918727910350401</v>
      </c>
      <c r="AK4">
        <v>0.99151219238669297</v>
      </c>
      <c r="AL4">
        <v>1.0452968342468401</v>
      </c>
      <c r="AM4">
        <v>3.8073138877331603E-2</v>
      </c>
      <c r="AN4">
        <v>-3.7144816869882899E-2</v>
      </c>
      <c r="AO4">
        <v>5.28412323882365E-2</v>
      </c>
      <c r="AP4">
        <v>1.29421000582401E-3</v>
      </c>
    </row>
    <row r="5" spans="1:42" x14ac:dyDescent="0.2">
      <c r="A5">
        <v>26</v>
      </c>
      <c r="B5">
        <v>736</v>
      </c>
      <c r="C5">
        <v>275</v>
      </c>
      <c r="D5">
        <v>0.28667740177377199</v>
      </c>
      <c r="E5">
        <v>0.22378348314032201</v>
      </c>
      <c r="F5">
        <v>3.5859592245106602</v>
      </c>
      <c r="G5">
        <v>-2.8505907268557613</v>
      </c>
      <c r="H5">
        <v>-2.4237144878756669</v>
      </c>
      <c r="I5">
        <v>0.42300573649119899</v>
      </c>
      <c r="J5">
        <v>0.250088138814274</v>
      </c>
      <c r="K5">
        <v>6.2405473439497698E-2</v>
      </c>
      <c r="L5">
        <v>4.4378173523835662E-5</v>
      </c>
      <c r="M5">
        <v>9.1372553431576225E-7</v>
      </c>
      <c r="N5" s="1">
        <v>3.4428021320139099E-10</v>
      </c>
      <c r="O5" s="1">
        <v>6.1631079418925101E-14</v>
      </c>
      <c r="P5" s="1">
        <v>-5.0388905681594103E-13</v>
      </c>
      <c r="Q5">
        <v>49.700656325896297</v>
      </c>
      <c r="R5">
        <v>1.6415278556344601E-2</v>
      </c>
      <c r="S5">
        <v>2.2184949413194399</v>
      </c>
      <c r="T5">
        <v>0.56131853279799604</v>
      </c>
      <c r="V5">
        <v>32.2108109607587</v>
      </c>
      <c r="X5">
        <v>15.1296593744547</v>
      </c>
      <c r="AA5">
        <v>0.14608015587892201</v>
      </c>
      <c r="AB5">
        <v>1.65644303373913E-2</v>
      </c>
      <c r="AJ5">
        <v>-1.1049716846079101</v>
      </c>
      <c r="AK5">
        <v>0.99263392097395797</v>
      </c>
      <c r="AL5">
        <v>1.0519292243295499</v>
      </c>
      <c r="AM5">
        <v>4.2659638628307898E-2</v>
      </c>
      <c r="AN5">
        <v>-4.1695525782767598E-2</v>
      </c>
      <c r="AO5">
        <v>5.8190268525905101E-2</v>
      </c>
      <c r="AP5">
        <v>1.25415793295571E-3</v>
      </c>
    </row>
    <row r="6" spans="1:42" x14ac:dyDescent="0.2">
      <c r="A6">
        <v>35</v>
      </c>
      <c r="B6">
        <v>742</v>
      </c>
      <c r="C6">
        <v>250</v>
      </c>
      <c r="D6">
        <v>0.318396788651924</v>
      </c>
      <c r="E6">
        <v>9.8303540219311897E-2</v>
      </c>
      <c r="F6">
        <v>3.5709973275011602</v>
      </c>
      <c r="G6">
        <v>-1.262297285244893</v>
      </c>
      <c r="H6">
        <v>-1.0726726131307442</v>
      </c>
      <c r="I6">
        <v>0.18679473192547799</v>
      </c>
      <c r="J6">
        <v>0.110299500546572</v>
      </c>
      <c r="K6">
        <v>2.7528315258667699E-2</v>
      </c>
      <c r="L6">
        <v>4.445384007434928E-5</v>
      </c>
      <c r="M6">
        <v>9.11833279538247E-7</v>
      </c>
      <c r="N6" s="1">
        <v>1.31471555611255E-10</v>
      </c>
      <c r="O6" s="1">
        <v>2.7421462593156001E-14</v>
      </c>
      <c r="P6" s="1">
        <v>-7.5924658734812599E-14</v>
      </c>
      <c r="Q6">
        <v>50.102600347466002</v>
      </c>
      <c r="R6">
        <v>1.59003119071532E-2</v>
      </c>
      <c r="S6">
        <v>1.8951115760109101</v>
      </c>
      <c r="T6">
        <v>0.518015819955291</v>
      </c>
      <c r="V6">
        <v>31.496220014996801</v>
      </c>
      <c r="X6">
        <v>15.773464681434501</v>
      </c>
      <c r="AA6">
        <v>0.18184375619762899</v>
      </c>
      <c r="AB6">
        <v>1.68434920316873E-2</v>
      </c>
      <c r="AJ6">
        <v>-1.0679805094886601</v>
      </c>
      <c r="AK6">
        <v>0.99115005775534704</v>
      </c>
      <c r="AL6">
        <v>1.02470230629081</v>
      </c>
      <c r="AM6">
        <v>3.5692989322248903E-2</v>
      </c>
      <c r="AN6">
        <v>-3.4762653651987802E-2</v>
      </c>
      <c r="AO6">
        <v>4.99273460257246E-2</v>
      </c>
      <c r="AP6">
        <v>1.2704637465161101E-3</v>
      </c>
    </row>
    <row r="7" spans="1:42" x14ac:dyDescent="0.2">
      <c r="A7">
        <v>36</v>
      </c>
      <c r="B7">
        <v>740</v>
      </c>
      <c r="C7">
        <v>250</v>
      </c>
      <c r="D7">
        <v>0.31691309282929903</v>
      </c>
      <c r="E7">
        <v>0.209709861608328</v>
      </c>
      <c r="F7">
        <v>3.5756056012715298</v>
      </c>
      <c r="G7">
        <v>-2.6876841109419303</v>
      </c>
      <c r="H7">
        <v>-2.2845859711399812</v>
      </c>
      <c r="I7">
        <v>0.39786619928139799</v>
      </c>
      <c r="J7">
        <v>0.235101880363215</v>
      </c>
      <c r="K7">
        <v>5.8650165872251699E-2</v>
      </c>
      <c r="L7">
        <v>4.4419441572328456E-5</v>
      </c>
      <c r="M7">
        <v>9.1205594149288558E-7</v>
      </c>
      <c r="N7" s="1">
        <v>2.9653820763513098E-10</v>
      </c>
      <c r="O7" s="1">
        <v>5.8689049956974398E-14</v>
      </c>
      <c r="P7" s="1">
        <v>-3.3034863660122401E-13</v>
      </c>
      <c r="Q7">
        <v>49.923546926906603</v>
      </c>
      <c r="R7">
        <v>1.6484610607042101E-2</v>
      </c>
      <c r="S7">
        <v>2.0965517963965299</v>
      </c>
      <c r="T7">
        <v>0.543726262630436</v>
      </c>
      <c r="V7">
        <v>31.672813163545499</v>
      </c>
      <c r="X7">
        <v>15.5745518708388</v>
      </c>
      <c r="AA7">
        <v>0.15602368286462501</v>
      </c>
      <c r="AB7">
        <v>1.6301686210365401E-2</v>
      </c>
      <c r="AJ7">
        <v>-1.08087902736797</v>
      </c>
      <c r="AK7">
        <v>0.99225965395382998</v>
      </c>
      <c r="AL7">
        <v>1.03144493978929</v>
      </c>
      <c r="AM7">
        <v>4.0010886519880398E-2</v>
      </c>
      <c r="AN7">
        <v>-3.9045429700711502E-2</v>
      </c>
      <c r="AO7">
        <v>5.49781900818406E-2</v>
      </c>
      <c r="AP7">
        <v>1.2307867238442801E-3</v>
      </c>
    </row>
    <row r="8" spans="1:42" x14ac:dyDescent="0.2">
      <c r="A8">
        <v>43</v>
      </c>
      <c r="B8">
        <v>746</v>
      </c>
      <c r="C8">
        <v>225</v>
      </c>
      <c r="D8">
        <v>0.34832998086640898</v>
      </c>
      <c r="E8">
        <v>0.108022157135246</v>
      </c>
      <c r="F8">
        <v>3.56124657447879</v>
      </c>
      <c r="G8">
        <v>-1.3953189043983572</v>
      </c>
      <c r="H8">
        <v>-1.1853670449069695</v>
      </c>
      <c r="I8">
        <v>0.20600682872137299</v>
      </c>
      <c r="J8">
        <v>0.12156069523712799</v>
      </c>
      <c r="K8">
        <v>3.0332681232850701E-2</v>
      </c>
      <c r="L8">
        <v>4.444857528364565E-5</v>
      </c>
      <c r="M8">
        <v>9.0995979499792533E-7</v>
      </c>
      <c r="N8" s="1">
        <v>1.3632922613895899E-10</v>
      </c>
      <c r="O8" s="1">
        <v>3.05500920309325E-14</v>
      </c>
      <c r="P8" s="1">
        <v>-2.39046807477826E-14</v>
      </c>
      <c r="Q8">
        <v>50.295034657040098</v>
      </c>
      <c r="R8">
        <v>1.6089605117168001E-2</v>
      </c>
      <c r="S8">
        <v>1.81239155988587</v>
      </c>
      <c r="T8">
        <v>0.50573878387263804</v>
      </c>
      <c r="V8">
        <v>30.973658094548</v>
      </c>
      <c r="X8">
        <v>16.191187595569399</v>
      </c>
      <c r="AA8">
        <v>0.18936418193160101</v>
      </c>
      <c r="AB8">
        <v>1.6535522034992998E-2</v>
      </c>
      <c r="AJ8">
        <v>-1.0457691548653101</v>
      </c>
      <c r="AK8">
        <v>0.99088456272500602</v>
      </c>
      <c r="AL8">
        <v>1.00497402257709</v>
      </c>
      <c r="AM8">
        <v>3.3901491470122003E-2</v>
      </c>
      <c r="AN8">
        <v>-3.2962627933960299E-2</v>
      </c>
      <c r="AO8">
        <v>4.7727847151734497E-2</v>
      </c>
      <c r="AP8">
        <v>1.2438588753153101E-3</v>
      </c>
    </row>
    <row r="9" spans="1:42" x14ac:dyDescent="0.2">
      <c r="A9">
        <v>44</v>
      </c>
      <c r="B9">
        <v>744</v>
      </c>
      <c r="C9">
        <v>225</v>
      </c>
      <c r="D9">
        <v>0.34691097674876298</v>
      </c>
      <c r="E9">
        <v>0.199892310623555</v>
      </c>
      <c r="F9">
        <v>3.5656756533275198</v>
      </c>
      <c r="G9">
        <v>-2.5771445082209996</v>
      </c>
      <c r="H9">
        <v>-2.1899927453297918</v>
      </c>
      <c r="I9">
        <v>0.380624060257786</v>
      </c>
      <c r="J9">
        <v>0.22476276841922199</v>
      </c>
      <c r="K9">
        <v>5.6060149620455198E-2</v>
      </c>
      <c r="L9">
        <v>4.4428540538119563E-5</v>
      </c>
      <c r="M9">
        <v>9.1027590001911057E-7</v>
      </c>
      <c r="N9" s="1">
        <v>2.6417867043811898E-10</v>
      </c>
      <c r="O9" s="1">
        <v>5.6775911443846003E-14</v>
      </c>
      <c r="P9" s="1">
        <v>-1.95090271933892E-13</v>
      </c>
      <c r="Q9">
        <v>50.126621042553097</v>
      </c>
      <c r="R9">
        <v>1.6650811426615699E-2</v>
      </c>
      <c r="S9">
        <v>1.99867449728183</v>
      </c>
      <c r="T9">
        <v>0.52973376826847596</v>
      </c>
      <c r="V9">
        <v>31.147627636266801</v>
      </c>
      <c r="X9">
        <v>16.000012254038001</v>
      </c>
      <c r="AA9">
        <v>0.164665581949163</v>
      </c>
      <c r="AB9">
        <v>1.6014408215893099E-2</v>
      </c>
      <c r="AJ9">
        <v>-1.05808496882834</v>
      </c>
      <c r="AK9">
        <v>0.99194283622189905</v>
      </c>
      <c r="AL9">
        <v>1.01157400734043</v>
      </c>
      <c r="AM9">
        <v>3.7881946443981802E-2</v>
      </c>
      <c r="AN9">
        <v>-3.6909416816787499E-2</v>
      </c>
      <c r="AO9">
        <v>5.2389797955317702E-2</v>
      </c>
      <c r="AP9">
        <v>1.2057976834938401E-3</v>
      </c>
    </row>
    <row r="10" spans="1:42" x14ac:dyDescent="0.2">
      <c r="A10">
        <v>49</v>
      </c>
      <c r="B10">
        <v>750</v>
      </c>
      <c r="C10">
        <v>200</v>
      </c>
      <c r="D10">
        <v>0.37802912573913899</v>
      </c>
      <c r="E10">
        <v>0.1392101599802</v>
      </c>
      <c r="F10">
        <v>3.5523401138701498</v>
      </c>
      <c r="G10">
        <v>-1.8082256460812944</v>
      </c>
      <c r="H10">
        <v>-1.5356306157871886</v>
      </c>
      <c r="I10">
        <v>0.26642723969516202</v>
      </c>
      <c r="J10">
        <v>0.157082525124186</v>
      </c>
      <c r="K10">
        <v>3.9188297155627702E-2</v>
      </c>
      <c r="L10">
        <v>4.4418027498519731E-5</v>
      </c>
      <c r="M10">
        <v>9.0804552919209279E-7</v>
      </c>
      <c r="N10" s="1">
        <v>1.6953817281138301E-10</v>
      </c>
      <c r="O10" s="1">
        <v>3.9910155488632802E-14</v>
      </c>
      <c r="P10" s="1">
        <v>2.53251862698664E-14</v>
      </c>
      <c r="Q10">
        <v>50.451954989966303</v>
      </c>
      <c r="R10">
        <v>1.64546724496012E-2</v>
      </c>
      <c r="S10">
        <v>1.7690856194821201</v>
      </c>
      <c r="T10">
        <v>0.49980830924506198</v>
      </c>
      <c r="V10">
        <v>30.483522885433999</v>
      </c>
      <c r="X10">
        <v>16.5698945160328</v>
      </c>
      <c r="AA10">
        <v>0.193133193783697</v>
      </c>
      <c r="AB10">
        <v>1.6145813606187599E-2</v>
      </c>
      <c r="AJ10">
        <v>-1.0260740898360099</v>
      </c>
      <c r="AK10">
        <v>0.99078042442787995</v>
      </c>
      <c r="AL10">
        <v>0.98658643847232497</v>
      </c>
      <c r="AM10">
        <v>3.2940313628836003E-2</v>
      </c>
      <c r="AN10">
        <v>-3.1982559620679502E-2</v>
      </c>
      <c r="AO10">
        <v>4.6537980278384898E-2</v>
      </c>
      <c r="AP10">
        <v>1.2114926492650399E-3</v>
      </c>
    </row>
    <row r="11" spans="1:42" x14ac:dyDescent="0.2">
      <c r="A11">
        <v>50</v>
      </c>
      <c r="B11">
        <v>748</v>
      </c>
      <c r="C11">
        <v>200</v>
      </c>
      <c r="D11">
        <v>0.37667384811242399</v>
      </c>
      <c r="E11">
        <v>0.19651519884847601</v>
      </c>
      <c r="F11">
        <v>3.5564330410842202</v>
      </c>
      <c r="G11">
        <v>-2.5480581888930893</v>
      </c>
      <c r="H11">
        <v>-2.1645805620176177</v>
      </c>
      <c r="I11">
        <v>0.37553506034908701</v>
      </c>
      <c r="J11">
        <v>0.22157845767907899</v>
      </c>
      <c r="K11">
        <v>5.5256262828040102E-2</v>
      </c>
      <c r="L11">
        <v>4.440926834733984E-5</v>
      </c>
      <c r="M11">
        <v>9.0841750936797784E-7</v>
      </c>
      <c r="N11" s="1">
        <v>2.4794160718803199E-10</v>
      </c>
      <c r="O11" s="1">
        <v>5.66202419839205E-14</v>
      </c>
      <c r="P11" s="1">
        <v>-9.9357861441475699E-14</v>
      </c>
      <c r="Q11">
        <v>50.298986967704799</v>
      </c>
      <c r="R11">
        <v>1.6978466422911401E-2</v>
      </c>
      <c r="S11">
        <v>1.93670026556449</v>
      </c>
      <c r="T11">
        <v>0.52118882963162905</v>
      </c>
      <c r="V11">
        <v>30.646362133222599</v>
      </c>
      <c r="X11">
        <v>16.3939237076419</v>
      </c>
      <c r="AA11">
        <v>0.170188487256654</v>
      </c>
      <c r="AB11">
        <v>1.56711425548881E-2</v>
      </c>
      <c r="AJ11">
        <v>-1.0373718577195401</v>
      </c>
      <c r="AK11">
        <v>0.99176019924808001</v>
      </c>
      <c r="AL11">
        <v>0.99272678391586799</v>
      </c>
      <c r="AM11">
        <v>3.65165875508313E-2</v>
      </c>
      <c r="AN11">
        <v>-3.5527478852338201E-2</v>
      </c>
      <c r="AO11">
        <v>5.0718858345821002E-2</v>
      </c>
      <c r="AP11">
        <v>1.17690751127971E-3</v>
      </c>
    </row>
    <row r="12" spans="1:42" x14ac:dyDescent="0.2">
      <c r="A12">
        <v>57</v>
      </c>
      <c r="B12">
        <v>756</v>
      </c>
      <c r="C12">
        <v>175</v>
      </c>
      <c r="D12">
        <v>0.40878443375601398</v>
      </c>
      <c r="E12">
        <v>7.0246356601030596E-2</v>
      </c>
      <c r="F12">
        <v>3.5437745413490802</v>
      </c>
      <c r="G12">
        <v>-0.91699205636115699</v>
      </c>
      <c r="H12">
        <v>-0.77801115165312085</v>
      </c>
      <c r="I12">
        <v>0.135044361568319</v>
      </c>
      <c r="J12">
        <v>7.9445917554686593E-2</v>
      </c>
      <c r="K12">
        <v>1.9822467761814299E-2</v>
      </c>
      <c r="L12">
        <v>4.4389685945339102E-5</v>
      </c>
      <c r="M12">
        <v>9.0649033066044958E-7</v>
      </c>
      <c r="N12" s="1">
        <v>8.2591772903708E-11</v>
      </c>
      <c r="O12" s="1">
        <v>2.0186241293493401E-14</v>
      </c>
      <c r="P12" s="1">
        <v>6.9703801192345998E-14</v>
      </c>
      <c r="Q12">
        <v>50.638394113752099</v>
      </c>
      <c r="R12">
        <v>1.54616058868394E-2</v>
      </c>
      <c r="S12">
        <v>1.6377592910469501</v>
      </c>
      <c r="T12">
        <v>0.49209584267224799</v>
      </c>
      <c r="V12">
        <v>30.0816709490303</v>
      </c>
      <c r="X12">
        <v>16.906894676627601</v>
      </c>
      <c r="AA12">
        <v>0.21171762134872499</v>
      </c>
      <c r="AB12">
        <v>1.6005899635139199E-2</v>
      </c>
      <c r="AJ12">
        <v>-1.0071101343986399</v>
      </c>
      <c r="AK12">
        <v>0.99004067588057798</v>
      </c>
      <c r="AL12">
        <v>0.97159650966253597</v>
      </c>
      <c r="AM12">
        <v>2.9972790283864601E-2</v>
      </c>
      <c r="AN12">
        <v>-2.9074672410269699E-2</v>
      </c>
      <c r="AO12">
        <v>4.3376284332802398E-2</v>
      </c>
      <c r="AP12">
        <v>1.1985466491367101E-3</v>
      </c>
    </row>
    <row r="13" spans="1:42" x14ac:dyDescent="0.2">
      <c r="A13">
        <v>58</v>
      </c>
      <c r="B13">
        <v>754</v>
      </c>
      <c r="C13">
        <v>175</v>
      </c>
      <c r="D13">
        <v>0.40749695760112897</v>
      </c>
      <c r="E13">
        <v>0.16931090850512301</v>
      </c>
      <c r="F13">
        <v>3.5445007180808599</v>
      </c>
      <c r="G13">
        <v>-2.2105723239846777</v>
      </c>
      <c r="H13">
        <v>-1.8765901505403713</v>
      </c>
      <c r="I13">
        <v>0.32515423593857401</v>
      </c>
      <c r="J13">
        <v>0.191521461772971</v>
      </c>
      <c r="K13">
        <v>4.7767209537143203E-2</v>
      </c>
      <c r="L13">
        <v>4.4369148184494475E-5</v>
      </c>
      <c r="M13">
        <v>9.0614556111833653E-7</v>
      </c>
      <c r="N13" s="1">
        <v>2.0324459304744801E-10</v>
      </c>
      <c r="O13" s="1">
        <v>4.9245816989789401E-14</v>
      </c>
      <c r="P13" s="1">
        <v>6.8111882801535503E-14</v>
      </c>
      <c r="Q13">
        <v>50.564059916792097</v>
      </c>
      <c r="R13">
        <v>1.7075422121140101E-2</v>
      </c>
      <c r="S13">
        <v>1.77535026819102</v>
      </c>
      <c r="T13">
        <v>0.50180157888039301</v>
      </c>
      <c r="V13">
        <v>30.035480614800001</v>
      </c>
      <c r="X13">
        <v>16.8995224127931</v>
      </c>
      <c r="AA13">
        <v>0.19105575189267299</v>
      </c>
      <c r="AB13">
        <v>1.5654034529362301E-2</v>
      </c>
      <c r="AJ13">
        <v>-1.0095727242794801</v>
      </c>
      <c r="AK13">
        <v>0.99092409755779998</v>
      </c>
      <c r="AL13">
        <v>0.96988076321349503</v>
      </c>
      <c r="AM13">
        <v>3.3015614519227701E-2</v>
      </c>
      <c r="AN13">
        <v>-3.2023983829168802E-2</v>
      </c>
      <c r="AO13">
        <v>4.6604304872853497E-2</v>
      </c>
      <c r="AP13">
        <v>1.1719279452790099E-3</v>
      </c>
    </row>
    <row r="14" spans="1:42" x14ac:dyDescent="0.2">
      <c r="A14">
        <v>67</v>
      </c>
      <c r="B14">
        <v>762</v>
      </c>
      <c r="C14">
        <v>150</v>
      </c>
      <c r="D14">
        <v>0.439183210162781</v>
      </c>
      <c r="E14">
        <v>9.09892848214406E-2</v>
      </c>
      <c r="F14">
        <v>3.5335883292535502</v>
      </c>
      <c r="G14">
        <v>-1.1953598672350205</v>
      </c>
      <c r="H14">
        <v>-1.0134198237327139</v>
      </c>
      <c r="I14">
        <v>0.17576200888982901</v>
      </c>
      <c r="J14">
        <v>0.103212911788258</v>
      </c>
      <c r="K14">
        <v>2.5749826053070898E-2</v>
      </c>
      <c r="L14">
        <v>4.4317122447220287E-5</v>
      </c>
      <c r="M14">
        <v>9.0409361718888568E-7</v>
      </c>
      <c r="N14" s="1">
        <v>1.0625584125695299E-10</v>
      </c>
      <c r="O14" s="1">
        <v>2.6425264825073399E-14</v>
      </c>
      <c r="P14" s="1">
        <v>1.38482779626205E-13</v>
      </c>
      <c r="Q14">
        <v>50.818427999390501</v>
      </c>
      <c r="R14">
        <v>1.6095798348155398E-2</v>
      </c>
      <c r="S14">
        <v>1.5815987565356699</v>
      </c>
      <c r="T14">
        <v>0.48699725128368998</v>
      </c>
      <c r="V14">
        <v>29.5263264598827</v>
      </c>
      <c r="X14">
        <v>17.332626326965901</v>
      </c>
      <c r="AA14">
        <v>0.222156203706386</v>
      </c>
      <c r="AB14">
        <v>1.5771203886867501E-2</v>
      </c>
      <c r="AJ14">
        <v>-0.98464543646541203</v>
      </c>
      <c r="AK14">
        <v>0.98965541681104996</v>
      </c>
      <c r="AL14">
        <v>0.95098352422717403</v>
      </c>
      <c r="AM14">
        <v>2.87151206756521E-2</v>
      </c>
      <c r="AN14">
        <v>-2.7782788121037301E-2</v>
      </c>
      <c r="AO14">
        <v>4.1896504605954302E-2</v>
      </c>
      <c r="AP14">
        <v>1.1776582666185201E-3</v>
      </c>
    </row>
    <row r="15" spans="1:42" x14ac:dyDescent="0.2">
      <c r="A15">
        <v>68</v>
      </c>
      <c r="B15">
        <v>760</v>
      </c>
      <c r="C15">
        <v>150</v>
      </c>
      <c r="D15">
        <v>0.43796205778444602</v>
      </c>
      <c r="E15">
        <v>0.16288429751466901</v>
      </c>
      <c r="F15">
        <v>3.5344104194055301</v>
      </c>
      <c r="G15">
        <v>-2.1399762832877571</v>
      </c>
      <c r="H15">
        <v>-1.8152470570719179</v>
      </c>
      <c r="I15">
        <v>0.314309854537906</v>
      </c>
      <c r="J15">
        <v>0.18478640985353101</v>
      </c>
      <c r="K15">
        <v>4.6085281047260299E-2</v>
      </c>
      <c r="L15">
        <v>4.4300744419731816E-5</v>
      </c>
      <c r="M15">
        <v>9.0385545496071887E-7</v>
      </c>
      <c r="N15" s="1">
        <v>1.93170932078717E-10</v>
      </c>
      <c r="O15" s="1">
        <v>4.7867076482329599E-14</v>
      </c>
      <c r="P15" s="1">
        <v>1.5929856085564801E-13</v>
      </c>
      <c r="Q15">
        <v>50.748569305256702</v>
      </c>
      <c r="R15">
        <v>1.75956982535251E-2</v>
      </c>
      <c r="S15">
        <v>1.7063026619778301</v>
      </c>
      <c r="T15">
        <v>0.49619087432783898</v>
      </c>
      <c r="V15">
        <v>29.493850637975701</v>
      </c>
      <c r="X15">
        <v>17.320165683779301</v>
      </c>
      <c r="AA15">
        <v>0.201882541983222</v>
      </c>
      <c r="AB15">
        <v>1.54425964457584E-2</v>
      </c>
      <c r="AJ15">
        <v>-0.98729289143706001</v>
      </c>
      <c r="AK15">
        <v>0.99051807308201201</v>
      </c>
      <c r="AL15">
        <v>0.94978147735128304</v>
      </c>
      <c r="AM15">
        <v>3.1462614496325203E-2</v>
      </c>
      <c r="AN15">
        <v>-3.0443569230605198E-2</v>
      </c>
      <c r="AO15">
        <v>4.4821364504459102E-2</v>
      </c>
      <c r="AP15">
        <v>1.15293123358669E-3</v>
      </c>
    </row>
    <row r="16" spans="1:42" x14ac:dyDescent="0.2">
      <c r="A16">
        <v>80</v>
      </c>
      <c r="B16">
        <v>770</v>
      </c>
      <c r="C16">
        <v>125</v>
      </c>
      <c r="D16">
        <v>0.47038345396155901</v>
      </c>
      <c r="E16">
        <v>9.0232180357193104E-2</v>
      </c>
      <c r="F16">
        <v>3.5248128875117701</v>
      </c>
      <c r="G16">
        <v>-1.1920530451816971</v>
      </c>
      <c r="H16">
        <v>-1.0092007695446654</v>
      </c>
      <c r="I16">
        <v>0.17528857368262599</v>
      </c>
      <c r="J16">
        <v>0.10262090202770099</v>
      </c>
      <c r="K16">
        <v>2.5599140503849399E-2</v>
      </c>
      <c r="L16">
        <v>4.4246884975195579E-5</v>
      </c>
      <c r="M16">
        <v>9.0198366153882881E-7</v>
      </c>
      <c r="N16" s="1">
        <v>1.06295955077629E-10</v>
      </c>
      <c r="O16" s="1">
        <v>2.6305606409013401E-14</v>
      </c>
      <c r="P16" s="1">
        <v>1.9319589119515701E-13</v>
      </c>
      <c r="Q16">
        <v>50.962731505313499</v>
      </c>
      <c r="R16">
        <v>1.6129191411693899E-2</v>
      </c>
      <c r="S16">
        <v>1.52781957844825</v>
      </c>
      <c r="T16">
        <v>0.49148351117558597</v>
      </c>
      <c r="V16">
        <v>29.0800122650021</v>
      </c>
      <c r="X16">
        <v>17.6707484270724</v>
      </c>
      <c r="AA16">
        <v>0.235507786843412</v>
      </c>
      <c r="AB16">
        <v>1.55677347329231E-2</v>
      </c>
      <c r="AJ16">
        <v>-0.96644137042896605</v>
      </c>
      <c r="AK16">
        <v>0.98914361977235798</v>
      </c>
      <c r="AL16">
        <v>0.93454768052846404</v>
      </c>
      <c r="AM16">
        <v>2.7377772553407499E-2</v>
      </c>
      <c r="AN16">
        <v>-2.6445561549002999E-2</v>
      </c>
      <c r="AO16">
        <v>4.0657952136775199E-2</v>
      </c>
      <c r="AP16">
        <v>1.15990698696338E-3</v>
      </c>
    </row>
    <row r="17" spans="1:42" x14ac:dyDescent="0.2">
      <c r="A17">
        <v>81</v>
      </c>
      <c r="B17">
        <v>768</v>
      </c>
      <c r="C17">
        <v>125</v>
      </c>
      <c r="D17">
        <v>0.46923161888296799</v>
      </c>
      <c r="E17">
        <v>0.150865720604314</v>
      </c>
      <c r="F17">
        <v>3.5233981291662699</v>
      </c>
      <c r="G17">
        <v>-1.9956650258285977</v>
      </c>
      <c r="H17">
        <v>-1.6907531529231867</v>
      </c>
      <c r="I17">
        <v>0.29286065687500301</v>
      </c>
      <c r="J17">
        <v>0.17169086941141201</v>
      </c>
      <c r="K17">
        <v>4.2818243943386902E-2</v>
      </c>
      <c r="L17">
        <v>4.4207706522662693E-5</v>
      </c>
      <c r="M17">
        <v>9.0122069246438162E-7</v>
      </c>
      <c r="N17" s="1">
        <v>1.8040010944895199E-10</v>
      </c>
      <c r="O17" s="1">
        <v>4.4650575959997199E-14</v>
      </c>
      <c r="P17" s="1">
        <v>2.53256370871887E-13</v>
      </c>
      <c r="Q17">
        <v>50.9486371812513</v>
      </c>
      <c r="R17">
        <v>1.8294224170011902E-2</v>
      </c>
      <c r="S17">
        <v>1.6258941651253001</v>
      </c>
      <c r="T17">
        <v>0.49251236128576997</v>
      </c>
      <c r="V17">
        <v>28.910901918932598</v>
      </c>
      <c r="X17">
        <v>17.770386885233599</v>
      </c>
      <c r="AA17">
        <v>0.218023630284921</v>
      </c>
      <c r="AB17">
        <v>1.5349633716282301E-2</v>
      </c>
      <c r="AJ17">
        <v>-0.963183062969729</v>
      </c>
      <c r="AK17">
        <v>0.98988866101384299</v>
      </c>
      <c r="AL17">
        <v>0.92829380449295795</v>
      </c>
      <c r="AM17">
        <v>2.9628363341481501E-2</v>
      </c>
      <c r="AN17">
        <v>-2.8571953206991501E-2</v>
      </c>
      <c r="AO17">
        <v>4.2801538730129499E-2</v>
      </c>
      <c r="AP17">
        <v>1.14264859830702E-3</v>
      </c>
    </row>
    <row r="18" spans="1:42" x14ac:dyDescent="0.2">
      <c r="A18">
        <v>96</v>
      </c>
      <c r="B18">
        <v>780</v>
      </c>
      <c r="C18">
        <v>100</v>
      </c>
      <c r="D18">
        <v>0.50218914684517901</v>
      </c>
      <c r="E18">
        <v>0.115002425072876</v>
      </c>
      <c r="F18">
        <v>3.5137028087492101</v>
      </c>
      <c r="G18">
        <v>-1.5304447207324448</v>
      </c>
      <c r="H18">
        <v>-1.2934874486015184</v>
      </c>
      <c r="I18">
        <v>0.22499859671549699</v>
      </c>
      <c r="J18">
        <v>0.131243621138107</v>
      </c>
      <c r="K18">
        <v>3.27296960877047E-2</v>
      </c>
      <c r="L18">
        <v>4.413172164234871E-5</v>
      </c>
      <c r="M18">
        <v>8.9894749653344071E-7</v>
      </c>
      <c r="N18" s="1">
        <v>1.4066710889979301E-10</v>
      </c>
      <c r="O18" s="1">
        <v>3.3807837227365599E-14</v>
      </c>
      <c r="P18" s="1">
        <v>3.0990195770076599E-13</v>
      </c>
      <c r="Q18">
        <v>51.125002943752101</v>
      </c>
      <c r="R18">
        <v>1.76816561876856E-2</v>
      </c>
      <c r="S18">
        <v>1.5115315287770901</v>
      </c>
      <c r="T18">
        <v>0.49927126836784003</v>
      </c>
      <c r="V18">
        <v>28.468503554493701</v>
      </c>
      <c r="X18">
        <v>18.1155044858913</v>
      </c>
      <c r="AA18">
        <v>0.24709168642149901</v>
      </c>
      <c r="AB18">
        <v>1.54128761086425E-2</v>
      </c>
      <c r="AJ18">
        <v>-0.94326266182575202</v>
      </c>
      <c r="AK18">
        <v>0.98871225199296098</v>
      </c>
      <c r="AL18">
        <v>0.91214534663347502</v>
      </c>
      <c r="AM18">
        <v>2.6865954504726001E-2</v>
      </c>
      <c r="AN18">
        <v>-2.5847088433387899E-2</v>
      </c>
      <c r="AO18">
        <v>4.0241280247925303E-2</v>
      </c>
      <c r="AP18">
        <v>1.1449168800521999E-3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CBD83-8698-47C6-B586-ECB9589146D2}">
  <sheetPr codeName="Sheet10"/>
  <dimension ref="A1:AL6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11</v>
      </c>
      <c r="B2">
        <v>738</v>
      </c>
      <c r="C2">
        <v>300</v>
      </c>
      <c r="D2">
        <v>0.26103001532908299</v>
      </c>
      <c r="E2">
        <v>2.3886180768966199</v>
      </c>
      <c r="F2">
        <v>2.52611129208409</v>
      </c>
      <c r="G2">
        <v>-37.510819798160114</v>
      </c>
      <c r="H2">
        <v>-32.573594975790662</v>
      </c>
      <c r="I2">
        <v>4.8827818052410104</v>
      </c>
      <c r="J2">
        <v>2.8440883440156002</v>
      </c>
      <c r="K2">
        <v>0.94557119647961396</v>
      </c>
      <c r="L2">
        <v>2.8676161420618959E-5</v>
      </c>
      <c r="M2">
        <v>1.789444568134857E-6</v>
      </c>
      <c r="N2" s="1">
        <v>-2.7115361999498501E-8</v>
      </c>
      <c r="O2" s="1">
        <v>8.9839063839772294E-12</v>
      </c>
      <c r="P2" s="1">
        <v>9.7170377124762595E-11</v>
      </c>
      <c r="Q2">
        <v>65.950660040455105</v>
      </c>
      <c r="S2">
        <v>18.899231117364899</v>
      </c>
      <c r="AA2">
        <v>0.20337426731302399</v>
      </c>
      <c r="AB2">
        <v>4.1792240655771096</v>
      </c>
      <c r="AC2">
        <v>10.7675105092897</v>
      </c>
      <c r="AJ2">
        <v>0.36737711227585901</v>
      </c>
      <c r="AK2">
        <v>9.8792330765115205E-3</v>
      </c>
      <c r="AL2">
        <v>0.62274365464762904</v>
      </c>
    </row>
    <row r="3" spans="1:38" x14ac:dyDescent="0.2">
      <c r="A3">
        <v>12</v>
      </c>
      <c r="B3">
        <v>736</v>
      </c>
      <c r="C3">
        <v>300</v>
      </c>
      <c r="D3">
        <v>0.25942674528068399</v>
      </c>
      <c r="E3">
        <v>13.8504950969745</v>
      </c>
      <c r="F3">
        <v>2.5272397526097601</v>
      </c>
      <c r="G3">
        <v>-217.78772568757731</v>
      </c>
      <c r="H3">
        <v>-189.19316294445943</v>
      </c>
      <c r="I3">
        <v>28.3352947957368</v>
      </c>
      <c r="J3">
        <v>16.5421376528388</v>
      </c>
      <c r="K3">
        <v>5.4804832357799702</v>
      </c>
      <c r="L3">
        <v>2.9022841440737394E-5</v>
      </c>
      <c r="M3">
        <v>1.7927906076057564E-6</v>
      </c>
      <c r="N3" s="1">
        <v>-1.8504523940426201E-7</v>
      </c>
      <c r="O3" s="1">
        <v>5.1708898721701402E-11</v>
      </c>
      <c r="P3" s="1">
        <v>6.4350933410680502E-10</v>
      </c>
      <c r="Q3">
        <v>66.017013298727505</v>
      </c>
      <c r="S3">
        <v>18.968214340883002</v>
      </c>
      <c r="AA3">
        <v>0.244803507336433</v>
      </c>
      <c r="AB3">
        <v>4.5079372328010798</v>
      </c>
      <c r="AC3">
        <v>10.2620316202519</v>
      </c>
      <c r="AJ3">
        <v>0.39561073079324999</v>
      </c>
      <c r="AK3">
        <v>1.1871856235146701E-2</v>
      </c>
      <c r="AL3">
        <v>0.59251741297160199</v>
      </c>
    </row>
    <row r="4" spans="1:38" x14ac:dyDescent="0.2">
      <c r="A4">
        <v>13</v>
      </c>
      <c r="B4">
        <v>734</v>
      </c>
      <c r="C4">
        <v>300</v>
      </c>
      <c r="D4">
        <v>0.25781710768008598</v>
      </c>
      <c r="E4">
        <v>34.466969807530504</v>
      </c>
      <c r="F4">
        <v>2.52724299375453</v>
      </c>
      <c r="G4">
        <v>-541.64342567784888</v>
      </c>
      <c r="H4">
        <v>-470.73907512780886</v>
      </c>
      <c r="I4">
        <v>70.400983517887099</v>
      </c>
      <c r="J4">
        <v>41.169866266385</v>
      </c>
      <c r="K4">
        <v>13.638170089978299</v>
      </c>
      <c r="L4">
        <v>2.9025802881634292E-5</v>
      </c>
      <c r="M4">
        <v>1.7923049234723832E-6</v>
      </c>
      <c r="N4" s="1">
        <v>-4.8419440287732801E-7</v>
      </c>
      <c r="O4" s="1">
        <v>1.2855519878451601E-10</v>
      </c>
      <c r="P4" s="1">
        <v>1.66788455869963E-9</v>
      </c>
      <c r="Q4">
        <v>65.994987266196404</v>
      </c>
      <c r="S4">
        <v>18.958349463001099</v>
      </c>
      <c r="AA4">
        <v>0.24180435565161401</v>
      </c>
      <c r="AB4">
        <v>4.4329913404052501</v>
      </c>
      <c r="AC4">
        <v>10.371867574745499</v>
      </c>
      <c r="AJ4">
        <v>0.38918177804030102</v>
      </c>
      <c r="AK4">
        <v>1.1730878180486201E-2</v>
      </c>
      <c r="AL4">
        <v>0.59908734377921202</v>
      </c>
    </row>
    <row r="5" spans="1:38" x14ac:dyDescent="0.2">
      <c r="A5">
        <v>14</v>
      </c>
      <c r="B5">
        <v>732</v>
      </c>
      <c r="C5">
        <v>300</v>
      </c>
      <c r="D5">
        <v>0.256201064517732</v>
      </c>
      <c r="E5">
        <v>37.857255813175101</v>
      </c>
      <c r="F5">
        <v>2.5272552590380801</v>
      </c>
      <c r="G5">
        <v>-594.5615631352814</v>
      </c>
      <c r="H5">
        <v>-516.96215761334054</v>
      </c>
      <c r="I5">
        <v>77.201816168672195</v>
      </c>
      <c r="J5">
        <v>45.224774988909402</v>
      </c>
      <c r="K5">
        <v>14.9795932475709</v>
      </c>
      <c r="L5">
        <v>2.9028218885249163E-5</v>
      </c>
      <c r="M5">
        <v>1.791791908096475E-6</v>
      </c>
      <c r="N5" s="1">
        <v>-5.5853160366101001E-7</v>
      </c>
      <c r="O5" s="1">
        <v>1.4106343398303399E-10</v>
      </c>
      <c r="P5" s="1">
        <v>1.9066443813817498E-9</v>
      </c>
      <c r="Q5">
        <v>65.971707372366097</v>
      </c>
      <c r="S5">
        <v>18.948472028350999</v>
      </c>
      <c r="AA5">
        <v>0.23908741589723601</v>
      </c>
      <c r="AB5">
        <v>4.35521836613316</v>
      </c>
      <c r="AC5">
        <v>10.485514817252399</v>
      </c>
      <c r="AJ5">
        <v>0.38250513045136902</v>
      </c>
      <c r="AK5">
        <v>1.1603655807269801E-2</v>
      </c>
      <c r="AL5">
        <v>0.60589121374136001</v>
      </c>
    </row>
    <row r="6" spans="1:38" x14ac:dyDescent="0.2">
      <c r="A6">
        <v>24</v>
      </c>
      <c r="B6">
        <v>740</v>
      </c>
      <c r="C6">
        <v>275</v>
      </c>
      <c r="D6">
        <v>0.28977002418201098</v>
      </c>
      <c r="E6">
        <v>13.0050069715407</v>
      </c>
      <c r="F6">
        <v>2.5262299382885698</v>
      </c>
      <c r="G6">
        <v>-204.88648195297742</v>
      </c>
      <c r="H6">
        <v>-177.83916877176421</v>
      </c>
      <c r="I6">
        <v>26.696257396449901</v>
      </c>
      <c r="J6">
        <v>15.52829739905</v>
      </c>
      <c r="K6">
        <v>5.1479902024877298</v>
      </c>
      <c r="L6">
        <v>2.9000712081667916E-5</v>
      </c>
      <c r="M6">
        <v>1.7955147379422242E-6</v>
      </c>
      <c r="N6" s="1">
        <v>-1.5397395111372601E-7</v>
      </c>
      <c r="O6" s="1">
        <v>4.8651205455591299E-11</v>
      </c>
      <c r="P6" s="1">
        <v>5.4834664577407998E-10</v>
      </c>
      <c r="Q6">
        <v>66.063117242140194</v>
      </c>
      <c r="S6">
        <v>18.994362073428501</v>
      </c>
      <c r="AA6">
        <v>0.255617929503829</v>
      </c>
      <c r="AB6">
        <v>4.6792270790068899</v>
      </c>
      <c r="AC6">
        <v>10.0076756759204</v>
      </c>
      <c r="AJ6">
        <v>0.41028578575153302</v>
      </c>
      <c r="AK6">
        <v>1.2385525922970301E-2</v>
      </c>
      <c r="AL6">
        <v>0.577328688325496</v>
      </c>
    </row>
    <row r="7" spans="1:38" x14ac:dyDescent="0.2">
      <c r="A7">
        <v>25</v>
      </c>
      <c r="B7">
        <v>738</v>
      </c>
      <c r="C7">
        <v>275</v>
      </c>
      <c r="D7">
        <v>0.28822677149780002</v>
      </c>
      <c r="E7">
        <v>33.725308971735501</v>
      </c>
      <c r="F7">
        <v>2.5263817929108598</v>
      </c>
      <c r="G7">
        <v>-531.35489572746985</v>
      </c>
      <c r="H7">
        <v>-461.40424956637565</v>
      </c>
      <c r="I7">
        <v>69.179296999549194</v>
      </c>
      <c r="J7">
        <v>40.316571879570297</v>
      </c>
      <c r="K7">
        <v>13.3492527005894</v>
      </c>
      <c r="L7">
        <v>2.913806632153032E-5</v>
      </c>
      <c r="M7">
        <v>1.7969589360715023E-6</v>
      </c>
      <c r="N7" s="1">
        <v>-4.3725460247328802E-7</v>
      </c>
      <c r="O7" s="1">
        <v>1.2581302964041201E-10</v>
      </c>
      <c r="P7" s="1">
        <v>1.53056117646142E-9</v>
      </c>
      <c r="Q7">
        <v>66.099091547108699</v>
      </c>
      <c r="S7">
        <v>18.994239820869499</v>
      </c>
      <c r="AA7">
        <v>0.247122957626732</v>
      </c>
      <c r="AB7">
        <v>4.7590733877865699</v>
      </c>
      <c r="AC7">
        <v>9.9004722866084105</v>
      </c>
      <c r="AJ7">
        <v>0.41711792880888099</v>
      </c>
      <c r="AK7">
        <v>1.19690681229223E-2</v>
      </c>
      <c r="AL7">
        <v>0.57091300306819603</v>
      </c>
    </row>
    <row r="8" spans="1:38" x14ac:dyDescent="0.2">
      <c r="A8">
        <v>26</v>
      </c>
      <c r="B8">
        <v>736</v>
      </c>
      <c r="C8">
        <v>275</v>
      </c>
      <c r="D8">
        <v>0.28667740177377199</v>
      </c>
      <c r="E8">
        <v>38.410344581386198</v>
      </c>
      <c r="F8">
        <v>2.5264388662073398</v>
      </c>
      <c r="G8">
        <v>-605.00125206711266</v>
      </c>
      <c r="H8">
        <v>-525.58345869866992</v>
      </c>
      <c r="I8">
        <v>78.697709328090696</v>
      </c>
      <c r="J8">
        <v>45.947865559105502</v>
      </c>
      <c r="K8">
        <v>15.2033540550488</v>
      </c>
      <c r="L8">
        <v>2.920939571942402E-5</v>
      </c>
      <c r="M8">
        <v>1.7974148596727732E-6</v>
      </c>
      <c r="N8" s="1">
        <v>-5.3404455193960902E-7</v>
      </c>
      <c r="O8" s="1">
        <v>1.4301489433578399E-10</v>
      </c>
      <c r="P8" s="1">
        <v>1.8455276240123E-9</v>
      </c>
      <c r="Q8">
        <v>66.105485717093202</v>
      </c>
      <c r="S8">
        <v>18.988781201882599</v>
      </c>
      <c r="AA8">
        <v>0.24112754891879001</v>
      </c>
      <c r="AB8">
        <v>4.7590119734122798</v>
      </c>
      <c r="AC8">
        <v>9.9055935586930399</v>
      </c>
      <c r="AJ8">
        <v>0.41711273081498101</v>
      </c>
      <c r="AK8">
        <v>1.16786937385052E-2</v>
      </c>
      <c r="AL8">
        <v>0.57120857544651304</v>
      </c>
    </row>
    <row r="9" spans="1:38" x14ac:dyDescent="0.2">
      <c r="A9">
        <v>34</v>
      </c>
      <c r="B9">
        <v>744</v>
      </c>
      <c r="C9">
        <v>250</v>
      </c>
      <c r="D9">
        <v>0.31987464975667701</v>
      </c>
      <c r="E9">
        <v>13.033039168329999</v>
      </c>
      <c r="F9">
        <v>2.5252876275177498</v>
      </c>
      <c r="G9">
        <v>-205.72717777222454</v>
      </c>
      <c r="H9">
        <v>-178.42225178541386</v>
      </c>
      <c r="I9">
        <v>26.8445420899677</v>
      </c>
      <c r="J9">
        <v>15.560113082894899</v>
      </c>
      <c r="K9">
        <v>5.1610117700299103</v>
      </c>
      <c r="L9">
        <v>2.8992869264301879E-5</v>
      </c>
      <c r="M9">
        <v>1.7983112238387936E-6</v>
      </c>
      <c r="N9" s="1">
        <v>-1.36741746644647E-7</v>
      </c>
      <c r="O9" s="1">
        <v>4.8835627873104102E-11</v>
      </c>
      <c r="P9" s="1">
        <v>4.9967428482275903E-10</v>
      </c>
      <c r="Q9">
        <v>66.109155270265404</v>
      </c>
      <c r="S9">
        <v>19.022136267939899</v>
      </c>
      <c r="AA9">
        <v>0.26778957987790503</v>
      </c>
      <c r="AB9">
        <v>4.8546340180266299</v>
      </c>
      <c r="AC9">
        <v>9.7462848638900397</v>
      </c>
      <c r="AJ9">
        <v>0.42528712880959801</v>
      </c>
      <c r="AK9">
        <v>1.29637369039763E-2</v>
      </c>
      <c r="AL9">
        <v>0.56174913428642503</v>
      </c>
    </row>
    <row r="10" spans="1:38" x14ac:dyDescent="0.2">
      <c r="A10">
        <v>35</v>
      </c>
      <c r="B10">
        <v>742</v>
      </c>
      <c r="C10">
        <v>250</v>
      </c>
      <c r="D10">
        <v>0.318396788651924</v>
      </c>
      <c r="E10">
        <v>34.043549656610601</v>
      </c>
      <c r="F10">
        <v>2.5253605215195498</v>
      </c>
      <c r="G10">
        <v>-537.26057290676749</v>
      </c>
      <c r="H10">
        <v>-466.15459984141006</v>
      </c>
      <c r="I10">
        <v>70.044794429746702</v>
      </c>
      <c r="J10">
        <v>40.669688170323496</v>
      </c>
      <c r="K10">
        <v>13.480669142687701</v>
      </c>
      <c r="L10">
        <v>2.9063183675171067E-5</v>
      </c>
      <c r="M10">
        <v>1.7989059042044867E-6</v>
      </c>
      <c r="N10" s="1">
        <v>-3.8459131120390002E-7</v>
      </c>
      <c r="O10" s="1">
        <v>1.27343790731708E-10</v>
      </c>
      <c r="P10" s="1">
        <v>1.3835622280360899E-9</v>
      </c>
      <c r="Q10">
        <v>66.120795708382801</v>
      </c>
      <c r="S10">
        <v>19.017469496564999</v>
      </c>
      <c r="AA10">
        <v>0.26122330860990201</v>
      </c>
      <c r="AB10">
        <v>4.86833956235487</v>
      </c>
      <c r="AC10">
        <v>9.7321719240873303</v>
      </c>
      <c r="AJ10">
        <v>0.42645821512955101</v>
      </c>
      <c r="AK10">
        <v>1.2644985591703101E-2</v>
      </c>
      <c r="AL10">
        <v>0.56089679927874503</v>
      </c>
    </row>
    <row r="11" spans="1:38" x14ac:dyDescent="0.2">
      <c r="A11">
        <v>36</v>
      </c>
      <c r="B11">
        <v>740</v>
      </c>
      <c r="C11">
        <v>250</v>
      </c>
      <c r="D11">
        <v>0.31691309282929903</v>
      </c>
      <c r="E11">
        <v>38.867191084333598</v>
      </c>
      <c r="F11">
        <v>2.5253914608021102</v>
      </c>
      <c r="G11">
        <v>-613.17298845244716</v>
      </c>
      <c r="H11">
        <v>-532.25233377466213</v>
      </c>
      <c r="I11">
        <v>79.870359451004205</v>
      </c>
      <c r="J11">
        <v>46.453460154244198</v>
      </c>
      <c r="K11">
        <v>15.3905609041652</v>
      </c>
      <c r="L11">
        <v>2.911182402516748E-5</v>
      </c>
      <c r="M11">
        <v>1.7991401114963515E-6</v>
      </c>
      <c r="N11" s="1">
        <v>-4.69132655980699E-7</v>
      </c>
      <c r="O11" s="1">
        <v>1.45172228487083E-10</v>
      </c>
      <c r="P11" s="1">
        <v>1.66514813981189E-9</v>
      </c>
      <c r="Q11">
        <v>66.121544860642103</v>
      </c>
      <c r="S11">
        <v>19.010740169767502</v>
      </c>
      <c r="AA11">
        <v>0.255496740661042</v>
      </c>
      <c r="AB11">
        <v>4.85236720292479</v>
      </c>
      <c r="AC11">
        <v>9.7598510260045401</v>
      </c>
      <c r="AJ11">
        <v>0.425093547073921</v>
      </c>
      <c r="AK11">
        <v>1.2368784084745401E-2</v>
      </c>
      <c r="AL11">
        <v>0.56253766884133305</v>
      </c>
    </row>
    <row r="12" spans="1:38" x14ac:dyDescent="0.2">
      <c r="A12">
        <v>41</v>
      </c>
      <c r="B12">
        <v>750</v>
      </c>
      <c r="C12">
        <v>225</v>
      </c>
      <c r="D12">
        <v>0.35115134633240402</v>
      </c>
      <c r="E12">
        <v>1.1760881121162301</v>
      </c>
      <c r="F12">
        <v>2.5669466256563598</v>
      </c>
      <c r="G12">
        <v>-19.018990598275465</v>
      </c>
      <c r="H12">
        <v>-16.494003772955882</v>
      </c>
      <c r="I12">
        <v>2.4678559598490701</v>
      </c>
      <c r="J12">
        <v>1.43935416027527</v>
      </c>
      <c r="K12">
        <v>0.45816617313400798</v>
      </c>
      <c r="L12">
        <v>3.1772727387202181E-5</v>
      </c>
      <c r="M12">
        <v>1.821250593913383E-6</v>
      </c>
      <c r="N12" s="1">
        <v>-2.0711449762679802E-8</v>
      </c>
      <c r="O12" s="1">
        <v>4.0500719789213E-12</v>
      </c>
      <c r="P12" s="1">
        <v>6.9968600653012705E-11</v>
      </c>
      <c r="Q12">
        <v>65.657838644914094</v>
      </c>
      <c r="S12">
        <v>21.002516668183301</v>
      </c>
      <c r="AA12">
        <v>2.0069322521841899</v>
      </c>
      <c r="AB12">
        <v>9.0407238033160109</v>
      </c>
      <c r="AC12">
        <v>2.2919886314023201</v>
      </c>
      <c r="AJ12">
        <v>0.77551422116436297</v>
      </c>
      <c r="AK12">
        <v>9.5132753532758102E-2</v>
      </c>
      <c r="AL12">
        <v>0.12935302530287801</v>
      </c>
    </row>
    <row r="13" spans="1:38" x14ac:dyDescent="0.2">
      <c r="A13">
        <v>42</v>
      </c>
      <c r="B13">
        <v>748</v>
      </c>
      <c r="C13">
        <v>225</v>
      </c>
      <c r="D13">
        <v>0.34974342652891699</v>
      </c>
      <c r="E13">
        <v>8.1491412982018208</v>
      </c>
      <c r="F13">
        <v>2.5663455631067298</v>
      </c>
      <c r="G13">
        <v>-131.71147478418212</v>
      </c>
      <c r="H13">
        <v>-114.27027523875668</v>
      </c>
      <c r="I13">
        <v>17.079958424742099</v>
      </c>
      <c r="J13">
        <v>9.9791879340972294</v>
      </c>
      <c r="K13">
        <v>3.1753873739188601</v>
      </c>
      <c r="L13">
        <v>3.1843987689334799E-5</v>
      </c>
      <c r="M13">
        <v>1.821877002118345E-6</v>
      </c>
      <c r="N13" s="1">
        <v>-1.5201818951053699E-7</v>
      </c>
      <c r="O13" s="1">
        <v>2.8026183428098501E-11</v>
      </c>
      <c r="P13" s="1">
        <v>5.0911269822932296E-10</v>
      </c>
      <c r="Q13">
        <v>65.685226410155295</v>
      </c>
      <c r="S13">
        <v>20.9633870987</v>
      </c>
      <c r="AA13">
        <v>1.9682593961014101</v>
      </c>
      <c r="AB13">
        <v>8.9991727160912092</v>
      </c>
      <c r="AC13">
        <v>2.3839543789519801</v>
      </c>
      <c r="AJ13">
        <v>0.77210991240434701</v>
      </c>
      <c r="AK13">
        <v>9.3318911544474498E-2</v>
      </c>
      <c r="AL13">
        <v>0.13457117605117699</v>
      </c>
    </row>
    <row r="14" spans="1:38" x14ac:dyDescent="0.2">
      <c r="A14">
        <v>43</v>
      </c>
      <c r="B14">
        <v>746</v>
      </c>
      <c r="C14">
        <v>225</v>
      </c>
      <c r="D14">
        <v>0.34832998086640898</v>
      </c>
      <c r="E14">
        <v>17.4830546494861</v>
      </c>
      <c r="F14">
        <v>2.5670304943051101</v>
      </c>
      <c r="G14">
        <v>-282.53954097870883</v>
      </c>
      <c r="H14">
        <v>-245.23817555222854</v>
      </c>
      <c r="I14">
        <v>36.6004664931367</v>
      </c>
      <c r="J14">
        <v>21.430435985373499</v>
      </c>
      <c r="K14">
        <v>6.8106143219848096</v>
      </c>
      <c r="L14">
        <v>3.1945024115610144E-5</v>
      </c>
      <c r="M14">
        <v>1.8218032062408867E-6</v>
      </c>
      <c r="N14" s="1">
        <v>-3.4789621437774902E-7</v>
      </c>
      <c r="O14" s="1">
        <v>5.9891508132784697E-11</v>
      </c>
      <c r="P14" s="1">
        <v>1.1545469147886001E-9</v>
      </c>
      <c r="Q14">
        <v>65.653671491641106</v>
      </c>
      <c r="S14">
        <v>20.994816161522898</v>
      </c>
      <c r="AA14">
        <v>2.0015516035901402</v>
      </c>
      <c r="AB14">
        <v>9.0112496463367897</v>
      </c>
      <c r="AC14">
        <v>2.3387110969089</v>
      </c>
      <c r="AJ14">
        <v>0.77309916314332505</v>
      </c>
      <c r="AK14">
        <v>9.4891598687217596E-2</v>
      </c>
      <c r="AL14">
        <v>0.132009238169457</v>
      </c>
    </row>
    <row r="15" spans="1:38" x14ac:dyDescent="0.2">
      <c r="A15">
        <v>44</v>
      </c>
      <c r="B15">
        <v>744</v>
      </c>
      <c r="C15">
        <v>225</v>
      </c>
      <c r="D15">
        <v>0.34691097674876298</v>
      </c>
      <c r="E15">
        <v>19.450045318543999</v>
      </c>
      <c r="F15">
        <v>2.5673691447587599</v>
      </c>
      <c r="G15">
        <v>-314.27112620798476</v>
      </c>
      <c r="H15">
        <v>-272.90156860837408</v>
      </c>
      <c r="I15">
        <v>40.672032246581701</v>
      </c>
      <c r="J15">
        <v>23.867131431420798</v>
      </c>
      <c r="K15">
        <v>7.5758662747236496</v>
      </c>
      <c r="L15">
        <v>3.2063271373098053E-5</v>
      </c>
      <c r="M15">
        <v>1.8223386388487011E-6</v>
      </c>
      <c r="N15" s="1">
        <v>-4.1307922701838098E-7</v>
      </c>
      <c r="O15" s="1">
        <v>6.6395682440300705E-11</v>
      </c>
      <c r="P15" s="1">
        <v>1.3588654398278499E-9</v>
      </c>
      <c r="Q15">
        <v>65.651234779089904</v>
      </c>
      <c r="S15">
        <v>21.0023380335758</v>
      </c>
      <c r="AA15">
        <v>2.0083257986133898</v>
      </c>
      <c r="AB15">
        <v>9.0255391285641604</v>
      </c>
      <c r="AC15">
        <v>2.3125622601567302</v>
      </c>
      <c r="AJ15">
        <v>0.77427003610951195</v>
      </c>
      <c r="AK15">
        <v>9.5205986345711299E-2</v>
      </c>
      <c r="AL15">
        <v>0.13052397754477599</v>
      </c>
    </row>
    <row r="16" spans="1:38" x14ac:dyDescent="0.2">
      <c r="A16">
        <v>46</v>
      </c>
      <c r="B16">
        <v>756</v>
      </c>
      <c r="C16">
        <v>200</v>
      </c>
      <c r="D16">
        <v>0.38206335325268598</v>
      </c>
      <c r="E16">
        <v>1.20786862472039</v>
      </c>
      <c r="F16">
        <v>2.5660396044162002</v>
      </c>
      <c r="G16">
        <v>-19.567335390719062</v>
      </c>
      <c r="H16">
        <v>-16.949431829905787</v>
      </c>
      <c r="I16">
        <v>2.54375315630692</v>
      </c>
      <c r="J16">
        <v>1.47516891744361</v>
      </c>
      <c r="K16">
        <v>0.47071316539371699</v>
      </c>
      <c r="L16">
        <v>3.1526708159016503E-5</v>
      </c>
      <c r="M16">
        <v>1.8220470493454721E-6</v>
      </c>
      <c r="N16" s="1">
        <v>-1.7421367023408899E-8</v>
      </c>
      <c r="O16" s="1">
        <v>4.1877199147465303E-12</v>
      </c>
      <c r="P16" s="1">
        <v>6.0785267983386801E-11</v>
      </c>
      <c r="Q16">
        <v>65.657644945314999</v>
      </c>
      <c r="S16">
        <v>21.031068642433699</v>
      </c>
      <c r="AA16">
        <v>2.0305331204430002</v>
      </c>
      <c r="AB16">
        <v>9.1151448666524804</v>
      </c>
      <c r="AC16">
        <v>2.1656084251557299</v>
      </c>
      <c r="AJ16">
        <v>0.781608830608988</v>
      </c>
      <c r="AK16">
        <v>9.6215878645983993E-2</v>
      </c>
      <c r="AL16">
        <v>0.122175290745027</v>
      </c>
    </row>
    <row r="17" spans="1:38" x14ac:dyDescent="0.2">
      <c r="A17">
        <v>47</v>
      </c>
      <c r="B17">
        <v>754</v>
      </c>
      <c r="C17">
        <v>200</v>
      </c>
      <c r="D17">
        <v>0.38072384753930699</v>
      </c>
      <c r="E17">
        <v>5.0522103653601302</v>
      </c>
      <c r="F17">
        <v>2.56209186034806</v>
      </c>
      <c r="G17">
        <v>-81.714927995766843</v>
      </c>
      <c r="H17">
        <v>-70.798569348577075</v>
      </c>
      <c r="I17">
        <v>10.627813510382801</v>
      </c>
      <c r="J17">
        <v>6.1683370157409199</v>
      </c>
      <c r="K17">
        <v>1.9719083626743099</v>
      </c>
      <c r="L17">
        <v>3.1543432640931035E-5</v>
      </c>
      <c r="M17">
        <v>1.8249237725099544E-6</v>
      </c>
      <c r="N17" s="1">
        <v>-7.5939867865284096E-8</v>
      </c>
      <c r="O17" s="1">
        <v>1.7607982992668899E-11</v>
      </c>
      <c r="P17" s="1">
        <v>2.6290588544137199E-10</v>
      </c>
      <c r="Q17">
        <v>65.852148071785294</v>
      </c>
      <c r="S17">
        <v>20.803975105577901</v>
      </c>
      <c r="AA17">
        <v>1.7977939817514099</v>
      </c>
      <c r="AB17">
        <v>8.9532294241091392</v>
      </c>
      <c r="AC17">
        <v>2.5928534167761499</v>
      </c>
      <c r="AJ17">
        <v>0.76834621043029705</v>
      </c>
      <c r="AK17">
        <v>8.5256588955013493E-2</v>
      </c>
      <c r="AL17">
        <v>0.146397200614688</v>
      </c>
    </row>
    <row r="18" spans="1:38" x14ac:dyDescent="0.2">
      <c r="A18">
        <v>48</v>
      </c>
      <c r="B18">
        <v>752</v>
      </c>
      <c r="C18">
        <v>200</v>
      </c>
      <c r="D18">
        <v>0.37937911525142798</v>
      </c>
      <c r="E18">
        <v>10.410215886600801</v>
      </c>
      <c r="F18">
        <v>2.5637811190811099</v>
      </c>
      <c r="G18">
        <v>-168.39187721707253</v>
      </c>
      <c r="H18">
        <v>-145.96941428708098</v>
      </c>
      <c r="I18">
        <v>21.872372755198299</v>
      </c>
      <c r="J18">
        <v>12.7203001125502</v>
      </c>
      <c r="K18">
        <v>4.0604932336548298</v>
      </c>
      <c r="L18">
        <v>3.1603579094658066E-5</v>
      </c>
      <c r="M18">
        <v>1.8233212355114533E-6</v>
      </c>
      <c r="N18" s="1">
        <v>-1.6682701969631601E-7</v>
      </c>
      <c r="O18" s="1">
        <v>3.6098639621869802E-11</v>
      </c>
      <c r="P18" s="1">
        <v>5.71562731048822E-10</v>
      </c>
      <c r="Q18">
        <v>65.7441053603618</v>
      </c>
      <c r="S18">
        <v>20.901188761857899</v>
      </c>
      <c r="AA18">
        <v>1.9032065332427901</v>
      </c>
      <c r="AB18">
        <v>8.9673202732962398</v>
      </c>
      <c r="AC18">
        <v>2.4841790712411398</v>
      </c>
      <c r="AJ18">
        <v>0.76949984944568695</v>
      </c>
      <c r="AK18">
        <v>9.0249035292287699E-2</v>
      </c>
      <c r="AL18">
        <v>0.14025111526202499</v>
      </c>
    </row>
    <row r="19" spans="1:38" x14ac:dyDescent="0.2">
      <c r="A19">
        <v>49</v>
      </c>
      <c r="B19">
        <v>750</v>
      </c>
      <c r="C19">
        <v>200</v>
      </c>
      <c r="D19">
        <v>0.37802912573913899</v>
      </c>
      <c r="E19">
        <v>17.9573240417341</v>
      </c>
      <c r="F19">
        <v>2.5653950816995299</v>
      </c>
      <c r="G19">
        <v>-290.49037018574631</v>
      </c>
      <c r="H19">
        <v>-251.93519903979418</v>
      </c>
      <c r="I19">
        <v>37.682814001810101</v>
      </c>
      <c r="J19">
        <v>21.960370324521602</v>
      </c>
      <c r="K19">
        <v>6.9998278899940898</v>
      </c>
      <c r="L19">
        <v>3.166530266312706E-5</v>
      </c>
      <c r="M19">
        <v>1.8216970179962053E-6</v>
      </c>
      <c r="N19" s="1">
        <v>-3.0666438641106397E-7</v>
      </c>
      <c r="O19" s="1">
        <v>6.19510581649E-11</v>
      </c>
      <c r="P19" s="1">
        <v>1.0402835560520301E-9</v>
      </c>
      <c r="Q19">
        <v>65.636937726296196</v>
      </c>
      <c r="S19">
        <v>20.995637670591002</v>
      </c>
      <c r="AA19">
        <v>2.0061339523609401</v>
      </c>
      <c r="AB19">
        <v>8.9761130403196994</v>
      </c>
      <c r="AC19">
        <v>2.3851776104320601</v>
      </c>
      <c r="AJ19">
        <v>0.77021902803556996</v>
      </c>
      <c r="AK19">
        <v>9.5125433461803202E-2</v>
      </c>
      <c r="AL19">
        <v>0.13465553850262599</v>
      </c>
    </row>
    <row r="20" spans="1:38" x14ac:dyDescent="0.2">
      <c r="A20">
        <v>50</v>
      </c>
      <c r="B20">
        <v>748</v>
      </c>
      <c r="C20">
        <v>200</v>
      </c>
      <c r="D20">
        <v>0.37667384811242399</v>
      </c>
      <c r="E20">
        <v>19.0777120668652</v>
      </c>
      <c r="F20">
        <v>2.5658290035603</v>
      </c>
      <c r="G20">
        <v>-308.56476928280779</v>
      </c>
      <c r="H20">
        <v>-267.73053623453791</v>
      </c>
      <c r="I20">
        <v>39.9884767646965</v>
      </c>
      <c r="J20">
        <v>23.3517688848342</v>
      </c>
      <c r="K20">
        <v>7.4353014329455798</v>
      </c>
      <c r="L20">
        <v>3.1765297554615528E-5</v>
      </c>
      <c r="M20">
        <v>1.8220246428815912E-6</v>
      </c>
      <c r="N20" s="1">
        <v>-3.4752950558730098E-7</v>
      </c>
      <c r="O20" s="1">
        <v>6.5605309134989704E-11</v>
      </c>
      <c r="P20" s="1">
        <v>1.1675158247282001E-9</v>
      </c>
      <c r="Q20">
        <v>65.626467695574703</v>
      </c>
      <c r="S20">
        <v>21.009821892847199</v>
      </c>
      <c r="AA20">
        <v>2.02027911949147</v>
      </c>
      <c r="AB20">
        <v>8.9899669209569293</v>
      </c>
      <c r="AC20">
        <v>2.35346437112953</v>
      </c>
      <c r="AJ20">
        <v>0.77135448166174403</v>
      </c>
      <c r="AK20">
        <v>9.5789538081481607E-2</v>
      </c>
      <c r="AL20">
        <v>0.132855980256774</v>
      </c>
    </row>
    <row r="21" spans="1:38" x14ac:dyDescent="0.2">
      <c r="A21">
        <v>52</v>
      </c>
      <c r="B21">
        <v>766</v>
      </c>
      <c r="C21">
        <v>175</v>
      </c>
      <c r="D21">
        <v>0.41514747630275201</v>
      </c>
      <c r="E21">
        <v>6.8627879809279493E-2</v>
      </c>
      <c r="F21">
        <v>2.56613681542821</v>
      </c>
      <c r="G21">
        <v>-1.1145811158282775</v>
      </c>
      <c r="H21">
        <v>-0.96354057282220251</v>
      </c>
      <c r="I21">
        <v>0.14535008709625599</v>
      </c>
      <c r="J21">
        <v>8.3601090937563294E-2</v>
      </c>
      <c r="K21">
        <v>2.6743655831860801E-2</v>
      </c>
      <c r="L21">
        <v>3.1169952026560111E-5</v>
      </c>
      <c r="M21">
        <v>1.8200247433434547E-6</v>
      </c>
      <c r="N21" s="1">
        <v>-7.1800557758424905E-10</v>
      </c>
      <c r="O21" s="1">
        <v>2.3943857026431998E-13</v>
      </c>
      <c r="P21" s="1">
        <v>2.6677807902019699E-12</v>
      </c>
      <c r="Q21">
        <v>65.544676779263</v>
      </c>
      <c r="S21">
        <v>21.152186216290001</v>
      </c>
      <c r="AA21">
        <v>2.1568159361937602</v>
      </c>
      <c r="AB21">
        <v>9.1809268319399209</v>
      </c>
      <c r="AC21">
        <v>1.9653942363132</v>
      </c>
      <c r="AJ21">
        <v>0.78699042160566901</v>
      </c>
      <c r="AK21">
        <v>0.10216609509310499</v>
      </c>
      <c r="AL21">
        <v>0.110843483301224</v>
      </c>
    </row>
    <row r="22" spans="1:38" x14ac:dyDescent="0.2">
      <c r="A22">
        <v>53</v>
      </c>
      <c r="B22">
        <v>764</v>
      </c>
      <c r="C22">
        <v>175</v>
      </c>
      <c r="D22">
        <v>0.41388468398978101</v>
      </c>
      <c r="E22">
        <v>0.95299566851003104</v>
      </c>
      <c r="F22">
        <v>2.5650784962526898</v>
      </c>
      <c r="G22">
        <v>-15.469196280105454</v>
      </c>
      <c r="H22">
        <v>-13.377935062599063</v>
      </c>
      <c r="I22">
        <v>2.0163536783554799</v>
      </c>
      <c r="J22">
        <v>1.1613769403273899</v>
      </c>
      <c r="K22">
        <v>0.37152690254986498</v>
      </c>
      <c r="L22">
        <v>3.1248956815313567E-5</v>
      </c>
      <c r="M22">
        <v>1.8220827282717446E-6</v>
      </c>
      <c r="N22" s="1">
        <v>-1.05901478687964E-8</v>
      </c>
      <c r="O22" s="1">
        <v>3.3268104485254499E-12</v>
      </c>
      <c r="P22" s="1">
        <v>3.8835982898491303E-11</v>
      </c>
      <c r="Q22">
        <v>65.635657695271107</v>
      </c>
      <c r="S22">
        <v>21.0716974081793</v>
      </c>
      <c r="AA22">
        <v>2.0691826924012302</v>
      </c>
      <c r="AB22">
        <v>9.1726610503408299</v>
      </c>
      <c r="AC22">
        <v>2.0508011538074902</v>
      </c>
      <c r="AJ22">
        <v>0.78631560631322295</v>
      </c>
      <c r="AK22">
        <v>9.8019205303269796E-2</v>
      </c>
      <c r="AL22">
        <v>0.11566518838350701</v>
      </c>
    </row>
    <row r="23" spans="1:38" x14ac:dyDescent="0.2">
      <c r="A23">
        <v>54</v>
      </c>
      <c r="B23">
        <v>762</v>
      </c>
      <c r="C23">
        <v>175</v>
      </c>
      <c r="D23">
        <v>0.41261701202724399</v>
      </c>
      <c r="E23">
        <v>2.4087606386249898</v>
      </c>
      <c r="F23">
        <v>2.5632086757755399</v>
      </c>
      <c r="G23">
        <v>-39.067626344217977</v>
      </c>
      <c r="H23">
        <v>-33.797402112063516</v>
      </c>
      <c r="I23">
        <v>5.0912662243679296</v>
      </c>
      <c r="J23">
        <v>2.9361122428309998</v>
      </c>
      <c r="K23">
        <v>0.93974425936904205</v>
      </c>
      <c r="L23">
        <v>3.1316384078202202E-5</v>
      </c>
      <c r="M23">
        <v>1.8245399730705158E-6</v>
      </c>
      <c r="N23" s="1">
        <v>-2.8297785770905001E-8</v>
      </c>
      <c r="O23" s="1">
        <v>8.4246904088876501E-12</v>
      </c>
      <c r="P23" s="1">
        <v>1.02559734792912E-10</v>
      </c>
      <c r="Q23">
        <v>65.761417336311396</v>
      </c>
      <c r="S23">
        <v>20.947854452637198</v>
      </c>
      <c r="AA23">
        <v>1.93766669303627</v>
      </c>
      <c r="AB23">
        <v>9.1282392588006207</v>
      </c>
      <c r="AC23">
        <v>2.2248222592143301</v>
      </c>
      <c r="AJ23">
        <v>0.78268233942022603</v>
      </c>
      <c r="AK23">
        <v>9.1809661070247905E-2</v>
      </c>
      <c r="AL23">
        <v>0.12550799950952499</v>
      </c>
    </row>
    <row r="24" spans="1:38" x14ac:dyDescent="0.2">
      <c r="A24">
        <v>55</v>
      </c>
      <c r="B24">
        <v>760</v>
      </c>
      <c r="C24">
        <v>175</v>
      </c>
      <c r="D24">
        <v>0.41134443207665999</v>
      </c>
      <c r="E24">
        <v>5.6077260694808997</v>
      </c>
      <c r="F24">
        <v>2.5583532331747798</v>
      </c>
      <c r="G24">
        <v>-90.777439667522671</v>
      </c>
      <c r="H24">
        <v>-78.546346340199733</v>
      </c>
      <c r="I24">
        <v>11.8386423339524</v>
      </c>
      <c r="J24">
        <v>6.83065826886439</v>
      </c>
      <c r="K24">
        <v>2.1919279936656699</v>
      </c>
      <c r="L24">
        <v>3.1298400610995777E-5</v>
      </c>
      <c r="M24">
        <v>1.8275569747767371E-6</v>
      </c>
      <c r="N24" s="1">
        <v>-6.8133093666351501E-8</v>
      </c>
      <c r="O24" s="1">
        <v>1.9750976882786699E-11</v>
      </c>
      <c r="P24" s="1">
        <v>2.4505430124565699E-10</v>
      </c>
      <c r="Q24">
        <v>65.985670694565698</v>
      </c>
      <c r="S24">
        <v>20.677009545578802</v>
      </c>
      <c r="AA24">
        <v>1.6618904160741601</v>
      </c>
      <c r="AB24">
        <v>8.9179207075915503</v>
      </c>
      <c r="AC24">
        <v>2.7575086361897601</v>
      </c>
      <c r="AJ24">
        <v>0.76545259321576797</v>
      </c>
      <c r="AK24">
        <v>7.8825705381665001E-2</v>
      </c>
      <c r="AL24">
        <v>0.155721701402566</v>
      </c>
    </row>
    <row r="25" spans="1:38" x14ac:dyDescent="0.2">
      <c r="A25">
        <v>56</v>
      </c>
      <c r="B25">
        <v>758</v>
      </c>
      <c r="C25">
        <v>175</v>
      </c>
      <c r="D25">
        <v>0.41006691557969399</v>
      </c>
      <c r="E25">
        <v>16.312133141698499</v>
      </c>
      <c r="F25">
        <v>2.5228613925632</v>
      </c>
      <c r="G25">
        <v>-259.08566249456004</v>
      </c>
      <c r="H25">
        <v>-224.05285044162287</v>
      </c>
      <c r="I25">
        <v>33.974506185266101</v>
      </c>
      <c r="J25">
        <v>19.476612897153199</v>
      </c>
      <c r="K25">
        <v>6.4657270469883201</v>
      </c>
      <c r="L25">
        <v>2.8992908461475564E-5</v>
      </c>
      <c r="M25">
        <v>1.8065407380845796E-6</v>
      </c>
      <c r="N25" s="1">
        <v>-1.1105449522231199E-7</v>
      </c>
      <c r="O25" s="1">
        <v>6.1354472681123894E-11</v>
      </c>
      <c r="P25" s="1">
        <v>4.5328541724177799E-10</v>
      </c>
      <c r="Q25">
        <v>66.232716960977797</v>
      </c>
      <c r="S25">
        <v>19.123084961276099</v>
      </c>
      <c r="AA25">
        <v>0.32224185418096302</v>
      </c>
      <c r="AB25">
        <v>5.3946347444723699</v>
      </c>
      <c r="AC25">
        <v>8.9273214790925994</v>
      </c>
      <c r="AJ25">
        <v>0.47130234112507702</v>
      </c>
      <c r="AK25">
        <v>1.5557158987679801E-2</v>
      </c>
      <c r="AL25">
        <v>0.51314049988724197</v>
      </c>
    </row>
    <row r="26" spans="1:38" x14ac:dyDescent="0.2">
      <c r="A26">
        <v>57</v>
      </c>
      <c r="B26">
        <v>756</v>
      </c>
      <c r="C26">
        <v>175</v>
      </c>
      <c r="D26">
        <v>0.40878443375601398</v>
      </c>
      <c r="E26">
        <v>36.167695358015102</v>
      </c>
      <c r="F26">
        <v>2.5224717069646498</v>
      </c>
      <c r="G26">
        <v>-573.84123907300318</v>
      </c>
      <c r="H26">
        <v>-496.47329697940205</v>
      </c>
      <c r="I26">
        <v>75.176545783997597</v>
      </c>
      <c r="J26">
        <v>43.1507262062268</v>
      </c>
      <c r="K26">
        <v>14.338196641870899</v>
      </c>
      <c r="L26">
        <v>2.8892027175835567E-5</v>
      </c>
      <c r="M26">
        <v>1.8047055733743022E-6</v>
      </c>
      <c r="N26" s="1">
        <v>-2.5213796197120702E-7</v>
      </c>
      <c r="O26" s="1">
        <v>1.3615694225667601E-10</v>
      </c>
      <c r="P26" s="1">
        <v>1.0213903042721E-9</v>
      </c>
      <c r="Q26">
        <v>66.177896382344301</v>
      </c>
      <c r="S26">
        <v>19.1000467972923</v>
      </c>
      <c r="AA26">
        <v>0.31602676558117199</v>
      </c>
      <c r="AB26">
        <v>5.2120724823003597</v>
      </c>
      <c r="AC26">
        <v>9.1939575724817395</v>
      </c>
      <c r="AJ26">
        <v>0.45577365759562399</v>
      </c>
      <c r="AK26">
        <v>1.5271209341391E-2</v>
      </c>
      <c r="AL26">
        <v>0.52895513306298303</v>
      </c>
    </row>
    <row r="27" spans="1:38" x14ac:dyDescent="0.2">
      <c r="A27">
        <v>58</v>
      </c>
      <c r="B27">
        <v>754</v>
      </c>
      <c r="C27">
        <v>175</v>
      </c>
      <c r="D27">
        <v>0.40749695760112897</v>
      </c>
      <c r="E27">
        <v>40.541229707116997</v>
      </c>
      <c r="F27">
        <v>2.5223833760747798</v>
      </c>
      <c r="G27">
        <v>-642.88284457311738</v>
      </c>
      <c r="H27">
        <v>-556.4520633514984</v>
      </c>
      <c r="I27">
        <v>84.146211577295404</v>
      </c>
      <c r="J27">
        <v>48.3662901364441</v>
      </c>
      <c r="K27">
        <v>16.0725883668823</v>
      </c>
      <c r="L27">
        <v>2.8884514747315878E-5</v>
      </c>
      <c r="M27">
        <v>1.8043422850309114E-6</v>
      </c>
      <c r="N27" s="1">
        <v>-2.9865013738090199E-7</v>
      </c>
      <c r="O27" s="1">
        <v>1.52564103986954E-10</v>
      </c>
      <c r="P27" s="1">
        <v>1.19086315033993E-9</v>
      </c>
      <c r="Q27">
        <v>66.163964929825099</v>
      </c>
      <c r="S27">
        <v>19.088478034780501</v>
      </c>
      <c r="AA27">
        <v>0.30973313204448899</v>
      </c>
      <c r="AB27">
        <v>5.1506979723693602</v>
      </c>
      <c r="AC27">
        <v>9.2871259309805207</v>
      </c>
      <c r="AJ27">
        <v>0.45054675490380702</v>
      </c>
      <c r="AK27">
        <v>1.4971738606820099E-2</v>
      </c>
      <c r="AL27">
        <v>0.53448150648937198</v>
      </c>
    </row>
    <row r="28" spans="1:38" x14ac:dyDescent="0.2">
      <c r="A28">
        <v>60</v>
      </c>
      <c r="B28">
        <v>776</v>
      </c>
      <c r="C28">
        <v>150</v>
      </c>
      <c r="D28">
        <v>0.447600915026452</v>
      </c>
      <c r="E28">
        <v>0.41130603295347701</v>
      </c>
      <c r="F28">
        <v>2.5639139130490198</v>
      </c>
      <c r="G28">
        <v>-6.692701349438666</v>
      </c>
      <c r="H28">
        <v>-5.7735524438480077</v>
      </c>
      <c r="I28">
        <v>0.87608912509236803</v>
      </c>
      <c r="J28">
        <v>0.50010382765649997</v>
      </c>
      <c r="K28">
        <v>0.16042115566366599</v>
      </c>
      <c r="L28">
        <v>3.0915936706318906E-5</v>
      </c>
      <c r="M28">
        <v>1.8207882931234207E-6</v>
      </c>
      <c r="N28" s="1">
        <v>-3.1038903672924198E-9</v>
      </c>
      <c r="O28" s="1">
        <v>1.44628216246818E-12</v>
      </c>
      <c r="P28" s="1">
        <v>1.24910344232065E-11</v>
      </c>
      <c r="Q28">
        <v>65.5783285578256</v>
      </c>
      <c r="S28">
        <v>21.129735309926499</v>
      </c>
      <c r="AA28">
        <v>2.13044152608667</v>
      </c>
      <c r="AB28">
        <v>9.19706004628169</v>
      </c>
      <c r="AC28">
        <v>1.96443455987935</v>
      </c>
      <c r="AJ28">
        <v>0.78831070022558003</v>
      </c>
      <c r="AK28">
        <v>0.10090874586554099</v>
      </c>
      <c r="AL28">
        <v>0.110780553908878</v>
      </c>
    </row>
    <row r="29" spans="1:38" x14ac:dyDescent="0.2">
      <c r="A29">
        <v>61</v>
      </c>
      <c r="B29">
        <v>774</v>
      </c>
      <c r="C29">
        <v>150</v>
      </c>
      <c r="D29">
        <v>0.44641216635630598</v>
      </c>
      <c r="E29">
        <v>1.2559001341468401</v>
      </c>
      <c r="F29">
        <v>2.56295632691891</v>
      </c>
      <c r="G29">
        <v>-20.425266828445302</v>
      </c>
      <c r="H29">
        <v>-17.626848559698011</v>
      </c>
      <c r="I29">
        <v>2.6724139509595499</v>
      </c>
      <c r="J29">
        <v>1.52740262251124</v>
      </c>
      <c r="K29">
        <v>0.49002010723165002</v>
      </c>
      <c r="L29">
        <v>3.0978081461023955E-5</v>
      </c>
      <c r="M29">
        <v>1.8226580423180507E-6</v>
      </c>
      <c r="N29" s="1">
        <v>-1.0071432806620699E-8</v>
      </c>
      <c r="O29" s="1">
        <v>4.4196216205119198E-12</v>
      </c>
      <c r="P29" s="1">
        <v>3.9867009901084799E-11</v>
      </c>
      <c r="Q29">
        <v>65.6617229698237</v>
      </c>
      <c r="S29">
        <v>21.056049374419501</v>
      </c>
      <c r="AA29">
        <v>2.0501909288446698</v>
      </c>
      <c r="AB29">
        <v>9.1897227622327602</v>
      </c>
      <c r="AC29">
        <v>2.0423139646792601</v>
      </c>
      <c r="AJ29">
        <v>0.78771182945032803</v>
      </c>
      <c r="AK29">
        <v>9.7111364370929903E-2</v>
      </c>
      <c r="AL29">
        <v>0.115176806178741</v>
      </c>
    </row>
    <row r="30" spans="1:38" x14ac:dyDescent="0.2">
      <c r="A30">
        <v>62</v>
      </c>
      <c r="B30">
        <v>772</v>
      </c>
      <c r="C30">
        <v>150</v>
      </c>
      <c r="D30">
        <v>0.44521886810505501</v>
      </c>
      <c r="E30">
        <v>2.1048529166678098</v>
      </c>
      <c r="F30">
        <v>2.5620172002948398</v>
      </c>
      <c r="G30">
        <v>-34.21429459530497</v>
      </c>
      <c r="H30">
        <v>-29.537947782071438</v>
      </c>
      <c r="I30">
        <v>4.4743307785806001</v>
      </c>
      <c r="J30">
        <v>2.56050981799268</v>
      </c>
      <c r="K30">
        <v>0.82156080623720296</v>
      </c>
      <c r="L30">
        <v>3.1038396847241846E-5</v>
      </c>
      <c r="M30">
        <v>1.8243958562927696E-6</v>
      </c>
      <c r="N30" s="1">
        <v>-1.79236161115154E-8</v>
      </c>
      <c r="O30" s="1">
        <v>7.4121548733521295E-12</v>
      </c>
      <c r="P30" s="1">
        <v>6.9847685365759994E-11</v>
      </c>
      <c r="Q30">
        <v>65.739969919608896</v>
      </c>
      <c r="S30">
        <v>20.9852164207939</v>
      </c>
      <c r="AA30">
        <v>1.9734951608040201</v>
      </c>
      <c r="AB30">
        <v>9.1783940975535092</v>
      </c>
      <c r="AC30">
        <v>2.1229244012395401</v>
      </c>
      <c r="AJ30">
        <v>0.78678629533386002</v>
      </c>
      <c r="AK30">
        <v>9.3483925659187506E-2</v>
      </c>
      <c r="AL30">
        <v>0.119729779006952</v>
      </c>
    </row>
    <row r="31" spans="1:38" x14ac:dyDescent="0.2">
      <c r="A31">
        <v>63</v>
      </c>
      <c r="B31">
        <v>770</v>
      </c>
      <c r="C31">
        <v>150</v>
      </c>
      <c r="D31">
        <v>0.44402099410439499</v>
      </c>
      <c r="E31">
        <v>2.9569883909354</v>
      </c>
      <c r="F31">
        <v>2.5610952360486801</v>
      </c>
      <c r="G31">
        <v>-48.040276713084232</v>
      </c>
      <c r="H31">
        <v>-41.490103795224314</v>
      </c>
      <c r="I31">
        <v>6.27922438562039</v>
      </c>
      <c r="J31">
        <v>3.5980228957106002</v>
      </c>
      <c r="K31">
        <v>1.15457963035279</v>
      </c>
      <c r="L31">
        <v>3.1097024583519875E-5</v>
      </c>
      <c r="M31">
        <v>1.8260056116747853E-6</v>
      </c>
      <c r="N31" s="1">
        <v>-2.6719505865336001E-8</v>
      </c>
      <c r="O31" s="1">
        <v>1.0418757748735501E-11</v>
      </c>
      <c r="P31" s="1">
        <v>1.02589812986145E-10</v>
      </c>
      <c r="Q31">
        <v>65.813222084211901</v>
      </c>
      <c r="S31">
        <v>20.917117306305801</v>
      </c>
      <c r="AA31">
        <v>1.90022030288334</v>
      </c>
      <c r="AB31">
        <v>9.1631019366278093</v>
      </c>
      <c r="AC31">
        <v>2.20633836997099</v>
      </c>
      <c r="AJ31">
        <v>0.78553627041488105</v>
      </c>
      <c r="AK31">
        <v>9.00198881056785E-2</v>
      </c>
      <c r="AL31">
        <v>0.124443841479439</v>
      </c>
    </row>
    <row r="32" spans="1:38" x14ac:dyDescent="0.2">
      <c r="A32">
        <v>64</v>
      </c>
      <c r="B32">
        <v>768</v>
      </c>
      <c r="C32">
        <v>150</v>
      </c>
      <c r="D32">
        <v>0.442818517984921</v>
      </c>
      <c r="E32">
        <v>5.5889165935267604</v>
      </c>
      <c r="F32">
        <v>2.5575613895468798</v>
      </c>
      <c r="G32">
        <v>-90.667949708802624</v>
      </c>
      <c r="H32">
        <v>-78.325270631949166</v>
      </c>
      <c r="I32">
        <v>11.854851920331701</v>
      </c>
      <c r="J32">
        <v>6.7975401150081902</v>
      </c>
      <c r="K32">
        <v>2.1852521766904398</v>
      </c>
      <c r="L32">
        <v>3.1100018155153539E-5</v>
      </c>
      <c r="M32">
        <v>1.8285163388937143E-6</v>
      </c>
      <c r="N32" s="1">
        <v>-5.2631525237956802E-8</v>
      </c>
      <c r="O32" s="1">
        <v>1.9789607901112199E-11</v>
      </c>
      <c r="P32" s="1">
        <v>1.9994809984302299E-10</v>
      </c>
      <c r="Q32">
        <v>65.985796744100796</v>
      </c>
      <c r="S32">
        <v>20.714856778496902</v>
      </c>
      <c r="AA32">
        <v>1.6930853588204799</v>
      </c>
      <c r="AB32">
        <v>9.0174230437930607</v>
      </c>
      <c r="AC32">
        <v>2.5888380747886002</v>
      </c>
      <c r="AJ32">
        <v>0.77361019689041099</v>
      </c>
      <c r="AK32">
        <v>8.0265586843488695E-2</v>
      </c>
      <c r="AL32">
        <v>0.14612421626609901</v>
      </c>
    </row>
    <row r="33" spans="1:38" x14ac:dyDescent="0.2">
      <c r="A33">
        <v>65</v>
      </c>
      <c r="B33">
        <v>766</v>
      </c>
      <c r="C33">
        <v>150</v>
      </c>
      <c r="D33">
        <v>0.44161141317423203</v>
      </c>
      <c r="E33">
        <v>9.0506355771186495</v>
      </c>
      <c r="F33">
        <v>2.5548390398428702</v>
      </c>
      <c r="G33">
        <v>-146.61187702613992</v>
      </c>
      <c r="H33">
        <v>-126.69024122158109</v>
      </c>
      <c r="I33">
        <v>19.171087720308702</v>
      </c>
      <c r="J33">
        <v>10.999795595182199</v>
      </c>
      <c r="K33">
        <v>3.5425462958618499</v>
      </c>
      <c r="L33">
        <v>3.1029199801171387E-5</v>
      </c>
      <c r="M33">
        <v>1.8283122199602322E-6</v>
      </c>
      <c r="N33" s="1">
        <v>-8.8040905086965204E-8</v>
      </c>
      <c r="O33" s="1">
        <v>3.2156902488006399E-11</v>
      </c>
      <c r="P33" s="1">
        <v>3.3171439997424402E-10</v>
      </c>
      <c r="Q33">
        <v>66.045067742564598</v>
      </c>
      <c r="S33">
        <v>20.585781908895399</v>
      </c>
      <c r="AA33">
        <v>1.5727671925732101</v>
      </c>
      <c r="AB33">
        <v>8.8111187343472999</v>
      </c>
      <c r="AC33">
        <v>2.9852644216194202</v>
      </c>
      <c r="AJ33">
        <v>0.75668844754832099</v>
      </c>
      <c r="AK33">
        <v>7.4638221373158703E-2</v>
      </c>
      <c r="AL33">
        <v>0.16867333107851901</v>
      </c>
    </row>
    <row r="34" spans="1:38" x14ac:dyDescent="0.2">
      <c r="A34">
        <v>66</v>
      </c>
      <c r="B34">
        <v>764</v>
      </c>
      <c r="C34">
        <v>150</v>
      </c>
      <c r="D34">
        <v>0.44039965289495597</v>
      </c>
      <c r="E34">
        <v>12.829752705180001</v>
      </c>
      <c r="F34">
        <v>2.5587192353974602</v>
      </c>
      <c r="G34">
        <v>-207.96077858254409</v>
      </c>
      <c r="H34">
        <v>-179.80958453604003</v>
      </c>
      <c r="I34">
        <v>27.142837628601502</v>
      </c>
      <c r="J34">
        <v>15.603976082339701</v>
      </c>
      <c r="K34">
        <v>5.0141307134024498</v>
      </c>
      <c r="L34">
        <v>3.1041352872676341E-5</v>
      </c>
      <c r="M34">
        <v>1.8241655534443604E-6</v>
      </c>
      <c r="N34" s="1">
        <v>-1.3356996019510701E-7</v>
      </c>
      <c r="O34" s="1">
        <v>4.52273156700519E-11</v>
      </c>
      <c r="P34" s="1">
        <v>4.9591579631475195E-10</v>
      </c>
      <c r="Q34">
        <v>65.795738646385303</v>
      </c>
      <c r="S34">
        <v>20.815567415350198</v>
      </c>
      <c r="AA34">
        <v>1.8205201242602</v>
      </c>
      <c r="AB34">
        <v>8.8579147913291294</v>
      </c>
      <c r="AC34">
        <v>2.71025902267503</v>
      </c>
      <c r="AJ34">
        <v>0.76052626272441903</v>
      </c>
      <c r="AK34">
        <v>8.6375185272519098E-2</v>
      </c>
      <c r="AL34">
        <v>0.15309855200306099</v>
      </c>
    </row>
    <row r="35" spans="1:38" x14ac:dyDescent="0.2">
      <c r="A35">
        <v>67</v>
      </c>
      <c r="B35">
        <v>762</v>
      </c>
      <c r="C35">
        <v>150</v>
      </c>
      <c r="D35">
        <v>0.439183210162781</v>
      </c>
      <c r="E35">
        <v>16.344697818293099</v>
      </c>
      <c r="F35">
        <v>2.56134692344797</v>
      </c>
      <c r="G35">
        <v>-265.01345596319925</v>
      </c>
      <c r="H35">
        <v>-229.26347520272606</v>
      </c>
      <c r="I35">
        <v>34.536038989975502</v>
      </c>
      <c r="J35">
        <v>19.890496288064298</v>
      </c>
      <c r="K35">
        <v>6.3812901207036097</v>
      </c>
      <c r="L35">
        <v>3.1057398266012221E-5</v>
      </c>
      <c r="M35">
        <v>1.8211240707161548E-6</v>
      </c>
      <c r="N35" s="1">
        <v>-1.8138568372281501E-7</v>
      </c>
      <c r="O35" s="1">
        <v>5.72778112659014E-11</v>
      </c>
      <c r="P35" s="1">
        <v>6.64492206669679E-10</v>
      </c>
      <c r="Q35">
        <v>65.616983623915104</v>
      </c>
      <c r="S35">
        <v>20.974191703115999</v>
      </c>
      <c r="AA35">
        <v>1.9930968266054701</v>
      </c>
      <c r="AB35">
        <v>8.8754230011580102</v>
      </c>
      <c r="AC35">
        <v>2.5403048452052901</v>
      </c>
      <c r="AJ35">
        <v>0.76196036125512601</v>
      </c>
      <c r="AK35">
        <v>9.4554566179419902E-2</v>
      </c>
      <c r="AL35">
        <v>0.14348507256545301</v>
      </c>
    </row>
    <row r="36" spans="1:38" x14ac:dyDescent="0.2">
      <c r="A36">
        <v>68</v>
      </c>
      <c r="B36">
        <v>760</v>
      </c>
      <c r="C36">
        <v>150</v>
      </c>
      <c r="D36">
        <v>0.43796205778444602</v>
      </c>
      <c r="E36">
        <v>17.434315996051701</v>
      </c>
      <c r="F36">
        <v>2.5622206221588999</v>
      </c>
      <c r="G36">
        <v>-282.66003000451309</v>
      </c>
      <c r="H36">
        <v>-244.64383385217775</v>
      </c>
      <c r="I36">
        <v>36.796395636969798</v>
      </c>
      <c r="J36">
        <v>21.228713272712898</v>
      </c>
      <c r="K36">
        <v>6.8043773612912597</v>
      </c>
      <c r="L36">
        <v>3.1113956452894077E-5</v>
      </c>
      <c r="M36">
        <v>1.8206629660956126E-6</v>
      </c>
      <c r="N36" s="1">
        <v>-2.0618583562298199E-7</v>
      </c>
      <c r="O36" s="1">
        <v>6.0913240058975401E-11</v>
      </c>
      <c r="P36" s="1">
        <v>7.45619190050991E-10</v>
      </c>
      <c r="Q36">
        <v>65.5714902685759</v>
      </c>
      <c r="S36">
        <v>21.018066383475102</v>
      </c>
      <c r="AA36">
        <v>2.0399091396769098</v>
      </c>
      <c r="AB36">
        <v>8.8890666766997093</v>
      </c>
      <c r="AC36">
        <v>2.4814675315722901</v>
      </c>
      <c r="AJ36">
        <v>0.763079171390322</v>
      </c>
      <c r="AK36">
        <v>9.6768731858469001E-2</v>
      </c>
      <c r="AL36">
        <v>0.14015209675120799</v>
      </c>
    </row>
    <row r="37" spans="1:38" x14ac:dyDescent="0.2">
      <c r="A37">
        <v>70</v>
      </c>
      <c r="B37">
        <v>790</v>
      </c>
      <c r="C37">
        <v>125</v>
      </c>
      <c r="D37">
        <v>0.48166345294643498</v>
      </c>
      <c r="E37">
        <v>4.0866761251225799E-2</v>
      </c>
      <c r="F37">
        <v>2.56213245616871</v>
      </c>
      <c r="G37">
        <v>-0.66670251451518425</v>
      </c>
      <c r="H37">
        <v>-0.57344707359539016</v>
      </c>
      <c r="I37">
        <v>8.7716165094101406E-2</v>
      </c>
      <c r="J37">
        <v>4.9618124363125703E-2</v>
      </c>
      <c r="K37">
        <v>1.59502921688662E-2</v>
      </c>
      <c r="L37">
        <v>3.0658479482858288E-5</v>
      </c>
      <c r="M37">
        <v>1.8201434628430632E-6</v>
      </c>
      <c r="N37" s="1">
        <v>-1.94216604114109E-10</v>
      </c>
      <c r="O37" s="1">
        <v>1.4460401704923801E-13</v>
      </c>
      <c r="P37" s="1">
        <v>9.0557505774758095E-13</v>
      </c>
      <c r="Q37">
        <v>65.553387589410605</v>
      </c>
      <c r="S37">
        <v>21.157830399742</v>
      </c>
      <c r="AA37">
        <v>2.15943989686988</v>
      </c>
      <c r="AB37">
        <v>9.2151353660121096</v>
      </c>
      <c r="AC37">
        <v>1.91420674796531</v>
      </c>
      <c r="AJ37">
        <v>0.789788672737741</v>
      </c>
      <c r="AK37">
        <v>0.102273022940748</v>
      </c>
      <c r="AL37">
        <v>0.107938304321509</v>
      </c>
    </row>
    <row r="38" spans="1:38" x14ac:dyDescent="0.2">
      <c r="A38">
        <v>71</v>
      </c>
      <c r="B38">
        <v>788</v>
      </c>
      <c r="C38">
        <v>125</v>
      </c>
      <c r="D38">
        <v>0.48055458700466802</v>
      </c>
      <c r="E38">
        <v>0.84429152758588999</v>
      </c>
      <c r="F38">
        <v>2.5612552664011998</v>
      </c>
      <c r="G38">
        <v>-13.767083307950919</v>
      </c>
      <c r="H38">
        <v>-11.845962119860253</v>
      </c>
      <c r="I38">
        <v>1.81041435055427</v>
      </c>
      <c r="J38">
        <v>1.0251937495428101</v>
      </c>
      <c r="K38">
        <v>0.32963974292659798</v>
      </c>
      <c r="L38">
        <v>3.070706564727214E-5</v>
      </c>
      <c r="M38">
        <v>1.8219250112567002E-6</v>
      </c>
      <c r="N38" s="1">
        <v>-4.2800214425048498E-9</v>
      </c>
      <c r="O38" s="1">
        <v>2.99051336338957E-12</v>
      </c>
      <c r="P38" s="1">
        <v>1.9492971896236899E-11</v>
      </c>
      <c r="Q38">
        <v>65.6330617591112</v>
      </c>
      <c r="S38">
        <v>21.0885734347764</v>
      </c>
      <c r="AA38">
        <v>2.0837113133546699</v>
      </c>
      <c r="AB38">
        <v>9.2111188435546207</v>
      </c>
      <c r="AC38">
        <v>1.9835346492029799</v>
      </c>
      <c r="AJ38">
        <v>0.78946144743320401</v>
      </c>
      <c r="AK38">
        <v>9.8688575632383604E-2</v>
      </c>
      <c r="AL38">
        <v>0.111849976934412</v>
      </c>
    </row>
    <row r="39" spans="1:38" x14ac:dyDescent="0.2">
      <c r="A39">
        <v>72</v>
      </c>
      <c r="B39">
        <v>786</v>
      </c>
      <c r="C39">
        <v>125</v>
      </c>
      <c r="D39">
        <v>0.47944153330501299</v>
      </c>
      <c r="E39">
        <v>1.65073690972892</v>
      </c>
      <c r="F39">
        <v>2.5603986232444398</v>
      </c>
      <c r="G39">
        <v>-26.903757361524722</v>
      </c>
      <c r="H39">
        <v>-23.158425681628426</v>
      </c>
      <c r="I39">
        <v>3.5361673794045099</v>
      </c>
      <c r="J39">
        <v>2.0046382949706301</v>
      </c>
      <c r="K39">
        <v>0.64471871479026499</v>
      </c>
      <c r="L39">
        <v>3.0753756215194233E-5</v>
      </c>
      <c r="M39">
        <v>1.8235877024785913E-6</v>
      </c>
      <c r="N39" s="1">
        <v>-8.9150279223327199E-9</v>
      </c>
      <c r="O39" s="1">
        <v>5.8523996217788902E-12</v>
      </c>
      <c r="P39" s="1">
        <v>3.9713043396669399E-11</v>
      </c>
      <c r="Q39">
        <v>65.708036125193601</v>
      </c>
      <c r="S39">
        <v>21.0220465077889</v>
      </c>
      <c r="AA39">
        <v>2.01133167404867</v>
      </c>
      <c r="AB39">
        <v>9.2037862102160002</v>
      </c>
      <c r="AC39">
        <v>2.0547994827527201</v>
      </c>
      <c r="AJ39">
        <v>0.78886290902845602</v>
      </c>
      <c r="AK39">
        <v>9.5264150223180605E-2</v>
      </c>
      <c r="AL39">
        <v>0.115872940748363</v>
      </c>
    </row>
    <row r="40" spans="1:38" x14ac:dyDescent="0.2">
      <c r="A40">
        <v>73</v>
      </c>
      <c r="B40">
        <v>784</v>
      </c>
      <c r="C40">
        <v>125</v>
      </c>
      <c r="D40">
        <v>0.47832426807926898</v>
      </c>
      <c r="E40">
        <v>2.45910900305504</v>
      </c>
      <c r="F40">
        <v>2.5595616909817398</v>
      </c>
      <c r="G40">
        <v>-40.058652634285657</v>
      </c>
      <c r="H40">
        <v>-34.495357563759292</v>
      </c>
      <c r="I40">
        <v>5.2625408603569603</v>
      </c>
      <c r="J40">
        <v>2.9866351404211602</v>
      </c>
      <c r="K40">
        <v>0.960753949287242</v>
      </c>
      <c r="L40">
        <v>3.0798681666455587E-5</v>
      </c>
      <c r="M40">
        <v>1.8251352757774382E-6</v>
      </c>
      <c r="N40" s="1">
        <v>-1.4132728803278E-8</v>
      </c>
      <c r="O40" s="1">
        <v>8.7256258513999905E-12</v>
      </c>
      <c r="P40" s="1">
        <v>6.1652249941465606E-11</v>
      </c>
      <c r="Q40">
        <v>65.778449682063197</v>
      </c>
      <c r="S40">
        <v>20.958154501857798</v>
      </c>
      <c r="AA40">
        <v>1.9421900740731699</v>
      </c>
      <c r="AB40">
        <v>9.1931978461997996</v>
      </c>
      <c r="AC40">
        <v>2.1280078958059998</v>
      </c>
      <c r="AJ40">
        <v>0.787997938530269</v>
      </c>
      <c r="AK40">
        <v>9.1994316128412107E-2</v>
      </c>
      <c r="AL40">
        <v>0.120007745341318</v>
      </c>
    </row>
    <row r="41" spans="1:38" x14ac:dyDescent="0.2">
      <c r="A41">
        <v>74</v>
      </c>
      <c r="B41">
        <v>782</v>
      </c>
      <c r="C41">
        <v>125</v>
      </c>
      <c r="D41">
        <v>0.47720276737904699</v>
      </c>
      <c r="E41">
        <v>3.2683793223536002</v>
      </c>
      <c r="F41">
        <v>2.55874350548177</v>
      </c>
      <c r="G41">
        <v>-53.214794748750684</v>
      </c>
      <c r="H41">
        <v>-45.842196825874105</v>
      </c>
      <c r="I41">
        <v>6.9872510286467104</v>
      </c>
      <c r="J41">
        <v>3.9699499597051999</v>
      </c>
      <c r="K41">
        <v>1.2773376133057199</v>
      </c>
      <c r="L41">
        <v>3.0841983881137747E-5</v>
      </c>
      <c r="M41">
        <v>1.8265718290168775E-6</v>
      </c>
      <c r="N41" s="1">
        <v>-1.9968653692211001E-8</v>
      </c>
      <c r="O41" s="1">
        <v>1.16057760320123E-11</v>
      </c>
      <c r="P41" s="1">
        <v>8.5403106411370406E-11</v>
      </c>
      <c r="Q41">
        <v>65.844457180803104</v>
      </c>
      <c r="S41">
        <v>20.896791053858198</v>
      </c>
      <c r="AA41">
        <v>1.87616265371142</v>
      </c>
      <c r="AB41">
        <v>9.1794197612375292</v>
      </c>
      <c r="AC41">
        <v>2.2031693503897198</v>
      </c>
      <c r="AJ41">
        <v>0.78687185380271096</v>
      </c>
      <c r="AK41">
        <v>8.88730445448771E-2</v>
      </c>
      <c r="AL41">
        <v>0.12425510165241101</v>
      </c>
    </row>
    <row r="42" spans="1:38" x14ac:dyDescent="0.2">
      <c r="A42">
        <v>75</v>
      </c>
      <c r="B42">
        <v>780</v>
      </c>
      <c r="C42">
        <v>125</v>
      </c>
      <c r="D42">
        <v>0.47607700707401701</v>
      </c>
      <c r="E42">
        <v>4.0775974864464803</v>
      </c>
      <c r="F42">
        <v>2.5579430153587399</v>
      </c>
      <c r="G42">
        <v>-66.356510945193136</v>
      </c>
      <c r="H42">
        <v>-57.185479121090864</v>
      </c>
      <c r="I42">
        <v>8.7081914486087104</v>
      </c>
      <c r="J42">
        <v>4.9534464331506003</v>
      </c>
      <c r="K42">
        <v>1.59409238671981</v>
      </c>
      <c r="L42">
        <v>3.0883814326734363E-5</v>
      </c>
      <c r="M42">
        <v>1.8279017164980844E-6</v>
      </c>
      <c r="N42" s="1">
        <v>-2.6460697519449302E-8</v>
      </c>
      <c r="O42" s="1">
        <v>1.44887049594639E-11</v>
      </c>
      <c r="P42" s="1">
        <v>1.1106521062771399E-10</v>
      </c>
      <c r="Q42">
        <v>65.906224548381005</v>
      </c>
      <c r="S42">
        <v>20.837841986726701</v>
      </c>
      <c r="AA42">
        <v>1.8131164989275099</v>
      </c>
      <c r="AB42">
        <v>9.1625223846642605</v>
      </c>
      <c r="AC42">
        <v>2.28029458130045</v>
      </c>
      <c r="AJ42">
        <v>0.78549031243288303</v>
      </c>
      <c r="AK42">
        <v>8.5893892580962805E-2</v>
      </c>
      <c r="AL42">
        <v>0.128615794986153</v>
      </c>
    </row>
    <row r="43" spans="1:38" x14ac:dyDescent="0.2">
      <c r="A43">
        <v>76</v>
      </c>
      <c r="B43">
        <v>778</v>
      </c>
      <c r="C43">
        <v>125</v>
      </c>
      <c r="D43">
        <v>0.47494696285021398</v>
      </c>
      <c r="E43">
        <v>5.8456372145721804</v>
      </c>
      <c r="F43">
        <v>2.5558465690941001</v>
      </c>
      <c r="G43">
        <v>-95.036072829762702</v>
      </c>
      <c r="H43">
        <v>-81.927788312754998</v>
      </c>
      <c r="I43">
        <v>12.4704224107003</v>
      </c>
      <c r="J43">
        <v>7.0996861300301104</v>
      </c>
      <c r="K43">
        <v>2.28716280752491</v>
      </c>
      <c r="L43">
        <v>3.0897742474687335E-5</v>
      </c>
      <c r="M43">
        <v>1.8296005419708033E-6</v>
      </c>
      <c r="N43" s="1">
        <v>-3.9873949506219802E-8</v>
      </c>
      <c r="O43" s="1">
        <v>2.0827859409953399E-11</v>
      </c>
      <c r="P43" s="1">
        <v>1.64820460666542E-10</v>
      </c>
      <c r="Q43">
        <v>66.014290029879206</v>
      </c>
      <c r="S43">
        <v>20.7135917188047</v>
      </c>
      <c r="AA43">
        <v>1.685393152913</v>
      </c>
      <c r="AB43">
        <v>9.0776022849488793</v>
      </c>
      <c r="AC43">
        <v>2.5091228134541801</v>
      </c>
      <c r="AJ43">
        <v>0.77854046112679398</v>
      </c>
      <c r="AK43">
        <v>7.9877056461069504E-2</v>
      </c>
      <c r="AL43">
        <v>0.141582482412135</v>
      </c>
    </row>
    <row r="44" spans="1:38" x14ac:dyDescent="0.2">
      <c r="A44">
        <v>77</v>
      </c>
      <c r="B44">
        <v>776</v>
      </c>
      <c r="C44">
        <v>125</v>
      </c>
      <c r="D44">
        <v>0.47381261020826598</v>
      </c>
      <c r="E44">
        <v>9.3654851818136997</v>
      </c>
      <c r="F44">
        <v>2.55096027757943</v>
      </c>
      <c r="G44">
        <v>-151.93938226641487</v>
      </c>
      <c r="H44">
        <v>-131.00772995996419</v>
      </c>
      <c r="I44">
        <v>19.951057814850699</v>
      </c>
      <c r="J44">
        <v>11.3608143666495</v>
      </c>
      <c r="K44">
        <v>3.6713567295138199</v>
      </c>
      <c r="L44">
        <v>3.080534457426753E-5</v>
      </c>
      <c r="M44">
        <v>1.8308798413936238E-6</v>
      </c>
      <c r="N44" s="1">
        <v>-6.51983059492749E-8</v>
      </c>
      <c r="O44" s="1">
        <v>3.3608417077871201E-11</v>
      </c>
      <c r="P44" s="1">
        <v>2.6757805305237599E-10</v>
      </c>
      <c r="Q44">
        <v>66.181372080892203</v>
      </c>
      <c r="S44">
        <v>20.465350547026102</v>
      </c>
      <c r="AA44">
        <v>1.4416053319634901</v>
      </c>
      <c r="AB44">
        <v>8.7991391716782807</v>
      </c>
      <c r="AC44">
        <v>3.1125328684398101</v>
      </c>
      <c r="AJ44">
        <v>0.75570679135240104</v>
      </c>
      <c r="AK44">
        <v>6.8417989588358E-2</v>
      </c>
      <c r="AL44">
        <v>0.17587521905924</v>
      </c>
    </row>
    <row r="45" spans="1:38" x14ac:dyDescent="0.2">
      <c r="A45">
        <v>78</v>
      </c>
      <c r="B45">
        <v>774</v>
      </c>
      <c r="C45">
        <v>125</v>
      </c>
      <c r="D45">
        <v>0.47267392446163797</v>
      </c>
      <c r="E45">
        <v>10.8391639275524</v>
      </c>
      <c r="F45">
        <v>2.5517613532638301</v>
      </c>
      <c r="G45">
        <v>-175.77632517743567</v>
      </c>
      <c r="H45">
        <v>-151.62914767446671</v>
      </c>
      <c r="I45">
        <v>23.0599030730735</v>
      </c>
      <c r="J45">
        <v>13.1462877145982</v>
      </c>
      <c r="K45">
        <v>4.2477185077235502</v>
      </c>
      <c r="L45">
        <v>3.0753369372114718E-5</v>
      </c>
      <c r="M45">
        <v>1.828221559090841E-6</v>
      </c>
      <c r="N45" s="1">
        <v>-7.9222607289654402E-8</v>
      </c>
      <c r="O45" s="1">
        <v>3.8811220773558202E-11</v>
      </c>
      <c r="P45" s="1">
        <v>3.2067357665318802E-10</v>
      </c>
      <c r="Q45">
        <v>66.065040969544</v>
      </c>
      <c r="S45">
        <v>20.530762888280702</v>
      </c>
      <c r="AA45">
        <v>1.5227154577522499</v>
      </c>
      <c r="AB45">
        <v>8.7113884842474096</v>
      </c>
      <c r="AC45">
        <v>3.1700922001754601</v>
      </c>
      <c r="AJ45">
        <v>0.74849563521443596</v>
      </c>
      <c r="AK45">
        <v>7.22988579967693E-2</v>
      </c>
      <c r="AL45">
        <v>0.17920550678879299</v>
      </c>
    </row>
    <row r="46" spans="1:38" x14ac:dyDescent="0.2">
      <c r="A46">
        <v>79</v>
      </c>
      <c r="B46">
        <v>772</v>
      </c>
      <c r="C46">
        <v>125</v>
      </c>
      <c r="D46">
        <v>0.47153088073482102</v>
      </c>
      <c r="E46">
        <v>13.4204265015624</v>
      </c>
      <c r="F46">
        <v>2.5566577928646899</v>
      </c>
      <c r="G46">
        <v>-217.83338135926124</v>
      </c>
      <c r="H46">
        <v>-188.02815686158323</v>
      </c>
      <c r="I46">
        <v>28.5176524878515</v>
      </c>
      <c r="J46">
        <v>16.288862778105699</v>
      </c>
      <c r="K46">
        <v>5.2492072028634897</v>
      </c>
      <c r="L46">
        <v>3.0751750807492977E-5</v>
      </c>
      <c r="M46">
        <v>1.8231459913031565E-6</v>
      </c>
      <c r="N46" s="1">
        <v>-1.05487145014214E-7</v>
      </c>
      <c r="O46" s="1">
        <v>4.7618043654270998E-11</v>
      </c>
      <c r="P46" s="1">
        <v>4.1897372698593099E-10</v>
      </c>
      <c r="Q46">
        <v>65.759058515746602</v>
      </c>
      <c r="S46">
        <v>20.818663542846298</v>
      </c>
      <c r="AA46">
        <v>1.8316332681813099</v>
      </c>
      <c r="AB46">
        <v>8.78429198766597</v>
      </c>
      <c r="AC46">
        <v>2.8063526855596401</v>
      </c>
      <c r="AJ46">
        <v>0.75448102503287995</v>
      </c>
      <c r="AK46">
        <v>8.6934242066145695E-2</v>
      </c>
      <c r="AL46">
        <v>0.158584732900973</v>
      </c>
    </row>
    <row r="47" spans="1:38" x14ac:dyDescent="0.2">
      <c r="A47">
        <v>80</v>
      </c>
      <c r="B47">
        <v>770</v>
      </c>
      <c r="C47">
        <v>125</v>
      </c>
      <c r="D47">
        <v>0.47038345396155901</v>
      </c>
      <c r="E47">
        <v>15.5502115032494</v>
      </c>
      <c r="F47">
        <v>2.55923153212427</v>
      </c>
      <c r="G47">
        <v>-252.47814015882162</v>
      </c>
      <c r="H47">
        <v>-218.05059118649635</v>
      </c>
      <c r="I47">
        <v>33.003450100489097</v>
      </c>
      <c r="J47">
        <v>18.882728568625499</v>
      </c>
      <c r="K47">
        <v>6.0761253165484703</v>
      </c>
      <c r="L47">
        <v>3.0760043501293995E-5</v>
      </c>
      <c r="M47">
        <v>1.820278947456812E-6</v>
      </c>
      <c r="N47" s="1">
        <v>-1.30463484225668E-7</v>
      </c>
      <c r="O47" s="1">
        <v>5.4877585049088397E-11</v>
      </c>
      <c r="P47" s="1">
        <v>5.0965460770642095E-10</v>
      </c>
      <c r="Q47">
        <v>65.5891884061204</v>
      </c>
      <c r="S47">
        <v>20.971911873026102</v>
      </c>
      <c r="AA47">
        <v>1.9977015775250999</v>
      </c>
      <c r="AB47">
        <v>8.8075059776438103</v>
      </c>
      <c r="AC47">
        <v>2.6336921656844301</v>
      </c>
      <c r="AJ47">
        <v>0.75638487032405999</v>
      </c>
      <c r="AK47">
        <v>9.4805010250099103E-2</v>
      </c>
      <c r="AL47">
        <v>0.14881011942583899</v>
      </c>
    </row>
    <row r="48" spans="1:38" x14ac:dyDescent="0.2">
      <c r="A48">
        <v>81</v>
      </c>
      <c r="B48">
        <v>768</v>
      </c>
      <c r="C48">
        <v>125</v>
      </c>
      <c r="D48">
        <v>0.46923161888296799</v>
      </c>
      <c r="E48">
        <v>16.403396706220501</v>
      </c>
      <c r="F48">
        <v>2.5602033347280999</v>
      </c>
      <c r="G48">
        <v>-266.31769965015246</v>
      </c>
      <c r="H48">
        <v>-230.11164334582045</v>
      </c>
      <c r="I48">
        <v>34.7750624831503</v>
      </c>
      <c r="J48">
        <v>19.927405974739901</v>
      </c>
      <c r="K48">
        <v>6.4070679401574102</v>
      </c>
      <c r="L48">
        <v>3.080083716556089E-5</v>
      </c>
      <c r="M48">
        <v>1.8196561969080856E-6</v>
      </c>
      <c r="N48" s="1">
        <v>-1.4673693571218401E-7</v>
      </c>
      <c r="O48" s="1">
        <v>5.7729904558712398E-11</v>
      </c>
      <c r="P48" s="1">
        <v>5.6421046897443902E-10</v>
      </c>
      <c r="Q48">
        <v>65.537157561146202</v>
      </c>
      <c r="S48">
        <v>21.021945199626401</v>
      </c>
      <c r="AA48">
        <v>2.0511202706381901</v>
      </c>
      <c r="AB48">
        <v>8.8227268998600898</v>
      </c>
      <c r="AC48">
        <v>2.5670500687290101</v>
      </c>
      <c r="AJ48">
        <v>0.75763383802275297</v>
      </c>
      <c r="AK48">
        <v>9.7332626748971293E-2</v>
      </c>
      <c r="AL48">
        <v>0.145033535228275</v>
      </c>
    </row>
    <row r="49" spans="1:38" x14ac:dyDescent="0.2">
      <c r="A49">
        <v>83</v>
      </c>
      <c r="B49">
        <v>806</v>
      </c>
      <c r="C49">
        <v>100</v>
      </c>
      <c r="D49">
        <v>0.51586943427697896</v>
      </c>
      <c r="E49">
        <v>0.26157401726538099</v>
      </c>
      <c r="F49">
        <v>2.55914333908007</v>
      </c>
      <c r="G49">
        <v>-4.2785831597848905</v>
      </c>
      <c r="H49">
        <v>-3.6674539863423345</v>
      </c>
      <c r="I49">
        <v>0.56630604961548803</v>
      </c>
      <c r="J49">
        <v>0.31739276999515698</v>
      </c>
      <c r="K49">
        <v>0.10221155387076</v>
      </c>
      <c r="L49">
        <v>3.0494205328860708E-5</v>
      </c>
      <c r="M49">
        <v>1.8211602494782784E-6</v>
      </c>
      <c r="N49" s="1">
        <v>-6.9420595886082301E-10</v>
      </c>
      <c r="O49" s="1">
        <v>9.3159210502336292E-13</v>
      </c>
      <c r="P49" s="1">
        <v>4.1648770106228798E-12</v>
      </c>
      <c r="Q49">
        <v>65.610219917336806</v>
      </c>
      <c r="S49">
        <v>21.114851429491601</v>
      </c>
      <c r="AA49">
        <v>2.1107207595700199</v>
      </c>
      <c r="AB49">
        <v>9.2291082034093801</v>
      </c>
      <c r="AC49">
        <v>1.9350996901920301</v>
      </c>
      <c r="AJ49">
        <v>0.79093221870683394</v>
      </c>
      <c r="AK49">
        <v>9.9958815487200495E-2</v>
      </c>
      <c r="AL49">
        <v>0.10910896580596501</v>
      </c>
    </row>
    <row r="50" spans="1:38" x14ac:dyDescent="0.2">
      <c r="A50">
        <v>84</v>
      </c>
      <c r="B50">
        <v>804</v>
      </c>
      <c r="C50">
        <v>100</v>
      </c>
      <c r="D50">
        <v>0.514840551455232</v>
      </c>
      <c r="E50">
        <v>1.0315255572479001</v>
      </c>
      <c r="F50">
        <v>2.5583591056560402</v>
      </c>
      <c r="G50">
        <v>-16.864798279149987</v>
      </c>
      <c r="H50">
        <v>-14.461570802799994</v>
      </c>
      <c r="I50">
        <v>2.23109824662302</v>
      </c>
      <c r="J50">
        <v>1.2516302064748399</v>
      </c>
      <c r="K50">
        <v>0.40319811044798098</v>
      </c>
      <c r="L50">
        <v>3.0529243167374303E-5</v>
      </c>
      <c r="M50">
        <v>1.8227471991638701E-6</v>
      </c>
      <c r="N50" s="1">
        <v>-2.9514541879949701E-9</v>
      </c>
      <c r="O50" s="1">
        <v>3.6778143024035798E-12</v>
      </c>
      <c r="P50" s="1">
        <v>1.70565060204006E-11</v>
      </c>
      <c r="Q50">
        <v>65.681945952203804</v>
      </c>
      <c r="S50">
        <v>21.052274551832198</v>
      </c>
      <c r="AA50">
        <v>2.0423579050864702</v>
      </c>
      <c r="AB50">
        <v>9.2248924059806807</v>
      </c>
      <c r="AC50">
        <v>1.9985291848967699</v>
      </c>
      <c r="AJ50">
        <v>0.79058861899106703</v>
      </c>
      <c r="AK50">
        <v>9.6723474671205401E-2</v>
      </c>
      <c r="AL50">
        <v>0.112687906337727</v>
      </c>
    </row>
    <row r="51" spans="1:38" x14ac:dyDescent="0.2">
      <c r="A51">
        <v>85</v>
      </c>
      <c r="B51">
        <v>802</v>
      </c>
      <c r="C51">
        <v>100</v>
      </c>
      <c r="D51">
        <v>0.51380784076640695</v>
      </c>
      <c r="E51">
        <v>1.80239788648312</v>
      </c>
      <c r="F51">
        <v>2.5575958222353901</v>
      </c>
      <c r="G51">
        <v>-29.45413522431318</v>
      </c>
      <c r="H51">
        <v>-25.266829137660142</v>
      </c>
      <c r="I51">
        <v>3.8946250166516698</v>
      </c>
      <c r="J51">
        <v>2.1869581405343501</v>
      </c>
      <c r="K51">
        <v>0.70472350275728601</v>
      </c>
      <c r="L51">
        <v>3.0562455938142956E-5</v>
      </c>
      <c r="M51">
        <v>1.8242301637499499E-6</v>
      </c>
      <c r="N51" s="1">
        <v>-5.5460567186174297E-9</v>
      </c>
      <c r="O51" s="1">
        <v>6.4328894752464503E-12</v>
      </c>
      <c r="P51" s="1">
        <v>3.0952009823723499E-11</v>
      </c>
      <c r="Q51">
        <v>65.749505734671104</v>
      </c>
      <c r="S51">
        <v>20.992203724719101</v>
      </c>
      <c r="AA51">
        <v>1.9770347060047999</v>
      </c>
      <c r="AB51">
        <v>9.2179622757810105</v>
      </c>
      <c r="AC51">
        <v>2.0632935588238901</v>
      </c>
      <c r="AJ51">
        <v>0.79002296310531905</v>
      </c>
      <c r="AK51">
        <v>9.3633201272295699E-2</v>
      </c>
      <c r="AL51">
        <v>0.116343835622384</v>
      </c>
    </row>
    <row r="52" spans="1:38" x14ac:dyDescent="0.2">
      <c r="A52">
        <v>86</v>
      </c>
      <c r="B52">
        <v>800</v>
      </c>
      <c r="C52">
        <v>100</v>
      </c>
      <c r="D52">
        <v>0.51277128080883805</v>
      </c>
      <c r="E52">
        <v>2.57324495627936</v>
      </c>
      <c r="F52">
        <v>2.5568527919555399</v>
      </c>
      <c r="G52">
        <v>-42.031014848470001</v>
      </c>
      <c r="H52">
        <v>-36.069905268253329</v>
      </c>
      <c r="I52">
        <v>5.5547775988600501</v>
      </c>
      <c r="J52">
        <v>3.1222315726424501</v>
      </c>
      <c r="K52">
        <v>1.0064110708193199</v>
      </c>
      <c r="L52">
        <v>3.0593964420566583E-5</v>
      </c>
      <c r="M52">
        <v>1.8256129478149592E-6</v>
      </c>
      <c r="N52" s="1">
        <v>-8.4963783017966002E-9</v>
      </c>
      <c r="O52" s="1">
        <v>9.1928396559909901E-12</v>
      </c>
      <c r="P52" s="1">
        <v>4.5896653344553998E-11</v>
      </c>
      <c r="Q52">
        <v>65.813039868481098</v>
      </c>
      <c r="S52">
        <v>20.934549613684698</v>
      </c>
      <c r="AA52">
        <v>1.9146446525131799</v>
      </c>
      <c r="AB52">
        <v>9.2083969387901004</v>
      </c>
      <c r="AC52">
        <v>2.1293689265307498</v>
      </c>
      <c r="AJ52">
        <v>0.78924167823087599</v>
      </c>
      <c r="AK52">
        <v>9.06828066244241E-2</v>
      </c>
      <c r="AL52">
        <v>0.120075515144699</v>
      </c>
    </row>
    <row r="53" spans="1:38" x14ac:dyDescent="0.2">
      <c r="A53">
        <v>87</v>
      </c>
      <c r="B53">
        <v>798</v>
      </c>
      <c r="C53">
        <v>100</v>
      </c>
      <c r="D53">
        <v>0.51173085002101004</v>
      </c>
      <c r="E53">
        <v>3.3431816773740199</v>
      </c>
      <c r="F53">
        <v>2.5561292364582302</v>
      </c>
      <c r="G53">
        <v>-54.580885335075394</v>
      </c>
      <c r="H53">
        <v>-46.858334319378216</v>
      </c>
      <c r="I53">
        <v>7.2095887743987097</v>
      </c>
      <c r="J53">
        <v>4.0563821055492504</v>
      </c>
      <c r="K53">
        <v>1.3079079217474601</v>
      </c>
      <c r="L53">
        <v>3.0623896864066786E-5</v>
      </c>
      <c r="M53">
        <v>1.8268995829911118E-6</v>
      </c>
      <c r="N53" s="1">
        <v>-1.18217766081751E-8</v>
      </c>
      <c r="O53" s="1">
        <v>1.1953902932207501E-11</v>
      </c>
      <c r="P53" s="1">
        <v>6.1938882563360606E-11</v>
      </c>
      <c r="Q53">
        <v>65.872699041775405</v>
      </c>
      <c r="S53">
        <v>20.879215850530201</v>
      </c>
      <c r="AA53">
        <v>1.8550730788432801</v>
      </c>
      <c r="AB53">
        <v>9.1962795536897808</v>
      </c>
      <c r="AC53">
        <v>2.1967324751612201</v>
      </c>
      <c r="AJ53">
        <v>0.78825150687254197</v>
      </c>
      <c r="AK53">
        <v>8.7866728769589203E-2</v>
      </c>
      <c r="AL53">
        <v>0.123881764357868</v>
      </c>
    </row>
    <row r="54" spans="1:38" x14ac:dyDescent="0.2">
      <c r="A54">
        <v>88</v>
      </c>
      <c r="B54">
        <v>796</v>
      </c>
      <c r="C54">
        <v>100</v>
      </c>
      <c r="D54">
        <v>0.51068652668007097</v>
      </c>
      <c r="E54">
        <v>4.1113913330040299</v>
      </c>
      <c r="F54">
        <v>2.5554243248328699</v>
      </c>
      <c r="G54">
        <v>-67.090340958242066</v>
      </c>
      <c r="H54">
        <v>-57.62061381680801</v>
      </c>
      <c r="I54">
        <v>8.8572484136314493</v>
      </c>
      <c r="J54">
        <v>4.9884271003753904</v>
      </c>
      <c r="K54">
        <v>1.6088879224677901</v>
      </c>
      <c r="L54">
        <v>3.0652387604951096E-5</v>
      </c>
      <c r="M54">
        <v>1.8280942527331327E-6</v>
      </c>
      <c r="N54" s="1">
        <v>-1.5542767753679898E-8</v>
      </c>
      <c r="O54" s="1">
        <v>1.4712563495591299E-11</v>
      </c>
      <c r="P54" s="1">
        <v>7.9130856080653695E-11</v>
      </c>
      <c r="Q54">
        <v>65.9286406794116</v>
      </c>
      <c r="S54">
        <v>20.826101499300599</v>
      </c>
      <c r="AA54">
        <v>1.7981999788601299</v>
      </c>
      <c r="AB54">
        <v>9.1816963166061392</v>
      </c>
      <c r="AC54">
        <v>2.2653615258214002</v>
      </c>
      <c r="AJ54">
        <v>0.78705942727154099</v>
      </c>
      <c r="AK54">
        <v>8.5179165173494401E-2</v>
      </c>
      <c r="AL54">
        <v>0.12776140755496301</v>
      </c>
    </row>
    <row r="55" spans="1:38" x14ac:dyDescent="0.2">
      <c r="A55">
        <v>89</v>
      </c>
      <c r="B55">
        <v>794</v>
      </c>
      <c r="C55">
        <v>100</v>
      </c>
      <c r="D55">
        <v>0.50963828890034402</v>
      </c>
      <c r="E55">
        <v>4.8771296393887198</v>
      </c>
      <c r="F55">
        <v>2.5547372034278601</v>
      </c>
      <c r="G55">
        <v>-79.547186124719119</v>
      </c>
      <c r="H55">
        <v>-68.346260590545342</v>
      </c>
      <c r="I55">
        <v>10.496111637702001</v>
      </c>
      <c r="J55">
        <v>5.9174747554690397</v>
      </c>
      <c r="K55">
        <v>1.9090533589305201</v>
      </c>
      <c r="L55">
        <v>3.0679576024910654E-5</v>
      </c>
      <c r="M55">
        <v>1.8292012270641781E-6</v>
      </c>
      <c r="N55" s="1">
        <v>-1.96812027306082E-8</v>
      </c>
      <c r="O55" s="1">
        <v>1.7465568425730099E-11</v>
      </c>
      <c r="P55" s="1">
        <v>9.7528980631635805E-11</v>
      </c>
      <c r="Q55">
        <v>65.981025904374803</v>
      </c>
      <c r="S55">
        <v>20.775103408785</v>
      </c>
      <c r="AA55">
        <v>1.7439026559128501</v>
      </c>
      <c r="AB55">
        <v>9.1647358571623503</v>
      </c>
      <c r="AC55">
        <v>2.33523217376487</v>
      </c>
      <c r="AJ55">
        <v>0.78567260582406795</v>
      </c>
      <c r="AK55">
        <v>8.2614197360201994E-2</v>
      </c>
      <c r="AL55">
        <v>0.13171319681572899</v>
      </c>
    </row>
    <row r="56" spans="1:38" x14ac:dyDescent="0.2">
      <c r="A56">
        <v>90</v>
      </c>
      <c r="B56">
        <v>792</v>
      </c>
      <c r="C56">
        <v>100</v>
      </c>
      <c r="D56">
        <v>0.50858611463174297</v>
      </c>
      <c r="E56">
        <v>5.6397256142195502</v>
      </c>
      <c r="F56">
        <v>2.5540670258924698</v>
      </c>
      <c r="G56">
        <v>-91.940447599611147</v>
      </c>
      <c r="H56">
        <v>-79.025823386806607</v>
      </c>
      <c r="I56">
        <v>12.1247000073271</v>
      </c>
      <c r="J56">
        <v>6.8427253170341196</v>
      </c>
      <c r="K56">
        <v>2.2081353218398201</v>
      </c>
      <c r="L56">
        <v>3.0705605900171939E-5</v>
      </c>
      <c r="M56">
        <v>1.8302248089509201E-6</v>
      </c>
      <c r="N56" s="1">
        <v>-2.4260453924808299E-8</v>
      </c>
      <c r="O56" s="1">
        <v>2.0209931732287399E-11</v>
      </c>
      <c r="P56" s="1">
        <v>1.1719444899507501E-10</v>
      </c>
      <c r="Q56">
        <v>66.030016882263297</v>
      </c>
      <c r="S56">
        <v>20.726118400622202</v>
      </c>
      <c r="AA56">
        <v>1.6920581476713901</v>
      </c>
      <c r="AB56">
        <v>9.1454890572111704</v>
      </c>
      <c r="AC56">
        <v>2.4063175122318499</v>
      </c>
      <c r="AJ56">
        <v>0.78409838406919596</v>
      </c>
      <c r="AK56">
        <v>8.0165904725920903E-2</v>
      </c>
      <c r="AL56">
        <v>0.13573571120488301</v>
      </c>
    </row>
    <row r="57" spans="1:38" x14ac:dyDescent="0.2">
      <c r="A57">
        <v>91</v>
      </c>
      <c r="B57">
        <v>790</v>
      </c>
      <c r="C57">
        <v>100</v>
      </c>
      <c r="D57">
        <v>0.507529981658283</v>
      </c>
      <c r="E57">
        <v>8.1368116540197502</v>
      </c>
      <c r="F57">
        <v>2.5511349855612502</v>
      </c>
      <c r="G57">
        <v>-132.47197145970017</v>
      </c>
      <c r="H57">
        <v>-113.89619579079451</v>
      </c>
      <c r="I57">
        <v>17.472393988529902</v>
      </c>
      <c r="J57">
        <v>9.8660504064443106</v>
      </c>
      <c r="K57">
        <v>3.1894869146759901</v>
      </c>
      <c r="L57">
        <v>3.0673531618431022E-5</v>
      </c>
      <c r="M57">
        <v>1.8315783742306937E-6</v>
      </c>
      <c r="N57" s="1">
        <v>-3.6461795789710902E-8</v>
      </c>
      <c r="O57" s="1">
        <v>2.9280981177285199E-11</v>
      </c>
      <c r="P57" s="1">
        <v>1.7324793553837399E-10</v>
      </c>
      <c r="Q57">
        <v>66.148866872492704</v>
      </c>
      <c r="S57">
        <v>20.567653398764399</v>
      </c>
      <c r="AA57">
        <v>1.53359087815029</v>
      </c>
      <c r="AB57">
        <v>8.9949032837295508</v>
      </c>
      <c r="AC57">
        <v>2.7549855668629601</v>
      </c>
      <c r="AJ57">
        <v>0.77176716708105797</v>
      </c>
      <c r="AK57">
        <v>7.2712672587863694E-2</v>
      </c>
      <c r="AL57">
        <v>0.15552016033107699</v>
      </c>
    </row>
    <row r="58" spans="1:38" x14ac:dyDescent="0.2">
      <c r="A58">
        <v>92</v>
      </c>
      <c r="B58">
        <v>788</v>
      </c>
      <c r="C58">
        <v>100</v>
      </c>
      <c r="D58">
        <v>0.50646986759647905</v>
      </c>
      <c r="E58">
        <v>12.0549401043762</v>
      </c>
      <c r="F58">
        <v>2.5459861833485</v>
      </c>
      <c r="G58">
        <v>-195.80055568061962</v>
      </c>
      <c r="H58">
        <v>-168.37619589271938</v>
      </c>
      <c r="I58">
        <v>25.843999234698401</v>
      </c>
      <c r="J58">
        <v>14.5935856332549</v>
      </c>
      <c r="K58">
        <v>4.7348804102783797</v>
      </c>
      <c r="L58">
        <v>3.0528527706463152E-5</v>
      </c>
      <c r="M58">
        <v>1.8316923158972069E-6</v>
      </c>
      <c r="N58" s="1">
        <v>-5.4371325066212703E-8</v>
      </c>
      <c r="O58" s="1">
        <v>4.3706936427690898E-11</v>
      </c>
      <c r="P58" s="1">
        <v>2.57316646469188E-10</v>
      </c>
      <c r="Q58">
        <v>66.2832493375886</v>
      </c>
      <c r="S58">
        <v>20.322674334724901</v>
      </c>
      <c r="AA58">
        <v>1.3001243308286199</v>
      </c>
      <c r="AB58">
        <v>8.6521229360651706</v>
      </c>
      <c r="AC58">
        <v>3.4418290607926401</v>
      </c>
      <c r="AJ58">
        <v>0.74362620950443103</v>
      </c>
      <c r="AK58">
        <v>6.1748680677057501E-2</v>
      </c>
      <c r="AL58">
        <v>0.19462510981851</v>
      </c>
    </row>
    <row r="59" spans="1:38" x14ac:dyDescent="0.2">
      <c r="A59">
        <v>93</v>
      </c>
      <c r="B59">
        <v>786</v>
      </c>
      <c r="C59">
        <v>100</v>
      </c>
      <c r="D59">
        <v>0.50540574989378495</v>
      </c>
      <c r="E59">
        <v>11.863398926740601</v>
      </c>
      <c r="F59">
        <v>2.54571288789435</v>
      </c>
      <c r="G59">
        <v>-192.52533847293077</v>
      </c>
      <c r="H59">
        <v>-165.62687187996758</v>
      </c>
      <c r="I59">
        <v>25.3962768191127</v>
      </c>
      <c r="J59">
        <v>14.3523998561017</v>
      </c>
      <c r="K59">
        <v>4.6601480407137696</v>
      </c>
      <c r="L59">
        <v>3.0427995567966132E-5</v>
      </c>
      <c r="M59">
        <v>1.8289145768939763E-6</v>
      </c>
      <c r="N59" s="1">
        <v>-5.55114854442562E-8</v>
      </c>
      <c r="O59" s="1">
        <v>4.30036036882114E-11</v>
      </c>
      <c r="P59" s="1">
        <v>2.5906693123632802E-10</v>
      </c>
      <c r="Q59">
        <v>66.191727423832702</v>
      </c>
      <c r="S59">
        <v>20.338325564936302</v>
      </c>
      <c r="AA59">
        <v>1.33439214339905</v>
      </c>
      <c r="AB59">
        <v>8.4892029932671598</v>
      </c>
      <c r="AC59">
        <v>3.6463518745646799</v>
      </c>
      <c r="AJ59">
        <v>0.73021504468615095</v>
      </c>
      <c r="AK59">
        <v>6.3427577493486806E-2</v>
      </c>
      <c r="AL59">
        <v>0.20635737782036201</v>
      </c>
    </row>
    <row r="60" spans="1:38" x14ac:dyDescent="0.2">
      <c r="A60">
        <v>94</v>
      </c>
      <c r="B60">
        <v>784</v>
      </c>
      <c r="C60">
        <v>100</v>
      </c>
      <c r="D60">
        <v>0.50433760582698905</v>
      </c>
      <c r="E60">
        <v>11.7160828918664</v>
      </c>
      <c r="F60">
        <v>2.5514125411661501</v>
      </c>
      <c r="G60">
        <v>-190.38050649848998</v>
      </c>
      <c r="H60">
        <v>-163.89062466664657</v>
      </c>
      <c r="I60">
        <v>25.057827017777399</v>
      </c>
      <c r="J60">
        <v>14.188087036970501</v>
      </c>
      <c r="K60">
        <v>4.5919986293206101</v>
      </c>
      <c r="L60">
        <v>3.0460762911499799E-5</v>
      </c>
      <c r="M60">
        <v>1.824541501360927E-6</v>
      </c>
      <c r="N60" s="1">
        <v>-6.0074311325177407E-8</v>
      </c>
      <c r="O60" s="1">
        <v>4.2057716641452801E-11</v>
      </c>
      <c r="P60" s="1">
        <v>2.7166714171452598E-10</v>
      </c>
      <c r="Q60">
        <v>65.890193029351906</v>
      </c>
      <c r="S60">
        <v>20.652543437722599</v>
      </c>
      <c r="AA60">
        <v>1.66398403449425</v>
      </c>
      <c r="AB60">
        <v>8.6410127674145993</v>
      </c>
      <c r="AC60">
        <v>3.1522667310165802</v>
      </c>
      <c r="AJ60">
        <v>0.74270656676849101</v>
      </c>
      <c r="AK60">
        <v>7.9033745175488807E-2</v>
      </c>
      <c r="AL60">
        <v>0.17825968805601899</v>
      </c>
    </row>
    <row r="61" spans="1:38" x14ac:dyDescent="0.2">
      <c r="A61">
        <v>95</v>
      </c>
      <c r="B61">
        <v>782</v>
      </c>
      <c r="C61">
        <v>100</v>
      </c>
      <c r="D61">
        <v>0.50326541250059598</v>
      </c>
      <c r="E61">
        <v>13.4190311708594</v>
      </c>
      <c r="F61">
        <v>2.5553849320589999</v>
      </c>
      <c r="G61">
        <v>-218.20048096553944</v>
      </c>
      <c r="H61">
        <v>-187.95260500579155</v>
      </c>
      <c r="I61">
        <v>28.666896611617201</v>
      </c>
      <c r="J61">
        <v>16.258828884654299</v>
      </c>
      <c r="K61">
        <v>5.2512758459630504</v>
      </c>
      <c r="L61">
        <v>3.0453123743552848E-5</v>
      </c>
      <c r="M61">
        <v>1.8204035832507791E-6</v>
      </c>
      <c r="N61" s="1">
        <v>-7.4086320679044094E-8</v>
      </c>
      <c r="O61" s="1">
        <v>4.7823456181809698E-11</v>
      </c>
      <c r="P61" s="1">
        <v>3.2694403995630099E-10</v>
      </c>
      <c r="Q61">
        <v>65.642154349778494</v>
      </c>
      <c r="S61">
        <v>20.885768436810299</v>
      </c>
      <c r="AA61">
        <v>1.9142734817470699</v>
      </c>
      <c r="AB61">
        <v>8.6997015257147794</v>
      </c>
      <c r="AC61">
        <v>2.8581022059492902</v>
      </c>
      <c r="AJ61">
        <v>0.74752863772304001</v>
      </c>
      <c r="AK61">
        <v>9.0894636189572095E-2</v>
      </c>
      <c r="AL61">
        <v>0.16157672608738699</v>
      </c>
    </row>
    <row r="62" spans="1:38" x14ac:dyDescent="0.2">
      <c r="A62">
        <v>96</v>
      </c>
      <c r="B62">
        <v>780</v>
      </c>
      <c r="C62">
        <v>100</v>
      </c>
      <c r="D62">
        <v>0.50218914684517901</v>
      </c>
      <c r="E62">
        <v>14.577545465820901</v>
      </c>
      <c r="F62">
        <v>2.5573125884980401</v>
      </c>
      <c r="G62">
        <v>-237.07799366693609</v>
      </c>
      <c r="H62">
        <v>-204.31844279949055</v>
      </c>
      <c r="I62">
        <v>31.1062534942273</v>
      </c>
      <c r="J62">
        <v>17.6684074960306</v>
      </c>
      <c r="K62">
        <v>5.7003377418098902</v>
      </c>
      <c r="L62">
        <v>3.0463193184584035E-5</v>
      </c>
      <c r="M62">
        <v>1.8184701173577526E-6</v>
      </c>
      <c r="N62" s="1">
        <v>-8.6121953273900303E-8</v>
      </c>
      <c r="O62" s="1">
        <v>5.1748041634914999E-11</v>
      </c>
      <c r="P62" s="1">
        <v>3.7185435312286102E-10</v>
      </c>
      <c r="Q62">
        <v>65.522340423794006</v>
      </c>
      <c r="S62">
        <v>20.996557528962899</v>
      </c>
      <c r="AA62">
        <v>2.0336325588297099</v>
      </c>
      <c r="AB62">
        <v>8.7231506244671202</v>
      </c>
      <c r="AC62">
        <v>2.72431886394617</v>
      </c>
      <c r="AJ62">
        <v>0.74945418337676195</v>
      </c>
      <c r="AK62">
        <v>9.6550603619474901E-2</v>
      </c>
      <c r="AL62">
        <v>0.15399521300376201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1EAA8-A373-47C9-8B1C-BB2951497D01}">
  <sheetPr codeName="Sheet11"/>
  <dimension ref="A1:AL32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12</v>
      </c>
      <c r="B2">
        <v>736</v>
      </c>
      <c r="C2">
        <v>300</v>
      </c>
      <c r="D2">
        <v>0.25942674528068399</v>
      </c>
      <c r="E2">
        <v>4.68747776790996</v>
      </c>
      <c r="F2">
        <v>2.5755844318568402</v>
      </c>
      <c r="G2">
        <v>-75.59332794488742</v>
      </c>
      <c r="H2">
        <v>-65.755328904178498</v>
      </c>
      <c r="I2">
        <v>9.7487975431887204</v>
      </c>
      <c r="J2">
        <v>5.7899738089350201</v>
      </c>
      <c r="K2">
        <v>1.8199666490958599</v>
      </c>
      <c r="L2">
        <v>3.2711901512895685E-5</v>
      </c>
      <c r="M2">
        <v>1.8145129924223707E-6</v>
      </c>
      <c r="N2" s="1">
        <v>-1.37890791461264E-7</v>
      </c>
      <c r="O2" s="1">
        <v>1.55649744530057E-11</v>
      </c>
      <c r="P2" s="1">
        <v>4.36934785697431E-10</v>
      </c>
      <c r="Q2">
        <v>65.342490821614604</v>
      </c>
      <c r="S2">
        <v>21.2718602643865</v>
      </c>
      <c r="AA2">
        <v>2.30272558039576</v>
      </c>
      <c r="AB2">
        <v>9.0441073418711895</v>
      </c>
      <c r="AC2">
        <v>2.0388159917317998</v>
      </c>
      <c r="AJ2">
        <v>0.77578650458543696</v>
      </c>
      <c r="AK2">
        <v>0.109151444628089</v>
      </c>
      <c r="AL2">
        <v>0.115062050786473</v>
      </c>
    </row>
    <row r="3" spans="1:38" x14ac:dyDescent="0.2">
      <c r="A3">
        <v>13</v>
      </c>
      <c r="B3">
        <v>734</v>
      </c>
      <c r="C3">
        <v>300</v>
      </c>
      <c r="D3">
        <v>0.25781710768008598</v>
      </c>
      <c r="E3">
        <v>15.012990268729</v>
      </c>
      <c r="F3">
        <v>2.5768191465895698</v>
      </c>
      <c r="G3">
        <v>-242.09772485046</v>
      </c>
      <c r="H3">
        <v>-210.6919349949728</v>
      </c>
      <c r="I3">
        <v>31.182832602380099</v>
      </c>
      <c r="J3">
        <v>18.571153574170499</v>
      </c>
      <c r="K3">
        <v>5.8261714985309503</v>
      </c>
      <c r="L3">
        <v>3.2837877562518981E-5</v>
      </c>
      <c r="M3">
        <v>1.8132598113984516E-6</v>
      </c>
      <c r="N3" s="1">
        <v>-4.70551616257084E-7</v>
      </c>
      <c r="O3" s="1">
        <v>4.9512995720360301E-11</v>
      </c>
      <c r="P3" s="1">
        <v>1.48119786965796E-9</v>
      </c>
      <c r="Q3">
        <v>65.251198157570499</v>
      </c>
      <c r="S3">
        <v>21.347191384009399</v>
      </c>
      <c r="AA3">
        <v>2.3861764205175899</v>
      </c>
      <c r="AB3">
        <v>9.0381568587708898</v>
      </c>
      <c r="AC3">
        <v>1.97727717913156</v>
      </c>
      <c r="AJ3">
        <v>0.775297603334694</v>
      </c>
      <c r="AK3">
        <v>0.113110235675316</v>
      </c>
      <c r="AL3">
        <v>0.111592160989988</v>
      </c>
    </row>
    <row r="4" spans="1:38" x14ac:dyDescent="0.2">
      <c r="A4">
        <v>14</v>
      </c>
      <c r="B4">
        <v>732</v>
      </c>
      <c r="C4">
        <v>300</v>
      </c>
      <c r="D4">
        <v>0.256201064517732</v>
      </c>
      <c r="E4">
        <v>16.314729167504399</v>
      </c>
      <c r="F4">
        <v>2.57813652903641</v>
      </c>
      <c r="G4">
        <v>-263.07858531288588</v>
      </c>
      <c r="H4">
        <v>-229.06250317639038</v>
      </c>
      <c r="I4">
        <v>33.841796882550398</v>
      </c>
      <c r="J4">
        <v>20.212347226517</v>
      </c>
      <c r="K4">
        <v>6.3281090755895999</v>
      </c>
      <c r="L4">
        <v>3.2967042877736326E-5</v>
      </c>
      <c r="M4">
        <v>1.8117847150021774E-6</v>
      </c>
      <c r="N4" s="1">
        <v>-5.44537491626652E-7</v>
      </c>
      <c r="O4" s="1">
        <v>5.3415406275489303E-11</v>
      </c>
      <c r="P4" s="1">
        <v>1.70327595735404E-9</v>
      </c>
      <c r="Q4">
        <v>65.149410024149404</v>
      </c>
      <c r="S4">
        <v>21.4298629087208</v>
      </c>
      <c r="AA4">
        <v>2.4781321442941202</v>
      </c>
      <c r="AB4">
        <v>9.0280616111661001</v>
      </c>
      <c r="AC4">
        <v>1.9145333116695</v>
      </c>
      <c r="AJ4">
        <v>0.77446892393655398</v>
      </c>
      <c r="AK4">
        <v>0.11747480512319899</v>
      </c>
      <c r="AL4">
        <v>0.108056270940246</v>
      </c>
    </row>
    <row r="5" spans="1:38" x14ac:dyDescent="0.2">
      <c r="A5">
        <v>24</v>
      </c>
      <c r="B5">
        <v>740</v>
      </c>
      <c r="C5">
        <v>275</v>
      </c>
      <c r="D5">
        <v>0.28977002418201098</v>
      </c>
      <c r="E5">
        <v>5.3085946057334104</v>
      </c>
      <c r="F5">
        <v>2.5724490391195398</v>
      </c>
      <c r="G5">
        <v>-85.674206870416896</v>
      </c>
      <c r="H5">
        <v>-74.458930800040861</v>
      </c>
      <c r="I5">
        <v>11.0697093918729</v>
      </c>
      <c r="J5">
        <v>6.5356296122306103</v>
      </c>
      <c r="K5">
        <v>2.0636345074304501</v>
      </c>
      <c r="L5">
        <v>3.2387454792733245E-5</v>
      </c>
      <c r="M5">
        <v>1.8171448535542301E-6</v>
      </c>
      <c r="N5" s="1">
        <v>-1.3418462584072901E-7</v>
      </c>
      <c r="O5" s="1">
        <v>1.7862963927573399E-11</v>
      </c>
      <c r="P5" s="1">
        <v>4.3229903169596E-10</v>
      </c>
      <c r="Q5">
        <v>65.468501670242404</v>
      </c>
      <c r="S5">
        <v>21.162115965229599</v>
      </c>
      <c r="AA5">
        <v>2.1827825010509398</v>
      </c>
      <c r="AB5">
        <v>9.0372068136343309</v>
      </c>
      <c r="AC5">
        <v>2.1493930498426002</v>
      </c>
      <c r="AJ5">
        <v>0.77522314760218503</v>
      </c>
      <c r="AK5">
        <v>0.103469836937944</v>
      </c>
      <c r="AL5">
        <v>0.12130701545986899</v>
      </c>
    </row>
    <row r="6" spans="1:38" x14ac:dyDescent="0.2">
      <c r="A6">
        <v>25</v>
      </c>
      <c r="B6">
        <v>738</v>
      </c>
      <c r="C6">
        <v>275</v>
      </c>
      <c r="D6">
        <v>0.28822677149780002</v>
      </c>
      <c r="E6">
        <v>17.3614356849106</v>
      </c>
      <c r="F6">
        <v>2.5707768884010398</v>
      </c>
      <c r="G6">
        <v>-280.04437378116182</v>
      </c>
      <c r="H6">
        <v>-243.47200370221697</v>
      </c>
      <c r="I6">
        <v>36.169084783607602</v>
      </c>
      <c r="J6">
        <v>21.407411860198</v>
      </c>
      <c r="K6">
        <v>6.7533809578119204</v>
      </c>
      <c r="L6">
        <v>3.2610371916633369E-5</v>
      </c>
      <c r="M6">
        <v>1.8215351601958564E-6</v>
      </c>
      <c r="N6" s="1">
        <v>-4.7014928676630702E-7</v>
      </c>
      <c r="O6" s="1">
        <v>5.8371844471576203E-11</v>
      </c>
      <c r="P6" s="1">
        <v>1.5026881847873201E-9</v>
      </c>
      <c r="Q6">
        <v>65.6466511007945</v>
      </c>
      <c r="S6">
        <v>21.025612858540399</v>
      </c>
      <c r="AA6">
        <v>2.02859730619168</v>
      </c>
      <c r="AB6">
        <v>9.0763426268283496</v>
      </c>
      <c r="AC6">
        <v>2.2227961076449998</v>
      </c>
      <c r="AJ6">
        <v>0.77843156473863295</v>
      </c>
      <c r="AK6">
        <v>9.6142672637773194E-2</v>
      </c>
      <c r="AL6">
        <v>0.12542576262359301</v>
      </c>
    </row>
    <row r="7" spans="1:38" x14ac:dyDescent="0.2">
      <c r="A7">
        <v>26</v>
      </c>
      <c r="B7">
        <v>736</v>
      </c>
      <c r="C7">
        <v>275</v>
      </c>
      <c r="D7">
        <v>0.28667740177377199</v>
      </c>
      <c r="E7">
        <v>20.339415715658699</v>
      </c>
      <c r="F7">
        <v>2.5705645719504302</v>
      </c>
      <c r="G7">
        <v>-327.98857127011524</v>
      </c>
      <c r="H7">
        <v>-285.27492091006712</v>
      </c>
      <c r="I7">
        <v>42.326364128274399</v>
      </c>
      <c r="J7">
        <v>25.117464690980299</v>
      </c>
      <c r="K7">
        <v>7.9124313536407698</v>
      </c>
      <c r="L7">
        <v>3.2787398885463027E-5</v>
      </c>
      <c r="M7">
        <v>1.8231894074651809E-6</v>
      </c>
      <c r="N7" s="1">
        <v>-5.8869676149788298E-7</v>
      </c>
      <c r="O7" s="1">
        <v>6.81279908109195E-11</v>
      </c>
      <c r="P7" s="1">
        <v>1.8679068270874E-9</v>
      </c>
      <c r="Q7">
        <v>65.692829491376102</v>
      </c>
      <c r="S7">
        <v>20.9939440703182</v>
      </c>
      <c r="AA7">
        <v>1.9916951355027199</v>
      </c>
      <c r="AB7">
        <v>9.0962248487053294</v>
      </c>
      <c r="AC7">
        <v>2.2253064540975198</v>
      </c>
      <c r="AJ7">
        <v>0.78006037889337798</v>
      </c>
      <c r="AK7">
        <v>9.4384501305481802E-2</v>
      </c>
      <c r="AL7">
        <v>0.12555511980113901</v>
      </c>
    </row>
    <row r="8" spans="1:38" x14ac:dyDescent="0.2">
      <c r="A8">
        <v>34</v>
      </c>
      <c r="B8">
        <v>744</v>
      </c>
      <c r="C8">
        <v>250</v>
      </c>
      <c r="D8">
        <v>0.31987464975667701</v>
      </c>
      <c r="E8">
        <v>6.37177938948677</v>
      </c>
      <c r="F8">
        <v>2.5693242871272299</v>
      </c>
      <c r="G8">
        <v>-102.90826490034316</v>
      </c>
      <c r="H8">
        <v>-89.358704140237705</v>
      </c>
      <c r="I8">
        <v>13.321103829430699</v>
      </c>
      <c r="J8">
        <v>7.8221693436305202</v>
      </c>
      <c r="K8">
        <v>2.47994362619405</v>
      </c>
      <c r="L8">
        <v>3.2101667045095107E-5</v>
      </c>
      <c r="M8">
        <v>1.8196839251623031E-6</v>
      </c>
      <c r="N8" s="1">
        <v>-1.3836381147392601E-7</v>
      </c>
      <c r="O8" s="1">
        <v>2.16930670492702E-11</v>
      </c>
      <c r="P8" s="1">
        <v>4.5402402933852601E-10</v>
      </c>
      <c r="Q8">
        <v>65.586605947330796</v>
      </c>
      <c r="S8">
        <v>21.056165608429101</v>
      </c>
      <c r="AA8">
        <v>2.0678143533759701</v>
      </c>
      <c r="AB8">
        <v>9.0226332277888197</v>
      </c>
      <c r="AC8">
        <v>2.2667808630752</v>
      </c>
      <c r="AJ8">
        <v>0.77403093082432295</v>
      </c>
      <c r="AK8">
        <v>9.8027369345483006E-2</v>
      </c>
      <c r="AL8">
        <v>0.12794169983019299</v>
      </c>
    </row>
    <row r="9" spans="1:38" x14ac:dyDescent="0.2">
      <c r="A9">
        <v>35</v>
      </c>
      <c r="B9">
        <v>742</v>
      </c>
      <c r="C9">
        <v>250</v>
      </c>
      <c r="D9">
        <v>0.318396788651924</v>
      </c>
      <c r="E9">
        <v>17.181473413759999</v>
      </c>
      <c r="F9">
        <v>2.5688792673661802</v>
      </c>
      <c r="G9">
        <v>-277.40263380712952</v>
      </c>
      <c r="H9">
        <v>-240.97691782912946</v>
      </c>
      <c r="I9">
        <v>35.882102130719602</v>
      </c>
      <c r="J9">
        <v>21.118231545231701</v>
      </c>
      <c r="K9">
        <v>6.6883148741263199</v>
      </c>
      <c r="L9">
        <v>3.2256321910794032E-5</v>
      </c>
      <c r="M9">
        <v>1.8216518536533756E-6</v>
      </c>
      <c r="N9" s="1">
        <v>-3.9869601187873101E-7</v>
      </c>
      <c r="O9" s="1">
        <v>5.8353503811632096E-11</v>
      </c>
      <c r="P9" s="1">
        <v>1.2972471067124099E-9</v>
      </c>
      <c r="Q9">
        <v>65.652373512818698</v>
      </c>
      <c r="S9">
        <v>21.008560815466801</v>
      </c>
      <c r="AA9">
        <v>2.0131939494415798</v>
      </c>
      <c r="AB9">
        <v>9.0443905673665697</v>
      </c>
      <c r="AC9">
        <v>2.2814811549062801</v>
      </c>
      <c r="AJ9">
        <v>0.77581452649271998</v>
      </c>
      <c r="AK9">
        <v>9.54278206300372E-2</v>
      </c>
      <c r="AL9">
        <v>0.128757652877241</v>
      </c>
    </row>
    <row r="10" spans="1:38" x14ac:dyDescent="0.2">
      <c r="A10">
        <v>36</v>
      </c>
      <c r="B10">
        <v>740</v>
      </c>
      <c r="C10">
        <v>250</v>
      </c>
      <c r="D10">
        <v>0.31691309282929903</v>
      </c>
      <c r="E10">
        <v>19.8737354527936</v>
      </c>
      <c r="F10">
        <v>2.5689576704819501</v>
      </c>
      <c r="G10">
        <v>-320.79747560371464</v>
      </c>
      <c r="H10">
        <v>-278.79421662926359</v>
      </c>
      <c r="I10">
        <v>41.458085154667103</v>
      </c>
      <c r="J10">
        <v>24.458506746749599</v>
      </c>
      <c r="K10">
        <v>7.7361085708606101</v>
      </c>
      <c r="L10">
        <v>3.2401310799496216E-5</v>
      </c>
      <c r="M10">
        <v>1.8227031239253889E-6</v>
      </c>
      <c r="N10" s="1">
        <v>-4.9256310359506695E-7</v>
      </c>
      <c r="O10" s="1">
        <v>6.7253403269012597E-11</v>
      </c>
      <c r="P10" s="1">
        <v>1.58989070834172E-9</v>
      </c>
      <c r="Q10">
        <v>65.672511464214494</v>
      </c>
      <c r="S10">
        <v>20.997743402387201</v>
      </c>
      <c r="AA10">
        <v>1.9995705572346301</v>
      </c>
      <c r="AB10">
        <v>9.0609076575505991</v>
      </c>
      <c r="AC10">
        <v>2.26926691861292</v>
      </c>
      <c r="AJ10">
        <v>0.777167824981016</v>
      </c>
      <c r="AK10">
        <v>9.4774310081795293E-2</v>
      </c>
      <c r="AL10">
        <v>0.12805786493718799</v>
      </c>
    </row>
    <row r="11" spans="1:38" x14ac:dyDescent="0.2">
      <c r="A11">
        <v>42</v>
      </c>
      <c r="B11">
        <v>748</v>
      </c>
      <c r="C11">
        <v>225</v>
      </c>
      <c r="D11">
        <v>0.34974342652891699</v>
      </c>
      <c r="E11">
        <v>14.932791357631</v>
      </c>
      <c r="F11">
        <v>2.5244042428204101</v>
      </c>
      <c r="G11">
        <v>-236.16978131746944</v>
      </c>
      <c r="H11">
        <v>-204.65702554003309</v>
      </c>
      <c r="I11">
        <v>30.860065394345899</v>
      </c>
      <c r="J11">
        <v>17.827874978607099</v>
      </c>
      <c r="K11">
        <v>5.9153724686135298</v>
      </c>
      <c r="L11">
        <v>2.8991267785329129E-5</v>
      </c>
      <c r="M11">
        <v>1.8010740209780151E-6</v>
      </c>
      <c r="N11" s="1">
        <v>-1.3862425785054601E-7</v>
      </c>
      <c r="O11" s="1">
        <v>5.6028965381183202E-11</v>
      </c>
      <c r="P11" s="1">
        <v>5.2104677411811802E-10</v>
      </c>
      <c r="Q11">
        <v>66.152016895426897</v>
      </c>
      <c r="S11">
        <v>19.0511297239238</v>
      </c>
      <c r="AA11">
        <v>0.28170830365837901</v>
      </c>
      <c r="AB11">
        <v>5.02615896581875</v>
      </c>
      <c r="AC11">
        <v>9.4889861111720393</v>
      </c>
      <c r="AJ11">
        <v>0.43993065846363499</v>
      </c>
      <c r="AK11">
        <v>1.3625688220805499E-2</v>
      </c>
      <c r="AL11">
        <v>0.546443653315559</v>
      </c>
    </row>
    <row r="12" spans="1:38" x14ac:dyDescent="0.2">
      <c r="A12">
        <v>43</v>
      </c>
      <c r="B12">
        <v>746</v>
      </c>
      <c r="C12">
        <v>225</v>
      </c>
      <c r="D12">
        <v>0.34832998086640898</v>
      </c>
      <c r="E12">
        <v>35.582581259483298</v>
      </c>
      <c r="F12">
        <v>2.52436525959568</v>
      </c>
      <c r="G12">
        <v>-562.47760284354013</v>
      </c>
      <c r="H12">
        <v>-487.63985607716131</v>
      </c>
      <c r="I12">
        <v>73.431532911130603</v>
      </c>
      <c r="J12">
        <v>42.486206815853798</v>
      </c>
      <c r="K12">
        <v>14.0956547885555</v>
      </c>
      <c r="L12">
        <v>2.9001053612823537E-5</v>
      </c>
      <c r="M12">
        <v>1.8008513188487692E-6</v>
      </c>
      <c r="N12" s="1">
        <v>-3.4987047690089299E-7</v>
      </c>
      <c r="O12" s="1">
        <v>1.3340347208966099E-10</v>
      </c>
      <c r="P12" s="1">
        <v>1.2973392254520599E-9</v>
      </c>
      <c r="Q12">
        <v>66.140622659215495</v>
      </c>
      <c r="S12">
        <v>19.041361058970001</v>
      </c>
      <c r="AA12">
        <v>0.27630774429907401</v>
      </c>
      <c r="AB12">
        <v>4.9751576961667396</v>
      </c>
      <c r="AC12">
        <v>9.5665508413485298</v>
      </c>
      <c r="AJ12">
        <v>0.43557922038577701</v>
      </c>
      <c r="AK12">
        <v>1.3367929607042099E-2</v>
      </c>
      <c r="AL12">
        <v>0.55105285000717996</v>
      </c>
    </row>
    <row r="13" spans="1:38" x14ac:dyDescent="0.2">
      <c r="A13">
        <v>44</v>
      </c>
      <c r="B13">
        <v>744</v>
      </c>
      <c r="C13">
        <v>225</v>
      </c>
      <c r="D13">
        <v>0.34691097674876298</v>
      </c>
      <c r="E13">
        <v>39.509645402270003</v>
      </c>
      <c r="F13">
        <v>2.5243653075490902</v>
      </c>
      <c r="G13">
        <v>-624.29951656466892</v>
      </c>
      <c r="H13">
        <v>-541.47369637765325</v>
      </c>
      <c r="I13">
        <v>81.429307562321895</v>
      </c>
      <c r="J13">
        <v>47.188394354534701</v>
      </c>
      <c r="K13">
        <v>15.6513184855284</v>
      </c>
      <c r="L13">
        <v>2.9030129550724442E-5</v>
      </c>
      <c r="M13">
        <v>1.8008851742307356E-6</v>
      </c>
      <c r="N13" s="1">
        <v>-4.1358889581829799E-7</v>
      </c>
      <c r="O13" s="1">
        <v>1.4796451215613101E-10</v>
      </c>
      <c r="P13" s="1">
        <v>1.51216871017178E-9</v>
      </c>
      <c r="Q13">
        <v>66.136326805285606</v>
      </c>
      <c r="S13">
        <v>19.033283982506401</v>
      </c>
      <c r="AA13">
        <v>0.27064645230037399</v>
      </c>
      <c r="AB13">
        <v>4.9444095099775103</v>
      </c>
      <c r="AC13">
        <v>9.6153332499299697</v>
      </c>
      <c r="AJ13">
        <v>0.43295471446314199</v>
      </c>
      <c r="AK13">
        <v>1.30960754634733E-2</v>
      </c>
      <c r="AL13">
        <v>0.55394921007338305</v>
      </c>
    </row>
    <row r="14" spans="1:38" x14ac:dyDescent="0.2">
      <c r="A14">
        <v>47</v>
      </c>
      <c r="B14">
        <v>754</v>
      </c>
      <c r="C14">
        <v>200</v>
      </c>
      <c r="D14">
        <v>0.38072384753930699</v>
      </c>
      <c r="E14">
        <v>3.4955340516356799</v>
      </c>
      <c r="F14">
        <v>2.5237476713292901</v>
      </c>
      <c r="G14">
        <v>-55.428157868884206</v>
      </c>
      <c r="H14">
        <v>-47.971805464088959</v>
      </c>
      <c r="I14">
        <v>7.2592634033931196</v>
      </c>
      <c r="J14">
        <v>4.1744334084694099</v>
      </c>
      <c r="K14">
        <v>1.3850568705208599</v>
      </c>
      <c r="L14">
        <v>2.9027420830025834E-5</v>
      </c>
      <c r="M14">
        <v>1.8045958529846388E-6</v>
      </c>
      <c r="N14" s="1">
        <v>-2.7386506275892799E-8</v>
      </c>
      <c r="O14" s="1">
        <v>1.31307374550429E-11</v>
      </c>
      <c r="P14" s="1">
        <v>1.07492469077975E-10</v>
      </c>
      <c r="Q14">
        <v>66.218046857976603</v>
      </c>
      <c r="S14">
        <v>19.095966476502699</v>
      </c>
      <c r="AA14">
        <v>0.30329189455397698</v>
      </c>
      <c r="AB14">
        <v>5.2908485730365697</v>
      </c>
      <c r="AC14">
        <v>9.0918461979300496</v>
      </c>
      <c r="AJ14">
        <v>0.46247800021191598</v>
      </c>
      <c r="AK14">
        <v>1.46499904236435E-2</v>
      </c>
      <c r="AL14">
        <v>0.52287200936443901</v>
      </c>
    </row>
    <row r="15" spans="1:38" x14ac:dyDescent="0.2">
      <c r="A15">
        <v>48</v>
      </c>
      <c r="B15">
        <v>752</v>
      </c>
      <c r="C15">
        <v>200</v>
      </c>
      <c r="D15">
        <v>0.37937911525142798</v>
      </c>
      <c r="E15">
        <v>19.061750673494199</v>
      </c>
      <c r="F15">
        <v>2.52354220141497</v>
      </c>
      <c r="G15">
        <v>-302.02704365480685</v>
      </c>
      <c r="H15">
        <v>-261.51447212367873</v>
      </c>
      <c r="I15">
        <v>39.518676809372401</v>
      </c>
      <c r="J15">
        <v>22.7562746269058</v>
      </c>
      <c r="K15">
        <v>7.5535692102973702</v>
      </c>
      <c r="L15">
        <v>2.8981490408100599E-5</v>
      </c>
      <c r="M15">
        <v>1.8035850988701253E-6</v>
      </c>
      <c r="N15" s="1">
        <v>-1.5567740878577499E-7</v>
      </c>
      <c r="O15" s="1">
        <v>7.1609864212135106E-11</v>
      </c>
      <c r="P15" s="1">
        <v>6.0415009905009397E-10</v>
      </c>
      <c r="Q15">
        <v>66.185545397890806</v>
      </c>
      <c r="S15">
        <v>19.079995948632298</v>
      </c>
      <c r="AA15">
        <v>0.29769981692335801</v>
      </c>
      <c r="AB15">
        <v>5.1765519967713098</v>
      </c>
      <c r="AC15">
        <v>9.2602068397822208</v>
      </c>
      <c r="AJ15">
        <v>0.45274913025810598</v>
      </c>
      <c r="AK15">
        <v>1.43881978755623E-2</v>
      </c>
      <c r="AL15">
        <v>0.53286267186633096</v>
      </c>
    </row>
    <row r="16" spans="1:38" x14ac:dyDescent="0.2">
      <c r="A16">
        <v>49</v>
      </c>
      <c r="B16">
        <v>750</v>
      </c>
      <c r="C16">
        <v>200</v>
      </c>
      <c r="D16">
        <v>0.37802912573913899</v>
      </c>
      <c r="E16">
        <v>38.098271920729502</v>
      </c>
      <c r="F16">
        <v>2.5233758856167201</v>
      </c>
      <c r="G16">
        <v>-603.20996456590342</v>
      </c>
      <c r="H16">
        <v>-522.53190506716567</v>
      </c>
      <c r="I16">
        <v>78.852621315288701</v>
      </c>
      <c r="J16">
        <v>45.469595444898196</v>
      </c>
      <c r="K16">
        <v>15.098135849633</v>
      </c>
      <c r="L16">
        <v>2.8941946548097968E-5</v>
      </c>
      <c r="M16">
        <v>1.802666903089712E-6</v>
      </c>
      <c r="N16" s="1">
        <v>-3.2489567369818001E-7</v>
      </c>
      <c r="O16" s="1">
        <v>1.4311997714280399E-10</v>
      </c>
      <c r="P16" s="1">
        <v>1.2465068815021699E-9</v>
      </c>
      <c r="Q16">
        <v>66.155034150327097</v>
      </c>
      <c r="S16">
        <v>19.065108101913101</v>
      </c>
      <c r="AA16">
        <v>0.29253657344417999</v>
      </c>
      <c r="AB16">
        <v>5.0695288917971704</v>
      </c>
      <c r="AC16">
        <v>9.4177922825183007</v>
      </c>
      <c r="AJ16">
        <v>0.44362915852340601</v>
      </c>
      <c r="AK16">
        <v>1.41463188080071E-2</v>
      </c>
      <c r="AL16">
        <v>0.54222452266858601</v>
      </c>
    </row>
    <row r="17" spans="1:38" x14ac:dyDescent="0.2">
      <c r="A17">
        <v>50</v>
      </c>
      <c r="B17">
        <v>748</v>
      </c>
      <c r="C17">
        <v>200</v>
      </c>
      <c r="D17">
        <v>0.37667384811242399</v>
      </c>
      <c r="E17">
        <v>40.4343520885594</v>
      </c>
      <c r="F17">
        <v>2.5233563357536801</v>
      </c>
      <c r="G17">
        <v>-639.91905179620846</v>
      </c>
      <c r="H17">
        <v>-554.57458212848155</v>
      </c>
      <c r="I17">
        <v>83.576819926286007</v>
      </c>
      <c r="J17">
        <v>48.266265846141003</v>
      </c>
      <c r="K17">
        <v>16.024035731949901</v>
      </c>
      <c r="L17">
        <v>2.8960633056046912E-5</v>
      </c>
      <c r="M17">
        <v>1.8026199528979009E-6</v>
      </c>
      <c r="N17" s="1">
        <v>-3.6663558944479499E-7</v>
      </c>
      <c r="O17" s="1">
        <v>1.5176658198261299E-10</v>
      </c>
      <c r="P17" s="1">
        <v>1.3853980233406899E-9</v>
      </c>
      <c r="Q17">
        <v>66.149138242706698</v>
      </c>
      <c r="S17">
        <v>19.056269001457</v>
      </c>
      <c r="AA17">
        <v>0.28661995450377498</v>
      </c>
      <c r="AB17">
        <v>5.0332173267837099</v>
      </c>
      <c r="AC17">
        <v>9.4747554745487701</v>
      </c>
      <c r="AJ17">
        <v>0.44053266178279099</v>
      </c>
      <c r="AK17">
        <v>1.3862758044494401E-2</v>
      </c>
      <c r="AL17">
        <v>0.54560458017271296</v>
      </c>
    </row>
    <row r="18" spans="1:38" x14ac:dyDescent="0.2">
      <c r="A18">
        <v>56</v>
      </c>
      <c r="B18">
        <v>758</v>
      </c>
      <c r="C18">
        <v>175</v>
      </c>
      <c r="D18">
        <v>0.41006691557969399</v>
      </c>
      <c r="E18">
        <v>10.0613485022657</v>
      </c>
      <c r="F18">
        <v>2.5603384435243002</v>
      </c>
      <c r="G18">
        <v>-162.8879696949468</v>
      </c>
      <c r="H18">
        <v>-141.01272331869359</v>
      </c>
      <c r="I18">
        <v>21.214417278042198</v>
      </c>
      <c r="J18">
        <v>12.262234736640099</v>
      </c>
      <c r="K18">
        <v>3.9296947353633001</v>
      </c>
      <c r="L18">
        <v>3.1319158494127134E-5</v>
      </c>
      <c r="M18">
        <v>1.8250701200076128E-6</v>
      </c>
      <c r="N18" s="1">
        <v>-1.2993700476968801E-7</v>
      </c>
      <c r="O18" s="1">
        <v>3.5259420479623803E-11</v>
      </c>
      <c r="P18" s="1">
        <v>4.61968565808334E-10</v>
      </c>
      <c r="Q18">
        <v>65.841434255137699</v>
      </c>
      <c r="S18">
        <v>20.7979982372735</v>
      </c>
      <c r="AA18">
        <v>1.7953629268494899</v>
      </c>
      <c r="AB18">
        <v>8.9136851208560692</v>
      </c>
      <c r="AC18">
        <v>2.6515194598831102</v>
      </c>
      <c r="AJ18">
        <v>0.76510294960270997</v>
      </c>
      <c r="AK18">
        <v>8.5158034909790306E-2</v>
      </c>
      <c r="AL18">
        <v>0.14973901548749899</v>
      </c>
    </row>
    <row r="19" spans="1:38" x14ac:dyDescent="0.2">
      <c r="A19">
        <v>57</v>
      </c>
      <c r="B19">
        <v>756</v>
      </c>
      <c r="C19">
        <v>175</v>
      </c>
      <c r="D19">
        <v>0.40878443375601398</v>
      </c>
      <c r="E19">
        <v>16.465366149751102</v>
      </c>
      <c r="F19">
        <v>2.56312392182934</v>
      </c>
      <c r="G19">
        <v>-266.65019078475757</v>
      </c>
      <c r="H19">
        <v>-230.96664259911569</v>
      </c>
      <c r="I19">
        <v>34.672835044106101</v>
      </c>
      <c r="J19">
        <v>20.081099639313599</v>
      </c>
      <c r="K19">
        <v>6.4239446284749198</v>
      </c>
      <c r="L19">
        <v>3.1341736128561722E-5</v>
      </c>
      <c r="M19">
        <v>1.8217403513132267E-6</v>
      </c>
      <c r="N19" s="1">
        <v>-2.26585893240185E-7</v>
      </c>
      <c r="O19" s="1">
        <v>5.7320823398141803E-11</v>
      </c>
      <c r="P19" s="1">
        <v>7.9643504303538705E-10</v>
      </c>
      <c r="Q19">
        <v>65.647221678292595</v>
      </c>
      <c r="S19">
        <v>20.968264102527701</v>
      </c>
      <c r="AA19">
        <v>1.98115085881804</v>
      </c>
      <c r="AB19">
        <v>8.9272669084555005</v>
      </c>
      <c r="AC19">
        <v>2.4760964519061002</v>
      </c>
      <c r="AJ19">
        <v>0.76621397386589296</v>
      </c>
      <c r="AK19">
        <v>9.3963651620184899E-2</v>
      </c>
      <c r="AL19">
        <v>0.13982237451392099</v>
      </c>
    </row>
    <row r="20" spans="1:38" x14ac:dyDescent="0.2">
      <c r="A20">
        <v>58</v>
      </c>
      <c r="B20">
        <v>754</v>
      </c>
      <c r="C20">
        <v>175</v>
      </c>
      <c r="D20">
        <v>0.40749695760112897</v>
      </c>
      <c r="E20">
        <v>18.126468652979</v>
      </c>
      <c r="F20">
        <v>2.5639729490895702</v>
      </c>
      <c r="G20">
        <v>-293.52755898664867</v>
      </c>
      <c r="H20">
        <v>-254.36569734443083</v>
      </c>
      <c r="I20">
        <v>38.126721162651798</v>
      </c>
      <c r="J20">
        <v>22.122878075573801</v>
      </c>
      <c r="K20">
        <v>7.0696801459685696</v>
      </c>
      <c r="L20">
        <v>3.1412519295968833E-5</v>
      </c>
      <c r="M20">
        <v>1.8213392062677589E-6</v>
      </c>
      <c r="N20" s="1">
        <v>-2.6586964317217201E-7</v>
      </c>
      <c r="O20" s="1">
        <v>6.2889999189303496E-11</v>
      </c>
      <c r="P20" s="1">
        <v>9.2414931737290201E-10</v>
      </c>
      <c r="Q20">
        <v>65.602935507395301</v>
      </c>
      <c r="S20">
        <v>21.010706966700599</v>
      </c>
      <c r="AA20">
        <v>2.0265002288889402</v>
      </c>
      <c r="AB20">
        <v>8.9398470375186392</v>
      </c>
      <c r="AC20">
        <v>2.4200102594963999</v>
      </c>
      <c r="AJ20">
        <v>0.76724500525234396</v>
      </c>
      <c r="AK20">
        <v>9.6108418166921297E-2</v>
      </c>
      <c r="AL20">
        <v>0.13664657658073401</v>
      </c>
    </row>
    <row r="21" spans="1:38" x14ac:dyDescent="0.2">
      <c r="A21">
        <v>65</v>
      </c>
      <c r="B21">
        <v>766</v>
      </c>
      <c r="C21">
        <v>150</v>
      </c>
      <c r="D21">
        <v>0.44161141317423203</v>
      </c>
      <c r="E21">
        <v>6.8192372079548704</v>
      </c>
      <c r="F21">
        <v>2.52275401913551</v>
      </c>
      <c r="G21">
        <v>-108.67599940724321</v>
      </c>
      <c r="H21">
        <v>-93.822608709636953</v>
      </c>
      <c r="I21">
        <v>14.293788863596401</v>
      </c>
      <c r="J21">
        <v>8.14983450567955</v>
      </c>
      <c r="K21">
        <v>2.7030923967337999</v>
      </c>
      <c r="L21">
        <v>2.9098006244084136E-5</v>
      </c>
      <c r="M21">
        <v>1.8109566780997687E-6</v>
      </c>
      <c r="N21" s="1">
        <v>-3.74243261054876E-8</v>
      </c>
      <c r="O21" s="1">
        <v>2.5647042829697899E-11</v>
      </c>
      <c r="P21" s="1">
        <v>1.63559194625124E-10</v>
      </c>
      <c r="Q21">
        <v>66.316471532746704</v>
      </c>
      <c r="S21">
        <v>19.193598304164102</v>
      </c>
      <c r="AA21">
        <v>0.36087309973846998</v>
      </c>
      <c r="AB21">
        <v>5.7661372126591202</v>
      </c>
      <c r="AC21">
        <v>8.3629198506915898</v>
      </c>
      <c r="AJ21">
        <v>0.50281353568286302</v>
      </c>
      <c r="AK21">
        <v>1.7389507727144999E-2</v>
      </c>
      <c r="AL21">
        <v>0.479796956589991</v>
      </c>
    </row>
    <row r="22" spans="1:38" x14ac:dyDescent="0.2">
      <c r="A22">
        <v>66</v>
      </c>
      <c r="B22">
        <v>764</v>
      </c>
      <c r="C22">
        <v>150</v>
      </c>
      <c r="D22">
        <v>0.44039965289495597</v>
      </c>
      <c r="E22">
        <v>25.850856918931498</v>
      </c>
      <c r="F22">
        <v>2.5219752540419602</v>
      </c>
      <c r="G22">
        <v>-411.38540438556851</v>
      </c>
      <c r="H22">
        <v>-355.31976433227942</v>
      </c>
      <c r="I22">
        <v>54.057407369511601</v>
      </c>
      <c r="J22">
        <v>30.856214386001799</v>
      </c>
      <c r="K22">
        <v>10.2502420979351</v>
      </c>
      <c r="L22">
        <v>2.8935334070469723E-5</v>
      </c>
      <c r="M22">
        <v>1.8081290991371366E-6</v>
      </c>
      <c r="N22" s="1">
        <v>-1.4217875086438099E-7</v>
      </c>
      <c r="O22" s="1">
        <v>9.7403270237678402E-11</v>
      </c>
      <c r="P22" s="1">
        <v>6.2033489078565897E-10</v>
      </c>
      <c r="Q22">
        <v>66.238428602794301</v>
      </c>
      <c r="S22">
        <v>19.158084570015198</v>
      </c>
      <c r="AA22">
        <v>0.34978415622327802</v>
      </c>
      <c r="AB22">
        <v>5.4991188565832001</v>
      </c>
      <c r="AC22">
        <v>8.7545838143840005</v>
      </c>
      <c r="AJ22">
        <v>0.48017657554050702</v>
      </c>
      <c r="AK22">
        <v>1.68779147017625E-2</v>
      </c>
      <c r="AL22">
        <v>0.50294550975773</v>
      </c>
    </row>
    <row r="23" spans="1:38" x14ac:dyDescent="0.2">
      <c r="A23">
        <v>67</v>
      </c>
      <c r="B23">
        <v>762</v>
      </c>
      <c r="C23">
        <v>150</v>
      </c>
      <c r="D23">
        <v>0.439183210162781</v>
      </c>
      <c r="E23">
        <v>38.503047368514601</v>
      </c>
      <c r="F23">
        <v>2.5215508759676601</v>
      </c>
      <c r="G23">
        <v>-612.09572094280304</v>
      </c>
      <c r="H23">
        <v>-528.9147325592462</v>
      </c>
      <c r="I23">
        <v>80.356458854810199</v>
      </c>
      <c r="J23">
        <v>45.9235848281998</v>
      </c>
      <c r="K23">
        <v>15.269589733635099</v>
      </c>
      <c r="L23">
        <v>2.883885689822305E-5</v>
      </c>
      <c r="M23">
        <v>1.8064052040090722E-6</v>
      </c>
      <c r="N23" s="1">
        <v>-2.1716053668397001E-7</v>
      </c>
      <c r="O23" s="1">
        <v>1.45208941834849E-10</v>
      </c>
      <c r="P23" s="1">
        <v>9.3901217431027894E-10</v>
      </c>
      <c r="Q23">
        <v>66.188271162712894</v>
      </c>
      <c r="S23">
        <v>19.133987965344399</v>
      </c>
      <c r="AA23">
        <v>0.34160776358724798</v>
      </c>
      <c r="AB23">
        <v>5.32417330877953</v>
      </c>
      <c r="AC23">
        <v>9.0119597995758909</v>
      </c>
      <c r="AJ23">
        <v>0.46531209378020499</v>
      </c>
      <c r="AK23">
        <v>1.6497976433728301E-2</v>
      </c>
      <c r="AL23">
        <v>0.51818992978606604</v>
      </c>
    </row>
    <row r="24" spans="1:38" x14ac:dyDescent="0.2">
      <c r="A24">
        <v>68</v>
      </c>
      <c r="B24">
        <v>760</v>
      </c>
      <c r="C24">
        <v>150</v>
      </c>
      <c r="D24">
        <v>0.43796205778444602</v>
      </c>
      <c r="E24">
        <v>41.583053077655499</v>
      </c>
      <c r="F24">
        <v>2.5214369739809799</v>
      </c>
      <c r="G24">
        <v>-660.69349367614643</v>
      </c>
      <c r="H24">
        <v>-571.16026162332628</v>
      </c>
      <c r="I24">
        <v>86.660438516014295</v>
      </c>
      <c r="J24">
        <v>49.591321442168997</v>
      </c>
      <c r="K24">
        <v>16.491807452161598</v>
      </c>
      <c r="L24">
        <v>2.8824981481393073E-5</v>
      </c>
      <c r="M24">
        <v>1.8060149107129671E-6</v>
      </c>
      <c r="N24" s="1">
        <v>-2.4785762208024901E-7</v>
      </c>
      <c r="O24" s="1">
        <v>1.56795163211112E-10</v>
      </c>
      <c r="P24" s="1">
        <v>1.05252425868644E-9</v>
      </c>
      <c r="Q24">
        <v>66.174555399227998</v>
      </c>
      <c r="S24">
        <v>19.121510171685198</v>
      </c>
      <c r="AA24">
        <v>0.33451384195869699</v>
      </c>
      <c r="AB24">
        <v>5.2608963069620103</v>
      </c>
      <c r="AC24">
        <v>9.1085242801659891</v>
      </c>
      <c r="AJ24">
        <v>0.459929237445596</v>
      </c>
      <c r="AK24">
        <v>1.61605508486465E-2</v>
      </c>
      <c r="AL24">
        <v>0.52391021170575702</v>
      </c>
    </row>
    <row r="25" spans="1:38" x14ac:dyDescent="0.2">
      <c r="A25">
        <v>78</v>
      </c>
      <c r="B25">
        <v>774</v>
      </c>
      <c r="C25">
        <v>125</v>
      </c>
      <c r="D25">
        <v>0.47267392446163797</v>
      </c>
      <c r="E25">
        <v>12.634189084354301</v>
      </c>
      <c r="F25">
        <v>2.5223913016532999</v>
      </c>
      <c r="G25">
        <v>-201.89655523653457</v>
      </c>
      <c r="H25">
        <v>-174.01148889992908</v>
      </c>
      <c r="I25">
        <v>26.629486068476801</v>
      </c>
      <c r="J25">
        <v>15.104298910969501</v>
      </c>
      <c r="K25">
        <v>5.0088140868838504</v>
      </c>
      <c r="L25">
        <v>2.9108135363388839E-5</v>
      </c>
      <c r="M25">
        <v>1.8134512663163959E-6</v>
      </c>
      <c r="N25" s="1">
        <v>-5.34151225207595E-8</v>
      </c>
      <c r="O25" s="1">
        <v>4.75471046046529E-11</v>
      </c>
      <c r="P25" s="1">
        <v>2.5668107926076E-10</v>
      </c>
      <c r="Q25">
        <v>66.3410014906285</v>
      </c>
      <c r="S25">
        <v>19.255191849649201</v>
      </c>
      <c r="AA25">
        <v>0.40596467510544298</v>
      </c>
      <c r="AB25">
        <v>5.98227639575145</v>
      </c>
      <c r="AC25">
        <v>8.0155655888653108</v>
      </c>
      <c r="AJ25">
        <v>0.52109206358709803</v>
      </c>
      <c r="AK25">
        <v>1.9541010571552199E-2</v>
      </c>
      <c r="AL25">
        <v>0.45936692584134797</v>
      </c>
    </row>
    <row r="26" spans="1:38" x14ac:dyDescent="0.2">
      <c r="A26">
        <v>79</v>
      </c>
      <c r="B26">
        <v>772</v>
      </c>
      <c r="C26">
        <v>125</v>
      </c>
      <c r="D26">
        <v>0.47153088073482102</v>
      </c>
      <c r="E26">
        <v>31.148687272228599</v>
      </c>
      <c r="F26">
        <v>2.5212147366726101</v>
      </c>
      <c r="G26">
        <v>-496.87652082636805</v>
      </c>
      <c r="H26">
        <v>-428.44295050482282</v>
      </c>
      <c r="I26">
        <v>65.477271512744807</v>
      </c>
      <c r="J26">
        <v>37.176931101047202</v>
      </c>
      <c r="K26">
        <v>12.3546347794782</v>
      </c>
      <c r="L26">
        <v>2.889455083454702E-5</v>
      </c>
      <c r="M26">
        <v>1.8097991100173722E-6</v>
      </c>
      <c r="N26" s="1">
        <v>-1.29022194714094E-7</v>
      </c>
      <c r="O26" s="1">
        <v>1.1753690706317299E-10</v>
      </c>
      <c r="P26" s="1">
        <v>6.2429338187280699E-10</v>
      </c>
      <c r="Q26">
        <v>66.245193588463195</v>
      </c>
      <c r="S26">
        <v>19.205855062608698</v>
      </c>
      <c r="AA26">
        <v>0.38761678482109502</v>
      </c>
      <c r="AB26">
        <v>5.6394308213440301</v>
      </c>
      <c r="AC26">
        <v>8.5219037427628805</v>
      </c>
      <c r="AJ26">
        <v>0.49207904479004999</v>
      </c>
      <c r="AK26">
        <v>1.8690157563537702E-2</v>
      </c>
      <c r="AL26">
        <v>0.48923079764641098</v>
      </c>
    </row>
    <row r="27" spans="1:38" x14ac:dyDescent="0.2">
      <c r="A27">
        <v>80</v>
      </c>
      <c r="B27">
        <v>770</v>
      </c>
      <c r="C27">
        <v>125</v>
      </c>
      <c r="D27">
        <v>0.47038345396155901</v>
      </c>
      <c r="E27">
        <v>40.078208270137402</v>
      </c>
      <c r="F27">
        <v>2.5207214874243</v>
      </c>
      <c r="G27">
        <v>-638.65386011451074</v>
      </c>
      <c r="H27">
        <v>-550.94051796889914</v>
      </c>
      <c r="I27">
        <v>84.085071318229893</v>
      </c>
      <c r="J27">
        <v>47.797493826394501</v>
      </c>
      <c r="K27">
        <v>15.8994988022614</v>
      </c>
      <c r="L27">
        <v>2.8797367755354414E-5</v>
      </c>
      <c r="M27">
        <v>1.8081124560740419E-6</v>
      </c>
      <c r="N27" s="1">
        <v>-1.70222554945026E-7</v>
      </c>
      <c r="O27" s="1">
        <v>1.51389527849234E-10</v>
      </c>
      <c r="P27" s="1">
        <v>8.1507851045825002E-10</v>
      </c>
      <c r="Q27">
        <v>66.198141787396196</v>
      </c>
      <c r="S27">
        <v>19.1793834321753</v>
      </c>
      <c r="AA27">
        <v>0.37675631320535702</v>
      </c>
      <c r="AB27">
        <v>5.4651795847550497</v>
      </c>
      <c r="AC27">
        <v>8.7805388824680293</v>
      </c>
      <c r="AJ27">
        <v>0.47729463845756498</v>
      </c>
      <c r="AK27">
        <v>1.81824937625449E-2</v>
      </c>
      <c r="AL27">
        <v>0.50452286777988897</v>
      </c>
    </row>
    <row r="28" spans="1:38" x14ac:dyDescent="0.2">
      <c r="A28">
        <v>81</v>
      </c>
      <c r="B28">
        <v>768</v>
      </c>
      <c r="C28">
        <v>125</v>
      </c>
      <c r="D28">
        <v>0.46923161888296799</v>
      </c>
      <c r="E28">
        <v>42.658086531562098</v>
      </c>
      <c r="F28">
        <v>2.5205612626740801</v>
      </c>
      <c r="G28">
        <v>-679.36662479882307</v>
      </c>
      <c r="H28">
        <v>-586.32037748833989</v>
      </c>
      <c r="I28">
        <v>89.368724305319105</v>
      </c>
      <c r="J28">
        <v>50.863395290705</v>
      </c>
      <c r="K28">
        <v>16.924042737332901</v>
      </c>
      <c r="L28">
        <v>2.8773825507393664E-5</v>
      </c>
      <c r="M28">
        <v>1.8076452296137695E-6</v>
      </c>
      <c r="N28" s="1">
        <v>-1.9144402963945199E-7</v>
      </c>
      <c r="O28" s="1">
        <v>1.6114248888699199E-10</v>
      </c>
      <c r="P28" s="1">
        <v>8.9727149926906403E-10</v>
      </c>
      <c r="Q28">
        <v>66.183510972849604</v>
      </c>
      <c r="S28">
        <v>19.165176267266698</v>
      </c>
      <c r="AA28">
        <v>0.368449157244436</v>
      </c>
      <c r="AB28">
        <v>5.3953296691454904</v>
      </c>
      <c r="AC28">
        <v>8.8875339334937493</v>
      </c>
      <c r="AJ28">
        <v>0.471360920776563</v>
      </c>
      <c r="AK28">
        <v>1.7787869924458299E-2</v>
      </c>
      <c r="AL28">
        <v>0.51085120929897698</v>
      </c>
    </row>
    <row r="29" spans="1:38" x14ac:dyDescent="0.2">
      <c r="A29">
        <v>93</v>
      </c>
      <c r="B29">
        <v>786</v>
      </c>
      <c r="C29">
        <v>100</v>
      </c>
      <c r="D29">
        <v>0.50540574989378495</v>
      </c>
      <c r="E29">
        <v>11.5680413337234</v>
      </c>
      <c r="F29">
        <v>2.5233386056081901</v>
      </c>
      <c r="G29">
        <v>-185.6726881373551</v>
      </c>
      <c r="H29">
        <v>-159.62460176591978</v>
      </c>
      <c r="I29">
        <v>24.593387500765001</v>
      </c>
      <c r="J29">
        <v>13.8514480785459</v>
      </c>
      <c r="K29">
        <v>4.5844189551149004</v>
      </c>
      <c r="L29">
        <v>2.92525069780915E-5</v>
      </c>
      <c r="M29">
        <v>1.8177743115701259E-6</v>
      </c>
      <c r="N29" s="1">
        <v>-3.4018015638274797E-8</v>
      </c>
      <c r="O29" s="1">
        <v>4.3462227506363702E-11</v>
      </c>
      <c r="P29" s="1">
        <v>1.91513711593218E-10</v>
      </c>
      <c r="Q29">
        <v>66.397391793575906</v>
      </c>
      <c r="S29">
        <v>19.3802606678674</v>
      </c>
      <c r="AA29">
        <v>0.49598982444982298</v>
      </c>
      <c r="AB29">
        <v>6.4358233293570501</v>
      </c>
      <c r="AC29">
        <v>7.2905343847497504</v>
      </c>
      <c r="AJ29">
        <v>0.559318481676644</v>
      </c>
      <c r="AK29">
        <v>2.38198275744309E-2</v>
      </c>
      <c r="AL29">
        <v>0.41686169074892399</v>
      </c>
    </row>
    <row r="30" spans="1:38" x14ac:dyDescent="0.2">
      <c r="A30">
        <v>94</v>
      </c>
      <c r="B30">
        <v>784</v>
      </c>
      <c r="C30">
        <v>100</v>
      </c>
      <c r="D30">
        <v>0.50433760582698905</v>
      </c>
      <c r="E30">
        <v>27.914281071142099</v>
      </c>
      <c r="F30">
        <v>2.5213859743327198</v>
      </c>
      <c r="G30">
        <v>-447.0588490364795</v>
      </c>
      <c r="H30">
        <v>-384.50576115734481</v>
      </c>
      <c r="I30">
        <v>59.171440078640401</v>
      </c>
      <c r="J30">
        <v>33.355883810219098</v>
      </c>
      <c r="K30">
        <v>11.0710067222173</v>
      </c>
      <c r="L30">
        <v>2.8991330086750875E-5</v>
      </c>
      <c r="M30">
        <v>1.8133843383417346E-6</v>
      </c>
      <c r="N30" s="1">
        <v>-7.8244745887928596E-8</v>
      </c>
      <c r="O30" s="1">
        <v>1.05269654946455E-10</v>
      </c>
      <c r="P30" s="1">
        <v>4.5018508065284602E-10</v>
      </c>
      <c r="Q30">
        <v>66.295950415340101</v>
      </c>
      <c r="S30">
        <v>19.304062040713699</v>
      </c>
      <c r="AA30">
        <v>0.456795135655295</v>
      </c>
      <c r="AB30">
        <v>6.0100020494473601</v>
      </c>
      <c r="AC30">
        <v>7.9331903588434098</v>
      </c>
      <c r="AJ30">
        <v>0.52343337663973999</v>
      </c>
      <c r="AK30">
        <v>2.1984624522030601E-2</v>
      </c>
      <c r="AL30">
        <v>0.45458199883822897</v>
      </c>
    </row>
    <row r="31" spans="1:38" x14ac:dyDescent="0.2">
      <c r="A31">
        <v>95</v>
      </c>
      <c r="B31">
        <v>782</v>
      </c>
      <c r="C31">
        <v>100</v>
      </c>
      <c r="D31">
        <v>0.50326541250059598</v>
      </c>
      <c r="E31">
        <v>38.643767274077</v>
      </c>
      <c r="F31">
        <v>2.52034744709252</v>
      </c>
      <c r="G31">
        <v>-617.96348750774064</v>
      </c>
      <c r="H31">
        <v>-531.73360194600252</v>
      </c>
      <c r="I31">
        <v>81.722869318805905</v>
      </c>
      <c r="J31">
        <v>46.116074297826799</v>
      </c>
      <c r="K31">
        <v>15.3327142726517</v>
      </c>
      <c r="L31">
        <v>2.8825407569439572E-5</v>
      </c>
      <c r="M31">
        <v>1.8105884865220148E-6</v>
      </c>
      <c r="N31" s="1">
        <v>-1.07551736263498E-7</v>
      </c>
      <c r="O31" s="1">
        <v>1.4604904035929E-10</v>
      </c>
      <c r="P31" s="1">
        <v>6.2040746902372704E-10</v>
      </c>
      <c r="Q31">
        <v>66.225281828946194</v>
      </c>
      <c r="S31">
        <v>19.258309146530902</v>
      </c>
      <c r="AA31">
        <v>0.43553807801588401</v>
      </c>
      <c r="AB31">
        <v>5.7325737333845703</v>
      </c>
      <c r="AC31">
        <v>8.3482972131223203</v>
      </c>
      <c r="AJ31">
        <v>0.49997065646186001</v>
      </c>
      <c r="AK31">
        <v>2.0990935170078301E-2</v>
      </c>
      <c r="AL31">
        <v>0.479038408368061</v>
      </c>
    </row>
    <row r="32" spans="1:38" x14ac:dyDescent="0.2">
      <c r="A32">
        <v>96</v>
      </c>
      <c r="B32">
        <v>780</v>
      </c>
      <c r="C32">
        <v>100</v>
      </c>
      <c r="D32">
        <v>0.50218914684517901</v>
      </c>
      <c r="E32">
        <v>43.232333852190003</v>
      </c>
      <c r="F32">
        <v>2.5199209684404802</v>
      </c>
      <c r="G32">
        <v>-690.74025820044812</v>
      </c>
      <c r="H32">
        <v>-594.61883391833499</v>
      </c>
      <c r="I32">
        <v>91.270402394827798</v>
      </c>
      <c r="J32">
        <v>51.561164431166297</v>
      </c>
      <c r="K32">
        <v>17.156226085513101</v>
      </c>
      <c r="L32">
        <v>2.8754748266465495E-5</v>
      </c>
      <c r="M32">
        <v>1.8094144115377819E-6</v>
      </c>
      <c r="N32" s="1">
        <v>-1.25123247265833E-7</v>
      </c>
      <c r="O32" s="1">
        <v>1.63523459634848E-10</v>
      </c>
      <c r="P32" s="1">
        <v>7.07896883145715E-10</v>
      </c>
      <c r="Q32">
        <v>66.193997066750896</v>
      </c>
      <c r="S32">
        <v>19.234127128871599</v>
      </c>
      <c r="AA32">
        <v>0.42288753741103802</v>
      </c>
      <c r="AB32">
        <v>5.5994610150834703</v>
      </c>
      <c r="AC32">
        <v>8.5495272518829495</v>
      </c>
      <c r="AJ32">
        <v>0.48868969128478501</v>
      </c>
      <c r="AK32">
        <v>2.0394949272149202E-2</v>
      </c>
      <c r="AL32">
        <v>0.49091535944306403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22580-95B4-40A7-ADB0-32550B61A38D}">
  <sheetPr codeName="Sheet12"/>
  <dimension ref="A1:AL93"/>
  <sheetViews>
    <sheetView workbookViewId="0"/>
  </sheetViews>
  <sheetFormatPr defaultRowHeight="15" x14ac:dyDescent="0.2"/>
  <sheetData>
    <row r="1" spans="1:38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">
      <c r="A2">
        <v>11</v>
      </c>
      <c r="B2">
        <v>738</v>
      </c>
      <c r="C2">
        <v>300</v>
      </c>
      <c r="D2">
        <v>0.26103001532908299</v>
      </c>
      <c r="E2">
        <v>2.3886180768966199</v>
      </c>
      <c r="F2">
        <v>2.52611129208409</v>
      </c>
      <c r="G2">
        <v>-37.510819798160114</v>
      </c>
      <c r="H2">
        <v>-32.573594975790662</v>
      </c>
      <c r="I2">
        <v>4.8827818052410104</v>
      </c>
      <c r="J2">
        <v>2.8440883440156002</v>
      </c>
      <c r="K2">
        <v>0.94557119647961396</v>
      </c>
      <c r="L2">
        <v>2.8676161420618959E-5</v>
      </c>
      <c r="M2">
        <v>1.789444568134857E-6</v>
      </c>
      <c r="N2" s="1">
        <v>-2.7115361999498501E-8</v>
      </c>
      <c r="O2" s="1">
        <v>8.9839063839772294E-12</v>
      </c>
      <c r="P2" s="1">
        <v>9.7170377124762595E-11</v>
      </c>
      <c r="Q2">
        <v>65.950660040455105</v>
      </c>
      <c r="S2">
        <v>18.899231117364899</v>
      </c>
      <c r="AA2">
        <v>0.20337426731302399</v>
      </c>
      <c r="AB2">
        <v>4.1792240655771096</v>
      </c>
      <c r="AC2">
        <v>10.7675105092897</v>
      </c>
      <c r="AJ2">
        <v>0.36737711227585901</v>
      </c>
      <c r="AK2">
        <v>9.8792330765115205E-3</v>
      </c>
      <c r="AL2">
        <v>0.62274365464762904</v>
      </c>
    </row>
    <row r="3" spans="1:38" x14ac:dyDescent="0.2">
      <c r="A3">
        <v>12</v>
      </c>
      <c r="B3">
        <v>736</v>
      </c>
      <c r="C3">
        <v>300</v>
      </c>
      <c r="D3">
        <v>0.25942674528068399</v>
      </c>
      <c r="E3">
        <v>13.8504950969745</v>
      </c>
      <c r="F3">
        <v>2.5272397526097601</v>
      </c>
      <c r="G3">
        <v>-217.78772568757731</v>
      </c>
      <c r="H3">
        <v>-189.19316294445943</v>
      </c>
      <c r="I3">
        <v>28.3352947957368</v>
      </c>
      <c r="J3">
        <v>16.5421376528388</v>
      </c>
      <c r="K3">
        <v>5.4804832357799702</v>
      </c>
      <c r="L3">
        <v>2.9022841440737394E-5</v>
      </c>
      <c r="M3">
        <v>1.7927906076057564E-6</v>
      </c>
      <c r="N3" s="1">
        <v>-1.8504523940426201E-7</v>
      </c>
      <c r="O3" s="1">
        <v>5.1708898721701402E-11</v>
      </c>
      <c r="P3" s="1">
        <v>6.4350933410680502E-10</v>
      </c>
      <c r="Q3">
        <v>66.017013298727505</v>
      </c>
      <c r="S3">
        <v>18.968214340883002</v>
      </c>
      <c r="AA3">
        <v>0.244803507336433</v>
      </c>
      <c r="AB3">
        <v>4.5079372328010798</v>
      </c>
      <c r="AC3">
        <v>10.2620316202519</v>
      </c>
      <c r="AJ3">
        <v>0.39561073079324999</v>
      </c>
      <c r="AK3">
        <v>1.1871856235146701E-2</v>
      </c>
      <c r="AL3">
        <v>0.59251741297160199</v>
      </c>
    </row>
    <row r="4" spans="1:38" x14ac:dyDescent="0.2">
      <c r="A4">
        <v>12</v>
      </c>
      <c r="B4">
        <v>736</v>
      </c>
      <c r="C4">
        <v>300</v>
      </c>
      <c r="D4">
        <v>0.25942674528068399</v>
      </c>
      <c r="E4">
        <v>4.68747776790996</v>
      </c>
      <c r="F4">
        <v>2.5755844318568402</v>
      </c>
      <c r="G4">
        <v>-75.59332794488742</v>
      </c>
      <c r="H4">
        <v>-65.755328904178498</v>
      </c>
      <c r="I4">
        <v>9.7487975431887204</v>
      </c>
      <c r="J4">
        <v>5.7899738089350201</v>
      </c>
      <c r="K4">
        <v>1.8199666490958599</v>
      </c>
      <c r="L4">
        <v>3.2711901512895685E-5</v>
      </c>
      <c r="M4">
        <v>1.8145129924223707E-6</v>
      </c>
      <c r="N4" s="1">
        <v>-1.37890791461264E-7</v>
      </c>
      <c r="O4" s="1">
        <v>1.55649744530057E-11</v>
      </c>
      <c r="P4" s="1">
        <v>4.36934785697431E-10</v>
      </c>
      <c r="Q4">
        <v>65.342490821614604</v>
      </c>
      <c r="S4">
        <v>21.2718602643865</v>
      </c>
      <c r="AA4">
        <v>2.30272558039576</v>
      </c>
      <c r="AB4">
        <v>9.0441073418711895</v>
      </c>
      <c r="AC4">
        <v>2.0388159917317998</v>
      </c>
      <c r="AJ4">
        <v>0.77578650458543696</v>
      </c>
      <c r="AK4">
        <v>0.109151444628089</v>
      </c>
      <c r="AL4">
        <v>0.115062050786473</v>
      </c>
    </row>
    <row r="5" spans="1:38" x14ac:dyDescent="0.2">
      <c r="A5">
        <v>13</v>
      </c>
      <c r="B5">
        <v>734</v>
      </c>
      <c r="C5">
        <v>300</v>
      </c>
      <c r="D5">
        <v>0.25781710768008598</v>
      </c>
      <c r="E5">
        <v>34.466969807530504</v>
      </c>
      <c r="F5">
        <v>2.52724299375453</v>
      </c>
      <c r="G5">
        <v>-541.64342567784888</v>
      </c>
      <c r="H5">
        <v>-470.73907512780886</v>
      </c>
      <c r="I5">
        <v>70.400983517887099</v>
      </c>
      <c r="J5">
        <v>41.169866266385</v>
      </c>
      <c r="K5">
        <v>13.638170089978299</v>
      </c>
      <c r="L5">
        <v>2.9025802881634292E-5</v>
      </c>
      <c r="M5">
        <v>1.7923049234723832E-6</v>
      </c>
      <c r="N5" s="1">
        <v>-4.8419440287732801E-7</v>
      </c>
      <c r="O5" s="1">
        <v>1.2855519878451601E-10</v>
      </c>
      <c r="P5" s="1">
        <v>1.66788455869963E-9</v>
      </c>
      <c r="Q5">
        <v>65.994987266196404</v>
      </c>
      <c r="S5">
        <v>18.958349463001099</v>
      </c>
      <c r="AA5">
        <v>0.24180435565161401</v>
      </c>
      <c r="AB5">
        <v>4.4329913404052501</v>
      </c>
      <c r="AC5">
        <v>10.371867574745499</v>
      </c>
      <c r="AJ5">
        <v>0.38918177804030102</v>
      </c>
      <c r="AK5">
        <v>1.1730878180486201E-2</v>
      </c>
      <c r="AL5">
        <v>0.59908734377921202</v>
      </c>
    </row>
    <row r="6" spans="1:38" x14ac:dyDescent="0.2">
      <c r="A6">
        <v>13</v>
      </c>
      <c r="B6">
        <v>734</v>
      </c>
      <c r="C6">
        <v>300</v>
      </c>
      <c r="D6">
        <v>0.25781710768008598</v>
      </c>
      <c r="E6">
        <v>15.012990268729</v>
      </c>
      <c r="F6">
        <v>2.5768191465895698</v>
      </c>
      <c r="G6">
        <v>-242.09772485046</v>
      </c>
      <c r="H6">
        <v>-210.6919349949728</v>
      </c>
      <c r="I6">
        <v>31.182832602380099</v>
      </c>
      <c r="J6">
        <v>18.571153574170499</v>
      </c>
      <c r="K6">
        <v>5.8261714985309503</v>
      </c>
      <c r="L6">
        <v>3.2837877562518981E-5</v>
      </c>
      <c r="M6">
        <v>1.8132598113984516E-6</v>
      </c>
      <c r="N6" s="1">
        <v>-4.70551616257084E-7</v>
      </c>
      <c r="O6" s="1">
        <v>4.9512995720360301E-11</v>
      </c>
      <c r="P6" s="1">
        <v>1.48119786965796E-9</v>
      </c>
      <c r="Q6">
        <v>65.251198157570499</v>
      </c>
      <c r="S6">
        <v>21.347191384009399</v>
      </c>
      <c r="AA6">
        <v>2.3861764205175899</v>
      </c>
      <c r="AB6">
        <v>9.0381568587708898</v>
      </c>
      <c r="AC6">
        <v>1.97727717913156</v>
      </c>
      <c r="AJ6">
        <v>0.775297603334694</v>
      </c>
      <c r="AK6">
        <v>0.113110235675316</v>
      </c>
      <c r="AL6">
        <v>0.111592160989988</v>
      </c>
    </row>
    <row r="7" spans="1:38" x14ac:dyDescent="0.2">
      <c r="A7">
        <v>14</v>
      </c>
      <c r="B7">
        <v>732</v>
      </c>
      <c r="C7">
        <v>300</v>
      </c>
      <c r="D7">
        <v>0.256201064517732</v>
      </c>
      <c r="E7">
        <v>37.857255813175101</v>
      </c>
      <c r="F7">
        <v>2.5272552590380801</v>
      </c>
      <c r="G7">
        <v>-594.5615631352814</v>
      </c>
      <c r="H7">
        <v>-516.96215761334054</v>
      </c>
      <c r="I7">
        <v>77.201816168672195</v>
      </c>
      <c r="J7">
        <v>45.224774988909402</v>
      </c>
      <c r="K7">
        <v>14.9795932475709</v>
      </c>
      <c r="L7">
        <v>2.9028218885249163E-5</v>
      </c>
      <c r="M7">
        <v>1.791791908096475E-6</v>
      </c>
      <c r="N7" s="1">
        <v>-5.5853160366101001E-7</v>
      </c>
      <c r="O7" s="1">
        <v>1.4106343398303399E-10</v>
      </c>
      <c r="P7" s="1">
        <v>1.9066443813817498E-9</v>
      </c>
      <c r="Q7">
        <v>65.971707372366097</v>
      </c>
      <c r="S7">
        <v>18.948472028350999</v>
      </c>
      <c r="AA7">
        <v>0.23908741589723601</v>
      </c>
      <c r="AB7">
        <v>4.35521836613316</v>
      </c>
      <c r="AC7">
        <v>10.485514817252399</v>
      </c>
      <c r="AJ7">
        <v>0.38250513045136902</v>
      </c>
      <c r="AK7">
        <v>1.1603655807269801E-2</v>
      </c>
      <c r="AL7">
        <v>0.60589121374136001</v>
      </c>
    </row>
    <row r="8" spans="1:38" x14ac:dyDescent="0.2">
      <c r="A8">
        <v>14</v>
      </c>
      <c r="B8">
        <v>732</v>
      </c>
      <c r="C8">
        <v>300</v>
      </c>
      <c r="D8">
        <v>0.256201064517732</v>
      </c>
      <c r="E8">
        <v>16.314729167504399</v>
      </c>
      <c r="F8">
        <v>2.57813652903641</v>
      </c>
      <c r="G8">
        <v>-263.07858531288588</v>
      </c>
      <c r="H8">
        <v>-229.06250317639038</v>
      </c>
      <c r="I8">
        <v>33.841796882550398</v>
      </c>
      <c r="J8">
        <v>20.212347226517</v>
      </c>
      <c r="K8">
        <v>6.3281090755895999</v>
      </c>
      <c r="L8">
        <v>3.2967042877736326E-5</v>
      </c>
      <c r="M8">
        <v>1.8117847150021774E-6</v>
      </c>
      <c r="N8" s="1">
        <v>-5.44537491626652E-7</v>
      </c>
      <c r="O8" s="1">
        <v>5.3415406275489303E-11</v>
      </c>
      <c r="P8" s="1">
        <v>1.70327595735404E-9</v>
      </c>
      <c r="Q8">
        <v>65.149410024149404</v>
      </c>
      <c r="S8">
        <v>21.4298629087208</v>
      </c>
      <c r="AA8">
        <v>2.4781321442941202</v>
      </c>
      <c r="AB8">
        <v>9.0280616111661001</v>
      </c>
      <c r="AC8">
        <v>1.9145333116695</v>
      </c>
      <c r="AJ8">
        <v>0.77446892393655398</v>
      </c>
      <c r="AK8">
        <v>0.11747480512319899</v>
      </c>
      <c r="AL8">
        <v>0.108056270940246</v>
      </c>
    </row>
    <row r="9" spans="1:38" x14ac:dyDescent="0.2">
      <c r="A9">
        <v>24</v>
      </c>
      <c r="B9">
        <v>740</v>
      </c>
      <c r="C9">
        <v>275</v>
      </c>
      <c r="D9">
        <v>0.28977002418201098</v>
      </c>
      <c r="E9">
        <v>13.0050069715407</v>
      </c>
      <c r="F9">
        <v>2.5262299382885698</v>
      </c>
      <c r="G9">
        <v>-204.88648195297742</v>
      </c>
      <c r="H9">
        <v>-177.83916877176421</v>
      </c>
      <c r="I9">
        <v>26.696257396449901</v>
      </c>
      <c r="J9">
        <v>15.52829739905</v>
      </c>
      <c r="K9">
        <v>5.1479902024877298</v>
      </c>
      <c r="L9">
        <v>2.9000712081667916E-5</v>
      </c>
      <c r="M9">
        <v>1.7955147379422242E-6</v>
      </c>
      <c r="N9" s="1">
        <v>-1.5397395111372601E-7</v>
      </c>
      <c r="O9" s="1">
        <v>4.8651205455591299E-11</v>
      </c>
      <c r="P9" s="1">
        <v>5.4834664577407998E-10</v>
      </c>
      <c r="Q9">
        <v>66.063117242140194</v>
      </c>
      <c r="S9">
        <v>18.994362073428501</v>
      </c>
      <c r="AA9">
        <v>0.255617929503829</v>
      </c>
      <c r="AB9">
        <v>4.6792270790068899</v>
      </c>
      <c r="AC9">
        <v>10.0076756759204</v>
      </c>
      <c r="AJ9">
        <v>0.41028578575153302</v>
      </c>
      <c r="AK9">
        <v>1.2385525922970301E-2</v>
      </c>
      <c r="AL9">
        <v>0.577328688325496</v>
      </c>
    </row>
    <row r="10" spans="1:38" x14ac:dyDescent="0.2">
      <c r="A10">
        <v>24</v>
      </c>
      <c r="B10">
        <v>740</v>
      </c>
      <c r="C10">
        <v>275</v>
      </c>
      <c r="D10">
        <v>0.28977002418201098</v>
      </c>
      <c r="E10">
        <v>5.3085946057334104</v>
      </c>
      <c r="F10">
        <v>2.5724490391195398</v>
      </c>
      <c r="G10">
        <v>-85.674206870416896</v>
      </c>
      <c r="H10">
        <v>-74.458930800040861</v>
      </c>
      <c r="I10">
        <v>11.0697093918729</v>
      </c>
      <c r="J10">
        <v>6.5356296122306103</v>
      </c>
      <c r="K10">
        <v>2.0636345074304501</v>
      </c>
      <c r="L10">
        <v>3.2387454792733245E-5</v>
      </c>
      <c r="M10">
        <v>1.8171448535542301E-6</v>
      </c>
      <c r="N10" s="1">
        <v>-1.3418462584072901E-7</v>
      </c>
      <c r="O10" s="1">
        <v>1.7862963927573399E-11</v>
      </c>
      <c r="P10" s="1">
        <v>4.3229903169596E-10</v>
      </c>
      <c r="Q10">
        <v>65.468501670242404</v>
      </c>
      <c r="S10">
        <v>21.162115965229599</v>
      </c>
      <c r="AA10">
        <v>2.1827825010509398</v>
      </c>
      <c r="AB10">
        <v>9.0372068136343309</v>
      </c>
      <c r="AC10">
        <v>2.1493930498426002</v>
      </c>
      <c r="AJ10">
        <v>0.77522314760218503</v>
      </c>
      <c r="AK10">
        <v>0.103469836937944</v>
      </c>
      <c r="AL10">
        <v>0.12130701545986899</v>
      </c>
    </row>
    <row r="11" spans="1:38" x14ac:dyDescent="0.2">
      <c r="A11">
        <v>25</v>
      </c>
      <c r="B11">
        <v>738</v>
      </c>
      <c r="C11">
        <v>275</v>
      </c>
      <c r="D11">
        <v>0.28822677149780002</v>
      </c>
      <c r="E11">
        <v>33.725308971735501</v>
      </c>
      <c r="F11">
        <v>2.5263817929108598</v>
      </c>
      <c r="G11">
        <v>-531.35489572746985</v>
      </c>
      <c r="H11">
        <v>-461.40424956637565</v>
      </c>
      <c r="I11">
        <v>69.179296999549194</v>
      </c>
      <c r="J11">
        <v>40.316571879570297</v>
      </c>
      <c r="K11">
        <v>13.3492527005894</v>
      </c>
      <c r="L11">
        <v>2.913806632153032E-5</v>
      </c>
      <c r="M11">
        <v>1.7969589360715023E-6</v>
      </c>
      <c r="N11" s="1">
        <v>-4.3725460247328802E-7</v>
      </c>
      <c r="O11" s="1">
        <v>1.2581302964041201E-10</v>
      </c>
      <c r="P11" s="1">
        <v>1.53056117646142E-9</v>
      </c>
      <c r="Q11">
        <v>66.099091547108699</v>
      </c>
      <c r="S11">
        <v>18.994239820869499</v>
      </c>
      <c r="AA11">
        <v>0.247122957626732</v>
      </c>
      <c r="AB11">
        <v>4.7590733877865699</v>
      </c>
      <c r="AC11">
        <v>9.9004722866084105</v>
      </c>
      <c r="AJ11">
        <v>0.41711792880888099</v>
      </c>
      <c r="AK11">
        <v>1.19690681229223E-2</v>
      </c>
      <c r="AL11">
        <v>0.57091300306819603</v>
      </c>
    </row>
    <row r="12" spans="1:38" x14ac:dyDescent="0.2">
      <c r="A12">
        <v>25</v>
      </c>
      <c r="B12">
        <v>738</v>
      </c>
      <c r="C12">
        <v>275</v>
      </c>
      <c r="D12">
        <v>0.28822677149780002</v>
      </c>
      <c r="E12">
        <v>17.3614356849106</v>
      </c>
      <c r="F12">
        <v>2.5707768884010398</v>
      </c>
      <c r="G12">
        <v>-280.04437378116182</v>
      </c>
      <c r="H12">
        <v>-243.47200370221697</v>
      </c>
      <c r="I12">
        <v>36.169084783607602</v>
      </c>
      <c r="J12">
        <v>21.407411860198</v>
      </c>
      <c r="K12">
        <v>6.7533809578119204</v>
      </c>
      <c r="L12">
        <v>3.2610371916633369E-5</v>
      </c>
      <c r="M12">
        <v>1.8215351601958564E-6</v>
      </c>
      <c r="N12" s="1">
        <v>-4.7014928676630702E-7</v>
      </c>
      <c r="O12" s="1">
        <v>5.8371844471576203E-11</v>
      </c>
      <c r="P12" s="1">
        <v>1.5026881847873201E-9</v>
      </c>
      <c r="Q12">
        <v>65.6466511007945</v>
      </c>
      <c r="S12">
        <v>21.025612858540399</v>
      </c>
      <c r="AA12">
        <v>2.02859730619168</v>
      </c>
      <c r="AB12">
        <v>9.0763426268283496</v>
      </c>
      <c r="AC12">
        <v>2.2227961076449998</v>
      </c>
      <c r="AJ12">
        <v>0.77843156473863295</v>
      </c>
      <c r="AK12">
        <v>9.6142672637773194E-2</v>
      </c>
      <c r="AL12">
        <v>0.12542576262359301</v>
      </c>
    </row>
    <row r="13" spans="1:38" x14ac:dyDescent="0.2">
      <c r="A13">
        <v>26</v>
      </c>
      <c r="B13">
        <v>736</v>
      </c>
      <c r="C13">
        <v>275</v>
      </c>
      <c r="D13">
        <v>0.28667740177377199</v>
      </c>
      <c r="E13">
        <v>38.410344581386198</v>
      </c>
      <c r="F13">
        <v>2.5264388662073398</v>
      </c>
      <c r="G13">
        <v>-605.00125206711266</v>
      </c>
      <c r="H13">
        <v>-525.58345869866992</v>
      </c>
      <c r="I13">
        <v>78.697709328090696</v>
      </c>
      <c r="J13">
        <v>45.947865559105502</v>
      </c>
      <c r="K13">
        <v>15.2033540550488</v>
      </c>
      <c r="L13">
        <v>2.920939571942402E-5</v>
      </c>
      <c r="M13">
        <v>1.7974148596727732E-6</v>
      </c>
      <c r="N13" s="1">
        <v>-5.3404455193960902E-7</v>
      </c>
      <c r="O13" s="1">
        <v>1.4301489433578399E-10</v>
      </c>
      <c r="P13" s="1">
        <v>1.8455276240123E-9</v>
      </c>
      <c r="Q13">
        <v>66.105485717093202</v>
      </c>
      <c r="S13">
        <v>18.988781201882599</v>
      </c>
      <c r="AA13">
        <v>0.24112754891879001</v>
      </c>
      <c r="AB13">
        <v>4.7590119734122798</v>
      </c>
      <c r="AC13">
        <v>9.9055935586930399</v>
      </c>
      <c r="AJ13">
        <v>0.41711273081498101</v>
      </c>
      <c r="AK13">
        <v>1.16786937385052E-2</v>
      </c>
      <c r="AL13">
        <v>0.57120857544651304</v>
      </c>
    </row>
    <row r="14" spans="1:38" x14ac:dyDescent="0.2">
      <c r="A14">
        <v>26</v>
      </c>
      <c r="B14">
        <v>736</v>
      </c>
      <c r="C14">
        <v>275</v>
      </c>
      <c r="D14">
        <v>0.28667740177377199</v>
      </c>
      <c r="E14">
        <v>20.339415715658699</v>
      </c>
      <c r="F14">
        <v>2.5705645719504302</v>
      </c>
      <c r="G14">
        <v>-327.98857127011524</v>
      </c>
      <c r="H14">
        <v>-285.27492091006712</v>
      </c>
      <c r="I14">
        <v>42.326364128274399</v>
      </c>
      <c r="J14">
        <v>25.117464690980299</v>
      </c>
      <c r="K14">
        <v>7.9124313536407698</v>
      </c>
      <c r="L14">
        <v>3.2787398885463027E-5</v>
      </c>
      <c r="M14">
        <v>1.8231894074651809E-6</v>
      </c>
      <c r="N14" s="1">
        <v>-5.8869676149788298E-7</v>
      </c>
      <c r="O14" s="1">
        <v>6.81279908109195E-11</v>
      </c>
      <c r="P14" s="1">
        <v>1.8679068270874E-9</v>
      </c>
      <c r="Q14">
        <v>65.692829491376102</v>
      </c>
      <c r="S14">
        <v>20.9939440703182</v>
      </c>
      <c r="AA14">
        <v>1.9916951355027199</v>
      </c>
      <c r="AB14">
        <v>9.0962248487053294</v>
      </c>
      <c r="AC14">
        <v>2.2253064540975198</v>
      </c>
      <c r="AJ14">
        <v>0.78006037889337798</v>
      </c>
      <c r="AK14">
        <v>9.4384501305481802E-2</v>
      </c>
      <c r="AL14">
        <v>0.12555511980113901</v>
      </c>
    </row>
    <row r="15" spans="1:38" x14ac:dyDescent="0.2">
      <c r="A15">
        <v>34</v>
      </c>
      <c r="B15">
        <v>744</v>
      </c>
      <c r="C15">
        <v>250</v>
      </c>
      <c r="D15">
        <v>0.31987464975667701</v>
      </c>
      <c r="E15">
        <v>13.033039168329999</v>
      </c>
      <c r="F15">
        <v>2.5252876275177498</v>
      </c>
      <c r="G15">
        <v>-205.72717777222454</v>
      </c>
      <c r="H15">
        <v>-178.42225178541386</v>
      </c>
      <c r="I15">
        <v>26.8445420899677</v>
      </c>
      <c r="J15">
        <v>15.560113082894899</v>
      </c>
      <c r="K15">
        <v>5.1610117700299103</v>
      </c>
      <c r="L15">
        <v>2.8992869264301879E-5</v>
      </c>
      <c r="M15">
        <v>1.7983112238387936E-6</v>
      </c>
      <c r="N15" s="1">
        <v>-1.36741746644647E-7</v>
      </c>
      <c r="O15" s="1">
        <v>4.8835627873104102E-11</v>
      </c>
      <c r="P15" s="1">
        <v>4.9967428482275903E-10</v>
      </c>
      <c r="Q15">
        <v>66.109155270265404</v>
      </c>
      <c r="S15">
        <v>19.022136267939899</v>
      </c>
      <c r="AA15">
        <v>0.26778957987790503</v>
      </c>
      <c r="AB15">
        <v>4.8546340180266299</v>
      </c>
      <c r="AC15">
        <v>9.7462848638900397</v>
      </c>
      <c r="AJ15">
        <v>0.42528712880959801</v>
      </c>
      <c r="AK15">
        <v>1.29637369039763E-2</v>
      </c>
      <c r="AL15">
        <v>0.56174913428642503</v>
      </c>
    </row>
    <row r="16" spans="1:38" x14ac:dyDescent="0.2">
      <c r="A16">
        <v>34</v>
      </c>
      <c r="B16">
        <v>744</v>
      </c>
      <c r="C16">
        <v>250</v>
      </c>
      <c r="D16">
        <v>0.31987464975667701</v>
      </c>
      <c r="E16">
        <v>6.37177938948677</v>
      </c>
      <c r="F16">
        <v>2.5693242871272299</v>
      </c>
      <c r="G16">
        <v>-102.90826490034316</v>
      </c>
      <c r="H16">
        <v>-89.358704140237705</v>
      </c>
      <c r="I16">
        <v>13.321103829430699</v>
      </c>
      <c r="J16">
        <v>7.8221693436305202</v>
      </c>
      <c r="K16">
        <v>2.47994362619405</v>
      </c>
      <c r="L16">
        <v>3.2101667045095107E-5</v>
      </c>
      <c r="M16">
        <v>1.8196839251623031E-6</v>
      </c>
      <c r="N16" s="1">
        <v>-1.3836381147392601E-7</v>
      </c>
      <c r="O16" s="1">
        <v>2.16930670492702E-11</v>
      </c>
      <c r="P16" s="1">
        <v>4.5402402933852601E-10</v>
      </c>
      <c r="Q16">
        <v>65.586605947330796</v>
      </c>
      <c r="S16">
        <v>21.056165608429101</v>
      </c>
      <c r="AA16">
        <v>2.0678143533759701</v>
      </c>
      <c r="AB16">
        <v>9.0226332277888197</v>
      </c>
      <c r="AC16">
        <v>2.2667808630752</v>
      </c>
      <c r="AJ16">
        <v>0.77403093082432295</v>
      </c>
      <c r="AK16">
        <v>9.8027369345483006E-2</v>
      </c>
      <c r="AL16">
        <v>0.12794169983019299</v>
      </c>
    </row>
    <row r="17" spans="1:38" x14ac:dyDescent="0.2">
      <c r="A17">
        <v>35</v>
      </c>
      <c r="B17">
        <v>742</v>
      </c>
      <c r="C17">
        <v>250</v>
      </c>
      <c r="D17">
        <v>0.318396788651924</v>
      </c>
      <c r="E17">
        <v>34.043549656610601</v>
      </c>
      <c r="F17">
        <v>2.5253605215195498</v>
      </c>
      <c r="G17">
        <v>-537.26057290676749</v>
      </c>
      <c r="H17">
        <v>-466.15459984141006</v>
      </c>
      <c r="I17">
        <v>70.044794429746702</v>
      </c>
      <c r="J17">
        <v>40.669688170323496</v>
      </c>
      <c r="K17">
        <v>13.480669142687701</v>
      </c>
      <c r="L17">
        <v>2.9063183675171067E-5</v>
      </c>
      <c r="M17">
        <v>1.7989059042044867E-6</v>
      </c>
      <c r="N17" s="1">
        <v>-3.8459131120390002E-7</v>
      </c>
      <c r="O17" s="1">
        <v>1.27343790731708E-10</v>
      </c>
      <c r="P17" s="1">
        <v>1.3835622280360899E-9</v>
      </c>
      <c r="Q17">
        <v>66.120795708382801</v>
      </c>
      <c r="S17">
        <v>19.017469496564999</v>
      </c>
      <c r="AA17">
        <v>0.26122330860990201</v>
      </c>
      <c r="AB17">
        <v>4.86833956235487</v>
      </c>
      <c r="AC17">
        <v>9.7321719240873303</v>
      </c>
      <c r="AJ17">
        <v>0.42645821512955101</v>
      </c>
      <c r="AK17">
        <v>1.2644985591703101E-2</v>
      </c>
      <c r="AL17">
        <v>0.56089679927874503</v>
      </c>
    </row>
    <row r="18" spans="1:38" x14ac:dyDescent="0.2">
      <c r="A18">
        <v>35</v>
      </c>
      <c r="B18">
        <v>742</v>
      </c>
      <c r="C18">
        <v>250</v>
      </c>
      <c r="D18">
        <v>0.318396788651924</v>
      </c>
      <c r="E18">
        <v>17.181473413759999</v>
      </c>
      <c r="F18">
        <v>2.5688792673661802</v>
      </c>
      <c r="G18">
        <v>-277.40263380712952</v>
      </c>
      <c r="H18">
        <v>-240.97691782912946</v>
      </c>
      <c r="I18">
        <v>35.882102130719602</v>
      </c>
      <c r="J18">
        <v>21.118231545231701</v>
      </c>
      <c r="K18">
        <v>6.6883148741263199</v>
      </c>
      <c r="L18">
        <v>3.2256321910794032E-5</v>
      </c>
      <c r="M18">
        <v>1.8216518536533756E-6</v>
      </c>
      <c r="N18" s="1">
        <v>-3.9869601187873101E-7</v>
      </c>
      <c r="O18" s="1">
        <v>5.8353503811632096E-11</v>
      </c>
      <c r="P18" s="1">
        <v>1.2972471067124099E-9</v>
      </c>
      <c r="Q18">
        <v>65.652373512818698</v>
      </c>
      <c r="S18">
        <v>21.008560815466801</v>
      </c>
      <c r="AA18">
        <v>2.0131939494415798</v>
      </c>
      <c r="AB18">
        <v>9.0443905673665697</v>
      </c>
      <c r="AC18">
        <v>2.2814811549062801</v>
      </c>
      <c r="AJ18">
        <v>0.77581452649271998</v>
      </c>
      <c r="AK18">
        <v>9.54278206300372E-2</v>
      </c>
      <c r="AL18">
        <v>0.128757652877241</v>
      </c>
    </row>
    <row r="19" spans="1:38" x14ac:dyDescent="0.2">
      <c r="A19">
        <v>36</v>
      </c>
      <c r="B19">
        <v>740</v>
      </c>
      <c r="C19">
        <v>250</v>
      </c>
      <c r="D19">
        <v>0.31691309282929903</v>
      </c>
      <c r="E19">
        <v>38.867191084333598</v>
      </c>
      <c r="F19">
        <v>2.5253914608021102</v>
      </c>
      <c r="G19">
        <v>-613.17298845244716</v>
      </c>
      <c r="H19">
        <v>-532.25233377466213</v>
      </c>
      <c r="I19">
        <v>79.870359451004205</v>
      </c>
      <c r="J19">
        <v>46.453460154244198</v>
      </c>
      <c r="K19">
        <v>15.3905609041652</v>
      </c>
      <c r="L19">
        <v>2.911182402516748E-5</v>
      </c>
      <c r="M19">
        <v>1.7991401114963515E-6</v>
      </c>
      <c r="N19" s="1">
        <v>-4.69132655980699E-7</v>
      </c>
      <c r="O19" s="1">
        <v>1.45172228487083E-10</v>
      </c>
      <c r="P19" s="1">
        <v>1.66514813981189E-9</v>
      </c>
      <c r="Q19">
        <v>66.121544860642103</v>
      </c>
      <c r="S19">
        <v>19.010740169767502</v>
      </c>
      <c r="AA19">
        <v>0.255496740661042</v>
      </c>
      <c r="AB19">
        <v>4.85236720292479</v>
      </c>
      <c r="AC19">
        <v>9.7598510260045401</v>
      </c>
      <c r="AJ19">
        <v>0.425093547073921</v>
      </c>
      <c r="AK19">
        <v>1.2368784084745401E-2</v>
      </c>
      <c r="AL19">
        <v>0.56253766884133305</v>
      </c>
    </row>
    <row r="20" spans="1:38" x14ac:dyDescent="0.2">
      <c r="A20">
        <v>36</v>
      </c>
      <c r="B20">
        <v>740</v>
      </c>
      <c r="C20">
        <v>250</v>
      </c>
      <c r="D20">
        <v>0.31691309282929903</v>
      </c>
      <c r="E20">
        <v>19.8737354527936</v>
      </c>
      <c r="F20">
        <v>2.5689576704819501</v>
      </c>
      <c r="G20">
        <v>-320.79747560371464</v>
      </c>
      <c r="H20">
        <v>-278.79421662926359</v>
      </c>
      <c r="I20">
        <v>41.458085154667103</v>
      </c>
      <c r="J20">
        <v>24.458506746749599</v>
      </c>
      <c r="K20">
        <v>7.7361085708606101</v>
      </c>
      <c r="L20">
        <v>3.2401310799496216E-5</v>
      </c>
      <c r="M20">
        <v>1.8227031239253889E-6</v>
      </c>
      <c r="N20" s="1">
        <v>-4.9256310359506695E-7</v>
      </c>
      <c r="O20" s="1">
        <v>6.7253403269012597E-11</v>
      </c>
      <c r="P20" s="1">
        <v>1.58989070834172E-9</v>
      </c>
      <c r="Q20">
        <v>65.672511464214494</v>
      </c>
      <c r="S20">
        <v>20.997743402387201</v>
      </c>
      <c r="AA20">
        <v>1.9995705572346301</v>
      </c>
      <c r="AB20">
        <v>9.0609076575505991</v>
      </c>
      <c r="AC20">
        <v>2.26926691861292</v>
      </c>
      <c r="AJ20">
        <v>0.777167824981016</v>
      </c>
      <c r="AK20">
        <v>9.4774310081795293E-2</v>
      </c>
      <c r="AL20">
        <v>0.12805786493718799</v>
      </c>
    </row>
    <row r="21" spans="1:38" x14ac:dyDescent="0.2">
      <c r="A21">
        <v>41</v>
      </c>
      <c r="B21">
        <v>750</v>
      </c>
      <c r="C21">
        <v>225</v>
      </c>
      <c r="D21">
        <v>0.35115134633240402</v>
      </c>
      <c r="E21">
        <v>1.1760881121162301</v>
      </c>
      <c r="F21">
        <v>2.5669466256563598</v>
      </c>
      <c r="G21">
        <v>-19.018990598275465</v>
      </c>
      <c r="H21">
        <v>-16.494003772955882</v>
      </c>
      <c r="I21">
        <v>2.4678559598490701</v>
      </c>
      <c r="J21">
        <v>1.43935416027527</v>
      </c>
      <c r="K21">
        <v>0.45816617313400798</v>
      </c>
      <c r="L21">
        <v>3.1772727387202181E-5</v>
      </c>
      <c r="M21">
        <v>1.821250593913383E-6</v>
      </c>
      <c r="N21" s="1">
        <v>-2.0711449762679802E-8</v>
      </c>
      <c r="O21" s="1">
        <v>4.0500719789213E-12</v>
      </c>
      <c r="P21" s="1">
        <v>6.9968600653012705E-11</v>
      </c>
      <c r="Q21">
        <v>65.657838644914094</v>
      </c>
      <c r="S21">
        <v>21.002516668183301</v>
      </c>
      <c r="AA21">
        <v>2.0069322521841899</v>
      </c>
      <c r="AB21">
        <v>9.0407238033160109</v>
      </c>
      <c r="AC21">
        <v>2.2919886314023201</v>
      </c>
      <c r="AJ21">
        <v>0.77551422116436297</v>
      </c>
      <c r="AK21">
        <v>9.5132753532758102E-2</v>
      </c>
      <c r="AL21">
        <v>0.12935302530287801</v>
      </c>
    </row>
    <row r="22" spans="1:38" x14ac:dyDescent="0.2">
      <c r="A22">
        <v>42</v>
      </c>
      <c r="B22">
        <v>748</v>
      </c>
      <c r="C22">
        <v>225</v>
      </c>
      <c r="D22">
        <v>0.34974342652891699</v>
      </c>
      <c r="E22">
        <v>8.1491412982018208</v>
      </c>
      <c r="F22">
        <v>2.5663455631067298</v>
      </c>
      <c r="G22">
        <v>-131.71147478418212</v>
      </c>
      <c r="H22">
        <v>-114.27027523875668</v>
      </c>
      <c r="I22">
        <v>17.079958424742099</v>
      </c>
      <c r="J22">
        <v>9.9791879340972294</v>
      </c>
      <c r="K22">
        <v>3.1753873739188601</v>
      </c>
      <c r="L22">
        <v>3.1843987689334799E-5</v>
      </c>
      <c r="M22">
        <v>1.821877002118345E-6</v>
      </c>
      <c r="N22" s="1">
        <v>-1.5201818951053699E-7</v>
      </c>
      <c r="O22" s="1">
        <v>2.8026183428098501E-11</v>
      </c>
      <c r="P22" s="1">
        <v>5.0911269822932296E-10</v>
      </c>
      <c r="Q22">
        <v>65.685226410155295</v>
      </c>
      <c r="S22">
        <v>20.9633870987</v>
      </c>
      <c r="AA22">
        <v>1.9682593961014101</v>
      </c>
      <c r="AB22">
        <v>8.9991727160912092</v>
      </c>
      <c r="AC22">
        <v>2.3839543789519801</v>
      </c>
      <c r="AJ22">
        <v>0.77210991240434701</v>
      </c>
      <c r="AK22">
        <v>9.3318911544474498E-2</v>
      </c>
      <c r="AL22">
        <v>0.13457117605117699</v>
      </c>
    </row>
    <row r="23" spans="1:38" x14ac:dyDescent="0.2">
      <c r="A23">
        <v>42</v>
      </c>
      <c r="B23">
        <v>748</v>
      </c>
      <c r="C23">
        <v>225</v>
      </c>
      <c r="D23">
        <v>0.34974342652891699</v>
      </c>
      <c r="E23">
        <v>14.932791357631</v>
      </c>
      <c r="F23">
        <v>2.5244042428204101</v>
      </c>
      <c r="G23">
        <v>-236.16978131746944</v>
      </c>
      <c r="H23">
        <v>-204.65702554003309</v>
      </c>
      <c r="I23">
        <v>30.860065394345899</v>
      </c>
      <c r="J23">
        <v>17.827874978607099</v>
      </c>
      <c r="K23">
        <v>5.9153724686135298</v>
      </c>
      <c r="L23">
        <v>2.8991267785329129E-5</v>
      </c>
      <c r="M23">
        <v>1.8010740209780151E-6</v>
      </c>
      <c r="N23" s="1">
        <v>-1.3862425785054601E-7</v>
      </c>
      <c r="O23" s="1">
        <v>5.6028965381183202E-11</v>
      </c>
      <c r="P23" s="1">
        <v>5.2104677411811802E-10</v>
      </c>
      <c r="Q23">
        <v>66.152016895426897</v>
      </c>
      <c r="S23">
        <v>19.0511297239238</v>
      </c>
      <c r="AA23">
        <v>0.28170830365837901</v>
      </c>
      <c r="AB23">
        <v>5.02615896581875</v>
      </c>
      <c r="AC23">
        <v>9.4889861111720393</v>
      </c>
      <c r="AJ23">
        <v>0.43993065846363499</v>
      </c>
      <c r="AK23">
        <v>1.3625688220805499E-2</v>
      </c>
      <c r="AL23">
        <v>0.546443653315559</v>
      </c>
    </row>
    <row r="24" spans="1:38" x14ac:dyDescent="0.2">
      <c r="A24">
        <v>43</v>
      </c>
      <c r="B24">
        <v>746</v>
      </c>
      <c r="C24">
        <v>225</v>
      </c>
      <c r="D24">
        <v>0.34832998086640898</v>
      </c>
      <c r="E24">
        <v>17.4830546494861</v>
      </c>
      <c r="F24">
        <v>2.5670304943051101</v>
      </c>
      <c r="G24">
        <v>-282.53954097870883</v>
      </c>
      <c r="H24">
        <v>-245.23817555222854</v>
      </c>
      <c r="I24">
        <v>36.6004664931367</v>
      </c>
      <c r="J24">
        <v>21.430435985373499</v>
      </c>
      <c r="K24">
        <v>6.8106143219848096</v>
      </c>
      <c r="L24">
        <v>3.1945024115610144E-5</v>
      </c>
      <c r="M24">
        <v>1.8218032062408867E-6</v>
      </c>
      <c r="N24" s="1">
        <v>-3.4789621437774902E-7</v>
      </c>
      <c r="O24" s="1">
        <v>5.9891508132784697E-11</v>
      </c>
      <c r="P24" s="1">
        <v>1.1545469147886001E-9</v>
      </c>
      <c r="Q24">
        <v>65.653671491641106</v>
      </c>
      <c r="S24">
        <v>20.994816161522898</v>
      </c>
      <c r="AA24">
        <v>2.0015516035901402</v>
      </c>
      <c r="AB24">
        <v>9.0112496463367897</v>
      </c>
      <c r="AC24">
        <v>2.3387110969089</v>
      </c>
      <c r="AJ24">
        <v>0.77309916314332505</v>
      </c>
      <c r="AK24">
        <v>9.4891598687217596E-2</v>
      </c>
      <c r="AL24">
        <v>0.132009238169457</v>
      </c>
    </row>
    <row r="25" spans="1:38" x14ac:dyDescent="0.2">
      <c r="A25">
        <v>43</v>
      </c>
      <c r="B25">
        <v>746</v>
      </c>
      <c r="C25">
        <v>225</v>
      </c>
      <c r="D25">
        <v>0.34832998086640898</v>
      </c>
      <c r="E25">
        <v>35.582581259483298</v>
      </c>
      <c r="F25">
        <v>2.52436525959568</v>
      </c>
      <c r="G25">
        <v>-562.47760284354013</v>
      </c>
      <c r="H25">
        <v>-487.63985607716131</v>
      </c>
      <c r="I25">
        <v>73.431532911130603</v>
      </c>
      <c r="J25">
        <v>42.486206815853798</v>
      </c>
      <c r="K25">
        <v>14.0956547885555</v>
      </c>
      <c r="L25">
        <v>2.9001053612823537E-5</v>
      </c>
      <c r="M25">
        <v>1.8008513188487692E-6</v>
      </c>
      <c r="N25" s="1">
        <v>-3.4987047690089299E-7</v>
      </c>
      <c r="O25" s="1">
        <v>1.3340347208966099E-10</v>
      </c>
      <c r="P25" s="1">
        <v>1.2973392254520599E-9</v>
      </c>
      <c r="Q25">
        <v>66.140622659215495</v>
      </c>
      <c r="S25">
        <v>19.041361058970001</v>
      </c>
      <c r="AA25">
        <v>0.27630774429907401</v>
      </c>
      <c r="AB25">
        <v>4.9751576961667396</v>
      </c>
      <c r="AC25">
        <v>9.5665508413485298</v>
      </c>
      <c r="AJ25">
        <v>0.43557922038577701</v>
      </c>
      <c r="AK25">
        <v>1.3367929607042099E-2</v>
      </c>
      <c r="AL25">
        <v>0.55105285000717996</v>
      </c>
    </row>
    <row r="26" spans="1:38" x14ac:dyDescent="0.2">
      <c r="A26">
        <v>44</v>
      </c>
      <c r="B26">
        <v>744</v>
      </c>
      <c r="C26">
        <v>225</v>
      </c>
      <c r="D26">
        <v>0.34691097674876298</v>
      </c>
      <c r="E26">
        <v>19.450045318543999</v>
      </c>
      <c r="F26">
        <v>2.5673691447587599</v>
      </c>
      <c r="G26">
        <v>-314.27112620798476</v>
      </c>
      <c r="H26">
        <v>-272.90156860837408</v>
      </c>
      <c r="I26">
        <v>40.672032246581701</v>
      </c>
      <c r="J26">
        <v>23.867131431420798</v>
      </c>
      <c r="K26">
        <v>7.5758662747236496</v>
      </c>
      <c r="L26">
        <v>3.2063271373098053E-5</v>
      </c>
      <c r="M26">
        <v>1.8223386388487011E-6</v>
      </c>
      <c r="N26" s="1">
        <v>-4.1307922701838098E-7</v>
      </c>
      <c r="O26" s="1">
        <v>6.6395682440300705E-11</v>
      </c>
      <c r="P26" s="1">
        <v>1.3588654398278499E-9</v>
      </c>
      <c r="Q26">
        <v>65.651234779089904</v>
      </c>
      <c r="S26">
        <v>21.0023380335758</v>
      </c>
      <c r="AA26">
        <v>2.0083257986133898</v>
      </c>
      <c r="AB26">
        <v>9.0255391285641604</v>
      </c>
      <c r="AC26">
        <v>2.3125622601567302</v>
      </c>
      <c r="AJ26">
        <v>0.77427003610951195</v>
      </c>
      <c r="AK26">
        <v>9.5205986345711299E-2</v>
      </c>
      <c r="AL26">
        <v>0.13052397754477599</v>
      </c>
    </row>
    <row r="27" spans="1:38" x14ac:dyDescent="0.2">
      <c r="A27">
        <v>44</v>
      </c>
      <c r="B27">
        <v>744</v>
      </c>
      <c r="C27">
        <v>225</v>
      </c>
      <c r="D27">
        <v>0.34691097674876298</v>
      </c>
      <c r="E27">
        <v>39.509645402270003</v>
      </c>
      <c r="F27">
        <v>2.5243653075490902</v>
      </c>
      <c r="G27">
        <v>-624.29951656466892</v>
      </c>
      <c r="H27">
        <v>-541.47369637765325</v>
      </c>
      <c r="I27">
        <v>81.429307562321895</v>
      </c>
      <c r="J27">
        <v>47.188394354534701</v>
      </c>
      <c r="K27">
        <v>15.6513184855284</v>
      </c>
      <c r="L27">
        <v>2.9030129550724442E-5</v>
      </c>
      <c r="M27">
        <v>1.8008851742307356E-6</v>
      </c>
      <c r="N27" s="1">
        <v>-4.1358889581829799E-7</v>
      </c>
      <c r="O27" s="1">
        <v>1.4796451215613101E-10</v>
      </c>
      <c r="P27" s="1">
        <v>1.51216871017178E-9</v>
      </c>
      <c r="Q27">
        <v>66.136326805285606</v>
      </c>
      <c r="S27">
        <v>19.033283982506401</v>
      </c>
      <c r="AA27">
        <v>0.27064645230037399</v>
      </c>
      <c r="AB27">
        <v>4.9444095099775103</v>
      </c>
      <c r="AC27">
        <v>9.6153332499299697</v>
      </c>
      <c r="AJ27">
        <v>0.43295471446314199</v>
      </c>
      <c r="AK27">
        <v>1.30960754634733E-2</v>
      </c>
      <c r="AL27">
        <v>0.55394921007338305</v>
      </c>
    </row>
    <row r="28" spans="1:38" x14ac:dyDescent="0.2">
      <c r="A28">
        <v>46</v>
      </c>
      <c r="B28">
        <v>756</v>
      </c>
      <c r="C28">
        <v>200</v>
      </c>
      <c r="D28">
        <v>0.38206335325268598</v>
      </c>
      <c r="E28">
        <v>1.20786862472039</v>
      </c>
      <c r="F28">
        <v>2.5660396044162002</v>
      </c>
      <c r="G28">
        <v>-19.567335390719062</v>
      </c>
      <c r="H28">
        <v>-16.949431829905787</v>
      </c>
      <c r="I28">
        <v>2.54375315630692</v>
      </c>
      <c r="J28">
        <v>1.47516891744361</v>
      </c>
      <c r="K28">
        <v>0.47071316539371699</v>
      </c>
      <c r="L28">
        <v>3.1526708159016503E-5</v>
      </c>
      <c r="M28">
        <v>1.8220470493454721E-6</v>
      </c>
      <c r="N28" s="1">
        <v>-1.7421367023408899E-8</v>
      </c>
      <c r="O28" s="1">
        <v>4.1877199147465303E-12</v>
      </c>
      <c r="P28" s="1">
        <v>6.0785267983386801E-11</v>
      </c>
      <c r="Q28">
        <v>65.657644945314999</v>
      </c>
      <c r="S28">
        <v>21.031068642433699</v>
      </c>
      <c r="AA28">
        <v>2.0305331204430002</v>
      </c>
      <c r="AB28">
        <v>9.1151448666524804</v>
      </c>
      <c r="AC28">
        <v>2.1656084251557299</v>
      </c>
      <c r="AJ28">
        <v>0.781608830608988</v>
      </c>
      <c r="AK28">
        <v>9.6215878645983993E-2</v>
      </c>
      <c r="AL28">
        <v>0.122175290745027</v>
      </c>
    </row>
    <row r="29" spans="1:38" x14ac:dyDescent="0.2">
      <c r="A29">
        <v>47</v>
      </c>
      <c r="B29">
        <v>754</v>
      </c>
      <c r="C29">
        <v>200</v>
      </c>
      <c r="D29">
        <v>0.38072384753930699</v>
      </c>
      <c r="E29">
        <v>5.0522103653601302</v>
      </c>
      <c r="F29">
        <v>2.56209186034806</v>
      </c>
      <c r="G29">
        <v>-81.714927995766843</v>
      </c>
      <c r="H29">
        <v>-70.798569348577075</v>
      </c>
      <c r="I29">
        <v>10.627813510382801</v>
      </c>
      <c r="J29">
        <v>6.1683370157409199</v>
      </c>
      <c r="K29">
        <v>1.9719083626743099</v>
      </c>
      <c r="L29">
        <v>3.1543432640931035E-5</v>
      </c>
      <c r="M29">
        <v>1.8249237725099544E-6</v>
      </c>
      <c r="N29" s="1">
        <v>-7.5939867865284096E-8</v>
      </c>
      <c r="O29" s="1">
        <v>1.7607982992668899E-11</v>
      </c>
      <c r="P29" s="1">
        <v>2.6290588544137199E-10</v>
      </c>
      <c r="Q29">
        <v>65.852148071785294</v>
      </c>
      <c r="S29">
        <v>20.803975105577901</v>
      </c>
      <c r="AA29">
        <v>1.7977939817514099</v>
      </c>
      <c r="AB29">
        <v>8.9532294241091392</v>
      </c>
      <c r="AC29">
        <v>2.5928534167761499</v>
      </c>
      <c r="AJ29">
        <v>0.76834621043029705</v>
      </c>
      <c r="AK29">
        <v>8.5256588955013493E-2</v>
      </c>
      <c r="AL29">
        <v>0.146397200614688</v>
      </c>
    </row>
    <row r="30" spans="1:38" x14ac:dyDescent="0.2">
      <c r="A30">
        <v>47</v>
      </c>
      <c r="B30">
        <v>754</v>
      </c>
      <c r="C30">
        <v>200</v>
      </c>
      <c r="D30">
        <v>0.38072384753930699</v>
      </c>
      <c r="E30">
        <v>3.4955340516356799</v>
      </c>
      <c r="F30">
        <v>2.5237476713292901</v>
      </c>
      <c r="G30">
        <v>-55.428157868884206</v>
      </c>
      <c r="H30">
        <v>-47.971805464088959</v>
      </c>
      <c r="I30">
        <v>7.2592634033931196</v>
      </c>
      <c r="J30">
        <v>4.1744334084694099</v>
      </c>
      <c r="K30">
        <v>1.3850568705208599</v>
      </c>
      <c r="L30">
        <v>2.9027420830025834E-5</v>
      </c>
      <c r="M30">
        <v>1.8045958529846388E-6</v>
      </c>
      <c r="N30" s="1">
        <v>-2.7386506275892799E-8</v>
      </c>
      <c r="O30" s="1">
        <v>1.31307374550429E-11</v>
      </c>
      <c r="P30" s="1">
        <v>1.07492469077975E-10</v>
      </c>
      <c r="Q30">
        <v>66.218046857976603</v>
      </c>
      <c r="S30">
        <v>19.095966476502699</v>
      </c>
      <c r="AA30">
        <v>0.30329189455397698</v>
      </c>
      <c r="AB30">
        <v>5.2908485730365697</v>
      </c>
      <c r="AC30">
        <v>9.0918461979300496</v>
      </c>
      <c r="AJ30">
        <v>0.46247800021191598</v>
      </c>
      <c r="AK30">
        <v>1.46499904236435E-2</v>
      </c>
      <c r="AL30">
        <v>0.52287200936443901</v>
      </c>
    </row>
    <row r="31" spans="1:38" x14ac:dyDescent="0.2">
      <c r="A31">
        <v>48</v>
      </c>
      <c r="B31">
        <v>752</v>
      </c>
      <c r="C31">
        <v>200</v>
      </c>
      <c r="D31">
        <v>0.37937911525142798</v>
      </c>
      <c r="E31">
        <v>10.410215886600801</v>
      </c>
      <c r="F31">
        <v>2.5637811190811099</v>
      </c>
      <c r="G31">
        <v>-168.39187721707253</v>
      </c>
      <c r="H31">
        <v>-145.96941428708098</v>
      </c>
      <c r="I31">
        <v>21.872372755198299</v>
      </c>
      <c r="J31">
        <v>12.7203001125502</v>
      </c>
      <c r="K31">
        <v>4.0604932336548298</v>
      </c>
      <c r="L31">
        <v>3.1603579094658066E-5</v>
      </c>
      <c r="M31">
        <v>1.8233212355114533E-6</v>
      </c>
      <c r="N31" s="1">
        <v>-1.6682701969631601E-7</v>
      </c>
      <c r="O31" s="1">
        <v>3.6098639621869802E-11</v>
      </c>
      <c r="P31" s="1">
        <v>5.71562731048822E-10</v>
      </c>
      <c r="Q31">
        <v>65.7441053603618</v>
      </c>
      <c r="S31">
        <v>20.901188761857899</v>
      </c>
      <c r="AA31">
        <v>1.9032065332427901</v>
      </c>
      <c r="AB31">
        <v>8.9673202732962398</v>
      </c>
      <c r="AC31">
        <v>2.4841790712411398</v>
      </c>
      <c r="AJ31">
        <v>0.76949984944568695</v>
      </c>
      <c r="AK31">
        <v>9.0249035292287699E-2</v>
      </c>
      <c r="AL31">
        <v>0.14025111526202499</v>
      </c>
    </row>
    <row r="32" spans="1:38" x14ac:dyDescent="0.2">
      <c r="A32">
        <v>48</v>
      </c>
      <c r="B32">
        <v>752</v>
      </c>
      <c r="C32">
        <v>200</v>
      </c>
      <c r="D32">
        <v>0.37937911525142798</v>
      </c>
      <c r="E32">
        <v>19.061750673494199</v>
      </c>
      <c r="F32">
        <v>2.52354220141497</v>
      </c>
      <c r="G32">
        <v>-302.02704365480685</v>
      </c>
      <c r="H32">
        <v>-261.51447212367873</v>
      </c>
      <c r="I32">
        <v>39.518676809372401</v>
      </c>
      <c r="J32">
        <v>22.7562746269058</v>
      </c>
      <c r="K32">
        <v>7.5535692102973702</v>
      </c>
      <c r="L32">
        <v>2.8981490408100599E-5</v>
      </c>
      <c r="M32">
        <v>1.8035850988701253E-6</v>
      </c>
      <c r="N32" s="1">
        <v>-1.5567740878577499E-7</v>
      </c>
      <c r="O32" s="1">
        <v>7.1609864212135106E-11</v>
      </c>
      <c r="P32" s="1">
        <v>6.0415009905009397E-10</v>
      </c>
      <c r="Q32">
        <v>66.185545397890806</v>
      </c>
      <c r="S32">
        <v>19.079995948632298</v>
      </c>
      <c r="AA32">
        <v>0.29769981692335801</v>
      </c>
      <c r="AB32">
        <v>5.1765519967713098</v>
      </c>
      <c r="AC32">
        <v>9.2602068397822208</v>
      </c>
      <c r="AJ32">
        <v>0.45274913025810598</v>
      </c>
      <c r="AK32">
        <v>1.43881978755623E-2</v>
      </c>
      <c r="AL32">
        <v>0.53286267186633096</v>
      </c>
    </row>
    <row r="33" spans="1:38" x14ac:dyDescent="0.2">
      <c r="A33">
        <v>49</v>
      </c>
      <c r="B33">
        <v>750</v>
      </c>
      <c r="C33">
        <v>200</v>
      </c>
      <c r="D33">
        <v>0.37802912573913899</v>
      </c>
      <c r="E33">
        <v>17.9573240417341</v>
      </c>
      <c r="F33">
        <v>2.5653950816995299</v>
      </c>
      <c r="G33">
        <v>-290.49037018574631</v>
      </c>
      <c r="H33">
        <v>-251.93519903979418</v>
      </c>
      <c r="I33">
        <v>37.682814001810101</v>
      </c>
      <c r="J33">
        <v>21.960370324521602</v>
      </c>
      <c r="K33">
        <v>6.9998278899940898</v>
      </c>
      <c r="L33">
        <v>3.166530266312706E-5</v>
      </c>
      <c r="M33">
        <v>1.8216970179962053E-6</v>
      </c>
      <c r="N33" s="1">
        <v>-3.0666438641106397E-7</v>
      </c>
      <c r="O33" s="1">
        <v>6.19510581649E-11</v>
      </c>
      <c r="P33" s="1">
        <v>1.0402835560520301E-9</v>
      </c>
      <c r="Q33">
        <v>65.636937726296196</v>
      </c>
      <c r="S33">
        <v>20.995637670591002</v>
      </c>
      <c r="AA33">
        <v>2.0061339523609401</v>
      </c>
      <c r="AB33">
        <v>8.9761130403196994</v>
      </c>
      <c r="AC33">
        <v>2.3851776104320601</v>
      </c>
      <c r="AJ33">
        <v>0.77021902803556996</v>
      </c>
      <c r="AK33">
        <v>9.5125433461803202E-2</v>
      </c>
      <c r="AL33">
        <v>0.13465553850262599</v>
      </c>
    </row>
    <row r="34" spans="1:38" x14ac:dyDescent="0.2">
      <c r="A34">
        <v>49</v>
      </c>
      <c r="B34">
        <v>750</v>
      </c>
      <c r="C34">
        <v>200</v>
      </c>
      <c r="D34">
        <v>0.37802912573913899</v>
      </c>
      <c r="E34">
        <v>38.098271920729502</v>
      </c>
      <c r="F34">
        <v>2.5233758856167201</v>
      </c>
      <c r="G34">
        <v>-603.20996456590342</v>
      </c>
      <c r="H34">
        <v>-522.53190506716567</v>
      </c>
      <c r="I34">
        <v>78.852621315288701</v>
      </c>
      <c r="J34">
        <v>45.469595444898196</v>
      </c>
      <c r="K34">
        <v>15.098135849633</v>
      </c>
      <c r="L34">
        <v>2.8941946548097968E-5</v>
      </c>
      <c r="M34">
        <v>1.802666903089712E-6</v>
      </c>
      <c r="N34" s="1">
        <v>-3.2489567369818001E-7</v>
      </c>
      <c r="O34" s="1">
        <v>1.4311997714280399E-10</v>
      </c>
      <c r="P34" s="1">
        <v>1.2465068815021699E-9</v>
      </c>
      <c r="Q34">
        <v>66.155034150327097</v>
      </c>
      <c r="S34">
        <v>19.065108101913101</v>
      </c>
      <c r="AA34">
        <v>0.29253657344417999</v>
      </c>
      <c r="AB34">
        <v>5.0695288917971704</v>
      </c>
      <c r="AC34">
        <v>9.4177922825183007</v>
      </c>
      <c r="AJ34">
        <v>0.44362915852340601</v>
      </c>
      <c r="AK34">
        <v>1.41463188080071E-2</v>
      </c>
      <c r="AL34">
        <v>0.54222452266858601</v>
      </c>
    </row>
    <row r="35" spans="1:38" x14ac:dyDescent="0.2">
      <c r="A35">
        <v>50</v>
      </c>
      <c r="B35">
        <v>748</v>
      </c>
      <c r="C35">
        <v>200</v>
      </c>
      <c r="D35">
        <v>0.37667384811242399</v>
      </c>
      <c r="E35">
        <v>19.0777120668652</v>
      </c>
      <c r="F35">
        <v>2.5658290035603</v>
      </c>
      <c r="G35">
        <v>-308.56476928280779</v>
      </c>
      <c r="H35">
        <v>-267.73053623453791</v>
      </c>
      <c r="I35">
        <v>39.9884767646965</v>
      </c>
      <c r="J35">
        <v>23.3517688848342</v>
      </c>
      <c r="K35">
        <v>7.4353014329455798</v>
      </c>
      <c r="L35">
        <v>3.1765297554615528E-5</v>
      </c>
      <c r="M35">
        <v>1.8220246428815912E-6</v>
      </c>
      <c r="N35" s="1">
        <v>-3.4752950558730098E-7</v>
      </c>
      <c r="O35" s="1">
        <v>6.5605309134989704E-11</v>
      </c>
      <c r="P35" s="1">
        <v>1.1675158247282001E-9</v>
      </c>
      <c r="Q35">
        <v>65.626467695574703</v>
      </c>
      <c r="S35">
        <v>21.009821892847199</v>
      </c>
      <c r="AA35">
        <v>2.02027911949147</v>
      </c>
      <c r="AB35">
        <v>8.9899669209569293</v>
      </c>
      <c r="AC35">
        <v>2.35346437112953</v>
      </c>
      <c r="AJ35">
        <v>0.77135448166174403</v>
      </c>
      <c r="AK35">
        <v>9.5789538081481607E-2</v>
      </c>
      <c r="AL35">
        <v>0.132855980256774</v>
      </c>
    </row>
    <row r="36" spans="1:38" x14ac:dyDescent="0.2">
      <c r="A36">
        <v>50</v>
      </c>
      <c r="B36">
        <v>748</v>
      </c>
      <c r="C36">
        <v>200</v>
      </c>
      <c r="D36">
        <v>0.37667384811242399</v>
      </c>
      <c r="E36">
        <v>40.4343520885594</v>
      </c>
      <c r="F36">
        <v>2.5233563357536801</v>
      </c>
      <c r="G36">
        <v>-639.91905179620846</v>
      </c>
      <c r="H36">
        <v>-554.57458212848155</v>
      </c>
      <c r="I36">
        <v>83.576819926286007</v>
      </c>
      <c r="J36">
        <v>48.266265846141003</v>
      </c>
      <c r="K36">
        <v>16.024035731949901</v>
      </c>
      <c r="L36">
        <v>2.8960633056046912E-5</v>
      </c>
      <c r="M36">
        <v>1.8026199528979009E-6</v>
      </c>
      <c r="N36" s="1">
        <v>-3.6663558944479499E-7</v>
      </c>
      <c r="O36" s="1">
        <v>1.5176658198261299E-10</v>
      </c>
      <c r="P36" s="1">
        <v>1.3853980233406899E-9</v>
      </c>
      <c r="Q36">
        <v>66.149138242706698</v>
      </c>
      <c r="S36">
        <v>19.056269001457</v>
      </c>
      <c r="AA36">
        <v>0.28661995450377498</v>
      </c>
      <c r="AB36">
        <v>5.0332173267837099</v>
      </c>
      <c r="AC36">
        <v>9.4747554745487701</v>
      </c>
      <c r="AJ36">
        <v>0.44053266178279099</v>
      </c>
      <c r="AK36">
        <v>1.3862758044494401E-2</v>
      </c>
      <c r="AL36">
        <v>0.54560458017271296</v>
      </c>
    </row>
    <row r="37" spans="1:38" x14ac:dyDescent="0.2">
      <c r="A37">
        <v>52</v>
      </c>
      <c r="B37">
        <v>766</v>
      </c>
      <c r="C37">
        <v>175</v>
      </c>
      <c r="D37">
        <v>0.41514747630275201</v>
      </c>
      <c r="E37">
        <v>6.8627879809279493E-2</v>
      </c>
      <c r="F37">
        <v>2.56613681542821</v>
      </c>
      <c r="G37">
        <v>-1.1145811158282775</v>
      </c>
      <c r="H37">
        <v>-0.96354057282220251</v>
      </c>
      <c r="I37">
        <v>0.14535008709625599</v>
      </c>
      <c r="J37">
        <v>8.3601090937563294E-2</v>
      </c>
      <c r="K37">
        <v>2.6743655831860801E-2</v>
      </c>
      <c r="L37">
        <v>3.1169952026560111E-5</v>
      </c>
      <c r="M37">
        <v>1.8200247433434547E-6</v>
      </c>
      <c r="N37" s="1">
        <v>-7.1800557758424905E-10</v>
      </c>
      <c r="O37" s="1">
        <v>2.3943857026431998E-13</v>
      </c>
      <c r="P37" s="1">
        <v>2.6677807902019699E-12</v>
      </c>
      <c r="Q37">
        <v>65.544676779263</v>
      </c>
      <c r="S37">
        <v>21.152186216290001</v>
      </c>
      <c r="AA37">
        <v>2.1568159361937602</v>
      </c>
      <c r="AB37">
        <v>9.1809268319399209</v>
      </c>
      <c r="AC37">
        <v>1.9653942363132</v>
      </c>
      <c r="AJ37">
        <v>0.78699042160566901</v>
      </c>
      <c r="AK37">
        <v>0.10216609509310499</v>
      </c>
      <c r="AL37">
        <v>0.110843483301224</v>
      </c>
    </row>
    <row r="38" spans="1:38" x14ac:dyDescent="0.2">
      <c r="A38">
        <v>53</v>
      </c>
      <c r="B38">
        <v>764</v>
      </c>
      <c r="C38">
        <v>175</v>
      </c>
      <c r="D38">
        <v>0.41388468398978101</v>
      </c>
      <c r="E38">
        <v>0.95299566851003104</v>
      </c>
      <c r="F38">
        <v>2.5650784962526898</v>
      </c>
      <c r="G38">
        <v>-15.469196280105454</v>
      </c>
      <c r="H38">
        <v>-13.377935062599063</v>
      </c>
      <c r="I38">
        <v>2.0163536783554799</v>
      </c>
      <c r="J38">
        <v>1.1613769403273899</v>
      </c>
      <c r="K38">
        <v>0.37152690254986498</v>
      </c>
      <c r="L38">
        <v>3.1248956815313567E-5</v>
      </c>
      <c r="M38">
        <v>1.8220827282717446E-6</v>
      </c>
      <c r="N38" s="1">
        <v>-1.05901478687964E-8</v>
      </c>
      <c r="O38" s="1">
        <v>3.3268104485254499E-12</v>
      </c>
      <c r="P38" s="1">
        <v>3.8835982898491303E-11</v>
      </c>
      <c r="Q38">
        <v>65.635657695271107</v>
      </c>
      <c r="S38">
        <v>21.0716974081793</v>
      </c>
      <c r="AA38">
        <v>2.0691826924012302</v>
      </c>
      <c r="AB38">
        <v>9.1726610503408299</v>
      </c>
      <c r="AC38">
        <v>2.0508011538074902</v>
      </c>
      <c r="AJ38">
        <v>0.78631560631322295</v>
      </c>
      <c r="AK38">
        <v>9.8019205303269796E-2</v>
      </c>
      <c r="AL38">
        <v>0.11566518838350701</v>
      </c>
    </row>
    <row r="39" spans="1:38" x14ac:dyDescent="0.2">
      <c r="A39">
        <v>54</v>
      </c>
      <c r="B39">
        <v>762</v>
      </c>
      <c r="C39">
        <v>175</v>
      </c>
      <c r="D39">
        <v>0.41261701202724399</v>
      </c>
      <c r="E39">
        <v>2.4087606386249898</v>
      </c>
      <c r="F39">
        <v>2.5632086757755399</v>
      </c>
      <c r="G39">
        <v>-39.067626344217977</v>
      </c>
      <c r="H39">
        <v>-33.797402112063516</v>
      </c>
      <c r="I39">
        <v>5.0912662243679296</v>
      </c>
      <c r="J39">
        <v>2.9361122428309998</v>
      </c>
      <c r="K39">
        <v>0.93974425936904205</v>
      </c>
      <c r="L39">
        <v>3.1316384078202202E-5</v>
      </c>
      <c r="M39">
        <v>1.8245399730705158E-6</v>
      </c>
      <c r="N39" s="1">
        <v>-2.8297785770905001E-8</v>
      </c>
      <c r="O39" s="1">
        <v>8.4246904088876501E-12</v>
      </c>
      <c r="P39" s="1">
        <v>1.02559734792912E-10</v>
      </c>
      <c r="Q39">
        <v>65.761417336311396</v>
      </c>
      <c r="S39">
        <v>20.947854452637198</v>
      </c>
      <c r="AA39">
        <v>1.93766669303627</v>
      </c>
      <c r="AB39">
        <v>9.1282392588006207</v>
      </c>
      <c r="AC39">
        <v>2.2248222592143301</v>
      </c>
      <c r="AJ39">
        <v>0.78268233942022603</v>
      </c>
      <c r="AK39">
        <v>9.1809661070247905E-2</v>
      </c>
      <c r="AL39">
        <v>0.12550799950952499</v>
      </c>
    </row>
    <row r="40" spans="1:38" x14ac:dyDescent="0.2">
      <c r="A40">
        <v>55</v>
      </c>
      <c r="B40">
        <v>760</v>
      </c>
      <c r="C40">
        <v>175</v>
      </c>
      <c r="D40">
        <v>0.41134443207665999</v>
      </c>
      <c r="E40">
        <v>5.6077260694808997</v>
      </c>
      <c r="F40">
        <v>2.5583532331747798</v>
      </c>
      <c r="G40">
        <v>-90.777439667522671</v>
      </c>
      <c r="H40">
        <v>-78.546346340199733</v>
      </c>
      <c r="I40">
        <v>11.8386423339524</v>
      </c>
      <c r="J40">
        <v>6.83065826886439</v>
      </c>
      <c r="K40">
        <v>2.1919279936656699</v>
      </c>
      <c r="L40">
        <v>3.1298400610995777E-5</v>
      </c>
      <c r="M40">
        <v>1.8275569747767371E-6</v>
      </c>
      <c r="N40" s="1">
        <v>-6.8133093666351501E-8</v>
      </c>
      <c r="O40" s="1">
        <v>1.9750976882786699E-11</v>
      </c>
      <c r="P40" s="1">
        <v>2.4505430124565699E-10</v>
      </c>
      <c r="Q40">
        <v>65.985670694565698</v>
      </c>
      <c r="S40">
        <v>20.677009545578802</v>
      </c>
      <c r="AA40">
        <v>1.6618904160741601</v>
      </c>
      <c r="AB40">
        <v>8.9179207075915503</v>
      </c>
      <c r="AC40">
        <v>2.7575086361897601</v>
      </c>
      <c r="AJ40">
        <v>0.76545259321576797</v>
      </c>
      <c r="AK40">
        <v>7.8825705381665001E-2</v>
      </c>
      <c r="AL40">
        <v>0.155721701402566</v>
      </c>
    </row>
    <row r="41" spans="1:38" x14ac:dyDescent="0.2">
      <c r="A41">
        <v>56</v>
      </c>
      <c r="B41">
        <v>758</v>
      </c>
      <c r="C41">
        <v>175</v>
      </c>
      <c r="D41">
        <v>0.41006691557969399</v>
      </c>
      <c r="E41">
        <v>16.312133141698499</v>
      </c>
      <c r="F41">
        <v>2.5228613925632</v>
      </c>
      <c r="G41">
        <v>-259.08566249456004</v>
      </c>
      <c r="H41">
        <v>-224.05285044162287</v>
      </c>
      <c r="I41">
        <v>33.974506185266101</v>
      </c>
      <c r="J41">
        <v>19.476612897153199</v>
      </c>
      <c r="K41">
        <v>6.4657270469883201</v>
      </c>
      <c r="L41">
        <v>2.8992908461475564E-5</v>
      </c>
      <c r="M41">
        <v>1.8065407380845796E-6</v>
      </c>
      <c r="N41" s="1">
        <v>-1.1105449522231199E-7</v>
      </c>
      <c r="O41" s="1">
        <v>6.1354472681123894E-11</v>
      </c>
      <c r="P41" s="1">
        <v>4.5328541724177799E-10</v>
      </c>
      <c r="Q41">
        <v>66.232716960977797</v>
      </c>
      <c r="S41">
        <v>19.123084961276099</v>
      </c>
      <c r="AA41">
        <v>0.32224185418096302</v>
      </c>
      <c r="AB41">
        <v>5.3946347444723699</v>
      </c>
      <c r="AC41">
        <v>8.9273214790925994</v>
      </c>
      <c r="AJ41">
        <v>0.47130234112507702</v>
      </c>
      <c r="AK41">
        <v>1.5557158987679801E-2</v>
      </c>
      <c r="AL41">
        <v>0.51314049988724197</v>
      </c>
    </row>
    <row r="42" spans="1:38" x14ac:dyDescent="0.2">
      <c r="A42">
        <v>56</v>
      </c>
      <c r="B42">
        <v>758</v>
      </c>
      <c r="C42">
        <v>175</v>
      </c>
      <c r="D42">
        <v>0.41006691557969399</v>
      </c>
      <c r="E42">
        <v>10.0613485022657</v>
      </c>
      <c r="F42">
        <v>2.5603384435243002</v>
      </c>
      <c r="G42">
        <v>-162.8879696949468</v>
      </c>
      <c r="H42">
        <v>-141.01272331869359</v>
      </c>
      <c r="I42">
        <v>21.214417278042198</v>
      </c>
      <c r="J42">
        <v>12.262234736640099</v>
      </c>
      <c r="K42">
        <v>3.9296947353633001</v>
      </c>
      <c r="L42">
        <v>3.1319158494127134E-5</v>
      </c>
      <c r="M42">
        <v>1.8250701200076128E-6</v>
      </c>
      <c r="N42" s="1">
        <v>-1.2993700476968801E-7</v>
      </c>
      <c r="O42" s="1">
        <v>3.5259420479623803E-11</v>
      </c>
      <c r="P42" s="1">
        <v>4.61968565808334E-10</v>
      </c>
      <c r="Q42">
        <v>65.841434255137699</v>
      </c>
      <c r="S42">
        <v>20.7979982372735</v>
      </c>
      <c r="AA42">
        <v>1.7953629268494899</v>
      </c>
      <c r="AB42">
        <v>8.9136851208560692</v>
      </c>
      <c r="AC42">
        <v>2.6515194598831102</v>
      </c>
      <c r="AJ42">
        <v>0.76510294960270997</v>
      </c>
      <c r="AK42">
        <v>8.5158034909790306E-2</v>
      </c>
      <c r="AL42">
        <v>0.14973901548749899</v>
      </c>
    </row>
    <row r="43" spans="1:38" x14ac:dyDescent="0.2">
      <c r="A43">
        <v>57</v>
      </c>
      <c r="B43">
        <v>756</v>
      </c>
      <c r="C43">
        <v>175</v>
      </c>
      <c r="D43">
        <v>0.40878443375601398</v>
      </c>
      <c r="E43">
        <v>36.167695358015102</v>
      </c>
      <c r="F43">
        <v>2.5224717069646498</v>
      </c>
      <c r="G43">
        <v>-573.84123907300318</v>
      </c>
      <c r="H43">
        <v>-496.47329697940205</v>
      </c>
      <c r="I43">
        <v>75.176545783997597</v>
      </c>
      <c r="J43">
        <v>43.1507262062268</v>
      </c>
      <c r="K43">
        <v>14.338196641870899</v>
      </c>
      <c r="L43">
        <v>2.8892027175835567E-5</v>
      </c>
      <c r="M43">
        <v>1.8047055733743022E-6</v>
      </c>
      <c r="N43" s="1">
        <v>-2.5213796197120702E-7</v>
      </c>
      <c r="O43" s="1">
        <v>1.3615694225667601E-10</v>
      </c>
      <c r="P43" s="1">
        <v>1.0213903042721E-9</v>
      </c>
      <c r="Q43">
        <v>66.177896382344301</v>
      </c>
      <c r="S43">
        <v>19.1000467972923</v>
      </c>
      <c r="AA43">
        <v>0.31602676558117199</v>
      </c>
      <c r="AB43">
        <v>5.2120724823003597</v>
      </c>
      <c r="AC43">
        <v>9.1939575724817395</v>
      </c>
      <c r="AJ43">
        <v>0.45577365759562399</v>
      </c>
      <c r="AK43">
        <v>1.5271209341391E-2</v>
      </c>
      <c r="AL43">
        <v>0.52895513306298303</v>
      </c>
    </row>
    <row r="44" spans="1:38" x14ac:dyDescent="0.2">
      <c r="A44">
        <v>57</v>
      </c>
      <c r="B44">
        <v>756</v>
      </c>
      <c r="C44">
        <v>175</v>
      </c>
      <c r="D44">
        <v>0.40878443375601398</v>
      </c>
      <c r="E44">
        <v>16.465366149751102</v>
      </c>
      <c r="F44">
        <v>2.56312392182934</v>
      </c>
      <c r="G44">
        <v>-266.65019078475757</v>
      </c>
      <c r="H44">
        <v>-230.96664259911569</v>
      </c>
      <c r="I44">
        <v>34.672835044106101</v>
      </c>
      <c r="J44">
        <v>20.081099639313599</v>
      </c>
      <c r="K44">
        <v>6.4239446284749198</v>
      </c>
      <c r="L44">
        <v>3.1341736128561722E-5</v>
      </c>
      <c r="M44">
        <v>1.8217403513132267E-6</v>
      </c>
      <c r="N44" s="1">
        <v>-2.26585893240185E-7</v>
      </c>
      <c r="O44" s="1">
        <v>5.7320823398141803E-11</v>
      </c>
      <c r="P44" s="1">
        <v>7.9643504303538705E-10</v>
      </c>
      <c r="Q44">
        <v>65.647221678292595</v>
      </c>
      <c r="S44">
        <v>20.968264102527701</v>
      </c>
      <c r="AA44">
        <v>1.98115085881804</v>
      </c>
      <c r="AB44">
        <v>8.9272669084555005</v>
      </c>
      <c r="AC44">
        <v>2.4760964519061002</v>
      </c>
      <c r="AJ44">
        <v>0.76621397386589296</v>
      </c>
      <c r="AK44">
        <v>9.3963651620184899E-2</v>
      </c>
      <c r="AL44">
        <v>0.13982237451392099</v>
      </c>
    </row>
    <row r="45" spans="1:38" x14ac:dyDescent="0.2">
      <c r="A45">
        <v>58</v>
      </c>
      <c r="B45">
        <v>754</v>
      </c>
      <c r="C45">
        <v>175</v>
      </c>
      <c r="D45">
        <v>0.40749695760112897</v>
      </c>
      <c r="E45">
        <v>40.541229707116997</v>
      </c>
      <c r="F45">
        <v>2.5223833760747798</v>
      </c>
      <c r="G45">
        <v>-642.88284457311738</v>
      </c>
      <c r="H45">
        <v>-556.4520633514984</v>
      </c>
      <c r="I45">
        <v>84.146211577295404</v>
      </c>
      <c r="J45">
        <v>48.3662901364441</v>
      </c>
      <c r="K45">
        <v>16.0725883668823</v>
      </c>
      <c r="L45">
        <v>2.8884514747315878E-5</v>
      </c>
      <c r="M45">
        <v>1.8043422850309114E-6</v>
      </c>
      <c r="N45" s="1">
        <v>-2.9865013738090199E-7</v>
      </c>
      <c r="O45" s="1">
        <v>1.52564103986954E-10</v>
      </c>
      <c r="P45" s="1">
        <v>1.19086315033993E-9</v>
      </c>
      <c r="Q45">
        <v>66.163964929825099</v>
      </c>
      <c r="S45">
        <v>19.088478034780501</v>
      </c>
      <c r="AA45">
        <v>0.30973313204448899</v>
      </c>
      <c r="AB45">
        <v>5.1506979723693602</v>
      </c>
      <c r="AC45">
        <v>9.2871259309805207</v>
      </c>
      <c r="AJ45">
        <v>0.45054675490380702</v>
      </c>
      <c r="AK45">
        <v>1.4971738606820099E-2</v>
      </c>
      <c r="AL45">
        <v>0.53448150648937198</v>
      </c>
    </row>
    <row r="46" spans="1:38" x14ac:dyDescent="0.2">
      <c r="A46">
        <v>58</v>
      </c>
      <c r="B46">
        <v>754</v>
      </c>
      <c r="C46">
        <v>175</v>
      </c>
      <c r="D46">
        <v>0.40749695760112897</v>
      </c>
      <c r="E46">
        <v>18.126468652979</v>
      </c>
      <c r="F46">
        <v>2.5639729490895702</v>
      </c>
      <c r="G46">
        <v>-293.52755898664867</v>
      </c>
      <c r="H46">
        <v>-254.36569734443083</v>
      </c>
      <c r="I46">
        <v>38.126721162651798</v>
      </c>
      <c r="J46">
        <v>22.122878075573801</v>
      </c>
      <c r="K46">
        <v>7.0696801459685696</v>
      </c>
      <c r="L46">
        <v>3.1412519295968833E-5</v>
      </c>
      <c r="M46">
        <v>1.8213392062677589E-6</v>
      </c>
      <c r="N46" s="1">
        <v>-2.6586964317217201E-7</v>
      </c>
      <c r="O46" s="1">
        <v>6.2889999189303496E-11</v>
      </c>
      <c r="P46" s="1">
        <v>9.2414931737290201E-10</v>
      </c>
      <c r="Q46">
        <v>65.602935507395301</v>
      </c>
      <c r="S46">
        <v>21.010706966700599</v>
      </c>
      <c r="AA46">
        <v>2.0265002288889402</v>
      </c>
      <c r="AB46">
        <v>8.9398470375186392</v>
      </c>
      <c r="AC46">
        <v>2.4200102594963999</v>
      </c>
      <c r="AJ46">
        <v>0.76724500525234396</v>
      </c>
      <c r="AK46">
        <v>9.6108418166921297E-2</v>
      </c>
      <c r="AL46">
        <v>0.13664657658073401</v>
      </c>
    </row>
    <row r="47" spans="1:38" x14ac:dyDescent="0.2">
      <c r="A47">
        <v>60</v>
      </c>
      <c r="B47">
        <v>776</v>
      </c>
      <c r="C47">
        <v>150</v>
      </c>
      <c r="D47">
        <v>0.447600915026452</v>
      </c>
      <c r="E47">
        <v>0.41130603295347701</v>
      </c>
      <c r="F47">
        <v>2.5639139130490198</v>
      </c>
      <c r="G47">
        <v>-6.692701349438666</v>
      </c>
      <c r="H47">
        <v>-5.7735524438480077</v>
      </c>
      <c r="I47">
        <v>0.87608912509236803</v>
      </c>
      <c r="J47">
        <v>0.50010382765649997</v>
      </c>
      <c r="K47">
        <v>0.16042115566366599</v>
      </c>
      <c r="L47">
        <v>3.0915936706318906E-5</v>
      </c>
      <c r="M47">
        <v>1.8207882931234207E-6</v>
      </c>
      <c r="N47" s="1">
        <v>-3.1038903672924198E-9</v>
      </c>
      <c r="O47" s="1">
        <v>1.44628216246818E-12</v>
      </c>
      <c r="P47" s="1">
        <v>1.24910344232065E-11</v>
      </c>
      <c r="Q47">
        <v>65.5783285578256</v>
      </c>
      <c r="S47">
        <v>21.129735309926499</v>
      </c>
      <c r="AA47">
        <v>2.13044152608667</v>
      </c>
      <c r="AB47">
        <v>9.19706004628169</v>
      </c>
      <c r="AC47">
        <v>1.96443455987935</v>
      </c>
      <c r="AJ47">
        <v>0.78831070022558003</v>
      </c>
      <c r="AK47">
        <v>0.10090874586554099</v>
      </c>
      <c r="AL47">
        <v>0.110780553908878</v>
      </c>
    </row>
    <row r="48" spans="1:38" x14ac:dyDescent="0.2">
      <c r="A48">
        <v>61</v>
      </c>
      <c r="B48">
        <v>774</v>
      </c>
      <c r="C48">
        <v>150</v>
      </c>
      <c r="D48">
        <v>0.44641216635630598</v>
      </c>
      <c r="E48">
        <v>1.2559001341468401</v>
      </c>
      <c r="F48">
        <v>2.56295632691891</v>
      </c>
      <c r="G48">
        <v>-20.425266828445302</v>
      </c>
      <c r="H48">
        <v>-17.626848559698011</v>
      </c>
      <c r="I48">
        <v>2.6724139509595499</v>
      </c>
      <c r="J48">
        <v>1.52740262251124</v>
      </c>
      <c r="K48">
        <v>0.49002010723165002</v>
      </c>
      <c r="L48">
        <v>3.0978081461023955E-5</v>
      </c>
      <c r="M48">
        <v>1.8226580423180507E-6</v>
      </c>
      <c r="N48" s="1">
        <v>-1.0071432806620699E-8</v>
      </c>
      <c r="O48" s="1">
        <v>4.4196216205119198E-12</v>
      </c>
      <c r="P48" s="1">
        <v>3.9867009901084799E-11</v>
      </c>
      <c r="Q48">
        <v>65.6617229698237</v>
      </c>
      <c r="S48">
        <v>21.056049374419501</v>
      </c>
      <c r="AA48">
        <v>2.0501909288446698</v>
      </c>
      <c r="AB48">
        <v>9.1897227622327602</v>
      </c>
      <c r="AC48">
        <v>2.0423139646792601</v>
      </c>
      <c r="AJ48">
        <v>0.78771182945032803</v>
      </c>
      <c r="AK48">
        <v>9.7111364370929903E-2</v>
      </c>
      <c r="AL48">
        <v>0.115176806178741</v>
      </c>
    </row>
    <row r="49" spans="1:38" x14ac:dyDescent="0.2">
      <c r="A49">
        <v>62</v>
      </c>
      <c r="B49">
        <v>772</v>
      </c>
      <c r="C49">
        <v>150</v>
      </c>
      <c r="D49">
        <v>0.44521886810505501</v>
      </c>
      <c r="E49">
        <v>2.1048529166678098</v>
      </c>
      <c r="F49">
        <v>2.5620172002948398</v>
      </c>
      <c r="G49">
        <v>-34.21429459530497</v>
      </c>
      <c r="H49">
        <v>-29.537947782071438</v>
      </c>
      <c r="I49">
        <v>4.4743307785806001</v>
      </c>
      <c r="J49">
        <v>2.56050981799268</v>
      </c>
      <c r="K49">
        <v>0.82156080623720296</v>
      </c>
      <c r="L49">
        <v>3.1038396847241846E-5</v>
      </c>
      <c r="M49">
        <v>1.8243958562927696E-6</v>
      </c>
      <c r="N49" s="1">
        <v>-1.79236161115154E-8</v>
      </c>
      <c r="O49" s="1">
        <v>7.4121548733521295E-12</v>
      </c>
      <c r="P49" s="1">
        <v>6.9847685365759994E-11</v>
      </c>
      <c r="Q49">
        <v>65.739969919608896</v>
      </c>
      <c r="S49">
        <v>20.9852164207939</v>
      </c>
      <c r="AA49">
        <v>1.9734951608040201</v>
      </c>
      <c r="AB49">
        <v>9.1783940975535092</v>
      </c>
      <c r="AC49">
        <v>2.1229244012395401</v>
      </c>
      <c r="AJ49">
        <v>0.78678629533386002</v>
      </c>
      <c r="AK49">
        <v>9.3483925659187506E-2</v>
      </c>
      <c r="AL49">
        <v>0.119729779006952</v>
      </c>
    </row>
    <row r="50" spans="1:38" x14ac:dyDescent="0.2">
      <c r="A50">
        <v>63</v>
      </c>
      <c r="B50">
        <v>770</v>
      </c>
      <c r="C50">
        <v>150</v>
      </c>
      <c r="D50">
        <v>0.44402099410439499</v>
      </c>
      <c r="E50">
        <v>2.9569883909354</v>
      </c>
      <c r="F50">
        <v>2.5610952360486801</v>
      </c>
      <c r="G50">
        <v>-48.040276713084232</v>
      </c>
      <c r="H50">
        <v>-41.490103795224314</v>
      </c>
      <c r="I50">
        <v>6.27922438562039</v>
      </c>
      <c r="J50">
        <v>3.5980228957106002</v>
      </c>
      <c r="K50">
        <v>1.15457963035279</v>
      </c>
      <c r="L50">
        <v>3.1097024583519875E-5</v>
      </c>
      <c r="M50">
        <v>1.8260056116747853E-6</v>
      </c>
      <c r="N50" s="1">
        <v>-2.6719505865336001E-8</v>
      </c>
      <c r="O50" s="1">
        <v>1.0418757748735501E-11</v>
      </c>
      <c r="P50" s="1">
        <v>1.02589812986145E-10</v>
      </c>
      <c r="Q50">
        <v>65.813222084211901</v>
      </c>
      <c r="S50">
        <v>20.917117306305801</v>
      </c>
      <c r="AA50">
        <v>1.90022030288334</v>
      </c>
      <c r="AB50">
        <v>9.1631019366278093</v>
      </c>
      <c r="AC50">
        <v>2.20633836997099</v>
      </c>
      <c r="AJ50">
        <v>0.78553627041488105</v>
      </c>
      <c r="AK50">
        <v>9.00198881056785E-2</v>
      </c>
      <c r="AL50">
        <v>0.124443841479439</v>
      </c>
    </row>
    <row r="51" spans="1:38" x14ac:dyDescent="0.2">
      <c r="A51">
        <v>64</v>
      </c>
      <c r="B51">
        <v>768</v>
      </c>
      <c r="C51">
        <v>150</v>
      </c>
      <c r="D51">
        <v>0.442818517984921</v>
      </c>
      <c r="E51">
        <v>5.5889165935267604</v>
      </c>
      <c r="F51">
        <v>2.5575613895468798</v>
      </c>
      <c r="G51">
        <v>-90.667949708802624</v>
      </c>
      <c r="H51">
        <v>-78.325270631949166</v>
      </c>
      <c r="I51">
        <v>11.854851920331701</v>
      </c>
      <c r="J51">
        <v>6.7975401150081902</v>
      </c>
      <c r="K51">
        <v>2.1852521766904398</v>
      </c>
      <c r="L51">
        <v>3.1100018155153539E-5</v>
      </c>
      <c r="M51">
        <v>1.8285163388937143E-6</v>
      </c>
      <c r="N51" s="1">
        <v>-5.2631525237956802E-8</v>
      </c>
      <c r="O51" s="1">
        <v>1.9789607901112199E-11</v>
      </c>
      <c r="P51" s="1">
        <v>1.9994809984302299E-10</v>
      </c>
      <c r="Q51">
        <v>65.985796744100796</v>
      </c>
      <c r="S51">
        <v>20.714856778496902</v>
      </c>
      <c r="AA51">
        <v>1.6930853588204799</v>
      </c>
      <c r="AB51">
        <v>9.0174230437930607</v>
      </c>
      <c r="AC51">
        <v>2.5888380747886002</v>
      </c>
      <c r="AJ51">
        <v>0.77361019689041099</v>
      </c>
      <c r="AK51">
        <v>8.0265586843488695E-2</v>
      </c>
      <c r="AL51">
        <v>0.14612421626609901</v>
      </c>
    </row>
    <row r="52" spans="1:38" x14ac:dyDescent="0.2">
      <c r="A52">
        <v>65</v>
      </c>
      <c r="B52">
        <v>766</v>
      </c>
      <c r="C52">
        <v>150</v>
      </c>
      <c r="D52">
        <v>0.44161141317423203</v>
      </c>
      <c r="E52">
        <v>9.0506355771186495</v>
      </c>
      <c r="F52">
        <v>2.5548390398428702</v>
      </c>
      <c r="G52">
        <v>-146.61187702613992</v>
      </c>
      <c r="H52">
        <v>-126.69024122158109</v>
      </c>
      <c r="I52">
        <v>19.171087720308702</v>
      </c>
      <c r="J52">
        <v>10.999795595182199</v>
      </c>
      <c r="K52">
        <v>3.5425462958618499</v>
      </c>
      <c r="L52">
        <v>3.1029199801171387E-5</v>
      </c>
      <c r="M52">
        <v>1.8283122199602322E-6</v>
      </c>
      <c r="N52" s="1">
        <v>-8.8040905086965204E-8</v>
      </c>
      <c r="O52" s="1">
        <v>3.2156902488006399E-11</v>
      </c>
      <c r="P52" s="1">
        <v>3.3171439997424402E-10</v>
      </c>
      <c r="Q52">
        <v>66.045067742564598</v>
      </c>
      <c r="S52">
        <v>20.585781908895399</v>
      </c>
      <c r="AA52">
        <v>1.5727671925732101</v>
      </c>
      <c r="AB52">
        <v>8.8111187343472999</v>
      </c>
      <c r="AC52">
        <v>2.9852644216194202</v>
      </c>
      <c r="AJ52">
        <v>0.75668844754832099</v>
      </c>
      <c r="AK52">
        <v>7.4638221373158703E-2</v>
      </c>
      <c r="AL52">
        <v>0.16867333107851901</v>
      </c>
    </row>
    <row r="53" spans="1:38" x14ac:dyDescent="0.2">
      <c r="A53">
        <v>65</v>
      </c>
      <c r="B53">
        <v>766</v>
      </c>
      <c r="C53">
        <v>150</v>
      </c>
      <c r="D53">
        <v>0.44161141317423203</v>
      </c>
      <c r="E53">
        <v>6.8192372079548704</v>
      </c>
      <c r="F53">
        <v>2.52275401913551</v>
      </c>
      <c r="G53">
        <v>-108.67599940724321</v>
      </c>
      <c r="H53">
        <v>-93.822608709636953</v>
      </c>
      <c r="I53">
        <v>14.293788863596401</v>
      </c>
      <c r="J53">
        <v>8.14983450567955</v>
      </c>
      <c r="K53">
        <v>2.7030923967337999</v>
      </c>
      <c r="L53">
        <v>2.9098006244084136E-5</v>
      </c>
      <c r="M53">
        <v>1.8109566780997687E-6</v>
      </c>
      <c r="N53" s="1">
        <v>-3.74243261054876E-8</v>
      </c>
      <c r="O53" s="1">
        <v>2.5647042829697899E-11</v>
      </c>
      <c r="P53" s="1">
        <v>1.63559194625124E-10</v>
      </c>
      <c r="Q53">
        <v>66.316471532746704</v>
      </c>
      <c r="S53">
        <v>19.193598304164102</v>
      </c>
      <c r="AA53">
        <v>0.36087309973846998</v>
      </c>
      <c r="AB53">
        <v>5.7661372126591202</v>
      </c>
      <c r="AC53">
        <v>8.3629198506915898</v>
      </c>
      <c r="AJ53">
        <v>0.50281353568286302</v>
      </c>
      <c r="AK53">
        <v>1.7389507727144999E-2</v>
      </c>
      <c r="AL53">
        <v>0.479796956589991</v>
      </c>
    </row>
    <row r="54" spans="1:38" x14ac:dyDescent="0.2">
      <c r="A54">
        <v>66</v>
      </c>
      <c r="B54">
        <v>764</v>
      </c>
      <c r="C54">
        <v>150</v>
      </c>
      <c r="D54">
        <v>0.44039965289495597</v>
      </c>
      <c r="E54">
        <v>12.829752705180001</v>
      </c>
      <c r="F54">
        <v>2.5587192353974602</v>
      </c>
      <c r="G54">
        <v>-207.96077858254409</v>
      </c>
      <c r="H54">
        <v>-179.80958453604003</v>
      </c>
      <c r="I54">
        <v>27.142837628601502</v>
      </c>
      <c r="J54">
        <v>15.603976082339701</v>
      </c>
      <c r="K54">
        <v>5.0141307134024498</v>
      </c>
      <c r="L54">
        <v>3.1041352872676341E-5</v>
      </c>
      <c r="M54">
        <v>1.8241655534443604E-6</v>
      </c>
      <c r="N54" s="1">
        <v>-1.3356996019510701E-7</v>
      </c>
      <c r="O54" s="1">
        <v>4.52273156700519E-11</v>
      </c>
      <c r="P54" s="1">
        <v>4.9591579631475195E-10</v>
      </c>
      <c r="Q54">
        <v>65.795738646385303</v>
      </c>
      <c r="S54">
        <v>20.815567415350198</v>
      </c>
      <c r="AA54">
        <v>1.8205201242602</v>
      </c>
      <c r="AB54">
        <v>8.8579147913291294</v>
      </c>
      <c r="AC54">
        <v>2.71025902267503</v>
      </c>
      <c r="AJ54">
        <v>0.76052626272441903</v>
      </c>
      <c r="AK54">
        <v>8.6375185272519098E-2</v>
      </c>
      <c r="AL54">
        <v>0.15309855200306099</v>
      </c>
    </row>
    <row r="55" spans="1:38" x14ac:dyDescent="0.2">
      <c r="A55">
        <v>66</v>
      </c>
      <c r="B55">
        <v>764</v>
      </c>
      <c r="C55">
        <v>150</v>
      </c>
      <c r="D55">
        <v>0.44039965289495597</v>
      </c>
      <c r="E55">
        <v>25.850856918931498</v>
      </c>
      <c r="F55">
        <v>2.5219752540419602</v>
      </c>
      <c r="G55">
        <v>-411.38540438556851</v>
      </c>
      <c r="H55">
        <v>-355.31976433227942</v>
      </c>
      <c r="I55">
        <v>54.057407369511601</v>
      </c>
      <c r="J55">
        <v>30.856214386001799</v>
      </c>
      <c r="K55">
        <v>10.2502420979351</v>
      </c>
      <c r="L55">
        <v>2.8935334070469723E-5</v>
      </c>
      <c r="M55">
        <v>1.8081290991371366E-6</v>
      </c>
      <c r="N55" s="1">
        <v>-1.4217875086438099E-7</v>
      </c>
      <c r="O55" s="1">
        <v>9.7403270237678402E-11</v>
      </c>
      <c r="P55" s="1">
        <v>6.2033489078565897E-10</v>
      </c>
      <c r="Q55">
        <v>66.238428602794301</v>
      </c>
      <c r="S55">
        <v>19.158084570015198</v>
      </c>
      <c r="AA55">
        <v>0.34978415622327802</v>
      </c>
      <c r="AB55">
        <v>5.4991188565832001</v>
      </c>
      <c r="AC55">
        <v>8.7545838143840005</v>
      </c>
      <c r="AJ55">
        <v>0.48017657554050702</v>
      </c>
      <c r="AK55">
        <v>1.68779147017625E-2</v>
      </c>
      <c r="AL55">
        <v>0.50294550975773</v>
      </c>
    </row>
    <row r="56" spans="1:38" x14ac:dyDescent="0.2">
      <c r="A56">
        <v>67</v>
      </c>
      <c r="B56">
        <v>762</v>
      </c>
      <c r="C56">
        <v>150</v>
      </c>
      <c r="D56">
        <v>0.439183210162781</v>
      </c>
      <c r="E56">
        <v>16.344697818293099</v>
      </c>
      <c r="F56">
        <v>2.56134692344797</v>
      </c>
      <c r="G56">
        <v>-265.01345596319925</v>
      </c>
      <c r="H56">
        <v>-229.26347520272606</v>
      </c>
      <c r="I56">
        <v>34.536038989975502</v>
      </c>
      <c r="J56">
        <v>19.890496288064298</v>
      </c>
      <c r="K56">
        <v>6.3812901207036097</v>
      </c>
      <c r="L56">
        <v>3.1057398266012221E-5</v>
      </c>
      <c r="M56">
        <v>1.8211240707161548E-6</v>
      </c>
      <c r="N56" s="1">
        <v>-1.8138568372281501E-7</v>
      </c>
      <c r="O56" s="1">
        <v>5.72778112659014E-11</v>
      </c>
      <c r="P56" s="1">
        <v>6.64492206669679E-10</v>
      </c>
      <c r="Q56">
        <v>65.616983623915104</v>
      </c>
      <c r="S56">
        <v>20.974191703115999</v>
      </c>
      <c r="AA56">
        <v>1.9930968266054701</v>
      </c>
      <c r="AB56">
        <v>8.8754230011580102</v>
      </c>
      <c r="AC56">
        <v>2.5403048452052901</v>
      </c>
      <c r="AJ56">
        <v>0.76196036125512601</v>
      </c>
      <c r="AK56">
        <v>9.4554566179419902E-2</v>
      </c>
      <c r="AL56">
        <v>0.14348507256545301</v>
      </c>
    </row>
    <row r="57" spans="1:38" x14ac:dyDescent="0.2">
      <c r="A57">
        <v>67</v>
      </c>
      <c r="B57">
        <v>762</v>
      </c>
      <c r="C57">
        <v>150</v>
      </c>
      <c r="D57">
        <v>0.439183210162781</v>
      </c>
      <c r="E57">
        <v>38.503047368514601</v>
      </c>
      <c r="F57">
        <v>2.5215508759676601</v>
      </c>
      <c r="G57">
        <v>-612.09572094280304</v>
      </c>
      <c r="H57">
        <v>-528.9147325592462</v>
      </c>
      <c r="I57">
        <v>80.356458854810199</v>
      </c>
      <c r="J57">
        <v>45.9235848281998</v>
      </c>
      <c r="K57">
        <v>15.269589733635099</v>
      </c>
      <c r="L57">
        <v>2.883885689822305E-5</v>
      </c>
      <c r="M57">
        <v>1.8064052040090722E-6</v>
      </c>
      <c r="N57" s="1">
        <v>-2.1716053668397001E-7</v>
      </c>
      <c r="O57" s="1">
        <v>1.45208941834849E-10</v>
      </c>
      <c r="P57" s="1">
        <v>9.3901217431027894E-10</v>
      </c>
      <c r="Q57">
        <v>66.188271162712894</v>
      </c>
      <c r="S57">
        <v>19.133987965344399</v>
      </c>
      <c r="AA57">
        <v>0.34160776358724798</v>
      </c>
      <c r="AB57">
        <v>5.32417330877953</v>
      </c>
      <c r="AC57">
        <v>9.0119597995758909</v>
      </c>
      <c r="AJ57">
        <v>0.46531209378020499</v>
      </c>
      <c r="AK57">
        <v>1.6497976433728301E-2</v>
      </c>
      <c r="AL57">
        <v>0.51818992978606604</v>
      </c>
    </row>
    <row r="58" spans="1:38" x14ac:dyDescent="0.2">
      <c r="A58">
        <v>68</v>
      </c>
      <c r="B58">
        <v>760</v>
      </c>
      <c r="C58">
        <v>150</v>
      </c>
      <c r="D58">
        <v>0.43796205778444602</v>
      </c>
      <c r="E58">
        <v>17.434315996051701</v>
      </c>
      <c r="F58">
        <v>2.5622206221588999</v>
      </c>
      <c r="G58">
        <v>-282.66003000451309</v>
      </c>
      <c r="H58">
        <v>-244.64383385217775</v>
      </c>
      <c r="I58">
        <v>36.796395636969798</v>
      </c>
      <c r="J58">
        <v>21.228713272712898</v>
      </c>
      <c r="K58">
        <v>6.8043773612912597</v>
      </c>
      <c r="L58">
        <v>3.1113956452894077E-5</v>
      </c>
      <c r="M58">
        <v>1.8206629660956126E-6</v>
      </c>
      <c r="N58" s="1">
        <v>-2.0618583562298199E-7</v>
      </c>
      <c r="O58" s="1">
        <v>6.0913240058975401E-11</v>
      </c>
      <c r="P58" s="1">
        <v>7.45619190050991E-10</v>
      </c>
      <c r="Q58">
        <v>65.5714902685759</v>
      </c>
      <c r="S58">
        <v>21.018066383475102</v>
      </c>
      <c r="AA58">
        <v>2.0399091396769098</v>
      </c>
      <c r="AB58">
        <v>8.8890666766997093</v>
      </c>
      <c r="AC58">
        <v>2.4814675315722901</v>
      </c>
      <c r="AJ58">
        <v>0.763079171390322</v>
      </c>
      <c r="AK58">
        <v>9.6768731858469001E-2</v>
      </c>
      <c r="AL58">
        <v>0.14015209675120799</v>
      </c>
    </row>
    <row r="59" spans="1:38" x14ac:dyDescent="0.2">
      <c r="A59">
        <v>68</v>
      </c>
      <c r="B59">
        <v>760</v>
      </c>
      <c r="C59">
        <v>150</v>
      </c>
      <c r="D59">
        <v>0.43796205778444602</v>
      </c>
      <c r="E59">
        <v>41.583053077655499</v>
      </c>
      <c r="F59">
        <v>2.5214369739809799</v>
      </c>
      <c r="G59">
        <v>-660.69349367614643</v>
      </c>
      <c r="H59">
        <v>-571.16026162332628</v>
      </c>
      <c r="I59">
        <v>86.660438516014295</v>
      </c>
      <c r="J59">
        <v>49.591321442168997</v>
      </c>
      <c r="K59">
        <v>16.491807452161598</v>
      </c>
      <c r="L59">
        <v>2.8824981481393073E-5</v>
      </c>
      <c r="M59">
        <v>1.8060149107129671E-6</v>
      </c>
      <c r="N59" s="1">
        <v>-2.4785762208024901E-7</v>
      </c>
      <c r="O59" s="1">
        <v>1.56795163211112E-10</v>
      </c>
      <c r="P59" s="1">
        <v>1.05252425868644E-9</v>
      </c>
      <c r="Q59">
        <v>66.174555399227998</v>
      </c>
      <c r="S59">
        <v>19.121510171685198</v>
      </c>
      <c r="AA59">
        <v>0.33451384195869699</v>
      </c>
      <c r="AB59">
        <v>5.2608963069620103</v>
      </c>
      <c r="AC59">
        <v>9.1085242801659891</v>
      </c>
      <c r="AJ59">
        <v>0.459929237445596</v>
      </c>
      <c r="AK59">
        <v>1.61605508486465E-2</v>
      </c>
      <c r="AL59">
        <v>0.52391021170575702</v>
      </c>
    </row>
    <row r="60" spans="1:38" x14ac:dyDescent="0.2">
      <c r="A60">
        <v>70</v>
      </c>
      <c r="B60">
        <v>790</v>
      </c>
      <c r="C60">
        <v>125</v>
      </c>
      <c r="D60">
        <v>0.48166345294643498</v>
      </c>
      <c r="E60">
        <v>4.0866761251225799E-2</v>
      </c>
      <c r="F60">
        <v>2.56213245616871</v>
      </c>
      <c r="G60">
        <v>-0.66670251451518425</v>
      </c>
      <c r="H60">
        <v>-0.57344707359539016</v>
      </c>
      <c r="I60">
        <v>8.7716165094101406E-2</v>
      </c>
      <c r="J60">
        <v>4.9618124363125703E-2</v>
      </c>
      <c r="K60">
        <v>1.59502921688662E-2</v>
      </c>
      <c r="L60">
        <v>3.0658479482858288E-5</v>
      </c>
      <c r="M60">
        <v>1.8201434628430632E-6</v>
      </c>
      <c r="N60" s="1">
        <v>-1.94216604114109E-10</v>
      </c>
      <c r="O60" s="1">
        <v>1.4460401704923801E-13</v>
      </c>
      <c r="P60" s="1">
        <v>9.0557505774758095E-13</v>
      </c>
      <c r="Q60">
        <v>65.553387589410605</v>
      </c>
      <c r="S60">
        <v>21.157830399742</v>
      </c>
      <c r="AA60">
        <v>2.15943989686988</v>
      </c>
      <c r="AB60">
        <v>9.2151353660121096</v>
      </c>
      <c r="AC60">
        <v>1.91420674796531</v>
      </c>
      <c r="AJ60">
        <v>0.789788672737741</v>
      </c>
      <c r="AK60">
        <v>0.102273022940748</v>
      </c>
      <c r="AL60">
        <v>0.107938304321509</v>
      </c>
    </row>
    <row r="61" spans="1:38" x14ac:dyDescent="0.2">
      <c r="A61">
        <v>71</v>
      </c>
      <c r="B61">
        <v>788</v>
      </c>
      <c r="C61">
        <v>125</v>
      </c>
      <c r="D61">
        <v>0.48055458700466802</v>
      </c>
      <c r="E61">
        <v>0.84429152758588999</v>
      </c>
      <c r="F61">
        <v>2.5612552664011998</v>
      </c>
      <c r="G61">
        <v>-13.767083307950919</v>
      </c>
      <c r="H61">
        <v>-11.845962119860253</v>
      </c>
      <c r="I61">
        <v>1.81041435055427</v>
      </c>
      <c r="J61">
        <v>1.0251937495428101</v>
      </c>
      <c r="K61">
        <v>0.32963974292659798</v>
      </c>
      <c r="L61">
        <v>3.070706564727214E-5</v>
      </c>
      <c r="M61">
        <v>1.8219250112567002E-6</v>
      </c>
      <c r="N61" s="1">
        <v>-4.2800214425048498E-9</v>
      </c>
      <c r="O61" s="1">
        <v>2.99051336338957E-12</v>
      </c>
      <c r="P61" s="1">
        <v>1.9492971896236899E-11</v>
      </c>
      <c r="Q61">
        <v>65.6330617591112</v>
      </c>
      <c r="S61">
        <v>21.0885734347764</v>
      </c>
      <c r="AA61">
        <v>2.0837113133546699</v>
      </c>
      <c r="AB61">
        <v>9.2111188435546207</v>
      </c>
      <c r="AC61">
        <v>1.9835346492029799</v>
      </c>
      <c r="AJ61">
        <v>0.78946144743320401</v>
      </c>
      <c r="AK61">
        <v>9.8688575632383604E-2</v>
      </c>
      <c r="AL61">
        <v>0.111849976934412</v>
      </c>
    </row>
    <row r="62" spans="1:38" x14ac:dyDescent="0.2">
      <c r="A62">
        <v>72</v>
      </c>
      <c r="B62">
        <v>786</v>
      </c>
      <c r="C62">
        <v>125</v>
      </c>
      <c r="D62">
        <v>0.47944153330501299</v>
      </c>
      <c r="E62">
        <v>1.65073690972892</v>
      </c>
      <c r="F62">
        <v>2.5603986232444398</v>
      </c>
      <c r="G62">
        <v>-26.903757361524722</v>
      </c>
      <c r="H62">
        <v>-23.158425681628426</v>
      </c>
      <c r="I62">
        <v>3.5361673794045099</v>
      </c>
      <c r="J62">
        <v>2.0046382949706301</v>
      </c>
      <c r="K62">
        <v>0.64471871479026499</v>
      </c>
      <c r="L62">
        <v>3.0753756215194233E-5</v>
      </c>
      <c r="M62">
        <v>1.8235877024785913E-6</v>
      </c>
      <c r="N62" s="1">
        <v>-8.9150279223327199E-9</v>
      </c>
      <c r="O62" s="1">
        <v>5.8523996217788902E-12</v>
      </c>
      <c r="P62" s="1">
        <v>3.9713043396669399E-11</v>
      </c>
      <c r="Q62">
        <v>65.708036125193601</v>
      </c>
      <c r="S62">
        <v>21.0220465077889</v>
      </c>
      <c r="AA62">
        <v>2.01133167404867</v>
      </c>
      <c r="AB62">
        <v>9.2037862102160002</v>
      </c>
      <c r="AC62">
        <v>2.0547994827527201</v>
      </c>
      <c r="AJ62">
        <v>0.78886290902845602</v>
      </c>
      <c r="AK62">
        <v>9.5264150223180605E-2</v>
      </c>
      <c r="AL62">
        <v>0.115872940748363</v>
      </c>
    </row>
    <row r="63" spans="1:38" x14ac:dyDescent="0.2">
      <c r="A63">
        <v>73</v>
      </c>
      <c r="B63">
        <v>784</v>
      </c>
      <c r="C63">
        <v>125</v>
      </c>
      <c r="D63">
        <v>0.47832426807926898</v>
      </c>
      <c r="E63">
        <v>2.45910900305504</v>
      </c>
      <c r="F63">
        <v>2.5595616909817398</v>
      </c>
      <c r="G63">
        <v>-40.058652634285657</v>
      </c>
      <c r="H63">
        <v>-34.495357563759292</v>
      </c>
      <c r="I63">
        <v>5.2625408603569603</v>
      </c>
      <c r="J63">
        <v>2.9866351404211602</v>
      </c>
      <c r="K63">
        <v>0.960753949287242</v>
      </c>
      <c r="L63">
        <v>3.0798681666455587E-5</v>
      </c>
      <c r="M63">
        <v>1.8251352757774382E-6</v>
      </c>
      <c r="N63" s="1">
        <v>-1.4132728803278E-8</v>
      </c>
      <c r="O63" s="1">
        <v>8.7256258513999905E-12</v>
      </c>
      <c r="P63" s="1">
        <v>6.1652249941465606E-11</v>
      </c>
      <c r="Q63">
        <v>65.778449682063197</v>
      </c>
      <c r="S63">
        <v>20.958154501857798</v>
      </c>
      <c r="AA63">
        <v>1.9421900740731699</v>
      </c>
      <c r="AB63">
        <v>9.1931978461997996</v>
      </c>
      <c r="AC63">
        <v>2.1280078958059998</v>
      </c>
      <c r="AJ63">
        <v>0.787997938530269</v>
      </c>
      <c r="AK63">
        <v>9.1994316128412107E-2</v>
      </c>
      <c r="AL63">
        <v>0.120007745341318</v>
      </c>
    </row>
    <row r="64" spans="1:38" x14ac:dyDescent="0.2">
      <c r="A64">
        <v>74</v>
      </c>
      <c r="B64">
        <v>782</v>
      </c>
      <c r="C64">
        <v>125</v>
      </c>
      <c r="D64">
        <v>0.47720276737904699</v>
      </c>
      <c r="E64">
        <v>3.2683793223536002</v>
      </c>
      <c r="F64">
        <v>2.55874350548177</v>
      </c>
      <c r="G64">
        <v>-53.214794748750684</v>
      </c>
      <c r="H64">
        <v>-45.842196825874105</v>
      </c>
      <c r="I64">
        <v>6.9872510286467104</v>
      </c>
      <c r="J64">
        <v>3.9699499597051999</v>
      </c>
      <c r="K64">
        <v>1.2773376133057199</v>
      </c>
      <c r="L64">
        <v>3.0841983881137747E-5</v>
      </c>
      <c r="M64">
        <v>1.8265718290168775E-6</v>
      </c>
      <c r="N64" s="1">
        <v>-1.9968653692211001E-8</v>
      </c>
      <c r="O64" s="1">
        <v>1.16057760320123E-11</v>
      </c>
      <c r="P64" s="1">
        <v>8.5403106411370406E-11</v>
      </c>
      <c r="Q64">
        <v>65.844457180803104</v>
      </c>
      <c r="S64">
        <v>20.896791053858198</v>
      </c>
      <c r="AA64">
        <v>1.87616265371142</v>
      </c>
      <c r="AB64">
        <v>9.1794197612375292</v>
      </c>
      <c r="AC64">
        <v>2.2031693503897198</v>
      </c>
      <c r="AJ64">
        <v>0.78687185380271096</v>
      </c>
      <c r="AK64">
        <v>8.88730445448771E-2</v>
      </c>
      <c r="AL64">
        <v>0.12425510165241101</v>
      </c>
    </row>
    <row r="65" spans="1:38" x14ac:dyDescent="0.2">
      <c r="A65">
        <v>75</v>
      </c>
      <c r="B65">
        <v>780</v>
      </c>
      <c r="C65">
        <v>125</v>
      </c>
      <c r="D65">
        <v>0.47607700707401701</v>
      </c>
      <c r="E65">
        <v>4.0775974864464803</v>
      </c>
      <c r="F65">
        <v>2.5579430153587399</v>
      </c>
      <c r="G65">
        <v>-66.356510945193136</v>
      </c>
      <c r="H65">
        <v>-57.185479121090864</v>
      </c>
      <c r="I65">
        <v>8.7081914486087104</v>
      </c>
      <c r="J65">
        <v>4.9534464331506003</v>
      </c>
      <c r="K65">
        <v>1.59409238671981</v>
      </c>
      <c r="L65">
        <v>3.0883814326734363E-5</v>
      </c>
      <c r="M65">
        <v>1.8279017164980844E-6</v>
      </c>
      <c r="N65" s="1">
        <v>-2.6460697519449302E-8</v>
      </c>
      <c r="O65" s="1">
        <v>1.44887049594639E-11</v>
      </c>
      <c r="P65" s="1">
        <v>1.1106521062771399E-10</v>
      </c>
      <c r="Q65">
        <v>65.906224548381005</v>
      </c>
      <c r="S65">
        <v>20.837841986726701</v>
      </c>
      <c r="AA65">
        <v>1.8131164989275099</v>
      </c>
      <c r="AB65">
        <v>9.1625223846642605</v>
      </c>
      <c r="AC65">
        <v>2.28029458130045</v>
      </c>
      <c r="AJ65">
        <v>0.78549031243288303</v>
      </c>
      <c r="AK65">
        <v>8.5893892580962805E-2</v>
      </c>
      <c r="AL65">
        <v>0.128615794986153</v>
      </c>
    </row>
    <row r="66" spans="1:38" x14ac:dyDescent="0.2">
      <c r="A66">
        <v>76</v>
      </c>
      <c r="B66">
        <v>778</v>
      </c>
      <c r="C66">
        <v>125</v>
      </c>
      <c r="D66">
        <v>0.47494696285021398</v>
      </c>
      <c r="E66">
        <v>5.8456372145721804</v>
      </c>
      <c r="F66">
        <v>2.5558465690941001</v>
      </c>
      <c r="G66">
        <v>-95.036072829762702</v>
      </c>
      <c r="H66">
        <v>-81.927788312754998</v>
      </c>
      <c r="I66">
        <v>12.4704224107003</v>
      </c>
      <c r="J66">
        <v>7.0996861300301104</v>
      </c>
      <c r="K66">
        <v>2.28716280752491</v>
      </c>
      <c r="L66">
        <v>3.0897742474687335E-5</v>
      </c>
      <c r="M66">
        <v>1.8296005419708033E-6</v>
      </c>
      <c r="N66" s="1">
        <v>-3.9873949506219802E-8</v>
      </c>
      <c r="O66" s="1">
        <v>2.0827859409953399E-11</v>
      </c>
      <c r="P66" s="1">
        <v>1.64820460666542E-10</v>
      </c>
      <c r="Q66">
        <v>66.014290029879206</v>
      </c>
      <c r="S66">
        <v>20.7135917188047</v>
      </c>
      <c r="AA66">
        <v>1.685393152913</v>
      </c>
      <c r="AB66">
        <v>9.0776022849488793</v>
      </c>
      <c r="AC66">
        <v>2.5091228134541801</v>
      </c>
      <c r="AJ66">
        <v>0.77854046112679398</v>
      </c>
      <c r="AK66">
        <v>7.9877056461069504E-2</v>
      </c>
      <c r="AL66">
        <v>0.141582482412135</v>
      </c>
    </row>
    <row r="67" spans="1:38" x14ac:dyDescent="0.2">
      <c r="A67">
        <v>77</v>
      </c>
      <c r="B67">
        <v>776</v>
      </c>
      <c r="C67">
        <v>125</v>
      </c>
      <c r="D67">
        <v>0.47381261020826598</v>
      </c>
      <c r="E67">
        <v>9.3654851818136997</v>
      </c>
      <c r="F67">
        <v>2.55096027757943</v>
      </c>
      <c r="G67">
        <v>-151.93938226641487</v>
      </c>
      <c r="H67">
        <v>-131.00772995996419</v>
      </c>
      <c r="I67">
        <v>19.951057814850699</v>
      </c>
      <c r="J67">
        <v>11.3608143666495</v>
      </c>
      <c r="K67">
        <v>3.6713567295138199</v>
      </c>
      <c r="L67">
        <v>3.080534457426753E-5</v>
      </c>
      <c r="M67">
        <v>1.8308798413936238E-6</v>
      </c>
      <c r="N67" s="1">
        <v>-6.51983059492749E-8</v>
      </c>
      <c r="O67" s="1">
        <v>3.3608417077871201E-11</v>
      </c>
      <c r="P67" s="1">
        <v>2.6757805305237599E-10</v>
      </c>
      <c r="Q67">
        <v>66.181372080892203</v>
      </c>
      <c r="S67">
        <v>20.465350547026102</v>
      </c>
      <c r="AA67">
        <v>1.4416053319634901</v>
      </c>
      <c r="AB67">
        <v>8.7991391716782807</v>
      </c>
      <c r="AC67">
        <v>3.1125328684398101</v>
      </c>
      <c r="AJ67">
        <v>0.75570679135240104</v>
      </c>
      <c r="AK67">
        <v>6.8417989588358E-2</v>
      </c>
      <c r="AL67">
        <v>0.17587521905924</v>
      </c>
    </row>
    <row r="68" spans="1:38" x14ac:dyDescent="0.2">
      <c r="A68">
        <v>78</v>
      </c>
      <c r="B68">
        <v>774</v>
      </c>
      <c r="C68">
        <v>125</v>
      </c>
      <c r="D68">
        <v>0.47267392446163797</v>
      </c>
      <c r="E68">
        <v>10.8391639275524</v>
      </c>
      <c r="F68">
        <v>2.5517613532638301</v>
      </c>
      <c r="G68">
        <v>-175.77632517743567</v>
      </c>
      <c r="H68">
        <v>-151.62914767446671</v>
      </c>
      <c r="I68">
        <v>23.0599030730735</v>
      </c>
      <c r="J68">
        <v>13.1462877145982</v>
      </c>
      <c r="K68">
        <v>4.2477185077235502</v>
      </c>
      <c r="L68">
        <v>3.0753369372114718E-5</v>
      </c>
      <c r="M68">
        <v>1.828221559090841E-6</v>
      </c>
      <c r="N68" s="1">
        <v>-7.9222607289654402E-8</v>
      </c>
      <c r="O68" s="1">
        <v>3.8811220773558202E-11</v>
      </c>
      <c r="P68" s="1">
        <v>3.2067357665318802E-10</v>
      </c>
      <c r="Q68">
        <v>66.065040969544</v>
      </c>
      <c r="S68">
        <v>20.530762888280702</v>
      </c>
      <c r="AA68">
        <v>1.5227154577522499</v>
      </c>
      <c r="AB68">
        <v>8.7113884842474096</v>
      </c>
      <c r="AC68">
        <v>3.1700922001754601</v>
      </c>
      <c r="AJ68">
        <v>0.74849563521443596</v>
      </c>
      <c r="AK68">
        <v>7.22988579967693E-2</v>
      </c>
      <c r="AL68">
        <v>0.17920550678879299</v>
      </c>
    </row>
    <row r="69" spans="1:38" x14ac:dyDescent="0.2">
      <c r="A69">
        <v>78</v>
      </c>
      <c r="B69">
        <v>774</v>
      </c>
      <c r="C69">
        <v>125</v>
      </c>
      <c r="D69">
        <v>0.47267392446163797</v>
      </c>
      <c r="E69">
        <v>12.634189084354301</v>
      </c>
      <c r="F69">
        <v>2.5223913016532999</v>
      </c>
      <c r="G69">
        <v>-201.89655523653457</v>
      </c>
      <c r="H69">
        <v>-174.01148889992908</v>
      </c>
      <c r="I69">
        <v>26.629486068476801</v>
      </c>
      <c r="J69">
        <v>15.104298910969501</v>
      </c>
      <c r="K69">
        <v>5.0088140868838504</v>
      </c>
      <c r="L69">
        <v>2.9108135363388839E-5</v>
      </c>
      <c r="M69">
        <v>1.8134512663163959E-6</v>
      </c>
      <c r="N69" s="1">
        <v>-5.34151225207595E-8</v>
      </c>
      <c r="O69" s="1">
        <v>4.75471046046529E-11</v>
      </c>
      <c r="P69" s="1">
        <v>2.5668107926076E-10</v>
      </c>
      <c r="Q69">
        <v>66.3410014906285</v>
      </c>
      <c r="S69">
        <v>19.255191849649201</v>
      </c>
      <c r="AA69">
        <v>0.40596467510544298</v>
      </c>
      <c r="AB69">
        <v>5.98227639575145</v>
      </c>
      <c r="AC69">
        <v>8.0155655888653108</v>
      </c>
      <c r="AJ69">
        <v>0.52109206358709803</v>
      </c>
      <c r="AK69">
        <v>1.9541010571552199E-2</v>
      </c>
      <c r="AL69">
        <v>0.45936692584134797</v>
      </c>
    </row>
    <row r="70" spans="1:38" x14ac:dyDescent="0.2">
      <c r="A70">
        <v>79</v>
      </c>
      <c r="B70">
        <v>772</v>
      </c>
      <c r="C70">
        <v>125</v>
      </c>
      <c r="D70">
        <v>0.47153088073482102</v>
      </c>
      <c r="E70">
        <v>13.4204265015624</v>
      </c>
      <c r="F70">
        <v>2.5566577928646899</v>
      </c>
      <c r="G70">
        <v>-217.83338135926124</v>
      </c>
      <c r="H70">
        <v>-188.02815686158323</v>
      </c>
      <c r="I70">
        <v>28.5176524878515</v>
      </c>
      <c r="J70">
        <v>16.288862778105699</v>
      </c>
      <c r="K70">
        <v>5.2492072028634897</v>
      </c>
      <c r="L70">
        <v>3.0751750807492977E-5</v>
      </c>
      <c r="M70">
        <v>1.8231459913031565E-6</v>
      </c>
      <c r="N70" s="1">
        <v>-1.05487145014214E-7</v>
      </c>
      <c r="O70" s="1">
        <v>4.7618043654270998E-11</v>
      </c>
      <c r="P70" s="1">
        <v>4.1897372698593099E-10</v>
      </c>
      <c r="Q70">
        <v>65.759058515746602</v>
      </c>
      <c r="S70">
        <v>20.818663542846298</v>
      </c>
      <c r="AA70">
        <v>1.8316332681813099</v>
      </c>
      <c r="AB70">
        <v>8.78429198766597</v>
      </c>
      <c r="AC70">
        <v>2.8063526855596401</v>
      </c>
      <c r="AJ70">
        <v>0.75448102503287995</v>
      </c>
      <c r="AK70">
        <v>8.6934242066145695E-2</v>
      </c>
      <c r="AL70">
        <v>0.158584732900973</v>
      </c>
    </row>
    <row r="71" spans="1:38" x14ac:dyDescent="0.2">
      <c r="A71">
        <v>79</v>
      </c>
      <c r="B71">
        <v>772</v>
      </c>
      <c r="C71">
        <v>125</v>
      </c>
      <c r="D71">
        <v>0.47153088073482102</v>
      </c>
      <c r="E71">
        <v>31.148687272228599</v>
      </c>
      <c r="F71">
        <v>2.5212147366726101</v>
      </c>
      <c r="G71">
        <v>-496.87652082636805</v>
      </c>
      <c r="H71">
        <v>-428.44295050482282</v>
      </c>
      <c r="I71">
        <v>65.477271512744807</v>
      </c>
      <c r="J71">
        <v>37.176931101047202</v>
      </c>
      <c r="K71">
        <v>12.3546347794782</v>
      </c>
      <c r="L71">
        <v>2.889455083454702E-5</v>
      </c>
      <c r="M71">
        <v>1.8097991100173722E-6</v>
      </c>
      <c r="N71" s="1">
        <v>-1.29022194714094E-7</v>
      </c>
      <c r="O71" s="1">
        <v>1.1753690706317299E-10</v>
      </c>
      <c r="P71" s="1">
        <v>6.2429338187280699E-10</v>
      </c>
      <c r="Q71">
        <v>66.245193588463195</v>
      </c>
      <c r="S71">
        <v>19.205855062608698</v>
      </c>
      <c r="AA71">
        <v>0.38761678482109502</v>
      </c>
      <c r="AB71">
        <v>5.6394308213440301</v>
      </c>
      <c r="AC71">
        <v>8.5219037427628805</v>
      </c>
      <c r="AJ71">
        <v>0.49207904479004999</v>
      </c>
      <c r="AK71">
        <v>1.8690157563537702E-2</v>
      </c>
      <c r="AL71">
        <v>0.48923079764641098</v>
      </c>
    </row>
    <row r="72" spans="1:38" x14ac:dyDescent="0.2">
      <c r="A72">
        <v>80</v>
      </c>
      <c r="B72">
        <v>770</v>
      </c>
      <c r="C72">
        <v>125</v>
      </c>
      <c r="D72">
        <v>0.47038345396155901</v>
      </c>
      <c r="E72">
        <v>15.5502115032494</v>
      </c>
      <c r="F72">
        <v>2.55923153212427</v>
      </c>
      <c r="G72">
        <v>-252.47814015882162</v>
      </c>
      <c r="H72">
        <v>-218.05059118649635</v>
      </c>
      <c r="I72">
        <v>33.003450100489097</v>
      </c>
      <c r="J72">
        <v>18.882728568625499</v>
      </c>
      <c r="K72">
        <v>6.0761253165484703</v>
      </c>
      <c r="L72">
        <v>3.0760043501293995E-5</v>
      </c>
      <c r="M72">
        <v>1.820278947456812E-6</v>
      </c>
      <c r="N72" s="1">
        <v>-1.30463484225668E-7</v>
      </c>
      <c r="O72" s="1">
        <v>5.4877585049088397E-11</v>
      </c>
      <c r="P72" s="1">
        <v>5.0965460770642095E-10</v>
      </c>
      <c r="Q72">
        <v>65.5891884061204</v>
      </c>
      <c r="S72">
        <v>20.971911873026102</v>
      </c>
      <c r="AA72">
        <v>1.9977015775250999</v>
      </c>
      <c r="AB72">
        <v>8.8075059776438103</v>
      </c>
      <c r="AC72">
        <v>2.6336921656844301</v>
      </c>
      <c r="AJ72">
        <v>0.75638487032405999</v>
      </c>
      <c r="AK72">
        <v>9.4805010250099103E-2</v>
      </c>
      <c r="AL72">
        <v>0.14881011942583899</v>
      </c>
    </row>
    <row r="73" spans="1:38" x14ac:dyDescent="0.2">
      <c r="A73">
        <v>80</v>
      </c>
      <c r="B73">
        <v>770</v>
      </c>
      <c r="C73">
        <v>125</v>
      </c>
      <c r="D73">
        <v>0.47038345396155901</v>
      </c>
      <c r="E73">
        <v>40.078208270137402</v>
      </c>
      <c r="F73">
        <v>2.5207214874243</v>
      </c>
      <c r="G73">
        <v>-638.65386011451074</v>
      </c>
      <c r="H73">
        <v>-550.94051796889914</v>
      </c>
      <c r="I73">
        <v>84.085071318229893</v>
      </c>
      <c r="J73">
        <v>47.797493826394501</v>
      </c>
      <c r="K73">
        <v>15.8994988022614</v>
      </c>
      <c r="L73">
        <v>2.8797367755354414E-5</v>
      </c>
      <c r="M73">
        <v>1.8081124560740419E-6</v>
      </c>
      <c r="N73" s="1">
        <v>-1.70222554945026E-7</v>
      </c>
      <c r="O73" s="1">
        <v>1.51389527849234E-10</v>
      </c>
      <c r="P73" s="1">
        <v>8.1507851045825002E-10</v>
      </c>
      <c r="Q73">
        <v>66.198141787396196</v>
      </c>
      <c r="S73">
        <v>19.1793834321753</v>
      </c>
      <c r="AA73">
        <v>0.37675631320535702</v>
      </c>
      <c r="AB73">
        <v>5.4651795847550497</v>
      </c>
      <c r="AC73">
        <v>8.7805388824680293</v>
      </c>
      <c r="AJ73">
        <v>0.47729463845756498</v>
      </c>
      <c r="AK73">
        <v>1.81824937625449E-2</v>
      </c>
      <c r="AL73">
        <v>0.50452286777988897</v>
      </c>
    </row>
    <row r="74" spans="1:38" x14ac:dyDescent="0.2">
      <c r="A74">
        <v>81</v>
      </c>
      <c r="B74">
        <v>768</v>
      </c>
      <c r="C74">
        <v>125</v>
      </c>
      <c r="D74">
        <v>0.46923161888296799</v>
      </c>
      <c r="E74">
        <v>16.403396706220501</v>
      </c>
      <c r="F74">
        <v>2.5602033347280999</v>
      </c>
      <c r="G74">
        <v>-266.31769965015246</v>
      </c>
      <c r="H74">
        <v>-230.11164334582045</v>
      </c>
      <c r="I74">
        <v>34.7750624831503</v>
      </c>
      <c r="J74">
        <v>19.927405974739901</v>
      </c>
      <c r="K74">
        <v>6.4070679401574102</v>
      </c>
      <c r="L74">
        <v>3.080083716556089E-5</v>
      </c>
      <c r="M74">
        <v>1.8196561969080856E-6</v>
      </c>
      <c r="N74" s="1">
        <v>-1.4673693571218401E-7</v>
      </c>
      <c r="O74" s="1">
        <v>5.7729904558712398E-11</v>
      </c>
      <c r="P74" s="1">
        <v>5.6421046897443902E-10</v>
      </c>
      <c r="Q74">
        <v>65.537157561146202</v>
      </c>
      <c r="S74">
        <v>21.021945199626401</v>
      </c>
      <c r="AA74">
        <v>2.0511202706381901</v>
      </c>
      <c r="AB74">
        <v>8.8227268998600898</v>
      </c>
      <c r="AC74">
        <v>2.5670500687290101</v>
      </c>
      <c r="AJ74">
        <v>0.75763383802275297</v>
      </c>
      <c r="AK74">
        <v>9.7332626748971293E-2</v>
      </c>
      <c r="AL74">
        <v>0.145033535228275</v>
      </c>
    </row>
    <row r="75" spans="1:38" x14ac:dyDescent="0.2">
      <c r="A75">
        <v>81</v>
      </c>
      <c r="B75">
        <v>768</v>
      </c>
      <c r="C75">
        <v>125</v>
      </c>
      <c r="D75">
        <v>0.46923161888296799</v>
      </c>
      <c r="E75">
        <v>42.658086531562098</v>
      </c>
      <c r="F75">
        <v>2.5205612626740801</v>
      </c>
      <c r="G75">
        <v>-679.36662479882307</v>
      </c>
      <c r="H75">
        <v>-586.32037748833989</v>
      </c>
      <c r="I75">
        <v>89.368724305319105</v>
      </c>
      <c r="J75">
        <v>50.863395290705</v>
      </c>
      <c r="K75">
        <v>16.924042737332901</v>
      </c>
      <c r="L75">
        <v>2.8773825507393664E-5</v>
      </c>
      <c r="M75">
        <v>1.8076452296137695E-6</v>
      </c>
      <c r="N75" s="1">
        <v>-1.9144402963945199E-7</v>
      </c>
      <c r="O75" s="1">
        <v>1.6114248888699199E-10</v>
      </c>
      <c r="P75" s="1">
        <v>8.9727149926906403E-10</v>
      </c>
      <c r="Q75">
        <v>66.183510972849604</v>
      </c>
      <c r="S75">
        <v>19.165176267266698</v>
      </c>
      <c r="AA75">
        <v>0.368449157244436</v>
      </c>
      <c r="AB75">
        <v>5.3953296691454904</v>
      </c>
      <c r="AC75">
        <v>8.8875339334937493</v>
      </c>
      <c r="AJ75">
        <v>0.471360920776563</v>
      </c>
      <c r="AK75">
        <v>1.7787869924458299E-2</v>
      </c>
      <c r="AL75">
        <v>0.51085120929897698</v>
      </c>
    </row>
    <row r="76" spans="1:38" x14ac:dyDescent="0.2">
      <c r="A76">
        <v>83</v>
      </c>
      <c r="B76">
        <v>806</v>
      </c>
      <c r="C76">
        <v>100</v>
      </c>
      <c r="D76">
        <v>0.51586943427697896</v>
      </c>
      <c r="E76">
        <v>0.26157401726538099</v>
      </c>
      <c r="F76">
        <v>2.55914333908007</v>
      </c>
      <c r="G76">
        <v>-4.2785831597848905</v>
      </c>
      <c r="H76">
        <v>-3.6674539863423345</v>
      </c>
      <c r="I76">
        <v>0.56630604961548803</v>
      </c>
      <c r="J76">
        <v>0.31739276999515698</v>
      </c>
      <c r="K76">
        <v>0.10221155387076</v>
      </c>
      <c r="L76">
        <v>3.0494205328860708E-5</v>
      </c>
      <c r="M76">
        <v>1.8211602494782784E-6</v>
      </c>
      <c r="N76" s="1">
        <v>-6.9420595886082301E-10</v>
      </c>
      <c r="O76" s="1">
        <v>9.3159210502336292E-13</v>
      </c>
      <c r="P76" s="1">
        <v>4.1648770106228798E-12</v>
      </c>
      <c r="Q76">
        <v>65.610219917336806</v>
      </c>
      <c r="S76">
        <v>21.114851429491601</v>
      </c>
      <c r="AA76">
        <v>2.1107207595700199</v>
      </c>
      <c r="AB76">
        <v>9.2291082034093801</v>
      </c>
      <c r="AC76">
        <v>1.9350996901920301</v>
      </c>
      <c r="AJ76">
        <v>0.79093221870683394</v>
      </c>
      <c r="AK76">
        <v>9.9958815487200495E-2</v>
      </c>
      <c r="AL76">
        <v>0.10910896580596501</v>
      </c>
    </row>
    <row r="77" spans="1:38" x14ac:dyDescent="0.2">
      <c r="A77">
        <v>84</v>
      </c>
      <c r="B77">
        <v>804</v>
      </c>
      <c r="C77">
        <v>100</v>
      </c>
      <c r="D77">
        <v>0.514840551455232</v>
      </c>
      <c r="E77">
        <v>1.0315255572479001</v>
      </c>
      <c r="F77">
        <v>2.5583591056560402</v>
      </c>
      <c r="G77">
        <v>-16.864798279149987</v>
      </c>
      <c r="H77">
        <v>-14.461570802799994</v>
      </c>
      <c r="I77">
        <v>2.23109824662302</v>
      </c>
      <c r="J77">
        <v>1.2516302064748399</v>
      </c>
      <c r="K77">
        <v>0.40319811044798098</v>
      </c>
      <c r="L77">
        <v>3.0529243167374303E-5</v>
      </c>
      <c r="M77">
        <v>1.8227471991638701E-6</v>
      </c>
      <c r="N77" s="1">
        <v>-2.9514541879949701E-9</v>
      </c>
      <c r="O77" s="1">
        <v>3.6778143024035798E-12</v>
      </c>
      <c r="P77" s="1">
        <v>1.70565060204006E-11</v>
      </c>
      <c r="Q77">
        <v>65.681945952203804</v>
      </c>
      <c r="S77">
        <v>21.052274551832198</v>
      </c>
      <c r="AA77">
        <v>2.0423579050864702</v>
      </c>
      <c r="AB77">
        <v>9.2248924059806807</v>
      </c>
      <c r="AC77">
        <v>1.9985291848967699</v>
      </c>
      <c r="AJ77">
        <v>0.79058861899106703</v>
      </c>
      <c r="AK77">
        <v>9.6723474671205401E-2</v>
      </c>
      <c r="AL77">
        <v>0.112687906337727</v>
      </c>
    </row>
    <row r="78" spans="1:38" x14ac:dyDescent="0.2">
      <c r="A78">
        <v>85</v>
      </c>
      <c r="B78">
        <v>802</v>
      </c>
      <c r="C78">
        <v>100</v>
      </c>
      <c r="D78">
        <v>0.51380784076640695</v>
      </c>
      <c r="E78">
        <v>1.80239788648312</v>
      </c>
      <c r="F78">
        <v>2.5575958222353901</v>
      </c>
      <c r="G78">
        <v>-29.45413522431318</v>
      </c>
      <c r="H78">
        <v>-25.266829137660142</v>
      </c>
      <c r="I78">
        <v>3.8946250166516698</v>
      </c>
      <c r="J78">
        <v>2.1869581405343501</v>
      </c>
      <c r="K78">
        <v>0.70472350275728601</v>
      </c>
      <c r="L78">
        <v>3.0562455938142956E-5</v>
      </c>
      <c r="M78">
        <v>1.8242301637499499E-6</v>
      </c>
      <c r="N78" s="1">
        <v>-5.5460567186174297E-9</v>
      </c>
      <c r="O78" s="1">
        <v>6.4328894752464503E-12</v>
      </c>
      <c r="P78" s="1">
        <v>3.0952009823723499E-11</v>
      </c>
      <c r="Q78">
        <v>65.749505734671104</v>
      </c>
      <c r="S78">
        <v>20.992203724719101</v>
      </c>
      <c r="AA78">
        <v>1.9770347060047999</v>
      </c>
      <c r="AB78">
        <v>9.2179622757810105</v>
      </c>
      <c r="AC78">
        <v>2.0632935588238901</v>
      </c>
      <c r="AJ78">
        <v>0.79002296310531905</v>
      </c>
      <c r="AK78">
        <v>9.3633201272295699E-2</v>
      </c>
      <c r="AL78">
        <v>0.116343835622384</v>
      </c>
    </row>
    <row r="79" spans="1:38" x14ac:dyDescent="0.2">
      <c r="A79">
        <v>86</v>
      </c>
      <c r="B79">
        <v>800</v>
      </c>
      <c r="C79">
        <v>100</v>
      </c>
      <c r="D79">
        <v>0.51277128080883805</v>
      </c>
      <c r="E79">
        <v>2.57324495627936</v>
      </c>
      <c r="F79">
        <v>2.5568527919555399</v>
      </c>
      <c r="G79">
        <v>-42.031014848470001</v>
      </c>
      <c r="H79">
        <v>-36.069905268253329</v>
      </c>
      <c r="I79">
        <v>5.5547775988600501</v>
      </c>
      <c r="J79">
        <v>3.1222315726424501</v>
      </c>
      <c r="K79">
        <v>1.0064110708193199</v>
      </c>
      <c r="L79">
        <v>3.0593964420566583E-5</v>
      </c>
      <c r="M79">
        <v>1.8256129478149592E-6</v>
      </c>
      <c r="N79" s="1">
        <v>-8.4963783017966002E-9</v>
      </c>
      <c r="O79" s="1">
        <v>9.1928396559909901E-12</v>
      </c>
      <c r="P79" s="1">
        <v>4.5896653344553998E-11</v>
      </c>
      <c r="Q79">
        <v>65.813039868481098</v>
      </c>
      <c r="S79">
        <v>20.934549613684698</v>
      </c>
      <c r="AA79">
        <v>1.9146446525131799</v>
      </c>
      <c r="AB79">
        <v>9.2083969387901004</v>
      </c>
      <c r="AC79">
        <v>2.1293689265307498</v>
      </c>
      <c r="AJ79">
        <v>0.78924167823087599</v>
      </c>
      <c r="AK79">
        <v>9.06828066244241E-2</v>
      </c>
      <c r="AL79">
        <v>0.120075515144699</v>
      </c>
    </row>
    <row r="80" spans="1:38" x14ac:dyDescent="0.2">
      <c r="A80">
        <v>87</v>
      </c>
      <c r="B80">
        <v>798</v>
      </c>
      <c r="C80">
        <v>100</v>
      </c>
      <c r="D80">
        <v>0.51173085002101004</v>
      </c>
      <c r="E80">
        <v>3.3431816773740199</v>
      </c>
      <c r="F80">
        <v>2.5561292364582302</v>
      </c>
      <c r="G80">
        <v>-54.580885335075394</v>
      </c>
      <c r="H80">
        <v>-46.858334319378216</v>
      </c>
      <c r="I80">
        <v>7.2095887743987097</v>
      </c>
      <c r="J80">
        <v>4.0563821055492504</v>
      </c>
      <c r="K80">
        <v>1.3079079217474601</v>
      </c>
      <c r="L80">
        <v>3.0623896864066786E-5</v>
      </c>
      <c r="M80">
        <v>1.8268995829911118E-6</v>
      </c>
      <c r="N80" s="1">
        <v>-1.18217766081751E-8</v>
      </c>
      <c r="O80" s="1">
        <v>1.1953902932207501E-11</v>
      </c>
      <c r="P80" s="1">
        <v>6.1938882563360606E-11</v>
      </c>
      <c r="Q80">
        <v>65.872699041775405</v>
      </c>
      <c r="S80">
        <v>20.879215850530201</v>
      </c>
      <c r="AA80">
        <v>1.8550730788432801</v>
      </c>
      <c r="AB80">
        <v>9.1962795536897808</v>
      </c>
      <c r="AC80">
        <v>2.1967324751612201</v>
      </c>
      <c r="AJ80">
        <v>0.78825150687254197</v>
      </c>
      <c r="AK80">
        <v>8.7866728769589203E-2</v>
      </c>
      <c r="AL80">
        <v>0.123881764357868</v>
      </c>
    </row>
    <row r="81" spans="1:38" x14ac:dyDescent="0.2">
      <c r="A81">
        <v>88</v>
      </c>
      <c r="B81">
        <v>796</v>
      </c>
      <c r="C81">
        <v>100</v>
      </c>
      <c r="D81">
        <v>0.51068652668007097</v>
      </c>
      <c r="E81">
        <v>4.1113913330040299</v>
      </c>
      <c r="F81">
        <v>2.5554243248328699</v>
      </c>
      <c r="G81">
        <v>-67.090340958242066</v>
      </c>
      <c r="H81">
        <v>-57.62061381680801</v>
      </c>
      <c r="I81">
        <v>8.8572484136314493</v>
      </c>
      <c r="J81">
        <v>4.9884271003753904</v>
      </c>
      <c r="K81">
        <v>1.6088879224677901</v>
      </c>
      <c r="L81">
        <v>3.0652387604951096E-5</v>
      </c>
      <c r="M81">
        <v>1.8280942527331327E-6</v>
      </c>
      <c r="N81" s="1">
        <v>-1.5542767753679898E-8</v>
      </c>
      <c r="O81" s="1">
        <v>1.4712563495591299E-11</v>
      </c>
      <c r="P81" s="1">
        <v>7.9130856080653695E-11</v>
      </c>
      <c r="Q81">
        <v>65.9286406794116</v>
      </c>
      <c r="S81">
        <v>20.826101499300599</v>
      </c>
      <c r="AA81">
        <v>1.7981999788601299</v>
      </c>
      <c r="AB81">
        <v>9.1816963166061392</v>
      </c>
      <c r="AC81">
        <v>2.2653615258214002</v>
      </c>
      <c r="AJ81">
        <v>0.78705942727154099</v>
      </c>
      <c r="AK81">
        <v>8.5179165173494401E-2</v>
      </c>
      <c r="AL81">
        <v>0.12776140755496301</v>
      </c>
    </row>
    <row r="82" spans="1:38" x14ac:dyDescent="0.2">
      <c r="A82">
        <v>89</v>
      </c>
      <c r="B82">
        <v>794</v>
      </c>
      <c r="C82">
        <v>100</v>
      </c>
      <c r="D82">
        <v>0.50963828890034402</v>
      </c>
      <c r="E82">
        <v>4.8771296393887198</v>
      </c>
      <c r="F82">
        <v>2.5547372034278601</v>
      </c>
      <c r="G82">
        <v>-79.547186124719119</v>
      </c>
      <c r="H82">
        <v>-68.346260590545342</v>
      </c>
      <c r="I82">
        <v>10.496111637702001</v>
      </c>
      <c r="J82">
        <v>5.9174747554690397</v>
      </c>
      <c r="K82">
        <v>1.9090533589305201</v>
      </c>
      <c r="L82">
        <v>3.0679576024910654E-5</v>
      </c>
      <c r="M82">
        <v>1.8292012270641781E-6</v>
      </c>
      <c r="N82" s="1">
        <v>-1.96812027306082E-8</v>
      </c>
      <c r="O82" s="1">
        <v>1.7465568425730099E-11</v>
      </c>
      <c r="P82" s="1">
        <v>9.7528980631635805E-11</v>
      </c>
      <c r="Q82">
        <v>65.981025904374803</v>
      </c>
      <c r="S82">
        <v>20.775103408785</v>
      </c>
      <c r="AA82">
        <v>1.7439026559128501</v>
      </c>
      <c r="AB82">
        <v>9.1647358571623503</v>
      </c>
      <c r="AC82">
        <v>2.33523217376487</v>
      </c>
      <c r="AJ82">
        <v>0.78567260582406795</v>
      </c>
      <c r="AK82">
        <v>8.2614197360201994E-2</v>
      </c>
      <c r="AL82">
        <v>0.13171319681572899</v>
      </c>
    </row>
    <row r="83" spans="1:38" x14ac:dyDescent="0.2">
      <c r="A83">
        <v>90</v>
      </c>
      <c r="B83">
        <v>792</v>
      </c>
      <c r="C83">
        <v>100</v>
      </c>
      <c r="D83">
        <v>0.50858611463174297</v>
      </c>
      <c r="E83">
        <v>5.6397256142195502</v>
      </c>
      <c r="F83">
        <v>2.5540670258924698</v>
      </c>
      <c r="G83">
        <v>-91.940447599611147</v>
      </c>
      <c r="H83">
        <v>-79.025823386806607</v>
      </c>
      <c r="I83">
        <v>12.1247000073271</v>
      </c>
      <c r="J83">
        <v>6.8427253170341196</v>
      </c>
      <c r="K83">
        <v>2.2081353218398201</v>
      </c>
      <c r="L83">
        <v>3.0705605900171939E-5</v>
      </c>
      <c r="M83">
        <v>1.8302248089509201E-6</v>
      </c>
      <c r="N83" s="1">
        <v>-2.4260453924808299E-8</v>
      </c>
      <c r="O83" s="1">
        <v>2.0209931732287399E-11</v>
      </c>
      <c r="P83" s="1">
        <v>1.1719444899507501E-10</v>
      </c>
      <c r="Q83">
        <v>66.030016882263297</v>
      </c>
      <c r="S83">
        <v>20.726118400622202</v>
      </c>
      <c r="AA83">
        <v>1.6920581476713901</v>
      </c>
      <c r="AB83">
        <v>9.1454890572111704</v>
      </c>
      <c r="AC83">
        <v>2.4063175122318499</v>
      </c>
      <c r="AJ83">
        <v>0.78409838406919596</v>
      </c>
      <c r="AK83">
        <v>8.0165904725920903E-2</v>
      </c>
      <c r="AL83">
        <v>0.13573571120488301</v>
      </c>
    </row>
    <row r="84" spans="1:38" x14ac:dyDescent="0.2">
      <c r="A84">
        <v>91</v>
      </c>
      <c r="B84">
        <v>790</v>
      </c>
      <c r="C84">
        <v>100</v>
      </c>
      <c r="D84">
        <v>0.507529981658283</v>
      </c>
      <c r="E84">
        <v>8.1368116540197502</v>
      </c>
      <c r="F84">
        <v>2.5511349855612502</v>
      </c>
      <c r="G84">
        <v>-132.47197145970017</v>
      </c>
      <c r="H84">
        <v>-113.89619579079451</v>
      </c>
      <c r="I84">
        <v>17.472393988529902</v>
      </c>
      <c r="J84">
        <v>9.8660504064443106</v>
      </c>
      <c r="K84">
        <v>3.1894869146759901</v>
      </c>
      <c r="L84">
        <v>3.0673531618431022E-5</v>
      </c>
      <c r="M84">
        <v>1.8315783742306937E-6</v>
      </c>
      <c r="N84" s="1">
        <v>-3.6461795789710902E-8</v>
      </c>
      <c r="O84" s="1">
        <v>2.9280981177285199E-11</v>
      </c>
      <c r="P84" s="1">
        <v>1.7324793553837399E-10</v>
      </c>
      <c r="Q84">
        <v>66.148866872492704</v>
      </c>
      <c r="S84">
        <v>20.567653398764399</v>
      </c>
      <c r="AA84">
        <v>1.53359087815029</v>
      </c>
      <c r="AB84">
        <v>8.9949032837295508</v>
      </c>
      <c r="AC84">
        <v>2.7549855668629601</v>
      </c>
      <c r="AJ84">
        <v>0.77176716708105797</v>
      </c>
      <c r="AK84">
        <v>7.2712672587863694E-2</v>
      </c>
      <c r="AL84">
        <v>0.15552016033107699</v>
      </c>
    </row>
    <row r="85" spans="1:38" x14ac:dyDescent="0.2">
      <c r="A85">
        <v>92</v>
      </c>
      <c r="B85">
        <v>788</v>
      </c>
      <c r="C85">
        <v>100</v>
      </c>
      <c r="D85">
        <v>0.50646986759647905</v>
      </c>
      <c r="E85">
        <v>12.0549401043762</v>
      </c>
      <c r="F85">
        <v>2.5459861833485</v>
      </c>
      <c r="G85">
        <v>-195.80055568061962</v>
      </c>
      <c r="H85">
        <v>-168.37619589271938</v>
      </c>
      <c r="I85">
        <v>25.843999234698401</v>
      </c>
      <c r="J85">
        <v>14.5935856332549</v>
      </c>
      <c r="K85">
        <v>4.7348804102783797</v>
      </c>
      <c r="L85">
        <v>3.0528527706463152E-5</v>
      </c>
      <c r="M85">
        <v>1.8316923158972069E-6</v>
      </c>
      <c r="N85" s="1">
        <v>-5.4371325066212703E-8</v>
      </c>
      <c r="O85" s="1">
        <v>4.3706936427690898E-11</v>
      </c>
      <c r="P85" s="1">
        <v>2.57316646469188E-10</v>
      </c>
      <c r="Q85">
        <v>66.2832493375886</v>
      </c>
      <c r="S85">
        <v>20.322674334724901</v>
      </c>
      <c r="AA85">
        <v>1.3001243308286199</v>
      </c>
      <c r="AB85">
        <v>8.6521229360651706</v>
      </c>
      <c r="AC85">
        <v>3.4418290607926401</v>
      </c>
      <c r="AJ85">
        <v>0.74362620950443103</v>
      </c>
      <c r="AK85">
        <v>6.1748680677057501E-2</v>
      </c>
      <c r="AL85">
        <v>0.19462510981851</v>
      </c>
    </row>
    <row r="86" spans="1:38" x14ac:dyDescent="0.2">
      <c r="A86">
        <v>93</v>
      </c>
      <c r="B86">
        <v>786</v>
      </c>
      <c r="C86">
        <v>100</v>
      </c>
      <c r="D86">
        <v>0.50540574989378495</v>
      </c>
      <c r="E86">
        <v>11.863398926740601</v>
      </c>
      <c r="F86">
        <v>2.54571288789435</v>
      </c>
      <c r="G86">
        <v>-192.52533847293077</v>
      </c>
      <c r="H86">
        <v>-165.62687187996758</v>
      </c>
      <c r="I86">
        <v>25.3962768191127</v>
      </c>
      <c r="J86">
        <v>14.3523998561017</v>
      </c>
      <c r="K86">
        <v>4.6601480407137696</v>
      </c>
      <c r="L86">
        <v>3.0427995567966132E-5</v>
      </c>
      <c r="M86">
        <v>1.8289145768939763E-6</v>
      </c>
      <c r="N86" s="1">
        <v>-5.55114854442562E-8</v>
      </c>
      <c r="O86" s="1">
        <v>4.30036036882114E-11</v>
      </c>
      <c r="P86" s="1">
        <v>2.5906693123632802E-10</v>
      </c>
      <c r="Q86">
        <v>66.191727423832702</v>
      </c>
      <c r="S86">
        <v>20.338325564936302</v>
      </c>
      <c r="AA86">
        <v>1.33439214339905</v>
      </c>
      <c r="AB86">
        <v>8.4892029932671598</v>
      </c>
      <c r="AC86">
        <v>3.6463518745646799</v>
      </c>
      <c r="AJ86">
        <v>0.73021504468615095</v>
      </c>
      <c r="AK86">
        <v>6.3427577493486806E-2</v>
      </c>
      <c r="AL86">
        <v>0.20635737782036201</v>
      </c>
    </row>
    <row r="87" spans="1:38" x14ac:dyDescent="0.2">
      <c r="A87">
        <v>93</v>
      </c>
      <c r="B87">
        <v>786</v>
      </c>
      <c r="C87">
        <v>100</v>
      </c>
      <c r="D87">
        <v>0.50540574989378495</v>
      </c>
      <c r="E87">
        <v>11.5680413337234</v>
      </c>
      <c r="F87">
        <v>2.5233386056081901</v>
      </c>
      <c r="G87">
        <v>-185.6726881373551</v>
      </c>
      <c r="H87">
        <v>-159.62460176591978</v>
      </c>
      <c r="I87">
        <v>24.593387500765001</v>
      </c>
      <c r="J87">
        <v>13.8514480785459</v>
      </c>
      <c r="K87">
        <v>4.5844189551149004</v>
      </c>
      <c r="L87">
        <v>2.92525069780915E-5</v>
      </c>
      <c r="M87">
        <v>1.8177743115701259E-6</v>
      </c>
      <c r="N87" s="1">
        <v>-3.4018015638274797E-8</v>
      </c>
      <c r="O87" s="1">
        <v>4.3462227506363702E-11</v>
      </c>
      <c r="P87" s="1">
        <v>1.91513711593218E-10</v>
      </c>
      <c r="Q87">
        <v>66.397391793575906</v>
      </c>
      <c r="S87">
        <v>19.3802606678674</v>
      </c>
      <c r="AA87">
        <v>0.49598982444982298</v>
      </c>
      <c r="AB87">
        <v>6.4358233293570501</v>
      </c>
      <c r="AC87">
        <v>7.2905343847497504</v>
      </c>
      <c r="AJ87">
        <v>0.559318481676644</v>
      </c>
      <c r="AK87">
        <v>2.38198275744309E-2</v>
      </c>
      <c r="AL87">
        <v>0.41686169074892399</v>
      </c>
    </row>
    <row r="88" spans="1:38" x14ac:dyDescent="0.2">
      <c r="A88">
        <v>94</v>
      </c>
      <c r="B88">
        <v>784</v>
      </c>
      <c r="C88">
        <v>100</v>
      </c>
      <c r="D88">
        <v>0.50433760582698905</v>
      </c>
      <c r="E88">
        <v>11.7160828918664</v>
      </c>
      <c r="F88">
        <v>2.5514125411661501</v>
      </c>
      <c r="G88">
        <v>-190.38050649848998</v>
      </c>
      <c r="H88">
        <v>-163.89062466664657</v>
      </c>
      <c r="I88">
        <v>25.057827017777399</v>
      </c>
      <c r="J88">
        <v>14.188087036970501</v>
      </c>
      <c r="K88">
        <v>4.5919986293206101</v>
      </c>
      <c r="L88">
        <v>3.0460762911499799E-5</v>
      </c>
      <c r="M88">
        <v>1.824541501360927E-6</v>
      </c>
      <c r="N88" s="1">
        <v>-6.0074311325177407E-8</v>
      </c>
      <c r="O88" s="1">
        <v>4.2057716641452801E-11</v>
      </c>
      <c r="P88" s="1">
        <v>2.7166714171452598E-10</v>
      </c>
      <c r="Q88">
        <v>65.890193029351906</v>
      </c>
      <c r="S88">
        <v>20.652543437722599</v>
      </c>
      <c r="AA88">
        <v>1.66398403449425</v>
      </c>
      <c r="AB88">
        <v>8.6410127674145993</v>
      </c>
      <c r="AC88">
        <v>3.1522667310165802</v>
      </c>
      <c r="AJ88">
        <v>0.74270656676849101</v>
      </c>
      <c r="AK88">
        <v>7.9033745175488807E-2</v>
      </c>
      <c r="AL88">
        <v>0.17825968805601899</v>
      </c>
    </row>
    <row r="89" spans="1:38" x14ac:dyDescent="0.2">
      <c r="A89">
        <v>94</v>
      </c>
      <c r="B89">
        <v>784</v>
      </c>
      <c r="C89">
        <v>100</v>
      </c>
      <c r="D89">
        <v>0.50433760582698905</v>
      </c>
      <c r="E89">
        <v>27.914281071142099</v>
      </c>
      <c r="F89">
        <v>2.5213859743327198</v>
      </c>
      <c r="G89">
        <v>-447.0588490364795</v>
      </c>
      <c r="H89">
        <v>-384.50576115734481</v>
      </c>
      <c r="I89">
        <v>59.171440078640401</v>
      </c>
      <c r="J89">
        <v>33.355883810219098</v>
      </c>
      <c r="K89">
        <v>11.0710067222173</v>
      </c>
      <c r="L89">
        <v>2.8991330086750875E-5</v>
      </c>
      <c r="M89">
        <v>1.8133843383417346E-6</v>
      </c>
      <c r="N89" s="1">
        <v>-7.8244745887928596E-8</v>
      </c>
      <c r="O89" s="1">
        <v>1.05269654946455E-10</v>
      </c>
      <c r="P89" s="1">
        <v>4.5018508065284602E-10</v>
      </c>
      <c r="Q89">
        <v>66.295950415340101</v>
      </c>
      <c r="S89">
        <v>19.304062040713699</v>
      </c>
      <c r="AA89">
        <v>0.456795135655295</v>
      </c>
      <c r="AB89">
        <v>6.0100020494473601</v>
      </c>
      <c r="AC89">
        <v>7.9331903588434098</v>
      </c>
      <c r="AJ89">
        <v>0.52343337663973999</v>
      </c>
      <c r="AK89">
        <v>2.1984624522030601E-2</v>
      </c>
      <c r="AL89">
        <v>0.45458199883822897</v>
      </c>
    </row>
    <row r="90" spans="1:38" x14ac:dyDescent="0.2">
      <c r="A90">
        <v>95</v>
      </c>
      <c r="B90">
        <v>782</v>
      </c>
      <c r="C90">
        <v>100</v>
      </c>
      <c r="D90">
        <v>0.50326541250059598</v>
      </c>
      <c r="E90">
        <v>13.4190311708594</v>
      </c>
      <c r="F90">
        <v>2.5553849320589999</v>
      </c>
      <c r="G90">
        <v>-218.20048096553944</v>
      </c>
      <c r="H90">
        <v>-187.95260500579155</v>
      </c>
      <c r="I90">
        <v>28.666896611617201</v>
      </c>
      <c r="J90">
        <v>16.258828884654299</v>
      </c>
      <c r="K90">
        <v>5.2512758459630504</v>
      </c>
      <c r="L90">
        <v>3.0453123743552848E-5</v>
      </c>
      <c r="M90">
        <v>1.8204035832507791E-6</v>
      </c>
      <c r="N90" s="1">
        <v>-7.4086320679044094E-8</v>
      </c>
      <c r="O90" s="1">
        <v>4.7823456181809698E-11</v>
      </c>
      <c r="P90" s="1">
        <v>3.2694403995630099E-10</v>
      </c>
      <c r="Q90">
        <v>65.642154349778494</v>
      </c>
      <c r="S90">
        <v>20.885768436810299</v>
      </c>
      <c r="AA90">
        <v>1.9142734817470699</v>
      </c>
      <c r="AB90">
        <v>8.6997015257147794</v>
      </c>
      <c r="AC90">
        <v>2.8581022059492902</v>
      </c>
      <c r="AJ90">
        <v>0.74752863772304001</v>
      </c>
      <c r="AK90">
        <v>9.0894636189572095E-2</v>
      </c>
      <c r="AL90">
        <v>0.16157672608738699</v>
      </c>
    </row>
    <row r="91" spans="1:38" x14ac:dyDescent="0.2">
      <c r="A91">
        <v>95</v>
      </c>
      <c r="B91">
        <v>782</v>
      </c>
      <c r="C91">
        <v>100</v>
      </c>
      <c r="D91">
        <v>0.50326541250059598</v>
      </c>
      <c r="E91">
        <v>38.643767274077</v>
      </c>
      <c r="F91">
        <v>2.52034744709252</v>
      </c>
      <c r="G91">
        <v>-617.96348750774064</v>
      </c>
      <c r="H91">
        <v>-531.73360194600252</v>
      </c>
      <c r="I91">
        <v>81.722869318805905</v>
      </c>
      <c r="J91">
        <v>46.116074297826799</v>
      </c>
      <c r="K91">
        <v>15.3327142726517</v>
      </c>
      <c r="L91">
        <v>2.8825407569439572E-5</v>
      </c>
      <c r="M91">
        <v>1.8105884865220148E-6</v>
      </c>
      <c r="N91" s="1">
        <v>-1.07551736263498E-7</v>
      </c>
      <c r="O91" s="1">
        <v>1.4604904035929E-10</v>
      </c>
      <c r="P91" s="1">
        <v>6.2040746902372704E-10</v>
      </c>
      <c r="Q91">
        <v>66.225281828946194</v>
      </c>
      <c r="S91">
        <v>19.258309146530902</v>
      </c>
      <c r="AA91">
        <v>0.43553807801588401</v>
      </c>
      <c r="AB91">
        <v>5.7325737333845703</v>
      </c>
      <c r="AC91">
        <v>8.3482972131223203</v>
      </c>
      <c r="AJ91">
        <v>0.49997065646186001</v>
      </c>
      <c r="AK91">
        <v>2.0990935170078301E-2</v>
      </c>
      <c r="AL91">
        <v>0.479038408368061</v>
      </c>
    </row>
    <row r="92" spans="1:38" x14ac:dyDescent="0.2">
      <c r="A92">
        <v>96</v>
      </c>
      <c r="B92">
        <v>780</v>
      </c>
      <c r="C92">
        <v>100</v>
      </c>
      <c r="D92">
        <v>0.50218914684517901</v>
      </c>
      <c r="E92">
        <v>14.577545465820901</v>
      </c>
      <c r="F92">
        <v>2.5573125884980401</v>
      </c>
      <c r="G92">
        <v>-237.07799366693609</v>
      </c>
      <c r="H92">
        <v>-204.31844279949055</v>
      </c>
      <c r="I92">
        <v>31.1062534942273</v>
      </c>
      <c r="J92">
        <v>17.6684074960306</v>
      </c>
      <c r="K92">
        <v>5.7003377418098902</v>
      </c>
      <c r="L92">
        <v>3.0463193184584035E-5</v>
      </c>
      <c r="M92">
        <v>1.8184701173577526E-6</v>
      </c>
      <c r="N92" s="1">
        <v>-8.6121953273900303E-8</v>
      </c>
      <c r="O92" s="1">
        <v>5.1748041634914999E-11</v>
      </c>
      <c r="P92" s="1">
        <v>3.7185435312286102E-10</v>
      </c>
      <c r="Q92">
        <v>65.522340423794006</v>
      </c>
      <c r="S92">
        <v>20.996557528962899</v>
      </c>
      <c r="AA92">
        <v>2.0336325588297099</v>
      </c>
      <c r="AB92">
        <v>8.7231506244671202</v>
      </c>
      <c r="AC92">
        <v>2.72431886394617</v>
      </c>
      <c r="AJ92">
        <v>0.74945418337676195</v>
      </c>
      <c r="AK92">
        <v>9.6550603619474901E-2</v>
      </c>
      <c r="AL92">
        <v>0.15399521300376201</v>
      </c>
    </row>
    <row r="93" spans="1:38" x14ac:dyDescent="0.2">
      <c r="A93">
        <v>96</v>
      </c>
      <c r="B93">
        <v>780</v>
      </c>
      <c r="C93">
        <v>100</v>
      </c>
      <c r="D93">
        <v>0.50218914684517901</v>
      </c>
      <c r="E93">
        <v>43.232333852190003</v>
      </c>
      <c r="F93">
        <v>2.5199209684404802</v>
      </c>
      <c r="G93">
        <v>-690.74025820044812</v>
      </c>
      <c r="H93">
        <v>-594.61883391833499</v>
      </c>
      <c r="I93">
        <v>91.270402394827798</v>
      </c>
      <c r="J93">
        <v>51.561164431166297</v>
      </c>
      <c r="K93">
        <v>17.156226085513101</v>
      </c>
      <c r="L93">
        <v>2.8754748266465495E-5</v>
      </c>
      <c r="M93">
        <v>1.8094144115377819E-6</v>
      </c>
      <c r="N93" s="1">
        <v>-1.25123247265833E-7</v>
      </c>
      <c r="O93" s="1">
        <v>1.63523459634848E-10</v>
      </c>
      <c r="P93" s="1">
        <v>7.07896883145715E-10</v>
      </c>
      <c r="Q93">
        <v>66.193997066750896</v>
      </c>
      <c r="S93">
        <v>19.234127128871599</v>
      </c>
      <c r="AA93">
        <v>0.42288753741103802</v>
      </c>
      <c r="AB93">
        <v>5.5994610150834703</v>
      </c>
      <c r="AC93">
        <v>8.5495272518829495</v>
      </c>
      <c r="AJ93">
        <v>0.48868969128478501</v>
      </c>
      <c r="AK93">
        <v>2.0394949272149202E-2</v>
      </c>
      <c r="AL93">
        <v>0.49091535944306403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7DEFC-21B9-4BF9-B44C-7F5407536B1D}">
  <sheetPr codeName="Sheet13"/>
  <dimension ref="A1:AJ68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">
      <c r="A2">
        <v>2</v>
      </c>
      <c r="B2">
        <v>756</v>
      </c>
      <c r="C2">
        <v>300</v>
      </c>
      <c r="D2">
        <v>0.27517903123937498</v>
      </c>
      <c r="E2">
        <v>0.17136324325768201</v>
      </c>
      <c r="F2">
        <v>2.5446339321928</v>
      </c>
      <c r="G2">
        <v>-2.7923090347202542</v>
      </c>
      <c r="H2">
        <v>-2.4452654661307935</v>
      </c>
      <c r="I2">
        <v>0.33721378670695301</v>
      </c>
      <c r="J2">
        <v>0.19856458311348599</v>
      </c>
      <c r="K2">
        <v>6.7342984422915406E-2</v>
      </c>
      <c r="L2">
        <v>0</v>
      </c>
      <c r="M2">
        <v>1.2383389820830546E-6</v>
      </c>
      <c r="N2">
        <v>0</v>
      </c>
      <c r="O2" s="1">
        <v>9.5807044195313806E-14</v>
      </c>
      <c r="P2">
        <v>0</v>
      </c>
      <c r="Q2">
        <v>100</v>
      </c>
      <c r="AJ2">
        <v>1</v>
      </c>
    </row>
    <row r="3" spans="1:36" x14ac:dyDescent="0.2">
      <c r="A3">
        <v>3</v>
      </c>
      <c r="B3">
        <v>754</v>
      </c>
      <c r="C3">
        <v>300</v>
      </c>
      <c r="D3">
        <v>0.27363140729202201</v>
      </c>
      <c r="E3">
        <v>0.60387494727770596</v>
      </c>
      <c r="F3">
        <v>2.5446339321928</v>
      </c>
      <c r="G3">
        <v>-9.8375731126278474</v>
      </c>
      <c r="H3">
        <v>-8.6183846211771211</v>
      </c>
      <c r="I3">
        <v>1.1869624606442299</v>
      </c>
      <c r="J3">
        <v>0.69955310018579298</v>
      </c>
      <c r="K3">
        <v>0.237313092322605</v>
      </c>
      <c r="L3">
        <v>0</v>
      </c>
      <c r="M3">
        <v>1.2383389820830548E-6</v>
      </c>
      <c r="N3">
        <v>0</v>
      </c>
      <c r="O3" s="1">
        <v>3.37618923769315E-13</v>
      </c>
      <c r="P3">
        <v>0</v>
      </c>
      <c r="Q3">
        <v>100</v>
      </c>
      <c r="AJ3">
        <v>1</v>
      </c>
    </row>
    <row r="4" spans="1:36" x14ac:dyDescent="0.2">
      <c r="A4">
        <v>4</v>
      </c>
      <c r="B4">
        <v>752</v>
      </c>
      <c r="C4">
        <v>300</v>
      </c>
      <c r="D4">
        <v>0.27207774472028401</v>
      </c>
      <c r="E4">
        <v>1.0321576825063099</v>
      </c>
      <c r="F4">
        <v>2.5446339321928</v>
      </c>
      <c r="G4">
        <v>-16.810562937004466</v>
      </c>
      <c r="H4">
        <v>-14.733142766651707</v>
      </c>
      <c r="I4">
        <v>2.0264548313444402</v>
      </c>
      <c r="J4">
        <v>1.1953876663827001</v>
      </c>
      <c r="K4">
        <v>0.405621283850782</v>
      </c>
      <c r="L4">
        <v>0</v>
      </c>
      <c r="M4">
        <v>1.2383389820830546E-6</v>
      </c>
      <c r="N4">
        <v>0</v>
      </c>
      <c r="O4" s="1">
        <v>5.7706643982989399E-13</v>
      </c>
      <c r="P4">
        <v>0</v>
      </c>
      <c r="Q4">
        <v>100</v>
      </c>
      <c r="AJ4">
        <v>1</v>
      </c>
    </row>
    <row r="5" spans="1:36" x14ac:dyDescent="0.2">
      <c r="A5">
        <v>5</v>
      </c>
      <c r="B5">
        <v>750</v>
      </c>
      <c r="C5">
        <v>300</v>
      </c>
      <c r="D5">
        <v>0.270518008112205</v>
      </c>
      <c r="E5">
        <v>1.4562832200467499</v>
      </c>
      <c r="F5">
        <v>2.5446339321928</v>
      </c>
      <c r="G5">
        <v>-23.712502801980367</v>
      </c>
      <c r="H5">
        <v>-20.790534385315446</v>
      </c>
      <c r="I5">
        <v>2.8558553649659602</v>
      </c>
      <c r="J5">
        <v>1.6861534739213599</v>
      </c>
      <c r="K5">
        <v>0.57229576389080905</v>
      </c>
      <c r="L5">
        <v>0</v>
      </c>
      <c r="M5">
        <v>1.2383389820830548E-6</v>
      </c>
      <c r="N5">
        <v>0</v>
      </c>
      <c r="O5" s="1">
        <v>8.1418971870245996E-13</v>
      </c>
      <c r="P5">
        <v>0</v>
      </c>
      <c r="Q5">
        <v>100</v>
      </c>
      <c r="AJ5">
        <v>1</v>
      </c>
    </row>
    <row r="6" spans="1:36" x14ac:dyDescent="0.2">
      <c r="A6">
        <v>6</v>
      </c>
      <c r="B6">
        <v>748</v>
      </c>
      <c r="C6">
        <v>300</v>
      </c>
      <c r="D6">
        <v>0.26895216177838999</v>
      </c>
      <c r="E6">
        <v>1.8763218293161601</v>
      </c>
      <c r="F6">
        <v>2.5446339321928</v>
      </c>
      <c r="G6">
        <v>-30.544591328869593</v>
      </c>
      <c r="H6">
        <v>-26.791533193066343</v>
      </c>
      <c r="I6">
        <v>3.6753250118035998</v>
      </c>
      <c r="J6">
        <v>2.1719339095081698</v>
      </c>
      <c r="K6">
        <v>0.73736414718767396</v>
      </c>
      <c r="L6">
        <v>0</v>
      </c>
      <c r="M6">
        <v>1.2383389820830548E-6</v>
      </c>
      <c r="N6">
        <v>0</v>
      </c>
      <c r="O6" s="1">
        <v>1.04902804713849E-12</v>
      </c>
      <c r="P6">
        <v>0</v>
      </c>
      <c r="Q6">
        <v>100</v>
      </c>
      <c r="AJ6">
        <v>1</v>
      </c>
    </row>
    <row r="7" spans="1:36" x14ac:dyDescent="0.2">
      <c r="A7">
        <v>7</v>
      </c>
      <c r="B7">
        <v>746</v>
      </c>
      <c r="C7">
        <v>300</v>
      </c>
      <c r="D7">
        <v>0.26738016974930101</v>
      </c>
      <c r="E7">
        <v>2.2923423168008799</v>
      </c>
      <c r="F7">
        <v>2.5446339321928</v>
      </c>
      <c r="G7">
        <v>-37.308002129296462</v>
      </c>
      <c r="H7">
        <v>-32.737092674671473</v>
      </c>
      <c r="I7">
        <v>4.4850212967914196</v>
      </c>
      <c r="J7">
        <v>2.6528106007052799</v>
      </c>
      <c r="K7">
        <v>0.90085347357821699</v>
      </c>
      <c r="L7">
        <v>0</v>
      </c>
      <c r="M7">
        <v>1.238338982083055E-6</v>
      </c>
      <c r="N7">
        <v>0</v>
      </c>
      <c r="O7" s="1">
        <v>1.2816198939832101E-12</v>
      </c>
      <c r="P7">
        <v>0</v>
      </c>
      <c r="Q7">
        <v>100</v>
      </c>
      <c r="AJ7">
        <v>1</v>
      </c>
    </row>
    <row r="8" spans="1:36" x14ac:dyDescent="0.2">
      <c r="A8">
        <v>8</v>
      </c>
      <c r="B8">
        <v>744</v>
      </c>
      <c r="C8">
        <v>300</v>
      </c>
      <c r="D8">
        <v>0.26580199577250502</v>
      </c>
      <c r="E8">
        <v>2.70441206718644</v>
      </c>
      <c r="F8">
        <v>2.5446339321928</v>
      </c>
      <c r="G8">
        <v>-44.003884505957316</v>
      </c>
      <c r="H8">
        <v>-38.628146653964471</v>
      </c>
      <c r="I8">
        <v>5.2850984141895001</v>
      </c>
      <c r="J8">
        <v>3.1288634649943399</v>
      </c>
      <c r="K8">
        <v>1.0627902241545399</v>
      </c>
      <c r="L8">
        <v>0</v>
      </c>
      <c r="M8">
        <v>1.2383389820830548E-6</v>
      </c>
      <c r="N8">
        <v>0</v>
      </c>
      <c r="O8" s="1">
        <v>1.51200293317077E-12</v>
      </c>
      <c r="P8">
        <v>0</v>
      </c>
      <c r="Q8">
        <v>100</v>
      </c>
      <c r="AJ8">
        <v>1</v>
      </c>
    </row>
    <row r="9" spans="1:36" x14ac:dyDescent="0.2">
      <c r="A9">
        <v>9</v>
      </c>
      <c r="B9">
        <v>742</v>
      </c>
      <c r="C9">
        <v>300</v>
      </c>
      <c r="D9">
        <v>0.264217603309855</v>
      </c>
      <c r="E9">
        <v>3.1125970885904701</v>
      </c>
      <c r="F9">
        <v>2.5446339321928</v>
      </c>
      <c r="G9">
        <v>-50.633364219072561</v>
      </c>
      <c r="H9">
        <v>-44.465609923238446</v>
      </c>
      <c r="I9">
        <v>6.0757073297878303</v>
      </c>
      <c r="J9">
        <v>3.60017076353104</v>
      </c>
      <c r="K9">
        <v>1.2232003390398201</v>
      </c>
      <c r="L9">
        <v>0</v>
      </c>
      <c r="M9">
        <v>1.2383389820830548E-6</v>
      </c>
      <c r="N9">
        <v>0</v>
      </c>
      <c r="O9" s="1">
        <v>1.74021406901345E-12</v>
      </c>
      <c r="P9">
        <v>0</v>
      </c>
      <c r="Q9">
        <v>100</v>
      </c>
      <c r="AJ9">
        <v>1</v>
      </c>
    </row>
    <row r="10" spans="1:36" x14ac:dyDescent="0.2">
      <c r="A10">
        <v>10</v>
      </c>
      <c r="B10">
        <v>740</v>
      </c>
      <c r="C10">
        <v>300</v>
      </c>
      <c r="D10">
        <v>0.26262695553471999</v>
      </c>
      <c r="E10">
        <v>3.51696204681059</v>
      </c>
      <c r="F10">
        <v>2.5446339321928</v>
      </c>
      <c r="G10">
        <v>-57.197544073037733</v>
      </c>
      <c r="H10">
        <v>-50.250378716321563</v>
      </c>
      <c r="I10">
        <v>6.8569958611421402</v>
      </c>
      <c r="J10">
        <v>4.0668091421336401</v>
      </c>
      <c r="K10">
        <v>1.3821092308471601</v>
      </c>
      <c r="L10">
        <v>0</v>
      </c>
      <c r="M10">
        <v>1.2383389820830548E-6</v>
      </c>
      <c r="N10">
        <v>0</v>
      </c>
      <c r="O10" s="1">
        <v>1.9662894553492201E-12</v>
      </c>
      <c r="P10">
        <v>0</v>
      </c>
      <c r="Q10">
        <v>100</v>
      </c>
      <c r="AJ10">
        <v>1</v>
      </c>
    </row>
    <row r="11" spans="1:36" x14ac:dyDescent="0.2">
      <c r="A11">
        <v>11</v>
      </c>
      <c r="B11">
        <v>738</v>
      </c>
      <c r="C11">
        <v>300</v>
      </c>
      <c r="D11">
        <v>0.26103001532908299</v>
      </c>
      <c r="E11">
        <v>5.0980477698118696</v>
      </c>
      <c r="F11">
        <v>2.5446339321928</v>
      </c>
      <c r="G11">
        <v>-82.891408689059517</v>
      </c>
      <c r="H11">
        <v>-72.852731375591958</v>
      </c>
      <c r="I11">
        <v>9.9279803327573202</v>
      </c>
      <c r="J11">
        <v>5.8935285388559597</v>
      </c>
      <c r="K11">
        <v>2.0034503609007102</v>
      </c>
      <c r="L11">
        <v>0</v>
      </c>
      <c r="M11">
        <v>1.2383389820830548E-6</v>
      </c>
      <c r="N11">
        <v>0</v>
      </c>
      <c r="O11" s="1">
        <v>2.8502546911867599E-12</v>
      </c>
      <c r="P11">
        <v>0</v>
      </c>
      <c r="Q11">
        <v>100</v>
      </c>
      <c r="AJ11">
        <v>1</v>
      </c>
    </row>
    <row r="12" spans="1:36" x14ac:dyDescent="0.2">
      <c r="A12">
        <v>12</v>
      </c>
      <c r="B12">
        <v>736</v>
      </c>
      <c r="C12">
        <v>300</v>
      </c>
      <c r="D12">
        <v>0.25942674528068399</v>
      </c>
      <c r="E12">
        <v>13.0329344344962</v>
      </c>
      <c r="F12">
        <v>2.5446339321928</v>
      </c>
      <c r="G12">
        <v>-211.85750192504</v>
      </c>
      <c r="H12">
        <v>-186.27492598405394</v>
      </c>
      <c r="I12">
        <v>25.350617788223801</v>
      </c>
      <c r="J12">
        <v>15.062551436372599</v>
      </c>
      <c r="K12">
        <v>5.12173254848694</v>
      </c>
      <c r="L12">
        <v>0</v>
      </c>
      <c r="M12">
        <v>1.2383389820830548E-6</v>
      </c>
      <c r="N12">
        <v>0</v>
      </c>
      <c r="O12" s="1">
        <v>7.2865504971961394E-12</v>
      </c>
      <c r="P12">
        <v>0</v>
      </c>
      <c r="Q12">
        <v>100</v>
      </c>
      <c r="AJ12">
        <v>1</v>
      </c>
    </row>
    <row r="13" spans="1:36" x14ac:dyDescent="0.2">
      <c r="A13">
        <v>13</v>
      </c>
      <c r="B13">
        <v>734</v>
      </c>
      <c r="C13">
        <v>300</v>
      </c>
      <c r="D13">
        <v>0.25781710768008598</v>
      </c>
      <c r="E13">
        <v>30.036723659061199</v>
      </c>
      <c r="F13">
        <v>2.5446339321928</v>
      </c>
      <c r="G13">
        <v>-488.14664652562044</v>
      </c>
      <c r="H13">
        <v>-429.37323466825808</v>
      </c>
      <c r="I13">
        <v>58.356165275641501</v>
      </c>
      <c r="J13">
        <v>34.705091312594398</v>
      </c>
      <c r="K13">
        <v>11.8039468385055</v>
      </c>
      <c r="L13">
        <v>0</v>
      </c>
      <c r="M13">
        <v>1.2383389820830548E-6</v>
      </c>
      <c r="N13">
        <v>0</v>
      </c>
      <c r="O13" s="1">
        <v>1.6793156200707599E-11</v>
      </c>
      <c r="P13">
        <v>0</v>
      </c>
      <c r="Q13">
        <v>100</v>
      </c>
      <c r="AJ13">
        <v>1</v>
      </c>
    </row>
    <row r="14" spans="1:36" x14ac:dyDescent="0.2">
      <c r="A14">
        <v>14</v>
      </c>
      <c r="B14">
        <v>732</v>
      </c>
      <c r="C14">
        <v>300</v>
      </c>
      <c r="D14">
        <v>0.256201064517732</v>
      </c>
      <c r="E14">
        <v>33.162528859884098</v>
      </c>
      <c r="F14">
        <v>2.5446339321928</v>
      </c>
      <c r="G14">
        <v>-538.81739059564427</v>
      </c>
      <c r="H14">
        <v>-474.13306315935108</v>
      </c>
      <c r="I14">
        <v>64.352909950050304</v>
      </c>
      <c r="J14">
        <v>38.306460660610199</v>
      </c>
      <c r="K14">
        <v>13.0323377521366</v>
      </c>
      <c r="L14">
        <v>0</v>
      </c>
      <c r="M14">
        <v>1.238338982083055E-6</v>
      </c>
      <c r="N14">
        <v>0</v>
      </c>
      <c r="O14" s="1">
        <v>1.8540754759932199E-11</v>
      </c>
      <c r="P14">
        <v>0</v>
      </c>
      <c r="Q14">
        <v>100</v>
      </c>
      <c r="AJ14">
        <v>1</v>
      </c>
    </row>
    <row r="15" spans="1:36" x14ac:dyDescent="0.2">
      <c r="A15">
        <v>16</v>
      </c>
      <c r="B15">
        <v>756</v>
      </c>
      <c r="C15">
        <v>275</v>
      </c>
      <c r="D15">
        <v>0.30190011174270298</v>
      </c>
      <c r="E15">
        <v>0.109762342125069</v>
      </c>
      <c r="F15">
        <v>2.54384628309294</v>
      </c>
      <c r="G15">
        <v>-1.7896206646044373</v>
      </c>
      <c r="H15">
        <v>-1.5673307838594681</v>
      </c>
      <c r="I15">
        <v>0.21599366539859999</v>
      </c>
      <c r="J15">
        <v>0.12718546457976801</v>
      </c>
      <c r="K15">
        <v>4.3148181890776197E-2</v>
      </c>
      <c r="L15">
        <v>0</v>
      </c>
      <c r="M15">
        <v>1.2383112330061072E-6</v>
      </c>
      <c r="N15">
        <v>0</v>
      </c>
      <c r="O15" s="1">
        <v>6.1366751486750004E-14</v>
      </c>
      <c r="P15">
        <v>0</v>
      </c>
      <c r="Q15">
        <v>100</v>
      </c>
      <c r="AJ15">
        <v>1</v>
      </c>
    </row>
    <row r="16" spans="1:36" x14ac:dyDescent="0.2">
      <c r="A16">
        <v>17</v>
      </c>
      <c r="B16">
        <v>754</v>
      </c>
      <c r="C16">
        <v>275</v>
      </c>
      <c r="D16">
        <v>0.30040451735384299</v>
      </c>
      <c r="E16">
        <v>0.53060242907492505</v>
      </c>
      <c r="F16">
        <v>2.54384628309294</v>
      </c>
      <c r="G16">
        <v>-8.6491229239061838</v>
      </c>
      <c r="H16">
        <v>-7.577867396614943</v>
      </c>
      <c r="I16">
        <v>1.0429397140546499</v>
      </c>
      <c r="J16">
        <v>0.61467125917177401</v>
      </c>
      <c r="K16">
        <v>0.208582740475101</v>
      </c>
      <c r="L16">
        <v>0</v>
      </c>
      <c r="M16">
        <v>1.2383112330061072E-6</v>
      </c>
      <c r="N16">
        <v>0</v>
      </c>
      <c r="O16" s="1">
        <v>2.9665317606109902E-13</v>
      </c>
      <c r="P16">
        <v>0</v>
      </c>
      <c r="Q16">
        <v>100</v>
      </c>
      <c r="AJ16">
        <v>1</v>
      </c>
    </row>
    <row r="17" spans="1:36" x14ac:dyDescent="0.2">
      <c r="A17">
        <v>18</v>
      </c>
      <c r="B17">
        <v>752</v>
      </c>
      <c r="C17">
        <v>275</v>
      </c>
      <c r="D17">
        <v>0.29890308735307097</v>
      </c>
      <c r="E17">
        <v>0.94737624805274401</v>
      </c>
      <c r="F17">
        <v>2.54384628309294</v>
      </c>
      <c r="G17">
        <v>-15.439052287714878</v>
      </c>
      <c r="H17">
        <v>-13.53227141501052</v>
      </c>
      <c r="I17">
        <v>1.8600018267613101</v>
      </c>
      <c r="J17">
        <v>1.0971985206720101</v>
      </c>
      <c r="K17">
        <v>0.37241882669925902</v>
      </c>
      <c r="L17">
        <v>0</v>
      </c>
      <c r="M17">
        <v>1.2383112330061072E-6</v>
      </c>
      <c r="N17">
        <v>0</v>
      </c>
      <c r="O17" s="1">
        <v>5.2966620111346905E-13</v>
      </c>
      <c r="P17">
        <v>0</v>
      </c>
      <c r="Q17">
        <v>100</v>
      </c>
      <c r="AJ17">
        <v>1</v>
      </c>
    </row>
    <row r="18" spans="1:36" x14ac:dyDescent="0.2">
      <c r="A18">
        <v>19</v>
      </c>
      <c r="B18">
        <v>750</v>
      </c>
      <c r="C18">
        <v>275</v>
      </c>
      <c r="D18">
        <v>0.29739578751893703</v>
      </c>
      <c r="E18">
        <v>1.3601502995468799</v>
      </c>
      <c r="F18">
        <v>2.54384628309294</v>
      </c>
      <c r="G18">
        <v>-22.160545808548708</v>
      </c>
      <c r="H18">
        <v>-19.431463881019713</v>
      </c>
      <c r="I18">
        <v>2.6673331647646901</v>
      </c>
      <c r="J18">
        <v>1.57484623943035</v>
      </c>
      <c r="K18">
        <v>0.53468258227189003</v>
      </c>
      <c r="L18">
        <v>0</v>
      </c>
      <c r="M18">
        <v>1.238311233006107E-6</v>
      </c>
      <c r="N18">
        <v>0</v>
      </c>
      <c r="O18" s="1">
        <v>7.6044300623445195E-13</v>
      </c>
      <c r="P18">
        <v>0</v>
      </c>
      <c r="Q18">
        <v>100</v>
      </c>
      <c r="AJ18">
        <v>1</v>
      </c>
    </row>
    <row r="19" spans="1:36" x14ac:dyDescent="0.2">
      <c r="A19">
        <v>20</v>
      </c>
      <c r="B19">
        <v>748</v>
      </c>
      <c r="C19">
        <v>275</v>
      </c>
      <c r="D19">
        <v>0.29588258336189799</v>
      </c>
      <c r="E19">
        <v>1.7689896823357401</v>
      </c>
      <c r="F19">
        <v>2.54384628309294</v>
      </c>
      <c r="G19">
        <v>-28.814716566545112</v>
      </c>
      <c r="H19">
        <v>-25.276346434241198</v>
      </c>
      <c r="I19">
        <v>3.4650836138705499</v>
      </c>
      <c r="J19">
        <v>2.04769172143319</v>
      </c>
      <c r="K19">
        <v>0.69539959788172101</v>
      </c>
      <c r="L19">
        <v>0</v>
      </c>
      <c r="M19">
        <v>1.238311233006107E-6</v>
      </c>
      <c r="N19">
        <v>0</v>
      </c>
      <c r="O19" s="1">
        <v>9.8901998733615094E-13</v>
      </c>
      <c r="P19">
        <v>0</v>
      </c>
      <c r="Q19">
        <v>100</v>
      </c>
      <c r="AJ19">
        <v>1</v>
      </c>
    </row>
    <row r="20" spans="1:36" x14ac:dyDescent="0.2">
      <c r="A20">
        <v>21</v>
      </c>
      <c r="B20">
        <v>746</v>
      </c>
      <c r="C20">
        <v>275</v>
      </c>
      <c r="D20">
        <v>0.29436344012167098</v>
      </c>
      <c r="E20">
        <v>2.1739581355000102</v>
      </c>
      <c r="F20">
        <v>2.54384628309294</v>
      </c>
      <c r="G20">
        <v>-35.402654383820867</v>
      </c>
      <c r="H20">
        <v>-31.067801895740651</v>
      </c>
      <c r="I20">
        <v>4.2533998803711102</v>
      </c>
      <c r="J20">
        <v>2.5158106383484098</v>
      </c>
      <c r="K20">
        <v>0.85459492971281104</v>
      </c>
      <c r="L20">
        <v>0</v>
      </c>
      <c r="M20">
        <v>1.2383112330061072E-6</v>
      </c>
      <c r="N20">
        <v>0</v>
      </c>
      <c r="O20" s="1">
        <v>1.21543278014069E-12</v>
      </c>
      <c r="P20">
        <v>0</v>
      </c>
      <c r="Q20">
        <v>100</v>
      </c>
      <c r="AJ20">
        <v>1</v>
      </c>
    </row>
    <row r="21" spans="1:36" x14ac:dyDescent="0.2">
      <c r="A21">
        <v>22</v>
      </c>
      <c r="B21">
        <v>744</v>
      </c>
      <c r="C21">
        <v>275</v>
      </c>
      <c r="D21">
        <v>0.29283832276459099</v>
      </c>
      <c r="E21">
        <v>2.5751180715506199</v>
      </c>
      <c r="F21">
        <v>2.54384628309294</v>
      </c>
      <c r="G21">
        <v>-41.925426393115153</v>
      </c>
      <c r="H21">
        <v>-36.806694725500826</v>
      </c>
      <c r="I21">
        <v>5.0324255691041797</v>
      </c>
      <c r="J21">
        <v>2.9792770672347402</v>
      </c>
      <c r="K21">
        <v>1.01229311246734</v>
      </c>
      <c r="L21">
        <v>0</v>
      </c>
      <c r="M21">
        <v>1.238311233006107E-6</v>
      </c>
      <c r="N21">
        <v>0</v>
      </c>
      <c r="O21" s="1">
        <v>1.43971627870168E-12</v>
      </c>
      <c r="P21">
        <v>0</v>
      </c>
      <c r="Q21">
        <v>100</v>
      </c>
      <c r="AJ21">
        <v>1</v>
      </c>
    </row>
    <row r="22" spans="1:36" x14ac:dyDescent="0.2">
      <c r="A22">
        <v>23</v>
      </c>
      <c r="B22">
        <v>742</v>
      </c>
      <c r="C22">
        <v>275</v>
      </c>
      <c r="D22">
        <v>0.291307195980888</v>
      </c>
      <c r="E22">
        <v>2.9725306147769399</v>
      </c>
      <c r="F22">
        <v>2.54384628309294</v>
      </c>
      <c r="G22">
        <v>-48.384077690541666</v>
      </c>
      <c r="H22">
        <v>-42.493871554966525</v>
      </c>
      <c r="I22">
        <v>5.80230127131472</v>
      </c>
      <c r="J22">
        <v>3.4381635362471799</v>
      </c>
      <c r="K22">
        <v>1.16851817444047</v>
      </c>
      <c r="L22">
        <v>0</v>
      </c>
      <c r="M22">
        <v>1.238311233006107E-6</v>
      </c>
      <c r="N22">
        <v>0</v>
      </c>
      <c r="O22" s="1">
        <v>1.6619046568441399E-12</v>
      </c>
      <c r="P22">
        <v>0</v>
      </c>
      <c r="Q22">
        <v>100</v>
      </c>
      <c r="AJ22">
        <v>1</v>
      </c>
    </row>
    <row r="23" spans="1:36" x14ac:dyDescent="0.2">
      <c r="A23">
        <v>24</v>
      </c>
      <c r="B23">
        <v>740</v>
      </c>
      <c r="C23">
        <v>275</v>
      </c>
      <c r="D23">
        <v>0.28977002418201098</v>
      </c>
      <c r="E23">
        <v>12.1444425820437</v>
      </c>
      <c r="F23">
        <v>2.54384628309294</v>
      </c>
      <c r="G23">
        <v>-197.62851267471171</v>
      </c>
      <c r="H23">
        <v>-173.63921462154826</v>
      </c>
      <c r="I23">
        <v>23.677933231173402</v>
      </c>
      <c r="J23">
        <v>14.043122860413501</v>
      </c>
      <c r="K23">
        <v>4.7740473403439703</v>
      </c>
      <c r="L23">
        <v>0</v>
      </c>
      <c r="M23">
        <v>1.2383112330061072E-6</v>
      </c>
      <c r="N23">
        <v>0</v>
      </c>
      <c r="O23" s="1">
        <v>6.78980582455309E-12</v>
      </c>
      <c r="P23">
        <v>0</v>
      </c>
      <c r="Q23">
        <v>100</v>
      </c>
      <c r="AJ23">
        <v>1</v>
      </c>
    </row>
    <row r="24" spans="1:36" x14ac:dyDescent="0.2">
      <c r="A24">
        <v>25</v>
      </c>
      <c r="B24">
        <v>738</v>
      </c>
      <c r="C24">
        <v>275</v>
      </c>
      <c r="D24">
        <v>0.28822677149780002</v>
      </c>
      <c r="E24">
        <v>28.089562678358998</v>
      </c>
      <c r="F24">
        <v>2.54384628309294</v>
      </c>
      <c r="G24">
        <v>-456.99660810854613</v>
      </c>
      <c r="H24">
        <v>-401.68483616434673</v>
      </c>
      <c r="I24">
        <v>54.701846357315297</v>
      </c>
      <c r="J24">
        <v>32.472555527858702</v>
      </c>
      <c r="K24">
        <v>11.042161967509401</v>
      </c>
      <c r="L24">
        <v>0</v>
      </c>
      <c r="M24">
        <v>1.238311233006107E-6</v>
      </c>
      <c r="N24">
        <v>0</v>
      </c>
      <c r="O24" s="1">
        <v>1.5704522870787401E-11</v>
      </c>
      <c r="P24">
        <v>0</v>
      </c>
      <c r="Q24">
        <v>100</v>
      </c>
      <c r="AJ24">
        <v>1</v>
      </c>
    </row>
    <row r="25" spans="1:36" x14ac:dyDescent="0.2">
      <c r="A25">
        <v>26</v>
      </c>
      <c r="B25">
        <v>736</v>
      </c>
      <c r="C25">
        <v>275</v>
      </c>
      <c r="D25">
        <v>0.28667740177377199</v>
      </c>
      <c r="E25">
        <v>31.7864506610909</v>
      </c>
      <c r="F25">
        <v>2.54384628309294</v>
      </c>
      <c r="G25">
        <v>-517.01853780777969</v>
      </c>
      <c r="H25">
        <v>-454.62435543704657</v>
      </c>
      <c r="I25">
        <v>61.828452034616397</v>
      </c>
      <c r="J25">
        <v>36.736550043183698</v>
      </c>
      <c r="K25">
        <v>12.4954290172137</v>
      </c>
      <c r="L25">
        <v>0</v>
      </c>
      <c r="M25">
        <v>1.2383112330061072E-6</v>
      </c>
      <c r="N25">
        <v>0</v>
      </c>
      <c r="O25" s="1">
        <v>1.7771406664613099E-11</v>
      </c>
      <c r="P25">
        <v>0</v>
      </c>
      <c r="Q25">
        <v>100</v>
      </c>
      <c r="AJ25">
        <v>1</v>
      </c>
    </row>
    <row r="26" spans="1:36" x14ac:dyDescent="0.2">
      <c r="A26">
        <v>28</v>
      </c>
      <c r="B26">
        <v>756</v>
      </c>
      <c r="C26">
        <v>250</v>
      </c>
      <c r="D26">
        <v>0.32862119224602798</v>
      </c>
      <c r="E26">
        <v>7.9203154182887106E-2</v>
      </c>
      <c r="F26">
        <v>2.5430588954681599</v>
      </c>
      <c r="G26">
        <v>-1.2921467300182807</v>
      </c>
      <c r="H26">
        <v>-1.1317450899195476</v>
      </c>
      <c r="I26">
        <v>0.15585836865251201</v>
      </c>
      <c r="J26">
        <v>9.1775464753250699E-2</v>
      </c>
      <c r="K26">
        <v>3.1144836764901599E-2</v>
      </c>
      <c r="L26">
        <v>0</v>
      </c>
      <c r="M26">
        <v>1.2382833910659956E-6</v>
      </c>
      <c r="N26">
        <v>0</v>
      </c>
      <c r="O26" s="1">
        <v>4.4281492045511599E-14</v>
      </c>
      <c r="P26">
        <v>0</v>
      </c>
      <c r="Q26">
        <v>100</v>
      </c>
      <c r="AJ26">
        <v>1</v>
      </c>
    </row>
    <row r="27" spans="1:36" x14ac:dyDescent="0.2">
      <c r="A27">
        <v>29</v>
      </c>
      <c r="B27">
        <v>754</v>
      </c>
      <c r="C27">
        <v>250</v>
      </c>
      <c r="D27">
        <v>0.32717762741566497</v>
      </c>
      <c r="E27">
        <v>0.48781768240847001</v>
      </c>
      <c r="F27">
        <v>2.5430588954681599</v>
      </c>
      <c r="G27">
        <v>-7.9565019321072192</v>
      </c>
      <c r="H27">
        <v>-6.9716263266533192</v>
      </c>
      <c r="I27">
        <v>0.95884301752801404</v>
      </c>
      <c r="J27">
        <v>0.56510768262979505</v>
      </c>
      <c r="K27">
        <v>0.19182319500259401</v>
      </c>
      <c r="L27">
        <v>0</v>
      </c>
      <c r="M27">
        <v>1.2382833910659954E-6</v>
      </c>
      <c r="N27">
        <v>0</v>
      </c>
      <c r="O27" s="1">
        <v>2.7273275977559298E-13</v>
      </c>
      <c r="P27">
        <v>0</v>
      </c>
      <c r="Q27">
        <v>100</v>
      </c>
      <c r="AJ27">
        <v>1</v>
      </c>
    </row>
    <row r="28" spans="1:36" x14ac:dyDescent="0.2">
      <c r="A28">
        <v>30</v>
      </c>
      <c r="B28">
        <v>752</v>
      </c>
      <c r="C28">
        <v>250</v>
      </c>
      <c r="D28">
        <v>0.32572842998585799</v>
      </c>
      <c r="E28">
        <v>0.89255538279409297</v>
      </c>
      <c r="F28">
        <v>2.5430588954681599</v>
      </c>
      <c r="G28">
        <v>-14.554429298947719</v>
      </c>
      <c r="H28">
        <v>-12.75798619069033</v>
      </c>
      <c r="I28">
        <v>1.75237097815674</v>
      </c>
      <c r="J28">
        <v>1.0337080411635899</v>
      </c>
      <c r="K28">
        <v>0.35097707897550601</v>
      </c>
      <c r="L28">
        <v>0</v>
      </c>
      <c r="M28">
        <v>1.2382833910659952E-6</v>
      </c>
      <c r="N28">
        <v>0</v>
      </c>
      <c r="O28" s="1">
        <v>4.9901654159014302E-13</v>
      </c>
      <c r="P28">
        <v>0</v>
      </c>
      <c r="Q28">
        <v>100</v>
      </c>
      <c r="AJ28">
        <v>1</v>
      </c>
    </row>
    <row r="29" spans="1:36" x14ac:dyDescent="0.2">
      <c r="A29">
        <v>31</v>
      </c>
      <c r="B29">
        <v>750</v>
      </c>
      <c r="C29">
        <v>250</v>
      </c>
      <c r="D29">
        <v>0.324273566925672</v>
      </c>
      <c r="E29">
        <v>1.2934774617981299</v>
      </c>
      <c r="F29">
        <v>2.5430588954681599</v>
      </c>
      <c r="G29">
        <v>-21.08697783424974</v>
      </c>
      <c r="H29">
        <v>-18.491672031769426</v>
      </c>
      <c r="I29">
        <v>2.53658388553028</v>
      </c>
      <c r="J29">
        <v>1.49764927977395</v>
      </c>
      <c r="K29">
        <v>0.5086305567296</v>
      </c>
      <c r="L29">
        <v>0</v>
      </c>
      <c r="M29">
        <v>1.2382833910659954E-6</v>
      </c>
      <c r="N29">
        <v>0</v>
      </c>
      <c r="O29" s="1">
        <v>7.2316705725386501E-13</v>
      </c>
      <c r="P29">
        <v>0</v>
      </c>
      <c r="Q29">
        <v>100</v>
      </c>
      <c r="AJ29">
        <v>1</v>
      </c>
    </row>
    <row r="30" spans="1:36" x14ac:dyDescent="0.2">
      <c r="A30">
        <v>32</v>
      </c>
      <c r="B30">
        <v>748</v>
      </c>
      <c r="C30">
        <v>250</v>
      </c>
      <c r="D30">
        <v>0.32281300494540499</v>
      </c>
      <c r="E30">
        <v>1.6906438432258599</v>
      </c>
      <c r="F30">
        <v>2.5430588954681599</v>
      </c>
      <c r="G30">
        <v>-27.555174583804597</v>
      </c>
      <c r="H30">
        <v>-24.17351343621937</v>
      </c>
      <c r="I30">
        <v>3.3116203766197101</v>
      </c>
      <c r="J30">
        <v>1.9570025965864</v>
      </c>
      <c r="K30">
        <v>0.66480719193671201</v>
      </c>
      <c r="L30">
        <v>0</v>
      </c>
      <c r="M30">
        <v>1.2382833910659954E-6</v>
      </c>
      <c r="N30">
        <v>0</v>
      </c>
      <c r="O30" s="1">
        <v>9.452178094161659E-13</v>
      </c>
      <c r="P30">
        <v>0</v>
      </c>
      <c r="Q30">
        <v>100</v>
      </c>
      <c r="AJ30">
        <v>1</v>
      </c>
    </row>
    <row r="31" spans="1:36" x14ac:dyDescent="0.2">
      <c r="A31">
        <v>33</v>
      </c>
      <c r="B31">
        <v>746</v>
      </c>
      <c r="C31">
        <v>250</v>
      </c>
      <c r="D31">
        <v>0.32134671049404001</v>
      </c>
      <c r="E31">
        <v>2.08411320687406</v>
      </c>
      <c r="F31">
        <v>2.5430588954681599</v>
      </c>
      <c r="G31">
        <v>-33.960025292825549</v>
      </c>
      <c r="H31">
        <v>-29.804322764459698</v>
      </c>
      <c r="I31">
        <v>4.0776161785466796</v>
      </c>
      <c r="J31">
        <v>2.41183769445967</v>
      </c>
      <c r="K31">
        <v>0.81953005909066601</v>
      </c>
      <c r="L31">
        <v>0</v>
      </c>
      <c r="M31">
        <v>1.2382833910659954E-6</v>
      </c>
      <c r="N31">
        <v>0</v>
      </c>
      <c r="O31" s="1">
        <v>1.16520160521687E-12</v>
      </c>
      <c r="P31">
        <v>0</v>
      </c>
      <c r="Q31">
        <v>100</v>
      </c>
      <c r="AJ31">
        <v>1</v>
      </c>
    </row>
    <row r="32" spans="1:36" x14ac:dyDescent="0.2">
      <c r="A32">
        <v>34</v>
      </c>
      <c r="B32">
        <v>744</v>
      </c>
      <c r="C32">
        <v>250</v>
      </c>
      <c r="D32">
        <v>0.31987464975667701</v>
      </c>
      <c r="E32">
        <v>11.952989235534901</v>
      </c>
      <c r="F32">
        <v>2.5430588954681599</v>
      </c>
      <c r="G32">
        <v>-194.72377634122915</v>
      </c>
      <c r="H32">
        <v>-170.96403297313444</v>
      </c>
      <c r="I32">
        <v>23.359134216285401</v>
      </c>
      <c r="J32">
        <v>13.8289840406772</v>
      </c>
      <c r="K32">
        <v>4.7002408229065002</v>
      </c>
      <c r="L32">
        <v>0</v>
      </c>
      <c r="M32">
        <v>1.2382833910659954E-6</v>
      </c>
      <c r="N32">
        <v>0</v>
      </c>
      <c r="O32" s="1">
        <v>6.6827666551162396E-12</v>
      </c>
      <c r="P32">
        <v>0</v>
      </c>
      <c r="Q32">
        <v>100</v>
      </c>
      <c r="AJ32">
        <v>1</v>
      </c>
    </row>
    <row r="33" spans="1:36" x14ac:dyDescent="0.2">
      <c r="A33">
        <v>35</v>
      </c>
      <c r="B33">
        <v>742</v>
      </c>
      <c r="C33">
        <v>250</v>
      </c>
      <c r="D33">
        <v>0.318396788651924</v>
      </c>
      <c r="E33">
        <v>27.930656852766099</v>
      </c>
      <c r="F33">
        <v>2.5430588954681599</v>
      </c>
      <c r="G33">
        <v>-454.90368634186888</v>
      </c>
      <c r="H33">
        <v>-399.55780510957339</v>
      </c>
      <c r="I33">
        <v>54.519904676447297</v>
      </c>
      <c r="J33">
        <v>32.305862707428801</v>
      </c>
      <c r="K33">
        <v>10.983094769271601</v>
      </c>
      <c r="L33">
        <v>0</v>
      </c>
      <c r="M33">
        <v>1.2382833910659952E-6</v>
      </c>
      <c r="N33">
        <v>0</v>
      </c>
      <c r="O33" s="1">
        <v>1.56156806128676E-11</v>
      </c>
      <c r="P33">
        <v>0</v>
      </c>
      <c r="Q33">
        <v>100</v>
      </c>
      <c r="AJ33">
        <v>1</v>
      </c>
    </row>
    <row r="34" spans="1:36" x14ac:dyDescent="0.2">
      <c r="A34">
        <v>36</v>
      </c>
      <c r="B34">
        <v>740</v>
      </c>
      <c r="C34">
        <v>250</v>
      </c>
      <c r="D34">
        <v>0.31691309282929903</v>
      </c>
      <c r="E34">
        <v>31.6923278993828</v>
      </c>
      <c r="F34">
        <v>2.5430588954681599</v>
      </c>
      <c r="G34">
        <v>-516.04597625675672</v>
      </c>
      <c r="H34">
        <v>-453.44312768295788</v>
      </c>
      <c r="I34">
        <v>61.7903060492512</v>
      </c>
      <c r="J34">
        <v>36.647153742699601</v>
      </c>
      <c r="K34">
        <v>12.462286247424201</v>
      </c>
      <c r="L34">
        <v>0</v>
      </c>
      <c r="M34">
        <v>1.2382833910659954E-6</v>
      </c>
      <c r="N34">
        <v>0</v>
      </c>
      <c r="O34" s="1">
        <v>1.7718783806762599E-11</v>
      </c>
      <c r="P34">
        <v>0</v>
      </c>
      <c r="Q34">
        <v>100</v>
      </c>
      <c r="AJ34">
        <v>1</v>
      </c>
    </row>
    <row r="35" spans="1:36" x14ac:dyDescent="0.2">
      <c r="A35">
        <v>38</v>
      </c>
      <c r="B35">
        <v>756</v>
      </c>
      <c r="C35">
        <v>225</v>
      </c>
      <c r="D35">
        <v>0.35534227274935698</v>
      </c>
      <c r="E35">
        <v>9.8613152939285798E-2</v>
      </c>
      <c r="F35">
        <v>2.5422717692855801</v>
      </c>
      <c r="G35">
        <v>-1.609777521771101</v>
      </c>
      <c r="H35">
        <v>-1.4100668962290401</v>
      </c>
      <c r="I35">
        <v>0.19405395281743201</v>
      </c>
      <c r="J35">
        <v>0.114266509145437</v>
      </c>
      <c r="K35">
        <v>3.8789382838876202E-2</v>
      </c>
      <c r="L35">
        <v>0</v>
      </c>
      <c r="M35">
        <v>1.2382554563563434E-6</v>
      </c>
      <c r="N35">
        <v>0</v>
      </c>
      <c r="O35" s="1">
        <v>5.5133379377551301E-14</v>
      </c>
      <c r="P35">
        <v>0</v>
      </c>
      <c r="Q35">
        <v>100</v>
      </c>
      <c r="AJ35">
        <v>1</v>
      </c>
    </row>
    <row r="36" spans="1:36" x14ac:dyDescent="0.2">
      <c r="A36">
        <v>39</v>
      </c>
      <c r="B36">
        <v>754</v>
      </c>
      <c r="C36">
        <v>225</v>
      </c>
      <c r="D36">
        <v>0.35395073747748601</v>
      </c>
      <c r="E36">
        <v>0.49401265408907302</v>
      </c>
      <c r="F36">
        <v>2.5422717692855801</v>
      </c>
      <c r="G36">
        <v>-8.0624016357970856</v>
      </c>
      <c r="H36">
        <v>-7.0650187418525769</v>
      </c>
      <c r="I36">
        <v>0.97101970884925104</v>
      </c>
      <c r="J36">
        <v>0.572284187739446</v>
      </c>
      <c r="K36">
        <v>0.19431937216841999</v>
      </c>
      <c r="L36">
        <v>0</v>
      </c>
      <c r="M36">
        <v>1.2382554563563434E-6</v>
      </c>
      <c r="N36">
        <v>0</v>
      </c>
      <c r="O36" s="1">
        <v>2.7619629089410502E-13</v>
      </c>
      <c r="P36">
        <v>0</v>
      </c>
      <c r="Q36">
        <v>100</v>
      </c>
      <c r="AJ36">
        <v>1</v>
      </c>
    </row>
    <row r="37" spans="1:36" x14ac:dyDescent="0.2">
      <c r="A37">
        <v>40</v>
      </c>
      <c r="B37">
        <v>752</v>
      </c>
      <c r="C37">
        <v>225</v>
      </c>
      <c r="D37">
        <v>0.35255377261864101</v>
      </c>
      <c r="E37">
        <v>0.88575391625328004</v>
      </c>
      <c r="F37">
        <v>2.5422717692855801</v>
      </c>
      <c r="G37">
        <v>-14.452230287552338</v>
      </c>
      <c r="H37">
        <v>-12.669476467297491</v>
      </c>
      <c r="I37">
        <v>1.73901752939067</v>
      </c>
      <c r="J37">
        <v>1.0258309606031299</v>
      </c>
      <c r="K37">
        <v>0.34841039693493903</v>
      </c>
      <c r="L37">
        <v>0</v>
      </c>
      <c r="M37">
        <v>1.2382554563563434E-6</v>
      </c>
      <c r="N37">
        <v>0</v>
      </c>
      <c r="O37" s="1">
        <v>4.9521392678733597E-13</v>
      </c>
      <c r="P37">
        <v>0</v>
      </c>
      <c r="Q37">
        <v>100</v>
      </c>
      <c r="AJ37">
        <v>1</v>
      </c>
    </row>
    <row r="38" spans="1:36" x14ac:dyDescent="0.2">
      <c r="A38">
        <v>41</v>
      </c>
      <c r="B38">
        <v>750</v>
      </c>
      <c r="C38">
        <v>225</v>
      </c>
      <c r="D38">
        <v>0.35115134633240402</v>
      </c>
      <c r="E38">
        <v>1.8457004631568901</v>
      </c>
      <c r="F38">
        <v>2.5422717692855801</v>
      </c>
      <c r="G38">
        <v>-30.107766876395459</v>
      </c>
      <c r="H38">
        <v>-26.404449839071418</v>
      </c>
      <c r="I38">
        <v>3.61952503281438</v>
      </c>
      <c r="J38">
        <v>2.1370391452222801</v>
      </c>
      <c r="K38">
        <v>0.72600438924574995</v>
      </c>
      <c r="L38">
        <v>0</v>
      </c>
      <c r="M38">
        <v>1.2382554563563432E-6</v>
      </c>
      <c r="N38">
        <v>0</v>
      </c>
      <c r="O38" s="1">
        <v>1.03190802463442E-12</v>
      </c>
      <c r="P38">
        <v>0</v>
      </c>
      <c r="Q38">
        <v>100</v>
      </c>
      <c r="AJ38">
        <v>1</v>
      </c>
    </row>
    <row r="39" spans="1:36" x14ac:dyDescent="0.2">
      <c r="A39">
        <v>42</v>
      </c>
      <c r="B39">
        <v>748</v>
      </c>
      <c r="C39">
        <v>225</v>
      </c>
      <c r="D39">
        <v>0.34974342652891699</v>
      </c>
      <c r="E39">
        <v>13.151827086101701</v>
      </c>
      <c r="F39">
        <v>2.5422717692855801</v>
      </c>
      <c r="G39">
        <v>-214.48604475417491</v>
      </c>
      <c r="H39">
        <v>-188.17948535963816</v>
      </c>
      <c r="I39">
        <v>25.761699451144999</v>
      </c>
      <c r="J39">
        <v>15.2238804526956</v>
      </c>
      <c r="K39">
        <v>5.1732577315278698</v>
      </c>
      <c r="L39">
        <v>0</v>
      </c>
      <c r="M39">
        <v>1.2382554563563432E-6</v>
      </c>
      <c r="N39">
        <v>0</v>
      </c>
      <c r="O39" s="1">
        <v>7.3530218904209694E-12</v>
      </c>
      <c r="P39">
        <v>0</v>
      </c>
      <c r="Q39">
        <v>100</v>
      </c>
      <c r="AJ39">
        <v>1</v>
      </c>
    </row>
    <row r="40" spans="1:36" x14ac:dyDescent="0.2">
      <c r="A40">
        <v>43</v>
      </c>
      <c r="B40">
        <v>746</v>
      </c>
      <c r="C40">
        <v>225</v>
      </c>
      <c r="D40">
        <v>0.34832998086640898</v>
      </c>
      <c r="E40">
        <v>28.670269383874199</v>
      </c>
      <c r="F40">
        <v>2.5422717692855801</v>
      </c>
      <c r="G40">
        <v>-467.45568562900388</v>
      </c>
      <c r="H40">
        <v>-410.28743268836803</v>
      </c>
      <c r="I40">
        <v>56.094051847751302</v>
      </c>
      <c r="J40">
        <v>33.178637409076003</v>
      </c>
      <c r="K40">
        <v>11.277421135794199</v>
      </c>
      <c r="L40">
        <v>0</v>
      </c>
      <c r="M40">
        <v>1.2382554563563436E-6</v>
      </c>
      <c r="N40">
        <v>0</v>
      </c>
      <c r="O40" s="1">
        <v>1.6029188720605401E-11</v>
      </c>
      <c r="P40">
        <v>0</v>
      </c>
      <c r="Q40">
        <v>100</v>
      </c>
      <c r="AJ40">
        <v>1</v>
      </c>
    </row>
    <row r="41" spans="1:36" x14ac:dyDescent="0.2">
      <c r="A41">
        <v>44</v>
      </c>
      <c r="B41">
        <v>744</v>
      </c>
      <c r="C41">
        <v>225</v>
      </c>
      <c r="D41">
        <v>0.34691097674876298</v>
      </c>
      <c r="E41">
        <v>31.722004195720299</v>
      </c>
      <c r="F41">
        <v>2.5422717692855801</v>
      </c>
      <c r="G41">
        <v>-517.08877434841531</v>
      </c>
      <c r="H41">
        <v>-454.03285888157546</v>
      </c>
      <c r="I41">
        <v>61.992739976247201</v>
      </c>
      <c r="J41">
        <v>36.7007014828352</v>
      </c>
      <c r="K41">
        <v>12.477817902463901</v>
      </c>
      <c r="L41">
        <v>0</v>
      </c>
      <c r="M41">
        <v>1.2382554563563434E-6</v>
      </c>
      <c r="N41">
        <v>0</v>
      </c>
      <c r="O41" s="1">
        <v>1.77353754525597E-11</v>
      </c>
      <c r="P41">
        <v>0</v>
      </c>
      <c r="Q41">
        <v>100</v>
      </c>
      <c r="AJ41">
        <v>1</v>
      </c>
    </row>
    <row r="42" spans="1:36" x14ac:dyDescent="0.2">
      <c r="A42">
        <v>46</v>
      </c>
      <c r="B42">
        <v>756</v>
      </c>
      <c r="C42">
        <v>200</v>
      </c>
      <c r="D42">
        <v>0.38206335325268598</v>
      </c>
      <c r="E42">
        <v>0.80504012524828905</v>
      </c>
      <c r="F42">
        <v>2.5414849045122199</v>
      </c>
      <c r="G42">
        <v>-13.149526763770597</v>
      </c>
      <c r="H42">
        <v>-11.519165476176628</v>
      </c>
      <c r="I42">
        <v>1.5841823714657399</v>
      </c>
      <c r="J42">
        <v>0.93282814809464198</v>
      </c>
      <c r="K42">
        <v>0.316759750891693</v>
      </c>
      <c r="L42">
        <v>0</v>
      </c>
      <c r="M42">
        <v>1.2382274289707085E-6</v>
      </c>
      <c r="N42">
        <v>0</v>
      </c>
      <c r="O42" s="1">
        <v>4.5008785660460601E-13</v>
      </c>
      <c r="P42">
        <v>0</v>
      </c>
      <c r="Q42">
        <v>100</v>
      </c>
      <c r="AJ42">
        <v>1</v>
      </c>
    </row>
    <row r="43" spans="1:36" x14ac:dyDescent="0.2">
      <c r="A43">
        <v>47</v>
      </c>
      <c r="B43">
        <v>754</v>
      </c>
      <c r="C43">
        <v>200</v>
      </c>
      <c r="D43">
        <v>0.38072384753930699</v>
      </c>
      <c r="E43">
        <v>4.9002019375080099</v>
      </c>
      <c r="F43">
        <v>2.5414849045122199</v>
      </c>
      <c r="G43">
        <v>-80.020632221751356</v>
      </c>
      <c r="H43">
        <v>-70.127408740753211</v>
      </c>
      <c r="I43">
        <v>9.6317222226531101</v>
      </c>
      <c r="J43">
        <v>5.6765916062150099</v>
      </c>
      <c r="K43">
        <v>1.92808618646841</v>
      </c>
      <c r="L43">
        <v>0</v>
      </c>
      <c r="M43">
        <v>1.2382274289707085E-6</v>
      </c>
      <c r="N43">
        <v>0</v>
      </c>
      <c r="O43" s="1">
        <v>2.7396415629624601E-12</v>
      </c>
      <c r="P43">
        <v>0</v>
      </c>
      <c r="Q43">
        <v>100</v>
      </c>
      <c r="AJ43">
        <v>1</v>
      </c>
    </row>
    <row r="44" spans="1:36" x14ac:dyDescent="0.2">
      <c r="A44">
        <v>48</v>
      </c>
      <c r="B44">
        <v>752</v>
      </c>
      <c r="C44">
        <v>200</v>
      </c>
      <c r="D44">
        <v>0.37937911525142798</v>
      </c>
      <c r="E44">
        <v>15.9052514801621</v>
      </c>
      <c r="F44">
        <v>2.5414849045122199</v>
      </c>
      <c r="G44">
        <v>-259.67135258690871</v>
      </c>
      <c r="H44">
        <v>-227.65890836502507</v>
      </c>
      <c r="I44">
        <v>31.227083082362199</v>
      </c>
      <c r="J44">
        <v>18.4205783402526</v>
      </c>
      <c r="K44">
        <v>6.2582514072475997</v>
      </c>
      <c r="L44">
        <v>0</v>
      </c>
      <c r="M44">
        <v>1.2382274289707085E-6</v>
      </c>
      <c r="N44">
        <v>0</v>
      </c>
      <c r="O44" s="1">
        <v>8.8924270020149908E-12</v>
      </c>
      <c r="P44">
        <v>0</v>
      </c>
      <c r="Q44">
        <v>100</v>
      </c>
      <c r="AJ44">
        <v>1</v>
      </c>
    </row>
    <row r="45" spans="1:36" x14ac:dyDescent="0.2">
      <c r="A45">
        <v>49</v>
      </c>
      <c r="B45">
        <v>750</v>
      </c>
      <c r="C45">
        <v>200</v>
      </c>
      <c r="D45">
        <v>0.37802912573913899</v>
      </c>
      <c r="E45">
        <v>30.093506961751</v>
      </c>
      <c r="F45">
        <v>2.5414849045122199</v>
      </c>
      <c r="G45">
        <v>-491.19269090421091</v>
      </c>
      <c r="H45">
        <v>-430.81138891674493</v>
      </c>
      <c r="I45">
        <v>59.015102367654698</v>
      </c>
      <c r="J45">
        <v>34.843683294245601</v>
      </c>
      <c r="K45">
        <v>11.840915091929901</v>
      </c>
      <c r="L45">
        <v>0</v>
      </c>
      <c r="M45">
        <v>1.2382274289707085E-6</v>
      </c>
      <c r="N45">
        <v>0</v>
      </c>
      <c r="O45" s="1">
        <v>1.6824903034432999E-11</v>
      </c>
      <c r="P45">
        <v>0</v>
      </c>
      <c r="Q45">
        <v>100</v>
      </c>
      <c r="AJ45">
        <v>1</v>
      </c>
    </row>
    <row r="46" spans="1:36" x14ac:dyDescent="0.2">
      <c r="A46">
        <v>50</v>
      </c>
      <c r="B46">
        <v>748</v>
      </c>
      <c r="C46">
        <v>200</v>
      </c>
      <c r="D46">
        <v>0.37667384811242399</v>
      </c>
      <c r="E46">
        <v>31.9425948992873</v>
      </c>
      <c r="F46">
        <v>2.5414849045122199</v>
      </c>
      <c r="G46">
        <v>-521.24869158078138</v>
      </c>
      <c r="H46">
        <v>-457.35644570250935</v>
      </c>
      <c r="I46">
        <v>62.568913360693301</v>
      </c>
      <c r="J46">
        <v>36.9751094590899</v>
      </c>
      <c r="K46">
        <v>12.568477130269599</v>
      </c>
      <c r="L46">
        <v>0</v>
      </c>
      <c r="M46">
        <v>1.2382274289707085E-6</v>
      </c>
      <c r="N46">
        <v>0</v>
      </c>
      <c r="O46" s="1">
        <v>1.7858704953588801E-11</v>
      </c>
      <c r="P46">
        <v>0</v>
      </c>
      <c r="Q46">
        <v>100</v>
      </c>
      <c r="AJ46">
        <v>1</v>
      </c>
    </row>
    <row r="47" spans="1:36" x14ac:dyDescent="0.2">
      <c r="A47">
        <v>54</v>
      </c>
      <c r="B47">
        <v>762</v>
      </c>
      <c r="C47">
        <v>175</v>
      </c>
      <c r="D47">
        <v>0.41261701202724399</v>
      </c>
      <c r="E47">
        <v>0.54608564195813403</v>
      </c>
      <c r="F47">
        <v>2.5406983011149902</v>
      </c>
      <c r="G47">
        <v>-8.9315950186217758</v>
      </c>
      <c r="H47">
        <v>-7.8154097071876727</v>
      </c>
      <c r="I47">
        <v>1.0782836414375701</v>
      </c>
      <c r="J47">
        <v>0.63324705193774899</v>
      </c>
      <c r="K47">
        <v>0.21493525686165901</v>
      </c>
      <c r="L47">
        <v>0</v>
      </c>
      <c r="M47">
        <v>1.238199309002582E-6</v>
      </c>
      <c r="N47">
        <v>0</v>
      </c>
      <c r="O47" s="1">
        <v>3.053096465666E-13</v>
      </c>
      <c r="P47">
        <v>0</v>
      </c>
      <c r="Q47">
        <v>100</v>
      </c>
      <c r="AJ47">
        <v>1</v>
      </c>
    </row>
    <row r="48" spans="1:36" x14ac:dyDescent="0.2">
      <c r="A48">
        <v>55</v>
      </c>
      <c r="B48">
        <v>760</v>
      </c>
      <c r="C48">
        <v>175</v>
      </c>
      <c r="D48">
        <v>0.41134443207665999</v>
      </c>
      <c r="E48">
        <v>2.53489587026101</v>
      </c>
      <c r="F48">
        <v>2.5406983011149902</v>
      </c>
      <c r="G48">
        <v>-41.449908252559723</v>
      </c>
      <c r="H48">
        <v>-36.284528097965563</v>
      </c>
      <c r="I48">
        <v>4.9996420215788202</v>
      </c>
      <c r="J48">
        <v>2.9387565390271599</v>
      </c>
      <c r="K48">
        <v>0.99771620626839497</v>
      </c>
      <c r="L48">
        <v>0</v>
      </c>
      <c r="M48">
        <v>1.238199309002582E-6</v>
      </c>
      <c r="N48">
        <v>0</v>
      </c>
      <c r="O48" s="1">
        <v>1.4172285494586501E-12</v>
      </c>
      <c r="P48">
        <v>0</v>
      </c>
      <c r="Q48">
        <v>100</v>
      </c>
      <c r="AJ48">
        <v>1</v>
      </c>
    </row>
    <row r="49" spans="1:36" x14ac:dyDescent="0.2">
      <c r="A49">
        <v>56</v>
      </c>
      <c r="B49">
        <v>758</v>
      </c>
      <c r="C49">
        <v>175</v>
      </c>
      <c r="D49">
        <v>0.41006691557969399</v>
      </c>
      <c r="E49">
        <v>13.7215376845274</v>
      </c>
      <c r="F49">
        <v>2.5406983011149902</v>
      </c>
      <c r="G49">
        <v>-224.31665037231019</v>
      </c>
      <c r="H49">
        <v>-196.44205660217546</v>
      </c>
      <c r="I49">
        <v>27.032530446719399</v>
      </c>
      <c r="J49">
        <v>15.903650898485701</v>
      </c>
      <c r="K49">
        <v>5.4006954223985</v>
      </c>
      <c r="L49">
        <v>0</v>
      </c>
      <c r="M49">
        <v>1.238199309002582E-6</v>
      </c>
      <c r="N49">
        <v>0</v>
      </c>
      <c r="O49" s="1">
        <v>7.6715399544134704E-12</v>
      </c>
      <c r="P49">
        <v>0</v>
      </c>
      <c r="Q49">
        <v>100</v>
      </c>
      <c r="AJ49">
        <v>1</v>
      </c>
    </row>
    <row r="50" spans="1:36" x14ac:dyDescent="0.2">
      <c r="A50">
        <v>57</v>
      </c>
      <c r="B50">
        <v>756</v>
      </c>
      <c r="C50">
        <v>175</v>
      </c>
      <c r="D50">
        <v>0.40878443375601398</v>
      </c>
      <c r="E50">
        <v>28.097857468441401</v>
      </c>
      <c r="F50">
        <v>2.5406983011149902</v>
      </c>
      <c r="G50">
        <v>-459.2268862036006</v>
      </c>
      <c r="H50">
        <v>-402.32331376769093</v>
      </c>
      <c r="I50">
        <v>55.2918159995235</v>
      </c>
      <c r="J50">
        <v>32.557970125563102</v>
      </c>
      <c r="K50">
        <v>11.0591082208031</v>
      </c>
      <c r="L50">
        <v>0</v>
      </c>
      <c r="M50">
        <v>1.238199309002582E-6</v>
      </c>
      <c r="N50">
        <v>0</v>
      </c>
      <c r="O50" s="1">
        <v>1.5709160384089E-11</v>
      </c>
      <c r="P50">
        <v>0</v>
      </c>
      <c r="Q50">
        <v>100</v>
      </c>
      <c r="AJ50">
        <v>1</v>
      </c>
    </row>
    <row r="51" spans="1:36" x14ac:dyDescent="0.2">
      <c r="A51">
        <v>58</v>
      </c>
      <c r="B51">
        <v>754</v>
      </c>
      <c r="C51">
        <v>175</v>
      </c>
      <c r="D51">
        <v>0.40749695760112897</v>
      </c>
      <c r="E51">
        <v>31.413402383744501</v>
      </c>
      <c r="F51">
        <v>2.5406983011149902</v>
      </c>
      <c r="G51">
        <v>-513.2920600267563</v>
      </c>
      <c r="H51">
        <v>-449.87022271387383</v>
      </c>
      <c r="I51">
        <v>61.745448389117797</v>
      </c>
      <c r="J51">
        <v>36.3905525870845</v>
      </c>
      <c r="K51">
        <v>12.3640820989877</v>
      </c>
      <c r="L51">
        <v>0</v>
      </c>
      <c r="M51">
        <v>1.2381993090025817E-6</v>
      </c>
      <c r="N51">
        <v>0</v>
      </c>
      <c r="O51" s="1">
        <v>1.7562840042534399E-11</v>
      </c>
      <c r="P51">
        <v>0</v>
      </c>
      <c r="Q51">
        <v>100</v>
      </c>
      <c r="AJ51">
        <v>1</v>
      </c>
    </row>
    <row r="52" spans="1:36" x14ac:dyDescent="0.2">
      <c r="A52">
        <v>64</v>
      </c>
      <c r="B52">
        <v>768</v>
      </c>
      <c r="C52">
        <v>150</v>
      </c>
      <c r="D52">
        <v>0.442818517984921</v>
      </c>
      <c r="E52">
        <v>1.61003742412109</v>
      </c>
      <c r="F52">
        <v>2.53991195906073</v>
      </c>
      <c r="G52">
        <v>-26.368188386859266</v>
      </c>
      <c r="H52">
        <v>-23.046998923812804</v>
      </c>
      <c r="I52">
        <v>3.1899240868716898</v>
      </c>
      <c r="J52">
        <v>1.86841020182322</v>
      </c>
      <c r="K52">
        <v>0.63389497355510105</v>
      </c>
      <c r="L52">
        <v>0</v>
      </c>
      <c r="M52">
        <v>1.2381710965453893E-6</v>
      </c>
      <c r="N52">
        <v>0</v>
      </c>
      <c r="O52" s="1">
        <v>9.0015176951877297E-13</v>
      </c>
      <c r="P52">
        <v>0</v>
      </c>
      <c r="Q52">
        <v>100</v>
      </c>
      <c r="AJ52">
        <v>1</v>
      </c>
    </row>
    <row r="53" spans="1:36" x14ac:dyDescent="0.2">
      <c r="A53">
        <v>65</v>
      </c>
      <c r="B53">
        <v>766</v>
      </c>
      <c r="C53">
        <v>150</v>
      </c>
      <c r="D53">
        <v>0.44161141317423203</v>
      </c>
      <c r="E53">
        <v>7.4052769007221304</v>
      </c>
      <c r="F53">
        <v>2.53991195906073</v>
      </c>
      <c r="G53">
        <v>-121.24967749285912</v>
      </c>
      <c r="H53">
        <v>-106.02056509581944</v>
      </c>
      <c r="I53">
        <v>14.655355239416499</v>
      </c>
      <c r="J53">
        <v>8.5915219693617502</v>
      </c>
      <c r="K53">
        <v>2.9155644054137202</v>
      </c>
      <c r="L53">
        <v>0</v>
      </c>
      <c r="M53">
        <v>1.2381710965453893E-6</v>
      </c>
      <c r="N53">
        <v>0</v>
      </c>
      <c r="O53" s="1">
        <v>4.1401976165866902E-12</v>
      </c>
      <c r="P53">
        <v>0</v>
      </c>
      <c r="Q53">
        <v>100</v>
      </c>
      <c r="AJ53">
        <v>1</v>
      </c>
    </row>
    <row r="54" spans="1:36" x14ac:dyDescent="0.2">
      <c r="A54">
        <v>66</v>
      </c>
      <c r="B54">
        <v>764</v>
      </c>
      <c r="C54">
        <v>150</v>
      </c>
      <c r="D54">
        <v>0.44039965289495597</v>
      </c>
      <c r="E54">
        <v>20.077409625388999</v>
      </c>
      <c r="F54">
        <v>2.53991195906073</v>
      </c>
      <c r="G54">
        <v>-328.65635190111328</v>
      </c>
      <c r="H54">
        <v>-287.49272861217986</v>
      </c>
      <c r="I54">
        <v>39.689170601102397</v>
      </c>
      <c r="J54">
        <v>23.2878039636423</v>
      </c>
      <c r="K54">
        <v>7.9047659718149204</v>
      </c>
      <c r="L54">
        <v>0</v>
      </c>
      <c r="M54">
        <v>1.2381710965453891E-6</v>
      </c>
      <c r="N54">
        <v>0</v>
      </c>
      <c r="O54" s="1">
        <v>1.12250283943014E-11</v>
      </c>
      <c r="P54">
        <v>0</v>
      </c>
      <c r="Q54">
        <v>100</v>
      </c>
      <c r="AJ54">
        <v>1</v>
      </c>
    </row>
    <row r="55" spans="1:36" x14ac:dyDescent="0.2">
      <c r="A55">
        <v>67</v>
      </c>
      <c r="B55">
        <v>762</v>
      </c>
      <c r="C55">
        <v>150</v>
      </c>
      <c r="D55">
        <v>0.439183210162781</v>
      </c>
      <c r="E55">
        <v>29.182657115280701</v>
      </c>
      <c r="F55">
        <v>2.53991195906073</v>
      </c>
      <c r="G55">
        <v>-477.58902395947348</v>
      </c>
      <c r="H55">
        <v>-417.94040711634551</v>
      </c>
      <c r="I55">
        <v>57.6231626750982</v>
      </c>
      <c r="J55">
        <v>33.840537392079</v>
      </c>
      <c r="K55">
        <v>11.4896333359809</v>
      </c>
      <c r="L55">
        <v>0</v>
      </c>
      <c r="M55">
        <v>1.2381710965453893E-6</v>
      </c>
      <c r="N55">
        <v>0</v>
      </c>
      <c r="O55" s="1">
        <v>1.631565828721E-11</v>
      </c>
      <c r="P55">
        <v>0</v>
      </c>
      <c r="Q55">
        <v>100</v>
      </c>
      <c r="AJ55">
        <v>1</v>
      </c>
    </row>
    <row r="56" spans="1:36" x14ac:dyDescent="0.2">
      <c r="A56">
        <v>68</v>
      </c>
      <c r="B56">
        <v>760</v>
      </c>
      <c r="C56">
        <v>150</v>
      </c>
      <c r="D56">
        <v>0.43796205778444602</v>
      </c>
      <c r="E56">
        <v>31.538837288446899</v>
      </c>
      <c r="F56">
        <v>2.53991195906073</v>
      </c>
      <c r="G56">
        <v>-516.02463017920331</v>
      </c>
      <c r="H56">
        <v>-451.75765726723779</v>
      </c>
      <c r="I56">
        <v>62.204881103388203</v>
      </c>
      <c r="J56">
        <v>36.563618017647997</v>
      </c>
      <c r="K56">
        <v>12.4172954798441</v>
      </c>
      <c r="L56">
        <v>0</v>
      </c>
      <c r="M56">
        <v>1.2381710965453889E-6</v>
      </c>
      <c r="N56">
        <v>0</v>
      </c>
      <c r="O56" s="1">
        <v>1.7632969127570401E-11</v>
      </c>
      <c r="P56">
        <v>0</v>
      </c>
      <c r="Q56">
        <v>100</v>
      </c>
      <c r="AJ56">
        <v>1</v>
      </c>
    </row>
    <row r="57" spans="1:36" x14ac:dyDescent="0.2">
      <c r="A57">
        <v>76</v>
      </c>
      <c r="B57">
        <v>778</v>
      </c>
      <c r="C57">
        <v>125</v>
      </c>
      <c r="D57">
        <v>0.47494696285021398</v>
      </c>
      <c r="E57">
        <v>0.881230583489504</v>
      </c>
      <c r="F57">
        <v>2.5391258783161499</v>
      </c>
      <c r="G57">
        <v>-14.458428406475782</v>
      </c>
      <c r="H57">
        <v>-12.612882325498783</v>
      </c>
      <c r="I57">
        <v>1.7557399809513301</v>
      </c>
      <c r="J57">
        <v>1.02389607552326</v>
      </c>
      <c r="K57">
        <v>0.34706061287276602</v>
      </c>
      <c r="L57">
        <v>0</v>
      </c>
      <c r="M57">
        <v>1.2381427916924884E-6</v>
      </c>
      <c r="N57">
        <v>0</v>
      </c>
      <c r="O57" s="1">
        <v>4.9268498806179198E-13</v>
      </c>
      <c r="P57">
        <v>0</v>
      </c>
      <c r="Q57">
        <v>100</v>
      </c>
      <c r="AJ57">
        <v>1</v>
      </c>
    </row>
    <row r="58" spans="1:36" x14ac:dyDescent="0.2">
      <c r="A58">
        <v>77</v>
      </c>
      <c r="B58">
        <v>776</v>
      </c>
      <c r="C58">
        <v>125</v>
      </c>
      <c r="D58">
        <v>0.47381261020826598</v>
      </c>
      <c r="E58">
        <v>3.0835470388010999</v>
      </c>
      <c r="F58">
        <v>2.5391258783161499</v>
      </c>
      <c r="G58">
        <v>-50.579749648377167</v>
      </c>
      <c r="H58">
        <v>-44.141374998361954</v>
      </c>
      <c r="I58">
        <v>6.1367532288187698</v>
      </c>
      <c r="J58">
        <v>3.5818866299651799</v>
      </c>
      <c r="K58">
        <v>1.21441282810523</v>
      </c>
      <c r="L58">
        <v>0</v>
      </c>
      <c r="M58">
        <v>1.2381427916924881E-6</v>
      </c>
      <c r="N58">
        <v>0</v>
      </c>
      <c r="O58" s="1">
        <v>1.7239725498221899E-12</v>
      </c>
      <c r="P58">
        <v>0</v>
      </c>
      <c r="Q58">
        <v>100</v>
      </c>
      <c r="AJ58">
        <v>1</v>
      </c>
    </row>
    <row r="59" spans="1:36" x14ac:dyDescent="0.2">
      <c r="A59">
        <v>78</v>
      </c>
      <c r="B59">
        <v>774</v>
      </c>
      <c r="C59">
        <v>125</v>
      </c>
      <c r="D59">
        <v>0.47267392446163797</v>
      </c>
      <c r="E59">
        <v>11.057183048809399</v>
      </c>
      <c r="F59">
        <v>2.5391258783161499</v>
      </c>
      <c r="G59">
        <v>-181.3281615373453</v>
      </c>
      <c r="H59">
        <v>-158.31069180285274</v>
      </c>
      <c r="I59">
        <v>21.981062631421</v>
      </c>
      <c r="J59">
        <v>12.841040776072999</v>
      </c>
      <c r="K59">
        <v>4.3547203166398996</v>
      </c>
      <c r="L59">
        <v>0</v>
      </c>
      <c r="M59">
        <v>1.2381427916924881E-6</v>
      </c>
      <c r="N59">
        <v>0</v>
      </c>
      <c r="O59" s="1">
        <v>6.1819326297413201E-12</v>
      </c>
      <c r="P59">
        <v>0</v>
      </c>
      <c r="Q59">
        <v>100</v>
      </c>
      <c r="AJ59">
        <v>1</v>
      </c>
    </row>
    <row r="60" spans="1:36" x14ac:dyDescent="0.2">
      <c r="A60">
        <v>79</v>
      </c>
      <c r="B60">
        <v>772</v>
      </c>
      <c r="C60">
        <v>125</v>
      </c>
      <c r="D60">
        <v>0.47153088073482102</v>
      </c>
      <c r="E60">
        <v>23.121838037392799</v>
      </c>
      <c r="F60">
        <v>2.5391258783161499</v>
      </c>
      <c r="G60">
        <v>-379.08610596713521</v>
      </c>
      <c r="H60">
        <v>-331.09951276101782</v>
      </c>
      <c r="I60">
        <v>45.913594418138402</v>
      </c>
      <c r="J60">
        <v>26.845535537042199</v>
      </c>
      <c r="K60">
        <v>9.1062196777445195</v>
      </c>
      <c r="L60">
        <v>0</v>
      </c>
      <c r="M60">
        <v>1.2381427916924881E-6</v>
      </c>
      <c r="N60">
        <v>0</v>
      </c>
      <c r="O60" s="1">
        <v>1.2927130209564799E-11</v>
      </c>
      <c r="P60">
        <v>0</v>
      </c>
      <c r="Q60">
        <v>100</v>
      </c>
      <c r="AJ60">
        <v>1</v>
      </c>
    </row>
    <row r="61" spans="1:36" x14ac:dyDescent="0.2">
      <c r="A61">
        <v>80</v>
      </c>
      <c r="B61">
        <v>770</v>
      </c>
      <c r="C61">
        <v>125</v>
      </c>
      <c r="D61">
        <v>0.47038345396155901</v>
      </c>
      <c r="E61">
        <v>29.5110654353043</v>
      </c>
      <c r="F61">
        <v>2.5391258783161499</v>
      </c>
      <c r="G61">
        <v>-483.7213399479985</v>
      </c>
      <c r="H61">
        <v>-422.66032905783243</v>
      </c>
      <c r="I61">
        <v>58.535216306538899</v>
      </c>
      <c r="J61">
        <v>34.255327070551999</v>
      </c>
      <c r="K61">
        <v>11.622529504080701</v>
      </c>
      <c r="L61">
        <v>0</v>
      </c>
      <c r="M61">
        <v>1.2381427916924881E-6</v>
      </c>
      <c r="N61">
        <v>0</v>
      </c>
      <c r="O61" s="1">
        <v>1.6499267267948601E-11</v>
      </c>
      <c r="P61">
        <v>0</v>
      </c>
      <c r="Q61">
        <v>100</v>
      </c>
      <c r="AJ61">
        <v>1</v>
      </c>
    </row>
    <row r="62" spans="1:36" x14ac:dyDescent="0.2">
      <c r="A62">
        <v>81</v>
      </c>
      <c r="B62">
        <v>768</v>
      </c>
      <c r="C62">
        <v>125</v>
      </c>
      <c r="D62">
        <v>0.46923161888296799</v>
      </c>
      <c r="E62">
        <v>31.501194706307299</v>
      </c>
      <c r="F62">
        <v>2.5391258783161499</v>
      </c>
      <c r="G62">
        <v>-516.21702233187875</v>
      </c>
      <c r="H62">
        <v>-451.23627445325394</v>
      </c>
      <c r="I62">
        <v>62.412474550856999</v>
      </c>
      <c r="J62">
        <v>36.556388489549597</v>
      </c>
      <c r="K62">
        <v>12.406314698819701</v>
      </c>
      <c r="L62">
        <v>0</v>
      </c>
      <c r="M62">
        <v>1.2381427916924884E-6</v>
      </c>
      <c r="N62">
        <v>0</v>
      </c>
      <c r="O62" s="1">
        <v>1.7611923631102699E-11</v>
      </c>
      <c r="P62">
        <v>0</v>
      </c>
      <c r="Q62">
        <v>100</v>
      </c>
      <c r="AJ62">
        <v>1</v>
      </c>
    </row>
    <row r="63" spans="1:36" x14ac:dyDescent="0.2">
      <c r="A63">
        <v>91</v>
      </c>
      <c r="B63">
        <v>790</v>
      </c>
      <c r="C63">
        <v>100</v>
      </c>
      <c r="D63">
        <v>0.507529981658283</v>
      </c>
      <c r="E63">
        <v>1.5466176161871299</v>
      </c>
      <c r="F63">
        <v>2.53834005884787</v>
      </c>
      <c r="G63">
        <v>-25.427822678129644</v>
      </c>
      <c r="H63">
        <v>-22.130088465577828</v>
      </c>
      <c r="I63">
        <v>3.1018522433822202</v>
      </c>
      <c r="J63">
        <v>1.7995746506710599</v>
      </c>
      <c r="K63">
        <v>0.60930276492942703</v>
      </c>
      <c r="L63">
        <v>0</v>
      </c>
      <c r="M63">
        <v>1.2381143945371709E-6</v>
      </c>
      <c r="N63">
        <v>0</v>
      </c>
      <c r="O63" s="1">
        <v>8.6469454878649497E-13</v>
      </c>
      <c r="P63">
        <v>0</v>
      </c>
      <c r="Q63">
        <v>100</v>
      </c>
      <c r="AJ63">
        <v>1</v>
      </c>
    </row>
    <row r="64" spans="1:36" x14ac:dyDescent="0.2">
      <c r="A64">
        <v>92</v>
      </c>
      <c r="B64">
        <v>788</v>
      </c>
      <c r="C64">
        <v>100</v>
      </c>
      <c r="D64">
        <v>0.50646986759647905</v>
      </c>
      <c r="E64">
        <v>3.9812004200452602</v>
      </c>
      <c r="F64">
        <v>2.53834005884787</v>
      </c>
      <c r="G64">
        <v>-65.438653072385662</v>
      </c>
      <c r="H64">
        <v>-56.975068576241689</v>
      </c>
      <c r="I64">
        <v>7.9758606192752799</v>
      </c>
      <c r="J64">
        <v>4.6312547323379096</v>
      </c>
      <c r="K64">
        <v>1.56842673863496</v>
      </c>
      <c r="L64">
        <v>0</v>
      </c>
      <c r="M64">
        <v>1.2381143945371709E-6</v>
      </c>
      <c r="N64">
        <v>0</v>
      </c>
      <c r="O64" s="1">
        <v>2.2258393185294602E-12</v>
      </c>
      <c r="P64">
        <v>0</v>
      </c>
      <c r="Q64">
        <v>100</v>
      </c>
      <c r="AJ64">
        <v>1</v>
      </c>
    </row>
    <row r="65" spans="1:36" x14ac:dyDescent="0.2">
      <c r="A65">
        <v>93</v>
      </c>
      <c r="B65">
        <v>786</v>
      </c>
      <c r="C65">
        <v>100</v>
      </c>
      <c r="D65">
        <v>0.50540574989378495</v>
      </c>
      <c r="E65">
        <v>10.542637670356701</v>
      </c>
      <c r="F65">
        <v>2.53834005884787</v>
      </c>
      <c r="G65">
        <v>-173.24622100484186</v>
      </c>
      <c r="H65">
        <v>-150.90050251129986</v>
      </c>
      <c r="I65">
        <v>21.097784538112599</v>
      </c>
      <c r="J65">
        <v>12.2611489355064</v>
      </c>
      <c r="K65">
        <v>4.1533590558949598</v>
      </c>
      <c r="L65">
        <v>0</v>
      </c>
      <c r="M65">
        <v>1.2381143945371709E-6</v>
      </c>
      <c r="N65">
        <v>0</v>
      </c>
      <c r="O65" s="1">
        <v>5.8942567496823498E-12</v>
      </c>
      <c r="P65">
        <v>0</v>
      </c>
      <c r="Q65">
        <v>100</v>
      </c>
      <c r="AJ65">
        <v>1</v>
      </c>
    </row>
    <row r="66" spans="1:36" x14ac:dyDescent="0.2">
      <c r="A66">
        <v>94</v>
      </c>
      <c r="B66">
        <v>784</v>
      </c>
      <c r="C66">
        <v>100</v>
      </c>
      <c r="D66">
        <v>0.50433760582698905</v>
      </c>
      <c r="E66">
        <v>19.964098768007499</v>
      </c>
      <c r="F66">
        <v>2.53834005884787</v>
      </c>
      <c r="G66">
        <v>-327.98838786031143</v>
      </c>
      <c r="H66">
        <v>-285.79963932630744</v>
      </c>
      <c r="I66">
        <v>39.908005991584901</v>
      </c>
      <c r="J66">
        <v>23.2128464262919</v>
      </c>
      <c r="K66">
        <v>7.86502135457338</v>
      </c>
      <c r="L66">
        <v>0</v>
      </c>
      <c r="M66">
        <v>1.2381143945371709E-6</v>
      </c>
      <c r="N66">
        <v>0</v>
      </c>
      <c r="O66" s="1">
        <v>1.11616777123548E-11</v>
      </c>
      <c r="P66">
        <v>0</v>
      </c>
      <c r="Q66">
        <v>100</v>
      </c>
      <c r="AJ66">
        <v>1</v>
      </c>
    </row>
    <row r="67" spans="1:36" x14ac:dyDescent="0.2">
      <c r="A67">
        <v>95</v>
      </c>
      <c r="B67">
        <v>782</v>
      </c>
      <c r="C67">
        <v>100</v>
      </c>
      <c r="D67">
        <v>0.50326541250059598</v>
      </c>
      <c r="E67">
        <v>27.305032322904299</v>
      </c>
      <c r="F67">
        <v>2.53834005884787</v>
      </c>
      <c r="G67">
        <v>-448.48282194489258</v>
      </c>
      <c r="H67">
        <v>-390.95358043764111</v>
      </c>
      <c r="I67">
        <v>54.522334746009001</v>
      </c>
      <c r="J67">
        <v>31.740789456655801</v>
      </c>
      <c r="K67">
        <v>10.757042669569501</v>
      </c>
      <c r="L67">
        <v>0</v>
      </c>
      <c r="M67">
        <v>1.2381143945371709E-6</v>
      </c>
      <c r="N67">
        <v>0</v>
      </c>
      <c r="O67" s="1">
        <v>1.5265901769734901E-11</v>
      </c>
      <c r="P67">
        <v>0</v>
      </c>
      <c r="Q67">
        <v>100</v>
      </c>
      <c r="AJ67">
        <v>1</v>
      </c>
    </row>
    <row r="68" spans="1:36" x14ac:dyDescent="0.2">
      <c r="A68">
        <v>96</v>
      </c>
      <c r="B68">
        <v>780</v>
      </c>
      <c r="C68">
        <v>100</v>
      </c>
      <c r="D68">
        <v>0.50218914684517901</v>
      </c>
      <c r="E68">
        <v>30.700979697215999</v>
      </c>
      <c r="F68">
        <v>2.53834005884787</v>
      </c>
      <c r="G68">
        <v>-504.13842833835071</v>
      </c>
      <c r="H68">
        <v>-439.64813909876926</v>
      </c>
      <c r="I68">
        <v>61.2356162366058</v>
      </c>
      <c r="J68">
        <v>35.679859958162702</v>
      </c>
      <c r="K68">
        <v>12.0949041442267</v>
      </c>
      <c r="L68">
        <v>0</v>
      </c>
      <c r="M68">
        <v>1.2381143945371711E-6</v>
      </c>
      <c r="N68">
        <v>0</v>
      </c>
      <c r="O68" s="1">
        <v>1.7164533436540999E-11</v>
      </c>
      <c r="P68">
        <v>0</v>
      </c>
      <c r="Q68">
        <v>100</v>
      </c>
      <c r="AJ68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83B77-A4E0-4B18-91F3-B8A5EB9FEF95}">
  <sheetPr codeName="Sheet14"/>
  <dimension ref="A1:AJ97"/>
  <sheetViews>
    <sheetView workbookViewId="0"/>
  </sheetViews>
  <sheetFormatPr defaultRowHeight="15" x14ac:dyDescent="0.2"/>
  <sheetData>
    <row r="1" spans="1:36" x14ac:dyDescent="0.2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">
      <c r="A2">
        <v>1</v>
      </c>
      <c r="B2">
        <v>758</v>
      </c>
      <c r="C2">
        <v>300</v>
      </c>
      <c r="D2">
        <v>0.27672065169955901</v>
      </c>
      <c r="E2">
        <v>3.68316748427719</v>
      </c>
      <c r="F2">
        <v>0.57884346008014098</v>
      </c>
      <c r="G2">
        <v>-79.681493587649854</v>
      </c>
      <c r="H2">
        <v>-46.90374693150634</v>
      </c>
      <c r="I2">
        <v>31.789608098482599</v>
      </c>
      <c r="J2">
        <v>14.087365237812801</v>
      </c>
      <c r="K2">
        <v>6.3629767601887703</v>
      </c>
      <c r="L2">
        <v>1.1170241678359536E-3</v>
      </c>
      <c r="M2">
        <v>1.6812079328550452E-4</v>
      </c>
      <c r="N2" s="1">
        <v>4.6637559895894803E-6</v>
      </c>
      <c r="O2" s="1">
        <v>7.7147300563144798E-7</v>
      </c>
      <c r="P2" s="1">
        <v>-3.1199673286730399E-6</v>
      </c>
      <c r="AE2">
        <v>100</v>
      </c>
      <c r="AJ2">
        <v>1</v>
      </c>
    </row>
    <row r="3" spans="1:36" x14ac:dyDescent="0.2">
      <c r="A3">
        <v>2</v>
      </c>
      <c r="B3">
        <v>756</v>
      </c>
      <c r="C3">
        <v>300</v>
      </c>
      <c r="D3">
        <v>0.27517903123937498</v>
      </c>
      <c r="E3">
        <v>3.6938039096069</v>
      </c>
      <c r="F3">
        <v>0.58013866374805401</v>
      </c>
      <c r="G3">
        <v>-79.847866178776613</v>
      </c>
      <c r="H3">
        <v>-47.067464467523209</v>
      </c>
      <c r="I3">
        <v>31.8539722418267</v>
      </c>
      <c r="J3">
        <v>14.1386233101257</v>
      </c>
      <c r="K3">
        <v>6.3671052119551002</v>
      </c>
      <c r="L3">
        <v>1.1180447622227638E-3</v>
      </c>
      <c r="M3">
        <v>1.6751474484224941E-4</v>
      </c>
      <c r="N3" s="1">
        <v>4.7386395406983199E-6</v>
      </c>
      <c r="O3" s="1">
        <v>7.6834115068526501E-7</v>
      </c>
      <c r="P3" s="1">
        <v>-3.12496873349568E-6</v>
      </c>
      <c r="AE3">
        <v>100</v>
      </c>
      <c r="AJ3">
        <v>1</v>
      </c>
    </row>
    <row r="4" spans="1:36" x14ac:dyDescent="0.2">
      <c r="A4">
        <v>3</v>
      </c>
      <c r="B4">
        <v>754</v>
      </c>
      <c r="C4">
        <v>300</v>
      </c>
      <c r="D4">
        <v>0.27363140729202201</v>
      </c>
      <c r="E4">
        <v>3.7185858638540901</v>
      </c>
      <c r="F4">
        <v>0.58143794183976405</v>
      </c>
      <c r="G4">
        <v>-80.319462671700805</v>
      </c>
      <c r="H4">
        <v>-47.411720516883932</v>
      </c>
      <c r="I4">
        <v>32.039984576736998</v>
      </c>
      <c r="J4">
        <v>14.244092208734401</v>
      </c>
      <c r="K4">
        <v>6.3954991517888802</v>
      </c>
      <c r="L4">
        <v>1.1190472461558236E-3</v>
      </c>
      <c r="M4">
        <v>1.6690676151603711E-4</v>
      </c>
      <c r="N4" s="1">
        <v>4.8323497656614602E-6</v>
      </c>
      <c r="O4" s="1">
        <v>7.6810059178864202E-7</v>
      </c>
      <c r="P4" s="1">
        <v>-3.1417749513566102E-6</v>
      </c>
      <c r="AE4">
        <v>100</v>
      </c>
      <c r="AJ4">
        <v>1</v>
      </c>
    </row>
    <row r="5" spans="1:36" x14ac:dyDescent="0.2">
      <c r="A5">
        <v>4</v>
      </c>
      <c r="B5">
        <v>752</v>
      </c>
      <c r="C5">
        <v>300</v>
      </c>
      <c r="D5">
        <v>0.27207774472028401</v>
      </c>
      <c r="E5">
        <v>3.7430366523577101</v>
      </c>
      <c r="F5">
        <v>0.58274128751843002</v>
      </c>
      <c r="G5">
        <v>-80.783113234407182</v>
      </c>
      <c r="H5">
        <v>-47.752152585689409</v>
      </c>
      <c r="I5">
        <v>32.222701696472697</v>
      </c>
      <c r="J5">
        <v>14.3483968480316</v>
      </c>
      <c r="K5">
        <v>6.4231533487136598</v>
      </c>
      <c r="L5">
        <v>1.1200314181014448E-3</v>
      </c>
      <c r="M5">
        <v>1.6629686818048778E-4</v>
      </c>
      <c r="N5" s="1">
        <v>4.9265319414985999E-6</v>
      </c>
      <c r="O5" s="1">
        <v>7.6772086487380899E-7</v>
      </c>
      <c r="P5" s="1">
        <v>-3.1581211516594199E-6</v>
      </c>
      <c r="AE5">
        <v>100</v>
      </c>
      <c r="AJ5">
        <v>1</v>
      </c>
    </row>
    <row r="6" spans="1:36" x14ac:dyDescent="0.2">
      <c r="A6">
        <v>5</v>
      </c>
      <c r="B6">
        <v>750</v>
      </c>
      <c r="C6">
        <v>300</v>
      </c>
      <c r="D6">
        <v>0.270518008112205</v>
      </c>
      <c r="E6">
        <v>3.7671607302803798</v>
      </c>
      <c r="F6">
        <v>0.58404869357908595</v>
      </c>
      <c r="G6">
        <v>-81.238932301122389</v>
      </c>
      <c r="H6">
        <v>-48.088810275126797</v>
      </c>
      <c r="I6">
        <v>32.402167645697702</v>
      </c>
      <c r="J6">
        <v>14.451549626445001</v>
      </c>
      <c r="K6">
        <v>6.4500798849407204</v>
      </c>
      <c r="L6">
        <v>1.1209970776875702E-3</v>
      </c>
      <c r="M6">
        <v>1.6568509018277563E-4</v>
      </c>
      <c r="N6" s="1">
        <v>5.0211678196371997E-6</v>
      </c>
      <c r="O6" s="1">
        <v>7.6720470161525598E-7</v>
      </c>
      <c r="P6" s="1">
        <v>-3.17400938042308E-6</v>
      </c>
      <c r="AE6">
        <v>100</v>
      </c>
      <c r="AJ6">
        <v>1</v>
      </c>
    </row>
    <row r="7" spans="1:36" x14ac:dyDescent="0.2">
      <c r="A7">
        <v>6</v>
      </c>
      <c r="B7">
        <v>748</v>
      </c>
      <c r="C7">
        <v>300</v>
      </c>
      <c r="D7">
        <v>0.26895216177838999</v>
      </c>
      <c r="E7">
        <v>3.7909624287146402</v>
      </c>
      <c r="F7">
        <v>0.58536015244613604</v>
      </c>
      <c r="G7">
        <v>-81.687031300840815</v>
      </c>
      <c r="H7">
        <v>-48.42174172289694</v>
      </c>
      <c r="I7">
        <v>32.578425304252399</v>
      </c>
      <c r="J7">
        <v>14.5535625030475</v>
      </c>
      <c r="K7">
        <v>6.4762905586804198</v>
      </c>
      <c r="L7">
        <v>1.1219440257605906E-3</v>
      </c>
      <c r="M7">
        <v>1.6507145334001018E-4</v>
      </c>
      <c r="N7" s="1">
        <v>5.1162389279099096E-6</v>
      </c>
      <c r="O7" s="1">
        <v>7.6655479517347396E-7</v>
      </c>
      <c r="P7" s="1">
        <v>-3.18944164659673E-6</v>
      </c>
      <c r="AE7">
        <v>100</v>
      </c>
      <c r="AJ7">
        <v>1</v>
      </c>
    </row>
    <row r="8" spans="1:36" x14ac:dyDescent="0.2">
      <c r="A8">
        <v>7</v>
      </c>
      <c r="B8">
        <v>746</v>
      </c>
      <c r="C8">
        <v>300</v>
      </c>
      <c r="D8">
        <v>0.26738016974930101</v>
      </c>
      <c r="E8">
        <v>3.8144459570215798</v>
      </c>
      <c r="F8">
        <v>0.58667565617094397</v>
      </c>
      <c r="G8">
        <v>-82.127518718880353</v>
      </c>
      <c r="H8">
        <v>-48.750993628574207</v>
      </c>
      <c r="I8">
        <v>32.751516411241198</v>
      </c>
      <c r="J8">
        <v>14.6544470054681</v>
      </c>
      <c r="K8">
        <v>6.5017968904953802</v>
      </c>
      <c r="L8">
        <v>1.1228720644420379E-3</v>
      </c>
      <c r="M8">
        <v>1.6445598393534667E-4</v>
      </c>
      <c r="N8" s="1">
        <v>5.2117265732264798E-6</v>
      </c>
      <c r="O8" s="1">
        <v>7.6577380123256399E-7</v>
      </c>
      <c r="P8" s="1">
        <v>-3.2044199250647598E-6</v>
      </c>
      <c r="AE8">
        <v>100</v>
      </c>
      <c r="AJ8">
        <v>1</v>
      </c>
    </row>
    <row r="9" spans="1:36" x14ac:dyDescent="0.2">
      <c r="A9">
        <v>8</v>
      </c>
      <c r="B9">
        <v>744</v>
      </c>
      <c r="C9">
        <v>300</v>
      </c>
      <c r="D9">
        <v>0.26580199577250502</v>
      </c>
      <c r="E9">
        <v>3.8376154048314999</v>
      </c>
      <c r="F9">
        <v>0.58799519642945897</v>
      </c>
      <c r="G9">
        <v>-82.560500150906535</v>
      </c>
      <c r="H9">
        <v>-49.076611274747023</v>
      </c>
      <c r="I9">
        <v>32.921481586148197</v>
      </c>
      <c r="J9">
        <v>14.754214236547201</v>
      </c>
      <c r="K9">
        <v>6.5266101290198097</v>
      </c>
      <c r="L9">
        <v>1.1237809971851975E-3</v>
      </c>
      <c r="M9">
        <v>1.6383870871392443E-4</v>
      </c>
      <c r="N9" s="1">
        <v>5.3076118440482199E-6</v>
      </c>
      <c r="O9" s="1">
        <v>7.6486433894594998E-7</v>
      </c>
      <c r="P9" s="1">
        <v>-3.21894615935974E-6</v>
      </c>
      <c r="AE9">
        <v>100</v>
      </c>
      <c r="AJ9">
        <v>1</v>
      </c>
    </row>
    <row r="10" spans="1:36" x14ac:dyDescent="0.2">
      <c r="A10">
        <v>9</v>
      </c>
      <c r="B10">
        <v>742</v>
      </c>
      <c r="C10">
        <v>300</v>
      </c>
      <c r="D10">
        <v>0.264217603309855</v>
      </c>
      <c r="E10">
        <v>3.86047474462283</v>
      </c>
      <c r="F10">
        <v>0.58931876451991005</v>
      </c>
      <c r="G10">
        <v>-82.986078369152651</v>
      </c>
      <c r="H10">
        <v>-49.398638555637881</v>
      </c>
      <c r="I10">
        <v>33.0883603548479</v>
      </c>
      <c r="J10">
        <v>14.8528748832601</v>
      </c>
      <c r="K10">
        <v>6.5507412576074504</v>
      </c>
      <c r="L10">
        <v>1.1246706288316102E-3</v>
      </c>
      <c r="M10">
        <v>1.6321965487853322E-4</v>
      </c>
      <c r="N10" s="1">
        <v>5.40387561388284E-6</v>
      </c>
      <c r="O10" s="1">
        <v>7.6382899197366302E-7</v>
      </c>
      <c r="P10" s="1">
        <v>-3.2330222648472198E-6</v>
      </c>
      <c r="AE10">
        <v>100</v>
      </c>
      <c r="AJ10">
        <v>1</v>
      </c>
    </row>
    <row r="11" spans="1:36" x14ac:dyDescent="0.2">
      <c r="A11">
        <v>10</v>
      </c>
      <c r="B11">
        <v>740</v>
      </c>
      <c r="C11">
        <v>300</v>
      </c>
      <c r="D11">
        <v>0.26262695553471999</v>
      </c>
      <c r="E11">
        <v>3.8830278334091699</v>
      </c>
      <c r="F11">
        <v>0.59064635136056898</v>
      </c>
      <c r="G11">
        <v>-83.404353369194951</v>
      </c>
      <c r="H11">
        <v>-49.717117994416753</v>
      </c>
      <c r="I11">
        <v>33.252191167891901</v>
      </c>
      <c r="J11">
        <v>14.9504392222573</v>
      </c>
      <c r="K11">
        <v>6.5742009994043196</v>
      </c>
      <c r="L11">
        <v>1.1255407656673808E-3</v>
      </c>
      <c r="M11">
        <v>1.625988500850754E-4</v>
      </c>
      <c r="N11" s="1">
        <v>5.5004985438207999E-6</v>
      </c>
      <c r="O11" s="1">
        <v>7.6267030931736196E-7</v>
      </c>
      <c r="P11" s="1">
        <v>-3.2466501311501902E-6</v>
      </c>
      <c r="AE11">
        <v>100</v>
      </c>
      <c r="AJ11">
        <v>1</v>
      </c>
    </row>
    <row r="12" spans="1:36" x14ac:dyDescent="0.2">
      <c r="A12">
        <v>11</v>
      </c>
      <c r="B12">
        <v>738</v>
      </c>
      <c r="C12">
        <v>300</v>
      </c>
      <c r="D12">
        <v>0.26103001532908299</v>
      </c>
      <c r="E12">
        <v>4.1257606921487202</v>
      </c>
      <c r="F12">
        <v>0.59197794748758104</v>
      </c>
      <c r="G12">
        <v>-88.547432092049547</v>
      </c>
      <c r="H12">
        <v>-52.856777801936211</v>
      </c>
      <c r="I12">
        <v>35.299426696070903</v>
      </c>
      <c r="J12">
        <v>15.896428532431999</v>
      </c>
      <c r="K12">
        <v>6.9694499764035003</v>
      </c>
      <c r="L12">
        <v>1.1263912154793017E-3</v>
      </c>
      <c r="M12">
        <v>1.6197632243779075E-4</v>
      </c>
      <c r="N12" s="1">
        <v>5.9134797754934901E-6</v>
      </c>
      <c r="O12" s="1">
        <v>8.0437703179188304E-7</v>
      </c>
      <c r="P12" s="1">
        <v>-3.4438735865680299E-6</v>
      </c>
      <c r="AE12">
        <v>100</v>
      </c>
      <c r="AJ12">
        <v>1</v>
      </c>
    </row>
    <row r="13" spans="1:36" x14ac:dyDescent="0.2">
      <c r="A13">
        <v>12</v>
      </c>
      <c r="B13">
        <v>736</v>
      </c>
      <c r="C13">
        <v>300</v>
      </c>
      <c r="D13">
        <v>0.25942674528068399</v>
      </c>
      <c r="E13">
        <v>5.8430602431212</v>
      </c>
      <c r="F13">
        <v>0.59331354305285799</v>
      </c>
      <c r="G13">
        <v>-125.30432305540931</v>
      </c>
      <c r="H13">
        <v>-74.902834669745843</v>
      </c>
      <c r="I13">
        <v>49.947809684922497</v>
      </c>
      <c r="J13">
        <v>22.5292315451047</v>
      </c>
      <c r="K13">
        <v>9.8481828226203803</v>
      </c>
      <c r="L13">
        <v>1.1272217876108106E-3</v>
      </c>
      <c r="M13">
        <v>1.6135210048428211E-4</v>
      </c>
      <c r="N13" s="1">
        <v>8.4728239070351798E-6</v>
      </c>
      <c r="O13" s="1">
        <v>1.13074216223506E-6</v>
      </c>
      <c r="P13" s="1">
        <v>-4.8690336051511997E-6</v>
      </c>
      <c r="AE13">
        <v>100</v>
      </c>
      <c r="AJ13">
        <v>1</v>
      </c>
    </row>
    <row r="14" spans="1:36" x14ac:dyDescent="0.2">
      <c r="A14">
        <v>13</v>
      </c>
      <c r="B14">
        <v>734</v>
      </c>
      <c r="C14">
        <v>300</v>
      </c>
      <c r="D14">
        <v>0.25781710768008598</v>
      </c>
      <c r="E14">
        <v>9.4556408569915504</v>
      </c>
      <c r="F14">
        <v>0.59465312782199797</v>
      </c>
      <c r="G14">
        <v>-202.61446448499112</v>
      </c>
      <c r="H14">
        <v>-121.2858472506873</v>
      </c>
      <c r="I14">
        <v>80.756618510296406</v>
      </c>
      <c r="J14">
        <v>36.484285396666102</v>
      </c>
      <c r="K14">
        <v>15.901103373699801</v>
      </c>
      <c r="L14">
        <v>1.1280322930175459E-3</v>
      </c>
      <c r="M14">
        <v>1.6072621321029816E-4</v>
      </c>
      <c r="N14" s="1">
        <v>1.3869771321910201E-5</v>
      </c>
      <c r="O14" s="1">
        <v>1.8161847135864699E-6</v>
      </c>
      <c r="P14" s="1">
        <v>-7.8656309022927907E-6</v>
      </c>
      <c r="AE14">
        <v>100</v>
      </c>
      <c r="AJ14">
        <v>1</v>
      </c>
    </row>
    <row r="15" spans="1:36" x14ac:dyDescent="0.2">
      <c r="A15">
        <v>14</v>
      </c>
      <c r="B15">
        <v>732</v>
      </c>
      <c r="C15">
        <v>300</v>
      </c>
      <c r="D15">
        <v>0.256201064517732</v>
      </c>
      <c r="E15">
        <v>10.044647114526301</v>
      </c>
      <c r="F15">
        <v>0.59599669117238396</v>
      </c>
      <c r="G15">
        <v>-215.06413068460202</v>
      </c>
      <c r="H15">
        <v>-128.91846857609443</v>
      </c>
      <c r="I15">
        <v>85.710003753070097</v>
      </c>
      <c r="J15">
        <v>38.7843720066844</v>
      </c>
      <c r="K15">
        <v>16.8535283220575</v>
      </c>
      <c r="L15">
        <v>1.1288225443230099E-3</v>
      </c>
      <c r="M15">
        <v>1.6009869003430545E-4</v>
      </c>
      <c r="N15" s="1">
        <v>1.4902045209400401E-5</v>
      </c>
      <c r="O15" s="1">
        <v>1.9148189482158701E-6</v>
      </c>
      <c r="P15" s="1">
        <v>-8.3406193315640504E-6</v>
      </c>
      <c r="AE15">
        <v>100</v>
      </c>
      <c r="AJ15">
        <v>1</v>
      </c>
    </row>
    <row r="16" spans="1:36" x14ac:dyDescent="0.2">
      <c r="A16">
        <v>15</v>
      </c>
      <c r="B16">
        <v>758</v>
      </c>
      <c r="C16">
        <v>275</v>
      </c>
      <c r="D16">
        <v>0.303389904475587</v>
      </c>
      <c r="E16">
        <v>4.1067567843133599</v>
      </c>
      <c r="F16">
        <v>0.55326323210226602</v>
      </c>
      <c r="G16">
        <v>-89.026745607478475</v>
      </c>
      <c r="H16">
        <v>-52.262963497439507</v>
      </c>
      <c r="I16">
        <v>35.6554645283951</v>
      </c>
      <c r="J16">
        <v>15.8485315230577</v>
      </c>
      <c r="K16">
        <v>7.4227899958373902</v>
      </c>
      <c r="L16">
        <v>1.1987485172768263E-3</v>
      </c>
      <c r="M16">
        <v>1.9460985494651061E-4</v>
      </c>
      <c r="N16" s="1">
        <v>5.7326180073492501E-6</v>
      </c>
      <c r="O16" s="1">
        <v>1.1757953029413699E-6</v>
      </c>
      <c r="P16" s="1">
        <v>-4.3504054304921104E-6</v>
      </c>
      <c r="AE16">
        <v>100</v>
      </c>
      <c r="AJ16">
        <v>1</v>
      </c>
    </row>
    <row r="17" spans="1:36" x14ac:dyDescent="0.2">
      <c r="A17">
        <v>16</v>
      </c>
      <c r="B17">
        <v>756</v>
      </c>
      <c r="C17">
        <v>275</v>
      </c>
      <c r="D17">
        <v>0.30190011174270298</v>
      </c>
      <c r="E17">
        <v>4.1142799627595403</v>
      </c>
      <c r="F17">
        <v>0.55459200373927897</v>
      </c>
      <c r="G17">
        <v>-89.118423195348797</v>
      </c>
      <c r="H17">
        <v>-52.390472807506107</v>
      </c>
      <c r="I17">
        <v>35.689942993230403</v>
      </c>
      <c r="J17">
        <v>15.8910796906288</v>
      </c>
      <c r="K17">
        <v>7.41857065197377</v>
      </c>
      <c r="L17">
        <v>1.2000672419984479E-3</v>
      </c>
      <c r="M17">
        <v>1.9390280436198254E-4</v>
      </c>
      <c r="N17" s="1">
        <v>5.8321720736008704E-6</v>
      </c>
      <c r="O17" s="1">
        <v>1.1698117736859301E-6</v>
      </c>
      <c r="P17" s="1">
        <v>-4.3542941745820398E-6</v>
      </c>
      <c r="AE17">
        <v>100</v>
      </c>
      <c r="AJ17">
        <v>1</v>
      </c>
    </row>
    <row r="18" spans="1:36" x14ac:dyDescent="0.2">
      <c r="A18">
        <v>17</v>
      </c>
      <c r="B18">
        <v>754</v>
      </c>
      <c r="C18">
        <v>275</v>
      </c>
      <c r="D18">
        <v>0.30040451735384299</v>
      </c>
      <c r="E18">
        <v>4.1380246435452097</v>
      </c>
      <c r="F18">
        <v>0.55592542096507003</v>
      </c>
      <c r="G18">
        <v>-89.560990232454586</v>
      </c>
      <c r="H18">
        <v>-52.724812279763256</v>
      </c>
      <c r="I18">
        <v>35.864816224014199</v>
      </c>
      <c r="J18">
        <v>15.996341934593399</v>
      </c>
      <c r="K18">
        <v>7.4434887981228099</v>
      </c>
      <c r="L18">
        <v>1.2013644355344699E-3</v>
      </c>
      <c r="M18">
        <v>1.9319286989129213E-4</v>
      </c>
      <c r="N18" s="1">
        <v>5.9556038328592299E-6</v>
      </c>
      <c r="O18" s="1">
        <v>1.1683715214813699E-6</v>
      </c>
      <c r="P18" s="1">
        <v>-4.3751206073309601E-6</v>
      </c>
      <c r="AE18">
        <v>100</v>
      </c>
      <c r="AJ18">
        <v>1</v>
      </c>
    </row>
    <row r="19" spans="1:36" x14ac:dyDescent="0.2">
      <c r="A19">
        <v>18</v>
      </c>
      <c r="B19">
        <v>752</v>
      </c>
      <c r="C19">
        <v>275</v>
      </c>
      <c r="D19">
        <v>0.29890308735307097</v>
      </c>
      <c r="E19">
        <v>4.1614803613555003</v>
      </c>
      <c r="F19">
        <v>0.55726347778082896</v>
      </c>
      <c r="G19">
        <v>-89.996547231447195</v>
      </c>
      <c r="H19">
        <v>-53.055861898255728</v>
      </c>
      <c r="I19">
        <v>36.036742708675199</v>
      </c>
      <c r="J19">
        <v>16.100596930533801</v>
      </c>
      <c r="K19">
        <v>7.4677069775460998</v>
      </c>
      <c r="L19">
        <v>1.2026398183147557E-3</v>
      </c>
      <c r="M19">
        <v>1.9248008190682318E-4</v>
      </c>
      <c r="N19" s="1">
        <v>6.0798353457734999E-6</v>
      </c>
      <c r="O19" s="1">
        <v>1.1667496652650301E-6</v>
      </c>
      <c r="P19" s="1">
        <v>-4.3953909059413202E-6</v>
      </c>
      <c r="AE19">
        <v>100</v>
      </c>
      <c r="AJ19">
        <v>1</v>
      </c>
    </row>
    <row r="20" spans="1:36" x14ac:dyDescent="0.2">
      <c r="A20">
        <v>19</v>
      </c>
      <c r="B20">
        <v>750</v>
      </c>
      <c r="C20">
        <v>275</v>
      </c>
      <c r="D20">
        <v>0.29739578751893703</v>
      </c>
      <c r="E20">
        <v>4.1846513653732504</v>
      </c>
      <c r="F20">
        <v>0.55860616772383997</v>
      </c>
      <c r="G20">
        <v>-90.425202267834422</v>
      </c>
      <c r="H20">
        <v>-53.383669533221301</v>
      </c>
      <c r="I20">
        <v>36.205764012208803</v>
      </c>
      <c r="J20">
        <v>16.203855910189301</v>
      </c>
      <c r="K20">
        <v>7.4912373102225196</v>
      </c>
      <c r="L20">
        <v>1.2038931123682388E-3</v>
      </c>
      <c r="M20">
        <v>1.917644715853801E-4</v>
      </c>
      <c r="N20" s="1">
        <v>6.2048412884126898E-6</v>
      </c>
      <c r="O20" s="1">
        <v>1.16494960308421E-6</v>
      </c>
      <c r="P20" s="1">
        <v>-4.4151058525718903E-6</v>
      </c>
      <c r="AE20">
        <v>100</v>
      </c>
      <c r="AJ20">
        <v>1</v>
      </c>
    </row>
    <row r="21" spans="1:36" x14ac:dyDescent="0.2">
      <c r="A21">
        <v>20</v>
      </c>
      <c r="B21">
        <v>748</v>
      </c>
      <c r="C21">
        <v>275</v>
      </c>
      <c r="D21">
        <v>0.29588258336189799</v>
      </c>
      <c r="E21">
        <v>4.2075418042493498</v>
      </c>
      <c r="F21">
        <v>0.55995348386390498</v>
      </c>
      <c r="G21">
        <v>-90.847060930768095</v>
      </c>
      <c r="H21">
        <v>-53.708281886681462</v>
      </c>
      <c r="I21">
        <v>36.371920734348201</v>
      </c>
      <c r="J21">
        <v>16.3061297492739</v>
      </c>
      <c r="K21">
        <v>7.5140916620709497</v>
      </c>
      <c r="L21">
        <v>1.2051240414215601E-3</v>
      </c>
      <c r="M21">
        <v>1.9104607090488277E-4</v>
      </c>
      <c r="N21" s="1">
        <v>6.3305959409876803E-6</v>
      </c>
      <c r="O21" s="1">
        <v>1.1629746971379001E-6</v>
      </c>
      <c r="P21" s="1">
        <v>-4.4342662185983899E-6</v>
      </c>
      <c r="AE21">
        <v>100</v>
      </c>
      <c r="AJ21">
        <v>1</v>
      </c>
    </row>
    <row r="22" spans="1:36" x14ac:dyDescent="0.2">
      <c r="A22">
        <v>21</v>
      </c>
      <c r="B22">
        <v>746</v>
      </c>
      <c r="C22">
        <v>275</v>
      </c>
      <c r="D22">
        <v>0.29436344012167098</v>
      </c>
      <c r="E22">
        <v>4.23015572860389</v>
      </c>
      <c r="F22">
        <v>0.56130541879990004</v>
      </c>
      <c r="G22">
        <v>-91.262226386224896</v>
      </c>
      <c r="H22">
        <v>-54.029744520731313</v>
      </c>
      <c r="I22">
        <v>36.535252534330297</v>
      </c>
      <c r="J22">
        <v>16.407428976489101</v>
      </c>
      <c r="K22">
        <v>7.5362816515261501</v>
      </c>
      <c r="L22">
        <v>1.2063323309982942E-3</v>
      </c>
      <c r="M22">
        <v>1.9032491264064458E-4</v>
      </c>
      <c r="N22" s="1">
        <v>6.4570731956969699E-6</v>
      </c>
      <c r="O22" s="1">
        <v>1.1608282750375701E-6</v>
      </c>
      <c r="P22" s="1">
        <v>-4.4528727694655699E-6</v>
      </c>
      <c r="AE22">
        <v>100</v>
      </c>
      <c r="AJ22">
        <v>1</v>
      </c>
    </row>
    <row r="23" spans="1:36" x14ac:dyDescent="0.2">
      <c r="A23">
        <v>22</v>
      </c>
      <c r="B23">
        <v>744</v>
      </c>
      <c r="C23">
        <v>275</v>
      </c>
      <c r="D23">
        <v>0.29283832276459099</v>
      </c>
      <c r="E23">
        <v>4.2524970930866202</v>
      </c>
      <c r="F23">
        <v>0.56266196465644502</v>
      </c>
      <c r="G23">
        <v>-91.670799430406817</v>
      </c>
      <c r="H23">
        <v>-54.348101880305514</v>
      </c>
      <c r="I23">
        <v>36.695798151768301</v>
      </c>
      <c r="J23">
        <v>16.507763780874601</v>
      </c>
      <c r="K23">
        <v>7.55781865526159</v>
      </c>
      <c r="L23">
        <v>1.207517708517558E-3</v>
      </c>
      <c r="M23">
        <v>1.896010303611445E-4</v>
      </c>
      <c r="N23" s="1">
        <v>6.5842465644612699E-6</v>
      </c>
      <c r="O23" s="1">
        <v>1.15851363090518E-6</v>
      </c>
      <c r="P23" s="1">
        <v>-4.4709262690514803E-6</v>
      </c>
      <c r="AE23">
        <v>100</v>
      </c>
      <c r="AJ23">
        <v>1</v>
      </c>
    </row>
    <row r="24" spans="1:36" x14ac:dyDescent="0.2">
      <c r="A24">
        <v>23</v>
      </c>
      <c r="B24">
        <v>742</v>
      </c>
      <c r="C24">
        <v>275</v>
      </c>
      <c r="D24">
        <v>0.291307195980888</v>
      </c>
      <c r="E24">
        <v>4.2745697587991103</v>
      </c>
      <c r="F24">
        <v>0.56402311308061603</v>
      </c>
      <c r="G24">
        <v>-92.072878550702427</v>
      </c>
      <c r="H24">
        <v>-54.663397320658802</v>
      </c>
      <c r="I24">
        <v>36.853595430574998</v>
      </c>
      <c r="J24">
        <v>16.607144020613799</v>
      </c>
      <c r="K24">
        <v>7.5787138144960204</v>
      </c>
      <c r="L24">
        <v>1.2086799033924219E-3</v>
      </c>
      <c r="M24">
        <v>1.8887445842331586E-4</v>
      </c>
      <c r="N24" s="1">
        <v>6.7120891877202502E-6</v>
      </c>
      <c r="O24" s="1">
        <v>1.15603402653182E-6</v>
      </c>
      <c r="P24" s="1">
        <v>-4.4884274843862702E-6</v>
      </c>
      <c r="AE24">
        <v>100</v>
      </c>
      <c r="AJ24">
        <v>1</v>
      </c>
    </row>
    <row r="25" spans="1:36" x14ac:dyDescent="0.2">
      <c r="A25">
        <v>24</v>
      </c>
      <c r="B25">
        <v>740</v>
      </c>
      <c r="C25">
        <v>275</v>
      </c>
      <c r="D25">
        <v>0.28977002418201098</v>
      </c>
      <c r="E25">
        <v>6.1241543607595501</v>
      </c>
      <c r="F25">
        <v>0.56538885523881099</v>
      </c>
      <c r="G25">
        <v>-131.8067919865637</v>
      </c>
      <c r="H25">
        <v>-78.363576920497195</v>
      </c>
      <c r="I25">
        <v>52.753017503092202</v>
      </c>
      <c r="J25">
        <v>23.812513217004199</v>
      </c>
      <c r="K25">
        <v>10.831756416869601</v>
      </c>
      <c r="L25">
        <v>1.2098186471282172E-3</v>
      </c>
      <c r="M25">
        <v>1.8814523196739472E-4</v>
      </c>
      <c r="N25" s="1">
        <v>9.7507097961636307E-6</v>
      </c>
      <c r="O25" s="1">
        <v>1.6440722200160101E-6</v>
      </c>
      <c r="P25" s="1">
        <v>-6.4220672868249E-6</v>
      </c>
      <c r="AE25">
        <v>100</v>
      </c>
      <c r="AJ25">
        <v>1</v>
      </c>
    </row>
    <row r="26" spans="1:36" x14ac:dyDescent="0.2">
      <c r="A26">
        <v>25</v>
      </c>
      <c r="B26">
        <v>738</v>
      </c>
      <c r="C26">
        <v>275</v>
      </c>
      <c r="D26">
        <v>0.28822677149780002</v>
      </c>
      <c r="E26">
        <v>9.53582775763652</v>
      </c>
      <c r="F26">
        <v>0.56675918181370799</v>
      </c>
      <c r="G26">
        <v>-205.07014568533731</v>
      </c>
      <c r="H26">
        <v>-122.09292217119979</v>
      </c>
      <c r="I26">
        <v>82.067626465259707</v>
      </c>
      <c r="J26">
        <v>37.108403075319004</v>
      </c>
      <c r="K26">
        <v>16.825184423339199</v>
      </c>
      <c r="L26">
        <v>1.2109336734201098E-3</v>
      </c>
      <c r="M26">
        <v>1.8741338691124579E-4</v>
      </c>
      <c r="N26" s="1">
        <v>1.5392026605966099E-5</v>
      </c>
      <c r="O26" s="1">
        <v>2.5410023605234799E-6</v>
      </c>
      <c r="P26" s="1">
        <v>-9.9860208065672394E-6</v>
      </c>
      <c r="AE26">
        <v>100</v>
      </c>
      <c r="AJ26">
        <v>1</v>
      </c>
    </row>
    <row r="27" spans="1:36" x14ac:dyDescent="0.2">
      <c r="A27">
        <v>26</v>
      </c>
      <c r="B27">
        <v>736</v>
      </c>
      <c r="C27">
        <v>275</v>
      </c>
      <c r="D27">
        <v>0.28667740177377199</v>
      </c>
      <c r="E27">
        <v>10.339620090721599</v>
      </c>
      <c r="F27">
        <v>0.56813408300133506</v>
      </c>
      <c r="G27">
        <v>-222.17799184748569</v>
      </c>
      <c r="H27">
        <v>-132.46486292070745</v>
      </c>
      <c r="I27">
        <v>88.905560018153395</v>
      </c>
      <c r="J27">
        <v>40.269048742582797</v>
      </c>
      <c r="K27">
        <v>18.1992603508305</v>
      </c>
      <c r="L27">
        <v>1.2120247182506815E-3</v>
      </c>
      <c r="M27">
        <v>1.8667895994427743E-4</v>
      </c>
      <c r="N27" s="1">
        <v>1.6916586947182801E-5</v>
      </c>
      <c r="O27" s="1">
        <v>2.7346289191542202E-6</v>
      </c>
      <c r="P27" s="1">
        <v>-1.08124037763104E-5</v>
      </c>
      <c r="AE27">
        <v>100</v>
      </c>
      <c r="AJ27">
        <v>1</v>
      </c>
    </row>
    <row r="28" spans="1:36" x14ac:dyDescent="0.2">
      <c r="A28">
        <v>27</v>
      </c>
      <c r="B28">
        <v>758</v>
      </c>
      <c r="C28">
        <v>250</v>
      </c>
      <c r="D28">
        <v>0.330059157251614</v>
      </c>
      <c r="E28">
        <v>4.5166527371732696</v>
      </c>
      <c r="F28">
        <v>0.52481238107299899</v>
      </c>
      <c r="G28">
        <v>-98.121940559340317</v>
      </c>
      <c r="H28">
        <v>-57.419765582863349</v>
      </c>
      <c r="I28">
        <v>39.475110005845302</v>
      </c>
      <c r="J28">
        <v>17.599133831393601</v>
      </c>
      <c r="K28">
        <v>8.6062236716648908</v>
      </c>
      <c r="L28">
        <v>1.2941935850456405E-3</v>
      </c>
      <c r="M28">
        <v>2.2937696661968069E-4</v>
      </c>
      <c r="N28" s="1">
        <v>6.7449838718183103E-6</v>
      </c>
      <c r="O28" s="1">
        <v>1.8302411448618899E-6</v>
      </c>
      <c r="P28" s="1">
        <v>-6.1023933567228497E-6</v>
      </c>
      <c r="AE28">
        <v>100</v>
      </c>
      <c r="AJ28">
        <v>1</v>
      </c>
    </row>
    <row r="29" spans="1:36" x14ac:dyDescent="0.2">
      <c r="A29">
        <v>28</v>
      </c>
      <c r="B29">
        <v>756</v>
      </c>
      <c r="C29">
        <v>250</v>
      </c>
      <c r="D29">
        <v>0.32862119224602798</v>
      </c>
      <c r="E29">
        <v>4.5225881158755197</v>
      </c>
      <c r="F29">
        <v>0.52617349171939898</v>
      </c>
      <c r="G29">
        <v>-98.171863830372359</v>
      </c>
      <c r="H29">
        <v>-57.530483445862572</v>
      </c>
      <c r="I29">
        <v>39.492754687993397</v>
      </c>
      <c r="J29">
        <v>17.639703601187101</v>
      </c>
      <c r="K29">
        <v>8.5952412788733703</v>
      </c>
      <c r="L29">
        <v>1.2959633878440583E-3</v>
      </c>
      <c r="M29">
        <v>2.2855032405439386E-4</v>
      </c>
      <c r="N29" s="1">
        <v>6.8844157873570103E-6</v>
      </c>
      <c r="O29" s="1">
        <v>1.8202495703293601E-6</v>
      </c>
      <c r="P29" s="1">
        <v>-6.1079804295032501E-6</v>
      </c>
      <c r="AE29">
        <v>100</v>
      </c>
      <c r="AJ29">
        <v>1</v>
      </c>
    </row>
    <row r="30" spans="1:36" x14ac:dyDescent="0.2">
      <c r="A30">
        <v>29</v>
      </c>
      <c r="B30">
        <v>754</v>
      </c>
      <c r="C30">
        <v>250</v>
      </c>
      <c r="D30">
        <v>0.32717762741566497</v>
      </c>
      <c r="E30">
        <v>4.5449881122424998</v>
      </c>
      <c r="F30">
        <v>0.52753998630330401</v>
      </c>
      <c r="G30">
        <v>-98.578758533138057</v>
      </c>
      <c r="H30">
        <v>-57.850898694853619</v>
      </c>
      <c r="I30">
        <v>39.653858501267003</v>
      </c>
      <c r="J30">
        <v>17.744551049199998</v>
      </c>
      <c r="K30">
        <v>8.6154381283798998</v>
      </c>
      <c r="L30">
        <v>1.297707704638724E-3</v>
      </c>
      <c r="M30">
        <v>2.2771925480444125E-4</v>
      </c>
      <c r="N30" s="1">
        <v>7.05024912828538E-6</v>
      </c>
      <c r="O30" s="1">
        <v>1.81678002067701E-6</v>
      </c>
      <c r="P30" s="1">
        <v>-6.1354746515294697E-6</v>
      </c>
      <c r="AE30">
        <v>100</v>
      </c>
      <c r="AJ30">
        <v>1</v>
      </c>
    </row>
    <row r="31" spans="1:36" x14ac:dyDescent="0.2">
      <c r="A31">
        <v>30</v>
      </c>
      <c r="B31">
        <v>752</v>
      </c>
      <c r="C31">
        <v>250</v>
      </c>
      <c r="D31">
        <v>0.32572842998585799</v>
      </c>
      <c r="E31">
        <v>4.5671369903809502</v>
      </c>
      <c r="F31">
        <v>0.52891186124509804</v>
      </c>
      <c r="G31">
        <v>-98.979498339375809</v>
      </c>
      <c r="H31">
        <v>-58.168500346491783</v>
      </c>
      <c r="I31">
        <v>39.812331453079302</v>
      </c>
      <c r="J31">
        <v>17.8485373071968</v>
      </c>
      <c r="K31">
        <v>8.6349679881059291</v>
      </c>
      <c r="L31">
        <v>1.2994261217443423E-3</v>
      </c>
      <c r="M31">
        <v>2.2688379187760327E-4</v>
      </c>
      <c r="N31" s="1">
        <v>7.2174806236186699E-6</v>
      </c>
      <c r="O31" s="1">
        <v>1.8130614934743201E-6</v>
      </c>
      <c r="P31" s="1">
        <v>-6.1622838796571899E-6</v>
      </c>
      <c r="AE31">
        <v>100</v>
      </c>
      <c r="AJ31">
        <v>1</v>
      </c>
    </row>
    <row r="32" spans="1:36" x14ac:dyDescent="0.2">
      <c r="A32">
        <v>31</v>
      </c>
      <c r="B32">
        <v>750</v>
      </c>
      <c r="C32">
        <v>250</v>
      </c>
      <c r="D32">
        <v>0.324273566925672</v>
      </c>
      <c r="E32">
        <v>4.5890386708029096</v>
      </c>
      <c r="F32">
        <v>0.53028911236263798</v>
      </c>
      <c r="G32">
        <v>-99.374182501491731</v>
      </c>
      <c r="H32">
        <v>-58.483332882153668</v>
      </c>
      <c r="I32">
        <v>39.968211649381502</v>
      </c>
      <c r="J32">
        <v>17.9516716562566</v>
      </c>
      <c r="K32">
        <v>8.6538429015768408</v>
      </c>
      <c r="L32">
        <v>1.3011182271658575E-3</v>
      </c>
      <c r="M32">
        <v>2.2604396967675723E-4</v>
      </c>
      <c r="N32" s="1">
        <v>7.38607471283572E-6</v>
      </c>
      <c r="O32" s="1">
        <v>1.8090981449878799E-6</v>
      </c>
      <c r="P32" s="1">
        <v>-6.1884058047506196E-6</v>
      </c>
      <c r="AE32">
        <v>100</v>
      </c>
      <c r="AJ32">
        <v>1</v>
      </c>
    </row>
    <row r="33" spans="1:36" x14ac:dyDescent="0.2">
      <c r="A33">
        <v>32</v>
      </c>
      <c r="B33">
        <v>748</v>
      </c>
      <c r="C33">
        <v>250</v>
      </c>
      <c r="D33">
        <v>0.32281300494540499</v>
      </c>
      <c r="E33">
        <v>4.61069699204287</v>
      </c>
      <c r="F33">
        <v>0.53167173486526598</v>
      </c>
      <c r="G33">
        <v>-99.762908206621205</v>
      </c>
      <c r="H33">
        <v>-58.795439842151076</v>
      </c>
      <c r="I33">
        <v>40.121536393691599</v>
      </c>
      <c r="J33">
        <v>18.0539630791931</v>
      </c>
      <c r="K33">
        <v>8.6720746838484697</v>
      </c>
      <c r="L33">
        <v>1.3027836107818854E-3</v>
      </c>
      <c r="M33">
        <v>2.2519982400264784E-4</v>
      </c>
      <c r="N33" s="1">
        <v>7.55599498196579E-6</v>
      </c>
      <c r="O33" s="1">
        <v>1.8048941070796501E-6</v>
      </c>
      <c r="P33" s="1">
        <v>-6.2138381262995398E-6</v>
      </c>
      <c r="AE33">
        <v>100</v>
      </c>
      <c r="AJ33">
        <v>1</v>
      </c>
    </row>
    <row r="34" spans="1:36" x14ac:dyDescent="0.2">
      <c r="A34">
        <v>33</v>
      </c>
      <c r="B34">
        <v>746</v>
      </c>
      <c r="C34">
        <v>250</v>
      </c>
      <c r="D34">
        <v>0.32134671049404001</v>
      </c>
      <c r="E34">
        <v>4.6321157130494104</v>
      </c>
      <c r="F34">
        <v>0.53305972334802598</v>
      </c>
      <c r="G34">
        <v>-100.14577063596258</v>
      </c>
      <c r="H34">
        <v>-59.104863853263161</v>
      </c>
      <c r="I34">
        <v>40.272342210425201</v>
      </c>
      <c r="J34">
        <v>18.155420269807301</v>
      </c>
      <c r="K34">
        <v>8.6896749278976593</v>
      </c>
      <c r="L34">
        <v>1.3044218645294643E-3</v>
      </c>
      <c r="M34">
        <v>2.2435139205577133E-4</v>
      </c>
      <c r="N34" s="1">
        <v>7.7272041757819697E-6</v>
      </c>
      <c r="O34" s="1">
        <v>1.8004534889518399E-6</v>
      </c>
      <c r="P34" s="1">
        <v>-6.2385785609349702E-6</v>
      </c>
      <c r="AE34">
        <v>100</v>
      </c>
      <c r="AJ34">
        <v>1</v>
      </c>
    </row>
    <row r="35" spans="1:36" x14ac:dyDescent="0.2">
      <c r="A35">
        <v>34</v>
      </c>
      <c r="B35">
        <v>744</v>
      </c>
      <c r="C35">
        <v>250</v>
      </c>
      <c r="D35">
        <v>0.31987464975667701</v>
      </c>
      <c r="E35">
        <v>6.5162475766811996</v>
      </c>
      <c r="F35">
        <v>0.53445307178602697</v>
      </c>
      <c r="G35">
        <v>-140.76721284643247</v>
      </c>
      <c r="H35">
        <v>-83.197112167917822</v>
      </c>
      <c r="I35">
        <v>56.603086737965299</v>
      </c>
      <c r="J35">
        <v>25.5648658419491</v>
      </c>
      <c r="K35">
        <v>12.1923662163738</v>
      </c>
      <c r="L35">
        <v>1.3060325825887281E-3</v>
      </c>
      <c r="M35">
        <v>2.2349871243725617E-4</v>
      </c>
      <c r="N35" s="1">
        <v>1.10622964765965E-5</v>
      </c>
      <c r="O35" s="1">
        <v>2.5147214395481699E-6</v>
      </c>
      <c r="P35" s="1">
        <v>-8.7698680564033798E-6</v>
      </c>
      <c r="AE35">
        <v>100</v>
      </c>
      <c r="AJ35">
        <v>1</v>
      </c>
    </row>
    <row r="36" spans="1:36" x14ac:dyDescent="0.2">
      <c r="A36">
        <v>35</v>
      </c>
      <c r="B36">
        <v>742</v>
      </c>
      <c r="C36">
        <v>250</v>
      </c>
      <c r="D36">
        <v>0.318396788651924</v>
      </c>
      <c r="E36">
        <v>9.6322987331691508</v>
      </c>
      <c r="F36">
        <v>0.53585177352894597</v>
      </c>
      <c r="G36">
        <v>-207.9144291271833</v>
      </c>
      <c r="H36">
        <v>-123.05735199610777</v>
      </c>
      <c r="I36">
        <v>83.596108283407901</v>
      </c>
      <c r="J36">
        <v>37.826221541377301</v>
      </c>
      <c r="K36">
        <v>17.975677620200699</v>
      </c>
      <c r="L36">
        <v>1.3076153615686316E-3</v>
      </c>
      <c r="M36">
        <v>2.2264182514884905E-4</v>
      </c>
      <c r="N36" s="1">
        <v>1.66368513680075E-5</v>
      </c>
      <c r="O36" s="1">
        <v>3.6904923145198698E-6</v>
      </c>
      <c r="P36" s="1">
        <v>-1.29536074684462E-5</v>
      </c>
      <c r="AE36">
        <v>100</v>
      </c>
      <c r="AJ36">
        <v>1</v>
      </c>
    </row>
    <row r="37" spans="1:36" x14ac:dyDescent="0.2">
      <c r="A37">
        <v>36</v>
      </c>
      <c r="B37">
        <v>740</v>
      </c>
      <c r="C37">
        <v>250</v>
      </c>
      <c r="D37">
        <v>0.31691309282929903</v>
      </c>
      <c r="E37">
        <v>10.3718214146171</v>
      </c>
      <c r="F37">
        <v>0.53725582129572502</v>
      </c>
      <c r="G37">
        <v>-223.69717489094324</v>
      </c>
      <c r="H37">
        <v>-132.58661748866385</v>
      </c>
      <c r="I37">
        <v>89.933862503474899</v>
      </c>
      <c r="J37">
        <v>40.769286849209699</v>
      </c>
      <c r="K37">
        <v>19.305182007340299</v>
      </c>
      <c r="L37">
        <v>1.3091698006928352E-3</v>
      </c>
      <c r="M37">
        <v>2.2178077159190824E-4</v>
      </c>
      <c r="N37" s="1">
        <v>1.8221339273492401E-5</v>
      </c>
      <c r="O37" s="1">
        <v>3.9449682834520502E-6</v>
      </c>
      <c r="P37" s="1">
        <v>-1.3936603154505099E-5</v>
      </c>
      <c r="AE37">
        <v>100</v>
      </c>
      <c r="AJ37">
        <v>1</v>
      </c>
    </row>
    <row r="38" spans="1:36" x14ac:dyDescent="0.2">
      <c r="A38">
        <v>37</v>
      </c>
      <c r="B38">
        <v>758</v>
      </c>
      <c r="C38">
        <v>225</v>
      </c>
      <c r="D38">
        <v>0.356728410027642</v>
      </c>
      <c r="E38">
        <v>4.9188622314867496</v>
      </c>
      <c r="F38">
        <v>0.49282268840091997</v>
      </c>
      <c r="G38">
        <v>-107.10133866566603</v>
      </c>
      <c r="H38">
        <v>-62.438540049979132</v>
      </c>
      <c r="I38">
        <v>43.316310421091501</v>
      </c>
      <c r="J38">
        <v>19.357077480298699</v>
      </c>
      <c r="K38">
        <v>9.9809979273624005</v>
      </c>
      <c r="L38">
        <v>1.4054169480793059E-3</v>
      </c>
      <c r="M38">
        <v>2.7616232173905721E-4</v>
      </c>
      <c r="N38" s="1">
        <v>7.3239234372240102E-6</v>
      </c>
      <c r="O38" s="1">
        <v>2.93721426439655E-6</v>
      </c>
      <c r="P38" s="1">
        <v>-8.6462069589607094E-6</v>
      </c>
      <c r="AE38">
        <v>100</v>
      </c>
      <c r="AJ38">
        <v>1</v>
      </c>
    </row>
    <row r="39" spans="1:36" x14ac:dyDescent="0.2">
      <c r="A39">
        <v>38</v>
      </c>
      <c r="B39">
        <v>756</v>
      </c>
      <c r="C39">
        <v>225</v>
      </c>
      <c r="D39">
        <v>0.35534227274935698</v>
      </c>
      <c r="E39">
        <v>4.9254772558540099</v>
      </c>
      <c r="F39">
        <v>0.49421110210605401</v>
      </c>
      <c r="G39">
        <v>-107.15866006765935</v>
      </c>
      <c r="H39">
        <v>-62.561298275749486</v>
      </c>
      <c r="I39">
        <v>43.336909539381601</v>
      </c>
      <c r="J39">
        <v>19.4060028093349</v>
      </c>
      <c r="K39">
        <v>9.9663427933211999</v>
      </c>
      <c r="L39">
        <v>1.4078854248212134E-3</v>
      </c>
      <c r="M39">
        <v>2.7520256945572118E-4</v>
      </c>
      <c r="N39" s="1">
        <v>7.5258675661090797E-6</v>
      </c>
      <c r="O39" s="1">
        <v>2.9222440775309099E-6</v>
      </c>
      <c r="P39" s="1">
        <v>-8.6613561177789397E-6</v>
      </c>
      <c r="AE39">
        <v>100</v>
      </c>
      <c r="AJ39">
        <v>1</v>
      </c>
    </row>
    <row r="40" spans="1:36" x14ac:dyDescent="0.2">
      <c r="A40">
        <v>39</v>
      </c>
      <c r="B40">
        <v>754</v>
      </c>
      <c r="C40">
        <v>225</v>
      </c>
      <c r="D40">
        <v>0.35395073747748601</v>
      </c>
      <c r="E40">
        <v>4.9462432503120501</v>
      </c>
      <c r="F40">
        <v>0.49560585974539001</v>
      </c>
      <c r="G40">
        <v>-107.52344361766396</v>
      </c>
      <c r="H40">
        <v>-62.864057614475207</v>
      </c>
      <c r="I40">
        <v>43.4816886991293</v>
      </c>
      <c r="J40">
        <v>19.5107616455632</v>
      </c>
      <c r="K40">
        <v>9.9801952560712497</v>
      </c>
      <c r="L40">
        <v>1.4103247859760769E-3</v>
      </c>
      <c r="M40">
        <v>2.7423590143348017E-4</v>
      </c>
      <c r="N40" s="1">
        <v>7.7518322915352202E-6</v>
      </c>
      <c r="O40" s="1">
        <v>2.9154902086510701E-6</v>
      </c>
      <c r="P40" s="1">
        <v>-8.7009419041657503E-6</v>
      </c>
      <c r="AE40">
        <v>100</v>
      </c>
      <c r="AJ40">
        <v>1</v>
      </c>
    </row>
    <row r="41" spans="1:36" x14ac:dyDescent="0.2">
      <c r="A41">
        <v>40</v>
      </c>
      <c r="B41">
        <v>752</v>
      </c>
      <c r="C41">
        <v>225</v>
      </c>
      <c r="D41">
        <v>0.35255377261864101</v>
      </c>
      <c r="E41">
        <v>4.9667930041232102</v>
      </c>
      <c r="F41">
        <v>0.49700696367191499</v>
      </c>
      <c r="G41">
        <v>-107.88287601842626</v>
      </c>
      <c r="H41">
        <v>-63.16444043057038</v>
      </c>
      <c r="I41">
        <v>43.624130997228498</v>
      </c>
      <c r="J41">
        <v>19.614807827172701</v>
      </c>
      <c r="K41">
        <v>9.9934072702488201</v>
      </c>
      <c r="L41">
        <v>1.4127343884097431E-3</v>
      </c>
      <c r="M41">
        <v>2.7326234121145604E-4</v>
      </c>
      <c r="N41" s="1">
        <v>7.9803763696047307E-6</v>
      </c>
      <c r="O41" s="1">
        <v>2.9083761076740102E-6</v>
      </c>
      <c r="P41" s="1">
        <v>-8.7396948632881607E-6</v>
      </c>
      <c r="AE41">
        <v>100</v>
      </c>
      <c r="AJ41">
        <v>1</v>
      </c>
    </row>
    <row r="42" spans="1:36" x14ac:dyDescent="0.2">
      <c r="A42">
        <v>41</v>
      </c>
      <c r="B42">
        <v>750</v>
      </c>
      <c r="C42">
        <v>225</v>
      </c>
      <c r="D42">
        <v>0.35115134633240402</v>
      </c>
      <c r="E42">
        <v>5.1132671079999499</v>
      </c>
      <c r="F42">
        <v>0.49841441544936699</v>
      </c>
      <c r="G42">
        <v>-110.97463357336125</v>
      </c>
      <c r="H42">
        <v>-65.06761288158242</v>
      </c>
      <c r="I42">
        <v>44.871179022829999</v>
      </c>
      <c r="J42">
        <v>20.216869557739098</v>
      </c>
      <c r="K42">
        <v>10.2590674537169</v>
      </c>
      <c r="L42">
        <v>1.4151135890225655E-3</v>
      </c>
      <c r="M42">
        <v>2.7228191468116428E-4</v>
      </c>
      <c r="N42" s="1">
        <v>8.4191423237218405E-6</v>
      </c>
      <c r="O42" s="1">
        <v>2.9742777266712498E-6</v>
      </c>
      <c r="P42" s="1">
        <v>-8.9996137319259198E-6</v>
      </c>
      <c r="AE42">
        <v>100</v>
      </c>
      <c r="AJ42">
        <v>1</v>
      </c>
    </row>
    <row r="43" spans="1:36" x14ac:dyDescent="0.2">
      <c r="A43">
        <v>42</v>
      </c>
      <c r="B43">
        <v>748</v>
      </c>
      <c r="C43">
        <v>225</v>
      </c>
      <c r="D43">
        <v>0.34974342652891699</v>
      </c>
      <c r="E43">
        <v>7.1194696377659996</v>
      </c>
      <c r="F43">
        <v>0.49982821584070197</v>
      </c>
      <c r="G43">
        <v>-154.39089749598037</v>
      </c>
      <c r="H43">
        <v>-90.653376602117163</v>
      </c>
      <c r="I43">
        <v>62.421382844416001</v>
      </c>
      <c r="J43">
        <v>28.1817926738421</v>
      </c>
      <c r="K43">
        <v>14.2438330052879</v>
      </c>
      <c r="L43">
        <v>1.4174617450838844E-3</v>
      </c>
      <c r="M43">
        <v>2.7129465011387977E-4</v>
      </c>
      <c r="N43" s="1">
        <v>1.20073795520671E-5</v>
      </c>
      <c r="O43" s="1">
        <v>4.1134767876545797E-6</v>
      </c>
      <c r="P43" s="1">
        <v>-1.2532957353908E-5</v>
      </c>
      <c r="AE43">
        <v>100</v>
      </c>
      <c r="AJ43">
        <v>1</v>
      </c>
    </row>
    <row r="44" spans="1:36" x14ac:dyDescent="0.2">
      <c r="A44">
        <v>43</v>
      </c>
      <c r="B44">
        <v>746</v>
      </c>
      <c r="C44">
        <v>225</v>
      </c>
      <c r="D44">
        <v>0.34832998086640898</v>
      </c>
      <c r="E44">
        <v>9.8802124659091302</v>
      </c>
      <c r="F44">
        <v>0.50124836479679802</v>
      </c>
      <c r="G44">
        <v>-214.08644470444113</v>
      </c>
      <c r="H44">
        <v>-125.88463390988358</v>
      </c>
      <c r="I44">
        <v>86.550031750816899</v>
      </c>
      <c r="J44">
        <v>39.155325477494202</v>
      </c>
      <c r="K44">
        <v>19.711211367072401</v>
      </c>
      <c r="L44">
        <v>1.4197782145724301E-3</v>
      </c>
      <c r="M44">
        <v>2.7030057818655594E-4</v>
      </c>
      <c r="N44" s="1">
        <v>1.7061314126448399E-5</v>
      </c>
      <c r="O44" s="1">
        <v>5.6699026383379197E-6</v>
      </c>
      <c r="P44" s="1">
        <v>-1.73951294445945E-5</v>
      </c>
      <c r="AE44">
        <v>100</v>
      </c>
      <c r="AJ44">
        <v>1</v>
      </c>
    </row>
    <row r="45" spans="1:36" x14ac:dyDescent="0.2">
      <c r="A45">
        <v>44</v>
      </c>
      <c r="B45">
        <v>744</v>
      </c>
      <c r="C45">
        <v>225</v>
      </c>
      <c r="D45">
        <v>0.34691097674876298</v>
      </c>
      <c r="E45">
        <v>10.4235455569804</v>
      </c>
      <c r="F45">
        <v>0.502674861445363</v>
      </c>
      <c r="G45">
        <v>-225.67695811953294</v>
      </c>
      <c r="H45">
        <v>-132.88995226502328</v>
      </c>
      <c r="I45">
        <v>91.228403723498403</v>
      </c>
      <c r="J45">
        <v>41.356289373450103</v>
      </c>
      <c r="K45">
        <v>20.736158412635099</v>
      </c>
      <c r="L45">
        <v>1.4220623565214814E-3</v>
      </c>
      <c r="M45">
        <v>2.692997320061339E-4</v>
      </c>
      <c r="N45" s="1">
        <v>1.8421565958141499E-5</v>
      </c>
      <c r="O45" s="1">
        <v>5.9407590239561004E-6</v>
      </c>
      <c r="P45" s="1">
        <v>-1.83529899041541E-5</v>
      </c>
      <c r="AE45">
        <v>100</v>
      </c>
      <c r="AJ45">
        <v>1</v>
      </c>
    </row>
    <row r="46" spans="1:36" x14ac:dyDescent="0.2">
      <c r="A46">
        <v>45</v>
      </c>
      <c r="B46">
        <v>758</v>
      </c>
      <c r="C46">
        <v>200</v>
      </c>
      <c r="D46">
        <v>0.383397662803666</v>
      </c>
      <c r="E46">
        <v>5.3199170588405904</v>
      </c>
      <c r="F46">
        <v>0.45645257202433998</v>
      </c>
      <c r="G46">
        <v>-116.11385364861245</v>
      </c>
      <c r="H46">
        <v>-67.385302053390461</v>
      </c>
      <c r="I46">
        <v>47.259463684666002</v>
      </c>
      <c r="J46">
        <v>21.126298609486099</v>
      </c>
      <c r="K46">
        <v>11.6549174764139</v>
      </c>
      <c r="L46">
        <v>1.5329879985900398E-3</v>
      </c>
      <c r="M46">
        <v>3.4074884165332146E-4</v>
      </c>
      <c r="N46" s="1">
        <v>6.5775789199413998E-6</v>
      </c>
      <c r="O46" s="1">
        <v>4.9023998222455704E-6</v>
      </c>
      <c r="P46" s="1">
        <v>-1.23841967490542E-5</v>
      </c>
      <c r="AE46">
        <v>100</v>
      </c>
      <c r="AJ46">
        <v>1</v>
      </c>
    </row>
    <row r="47" spans="1:36" x14ac:dyDescent="0.2">
      <c r="A47">
        <v>46</v>
      </c>
      <c r="B47">
        <v>756</v>
      </c>
      <c r="C47">
        <v>200</v>
      </c>
      <c r="D47">
        <v>0.38206335325268598</v>
      </c>
      <c r="E47">
        <v>5.4519646361962497</v>
      </c>
      <c r="F47">
        <v>0.45785582298683303</v>
      </c>
      <c r="G47">
        <v>-118.89913445496667</v>
      </c>
      <c r="H47">
        <v>-69.10122958483484</v>
      </c>
      <c r="I47">
        <v>48.390443394146203</v>
      </c>
      <c r="J47">
        <v>21.681994765261699</v>
      </c>
      <c r="K47">
        <v>11.9076013943215</v>
      </c>
      <c r="L47">
        <v>1.5365448866216137E-3</v>
      </c>
      <c r="M47">
        <v>3.396630615042569E-4</v>
      </c>
      <c r="N47" s="1">
        <v>7.0237782702814696E-6</v>
      </c>
      <c r="O47" s="1">
        <v>4.9947249689686302E-6</v>
      </c>
      <c r="P47" s="1">
        <v>-1.2711137226422001E-5</v>
      </c>
      <c r="AE47">
        <v>100</v>
      </c>
      <c r="AJ47">
        <v>1</v>
      </c>
    </row>
    <row r="48" spans="1:36" x14ac:dyDescent="0.2">
      <c r="A48">
        <v>47</v>
      </c>
      <c r="B48">
        <v>754</v>
      </c>
      <c r="C48">
        <v>200</v>
      </c>
      <c r="D48">
        <v>0.38072384753930699</v>
      </c>
      <c r="E48">
        <v>6.1284976242570997</v>
      </c>
      <c r="F48">
        <v>0.45926664146385499</v>
      </c>
      <c r="G48">
        <v>-133.54455663293871</v>
      </c>
      <c r="H48">
        <v>-77.72476483895305</v>
      </c>
      <c r="I48">
        <v>54.347757286335103</v>
      </c>
      <c r="J48">
        <v>24.4076857567843</v>
      </c>
      <c r="K48">
        <v>13.344094848089201</v>
      </c>
      <c r="L48">
        <v>1.5400721186903533E-3</v>
      </c>
      <c r="M48">
        <v>3.3856654068413548E-4</v>
      </c>
      <c r="N48" s="1">
        <v>8.2171249874188804E-6</v>
      </c>
      <c r="O48" s="1">
        <v>5.5813175401576099E-6</v>
      </c>
      <c r="P48" s="1">
        <v>-1.4309754449543899E-5</v>
      </c>
      <c r="AE48">
        <v>100</v>
      </c>
      <c r="AJ48">
        <v>1</v>
      </c>
    </row>
    <row r="49" spans="1:36" x14ac:dyDescent="0.2">
      <c r="A49">
        <v>48</v>
      </c>
      <c r="B49">
        <v>752</v>
      </c>
      <c r="C49">
        <v>200</v>
      </c>
      <c r="D49">
        <v>0.37937911525142798</v>
      </c>
      <c r="E49">
        <v>7.9068639399708198</v>
      </c>
      <c r="F49">
        <v>0.46068504300701602</v>
      </c>
      <c r="G49">
        <v>-172.15631619056447</v>
      </c>
      <c r="H49">
        <v>-100.34194879734096</v>
      </c>
      <c r="I49">
        <v>70.056959651082295</v>
      </c>
      <c r="J49">
        <v>31.5356538790729</v>
      </c>
      <c r="K49">
        <v>17.1632746927501</v>
      </c>
      <c r="L49">
        <v>1.5435686892833393E-3</v>
      </c>
      <c r="M49">
        <v>3.3745925847954796E-4</v>
      </c>
      <c r="N49" s="1">
        <v>1.10214461144019E-5</v>
      </c>
      <c r="O49" s="1">
        <v>7.1578099785380301E-6</v>
      </c>
      <c r="P49" s="1">
        <v>-1.8488726003775899E-5</v>
      </c>
      <c r="AE49">
        <v>100</v>
      </c>
      <c r="AJ49">
        <v>1</v>
      </c>
    </row>
    <row r="50" spans="1:36" x14ac:dyDescent="0.2">
      <c r="A50">
        <v>49</v>
      </c>
      <c r="B50">
        <v>750</v>
      </c>
      <c r="C50">
        <v>200</v>
      </c>
      <c r="D50">
        <v>0.37802912573913899</v>
      </c>
      <c r="E50">
        <v>10.2031430680381</v>
      </c>
      <c r="F50">
        <v>0.46211104218689197</v>
      </c>
      <c r="G50">
        <v>-221.9725245769624</v>
      </c>
      <c r="H50">
        <v>-129.56429439239588</v>
      </c>
      <c r="I50">
        <v>90.323089527024095</v>
      </c>
      <c r="J50">
        <v>40.752574983447197</v>
      </c>
      <c r="K50">
        <v>22.079418444001799</v>
      </c>
      <c r="L50">
        <v>1.5470335856745737E-3</v>
      </c>
      <c r="M50">
        <v>3.3634119764314386E-4</v>
      </c>
      <c r="N50" s="1">
        <v>1.4770091189301099E-5</v>
      </c>
      <c r="O50" s="1">
        <v>9.1806122074847093E-6</v>
      </c>
      <c r="P50" s="1">
        <v>-2.3891225420860101E-5</v>
      </c>
      <c r="AE50">
        <v>100</v>
      </c>
      <c r="AJ50">
        <v>1</v>
      </c>
    </row>
    <row r="51" spans="1:36" x14ac:dyDescent="0.2">
      <c r="A51">
        <v>50</v>
      </c>
      <c r="B51">
        <v>748</v>
      </c>
      <c r="C51">
        <v>200</v>
      </c>
      <c r="D51">
        <v>0.37667384811242399</v>
      </c>
      <c r="E51">
        <v>10.500653716038</v>
      </c>
      <c r="F51">
        <v>0.46354465256962502</v>
      </c>
      <c r="G51">
        <v>-228.25912897564402</v>
      </c>
      <c r="H51">
        <v>-133.42616593828359</v>
      </c>
      <c r="I51">
        <v>92.874672825961596</v>
      </c>
      <c r="J51">
        <v>42.000970177519598</v>
      </c>
      <c r="K51">
        <v>22.652949738128701</v>
      </c>
      <c r="L51">
        <v>1.5504657884356863E-3</v>
      </c>
      <c r="M51">
        <v>3.3521234449100618E-4</v>
      </c>
      <c r="N51" s="1">
        <v>1.57706863485806E-5</v>
      </c>
      <c r="O51" s="1">
        <v>9.3903957653534996E-6</v>
      </c>
      <c r="P51" s="1">
        <v>-2.4620624652807301E-5</v>
      </c>
      <c r="AE51">
        <v>100</v>
      </c>
      <c r="AJ51">
        <v>1</v>
      </c>
    </row>
    <row r="52" spans="1:36" x14ac:dyDescent="0.2">
      <c r="A52">
        <v>51</v>
      </c>
      <c r="B52">
        <v>768</v>
      </c>
      <c r="C52">
        <v>175</v>
      </c>
      <c r="D52">
        <v>0.416405417086878</v>
      </c>
      <c r="E52">
        <v>5.7227453246618998</v>
      </c>
      <c r="F52">
        <v>0.407875855975387</v>
      </c>
      <c r="G52">
        <v>-125.74916883816164</v>
      </c>
      <c r="H52">
        <v>-72.045657023295689</v>
      </c>
      <c r="I52">
        <v>51.584100966390501</v>
      </c>
      <c r="J52">
        <v>22.6553972736722</v>
      </c>
      <c r="K52">
        <v>14.0306057365828</v>
      </c>
      <c r="L52">
        <v>1.6467405220001745E-3</v>
      </c>
      <c r="M52">
        <v>4.37561775298123E-4</v>
      </c>
      <c r="N52" s="1">
        <v>9.1557417066094804E-7</v>
      </c>
      <c r="O52" s="1">
        <v>8.7815288867870601E-6</v>
      </c>
      <c r="P52" s="1">
        <v>-1.7588235011435298E-5</v>
      </c>
      <c r="AE52">
        <v>100</v>
      </c>
      <c r="AJ52">
        <v>1</v>
      </c>
    </row>
    <row r="53" spans="1:36" x14ac:dyDescent="0.2">
      <c r="A53">
        <v>52</v>
      </c>
      <c r="B53">
        <v>766</v>
      </c>
      <c r="C53">
        <v>175</v>
      </c>
      <c r="D53">
        <v>0.41514747630275201</v>
      </c>
      <c r="E53">
        <v>5.7284486928932896</v>
      </c>
      <c r="F53">
        <v>0.40922356621307199</v>
      </c>
      <c r="G53">
        <v>-125.7712648195328</v>
      </c>
      <c r="H53">
        <v>-72.162855412755576</v>
      </c>
      <c r="I53">
        <v>51.5918660221203</v>
      </c>
      <c r="J53">
        <v>22.718720711364</v>
      </c>
      <c r="K53">
        <v>13.998335300930901</v>
      </c>
      <c r="L53">
        <v>1.652027144719714E-3</v>
      </c>
      <c r="M53">
        <v>4.3648824607725819E-4</v>
      </c>
      <c r="N53" s="1">
        <v>1.2483177098593E-6</v>
      </c>
      <c r="O53" s="1">
        <v>8.7493961620698801E-6</v>
      </c>
      <c r="P53" s="1">
        <v>-1.76605965850796E-5</v>
      </c>
      <c r="AE53">
        <v>100</v>
      </c>
      <c r="AJ53">
        <v>1</v>
      </c>
    </row>
    <row r="54" spans="1:36" x14ac:dyDescent="0.2">
      <c r="A54">
        <v>53</v>
      </c>
      <c r="B54">
        <v>764</v>
      </c>
      <c r="C54">
        <v>175</v>
      </c>
      <c r="D54">
        <v>0.41388468398978101</v>
      </c>
      <c r="E54">
        <v>5.7923583889364796</v>
      </c>
      <c r="F54">
        <v>0.41058006522061502</v>
      </c>
      <c r="G54">
        <v>-127.07014696675033</v>
      </c>
      <c r="H54">
        <v>-73.013929222324265</v>
      </c>
      <c r="I54">
        <v>52.123157197693402</v>
      </c>
      <c r="J54">
        <v>23.013495744936701</v>
      </c>
      <c r="K54">
        <v>14.107743847290999</v>
      </c>
      <c r="L54">
        <v>1.6573001620850665E-3</v>
      </c>
      <c r="M54">
        <v>4.3539960093590103E-4</v>
      </c>
      <c r="N54" s="1">
        <v>1.6047936304985399E-6</v>
      </c>
      <c r="O54" s="1">
        <v>8.8053391234411898E-6</v>
      </c>
      <c r="P54" s="1">
        <v>-1.79128131199687E-5</v>
      </c>
      <c r="AE54">
        <v>100</v>
      </c>
      <c r="AJ54">
        <v>1</v>
      </c>
    </row>
    <row r="55" spans="1:36" x14ac:dyDescent="0.2">
      <c r="A55">
        <v>54</v>
      </c>
      <c r="B55">
        <v>762</v>
      </c>
      <c r="C55">
        <v>175</v>
      </c>
      <c r="D55">
        <v>0.41261701202724399</v>
      </c>
      <c r="E55">
        <v>5.9195834825801601</v>
      </c>
      <c r="F55">
        <v>0.411945399082977</v>
      </c>
      <c r="G55">
        <v>-129.75466311202069</v>
      </c>
      <c r="H55">
        <v>-74.664709274834266</v>
      </c>
      <c r="I55">
        <v>53.222568117045</v>
      </c>
      <c r="J55">
        <v>23.561300382151099</v>
      </c>
      <c r="K55">
        <v>14.369825456863</v>
      </c>
      <c r="L55">
        <v>1.6625582699135513E-3</v>
      </c>
      <c r="M55">
        <v>4.342956870372665E-4</v>
      </c>
      <c r="N55" s="1">
        <v>1.9973244238789501E-6</v>
      </c>
      <c r="O55" s="1">
        <v>8.9558157020548296E-6</v>
      </c>
      <c r="P55" s="1">
        <v>-1.8362355490166998E-5</v>
      </c>
      <c r="AE55">
        <v>100</v>
      </c>
      <c r="AJ55">
        <v>1</v>
      </c>
    </row>
    <row r="56" spans="1:36" x14ac:dyDescent="0.2">
      <c r="A56">
        <v>55</v>
      </c>
      <c r="B56">
        <v>760</v>
      </c>
      <c r="C56">
        <v>175</v>
      </c>
      <c r="D56">
        <v>0.41134443207665999</v>
      </c>
      <c r="E56">
        <v>6.2251086680985903</v>
      </c>
      <c r="F56">
        <v>0.41331961311145299</v>
      </c>
      <c r="G56">
        <v>-136.33974951698951</v>
      </c>
      <c r="H56">
        <v>-78.567949523439495</v>
      </c>
      <c r="I56">
        <v>55.921562583357002</v>
      </c>
      <c r="J56">
        <v>24.8219827498143</v>
      </c>
      <c r="K56">
        <v>15.0612467219647</v>
      </c>
      <c r="L56">
        <v>1.6678001359930624E-3</v>
      </c>
      <c r="M56">
        <v>4.3317635369420941E-4</v>
      </c>
      <c r="N56" s="1">
        <v>2.48375347194131E-6</v>
      </c>
      <c r="O56" s="1">
        <v>9.3725431671401594E-6</v>
      </c>
      <c r="P56" s="1">
        <v>-1.9368732262511601E-5</v>
      </c>
      <c r="AE56">
        <v>100</v>
      </c>
      <c r="AJ56">
        <v>1</v>
      </c>
    </row>
    <row r="57" spans="1:36" x14ac:dyDescent="0.2">
      <c r="A57">
        <v>56</v>
      </c>
      <c r="B57">
        <v>758</v>
      </c>
      <c r="C57">
        <v>175</v>
      </c>
      <c r="D57">
        <v>0.41006691557969399</v>
      </c>
      <c r="E57">
        <v>7.8726278899773101</v>
      </c>
      <c r="F57">
        <v>0.41470275180371802</v>
      </c>
      <c r="G57">
        <v>-172.28165019983467</v>
      </c>
      <c r="H57">
        <v>-99.42435451357585</v>
      </c>
      <c r="I57">
        <v>70.660719475703999</v>
      </c>
      <c r="J57">
        <v>31.4478558033057</v>
      </c>
      <c r="K57">
        <v>18.983785026108201</v>
      </c>
      <c r="L57">
        <v>1.6730244002158929E-3</v>
      </c>
      <c r="M57">
        <v>4.3204145256789736E-4</v>
      </c>
      <c r="N57" s="1">
        <v>3.6355685575268301E-6</v>
      </c>
      <c r="O57" s="1">
        <v>1.17950386715488E-5</v>
      </c>
      <c r="P57" s="1">
        <v>-2.45684882549799E-5</v>
      </c>
      <c r="AE57">
        <v>100</v>
      </c>
      <c r="AJ57">
        <v>1</v>
      </c>
    </row>
    <row r="58" spans="1:36" x14ac:dyDescent="0.2">
      <c r="A58">
        <v>57</v>
      </c>
      <c r="B58">
        <v>756</v>
      </c>
      <c r="C58">
        <v>175</v>
      </c>
      <c r="D58">
        <v>0.40878443375601398</v>
      </c>
      <c r="E58">
        <v>9.9769097074592406</v>
      </c>
      <c r="F58">
        <v>0.41609485880319902</v>
      </c>
      <c r="G58">
        <v>-218.15195006921178</v>
      </c>
      <c r="H58">
        <v>-126.07935897461589</v>
      </c>
      <c r="I58">
        <v>89.470242914038707</v>
      </c>
      <c r="J58">
        <v>39.925407961827403</v>
      </c>
      <c r="K58">
        <v>23.977488537482799</v>
      </c>
      <c r="L58">
        <v>1.6782296747537674E-3</v>
      </c>
      <c r="M58">
        <v>4.3089083787200741E-4</v>
      </c>
      <c r="N58" s="1">
        <v>5.2462683121405197E-6</v>
      </c>
      <c r="O58" s="1">
        <v>1.48736264055963E-5</v>
      </c>
      <c r="P58" s="1">
        <v>-3.1228124949666797E-5</v>
      </c>
      <c r="AE58">
        <v>100</v>
      </c>
      <c r="AJ58">
        <v>1</v>
      </c>
    </row>
    <row r="59" spans="1:36" x14ac:dyDescent="0.2">
      <c r="A59">
        <v>58</v>
      </c>
      <c r="B59">
        <v>754</v>
      </c>
      <c r="C59">
        <v>175</v>
      </c>
      <c r="D59">
        <v>0.40749695760112897</v>
      </c>
      <c r="E59">
        <v>10.4595913524896</v>
      </c>
      <c r="F59">
        <v>0.41749597685781797</v>
      </c>
      <c r="G59">
        <v>-228.51859799575112</v>
      </c>
      <c r="H59">
        <v>-132.26285201908377</v>
      </c>
      <c r="I59">
        <v>93.717306719692104</v>
      </c>
      <c r="J59">
        <v>41.932439629748302</v>
      </c>
      <c r="K59">
        <v>25.0531548380686</v>
      </c>
      <c r="L59">
        <v>1.6834145442753241E-3</v>
      </c>
      <c r="M59">
        <v>4.2972436658222479E-4</v>
      </c>
      <c r="N59" s="1">
        <v>6.1828761566245996E-6</v>
      </c>
      <c r="O59" s="1">
        <v>1.5514872072269501E-5</v>
      </c>
      <c r="P59" s="1">
        <v>-3.2835354014346002E-5</v>
      </c>
      <c r="AE59">
        <v>100</v>
      </c>
      <c r="AJ59">
        <v>1</v>
      </c>
    </row>
    <row r="60" spans="1:36" x14ac:dyDescent="0.2">
      <c r="A60">
        <v>59</v>
      </c>
      <c r="B60">
        <v>778</v>
      </c>
      <c r="C60">
        <v>150</v>
      </c>
      <c r="D60">
        <v>0.44878514008467002</v>
      </c>
      <c r="E60">
        <v>6.1488867636754199</v>
      </c>
      <c r="F60">
        <v>0.353769771240103</v>
      </c>
      <c r="G60">
        <v>-136.07559966122008</v>
      </c>
      <c r="H60">
        <v>-76.855618292516951</v>
      </c>
      <c r="I60">
        <v>56.341625970883399</v>
      </c>
      <c r="J60">
        <v>23.985404828943601</v>
      </c>
      <c r="K60">
        <v>17.381040618934499</v>
      </c>
      <c r="L60">
        <v>1.7376523710728438E-3</v>
      </c>
      <c r="M60">
        <v>5.7287218953501972E-4</v>
      </c>
      <c r="N60" s="1">
        <v>-1.0984826377370699E-5</v>
      </c>
      <c r="O60" s="1">
        <v>1.6473829397990699E-5</v>
      </c>
      <c r="P60" s="1">
        <v>-2.4695517900200302E-5</v>
      </c>
      <c r="AE60">
        <v>100</v>
      </c>
      <c r="AJ60">
        <v>1</v>
      </c>
    </row>
    <row r="61" spans="1:36" x14ac:dyDescent="0.2">
      <c r="A61">
        <v>60</v>
      </c>
      <c r="B61">
        <v>776</v>
      </c>
      <c r="C61">
        <v>150</v>
      </c>
      <c r="D61">
        <v>0.447600915026452</v>
      </c>
      <c r="E61">
        <v>6.1753926367481302</v>
      </c>
      <c r="F61">
        <v>0.35500396313718702</v>
      </c>
      <c r="G61">
        <v>-136.54905470504056</v>
      </c>
      <c r="H61">
        <v>-77.235147343963206</v>
      </c>
      <c r="I61">
        <v>56.538570557076298</v>
      </c>
      <c r="J61">
        <v>24.140462130124298</v>
      </c>
      <c r="K61">
        <v>17.3952780193659</v>
      </c>
      <c r="L61">
        <v>1.7449668098908986E-3</v>
      </c>
      <c r="M61">
        <v>5.7201298255247092E-4</v>
      </c>
      <c r="N61" s="1">
        <v>-1.07504764502435E-5</v>
      </c>
      <c r="O61" s="1">
        <v>1.6488332913415601E-5</v>
      </c>
      <c r="P61" s="1">
        <v>-2.4910023436192501E-5</v>
      </c>
      <c r="AE61">
        <v>100</v>
      </c>
      <c r="AJ61">
        <v>1</v>
      </c>
    </row>
    <row r="62" spans="1:36" x14ac:dyDescent="0.2">
      <c r="A62">
        <v>61</v>
      </c>
      <c r="B62">
        <v>774</v>
      </c>
      <c r="C62">
        <v>150</v>
      </c>
      <c r="D62">
        <v>0.44641216635630598</v>
      </c>
      <c r="E62">
        <v>6.2297189532203703</v>
      </c>
      <c r="F62">
        <v>0.35624768027248299</v>
      </c>
      <c r="G62">
        <v>-137.63628199887151</v>
      </c>
      <c r="H62">
        <v>-77.963360365327731</v>
      </c>
      <c r="I62">
        <v>56.989434809986498</v>
      </c>
      <c r="J62">
        <v>24.405305294908</v>
      </c>
      <c r="K62">
        <v>17.487044262170201</v>
      </c>
      <c r="L62">
        <v>1.7523037160198554E-3</v>
      </c>
      <c r="M62">
        <v>5.7113666056184315E-4</v>
      </c>
      <c r="N62" s="1">
        <v>-1.0550482858289499E-5</v>
      </c>
      <c r="O62" s="1">
        <v>1.6575936348113801E-5</v>
      </c>
      <c r="P62" s="1">
        <v>-2.5239021627103899E-5</v>
      </c>
      <c r="AE62">
        <v>100</v>
      </c>
      <c r="AJ62">
        <v>1</v>
      </c>
    </row>
    <row r="63" spans="1:36" x14ac:dyDescent="0.2">
      <c r="A63">
        <v>62</v>
      </c>
      <c r="B63">
        <v>772</v>
      </c>
      <c r="C63">
        <v>150</v>
      </c>
      <c r="D63">
        <v>0.44521886810505501</v>
      </c>
      <c r="E63">
        <v>6.2841138087498898</v>
      </c>
      <c r="F63">
        <v>0.35750100822311298</v>
      </c>
      <c r="G63">
        <v>-138.72312762632444</v>
      </c>
      <c r="H63">
        <v>-78.693388283052983</v>
      </c>
      <c r="I63">
        <v>57.439922976684301</v>
      </c>
      <c r="J63">
        <v>24.671688076487399</v>
      </c>
      <c r="K63">
        <v>17.577891150527901</v>
      </c>
      <c r="L63">
        <v>1.7596620566039769E-3</v>
      </c>
      <c r="M63">
        <v>5.7024290048188772E-4</v>
      </c>
      <c r="N63" s="1">
        <v>-1.03347505247408E-5</v>
      </c>
      <c r="O63" s="1">
        <v>1.6662263629015899E-5</v>
      </c>
      <c r="P63" s="1">
        <v>-2.5571062717358799E-5</v>
      </c>
      <c r="AE63">
        <v>100</v>
      </c>
      <c r="AJ63">
        <v>1</v>
      </c>
    </row>
    <row r="64" spans="1:36" x14ac:dyDescent="0.2">
      <c r="A64">
        <v>63</v>
      </c>
      <c r="B64">
        <v>770</v>
      </c>
      <c r="C64">
        <v>150</v>
      </c>
      <c r="D64">
        <v>0.44402099410439499</v>
      </c>
      <c r="E64">
        <v>6.3384734409149504</v>
      </c>
      <c r="F64">
        <v>0.35876403269776902</v>
      </c>
      <c r="G64">
        <v>-139.80730197512483</v>
      </c>
      <c r="H64">
        <v>-79.423935991326942</v>
      </c>
      <c r="I64">
        <v>57.8890794684634</v>
      </c>
      <c r="J64">
        <v>24.93920943705</v>
      </c>
      <c r="K64">
        <v>17.667527575861001</v>
      </c>
      <c r="L64">
        <v>1.7670407512394338E-3</v>
      </c>
      <c r="M64">
        <v>5.6933137529686646E-4</v>
      </c>
      <c r="N64" s="1">
        <v>-1.01025870442065E-5</v>
      </c>
      <c r="O64" s="1">
        <v>1.6747015567959201E-5</v>
      </c>
      <c r="P64" s="1">
        <v>-2.5905729501075301E-5</v>
      </c>
      <c r="AE64">
        <v>100</v>
      </c>
      <c r="AJ64">
        <v>1</v>
      </c>
    </row>
    <row r="65" spans="1:36" x14ac:dyDescent="0.2">
      <c r="A65">
        <v>64</v>
      </c>
      <c r="B65">
        <v>768</v>
      </c>
      <c r="C65">
        <v>150</v>
      </c>
      <c r="D65">
        <v>0.442818517984921</v>
      </c>
      <c r="E65">
        <v>6.56765539824264</v>
      </c>
      <c r="F65">
        <v>0.36003683949936299</v>
      </c>
      <c r="G65">
        <v>-144.74243893190601</v>
      </c>
      <c r="H65">
        <v>-82.347427712391365</v>
      </c>
      <c r="I65">
        <v>59.932545392339001</v>
      </c>
      <c r="J65">
        <v>25.8973661498597</v>
      </c>
      <c r="K65">
        <v>18.2416205168755</v>
      </c>
      <c r="L65">
        <v>1.7744386707893422E-3</v>
      </c>
      <c r="M65">
        <v>5.6840175416322629E-4</v>
      </c>
      <c r="N65" s="1">
        <v>-1.01229867925838E-5</v>
      </c>
      <c r="O65" s="1">
        <v>1.7290512782561102E-5</v>
      </c>
      <c r="P65" s="1">
        <v>-2.6960827171190199E-5</v>
      </c>
      <c r="AE65">
        <v>100</v>
      </c>
      <c r="AJ65">
        <v>1</v>
      </c>
    </row>
    <row r="66" spans="1:36" x14ac:dyDescent="0.2">
      <c r="A66">
        <v>65</v>
      </c>
      <c r="B66">
        <v>766</v>
      </c>
      <c r="C66">
        <v>150</v>
      </c>
      <c r="D66">
        <v>0.44161141317423203</v>
      </c>
      <c r="E66">
        <v>7.3474831000784402</v>
      </c>
      <c r="F66">
        <v>0.36131951448594002</v>
      </c>
      <c r="G66">
        <v>-161.79476826583348</v>
      </c>
      <c r="H66">
        <v>-92.183172597464733</v>
      </c>
      <c r="I66">
        <v>66.993023480138305</v>
      </c>
      <c r="J66">
        <v>29.035881141561099</v>
      </c>
      <c r="K66">
        <v>20.335140521075701</v>
      </c>
      <c r="L66">
        <v>1.7818546362032702E-3</v>
      </c>
      <c r="M66">
        <v>5.6745370252813743E-4</v>
      </c>
      <c r="N66" s="1">
        <v>-1.09257733612331E-5</v>
      </c>
      <c r="O66" s="1">
        <v>1.9273579229764101E-5</v>
      </c>
      <c r="P66" s="1">
        <v>-3.0295488850915399E-5</v>
      </c>
      <c r="AE66">
        <v>100</v>
      </c>
      <c r="AJ66">
        <v>1</v>
      </c>
    </row>
    <row r="67" spans="1:36" x14ac:dyDescent="0.2">
      <c r="A67">
        <v>66</v>
      </c>
      <c r="B67">
        <v>764</v>
      </c>
      <c r="C67">
        <v>150</v>
      </c>
      <c r="D67">
        <v>0.44039965289495597</v>
      </c>
      <c r="E67">
        <v>9.0197628253982298</v>
      </c>
      <c r="F67">
        <v>0.36261214352975601</v>
      </c>
      <c r="G67">
        <v>-198.45468151127457</v>
      </c>
      <c r="H67">
        <v>-113.23533670797671</v>
      </c>
      <c r="I67">
        <v>82.171823232380504</v>
      </c>
      <c r="J67">
        <v>35.722886036242599</v>
      </c>
      <c r="K67">
        <v>24.874409162356201</v>
      </c>
      <c r="L67">
        <v>1.7892874173430716E-3</v>
      </c>
      <c r="M67">
        <v>5.6648688226013013E-4</v>
      </c>
      <c r="N67" s="1">
        <v>-1.29056771118644E-5</v>
      </c>
      <c r="O67" s="1">
        <v>2.3573613349050598E-5</v>
      </c>
      <c r="P67" s="1">
        <v>-3.7355565112825503E-5</v>
      </c>
      <c r="AE67">
        <v>100</v>
      </c>
      <c r="AJ67">
        <v>1</v>
      </c>
    </row>
    <row r="68" spans="1:36" x14ac:dyDescent="0.2">
      <c r="A68">
        <v>67</v>
      </c>
      <c r="B68">
        <v>762</v>
      </c>
      <c r="C68">
        <v>150</v>
      </c>
      <c r="D68">
        <v>0.439183210162781</v>
      </c>
      <c r="E68">
        <v>10.211680582017699</v>
      </c>
      <c r="F68">
        <v>0.363914812474528</v>
      </c>
      <c r="G68">
        <v>-224.49351899729592</v>
      </c>
      <c r="H68">
        <v>-128.27981159044137</v>
      </c>
      <c r="I68">
        <v>92.952278565959105</v>
      </c>
      <c r="J68">
        <v>40.532870758958197</v>
      </c>
      <c r="K68">
        <v>28.0606346100091</v>
      </c>
      <c r="L68">
        <v>1.7967357318186277E-3</v>
      </c>
      <c r="M68">
        <v>5.6550095179265557E-4</v>
      </c>
      <c r="N68" s="1">
        <v>-1.40179959679313E-5</v>
      </c>
      <c r="O68" s="1">
        <v>2.6589857362853898E-5</v>
      </c>
      <c r="P68" s="1">
        <v>-4.2479757030970501E-5</v>
      </c>
      <c r="AE68">
        <v>100</v>
      </c>
      <c r="AJ68">
        <v>1</v>
      </c>
    </row>
    <row r="69" spans="1:36" x14ac:dyDescent="0.2">
      <c r="A69">
        <v>68</v>
      </c>
      <c r="B69">
        <v>760</v>
      </c>
      <c r="C69">
        <v>150</v>
      </c>
      <c r="D69">
        <v>0.43796205778444602</v>
      </c>
      <c r="E69">
        <v>10.5182265783109</v>
      </c>
      <c r="F69">
        <v>0.365227607090785</v>
      </c>
      <c r="G69">
        <v>-231.04121969215939</v>
      </c>
      <c r="H69">
        <v>-132.21425460012247</v>
      </c>
      <c r="I69">
        <v>95.661795738448504</v>
      </c>
      <c r="J69">
        <v>41.842245341806098</v>
      </c>
      <c r="K69">
        <v>28.799100544708899</v>
      </c>
      <c r="L69">
        <v>1.8041982438361383E-3</v>
      </c>
      <c r="M69">
        <v>5.6449556628087628E-4</v>
      </c>
      <c r="N69" s="1">
        <v>-1.38075752442036E-5</v>
      </c>
      <c r="O69" s="1">
        <v>2.7285317806109398E-5</v>
      </c>
      <c r="P69" s="1">
        <v>-4.3949624612002801E-5</v>
      </c>
      <c r="AE69">
        <v>100</v>
      </c>
      <c r="AJ69">
        <v>1</v>
      </c>
    </row>
    <row r="70" spans="1:36" x14ac:dyDescent="0.2">
      <c r="A70">
        <v>69</v>
      </c>
      <c r="B70">
        <v>792</v>
      </c>
      <c r="C70">
        <v>125</v>
      </c>
      <c r="D70">
        <v>0.48276815471999501</v>
      </c>
      <c r="E70">
        <v>6.6127544531343103</v>
      </c>
      <c r="F70">
        <v>0.29248880042363901</v>
      </c>
      <c r="G70">
        <v>-147.71045792920924</v>
      </c>
      <c r="H70">
        <v>-81.859283505341224</v>
      </c>
      <c r="I70">
        <v>61.826933904178503</v>
      </c>
      <c r="J70">
        <v>24.847893451894599</v>
      </c>
      <c r="K70">
        <v>22.608573195132301</v>
      </c>
      <c r="L70">
        <v>1.7576744800185909E-3</v>
      </c>
      <c r="M70">
        <v>7.6264865575475496E-4</v>
      </c>
      <c r="N70" s="1">
        <v>-3.0208263168641399E-5</v>
      </c>
      <c r="O70" s="1">
        <v>3.3035372593879203E-5</v>
      </c>
      <c r="P70" s="1">
        <v>-3.4149650253087399E-5</v>
      </c>
      <c r="AE70">
        <v>100</v>
      </c>
      <c r="AJ70">
        <v>1</v>
      </c>
    </row>
    <row r="71" spans="1:36" x14ac:dyDescent="0.2">
      <c r="A71">
        <v>70</v>
      </c>
      <c r="B71">
        <v>790</v>
      </c>
      <c r="C71">
        <v>125</v>
      </c>
      <c r="D71">
        <v>0.48166345294643498</v>
      </c>
      <c r="E71">
        <v>6.6142748523969299</v>
      </c>
      <c r="F71">
        <v>0.29352141477889798</v>
      </c>
      <c r="G71">
        <v>-147.62078383442892</v>
      </c>
      <c r="H71">
        <v>-81.92786911586964</v>
      </c>
      <c r="I71">
        <v>61.794384435679603</v>
      </c>
      <c r="J71">
        <v>24.911085484668199</v>
      </c>
      <c r="K71">
        <v>22.534215629136501</v>
      </c>
      <c r="L71">
        <v>1.7665604202865045E-3</v>
      </c>
      <c r="M71">
        <v>7.6230257397057069E-4</v>
      </c>
      <c r="N71" s="1">
        <v>-3.0188171095099398E-5</v>
      </c>
      <c r="O71" s="1">
        <v>3.2964537840764402E-5</v>
      </c>
      <c r="P71" s="1">
        <v>-3.4314616734111003E-5</v>
      </c>
      <c r="AE71">
        <v>100</v>
      </c>
      <c r="AJ71">
        <v>1</v>
      </c>
    </row>
    <row r="72" spans="1:36" x14ac:dyDescent="0.2">
      <c r="A72">
        <v>71</v>
      </c>
      <c r="B72">
        <v>788</v>
      </c>
      <c r="C72">
        <v>125</v>
      </c>
      <c r="D72">
        <v>0.48055458700466802</v>
      </c>
      <c r="E72">
        <v>6.6593931902720804</v>
      </c>
      <c r="F72">
        <v>0.29456293014801499</v>
      </c>
      <c r="G72">
        <v>-148.50337351246378</v>
      </c>
      <c r="H72">
        <v>-82.536948873127059</v>
      </c>
      <c r="I72">
        <v>62.168624184190499</v>
      </c>
      <c r="J72">
        <v>25.139508577473901</v>
      </c>
      <c r="K72">
        <v>22.607709622272498</v>
      </c>
      <c r="L72">
        <v>1.7755161207574587E-3</v>
      </c>
      <c r="M72">
        <v>7.6194404098586788E-4</v>
      </c>
      <c r="N72" s="1">
        <v>-3.0359035506206999E-5</v>
      </c>
      <c r="O72" s="1">
        <v>3.3110074855661098E-5</v>
      </c>
      <c r="P72" s="1">
        <v>-3.4709194290284303E-5</v>
      </c>
      <c r="AE72">
        <v>100</v>
      </c>
      <c r="AJ72">
        <v>1</v>
      </c>
    </row>
    <row r="73" spans="1:36" x14ac:dyDescent="0.2">
      <c r="A73">
        <v>72</v>
      </c>
      <c r="B73">
        <v>786</v>
      </c>
      <c r="C73">
        <v>125</v>
      </c>
      <c r="D73">
        <v>0.47944153330501299</v>
      </c>
      <c r="E73">
        <v>6.7045553940323996</v>
      </c>
      <c r="F73">
        <v>0.295613456641098</v>
      </c>
      <c r="G73">
        <v>-149.38535053315684</v>
      </c>
      <c r="H73">
        <v>-83.147371556144961</v>
      </c>
      <c r="I73">
        <v>62.542430944922899</v>
      </c>
      <c r="J73">
        <v>25.3695237139938</v>
      </c>
      <c r="K73">
        <v>22.6801427452348</v>
      </c>
      <c r="L73">
        <v>1.7845417502646E-3</v>
      </c>
      <c r="M73">
        <v>7.6157270578989535E-4</v>
      </c>
      <c r="N73" s="1">
        <v>-3.0521404380428097E-5</v>
      </c>
      <c r="O73" s="1">
        <v>3.3254380774092897E-5</v>
      </c>
      <c r="P73" s="1">
        <v>-3.5108546888870802E-5</v>
      </c>
      <c r="AE73">
        <v>100</v>
      </c>
      <c r="AJ73">
        <v>1</v>
      </c>
    </row>
    <row r="74" spans="1:36" x14ac:dyDescent="0.2">
      <c r="A74">
        <v>73</v>
      </c>
      <c r="B74">
        <v>784</v>
      </c>
      <c r="C74">
        <v>125</v>
      </c>
      <c r="D74">
        <v>0.47832426807926898</v>
      </c>
      <c r="E74">
        <v>6.7496820460769102</v>
      </c>
      <c r="F74">
        <v>0.29667310577810901</v>
      </c>
      <c r="G74">
        <v>-150.26494673996126</v>
      </c>
      <c r="H74">
        <v>-83.758156323730873</v>
      </c>
      <c r="I74">
        <v>62.915057464669196</v>
      </c>
      <c r="J74">
        <v>25.600848207434499</v>
      </c>
      <c r="K74">
        <v>22.751243421185599</v>
      </c>
      <c r="L74">
        <v>1.7936374498817899E-3</v>
      </c>
      <c r="M74">
        <v>7.6118820764652659E-4</v>
      </c>
      <c r="N74" s="1">
        <v>-3.0674407448705002E-5</v>
      </c>
      <c r="O74" s="1">
        <v>3.33970423661705E-5</v>
      </c>
      <c r="P74" s="1">
        <v>-3.5512344100956003E-5</v>
      </c>
      <c r="AE74">
        <v>100</v>
      </c>
      <c r="AJ74">
        <v>1</v>
      </c>
    </row>
    <row r="75" spans="1:36" x14ac:dyDescent="0.2">
      <c r="A75">
        <v>74</v>
      </c>
      <c r="B75">
        <v>782</v>
      </c>
      <c r="C75">
        <v>125</v>
      </c>
      <c r="D75">
        <v>0.47720276737904699</v>
      </c>
      <c r="E75">
        <v>6.7946979969816796</v>
      </c>
      <c r="F75">
        <v>0.29774199049387401</v>
      </c>
      <c r="G75">
        <v>-151.14049485570354</v>
      </c>
      <c r="H75">
        <v>-84.368372967162088</v>
      </c>
      <c r="I75">
        <v>63.285798447592803</v>
      </c>
      <c r="J75">
        <v>25.833212741704902</v>
      </c>
      <c r="K75">
        <v>22.8207582871032</v>
      </c>
      <c r="L75">
        <v>1.8028033312655959E-3</v>
      </c>
      <c r="M75">
        <v>7.6079017585822524E-4</v>
      </c>
      <c r="N75" s="1">
        <v>-3.0817175792205797E-5</v>
      </c>
      <c r="O75" s="1">
        <v>3.35376705509888E-5</v>
      </c>
      <c r="P75" s="1">
        <v>-3.5920271097763001E-5</v>
      </c>
      <c r="AE75">
        <v>100</v>
      </c>
      <c r="AJ75">
        <v>1</v>
      </c>
    </row>
    <row r="76" spans="1:36" x14ac:dyDescent="0.2">
      <c r="A76">
        <v>75</v>
      </c>
      <c r="B76">
        <v>780</v>
      </c>
      <c r="C76">
        <v>125</v>
      </c>
      <c r="D76">
        <v>0.47607700707401701</v>
      </c>
      <c r="E76">
        <v>6.8395331222188398</v>
      </c>
      <c r="F76">
        <v>0.29882022514210899</v>
      </c>
      <c r="G76">
        <v>-152.01044489223551</v>
      </c>
      <c r="H76">
        <v>-84.977151460083917</v>
      </c>
      <c r="I76">
        <v>63.653997467596703</v>
      </c>
      <c r="J76">
        <v>26.066364360123099</v>
      </c>
      <c r="K76">
        <v>22.8884544845188</v>
      </c>
      <c r="L76">
        <v>1.8120394749271236E-3</v>
      </c>
      <c r="M76">
        <v>7.6037822952778461E-4</v>
      </c>
      <c r="N76" s="1">
        <v>-3.0948845476407502E-5</v>
      </c>
      <c r="O76" s="1">
        <v>3.3675903877827903E-5</v>
      </c>
      <c r="P76" s="1">
        <v>-3.6332032865968597E-5</v>
      </c>
      <c r="AE76">
        <v>100</v>
      </c>
      <c r="AJ76">
        <v>1</v>
      </c>
    </row>
    <row r="77" spans="1:36" x14ac:dyDescent="0.2">
      <c r="A77">
        <v>76</v>
      </c>
      <c r="B77">
        <v>778</v>
      </c>
      <c r="C77">
        <v>125</v>
      </c>
      <c r="D77">
        <v>0.47494696285021398</v>
      </c>
      <c r="E77">
        <v>6.96974575086473</v>
      </c>
      <c r="F77">
        <v>0.29990792549838502</v>
      </c>
      <c r="G77">
        <v>-154.7747740399208</v>
      </c>
      <c r="H77">
        <v>-86.648156002882288</v>
      </c>
      <c r="I77">
        <v>64.815303765921598</v>
      </c>
      <c r="J77">
        <v>26.627181929808799</v>
      </c>
      <c r="K77">
        <v>23.239618423829398</v>
      </c>
      <c r="L77">
        <v>1.8213459284321183E-3</v>
      </c>
      <c r="M77">
        <v>7.5995197731837339E-4</v>
      </c>
      <c r="N77" s="1">
        <v>-3.1454982627045698E-5</v>
      </c>
      <c r="O77" s="1">
        <v>3.4231948218460203E-5</v>
      </c>
      <c r="P77" s="1">
        <v>-3.7204411247452201E-5</v>
      </c>
      <c r="AE77">
        <v>100</v>
      </c>
      <c r="AJ77">
        <v>1</v>
      </c>
    </row>
    <row r="78" spans="1:36" x14ac:dyDescent="0.2">
      <c r="A78">
        <v>77</v>
      </c>
      <c r="B78">
        <v>776</v>
      </c>
      <c r="C78">
        <v>125</v>
      </c>
      <c r="D78">
        <v>0.47381261020826598</v>
      </c>
      <c r="E78">
        <v>7.2385776036777898</v>
      </c>
      <c r="F78">
        <v>0.30100520876195502</v>
      </c>
      <c r="G78">
        <v>-160.61005365768088</v>
      </c>
      <c r="H78">
        <v>-90.045660365238788</v>
      </c>
      <c r="I78">
        <v>67.262579851352498</v>
      </c>
      <c r="J78">
        <v>27.7219829493391</v>
      </c>
      <c r="K78">
        <v>24.048014429551898</v>
      </c>
      <c r="L78">
        <v>1.8307227045269467E-3</v>
      </c>
      <c r="M78">
        <v>7.5951101721206872E-4</v>
      </c>
      <c r="N78" s="1">
        <v>-3.2571127389216502E-5</v>
      </c>
      <c r="O78" s="1">
        <v>3.5463482000258902E-5</v>
      </c>
      <c r="P78" s="1">
        <v>-3.88298347917847E-5</v>
      </c>
      <c r="AE78">
        <v>100</v>
      </c>
      <c r="AJ78">
        <v>1</v>
      </c>
    </row>
    <row r="79" spans="1:36" x14ac:dyDescent="0.2">
      <c r="A79">
        <v>78</v>
      </c>
      <c r="B79">
        <v>774</v>
      </c>
      <c r="C79">
        <v>125</v>
      </c>
      <c r="D79">
        <v>0.47267392446163797</v>
      </c>
      <c r="E79">
        <v>8.1814330211969608</v>
      </c>
      <c r="F79">
        <v>0.30211219355637597</v>
      </c>
      <c r="G79">
        <v>-181.3782061645997</v>
      </c>
      <c r="H79">
        <v>-101.83723236487775</v>
      </c>
      <c r="I79">
        <v>75.9639552290447</v>
      </c>
      <c r="J79">
        <v>31.410275243829901</v>
      </c>
      <c r="K79">
        <v>27.0807772598898</v>
      </c>
      <c r="L79">
        <v>1.8401697791886685E-3</v>
      </c>
      <c r="M79">
        <v>7.5905493626736149E-4</v>
      </c>
      <c r="N79" s="1">
        <v>-3.6691158943652E-5</v>
      </c>
      <c r="O79" s="1">
        <v>3.99817985316447E-5</v>
      </c>
      <c r="P79" s="1">
        <v>-4.4105943319535602E-5</v>
      </c>
      <c r="AE79">
        <v>100</v>
      </c>
      <c r="AJ79">
        <v>1</v>
      </c>
    </row>
    <row r="80" spans="1:36" x14ac:dyDescent="0.2">
      <c r="A80">
        <v>79</v>
      </c>
      <c r="B80">
        <v>772</v>
      </c>
      <c r="C80">
        <v>125</v>
      </c>
      <c r="D80">
        <v>0.47153088073482102</v>
      </c>
      <c r="E80">
        <v>9.58771248680757</v>
      </c>
      <c r="F80">
        <v>0.30322899992881802</v>
      </c>
      <c r="G80">
        <v>-212.37673430578752</v>
      </c>
      <c r="H80">
        <v>-119.41540749948182</v>
      </c>
      <c r="I80">
        <v>88.9506898379597</v>
      </c>
      <c r="J80">
        <v>36.900918842876202</v>
      </c>
      <c r="K80">
        <v>31.618718819961899</v>
      </c>
      <c r="L80">
        <v>1.8496870895973502E-3</v>
      </c>
      <c r="M80">
        <v>7.5858331037610032E-4</v>
      </c>
      <c r="N80" s="1">
        <v>-4.2838819843016899E-5</v>
      </c>
      <c r="O80" s="1">
        <v>4.6735173535545199E-5</v>
      </c>
      <c r="P80" s="1">
        <v>-5.1946805542677999E-5</v>
      </c>
      <c r="AE80">
        <v>100</v>
      </c>
      <c r="AJ80">
        <v>1</v>
      </c>
    </row>
    <row r="81" spans="1:36" x14ac:dyDescent="0.2">
      <c r="A81">
        <v>80</v>
      </c>
      <c r="B81">
        <v>770</v>
      </c>
      <c r="C81">
        <v>125</v>
      </c>
      <c r="D81">
        <v>0.47038345396155901</v>
      </c>
      <c r="E81">
        <v>10.3257811889456</v>
      </c>
      <c r="F81">
        <v>0.30435574934801402</v>
      </c>
      <c r="G81">
        <v>-228.53412120720967</v>
      </c>
      <c r="H81">
        <v>-128.68767040591962</v>
      </c>
      <c r="I81">
        <v>95.721957386149498</v>
      </c>
      <c r="J81">
        <v>39.841291642731697</v>
      </c>
      <c r="K81">
        <v>33.926683530918503</v>
      </c>
      <c r="L81">
        <v>1.8592745320286453E-3</v>
      </c>
      <c r="M81">
        <v>7.5809570402031597E-4</v>
      </c>
      <c r="N81" s="1">
        <v>-4.5947919126612303E-5</v>
      </c>
      <c r="O81" s="1">
        <v>5.0204024698597702E-5</v>
      </c>
      <c r="P81" s="1">
        <v>-5.6229419174586399E-5</v>
      </c>
      <c r="AE81">
        <v>100</v>
      </c>
      <c r="AJ81">
        <v>1</v>
      </c>
    </row>
    <row r="82" spans="1:36" x14ac:dyDescent="0.2">
      <c r="A82">
        <v>81</v>
      </c>
      <c r="B82">
        <v>768</v>
      </c>
      <c r="C82">
        <v>125</v>
      </c>
      <c r="D82">
        <v>0.46923161888296799</v>
      </c>
      <c r="E82">
        <v>10.554340428389899</v>
      </c>
      <c r="F82">
        <v>0.30549256470070202</v>
      </c>
      <c r="G82">
        <v>-233.39707803006556</v>
      </c>
      <c r="H82">
        <v>-131.61769711388087</v>
      </c>
      <c r="I82">
        <v>97.762494124658801</v>
      </c>
      <c r="J82">
        <v>40.8261461359442</v>
      </c>
      <c r="K82">
        <v>34.548600024783703</v>
      </c>
      <c r="L82">
        <v>1.8689319596645413E-3</v>
      </c>
      <c r="M82">
        <v>7.5759167002939119E-4</v>
      </c>
      <c r="N82" s="1">
        <v>-4.6753700283477898E-5</v>
      </c>
      <c r="O82" s="1">
        <v>5.1182802019559101E-5</v>
      </c>
      <c r="P82" s="1">
        <v>-5.7768271808353101E-5</v>
      </c>
      <c r="AE82">
        <v>100</v>
      </c>
      <c r="AJ82">
        <v>1</v>
      </c>
    </row>
    <row r="83" spans="1:36" x14ac:dyDescent="0.2">
      <c r="A83">
        <v>82</v>
      </c>
      <c r="B83">
        <v>808</v>
      </c>
      <c r="C83">
        <v>100</v>
      </c>
      <c r="D83">
        <v>0.51689451047495805</v>
      </c>
      <c r="E83">
        <v>7.1316923496309403</v>
      </c>
      <c r="F83">
        <v>0.227903707794127</v>
      </c>
      <c r="G83">
        <v>-161.06989919915469</v>
      </c>
      <c r="H83">
        <v>-87.278938302025168</v>
      </c>
      <c r="I83">
        <v>68.256062608729593</v>
      </c>
      <c r="J83">
        <v>25.17420923141</v>
      </c>
      <c r="K83">
        <v>31.2925683336105</v>
      </c>
      <c r="L83">
        <v>1.6837102742700059E-3</v>
      </c>
      <c r="M83">
        <v>1.0273087651482414E-3</v>
      </c>
      <c r="N83" s="1">
        <v>-5.31859948295564E-5</v>
      </c>
      <c r="O83" s="1">
        <v>7.2748891143477901E-5</v>
      </c>
      <c r="P83" s="1">
        <v>-4.8173765877639101E-5</v>
      </c>
      <c r="AE83">
        <v>100</v>
      </c>
      <c r="AJ83">
        <v>1</v>
      </c>
    </row>
    <row r="84" spans="1:36" x14ac:dyDescent="0.2">
      <c r="A84">
        <v>83</v>
      </c>
      <c r="B84">
        <v>806</v>
      </c>
      <c r="C84">
        <v>100</v>
      </c>
      <c r="D84">
        <v>0.51586943427697896</v>
      </c>
      <c r="E84">
        <v>7.1432136312979599</v>
      </c>
      <c r="F84">
        <v>0.22867453013667</v>
      </c>
      <c r="G84">
        <v>-161.1934224047807</v>
      </c>
      <c r="H84">
        <v>-87.470421623060048</v>
      </c>
      <c r="I84">
        <v>68.319592797297901</v>
      </c>
      <c r="J84">
        <v>25.269038007245001</v>
      </c>
      <c r="K84">
        <v>31.2374693719878</v>
      </c>
      <c r="L84">
        <v>1.6928269517603844E-3</v>
      </c>
      <c r="M84">
        <v>1.0276883640724125E-3</v>
      </c>
      <c r="N84" s="1">
        <v>-5.3622363452742399E-5</v>
      </c>
      <c r="O84" s="1">
        <v>7.27396354063581E-5</v>
      </c>
      <c r="P84" s="1">
        <v>-4.8428664097076197E-5</v>
      </c>
      <c r="AE84">
        <v>100</v>
      </c>
      <c r="AJ84">
        <v>1</v>
      </c>
    </row>
    <row r="85" spans="1:36" x14ac:dyDescent="0.2">
      <c r="A85">
        <v>84</v>
      </c>
      <c r="B85">
        <v>804</v>
      </c>
      <c r="C85">
        <v>100</v>
      </c>
      <c r="D85">
        <v>0.514840551455232</v>
      </c>
      <c r="E85">
        <v>7.1797429402378796</v>
      </c>
      <c r="F85">
        <v>0.22945216523124601</v>
      </c>
      <c r="G85">
        <v>-161.88045026636604</v>
      </c>
      <c r="H85">
        <v>-87.96858362944657</v>
      </c>
      <c r="I85">
        <v>68.621803209131997</v>
      </c>
      <c r="J85">
        <v>25.453425647828499</v>
      </c>
      <c r="K85">
        <v>31.290804917887701</v>
      </c>
      <c r="L85">
        <v>1.7020397708502975E-3</v>
      </c>
      <c r="M85">
        <v>1.0280661530613889E-3</v>
      </c>
      <c r="N85" s="1">
        <v>-5.4249507284562198E-5</v>
      </c>
      <c r="O85" s="1">
        <v>7.2984125811099201E-5</v>
      </c>
      <c r="P85" s="1">
        <v>-4.8857246377371999E-5</v>
      </c>
      <c r="AE85">
        <v>100</v>
      </c>
      <c r="AJ85">
        <v>1</v>
      </c>
    </row>
    <row r="86" spans="1:36" x14ac:dyDescent="0.2">
      <c r="A86">
        <v>85</v>
      </c>
      <c r="B86">
        <v>802</v>
      </c>
      <c r="C86">
        <v>100</v>
      </c>
      <c r="D86">
        <v>0.51380784076640695</v>
      </c>
      <c r="E86">
        <v>7.2162325884941598</v>
      </c>
      <c r="F86">
        <v>0.23023670936889501</v>
      </c>
      <c r="G86">
        <v>-162.56528264128573</v>
      </c>
      <c r="H86">
        <v>-88.466888501006451</v>
      </c>
      <c r="I86">
        <v>68.922963039291105</v>
      </c>
      <c r="J86">
        <v>25.638977280809598</v>
      </c>
      <c r="K86">
        <v>31.342667328223399</v>
      </c>
      <c r="L86">
        <v>1.7113500245243775E-3</v>
      </c>
      <c r="M86">
        <v>1.0284419768289896E-3</v>
      </c>
      <c r="N86" s="1">
        <v>-5.4880509277199903E-5</v>
      </c>
      <c r="O86" s="1">
        <v>7.3226854649390206E-5</v>
      </c>
      <c r="P86" s="1">
        <v>-4.9290428649990602E-5</v>
      </c>
      <c r="AE86">
        <v>100</v>
      </c>
      <c r="AJ86">
        <v>1</v>
      </c>
    </row>
    <row r="87" spans="1:36" x14ac:dyDescent="0.2">
      <c r="A87">
        <v>86</v>
      </c>
      <c r="B87">
        <v>800</v>
      </c>
      <c r="C87">
        <v>100</v>
      </c>
      <c r="D87">
        <v>0.51277128080883805</v>
      </c>
      <c r="E87">
        <v>7.2526264445772801</v>
      </c>
      <c r="F87">
        <v>0.23102826060898499</v>
      </c>
      <c r="G87">
        <v>-163.24666018929881</v>
      </c>
      <c r="H87">
        <v>-88.964650053087425</v>
      </c>
      <c r="I87">
        <v>69.222532296906493</v>
      </c>
      <c r="J87">
        <v>25.825514521178</v>
      </c>
      <c r="K87">
        <v>31.392810669393899</v>
      </c>
      <c r="L87">
        <v>1.7207590212170441E-3</v>
      </c>
      <c r="M87">
        <v>1.0288156735918177E-3</v>
      </c>
      <c r="N87" s="1">
        <v>-5.5514810377706397E-5</v>
      </c>
      <c r="O87" s="1">
        <v>7.3467251608090394E-5</v>
      </c>
      <c r="P87" s="1">
        <v>-4.9727939451569197E-5</v>
      </c>
      <c r="AE87">
        <v>100</v>
      </c>
      <c r="AJ87">
        <v>1</v>
      </c>
    </row>
    <row r="88" spans="1:36" x14ac:dyDescent="0.2">
      <c r="A88">
        <v>87</v>
      </c>
      <c r="B88">
        <v>798</v>
      </c>
      <c r="C88">
        <v>100</v>
      </c>
      <c r="D88">
        <v>0.51173085002101004</v>
      </c>
      <c r="E88">
        <v>7.28887192069398</v>
      </c>
      <c r="F88">
        <v>0.231826918816084</v>
      </c>
      <c r="G88">
        <v>-163.92340755969829</v>
      </c>
      <c r="H88">
        <v>-89.461224043512033</v>
      </c>
      <c r="I88">
        <v>69.520006214150399</v>
      </c>
      <c r="J88">
        <v>26.0128701988816</v>
      </c>
      <c r="K88">
        <v>31.441007618603798</v>
      </c>
      <c r="L88">
        <v>1.7302680846730345E-3</v>
      </c>
      <c r="M88">
        <v>1.0291870748029344E-3</v>
      </c>
      <c r="N88" s="1">
        <v>-5.6151856761507597E-5</v>
      </c>
      <c r="O88" s="1">
        <v>7.3704785993148995E-5</v>
      </c>
      <c r="P88" s="1">
        <v>-5.0169529069937702E-5</v>
      </c>
      <c r="AE88">
        <v>100</v>
      </c>
      <c r="AJ88">
        <v>1</v>
      </c>
    </row>
    <row r="89" spans="1:36" x14ac:dyDescent="0.2">
      <c r="A89">
        <v>88</v>
      </c>
      <c r="B89">
        <v>796</v>
      </c>
      <c r="C89">
        <v>100</v>
      </c>
      <c r="D89">
        <v>0.51068652668007097</v>
      </c>
      <c r="E89">
        <v>7.3249203560281497</v>
      </c>
      <c r="F89">
        <v>0.23263278569757001</v>
      </c>
      <c r="G89">
        <v>-164.59444165861436</v>
      </c>
      <c r="H89">
        <v>-89.956012997966212</v>
      </c>
      <c r="I89">
        <v>69.814918795190096</v>
      </c>
      <c r="J89">
        <v>26.200889817032799</v>
      </c>
      <c r="K89">
        <v>31.4870508645791</v>
      </c>
      <c r="L89">
        <v>1.7398785537786593E-3</v>
      </c>
      <c r="M89">
        <v>1.0295560048744364E-3</v>
      </c>
      <c r="N89" s="1">
        <v>-5.6791103038503903E-5</v>
      </c>
      <c r="O89" s="1">
        <v>7.3938970275295001E-5</v>
      </c>
      <c r="P89" s="1">
        <v>-5.0614972520573899E-5</v>
      </c>
      <c r="AE89">
        <v>100</v>
      </c>
      <c r="AJ89">
        <v>1</v>
      </c>
    </row>
    <row r="90" spans="1:36" x14ac:dyDescent="0.2">
      <c r="A90">
        <v>89</v>
      </c>
      <c r="B90">
        <v>794</v>
      </c>
      <c r="C90">
        <v>100</v>
      </c>
      <c r="D90">
        <v>0.50963828890034402</v>
      </c>
      <c r="E90">
        <v>7.3607272332994098</v>
      </c>
      <c r="F90">
        <v>0.23344596484196101</v>
      </c>
      <c r="G90">
        <v>-165.25877612999457</v>
      </c>
      <c r="H90">
        <v>-90.448469003810985</v>
      </c>
      <c r="I90">
        <v>70.106844760630494</v>
      </c>
      <c r="J90">
        <v>26.389432435125901</v>
      </c>
      <c r="K90">
        <v>31.530753758294601</v>
      </c>
      <c r="L90">
        <v>1.7495917823615171E-3</v>
      </c>
      <c r="M90">
        <v>1.029922280888413E-3</v>
      </c>
      <c r="N90" s="1">
        <v>-5.7432014263582403E-5</v>
      </c>
      <c r="O90" s="1">
        <v>7.4169361913864899E-5</v>
      </c>
      <c r="P90" s="1">
        <v>-5.1064071444808698E-5</v>
      </c>
      <c r="AE90">
        <v>100</v>
      </c>
      <c r="AJ90">
        <v>1</v>
      </c>
    </row>
    <row r="91" spans="1:36" x14ac:dyDescent="0.2">
      <c r="A91">
        <v>90</v>
      </c>
      <c r="B91">
        <v>792</v>
      </c>
      <c r="C91">
        <v>100</v>
      </c>
      <c r="D91">
        <v>0.50858611463174297</v>
      </c>
      <c r="E91">
        <v>7.3962522429728903</v>
      </c>
      <c r="F91">
        <v>0.23426656175799099</v>
      </c>
      <c r="G91">
        <v>-165.91552239502934</v>
      </c>
      <c r="H91">
        <v>-90.938094640816928</v>
      </c>
      <c r="I91">
        <v>70.395400031852503</v>
      </c>
      <c r="J91">
        <v>26.578371020233501</v>
      </c>
      <c r="K91">
        <v>31.5719502923066</v>
      </c>
      <c r="L91">
        <v>1.7594091389562809E-3</v>
      </c>
      <c r="M91">
        <v>1.0302857122958351E-3</v>
      </c>
      <c r="N91" s="1">
        <v>-5.8074066804792899E-5</v>
      </c>
      <c r="O91" s="1">
        <v>7.4395563623972603E-5</v>
      </c>
      <c r="P91" s="1">
        <v>-5.1516655001922498E-5</v>
      </c>
      <c r="AE91">
        <v>100</v>
      </c>
      <c r="AJ91">
        <v>1</v>
      </c>
    </row>
    <row r="92" spans="1:36" x14ac:dyDescent="0.2">
      <c r="A92">
        <v>91</v>
      </c>
      <c r="B92">
        <v>790</v>
      </c>
      <c r="C92">
        <v>100</v>
      </c>
      <c r="D92">
        <v>0.507529981658283</v>
      </c>
      <c r="E92">
        <v>7.5647031424160298</v>
      </c>
      <c r="F92">
        <v>0.23509468391441601</v>
      </c>
      <c r="G92">
        <v>-169.55033034087063</v>
      </c>
      <c r="H92">
        <v>-93.0636562543732</v>
      </c>
      <c r="I92">
        <v>71.947517353300498</v>
      </c>
      <c r="J92">
        <v>27.247527565095801</v>
      </c>
      <c r="K92">
        <v>32.1772615886536</v>
      </c>
      <c r="L92">
        <v>1.7693320065342221E-3</v>
      </c>
      <c r="M92">
        <v>1.0306461006029024E-3</v>
      </c>
      <c r="N92" s="1">
        <v>-5.9769522586646499E-5</v>
      </c>
      <c r="O92" s="1">
        <v>7.5955087651346197E-5</v>
      </c>
      <c r="P92" s="1">
        <v>-5.2904433283619399E-5</v>
      </c>
      <c r="AE92">
        <v>100</v>
      </c>
      <c r="AJ92">
        <v>1</v>
      </c>
    </row>
    <row r="93" spans="1:36" x14ac:dyDescent="0.2">
      <c r="A93">
        <v>92</v>
      </c>
      <c r="B93">
        <v>788</v>
      </c>
      <c r="C93">
        <v>100</v>
      </c>
      <c r="D93">
        <v>0.50646986759647905</v>
      </c>
      <c r="E93">
        <v>7.8209735562484299</v>
      </c>
      <c r="F93">
        <v>0.23593044078056399</v>
      </c>
      <c r="G93">
        <v>-175.14549180591911</v>
      </c>
      <c r="H93">
        <v>-96.272793541627479</v>
      </c>
      <c r="I93">
        <v>74.331785238301194</v>
      </c>
      <c r="J93">
        <v>28.237481196462301</v>
      </c>
      <c r="K93">
        <v>33.149489020463399</v>
      </c>
      <c r="L93">
        <v>1.779361782193686E-3</v>
      </c>
      <c r="M93">
        <v>1.0310032390443112E-3</v>
      </c>
      <c r="N93" s="1">
        <v>-6.2179195326776104E-5</v>
      </c>
      <c r="O93" s="1">
        <v>7.8388719411342302E-5</v>
      </c>
      <c r="P93" s="1">
        <v>-5.4922290047884297E-5</v>
      </c>
      <c r="AE93">
        <v>100</v>
      </c>
      <c r="AJ93">
        <v>1</v>
      </c>
    </row>
    <row r="94" spans="1:36" x14ac:dyDescent="0.2">
      <c r="A94">
        <v>93</v>
      </c>
      <c r="B94">
        <v>786</v>
      </c>
      <c r="C94">
        <v>100</v>
      </c>
      <c r="D94">
        <v>0.50540574989378495</v>
      </c>
      <c r="E94">
        <v>8.4944843012168203</v>
      </c>
      <c r="F94">
        <v>0.23677394386762701</v>
      </c>
      <c r="G94">
        <v>-190.06690819804771</v>
      </c>
      <c r="H94">
        <v>-104.62483062238638</v>
      </c>
      <c r="I94">
        <v>80.675011699192297</v>
      </c>
      <c r="J94">
        <v>30.742809955021201</v>
      </c>
      <c r="K94">
        <v>35.875925207233998</v>
      </c>
      <c r="L94">
        <v>1.7894998768088173E-3</v>
      </c>
      <c r="M94">
        <v>1.0313569122429196E-3</v>
      </c>
      <c r="N94" s="1">
        <v>-6.7950942018534695E-5</v>
      </c>
      <c r="O94" s="1">
        <v>8.4987612381230406E-5</v>
      </c>
      <c r="P94" s="1">
        <v>-5.99013071467724E-5</v>
      </c>
      <c r="AE94">
        <v>100</v>
      </c>
      <c r="AJ94">
        <v>1</v>
      </c>
    </row>
    <row r="95" spans="1:36" x14ac:dyDescent="0.2">
      <c r="A95">
        <v>94</v>
      </c>
      <c r="B95">
        <v>784</v>
      </c>
      <c r="C95">
        <v>100</v>
      </c>
      <c r="D95">
        <v>0.50433760582698905</v>
      </c>
      <c r="E95">
        <v>9.4463579069522101</v>
      </c>
      <c r="F95">
        <v>0.23762530677069199</v>
      </c>
      <c r="G95">
        <v>-211.18603043942704</v>
      </c>
      <c r="H95">
        <v>-116.4173220546988</v>
      </c>
      <c r="I95">
        <v>89.650583333297405</v>
      </c>
      <c r="J95">
        <v>34.270776087772802</v>
      </c>
      <c r="K95">
        <v>39.753164489621902</v>
      </c>
      <c r="L95">
        <v>1.7997477146335342E-3</v>
      </c>
      <c r="M95">
        <v>1.0317068958552804E-3</v>
      </c>
      <c r="N95" s="1">
        <v>-7.6028001941764401E-5</v>
      </c>
      <c r="O95" s="1">
        <v>9.4342399073498001E-5</v>
      </c>
      <c r="P95" s="1">
        <v>-6.6895880482815295E-5</v>
      </c>
      <c r="AE95">
        <v>100</v>
      </c>
      <c r="AJ95">
        <v>1</v>
      </c>
    </row>
    <row r="96" spans="1:36" x14ac:dyDescent="0.2">
      <c r="A96">
        <v>95</v>
      </c>
      <c r="B96">
        <v>782</v>
      </c>
      <c r="C96">
        <v>100</v>
      </c>
      <c r="D96">
        <v>0.50326541250059598</v>
      </c>
      <c r="E96">
        <v>10.1789113247091</v>
      </c>
      <c r="F96">
        <v>0.238484645211514</v>
      </c>
      <c r="G96">
        <v>-227.37011113250756</v>
      </c>
      <c r="H96">
        <v>-125.51928925938607</v>
      </c>
      <c r="I96">
        <v>96.532859660937504</v>
      </c>
      <c r="J96">
        <v>37.019077184538602</v>
      </c>
      <c r="K96">
        <v>42.681621350009202</v>
      </c>
      <c r="L96">
        <v>1.8101067328576419E-3</v>
      </c>
      <c r="M96">
        <v>1.0320529562025049E-3</v>
      </c>
      <c r="N96" s="1">
        <v>-8.2420725950422999E-5</v>
      </c>
      <c r="O96">
        <v>1.01476568995408E-4</v>
      </c>
      <c r="P96" s="1">
        <v>-7.23930149788246E-5</v>
      </c>
      <c r="AE96">
        <v>100</v>
      </c>
      <c r="AJ96">
        <v>1</v>
      </c>
    </row>
    <row r="97" spans="1:36" x14ac:dyDescent="0.2">
      <c r="A97">
        <v>96</v>
      </c>
      <c r="B97">
        <v>780</v>
      </c>
      <c r="C97">
        <v>100</v>
      </c>
      <c r="D97">
        <v>0.50218914684517901</v>
      </c>
      <c r="E97">
        <v>10.5177068749116</v>
      </c>
      <c r="F97">
        <v>0.239352077082018</v>
      </c>
      <c r="G97">
        <v>-234.7384936589763</v>
      </c>
      <c r="H97">
        <v>-129.77367865901908</v>
      </c>
      <c r="I97">
        <v>99.673203131265396</v>
      </c>
      <c r="J97">
        <v>38.346158735410597</v>
      </c>
      <c r="K97">
        <v>43.942409036657601</v>
      </c>
      <c r="L97">
        <v>1.8205783811116151E-3</v>
      </c>
      <c r="M97">
        <v>1.0323948498857497E-3</v>
      </c>
      <c r="N97" s="1">
        <v>-8.5675354146993505E-5</v>
      </c>
      <c r="O97">
        <v>1.0466594733378299E-4</v>
      </c>
      <c r="P97" s="1">
        <v>-7.5128002331061901E-5</v>
      </c>
      <c r="AE97">
        <v>100</v>
      </c>
      <c r="AJ97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2D5C7-2183-4DDB-A319-427C9C00DED2}">
  <sheetPr codeName="Sheet15"/>
  <dimension ref="A1:AU97"/>
  <sheetViews>
    <sheetView workbookViewId="0"/>
  </sheetViews>
  <sheetFormatPr defaultRowHeight="15" x14ac:dyDescent="0.2"/>
  <sheetData>
    <row r="1" spans="1:47" x14ac:dyDescent="0.2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">
      <c r="A2">
        <v>1</v>
      </c>
      <c r="B2">
        <v>758</v>
      </c>
      <c r="C2">
        <v>300</v>
      </c>
      <c r="D2">
        <v>0.27672065169955901</v>
      </c>
      <c r="E2">
        <v>216.74995904438165</v>
      </c>
      <c r="F2">
        <v>67.721661076582421</v>
      </c>
      <c r="G2">
        <v>72.720849714725631</v>
      </c>
      <c r="H2">
        <v>68.124647275138059</v>
      </c>
      <c r="J2">
        <v>71.071275207286604</v>
      </c>
      <c r="L2">
        <v>8.8815272164535539</v>
      </c>
      <c r="M2">
        <v>13.991544668290125</v>
      </c>
      <c r="N2">
        <v>2.678342419741182</v>
      </c>
      <c r="O2">
        <v>35.323696510404659</v>
      </c>
      <c r="P2">
        <v>13.922762986664377</v>
      </c>
      <c r="Q2">
        <v>1.301493385922202</v>
      </c>
      <c r="R2">
        <v>18.700746965583974</v>
      </c>
      <c r="S2">
        <v>52.349752785622414</v>
      </c>
      <c r="U2">
        <v>2.0045650257402947</v>
      </c>
      <c r="V2">
        <v>49.798763719213895</v>
      </c>
      <c r="W2">
        <v>21.55189249095449</v>
      </c>
      <c r="X2">
        <v>49.946520600967624</v>
      </c>
      <c r="Y2">
        <v>10.808651479940591</v>
      </c>
      <c r="Z2">
        <v>34.144837956113996</v>
      </c>
      <c r="AA2">
        <v>7.9476758365858986</v>
      </c>
      <c r="AB2">
        <v>37.952860532975606</v>
      </c>
      <c r="AC2">
        <v>1.1799694644841775E-2</v>
      </c>
      <c r="AD2">
        <v>9.7905306082185266</v>
      </c>
      <c r="AE2">
        <v>13.56511191242317</v>
      </c>
      <c r="AF2">
        <v>13.692631684919963</v>
      </c>
      <c r="AG2">
        <v>23.428580715094778</v>
      </c>
      <c r="AH2">
        <v>10.73422598899014</v>
      </c>
      <c r="AI2">
        <v>2.6298638930604517</v>
      </c>
      <c r="AK2">
        <v>58.861519288114401</v>
      </c>
    </row>
    <row r="3" spans="1:47" x14ac:dyDescent="0.2">
      <c r="A3">
        <v>2</v>
      </c>
      <c r="B3">
        <v>756</v>
      </c>
      <c r="C3">
        <v>300</v>
      </c>
      <c r="D3">
        <v>0.27517903123937498</v>
      </c>
      <c r="E3">
        <v>216.52634545531325</v>
      </c>
      <c r="F3">
        <v>67.025587973747548</v>
      </c>
      <c r="G3">
        <v>72.604959780172578</v>
      </c>
      <c r="H3">
        <v>68.003975998451139</v>
      </c>
      <c r="J3">
        <v>70.927574715938718</v>
      </c>
      <c r="L3">
        <v>8.7180286814761327</v>
      </c>
      <c r="M3">
        <v>13.875087270521847</v>
      </c>
      <c r="N3">
        <v>2.6702255567155864</v>
      </c>
      <c r="O3">
        <v>34.563756651602795</v>
      </c>
      <c r="P3">
        <v>13.72585623985643</v>
      </c>
      <c r="Q3">
        <v>1.1906899747503286</v>
      </c>
      <c r="R3">
        <v>18.3010085163504</v>
      </c>
      <c r="S3">
        <v>51.54291023748754</v>
      </c>
      <c r="U3">
        <v>1.8624590703062374</v>
      </c>
      <c r="V3">
        <v>49.608865584759215</v>
      </c>
      <c r="W3">
        <v>21.182161896464244</v>
      </c>
      <c r="X3">
        <v>49.592422077615652</v>
      </c>
      <c r="Y3">
        <v>10.638308671107565</v>
      </c>
      <c r="Z3">
        <v>33.761506234055751</v>
      </c>
      <c r="AA3">
        <v>7.7788714538784118</v>
      </c>
      <c r="AB3">
        <v>37.67912260782564</v>
      </c>
      <c r="AD3">
        <v>9.5754331595279378</v>
      </c>
      <c r="AE3">
        <v>13.391518048919977</v>
      </c>
      <c r="AF3">
        <v>13.56188060616809</v>
      </c>
      <c r="AG3">
        <v>23.112727388078895</v>
      </c>
      <c r="AH3">
        <v>10.492191573371375</v>
      </c>
      <c r="AI3">
        <v>2.6211713942071273</v>
      </c>
      <c r="AK3">
        <v>58.842775234188089</v>
      </c>
    </row>
    <row r="4" spans="1:47" x14ac:dyDescent="0.2">
      <c r="A4">
        <v>3</v>
      </c>
      <c r="B4">
        <v>754</v>
      </c>
      <c r="C4">
        <v>300</v>
      </c>
      <c r="D4">
        <v>0.27363140729202201</v>
      </c>
      <c r="E4">
        <v>216.27573912385819</v>
      </c>
      <c r="F4">
        <v>66.235219563837987</v>
      </c>
      <c r="G4">
        <v>72.475331739001803</v>
      </c>
      <c r="H4">
        <v>67.869618729802212</v>
      </c>
      <c r="J4">
        <v>70.734768269394053</v>
      </c>
      <c r="L4">
        <v>8.5400600009612351</v>
      </c>
      <c r="M4">
        <v>13.720226959129151</v>
      </c>
      <c r="N4">
        <v>2.6741675585804723</v>
      </c>
      <c r="O4">
        <v>33.767386451097963</v>
      </c>
      <c r="P4">
        <v>13.513563150148142</v>
      </c>
      <c r="Q4">
        <v>1.0502696957936668</v>
      </c>
      <c r="R4">
        <v>17.84042005498085</v>
      </c>
      <c r="S4">
        <v>50.545851253277355</v>
      </c>
      <c r="U4">
        <v>1.6875047299741881</v>
      </c>
      <c r="V4">
        <v>49.358410607026066</v>
      </c>
      <c r="W4">
        <v>20.739526892037254</v>
      </c>
      <c r="X4">
        <v>49.126909363648764</v>
      </c>
      <c r="Y4">
        <v>10.448225535860184</v>
      </c>
      <c r="Z4">
        <v>33.320229948593379</v>
      </c>
      <c r="AA4">
        <v>7.5956940799183572</v>
      </c>
      <c r="AB4">
        <v>37.334848709021543</v>
      </c>
      <c r="AD4">
        <v>9.3233433737082585</v>
      </c>
      <c r="AE4">
        <v>13.194683594962241</v>
      </c>
      <c r="AF4">
        <v>13.404786641462609</v>
      </c>
      <c r="AG4">
        <v>22.738407037703873</v>
      </c>
      <c r="AH4">
        <v>10.205790279394408</v>
      </c>
      <c r="AI4">
        <v>2.624534436632016</v>
      </c>
      <c r="AK4">
        <v>58.80691699548359</v>
      </c>
    </row>
    <row r="5" spans="1:47" x14ac:dyDescent="0.2">
      <c r="A5">
        <v>4</v>
      </c>
      <c r="B5">
        <v>752</v>
      </c>
      <c r="C5">
        <v>300</v>
      </c>
      <c r="D5">
        <v>0.27207774472028401</v>
      </c>
      <c r="E5">
        <v>216.02579703839871</v>
      </c>
      <c r="F5">
        <v>65.44772333917291</v>
      </c>
      <c r="G5">
        <v>72.346051142440558</v>
      </c>
      <c r="H5">
        <v>67.73566118729012</v>
      </c>
      <c r="J5">
        <v>70.544472696538165</v>
      </c>
      <c r="L5">
        <v>8.3628354431562055</v>
      </c>
      <c r="M5">
        <v>13.565971000113111</v>
      </c>
      <c r="N5">
        <v>2.6781090345903649</v>
      </c>
      <c r="O5">
        <v>32.973537418043747</v>
      </c>
      <c r="P5">
        <v>13.301995611179647</v>
      </c>
      <c r="Q5">
        <v>0.91036183165922013</v>
      </c>
      <c r="R5">
        <v>17.381340513068952</v>
      </c>
      <c r="S5">
        <v>49.55263289092845</v>
      </c>
      <c r="U5">
        <v>1.5128805052341561</v>
      </c>
      <c r="V5">
        <v>49.108761354602095</v>
      </c>
      <c r="W5">
        <v>20.298032929198708</v>
      </c>
      <c r="X5">
        <v>48.663228942415664</v>
      </c>
      <c r="Y5">
        <v>10.258796326180651</v>
      </c>
      <c r="Z5">
        <v>32.880082193187931</v>
      </c>
      <c r="AA5">
        <v>7.4132167727309932</v>
      </c>
      <c r="AB5">
        <v>36.991664853926132</v>
      </c>
      <c r="AD5">
        <v>9.0716735894273874</v>
      </c>
      <c r="AE5">
        <v>12.998323942842203</v>
      </c>
      <c r="AF5">
        <v>13.24829771099672</v>
      </c>
      <c r="AG5">
        <v>22.365186338121163</v>
      </c>
      <c r="AH5">
        <v>9.9202883019532315</v>
      </c>
      <c r="AI5">
        <v>2.6278936148782379</v>
      </c>
      <c r="AK5">
        <v>58.772385553782023</v>
      </c>
    </row>
    <row r="6" spans="1:47" x14ac:dyDescent="0.2">
      <c r="A6">
        <v>5</v>
      </c>
      <c r="B6">
        <v>750</v>
      </c>
      <c r="C6">
        <v>300</v>
      </c>
      <c r="D6">
        <v>0.270518008112205</v>
      </c>
      <c r="E6">
        <v>215.77651605534697</v>
      </c>
      <c r="F6">
        <v>64.663084683971604</v>
      </c>
      <c r="G6">
        <v>72.217116721545977</v>
      </c>
      <c r="H6">
        <v>67.602102269494139</v>
      </c>
      <c r="J6">
        <v>70.356684974639762</v>
      </c>
      <c r="L6">
        <v>8.1862487090967555</v>
      </c>
      <c r="M6">
        <v>13.412315363550375</v>
      </c>
      <c r="N6">
        <v>2.6820499888841778</v>
      </c>
      <c r="O6">
        <v>32.182198326127128</v>
      </c>
      <c r="P6">
        <v>13.091151272144455</v>
      </c>
      <c r="Q6">
        <v>0.77096040217485728</v>
      </c>
      <c r="R6">
        <v>16.923760667467945</v>
      </c>
      <c r="S6">
        <v>48.563232133431846</v>
      </c>
      <c r="U6">
        <v>1.3385834669567898</v>
      </c>
      <c r="V6">
        <v>48.859911953532212</v>
      </c>
      <c r="W6">
        <v>19.857671479211138</v>
      </c>
      <c r="X6">
        <v>48.201369036465401</v>
      </c>
      <c r="Y6">
        <v>10.070018030548171</v>
      </c>
      <c r="Z6">
        <v>32.441053252160643</v>
      </c>
      <c r="AA6">
        <v>7.231436370960866</v>
      </c>
      <c r="AB6">
        <v>36.649562302975063</v>
      </c>
      <c r="AD6">
        <v>8.820422118475312</v>
      </c>
      <c r="AE6">
        <v>12.802434309704704</v>
      </c>
      <c r="AF6">
        <v>13.092409834129166</v>
      </c>
      <c r="AG6">
        <v>21.993056601738886</v>
      </c>
      <c r="AH6">
        <v>9.6356829053030406</v>
      </c>
      <c r="AI6">
        <v>2.6312489183698098</v>
      </c>
      <c r="AK6">
        <v>58.739180792696921</v>
      </c>
    </row>
    <row r="7" spans="1:47" x14ac:dyDescent="0.2">
      <c r="A7">
        <v>6</v>
      </c>
      <c r="B7">
        <v>748</v>
      </c>
      <c r="C7">
        <v>300</v>
      </c>
      <c r="D7">
        <v>0.26895216177838999</v>
      </c>
      <c r="E7">
        <v>215.52789312618822</v>
      </c>
      <c r="F7">
        <v>63.881289356591076</v>
      </c>
      <c r="G7">
        <v>72.088527253509668</v>
      </c>
      <c r="H7">
        <v>67.468940921784082</v>
      </c>
      <c r="J7">
        <v>70.171402286574732</v>
      </c>
      <c r="L7">
        <v>8.0103927847053633</v>
      </c>
      <c r="M7">
        <v>13.259256093595688</v>
      </c>
      <c r="N7">
        <v>2.685990425774051</v>
      </c>
      <c r="O7">
        <v>31.393358241415093</v>
      </c>
      <c r="P7">
        <v>12.881027875701278</v>
      </c>
      <c r="Q7">
        <v>0.63205945672950381</v>
      </c>
      <c r="R7">
        <v>16.467671511164944</v>
      </c>
      <c r="S7">
        <v>47.57762643885718</v>
      </c>
      <c r="U7">
        <v>1.164610774377743</v>
      </c>
      <c r="V7">
        <v>48.611856531855558</v>
      </c>
      <c r="W7">
        <v>19.418434150150809</v>
      </c>
      <c r="X7">
        <v>47.741318123887332</v>
      </c>
      <c r="Y7">
        <v>9.881887735271194</v>
      </c>
      <c r="Z7">
        <v>32.003133522744314</v>
      </c>
      <c r="AA7">
        <v>7.0503498114279282</v>
      </c>
      <c r="AB7">
        <v>36.308532434511079</v>
      </c>
      <c r="AD7">
        <v>8.5695873065494563</v>
      </c>
      <c r="AE7">
        <v>12.607009956198636</v>
      </c>
      <c r="AF7">
        <v>12.937119104669788</v>
      </c>
      <c r="AG7">
        <v>21.62200925935279</v>
      </c>
      <c r="AH7">
        <v>9.3519714653241834</v>
      </c>
      <c r="AI7">
        <v>2.6346003367002506</v>
      </c>
      <c r="AK7">
        <v>58.707302706369347</v>
      </c>
    </row>
    <row r="8" spans="1:47" x14ac:dyDescent="0.2">
      <c r="A8">
        <v>7</v>
      </c>
      <c r="B8">
        <v>746</v>
      </c>
      <c r="C8">
        <v>300</v>
      </c>
      <c r="D8">
        <v>0.26738016974930101</v>
      </c>
      <c r="E8">
        <v>215.27992529685054</v>
      </c>
      <c r="F8">
        <v>63.10232348492125</v>
      </c>
      <c r="G8">
        <v>71.960281561350982</v>
      </c>
      <c r="H8">
        <v>67.336176136015524</v>
      </c>
      <c r="J8">
        <v>69.988622020103946</v>
      </c>
      <c r="L8">
        <v>7.8351709021527078</v>
      </c>
      <c r="M8">
        <v>13.106789307556625</v>
      </c>
      <c r="N8">
        <v>2.6899303495242775</v>
      </c>
      <c r="O8">
        <v>30.607006518369396</v>
      </c>
      <c r="P8">
        <v>12.671623257143761</v>
      </c>
      <c r="Q8">
        <v>0.4936530713265247</v>
      </c>
      <c r="R8">
        <v>16.013064250982314</v>
      </c>
      <c r="S8">
        <v>46.595793735395212</v>
      </c>
      <c r="U8">
        <v>0.99095967454086431</v>
      </c>
      <c r="V8">
        <v>48.364589211484585</v>
      </c>
      <c r="W8">
        <v>18.980312684593496</v>
      </c>
      <c r="X8">
        <v>47.283064936888813</v>
      </c>
      <c r="Y8">
        <v>9.6944026237931613</v>
      </c>
      <c r="Z8">
        <v>31.566313511373288</v>
      </c>
      <c r="AA8">
        <v>6.8699541291947677</v>
      </c>
      <c r="AB8">
        <v>35.968566742060318</v>
      </c>
      <c r="AD8">
        <v>8.3191675323725409</v>
      </c>
      <c r="AE8">
        <v>12.412046184481131</v>
      </c>
      <c r="AF8">
        <v>12.782421689741668</v>
      </c>
      <c r="AG8">
        <v>21.252035857202817</v>
      </c>
      <c r="AH8">
        <v>9.0691514687182053</v>
      </c>
      <c r="AI8">
        <v>2.6379478594136008</v>
      </c>
      <c r="AK8">
        <v>58.676751399167031</v>
      </c>
    </row>
    <row r="9" spans="1:47" x14ac:dyDescent="0.2">
      <c r="A9">
        <v>8</v>
      </c>
      <c r="B9">
        <v>744</v>
      </c>
      <c r="C9">
        <v>300</v>
      </c>
      <c r="D9">
        <v>0.26580199577250502</v>
      </c>
      <c r="E9">
        <v>215.03260970729022</v>
      </c>
      <c r="F9">
        <v>62.326173562114484</v>
      </c>
      <c r="G9">
        <v>71.832378513610195</v>
      </c>
      <c r="H9">
        <v>67.20380695022709</v>
      </c>
      <c r="J9">
        <v>69.808341767481167</v>
      </c>
      <c r="L9">
        <v>7.6606759813360057</v>
      </c>
      <c r="M9">
        <v>12.954911194731521</v>
      </c>
      <c r="N9">
        <v>2.6938697643244121</v>
      </c>
      <c r="O9">
        <v>29.823132796209006</v>
      </c>
      <c r="P9">
        <v>12.462935343766949</v>
      </c>
      <c r="Q9">
        <v>0.35573534548423869</v>
      </c>
      <c r="R9">
        <v>15.559930305332756</v>
      </c>
      <c r="S9">
        <v>45.61771241557453</v>
      </c>
      <c r="U9">
        <v>0.81762750158815589</v>
      </c>
      <c r="V9">
        <v>48.118104099441474</v>
      </c>
      <c r="W9">
        <v>18.543298956538557</v>
      </c>
      <c r="X9">
        <v>46.826598457431743</v>
      </c>
      <c r="Y9">
        <v>9.5075599760922067</v>
      </c>
      <c r="Z9">
        <v>31.130583829095233</v>
      </c>
      <c r="AA9">
        <v>6.690246457596106</v>
      </c>
      <c r="AB9">
        <v>35.629656830746761</v>
      </c>
      <c r="AD9">
        <v>8.0691612063118789</v>
      </c>
      <c r="AE9">
        <v>12.217538335731845</v>
      </c>
      <c r="AF9">
        <v>12.628313828586487</v>
      </c>
      <c r="AG9">
        <v>20.883128053362817</v>
      </c>
      <c r="AH9">
        <v>8.7872205120547431</v>
      </c>
      <c r="AI9">
        <v>2.6412914759767192</v>
      </c>
      <c r="AK9">
        <v>58.647527085862272</v>
      </c>
    </row>
    <row r="10" spans="1:47" x14ac:dyDescent="0.2">
      <c r="A10">
        <v>9</v>
      </c>
      <c r="B10">
        <v>742</v>
      </c>
      <c r="C10">
        <v>300</v>
      </c>
      <c r="D10">
        <v>0.264217603309855</v>
      </c>
      <c r="E10">
        <v>214.78594359006141</v>
      </c>
      <c r="F10">
        <v>61.55282643913187</v>
      </c>
      <c r="G10">
        <v>71.704817023613245</v>
      </c>
      <c r="H10">
        <v>67.071832447910438</v>
      </c>
      <c r="J10">
        <v>69.630559323279087</v>
      </c>
      <c r="L10">
        <v>7.4868048101369205</v>
      </c>
      <c r="M10">
        <v>12.803618014212271</v>
      </c>
      <c r="N10">
        <v>2.6978086745054548</v>
      </c>
      <c r="O10">
        <v>29.041726993998811</v>
      </c>
      <c r="P10">
        <v>12.254962153618614</v>
      </c>
      <c r="Q10">
        <v>0.21830039809892696</v>
      </c>
      <c r="R10">
        <v>15.108261300024244</v>
      </c>
      <c r="S10">
        <v>44.643361325433254</v>
      </c>
      <c r="U10">
        <v>0.64461167518519136</v>
      </c>
      <c r="V10">
        <v>47.872395276587021</v>
      </c>
      <c r="W10">
        <v>18.107384966681835</v>
      </c>
      <c r="X10">
        <v>46.371907914719394</v>
      </c>
      <c r="Y10">
        <v>9.3213571674129749</v>
      </c>
      <c r="Z10">
        <v>30.695935185812889</v>
      </c>
      <c r="AA10">
        <v>6.5112240274417568</v>
      </c>
      <c r="AB10">
        <v>35.291794412135459</v>
      </c>
      <c r="AD10">
        <v>7.8195667681225389</v>
      </c>
      <c r="AE10">
        <v>12.023481787320238</v>
      </c>
      <c r="AF10">
        <v>12.474791830591972</v>
      </c>
      <c r="AG10">
        <v>20.515277612803143</v>
      </c>
      <c r="AH10">
        <v>8.506176299515122</v>
      </c>
      <c r="AI10">
        <v>2.6446311759976755</v>
      </c>
      <c r="AK10">
        <v>58.619630090904579</v>
      </c>
    </row>
    <row r="11" spans="1:47" x14ac:dyDescent="0.2">
      <c r="A11">
        <v>10</v>
      </c>
      <c r="B11">
        <v>740</v>
      </c>
      <c r="C11">
        <v>300</v>
      </c>
      <c r="D11">
        <v>0.26262695553471999</v>
      </c>
      <c r="E11">
        <v>214.53992427029138</v>
      </c>
      <c r="F11">
        <v>60.782269321928148</v>
      </c>
      <c r="G11">
        <v>71.577596049395154</v>
      </c>
      <c r="H11">
        <v>66.940251757937716</v>
      </c>
      <c r="J11">
        <v>69.455272684855757</v>
      </c>
      <c r="L11">
        <v>7.3136089880274922</v>
      </c>
      <c r="M11">
        <v>12.65290609436672</v>
      </c>
      <c r="N11">
        <v>2.7017470842900209</v>
      </c>
      <c r="O11">
        <v>28.262779307662754</v>
      </c>
      <c r="P11">
        <v>12.047701795111593</v>
      </c>
      <c r="Q11">
        <v>8.1342364553087465E-2</v>
      </c>
      <c r="R11">
        <v>14.658049066978057</v>
      </c>
      <c r="S11">
        <v>43.672719761697991</v>
      </c>
      <c r="U11">
        <v>0.47190970037831476</v>
      </c>
      <c r="V11">
        <v>47.627456788565432</v>
      </c>
      <c r="W11">
        <v>17.672562840605277</v>
      </c>
      <c r="X11">
        <v>45.918982782838846</v>
      </c>
      <c r="Y11">
        <v>9.135791667993626</v>
      </c>
      <c r="Z11">
        <v>30.262358386714631</v>
      </c>
      <c r="AA11">
        <v>6.3328841666049556</v>
      </c>
      <c r="AB11">
        <v>34.954971301889593</v>
      </c>
      <c r="AD11">
        <v>7.570382686112719</v>
      </c>
      <c r="AE11">
        <v>11.82987195075968</v>
      </c>
      <c r="AF11">
        <v>12.321852074515418</v>
      </c>
      <c r="AG11">
        <v>20.148476404795066</v>
      </c>
      <c r="AH11">
        <v>8.2260166426680161</v>
      </c>
      <c r="AI11">
        <v>2.6479669489742941</v>
      </c>
      <c r="AK11">
        <v>58.593060848849056</v>
      </c>
    </row>
    <row r="12" spans="1:47" x14ac:dyDescent="0.2">
      <c r="A12">
        <v>11</v>
      </c>
      <c r="B12">
        <v>738</v>
      </c>
      <c r="C12">
        <v>300</v>
      </c>
      <c r="D12">
        <v>0.26103001532908299</v>
      </c>
      <c r="E12">
        <v>214.1754328093281</v>
      </c>
      <c r="F12">
        <v>59.044347639916346</v>
      </c>
      <c r="G12">
        <v>71.337668754753082</v>
      </c>
      <c r="H12">
        <v>66.696018215614728</v>
      </c>
      <c r="J12">
        <v>68.708552165057966</v>
      </c>
      <c r="L12">
        <v>6.8968467877098192</v>
      </c>
      <c r="M12">
        <v>12.390762675247188</v>
      </c>
      <c r="N12">
        <v>2.7056808909718999</v>
      </c>
      <c r="O12">
        <v>26.614897241603696</v>
      </c>
      <c r="P12">
        <v>11.615056682304694</v>
      </c>
      <c r="R12">
        <v>13.716761961549043</v>
      </c>
      <c r="S12">
        <v>41.6521563676678</v>
      </c>
      <c r="U12">
        <v>0.23850970641386798</v>
      </c>
      <c r="V12">
        <v>47.164259868121817</v>
      </c>
      <c r="W12">
        <v>17.256080837532302</v>
      </c>
      <c r="X12">
        <v>45.279872850355581</v>
      </c>
      <c r="Y12">
        <v>8.7149925347569379</v>
      </c>
      <c r="Z12">
        <v>28.999236261825118</v>
      </c>
      <c r="AA12">
        <v>5.9104192480588607</v>
      </c>
      <c r="AB12">
        <v>34.032100124534999</v>
      </c>
      <c r="AD12">
        <v>6.8656256486454943</v>
      </c>
      <c r="AE12">
        <v>11.243940583338274</v>
      </c>
      <c r="AF12">
        <v>12.057477744080233</v>
      </c>
      <c r="AG12">
        <v>19.195633000867556</v>
      </c>
      <c r="AH12">
        <v>7.5592987475463636</v>
      </c>
      <c r="AI12">
        <v>2.6512946774762707</v>
      </c>
      <c r="AK12">
        <v>58.249974550817328</v>
      </c>
    </row>
    <row r="13" spans="1:47" x14ac:dyDescent="0.2">
      <c r="A13">
        <v>12</v>
      </c>
      <c r="B13">
        <v>736</v>
      </c>
      <c r="C13">
        <v>300</v>
      </c>
      <c r="D13">
        <v>0.25942674528068399</v>
      </c>
      <c r="E13">
        <v>212.80262917198129</v>
      </c>
      <c r="F13">
        <v>49.917243043368103</v>
      </c>
      <c r="G13">
        <v>70.057996653558519</v>
      </c>
      <c r="H13">
        <v>65.412093507002865</v>
      </c>
      <c r="J13">
        <v>64.846520551535392</v>
      </c>
      <c r="L13">
        <v>4.5075277851167117</v>
      </c>
      <c r="M13">
        <v>12.065601251346088</v>
      </c>
      <c r="N13">
        <v>2.7095571854000231</v>
      </c>
      <c r="O13">
        <v>17.603053196652731</v>
      </c>
      <c r="P13">
        <v>9.102897124028372</v>
      </c>
      <c r="R13">
        <v>10.01353024195094</v>
      </c>
      <c r="S13">
        <v>35.975584764989108</v>
      </c>
      <c r="U13">
        <v>5.330785202671157E-3</v>
      </c>
      <c r="V13">
        <v>46.611709610464032</v>
      </c>
      <c r="W13">
        <v>16.911328753354098</v>
      </c>
      <c r="X13">
        <v>44.647135847352665</v>
      </c>
      <c r="Y13">
        <v>6.1969578756330943</v>
      </c>
      <c r="Z13">
        <v>22.448654149375145</v>
      </c>
      <c r="AA13">
        <v>3.4631285952690232</v>
      </c>
      <c r="AB13">
        <v>31.160476018855899</v>
      </c>
      <c r="AD13">
        <v>3.1267256486330908</v>
      </c>
      <c r="AE13">
        <v>8.4047704171065849</v>
      </c>
      <c r="AF13">
        <v>11.73002947121403</v>
      </c>
      <c r="AG13">
        <v>16.293989680681491</v>
      </c>
      <c r="AH13">
        <v>3.6137506133679085</v>
      </c>
      <c r="AI13">
        <v>2.6545614376293747</v>
      </c>
      <c r="AK13">
        <v>55.728400458320216</v>
      </c>
    </row>
    <row r="14" spans="1:47" x14ac:dyDescent="0.2">
      <c r="A14">
        <v>13</v>
      </c>
      <c r="B14">
        <v>734</v>
      </c>
      <c r="C14">
        <v>300</v>
      </c>
      <c r="D14">
        <v>0.25781710768008598</v>
      </c>
      <c r="E14">
        <v>212.23052502207256</v>
      </c>
      <c r="F14">
        <v>44.626445846475548</v>
      </c>
      <c r="G14">
        <v>69.231778169358009</v>
      </c>
      <c r="H14">
        <v>64.581676228520323</v>
      </c>
      <c r="J14">
        <v>47.082681487383525</v>
      </c>
      <c r="L14">
        <v>1.6884022195275612</v>
      </c>
      <c r="M14">
        <v>11.509653420317475</v>
      </c>
      <c r="N14">
        <v>2.7134692710397919</v>
      </c>
      <c r="O14">
        <v>5.0450242552921933</v>
      </c>
      <c r="P14">
        <v>7.4977134621507942</v>
      </c>
      <c r="R14">
        <v>6.1071049740998973</v>
      </c>
      <c r="S14">
        <v>29.326196915077858</v>
      </c>
      <c r="V14">
        <v>46.680613516840765</v>
      </c>
      <c r="W14">
        <v>16.188275640365969</v>
      </c>
      <c r="X14">
        <v>44.703877643521807</v>
      </c>
      <c r="Y14">
        <v>3.5739730017560247</v>
      </c>
      <c r="Z14">
        <v>17.94346618949476</v>
      </c>
      <c r="AB14">
        <v>29.46668382525592</v>
      </c>
      <c r="AE14">
        <v>6.4400462939331939</v>
      </c>
      <c r="AF14">
        <v>11.171832203833715</v>
      </c>
      <c r="AG14">
        <v>14.570224638455894</v>
      </c>
      <c r="AI14">
        <v>2.6578605181765429</v>
      </c>
      <c r="AK14">
        <v>43.837677133295891</v>
      </c>
    </row>
    <row r="15" spans="1:47" x14ac:dyDescent="0.2">
      <c r="A15">
        <v>14</v>
      </c>
      <c r="B15">
        <v>732</v>
      </c>
      <c r="C15">
        <v>300</v>
      </c>
      <c r="D15">
        <v>0.256201064517732</v>
      </c>
      <c r="E15">
        <v>212.61992600279552</v>
      </c>
      <c r="F15">
        <v>45.750454842639272</v>
      </c>
      <c r="G15">
        <v>69.192465747687478</v>
      </c>
      <c r="H15">
        <v>64.538218999261019</v>
      </c>
      <c r="J15">
        <v>37.180074344753464</v>
      </c>
      <c r="L15">
        <v>1.7203419608232544</v>
      </c>
      <c r="M15">
        <v>10.612447970257625</v>
      </c>
      <c r="N15">
        <v>2.7174402935579005</v>
      </c>
      <c r="O15">
        <v>5.0814081408915772</v>
      </c>
      <c r="P15">
        <v>7.4664339257985546</v>
      </c>
      <c r="R15">
        <v>5.3743197955845909</v>
      </c>
      <c r="S15">
        <v>29.719526191407354</v>
      </c>
      <c r="V15">
        <v>47.684431292451421</v>
      </c>
      <c r="W15">
        <v>15.122283640401621</v>
      </c>
      <c r="X15">
        <v>44.771899787420608</v>
      </c>
      <c r="Y15">
        <v>3.2000085189111811</v>
      </c>
      <c r="Z15">
        <v>18.264225798376675</v>
      </c>
      <c r="AB15">
        <v>30.226734712501838</v>
      </c>
      <c r="AE15">
        <v>6.6062518239062209</v>
      </c>
      <c r="AF15">
        <v>10.27243792270831</v>
      </c>
      <c r="AG15">
        <v>15.300372239302726</v>
      </c>
      <c r="AI15">
        <v>2.6612150500638694</v>
      </c>
      <c r="AK15">
        <v>37.079981154456959</v>
      </c>
    </row>
    <row r="16" spans="1:47" x14ac:dyDescent="0.2">
      <c r="A16">
        <v>15</v>
      </c>
      <c r="B16">
        <v>758</v>
      </c>
      <c r="C16">
        <v>275</v>
      </c>
      <c r="D16">
        <v>0.303389904475587</v>
      </c>
      <c r="E16">
        <v>202.16598104698912</v>
      </c>
      <c r="F16">
        <v>67.237021917052473</v>
      </c>
      <c r="G16">
        <v>72.724282530743963</v>
      </c>
      <c r="H16">
        <v>68.126912779503371</v>
      </c>
      <c r="J16">
        <v>70.581751742274918</v>
      </c>
      <c r="L16">
        <v>8.7857852508529568</v>
      </c>
      <c r="M16">
        <v>13.970387100142256</v>
      </c>
      <c r="N16">
        <v>2.5891917830809228</v>
      </c>
      <c r="O16">
        <v>35.405813849525757</v>
      </c>
      <c r="P16">
        <v>13.699307517790391</v>
      </c>
      <c r="Q16">
        <v>1.073517361194009</v>
      </c>
      <c r="R16">
        <v>18.746770290186372</v>
      </c>
      <c r="S16">
        <v>51.858907340931921</v>
      </c>
      <c r="U16">
        <v>1.8422634268406723</v>
      </c>
      <c r="V16">
        <v>49.279330856546466</v>
      </c>
      <c r="W16">
        <v>22.065663570031003</v>
      </c>
      <c r="X16">
        <v>48.467095252071999</v>
      </c>
      <c r="Y16">
        <v>10.608852470499411</v>
      </c>
      <c r="Z16">
        <v>34.137536981420894</v>
      </c>
      <c r="AA16">
        <v>7.8796171380304152</v>
      </c>
      <c r="AB16">
        <v>37.986834393398908</v>
      </c>
      <c r="AC16">
        <v>1.4222645541417819E-2</v>
      </c>
      <c r="AD16">
        <v>9.7738720589307988</v>
      </c>
      <c r="AE16">
        <v>13.751255142051034</v>
      </c>
      <c r="AF16">
        <v>13.659393664590464</v>
      </c>
      <c r="AG16">
        <v>23.481433348327954</v>
      </c>
      <c r="AH16">
        <v>10.253300409499646</v>
      </c>
      <c r="AI16">
        <v>2.5374442947638429</v>
      </c>
      <c r="AK16">
        <v>58.493478405092041</v>
      </c>
    </row>
    <row r="17" spans="1:37" x14ac:dyDescent="0.2">
      <c r="A17">
        <v>16</v>
      </c>
      <c r="B17">
        <v>756</v>
      </c>
      <c r="C17">
        <v>275</v>
      </c>
      <c r="D17">
        <v>0.30190011174270298</v>
      </c>
      <c r="E17">
        <v>201.94854048972371</v>
      </c>
      <c r="F17">
        <v>66.563468188657566</v>
      </c>
      <c r="G17">
        <v>72.611404740832512</v>
      </c>
      <c r="H17">
        <v>68.009233314022183</v>
      </c>
      <c r="J17">
        <v>70.447940854481089</v>
      </c>
      <c r="L17">
        <v>8.625914773853026</v>
      </c>
      <c r="M17">
        <v>13.862877523668404</v>
      </c>
      <c r="N17">
        <v>2.5786669170705006</v>
      </c>
      <c r="O17">
        <v>34.654194585279122</v>
      </c>
      <c r="P17">
        <v>13.505997351432633</v>
      </c>
      <c r="Q17">
        <v>0.97057086125552539</v>
      </c>
      <c r="R17">
        <v>18.361486209830726</v>
      </c>
      <c r="S17">
        <v>51.094585159700983</v>
      </c>
      <c r="U17">
        <v>1.7069059256005226</v>
      </c>
      <c r="V17">
        <v>49.103439509238839</v>
      </c>
      <c r="W17">
        <v>21.712086355890033</v>
      </c>
      <c r="X17">
        <v>48.139177703109006</v>
      </c>
      <c r="Y17">
        <v>10.442914199919784</v>
      </c>
      <c r="Z17">
        <v>33.769328307087569</v>
      </c>
      <c r="AA17">
        <v>7.7145259099786996</v>
      </c>
      <c r="AB17">
        <v>37.729836088759441</v>
      </c>
      <c r="AD17">
        <v>9.5682699903318333</v>
      </c>
      <c r="AE17">
        <v>13.583787976804196</v>
      </c>
      <c r="AF17">
        <v>13.535175383833847</v>
      </c>
      <c r="AG17">
        <v>23.179977404852711</v>
      </c>
      <c r="AH17">
        <v>10.021014178509532</v>
      </c>
      <c r="AI17">
        <v>2.5263460484271505</v>
      </c>
      <c r="AK17">
        <v>58.478394066642167</v>
      </c>
    </row>
    <row r="18" spans="1:37" x14ac:dyDescent="0.2">
      <c r="A18">
        <v>17</v>
      </c>
      <c r="B18">
        <v>754</v>
      </c>
      <c r="C18">
        <v>275</v>
      </c>
      <c r="D18">
        <v>0.30040451735384299</v>
      </c>
      <c r="E18">
        <v>201.69818059227933</v>
      </c>
      <c r="F18">
        <v>65.776304438584162</v>
      </c>
      <c r="G18">
        <v>72.48193991573774</v>
      </c>
      <c r="H18">
        <v>67.875018937484953</v>
      </c>
      <c r="J18">
        <v>70.253731372031694</v>
      </c>
      <c r="L18">
        <v>8.4487078874400083</v>
      </c>
      <c r="M18">
        <v>13.709216205051227</v>
      </c>
      <c r="N18">
        <v>2.5826135818883547</v>
      </c>
      <c r="O18">
        <v>33.85904383283934</v>
      </c>
      <c r="P18">
        <v>13.294015638706249</v>
      </c>
      <c r="Q18">
        <v>0.83247768247131171</v>
      </c>
      <c r="R18">
        <v>17.902911816927336</v>
      </c>
      <c r="S18">
        <v>50.101432725398233</v>
      </c>
      <c r="U18">
        <v>1.5317307770937796</v>
      </c>
      <c r="V18">
        <v>48.854269075968645</v>
      </c>
      <c r="W18">
        <v>21.271157104721063</v>
      </c>
      <c r="X18">
        <v>47.676221799445237</v>
      </c>
      <c r="Y18">
        <v>10.253203353960789</v>
      </c>
      <c r="Z18">
        <v>33.333231238887826</v>
      </c>
      <c r="AA18">
        <v>7.5321679972504496</v>
      </c>
      <c r="AB18">
        <v>37.389027722205348</v>
      </c>
      <c r="AD18">
        <v>9.3190684861041611</v>
      </c>
      <c r="AE18">
        <v>13.389340121688562</v>
      </c>
      <c r="AF18">
        <v>13.379278078680066</v>
      </c>
      <c r="AG18">
        <v>22.809193015695634</v>
      </c>
      <c r="AH18">
        <v>9.7355087459396117</v>
      </c>
      <c r="AI18">
        <v>2.5297160093065818</v>
      </c>
      <c r="AK18">
        <v>58.441844397434167</v>
      </c>
    </row>
    <row r="19" spans="1:37" x14ac:dyDescent="0.2">
      <c r="A19">
        <v>18</v>
      </c>
      <c r="B19">
        <v>752</v>
      </c>
      <c r="C19">
        <v>275</v>
      </c>
      <c r="D19">
        <v>0.29890308735307097</v>
      </c>
      <c r="E19">
        <v>201.44845360247234</v>
      </c>
      <c r="F19">
        <v>64.99192424969948</v>
      </c>
      <c r="G19">
        <v>72.352810296139225</v>
      </c>
      <c r="H19">
        <v>67.741192057443328</v>
      </c>
      <c r="J19">
        <v>70.061959588182731</v>
      </c>
      <c r="L19">
        <v>8.2721216747883712</v>
      </c>
      <c r="M19">
        <v>13.556142047608326</v>
      </c>
      <c r="N19">
        <v>2.5865597253497357</v>
      </c>
      <c r="O19">
        <v>33.066348834872663</v>
      </c>
      <c r="P19">
        <v>13.082734990744154</v>
      </c>
      <c r="Q19">
        <v>0.69489465284234753</v>
      </c>
      <c r="R19">
        <v>17.445794303848686</v>
      </c>
      <c r="S19">
        <v>49.111996859228391</v>
      </c>
      <c r="U19">
        <v>1.3568538630353499</v>
      </c>
      <c r="V19">
        <v>48.605868346613164</v>
      </c>
      <c r="W19">
        <v>20.831348526728227</v>
      </c>
      <c r="X19">
        <v>47.215016317944716</v>
      </c>
      <c r="Y19">
        <v>10.064121586693357</v>
      </c>
      <c r="Z19">
        <v>32.898271718818194</v>
      </c>
      <c r="AA19">
        <v>7.3504895138354991</v>
      </c>
      <c r="AB19">
        <v>37.049302317078535</v>
      </c>
      <c r="AD19">
        <v>9.0702818265612706</v>
      </c>
      <c r="AE19">
        <v>13.195377795200919</v>
      </c>
      <c r="AF19">
        <v>13.223968645200037</v>
      </c>
      <c r="AG19">
        <v>22.439501199548452</v>
      </c>
      <c r="AH19">
        <v>9.4508748505548663</v>
      </c>
      <c r="AI19">
        <v>2.533082110505867</v>
      </c>
      <c r="AK19">
        <v>58.406577855860952</v>
      </c>
    </row>
    <row r="20" spans="1:37" x14ac:dyDescent="0.2">
      <c r="A20">
        <v>19</v>
      </c>
      <c r="B20">
        <v>750</v>
      </c>
      <c r="C20">
        <v>275</v>
      </c>
      <c r="D20">
        <v>0.29739578751893703</v>
      </c>
      <c r="E20">
        <v>201.19935626233396</v>
      </c>
      <c r="F20">
        <v>64.210313555217951</v>
      </c>
      <c r="G20">
        <v>72.224014608128371</v>
      </c>
      <c r="H20">
        <v>67.607751567510334</v>
      </c>
      <c r="J20">
        <v>69.872621961181977</v>
      </c>
      <c r="L20">
        <v>8.0962432714676371</v>
      </c>
      <c r="M20">
        <v>13.403651224536176</v>
      </c>
      <c r="N20">
        <v>2.5905053518010104</v>
      </c>
      <c r="O20">
        <v>32.2760988788487</v>
      </c>
      <c r="P20">
        <v>12.872153047042691</v>
      </c>
      <c r="Q20">
        <v>0.55776116742818882</v>
      </c>
      <c r="R20">
        <v>16.99012473517266</v>
      </c>
      <c r="S20">
        <v>48.126255265916491</v>
      </c>
      <c r="U20">
        <v>1.1822722854053944</v>
      </c>
      <c r="V20">
        <v>48.35823146960275</v>
      </c>
      <c r="W20">
        <v>20.392652823272748</v>
      </c>
      <c r="X20">
        <v>46.755549478207527</v>
      </c>
      <c r="Y20">
        <v>9.8756659039992183</v>
      </c>
      <c r="Z20">
        <v>32.464441475498091</v>
      </c>
      <c r="AA20">
        <v>7.1694874233910451</v>
      </c>
      <c r="AB20">
        <v>36.710652109224661</v>
      </c>
      <c r="AD20">
        <v>8.821909131443169</v>
      </c>
      <c r="AE20">
        <v>13.001897006721943</v>
      </c>
      <c r="AF20">
        <v>13.069243306077684</v>
      </c>
      <c r="AG20">
        <v>22.070894244435102</v>
      </c>
      <c r="AH20">
        <v>9.1671099042985471</v>
      </c>
      <c r="AI20">
        <v>2.5364443416562432</v>
      </c>
      <c r="AK20">
        <v>58.37259390700995</v>
      </c>
    </row>
    <row r="21" spans="1:37" x14ac:dyDescent="0.2">
      <c r="A21">
        <v>20</v>
      </c>
      <c r="B21">
        <v>748</v>
      </c>
      <c r="C21">
        <v>275</v>
      </c>
      <c r="D21">
        <v>0.29588258336189799</v>
      </c>
      <c r="E21">
        <v>200.95088539385983</v>
      </c>
      <c r="F21">
        <v>63.431458626727469</v>
      </c>
      <c r="G21">
        <v>72.095551618067361</v>
      </c>
      <c r="H21">
        <v>67.474696402226385</v>
      </c>
      <c r="J21">
        <v>69.685715115908295</v>
      </c>
      <c r="L21">
        <v>7.9210329215161313</v>
      </c>
      <c r="M21">
        <v>13.251739977981245</v>
      </c>
      <c r="N21">
        <v>2.5944504654972746</v>
      </c>
      <c r="O21">
        <v>31.488283517883982</v>
      </c>
      <c r="P21">
        <v>12.662267528569844</v>
      </c>
      <c r="Q21">
        <v>0.42117605258758251</v>
      </c>
      <c r="R21">
        <v>16.535894371082609</v>
      </c>
      <c r="S21">
        <v>47.144186078243486</v>
      </c>
      <c r="U21">
        <v>1.007983222988073</v>
      </c>
      <c r="V21">
        <v>48.111352583802642</v>
      </c>
      <c r="W21">
        <v>19.955062330865484</v>
      </c>
      <c r="X21">
        <v>46.297809720242455</v>
      </c>
      <c r="Y21">
        <v>9.6878333983455516</v>
      </c>
      <c r="Z21">
        <v>32.031732370098837</v>
      </c>
      <c r="AA21">
        <v>6.9891587782032509</v>
      </c>
      <c r="AB21">
        <v>36.373069459485201</v>
      </c>
      <c r="AD21">
        <v>8.5739495588226706</v>
      </c>
      <c r="AE21">
        <v>12.808893821714689</v>
      </c>
      <c r="AF21">
        <v>12.915098353060324</v>
      </c>
      <c r="AG21">
        <v>21.703364563594665</v>
      </c>
      <c r="AH21">
        <v>8.8842114201607547</v>
      </c>
      <c r="AI21">
        <v>2.5398026922947663</v>
      </c>
      <c r="AK21">
        <v>58.339892102293817</v>
      </c>
    </row>
    <row r="22" spans="1:37" x14ac:dyDescent="0.2">
      <c r="A22">
        <v>21</v>
      </c>
      <c r="B22">
        <v>746</v>
      </c>
      <c r="C22">
        <v>275</v>
      </c>
      <c r="D22">
        <v>0.29436344012167098</v>
      </c>
      <c r="E22">
        <v>200.70303789751304</v>
      </c>
      <c r="F22">
        <v>62.655346067237801</v>
      </c>
      <c r="G22">
        <v>71.967420131819964</v>
      </c>
      <c r="H22">
        <v>67.342025536290549</v>
      </c>
      <c r="J22">
        <v>69.501235841088317</v>
      </c>
      <c r="L22">
        <v>7.7464240178972981</v>
      </c>
      <c r="M22">
        <v>13.100404617082608</v>
      </c>
      <c r="N22">
        <v>2.598395070827852</v>
      </c>
      <c r="O22">
        <v>30.702892566053155</v>
      </c>
      <c r="P22">
        <v>12.453076236458806</v>
      </c>
      <c r="Q22">
        <v>0.28508419591638084</v>
      </c>
      <c r="R22">
        <v>16.083094663484353</v>
      </c>
      <c r="S22">
        <v>46.165767846558452</v>
      </c>
      <c r="U22">
        <v>0.83398392972691116</v>
      </c>
      <c r="V22">
        <v>47.865225808724205</v>
      </c>
      <c r="W22">
        <v>19.518569517012168</v>
      </c>
      <c r="X22">
        <v>45.841785699621497</v>
      </c>
      <c r="Y22">
        <v>9.500621247473477</v>
      </c>
      <c r="Z22">
        <v>31.600136391993932</v>
      </c>
      <c r="AA22">
        <v>6.8095007184137142</v>
      </c>
      <c r="AB22">
        <v>36.036546849448314</v>
      </c>
      <c r="AD22">
        <v>8.3264023038529373</v>
      </c>
      <c r="AE22">
        <v>12.616364359606649</v>
      </c>
      <c r="AF22">
        <v>12.761530145225706</v>
      </c>
      <c r="AG22">
        <v>21.33690469145435</v>
      </c>
      <c r="AH22">
        <v>8.6021770100521433</v>
      </c>
      <c r="AI22">
        <v>2.5431571520899254</v>
      </c>
      <c r="AK22">
        <v>58.308472078319781</v>
      </c>
    </row>
    <row r="23" spans="1:37" x14ac:dyDescent="0.2">
      <c r="A23">
        <v>22</v>
      </c>
      <c r="B23">
        <v>744</v>
      </c>
      <c r="C23">
        <v>275</v>
      </c>
      <c r="D23">
        <v>0.29283832276459099</v>
      </c>
      <c r="E23">
        <v>200.45581075161837</v>
      </c>
      <c r="F23">
        <v>61.881962807500393</v>
      </c>
      <c r="G23">
        <v>71.839618994479252</v>
      </c>
      <c r="H23">
        <v>67.209737984296126</v>
      </c>
      <c r="J23">
        <v>69.319181088214833</v>
      </c>
      <c r="L23">
        <v>7.5724766991548895</v>
      </c>
      <c r="M23">
        <v>12.949641517285768</v>
      </c>
      <c r="N23">
        <v>2.6023391720994109</v>
      </c>
      <c r="O23">
        <v>29.91991609496926</v>
      </c>
      <c r="P23">
        <v>12.244577051253627</v>
      </c>
      <c r="Q23">
        <v>0.14948021683605203</v>
      </c>
      <c r="R23">
        <v>15.631717254142004</v>
      </c>
      <c r="S23">
        <v>45.19097953484895</v>
      </c>
      <c r="U23">
        <v>0.66027173420030161</v>
      </c>
      <c r="V23">
        <v>47.619845236248921</v>
      </c>
      <c r="W23">
        <v>19.083166978609697</v>
      </c>
      <c r="X23">
        <v>45.387466286171538</v>
      </c>
      <c r="Y23">
        <v>9.3140267137788584</v>
      </c>
      <c r="Z23">
        <v>31.169645656522828</v>
      </c>
      <c r="AA23">
        <v>6.6305104714722907</v>
      </c>
      <c r="AB23">
        <v>35.701076879711898</v>
      </c>
      <c r="AD23">
        <v>8.0792665987747814</v>
      </c>
      <c r="AE23">
        <v>12.424304792541438</v>
      </c>
      <c r="AF23">
        <v>12.608535108080023</v>
      </c>
      <c r="AG23">
        <v>20.971507281677894</v>
      </c>
      <c r="AH23">
        <v>8.3210043842493757</v>
      </c>
      <c r="AI23">
        <v>2.5465077106259262</v>
      </c>
      <c r="AK23">
        <v>58.278333556332775</v>
      </c>
    </row>
    <row r="24" spans="1:37" x14ac:dyDescent="0.2">
      <c r="A24">
        <v>23</v>
      </c>
      <c r="B24">
        <v>742</v>
      </c>
      <c r="C24">
        <v>275</v>
      </c>
      <c r="D24">
        <v>0.291307195980888</v>
      </c>
      <c r="E24">
        <v>200.20920101091258</v>
      </c>
      <c r="F24">
        <v>61.111296099432167</v>
      </c>
      <c r="G24">
        <v>71.712147089671433</v>
      </c>
      <c r="H24">
        <v>67.077832800034059</v>
      </c>
      <c r="J24">
        <v>69.13954796889098</v>
      </c>
      <c r="L24">
        <v>7.3992294408090764</v>
      </c>
      <c r="M24">
        <v>12.799447118578287</v>
      </c>
      <c r="N24">
        <v>2.6062827736658845</v>
      </c>
      <c r="O24">
        <v>29.139344429298038</v>
      </c>
      <c r="P24">
        <v>12.036767931654014</v>
      </c>
      <c r="Q24">
        <v>1.4358775189461085E-2</v>
      </c>
      <c r="R24">
        <v>15.181753971020056</v>
      </c>
      <c r="S24">
        <v>44.219800511339592</v>
      </c>
      <c r="U24">
        <v>0.48684403817508703</v>
      </c>
      <c r="V24">
        <v>47.37520491988132</v>
      </c>
      <c r="W24">
        <v>18.648847438344099</v>
      </c>
      <c r="X24">
        <v>44.93484055828182</v>
      </c>
      <c r="Y24">
        <v>9.1280471430837871</v>
      </c>
      <c r="Z24">
        <v>30.740252401174061</v>
      </c>
      <c r="AA24">
        <v>6.4521853508480271</v>
      </c>
      <c r="AB24">
        <v>35.366652266181617</v>
      </c>
      <c r="AD24">
        <v>7.8325417118301699</v>
      </c>
      <c r="AE24">
        <v>12.232711343533836</v>
      </c>
      <c r="AF24">
        <v>12.45610973192996</v>
      </c>
      <c r="AG24">
        <v>20.607165103598831</v>
      </c>
      <c r="AH24">
        <v>8.0406913494914658</v>
      </c>
      <c r="AI24">
        <v>2.5498543575337727</v>
      </c>
      <c r="AK24">
        <v>58.249476341036299</v>
      </c>
    </row>
    <row r="25" spans="1:37" x14ac:dyDescent="0.2">
      <c r="A25">
        <v>24</v>
      </c>
      <c r="B25">
        <v>740</v>
      </c>
      <c r="C25">
        <v>275</v>
      </c>
      <c r="D25">
        <v>0.28977002418201098</v>
      </c>
      <c r="E25">
        <v>198.69911110504674</v>
      </c>
      <c r="F25">
        <v>51.015313175835075</v>
      </c>
      <c r="G25">
        <v>70.277945516221592</v>
      </c>
      <c r="H25">
        <v>65.639251253165668</v>
      </c>
      <c r="J25">
        <v>64.827678710109041</v>
      </c>
      <c r="L25">
        <v>4.7241562735961633</v>
      </c>
      <c r="M25">
        <v>12.507727379781931</v>
      </c>
      <c r="N25">
        <v>2.6101594233691232</v>
      </c>
      <c r="O25">
        <v>19.094447712236821</v>
      </c>
      <c r="P25">
        <v>9.2154648112945683</v>
      </c>
      <c r="R25">
        <v>11.085117349561038</v>
      </c>
      <c r="S25">
        <v>37.933252374680784</v>
      </c>
      <c r="U25">
        <v>0.28696256388477204</v>
      </c>
      <c r="V25">
        <v>46.761985684792535</v>
      </c>
      <c r="W25">
        <v>18.299560860730889</v>
      </c>
      <c r="X25">
        <v>44.403013828682752</v>
      </c>
      <c r="Y25">
        <v>6.3040965167225993</v>
      </c>
      <c r="Z25">
        <v>23.627688223875289</v>
      </c>
      <c r="AA25">
        <v>3.7194421240509254</v>
      </c>
      <c r="AB25">
        <v>32.223689365357941</v>
      </c>
      <c r="AD25">
        <v>3.7595198869974267</v>
      </c>
      <c r="AE25">
        <v>9.1630557322863151</v>
      </c>
      <c r="AF25">
        <v>12.162093569605027</v>
      </c>
      <c r="AG25">
        <v>17.434228110947284</v>
      </c>
      <c r="AH25">
        <v>3.660171741788667</v>
      </c>
      <c r="AI25">
        <v>2.5531306259306383</v>
      </c>
      <c r="AK25">
        <v>55.442503083160304</v>
      </c>
    </row>
    <row r="26" spans="1:37" x14ac:dyDescent="0.2">
      <c r="A26">
        <v>25</v>
      </c>
      <c r="B26">
        <v>738</v>
      </c>
      <c r="C26">
        <v>275</v>
      </c>
      <c r="D26">
        <v>0.28822677149780002</v>
      </c>
      <c r="E26">
        <v>198.0274002602394</v>
      </c>
      <c r="F26">
        <v>44.841743753986322</v>
      </c>
      <c r="G26">
        <v>69.484561588048066</v>
      </c>
      <c r="H26">
        <v>64.841540829119779</v>
      </c>
      <c r="J26">
        <v>49.389246329359565</v>
      </c>
      <c r="L26">
        <v>1.671111905423506</v>
      </c>
      <c r="M26">
        <v>12.005058591833141</v>
      </c>
      <c r="N26">
        <v>2.6140848523954765</v>
      </c>
      <c r="O26">
        <v>5.1718522020348976</v>
      </c>
      <c r="P26">
        <v>7.6758782383979431</v>
      </c>
      <c r="R26">
        <v>7.1370421939228397</v>
      </c>
      <c r="S26">
        <v>31.866144886891817</v>
      </c>
      <c r="U26">
        <v>0.17805880065996532</v>
      </c>
      <c r="V26">
        <v>47.229778599667348</v>
      </c>
      <c r="W26">
        <v>17.685872378728302</v>
      </c>
      <c r="X26">
        <v>44.15811495343528</v>
      </c>
      <c r="Y26">
        <v>3.5820157742160088</v>
      </c>
      <c r="Z26">
        <v>17.756958425019519</v>
      </c>
      <c r="AB26">
        <v>30.417940370344869</v>
      </c>
      <c r="AE26">
        <v>6.416475556063947</v>
      </c>
      <c r="AF26">
        <v>11.657178689607294</v>
      </c>
      <c r="AG26">
        <v>15.598564277721206</v>
      </c>
      <c r="AI26">
        <v>2.5564522322786645</v>
      </c>
      <c r="AK26">
        <v>44.879619577913736</v>
      </c>
    </row>
    <row r="27" spans="1:37" x14ac:dyDescent="0.2">
      <c r="A27">
        <v>26</v>
      </c>
      <c r="B27">
        <v>736</v>
      </c>
      <c r="C27">
        <v>275</v>
      </c>
      <c r="D27">
        <v>0.28667740177377199</v>
      </c>
      <c r="E27">
        <v>198.36885296897663</v>
      </c>
      <c r="F27">
        <v>45.867490076813738</v>
      </c>
      <c r="G27">
        <v>69.440163169456</v>
      </c>
      <c r="H27">
        <v>64.792869564390571</v>
      </c>
      <c r="J27">
        <v>38.447821549056997</v>
      </c>
      <c r="L27">
        <v>1.7045921049618482</v>
      </c>
      <c r="M27">
        <v>11.077220646009575</v>
      </c>
      <c r="N27">
        <v>2.6180601147244489</v>
      </c>
      <c r="O27">
        <v>5.1787426554540961</v>
      </c>
      <c r="P27">
        <v>7.6343451858168345</v>
      </c>
      <c r="R27">
        <v>6.4264515108888514</v>
      </c>
      <c r="S27">
        <v>32.980904661212897</v>
      </c>
      <c r="U27">
        <v>0.12006212556339914</v>
      </c>
      <c r="V27">
        <v>48.520098503417202</v>
      </c>
      <c r="W27">
        <v>16.617477137027024</v>
      </c>
      <c r="X27">
        <v>44.060255080098116</v>
      </c>
      <c r="Y27">
        <v>3.1816543495088641</v>
      </c>
      <c r="Z27">
        <v>18.095509756697179</v>
      </c>
      <c r="AB27">
        <v>31.603956947944905</v>
      </c>
      <c r="AE27">
        <v>6.5957981066646907</v>
      </c>
      <c r="AF27">
        <v>10.727146083778102</v>
      </c>
      <c r="AG27">
        <v>16.75472637472917</v>
      </c>
      <c r="AI27">
        <v>2.5598202158339589</v>
      </c>
      <c r="AK27">
        <v>37.292631721241612</v>
      </c>
    </row>
    <row r="28" spans="1:37" x14ac:dyDescent="0.2">
      <c r="A28">
        <v>27</v>
      </c>
      <c r="B28">
        <v>758</v>
      </c>
      <c r="C28">
        <v>250</v>
      </c>
      <c r="D28">
        <v>0.330059157251614</v>
      </c>
      <c r="E28">
        <v>187.58107272689176</v>
      </c>
      <c r="F28">
        <v>66.746616573146696</v>
      </c>
      <c r="G28">
        <v>72.728255052336692</v>
      </c>
      <c r="H28">
        <v>68.129728507671246</v>
      </c>
      <c r="J28">
        <v>70.112669770045358</v>
      </c>
      <c r="L28">
        <v>8.6868351091045941</v>
      </c>
      <c r="M28">
        <v>13.949725568291099</v>
      </c>
      <c r="N28">
        <v>2.498627053234749</v>
      </c>
      <c r="O28">
        <v>35.513589427258552</v>
      </c>
      <c r="P28">
        <v>13.475515454288235</v>
      </c>
      <c r="Q28">
        <v>0.82883327588794597</v>
      </c>
      <c r="R28">
        <v>18.789471046505732</v>
      </c>
      <c r="S28">
        <v>51.398217843027126</v>
      </c>
      <c r="U28">
        <v>1.708557356420433</v>
      </c>
      <c r="V28">
        <v>48.756532406988583</v>
      </c>
      <c r="W28">
        <v>22.615015816037371</v>
      </c>
      <c r="X28">
        <v>46.982140732615974</v>
      </c>
      <c r="Y28">
        <v>10.407709319350973</v>
      </c>
      <c r="Z28">
        <v>34.118356708680587</v>
      </c>
      <c r="AA28">
        <v>7.8084231400722199</v>
      </c>
      <c r="AB28">
        <v>38.017294692818382</v>
      </c>
      <c r="AC28">
        <v>1.5231196798406892E-2</v>
      </c>
      <c r="AD28">
        <v>9.7520666097699422</v>
      </c>
      <c r="AE28">
        <v>13.934176136405446</v>
      </c>
      <c r="AF28">
        <v>13.625246792324273</v>
      </c>
      <c r="AG28">
        <v>23.529335613133462</v>
      </c>
      <c r="AH28">
        <v>9.7699658824582336</v>
      </c>
      <c r="AI28">
        <v>2.4436700249421639</v>
      </c>
      <c r="AK28">
        <v>58.125903648655054</v>
      </c>
    </row>
    <row r="29" spans="1:37" x14ac:dyDescent="0.2">
      <c r="A29">
        <v>28</v>
      </c>
      <c r="B29">
        <v>756</v>
      </c>
      <c r="C29">
        <v>250</v>
      </c>
      <c r="D29">
        <v>0.32862119224602798</v>
      </c>
      <c r="E29">
        <v>187.36702032221251</v>
      </c>
      <c r="F29">
        <v>66.085203547465767</v>
      </c>
      <c r="G29">
        <v>72.616867939013048</v>
      </c>
      <c r="H29">
        <v>68.013519385342477</v>
      </c>
      <c r="J29">
        <v>69.983543702284408</v>
      </c>
      <c r="L29">
        <v>8.5290438555524499</v>
      </c>
      <c r="M29">
        <v>13.8468135965842</v>
      </c>
      <c r="N29">
        <v>2.4871094252541779</v>
      </c>
      <c r="O29">
        <v>34.766049905455141</v>
      </c>
      <c r="P29">
        <v>13.284174277037071</v>
      </c>
      <c r="Q29">
        <v>0.73018622697634006</v>
      </c>
      <c r="R29">
        <v>18.411933238491574</v>
      </c>
      <c r="S29">
        <v>50.654863043683896</v>
      </c>
      <c r="U29">
        <v>1.5763849665341114</v>
      </c>
      <c r="V29">
        <v>48.588075520403393</v>
      </c>
      <c r="W29">
        <v>22.269001257464932</v>
      </c>
      <c r="X29">
        <v>46.66844037177836</v>
      </c>
      <c r="Y29">
        <v>10.244014136087763</v>
      </c>
      <c r="Z29">
        <v>33.757969535247845</v>
      </c>
      <c r="AA29">
        <v>7.6454764643639068</v>
      </c>
      <c r="AB29">
        <v>37.768558425877316</v>
      </c>
      <c r="AD29">
        <v>9.5514960471722965</v>
      </c>
      <c r="AE29">
        <v>13.769760678252794</v>
      </c>
      <c r="AF29">
        <v>13.504626334050354</v>
      </c>
      <c r="AG29">
        <v>23.235214711401454</v>
      </c>
      <c r="AH29">
        <v>9.5423950190889499</v>
      </c>
      <c r="AI29">
        <v>2.4315812721367811</v>
      </c>
      <c r="AK29">
        <v>58.11289008178202</v>
      </c>
    </row>
    <row r="30" spans="1:37" x14ac:dyDescent="0.2">
      <c r="A30">
        <v>29</v>
      </c>
      <c r="B30">
        <v>754</v>
      </c>
      <c r="C30">
        <v>250</v>
      </c>
      <c r="D30">
        <v>0.32717762741566497</v>
      </c>
      <c r="E30">
        <v>187.11736033764984</v>
      </c>
      <c r="F30">
        <v>65.302370468455507</v>
      </c>
      <c r="G30">
        <v>72.487707790447629</v>
      </c>
      <c r="H30">
        <v>67.879589361370776</v>
      </c>
      <c r="J30">
        <v>69.788761915947205</v>
      </c>
      <c r="L30">
        <v>8.3527929590374121</v>
      </c>
      <c r="M30">
        <v>13.694599826228167</v>
      </c>
      <c r="N30">
        <v>2.4910607664918079</v>
      </c>
      <c r="O30">
        <v>33.972576080029725</v>
      </c>
      <c r="P30">
        <v>13.07278697932902</v>
      </c>
      <c r="Q30">
        <v>0.59453216173526013</v>
      </c>
      <c r="R30">
        <v>17.956028507169492</v>
      </c>
      <c r="S30">
        <v>49.666968122831371</v>
      </c>
      <c r="U30">
        <v>1.4013115061938297</v>
      </c>
      <c r="V30">
        <v>48.340810404522848</v>
      </c>
      <c r="W30">
        <v>21.829931633491828</v>
      </c>
      <c r="X30">
        <v>46.209349131969809</v>
      </c>
      <c r="Y30">
        <v>10.054932408558081</v>
      </c>
      <c r="Z30">
        <v>33.32684826609988</v>
      </c>
      <c r="AA30">
        <v>7.4641681166836209</v>
      </c>
      <c r="AB30">
        <v>37.431251586256856</v>
      </c>
      <c r="AD30">
        <v>9.3051943228042209</v>
      </c>
      <c r="AE30">
        <v>13.577494067172061</v>
      </c>
      <c r="AF30">
        <v>13.35017425740129</v>
      </c>
      <c r="AG30">
        <v>22.868002291612871</v>
      </c>
      <c r="AH30">
        <v>9.2581034840632714</v>
      </c>
      <c r="AI30">
        <v>2.4349581649375631</v>
      </c>
      <c r="AK30">
        <v>58.07620224988753</v>
      </c>
    </row>
    <row r="31" spans="1:37" x14ac:dyDescent="0.2">
      <c r="A31">
        <v>30</v>
      </c>
      <c r="B31">
        <v>752</v>
      </c>
      <c r="C31">
        <v>250</v>
      </c>
      <c r="D31">
        <v>0.32572842998585799</v>
      </c>
      <c r="E31">
        <v>186.8683045989919</v>
      </c>
      <c r="F31">
        <v>64.522231522538604</v>
      </c>
      <c r="G31">
        <v>72.358871317018654</v>
      </c>
      <c r="H31">
        <v>67.746035313005919</v>
      </c>
      <c r="J31">
        <v>69.5963536262866</v>
      </c>
      <c r="L31">
        <v>8.1771288903387678</v>
      </c>
      <c r="M31">
        <v>13.542954840534657</v>
      </c>
      <c r="N31">
        <v>2.4950115905638004</v>
      </c>
      <c r="O31">
        <v>33.181489946776317</v>
      </c>
      <c r="P31">
        <v>12.862077677522992</v>
      </c>
      <c r="Q31">
        <v>0.45944978839888789</v>
      </c>
      <c r="R31">
        <v>17.501528567726698</v>
      </c>
      <c r="S31">
        <v>48.682663639901456</v>
      </c>
      <c r="U31">
        <v>1.2265048929401119</v>
      </c>
      <c r="V31">
        <v>48.094280463711563</v>
      </c>
      <c r="W31">
        <v>21.39195675489173</v>
      </c>
      <c r="X31">
        <v>45.751930436943553</v>
      </c>
      <c r="Y31">
        <v>9.8664557915467643</v>
      </c>
      <c r="Z31">
        <v>32.89685913018829</v>
      </c>
      <c r="AA31">
        <v>7.2835181699272873</v>
      </c>
      <c r="AB31">
        <v>37.095011387339873</v>
      </c>
      <c r="AD31">
        <v>9.0592938655276782</v>
      </c>
      <c r="AE31">
        <v>13.385715428569478</v>
      </c>
      <c r="AF31">
        <v>13.196291704241562</v>
      </c>
      <c r="AG31">
        <v>22.501866128300865</v>
      </c>
      <c r="AH31">
        <v>8.9746549081281923</v>
      </c>
      <c r="AI31">
        <v>2.4383312022489183</v>
      </c>
      <c r="AK31">
        <v>58.040760099225807</v>
      </c>
    </row>
    <row r="32" spans="1:37" x14ac:dyDescent="0.2">
      <c r="A32">
        <v>31</v>
      </c>
      <c r="B32">
        <v>750</v>
      </c>
      <c r="C32">
        <v>250</v>
      </c>
      <c r="D32">
        <v>0.324273566925672</v>
      </c>
      <c r="E32">
        <v>186.61984986769795</v>
      </c>
      <c r="F32">
        <v>63.744773428127537</v>
      </c>
      <c r="G32">
        <v>72.230357287982727</v>
      </c>
      <c r="H32">
        <v>67.612856177026657</v>
      </c>
      <c r="J32">
        <v>69.406315141496435</v>
      </c>
      <c r="L32">
        <v>8.0021616923707146</v>
      </c>
      <c r="M32">
        <v>13.391875041195712</v>
      </c>
      <c r="N32">
        <v>2.4989619018964988</v>
      </c>
      <c r="O32">
        <v>32.392781453950882</v>
      </c>
      <c r="P32">
        <v>12.652044097548815</v>
      </c>
      <c r="Q32">
        <v>0.32480082341352229</v>
      </c>
      <c r="R32">
        <v>17.048424914845629</v>
      </c>
      <c r="S32">
        <v>47.701928337812575</v>
      </c>
      <c r="U32">
        <v>1.0519623702803413</v>
      </c>
      <c r="V32">
        <v>47.848479990974894</v>
      </c>
      <c r="W32">
        <v>20.955069520439956</v>
      </c>
      <c r="X32">
        <v>45.296172791788699</v>
      </c>
      <c r="Y32">
        <v>9.6785813953954598</v>
      </c>
      <c r="Z32">
        <v>32.467994993824057</v>
      </c>
      <c r="AA32">
        <v>7.1035237603119237</v>
      </c>
      <c r="AB32">
        <v>36.759830896484978</v>
      </c>
      <c r="AD32">
        <v>8.8137945106180489</v>
      </c>
      <c r="AE32">
        <v>13.194421388519702</v>
      </c>
      <c r="AF32">
        <v>13.042975125832388</v>
      </c>
      <c r="AG32">
        <v>22.136799341083126</v>
      </c>
      <c r="AH32">
        <v>8.6920469253613106</v>
      </c>
      <c r="AI32">
        <v>2.4417003737822927</v>
      </c>
      <c r="AK32">
        <v>58.006562908095447</v>
      </c>
    </row>
    <row r="33" spans="1:37" x14ac:dyDescent="0.2">
      <c r="A33">
        <v>32</v>
      </c>
      <c r="B33">
        <v>748</v>
      </c>
      <c r="C33">
        <v>250</v>
      </c>
      <c r="D33">
        <v>0.32281300494540499</v>
      </c>
      <c r="E33">
        <v>186.37199297390322</v>
      </c>
      <c r="F33">
        <v>62.969983209981017</v>
      </c>
      <c r="G33">
        <v>72.102164508164421</v>
      </c>
      <c r="H33">
        <v>67.480050926435766</v>
      </c>
      <c r="J33">
        <v>69.218642908686618</v>
      </c>
      <c r="L33">
        <v>7.8277811590640507</v>
      </c>
      <c r="M33">
        <v>13.241356893199082</v>
      </c>
      <c r="N33">
        <v>2.5029117048048364</v>
      </c>
      <c r="O33">
        <v>31.606440790631073</v>
      </c>
      <c r="P33">
        <v>12.442684037387862</v>
      </c>
      <c r="Q33">
        <v>0.19065126703734039</v>
      </c>
      <c r="R33">
        <v>16.59670922044004</v>
      </c>
      <c r="S33">
        <v>46.72474134402276</v>
      </c>
      <c r="U33">
        <v>0.87768124933411396</v>
      </c>
      <c r="V33">
        <v>47.603403260841411</v>
      </c>
      <c r="W33">
        <v>20.519262957806529</v>
      </c>
      <c r="X33">
        <v>44.842064894776335</v>
      </c>
      <c r="Y33">
        <v>9.4913064078933633</v>
      </c>
      <c r="Z33">
        <v>32.040248861464484</v>
      </c>
      <c r="AA33">
        <v>6.9241821037647027</v>
      </c>
      <c r="AB33">
        <v>36.425703304753718</v>
      </c>
      <c r="AD33">
        <v>8.568696127730755</v>
      </c>
      <c r="AE33">
        <v>13.003608633863516</v>
      </c>
      <c r="AF33">
        <v>12.890221036820108</v>
      </c>
      <c r="AG33">
        <v>21.7727951734784</v>
      </c>
      <c r="AH33">
        <v>8.4102772608260707</v>
      </c>
      <c r="AI33">
        <v>2.4450656691343475</v>
      </c>
      <c r="AK33">
        <v>57.973610024612533</v>
      </c>
    </row>
    <row r="34" spans="1:37" x14ac:dyDescent="0.2">
      <c r="A34">
        <v>33</v>
      </c>
      <c r="B34">
        <v>746</v>
      </c>
      <c r="C34">
        <v>250</v>
      </c>
      <c r="D34">
        <v>0.32134671049404001</v>
      </c>
      <c r="E34">
        <v>186.12473081466803</v>
      </c>
      <c r="F34">
        <v>62.197848192040475</v>
      </c>
      <c r="G34">
        <v>71.974291817122065</v>
      </c>
      <c r="H34">
        <v>67.347618569627798</v>
      </c>
      <c r="J34">
        <v>69.033333510444706</v>
      </c>
      <c r="L34">
        <v>7.6540887438082974</v>
      </c>
      <c r="M34">
        <v>13.091396922798879</v>
      </c>
      <c r="N34">
        <v>2.5068610037490342</v>
      </c>
      <c r="O34">
        <v>30.822458382083386</v>
      </c>
      <c r="P34">
        <v>12.233995365660222</v>
      </c>
      <c r="Q34">
        <v>5.70602243835674E-2</v>
      </c>
      <c r="R34">
        <v>16.146373329585696</v>
      </c>
      <c r="S34">
        <v>45.751082159578068</v>
      </c>
      <c r="U34">
        <v>0.70365890705321676</v>
      </c>
      <c r="V34">
        <v>47.359044519412613</v>
      </c>
      <c r="W34">
        <v>20.08453021954146</v>
      </c>
      <c r="X34">
        <v>44.389595631267881</v>
      </c>
      <c r="Y34">
        <v>9.3046280928539371</v>
      </c>
      <c r="Z34">
        <v>31.613613872142743</v>
      </c>
      <c r="AA34">
        <v>6.7455705039382883</v>
      </c>
      <c r="AB34">
        <v>36.092621923024844</v>
      </c>
      <c r="AD34">
        <v>8.3239986203444083</v>
      </c>
      <c r="AE34">
        <v>12.81327391054063</v>
      </c>
      <c r="AF34">
        <v>12.738026013469455</v>
      </c>
      <c r="AG34">
        <v>21.409846989274349</v>
      </c>
      <c r="AH34">
        <v>8.1293437283199079</v>
      </c>
      <c r="AI34">
        <v>2.448427078044586</v>
      </c>
      <c r="AK34">
        <v>57.941900865142372</v>
      </c>
    </row>
    <row r="35" spans="1:37" x14ac:dyDescent="0.2">
      <c r="A35">
        <v>34</v>
      </c>
      <c r="B35">
        <v>744</v>
      </c>
      <c r="C35">
        <v>250</v>
      </c>
      <c r="D35">
        <v>0.31987464975667701</v>
      </c>
      <c r="E35">
        <v>184.49647467413419</v>
      </c>
      <c r="F35">
        <v>51.314463501224424</v>
      </c>
      <c r="G35">
        <v>70.387267434323419</v>
      </c>
      <c r="H35">
        <v>65.756087495568892</v>
      </c>
      <c r="J35">
        <v>64.50819502973836</v>
      </c>
      <c r="L35">
        <v>4.7206720249500611</v>
      </c>
      <c r="M35">
        <v>12.938654643175239</v>
      </c>
      <c r="N35">
        <v>2.5107353979777067</v>
      </c>
      <c r="O35">
        <v>19.815305084347777</v>
      </c>
      <c r="P35">
        <v>9.106960306625508</v>
      </c>
      <c r="R35">
        <v>11.836822231366325</v>
      </c>
      <c r="S35">
        <v>39.465413956121672</v>
      </c>
      <c r="U35">
        <v>0.60603964918128628</v>
      </c>
      <c r="V35">
        <v>46.879543142337305</v>
      </c>
      <c r="W35">
        <v>19.722890510267757</v>
      </c>
      <c r="X35">
        <v>44.171172807618348</v>
      </c>
      <c r="Y35">
        <v>6.1845783808855623</v>
      </c>
      <c r="Z35">
        <v>24.178061333486053</v>
      </c>
      <c r="AA35">
        <v>3.7517022858600977</v>
      </c>
      <c r="AB35">
        <v>33.016581650046476</v>
      </c>
      <c r="AD35">
        <v>4.0345985273241913</v>
      </c>
      <c r="AE35">
        <v>9.6512536622199807</v>
      </c>
      <c r="AF35">
        <v>12.582975213964364</v>
      </c>
      <c r="AG35">
        <v>18.303875335227794</v>
      </c>
      <c r="AH35">
        <v>3.3425706881885251</v>
      </c>
      <c r="AI35">
        <v>2.4517101850391585</v>
      </c>
      <c r="AK35">
        <v>54.940613349452768</v>
      </c>
    </row>
    <row r="36" spans="1:37" x14ac:dyDescent="0.2">
      <c r="A36">
        <v>35</v>
      </c>
      <c r="B36">
        <v>742</v>
      </c>
      <c r="C36">
        <v>250</v>
      </c>
      <c r="D36">
        <v>0.318396788651924</v>
      </c>
      <c r="E36">
        <v>184.01455997644939</v>
      </c>
      <c r="F36">
        <v>45.501283447844337</v>
      </c>
      <c r="G36">
        <v>69.749609684390734</v>
      </c>
      <c r="H36">
        <v>65.113976199047414</v>
      </c>
      <c r="J36">
        <v>49.047374450598319</v>
      </c>
      <c r="L36">
        <v>1.6435376775580661</v>
      </c>
      <c r="M36">
        <v>12.454519776900575</v>
      </c>
      <c r="N36">
        <v>2.5146760488693256</v>
      </c>
      <c r="O36">
        <v>5.4484517388553027</v>
      </c>
      <c r="P36">
        <v>7.8787568580270557</v>
      </c>
      <c r="R36">
        <v>7.9272359871344573</v>
      </c>
      <c r="S36">
        <v>32.616811508206453</v>
      </c>
      <c r="U36">
        <v>0.5396869258557766</v>
      </c>
      <c r="V36">
        <v>47.124979494389933</v>
      </c>
      <c r="W36">
        <v>19.100899352347021</v>
      </c>
      <c r="X36">
        <v>44.050385617665462</v>
      </c>
      <c r="Y36">
        <v>3.5527515722479022</v>
      </c>
      <c r="Z36">
        <v>17.631802138142469</v>
      </c>
      <c r="AB36">
        <v>30.399564240227299</v>
      </c>
      <c r="AE36">
        <v>6.41849379445416</v>
      </c>
      <c r="AF36">
        <v>12.096599568219045</v>
      </c>
      <c r="AG36">
        <v>15.657003176200762</v>
      </c>
      <c r="AI36">
        <v>2.4550561367737251</v>
      </c>
      <c r="AK36">
        <v>44.472120344266479</v>
      </c>
    </row>
    <row r="37" spans="1:37" x14ac:dyDescent="0.2">
      <c r="A37">
        <v>36</v>
      </c>
      <c r="B37">
        <v>740</v>
      </c>
      <c r="C37">
        <v>250</v>
      </c>
      <c r="D37">
        <v>0.31691309282929903</v>
      </c>
      <c r="E37">
        <v>184.36772418280799</v>
      </c>
      <c r="F37">
        <v>46.557595940804241</v>
      </c>
      <c r="G37">
        <v>69.704839214370267</v>
      </c>
      <c r="H37">
        <v>65.06480549794496</v>
      </c>
      <c r="J37">
        <v>38.183425364840048</v>
      </c>
      <c r="L37">
        <v>1.6756866765413252</v>
      </c>
      <c r="M37">
        <v>11.521714738743881</v>
      </c>
      <c r="N37">
        <v>2.5186545592302476</v>
      </c>
      <c r="O37">
        <v>5.4449109497266024</v>
      </c>
      <c r="P37">
        <v>7.8363981049323943</v>
      </c>
      <c r="R37">
        <v>7.1961161461098495</v>
      </c>
      <c r="S37">
        <v>33.591709498807447</v>
      </c>
      <c r="U37">
        <v>0.49076596726652288</v>
      </c>
      <c r="V37">
        <v>48.375812973615993</v>
      </c>
      <c r="W37">
        <v>18.01958560283116</v>
      </c>
      <c r="X37">
        <v>43.980396701059775</v>
      </c>
      <c r="Y37">
        <v>3.1345727625163931</v>
      </c>
      <c r="Z37">
        <v>17.985183643564518</v>
      </c>
      <c r="AB37">
        <v>31.523997349212724</v>
      </c>
      <c r="AE37">
        <v>6.6063018853760003</v>
      </c>
      <c r="AF37">
        <v>11.161593139976373</v>
      </c>
      <c r="AG37">
        <v>16.75162982003074</v>
      </c>
      <c r="AI37">
        <v>2.458436521329733</v>
      </c>
      <c r="AK37">
        <v>36.961094229577313</v>
      </c>
    </row>
    <row r="38" spans="1:37" x14ac:dyDescent="0.2">
      <c r="A38">
        <v>37</v>
      </c>
      <c r="B38">
        <v>758</v>
      </c>
      <c r="C38">
        <v>225</v>
      </c>
      <c r="D38">
        <v>0.356728410027642</v>
      </c>
      <c r="E38">
        <v>172.98800731751035</v>
      </c>
      <c r="F38">
        <v>66.231508337893899</v>
      </c>
      <c r="G38">
        <v>72.730961014065272</v>
      </c>
      <c r="H38">
        <v>68.131288220853378</v>
      </c>
      <c r="J38">
        <v>69.655060519953892</v>
      </c>
      <c r="L38">
        <v>8.5799791291797174</v>
      </c>
      <c r="M38">
        <v>13.926339604443241</v>
      </c>
      <c r="N38">
        <v>2.4056996399802633</v>
      </c>
      <c r="O38">
        <v>35.641724189663051</v>
      </c>
      <c r="P38">
        <v>13.246825855747201</v>
      </c>
      <c r="Q38">
        <v>0.56001206843404272</v>
      </c>
      <c r="R38">
        <v>18.818103823566762</v>
      </c>
      <c r="S38">
        <v>50.953990825322542</v>
      </c>
      <c r="U38">
        <v>1.603808061415452</v>
      </c>
      <c r="V38">
        <v>48.221171412233105</v>
      </c>
      <c r="W38">
        <v>23.203436996598089</v>
      </c>
      <c r="X38">
        <v>45.471543518963458</v>
      </c>
      <c r="Y38">
        <v>10.201158173204536</v>
      </c>
      <c r="Z38">
        <v>34.089260556555615</v>
      </c>
      <c r="AA38">
        <v>7.729656409036739</v>
      </c>
      <c r="AB38">
        <v>38.044717384325182</v>
      </c>
      <c r="AC38">
        <v>1.387717790999563E-2</v>
      </c>
      <c r="AD38">
        <v>9.7250347712993452</v>
      </c>
      <c r="AE38">
        <v>14.116706639729795</v>
      </c>
      <c r="AF38">
        <v>13.58602251178624</v>
      </c>
      <c r="AG38">
        <v>23.571815344584714</v>
      </c>
      <c r="AH38">
        <v>9.279797730515682</v>
      </c>
      <c r="AI38">
        <v>2.3475926461185339</v>
      </c>
      <c r="AK38">
        <v>57.750356097574461</v>
      </c>
    </row>
    <row r="39" spans="1:37" x14ac:dyDescent="0.2">
      <c r="A39">
        <v>38</v>
      </c>
      <c r="B39">
        <v>756</v>
      </c>
      <c r="C39">
        <v>225</v>
      </c>
      <c r="D39">
        <v>0.35534227274935698</v>
      </c>
      <c r="E39">
        <v>172.77224649375984</v>
      </c>
      <c r="F39">
        <v>65.564479542180578</v>
      </c>
      <c r="G39">
        <v>72.61843843211534</v>
      </c>
      <c r="H39">
        <v>68.01392329646248</v>
      </c>
      <c r="J39">
        <v>69.52093583995179</v>
      </c>
      <c r="L39">
        <v>8.4216167965813842</v>
      </c>
      <c r="M39">
        <v>13.820687802520649</v>
      </c>
      <c r="N39">
        <v>2.3955525824224249</v>
      </c>
      <c r="O39">
        <v>34.891380482882148</v>
      </c>
      <c r="P39">
        <v>13.054564813606801</v>
      </c>
      <c r="Q39">
        <v>0.37232717507917962</v>
      </c>
      <c r="R39">
        <v>18.436832325481411</v>
      </c>
      <c r="S39">
        <v>50.195128032228446</v>
      </c>
      <c r="U39">
        <v>1.4685221523563829</v>
      </c>
      <c r="V39">
        <v>48.048624639410448</v>
      </c>
      <c r="W39">
        <v>22.850803507285249</v>
      </c>
      <c r="X39">
        <v>45.15091032643339</v>
      </c>
      <c r="Y39">
        <v>10.0360023090296</v>
      </c>
      <c r="Z39">
        <v>33.72575796767579</v>
      </c>
      <c r="AA39">
        <v>7.5662039786530073</v>
      </c>
      <c r="AB39">
        <v>37.790737524183776</v>
      </c>
      <c r="AD39">
        <v>9.5225918775569003</v>
      </c>
      <c r="AE39">
        <v>13.95093133009866</v>
      </c>
      <c r="AF39">
        <v>13.464025773406181</v>
      </c>
      <c r="AG39">
        <v>23.273887186090068</v>
      </c>
      <c r="AH39">
        <v>9.0485108767016964</v>
      </c>
      <c r="AI39">
        <v>2.3368767192373423</v>
      </c>
      <c r="AK39">
        <v>57.73609125887149</v>
      </c>
    </row>
    <row r="40" spans="1:37" x14ac:dyDescent="0.2">
      <c r="A40">
        <v>39</v>
      </c>
      <c r="B40">
        <v>754</v>
      </c>
      <c r="C40">
        <v>225</v>
      </c>
      <c r="D40">
        <v>0.35395073747748601</v>
      </c>
      <c r="E40">
        <v>172.52377129770656</v>
      </c>
      <c r="F40">
        <v>64.787271436580369</v>
      </c>
      <c r="G40">
        <v>72.489735236657182</v>
      </c>
      <c r="H40">
        <v>67.880429901633747</v>
      </c>
      <c r="J40">
        <v>69.326402805843401</v>
      </c>
      <c r="L40">
        <v>8.2465399224585809</v>
      </c>
      <c r="M40">
        <v>13.670219499259087</v>
      </c>
      <c r="N40">
        <v>2.3995086161438643</v>
      </c>
      <c r="O40">
        <v>34.100114577295088</v>
      </c>
      <c r="P40">
        <v>12.844076604090784</v>
      </c>
      <c r="Q40">
        <v>0.32285654898604682</v>
      </c>
      <c r="R40">
        <v>17.984349117369778</v>
      </c>
      <c r="S40">
        <v>49.214036223526278</v>
      </c>
      <c r="U40">
        <v>1.2938878174984791</v>
      </c>
      <c r="V40">
        <v>47.803954045535392</v>
      </c>
      <c r="W40">
        <v>22.413809335972651</v>
      </c>
      <c r="X40">
        <v>44.697128551369445</v>
      </c>
      <c r="Y40">
        <v>9.8478346801560708</v>
      </c>
      <c r="Z40">
        <v>33.299564413515029</v>
      </c>
      <c r="AA40">
        <v>7.3862930563284097</v>
      </c>
      <c r="AB40">
        <v>37.457087410371827</v>
      </c>
      <c r="AD40">
        <v>9.2792985101613414</v>
      </c>
      <c r="AE40">
        <v>13.760713652280865</v>
      </c>
      <c r="AF40">
        <v>13.311316860158145</v>
      </c>
      <c r="AG40">
        <v>22.910401950609014</v>
      </c>
      <c r="AH40">
        <v>8.7658083900666295</v>
      </c>
      <c r="AI40">
        <v>2.3402605600233923</v>
      </c>
      <c r="AK40">
        <v>57.699818869409278</v>
      </c>
    </row>
    <row r="41" spans="1:37" x14ac:dyDescent="0.2">
      <c r="A41">
        <v>40</v>
      </c>
      <c r="B41">
        <v>752</v>
      </c>
      <c r="C41">
        <v>225</v>
      </c>
      <c r="D41">
        <v>0.35255377261864101</v>
      </c>
      <c r="E41">
        <v>172.27587317250905</v>
      </c>
      <c r="F41">
        <v>64.012664626987089</v>
      </c>
      <c r="G41">
        <v>72.36134445348371</v>
      </c>
      <c r="H41">
        <v>67.747301229031635</v>
      </c>
      <c r="J41">
        <v>69.134184964304012</v>
      </c>
      <c r="L41">
        <v>8.0721402131900017</v>
      </c>
      <c r="M41">
        <v>13.520300027938854</v>
      </c>
      <c r="N41">
        <v>2.4034641366821186</v>
      </c>
      <c r="O41">
        <v>33.31116406429873</v>
      </c>
      <c r="P41">
        <v>12.634243856331977</v>
      </c>
      <c r="Q41">
        <v>8.5337010515670567E-2</v>
      </c>
      <c r="R41">
        <v>17.533217132956086</v>
      </c>
      <c r="S41">
        <v>48.236403308927464</v>
      </c>
      <c r="U41">
        <v>1.1194880620102896</v>
      </c>
      <c r="V41">
        <v>47.559984362173324</v>
      </c>
      <c r="W41">
        <v>21.977878198492693</v>
      </c>
      <c r="X41">
        <v>44.24494263894573</v>
      </c>
      <c r="Y41">
        <v>9.6602483140763127</v>
      </c>
      <c r="Z41">
        <v>32.874485103260298</v>
      </c>
      <c r="AA41">
        <v>7.2069383761256391</v>
      </c>
      <c r="AB41">
        <v>37.124479045451224</v>
      </c>
      <c r="AD41">
        <v>9.0363846976679838</v>
      </c>
      <c r="AE41">
        <v>13.570979206329453</v>
      </c>
      <c r="AF41">
        <v>13.159157545798836</v>
      </c>
      <c r="AG41">
        <v>22.547968083774052</v>
      </c>
      <c r="AH41">
        <v>8.4839187998845613</v>
      </c>
      <c r="AI41">
        <v>2.3436405493025836</v>
      </c>
      <c r="AK41">
        <v>57.664759065635629</v>
      </c>
    </row>
    <row r="42" spans="1:37" x14ac:dyDescent="0.2">
      <c r="A42">
        <v>41</v>
      </c>
      <c r="B42">
        <v>750</v>
      </c>
      <c r="C42">
        <v>225</v>
      </c>
      <c r="D42">
        <v>0.35115134633240402</v>
      </c>
      <c r="E42">
        <v>171.93724490587567</v>
      </c>
      <c r="F42">
        <v>62.638627215265203</v>
      </c>
      <c r="G42">
        <v>72.129391794065953</v>
      </c>
      <c r="H42">
        <v>67.510663157650285</v>
      </c>
      <c r="J42">
        <v>68.829320705709961</v>
      </c>
      <c r="L42">
        <v>7.7254902413995987</v>
      </c>
      <c r="M42">
        <v>13.452002164742503</v>
      </c>
      <c r="N42">
        <v>2.4074127528398597</v>
      </c>
      <c r="O42">
        <v>31.841506372769427</v>
      </c>
      <c r="P42">
        <v>12.217311785094651</v>
      </c>
      <c r="R42">
        <v>16.961921038297159</v>
      </c>
      <c r="S42">
        <v>47.408271182148496</v>
      </c>
      <c r="U42">
        <v>0.99756536869399215</v>
      </c>
      <c r="V42">
        <v>47.469348914967561</v>
      </c>
      <c r="W42">
        <v>21.537823086676656</v>
      </c>
      <c r="X42">
        <v>43.956055887301694</v>
      </c>
      <c r="Y42">
        <v>9.2697320809081365</v>
      </c>
      <c r="Z42">
        <v>32.132424720741497</v>
      </c>
      <c r="AA42">
        <v>6.8458219582476234</v>
      </c>
      <c r="AB42">
        <v>36.888299544523548</v>
      </c>
      <c r="AD42">
        <v>8.5991823247622285</v>
      </c>
      <c r="AE42">
        <v>13.273945913874318</v>
      </c>
      <c r="AF42">
        <v>13.088614260455037</v>
      </c>
      <c r="AG42">
        <v>22.281966357324119</v>
      </c>
      <c r="AH42">
        <v>7.9100771692551524</v>
      </c>
      <c r="AI42">
        <v>2.3470102811624596</v>
      </c>
      <c r="AK42">
        <v>57.486550374640281</v>
      </c>
    </row>
    <row r="43" spans="1:37" x14ac:dyDescent="0.2">
      <c r="A43">
        <v>42</v>
      </c>
      <c r="B43">
        <v>748</v>
      </c>
      <c r="C43">
        <v>225</v>
      </c>
      <c r="D43">
        <v>0.34974342652891699</v>
      </c>
      <c r="E43">
        <v>170.06259766679318</v>
      </c>
      <c r="F43">
        <v>49.882468674641942</v>
      </c>
      <c r="G43">
        <v>70.247720586515101</v>
      </c>
      <c r="H43">
        <v>65.624359183777656</v>
      </c>
      <c r="J43">
        <v>63.451426553767696</v>
      </c>
      <c r="L43">
        <v>4.2326858235390645</v>
      </c>
      <c r="M43">
        <v>13.355150101520177</v>
      </c>
      <c r="N43">
        <v>2.4112778948234594</v>
      </c>
      <c r="O43">
        <v>18.826026384244276</v>
      </c>
      <c r="P43">
        <v>8.5008906608506685</v>
      </c>
      <c r="R43">
        <v>11.878365855781601</v>
      </c>
      <c r="S43">
        <v>39.975355727460943</v>
      </c>
      <c r="U43">
        <v>0.97482776286302864</v>
      </c>
      <c r="V43">
        <v>46.895027755725593</v>
      </c>
      <c r="W43">
        <v>21.186010037463802</v>
      </c>
      <c r="X43">
        <v>43.964428173791376</v>
      </c>
      <c r="Y43">
        <v>5.5615992654952562</v>
      </c>
      <c r="Z43">
        <v>23.490964233135905</v>
      </c>
      <c r="AA43">
        <v>3.2950206722245783</v>
      </c>
      <c r="AB43">
        <v>33.253931823177808</v>
      </c>
      <c r="AD43">
        <v>3.5924032207371046</v>
      </c>
      <c r="AE43">
        <v>9.6161238108762888</v>
      </c>
      <c r="AF43">
        <v>12.989434671528079</v>
      </c>
      <c r="AG43">
        <v>18.617703165194801</v>
      </c>
      <c r="AH43">
        <v>2.2398318085429825</v>
      </c>
      <c r="AI43">
        <v>2.3502931710913511</v>
      </c>
      <c r="AK43">
        <v>53.938672241323772</v>
      </c>
    </row>
    <row r="44" spans="1:37" x14ac:dyDescent="0.2">
      <c r="A44">
        <v>43</v>
      </c>
      <c r="B44">
        <v>746</v>
      </c>
      <c r="C44">
        <v>225</v>
      </c>
      <c r="D44">
        <v>0.34832998086640898</v>
      </c>
      <c r="E44">
        <v>170.05775116859087</v>
      </c>
      <c r="F44">
        <v>46.301488132059248</v>
      </c>
      <c r="G44">
        <v>70.014955416635587</v>
      </c>
      <c r="H44">
        <v>65.38701406205395</v>
      </c>
      <c r="J44">
        <v>46.949476600279596</v>
      </c>
      <c r="L44">
        <v>1.6183564745566072</v>
      </c>
      <c r="M44">
        <v>12.801216763935104</v>
      </c>
      <c r="N44">
        <v>2.4152486504796999</v>
      </c>
      <c r="O44">
        <v>5.8175494252227384</v>
      </c>
      <c r="P44">
        <v>8.0824189281215837</v>
      </c>
      <c r="R44">
        <v>8.6344114185324905</v>
      </c>
      <c r="S44">
        <v>33.510278261187366</v>
      </c>
      <c r="U44">
        <v>0.94485874455894137</v>
      </c>
      <c r="V44">
        <v>47.149871102412227</v>
      </c>
      <c r="W44">
        <v>20.468688492297723</v>
      </c>
      <c r="X44">
        <v>43.950247308274896</v>
      </c>
      <c r="Y44">
        <v>3.4700529936446753</v>
      </c>
      <c r="Z44">
        <v>17.555424811808994</v>
      </c>
      <c r="AB44">
        <v>30.495819626171219</v>
      </c>
      <c r="AE44">
        <v>6.4469204082375065</v>
      </c>
      <c r="AF44">
        <v>12.433280838077323</v>
      </c>
      <c r="AG44">
        <v>15.829811388440747</v>
      </c>
      <c r="AI44">
        <v>2.3536782922149739</v>
      </c>
      <c r="AK44">
        <v>42.845366150188433</v>
      </c>
    </row>
    <row r="45" spans="1:37" x14ac:dyDescent="0.2">
      <c r="A45">
        <v>44</v>
      </c>
      <c r="B45">
        <v>744</v>
      </c>
      <c r="C45">
        <v>225</v>
      </c>
      <c r="D45">
        <v>0.34691097674876298</v>
      </c>
      <c r="E45">
        <v>170.40822547703985</v>
      </c>
      <c r="F45">
        <v>47.350216652306635</v>
      </c>
      <c r="G45">
        <v>69.970242760909002</v>
      </c>
      <c r="H45">
        <v>65.337774438461508</v>
      </c>
      <c r="J45">
        <v>37.438178442421894</v>
      </c>
      <c r="L45">
        <v>1.6482328696969417</v>
      </c>
      <c r="M45">
        <v>11.890362796172079</v>
      </c>
      <c r="N45">
        <v>2.4192300160545628</v>
      </c>
      <c r="O45">
        <v>5.7992585091518576</v>
      </c>
      <c r="P45">
        <v>8.0400947222229266</v>
      </c>
      <c r="R45">
        <v>7.9049047932592318</v>
      </c>
      <c r="S45">
        <v>34.336772636576164</v>
      </c>
      <c r="U45">
        <v>0.90352018576180071</v>
      </c>
      <c r="V45">
        <v>48.330266749010065</v>
      </c>
      <c r="W45">
        <v>19.401562339664093</v>
      </c>
      <c r="X45">
        <v>43.904168458060525</v>
      </c>
      <c r="Y45">
        <v>3.0520139524089447</v>
      </c>
      <c r="Z45">
        <v>17.904686009321807</v>
      </c>
      <c r="AB45">
        <v>31.532369803257129</v>
      </c>
      <c r="AE45">
        <v>6.6325769591988202</v>
      </c>
      <c r="AF45">
        <v>11.520218446288615</v>
      </c>
      <c r="AG45">
        <v>16.836602921819626</v>
      </c>
      <c r="AI45">
        <v>2.3570706260574288</v>
      </c>
      <c r="AK45">
        <v>36.265747496742947</v>
      </c>
    </row>
    <row r="46" spans="1:37" x14ac:dyDescent="0.2">
      <c r="A46">
        <v>45</v>
      </c>
      <c r="B46">
        <v>758</v>
      </c>
      <c r="C46">
        <v>200</v>
      </c>
      <c r="D46">
        <v>0.383397662803666</v>
      </c>
      <c r="E46">
        <v>158.37763474823677</v>
      </c>
      <c r="F46">
        <v>65.667387071027562</v>
      </c>
      <c r="G46">
        <v>72.730208244408416</v>
      </c>
      <c r="H46">
        <v>68.12939977417787</v>
      </c>
      <c r="J46">
        <v>69.198906972319435</v>
      </c>
      <c r="L46">
        <v>8.4590808077190953</v>
      </c>
      <c r="M46">
        <v>13.896131126062318</v>
      </c>
      <c r="N46">
        <v>2.3090688527298191</v>
      </c>
      <c r="O46">
        <v>35.784422053966438</v>
      </c>
      <c r="P46">
        <v>13.007513868257943</v>
      </c>
      <c r="Q46">
        <v>5.9042835366519983E-2</v>
      </c>
      <c r="R46">
        <v>18.818829856051867</v>
      </c>
      <c r="S46">
        <v>50.510371414328318</v>
      </c>
      <c r="U46">
        <v>1.5296483576599442</v>
      </c>
      <c r="V46">
        <v>47.661596311249454</v>
      </c>
      <c r="W46">
        <v>23.836696327880549</v>
      </c>
      <c r="X46">
        <v>43.909658389735384</v>
      </c>
      <c r="Y46">
        <v>9.9840289408776375</v>
      </c>
      <c r="Z46">
        <v>34.052007014110217</v>
      </c>
      <c r="AA46">
        <v>7.6375846737026007</v>
      </c>
      <c r="AB46">
        <v>38.069490122535342</v>
      </c>
      <c r="AC46">
        <v>8.8203180052367006E-3</v>
      </c>
      <c r="AD46">
        <v>9.6923441220212538</v>
      </c>
      <c r="AE46">
        <v>14.302093490007572</v>
      </c>
      <c r="AF46">
        <v>13.536282552034754</v>
      </c>
      <c r="AG46">
        <v>23.607919978915085</v>
      </c>
      <c r="AH46">
        <v>8.7772267928538721</v>
      </c>
      <c r="AI46">
        <v>2.2478716204507072</v>
      </c>
      <c r="AK46">
        <v>57.356406799959139</v>
      </c>
    </row>
    <row r="47" spans="1:37" x14ac:dyDescent="0.2">
      <c r="A47">
        <v>46</v>
      </c>
      <c r="B47">
        <v>756</v>
      </c>
      <c r="C47">
        <v>200</v>
      </c>
      <c r="D47">
        <v>0.38206335325268598</v>
      </c>
      <c r="E47">
        <v>158.0584093677283</v>
      </c>
      <c r="F47">
        <v>64.34514745039111</v>
      </c>
      <c r="G47">
        <v>72.504868565467021</v>
      </c>
      <c r="H47">
        <v>67.899197419360121</v>
      </c>
      <c r="J47">
        <v>68.930736203923246</v>
      </c>
      <c r="L47">
        <v>8.1170656508301438</v>
      </c>
      <c r="M47">
        <v>13.862152421640999</v>
      </c>
      <c r="N47">
        <v>2.3039893852372813</v>
      </c>
      <c r="O47">
        <v>34.312433794642004</v>
      </c>
      <c r="P47">
        <v>12.594666828474603</v>
      </c>
      <c r="R47">
        <v>18.292000243464742</v>
      </c>
      <c r="S47">
        <v>49.84148821936693</v>
      </c>
      <c r="U47">
        <v>1.4371859308788046</v>
      </c>
      <c r="V47">
        <v>47.628458378630015</v>
      </c>
      <c r="W47">
        <v>23.448842112673564</v>
      </c>
      <c r="X47">
        <v>43.721762926557545</v>
      </c>
      <c r="Y47">
        <v>9.6008049335862733</v>
      </c>
      <c r="Z47">
        <v>33.339239732026456</v>
      </c>
      <c r="AA47">
        <v>7.2807072687710246</v>
      </c>
      <c r="AB47">
        <v>37.891943931388738</v>
      </c>
      <c r="AD47">
        <v>9.2762594669298846</v>
      </c>
      <c r="AE47">
        <v>14.016526395188533</v>
      </c>
      <c r="AF47">
        <v>13.491019480906818</v>
      </c>
      <c r="AG47">
        <v>23.391558845495176</v>
      </c>
      <c r="AH47">
        <v>8.2266495654012992</v>
      </c>
      <c r="AI47">
        <v>2.242225539136391</v>
      </c>
      <c r="AK47">
        <v>57.188291280836914</v>
      </c>
    </row>
    <row r="48" spans="1:37" x14ac:dyDescent="0.2">
      <c r="A48">
        <v>47</v>
      </c>
      <c r="B48">
        <v>754</v>
      </c>
      <c r="C48">
        <v>200</v>
      </c>
      <c r="D48">
        <v>0.38072384753930699</v>
      </c>
      <c r="E48">
        <v>157.30417813031914</v>
      </c>
      <c r="F48">
        <v>59.936908728816462</v>
      </c>
      <c r="G48">
        <v>71.806825113622921</v>
      </c>
      <c r="H48">
        <v>67.196343444181593</v>
      </c>
      <c r="J48">
        <v>67.396806999666211</v>
      </c>
      <c r="L48">
        <v>6.9083226934523516</v>
      </c>
      <c r="M48">
        <v>13.89321330193437</v>
      </c>
      <c r="N48">
        <v>2.3079195976184503</v>
      </c>
      <c r="O48">
        <v>29.642178066193168</v>
      </c>
      <c r="P48">
        <v>11.245452878583155</v>
      </c>
      <c r="R48">
        <v>16.607138645355317</v>
      </c>
      <c r="S48">
        <v>47.608479757727117</v>
      </c>
      <c r="U48">
        <v>1.4134136141359084</v>
      </c>
      <c r="V48">
        <v>47.540273209041771</v>
      </c>
      <c r="W48">
        <v>23.021224971559423</v>
      </c>
      <c r="X48">
        <v>43.734151775111499</v>
      </c>
      <c r="Y48">
        <v>8.2803910311715363</v>
      </c>
      <c r="Z48">
        <v>30.633209743393625</v>
      </c>
      <c r="AA48">
        <v>6.0426600879347534</v>
      </c>
      <c r="AB48">
        <v>36.967421210397106</v>
      </c>
      <c r="AD48">
        <v>7.6911805984945083</v>
      </c>
      <c r="AE48">
        <v>12.915036377106334</v>
      </c>
      <c r="AF48">
        <v>13.519806933697469</v>
      </c>
      <c r="AG48">
        <v>22.437240947509487</v>
      </c>
      <c r="AH48">
        <v>6.2625123831863077</v>
      </c>
      <c r="AI48">
        <v>2.2455858140836296</v>
      </c>
      <c r="AK48">
        <v>56.153216964975122</v>
      </c>
    </row>
    <row r="49" spans="1:37" x14ac:dyDescent="0.2">
      <c r="A49">
        <v>48</v>
      </c>
      <c r="B49">
        <v>752</v>
      </c>
      <c r="C49">
        <v>200</v>
      </c>
      <c r="D49">
        <v>0.37937911525142798</v>
      </c>
      <c r="E49">
        <v>155.31480013822568</v>
      </c>
      <c r="F49">
        <v>46.115526916521283</v>
      </c>
      <c r="G49">
        <v>69.766351424239048</v>
      </c>
      <c r="H49">
        <v>65.151111550876337</v>
      </c>
      <c r="J49">
        <v>61.347044608921131</v>
      </c>
      <c r="L49">
        <v>3.077636336859956</v>
      </c>
      <c r="M49">
        <v>13.752405537316873</v>
      </c>
      <c r="N49">
        <v>2.3117825223481474</v>
      </c>
      <c r="O49">
        <v>15.509703006418231</v>
      </c>
      <c r="P49">
        <v>7.2113423038221161</v>
      </c>
      <c r="R49">
        <v>10.926892289728521</v>
      </c>
      <c r="S49">
        <v>38.998341981793168</v>
      </c>
      <c r="U49">
        <v>1.4123332120839296</v>
      </c>
      <c r="V49">
        <v>46.732592766850019</v>
      </c>
      <c r="W49">
        <v>22.694156785883592</v>
      </c>
      <c r="X49">
        <v>43.805114578075077</v>
      </c>
      <c r="Y49">
        <v>4.2485293029281248</v>
      </c>
      <c r="Z49">
        <v>21.1795884159121</v>
      </c>
      <c r="AA49">
        <v>2.1698747601648649</v>
      </c>
      <c r="AB49">
        <v>32.716127493539439</v>
      </c>
      <c r="AD49">
        <v>2.1975110661692563</v>
      </c>
      <c r="AE49">
        <v>8.8980943194363604</v>
      </c>
      <c r="AF49">
        <v>13.376659758192872</v>
      </c>
      <c r="AG49">
        <v>18.156094898944328</v>
      </c>
      <c r="AH49">
        <v>6.571453857999178E-2</v>
      </c>
      <c r="AI49">
        <v>2.2488754630557217</v>
      </c>
      <c r="AK49">
        <v>52.244570175765212</v>
      </c>
    </row>
    <row r="50" spans="1:37" x14ac:dyDescent="0.2">
      <c r="A50">
        <v>49</v>
      </c>
      <c r="B50">
        <v>750</v>
      </c>
      <c r="C50">
        <v>200</v>
      </c>
      <c r="D50">
        <v>0.37802912573913899</v>
      </c>
      <c r="E50">
        <v>156.19952237417087</v>
      </c>
      <c r="F50">
        <v>47.347049571589942</v>
      </c>
      <c r="G50">
        <v>70.280400606766037</v>
      </c>
      <c r="H50">
        <v>65.660455016418979</v>
      </c>
      <c r="J50">
        <v>42.831299104326959</v>
      </c>
      <c r="L50">
        <v>1.5971611050624706</v>
      </c>
      <c r="M50">
        <v>12.970156499185427</v>
      </c>
      <c r="N50">
        <v>2.3158035238964105</v>
      </c>
      <c r="O50">
        <v>6.3062561486952333</v>
      </c>
      <c r="P50">
        <v>8.2864668706083311</v>
      </c>
      <c r="R50">
        <v>9.1925428791005839</v>
      </c>
      <c r="S50">
        <v>34.574314885087823</v>
      </c>
      <c r="U50">
        <v>1.4099631916316575</v>
      </c>
      <c r="V50">
        <v>47.381657783427904</v>
      </c>
      <c r="W50">
        <v>21.726405922859499</v>
      </c>
      <c r="X50">
        <v>43.872611917297021</v>
      </c>
      <c r="Y50">
        <v>3.2912613338598842</v>
      </c>
      <c r="Z50">
        <v>17.56429761840139</v>
      </c>
      <c r="AB50">
        <v>30.763970287142399</v>
      </c>
      <c r="AE50">
        <v>6.5219435047328131</v>
      </c>
      <c r="AF50">
        <v>12.592230735402</v>
      </c>
      <c r="AG50">
        <v>16.174253618430189</v>
      </c>
      <c r="AI50">
        <v>2.2523198358075782</v>
      </c>
      <c r="AK50">
        <v>39.805621605482116</v>
      </c>
    </row>
    <row r="51" spans="1:37" x14ac:dyDescent="0.2">
      <c r="A51">
        <v>50</v>
      </c>
      <c r="B51">
        <v>748</v>
      </c>
      <c r="C51">
        <v>200</v>
      </c>
      <c r="D51">
        <v>0.37667384811242399</v>
      </c>
      <c r="E51">
        <v>156.52394560132842</v>
      </c>
      <c r="F51">
        <v>48.326944211408644</v>
      </c>
      <c r="G51">
        <v>70.236081620604793</v>
      </c>
      <c r="H51">
        <v>65.611482968386326</v>
      </c>
      <c r="J51">
        <v>35.838393793666242</v>
      </c>
      <c r="L51">
        <v>1.6238360473606008</v>
      </c>
      <c r="M51">
        <v>12.117290174620745</v>
      </c>
      <c r="N51">
        <v>2.3197875934192203</v>
      </c>
      <c r="O51">
        <v>6.2661186342107706</v>
      </c>
      <c r="P51">
        <v>8.2448496729669465</v>
      </c>
      <c r="R51">
        <v>8.4991763925910657</v>
      </c>
      <c r="S51">
        <v>35.290892650075016</v>
      </c>
      <c r="U51">
        <v>1.3704222765645828</v>
      </c>
      <c r="V51">
        <v>48.469645448125981</v>
      </c>
      <c r="W51">
        <v>20.712387699023708</v>
      </c>
      <c r="X51">
        <v>43.834237650613851</v>
      </c>
      <c r="Y51">
        <v>2.898967847799093</v>
      </c>
      <c r="Z51">
        <v>17.881432598143498</v>
      </c>
      <c r="AB51">
        <v>31.703401723443609</v>
      </c>
      <c r="AE51">
        <v>6.689912808973471</v>
      </c>
      <c r="AF51">
        <v>11.73714888890753</v>
      </c>
      <c r="AG51">
        <v>17.083974277502463</v>
      </c>
      <c r="AI51">
        <v>2.2557239087771381</v>
      </c>
      <c r="AK51">
        <v>34.932611214679845</v>
      </c>
    </row>
    <row r="52" spans="1:37" x14ac:dyDescent="0.2">
      <c r="A52">
        <v>51</v>
      </c>
      <c r="B52">
        <v>768</v>
      </c>
      <c r="C52">
        <v>175</v>
      </c>
      <c r="D52">
        <v>0.416405417086878</v>
      </c>
      <c r="E52">
        <v>144.7523069682812</v>
      </c>
      <c r="F52">
        <v>68.149382522039275</v>
      </c>
      <c r="G52">
        <v>73.259185999311839</v>
      </c>
      <c r="H52">
        <v>68.682444131608449</v>
      </c>
      <c r="J52">
        <v>69.320517498092471</v>
      </c>
      <c r="L52">
        <v>9.0721135401306459</v>
      </c>
      <c r="M52">
        <v>14.30400644556302</v>
      </c>
      <c r="N52">
        <v>2.2757544172966506</v>
      </c>
      <c r="O52">
        <v>39.623438740968993</v>
      </c>
      <c r="P52">
        <v>13.676973271743083</v>
      </c>
      <c r="Q52">
        <v>9.2369212098989295E-2</v>
      </c>
      <c r="R52">
        <v>20.545447834152458</v>
      </c>
      <c r="S52">
        <v>53.477309203436164</v>
      </c>
      <c r="U52">
        <v>2.0991822195770098</v>
      </c>
      <c r="V52">
        <v>47.790958389895486</v>
      </c>
      <c r="W52">
        <v>26.162660417122414</v>
      </c>
      <c r="X52">
        <v>43.609261554030269</v>
      </c>
      <c r="Y52">
        <v>10.533826329694763</v>
      </c>
      <c r="Z52">
        <v>35.71945262953767</v>
      </c>
      <c r="AA52">
        <v>8.30599542410169</v>
      </c>
      <c r="AB52">
        <v>39.234643347610557</v>
      </c>
      <c r="AC52">
        <v>8.6914209453074667E-2</v>
      </c>
      <c r="AD52">
        <v>10.587090032623633</v>
      </c>
      <c r="AE52">
        <v>15.285661947557006</v>
      </c>
      <c r="AF52">
        <v>14.019030744383759</v>
      </c>
      <c r="AG52">
        <v>25.016198336535648</v>
      </c>
      <c r="AH52">
        <v>9.3268624774005886</v>
      </c>
      <c r="AI52">
        <v>2.2142992785120499</v>
      </c>
      <c r="AK52">
        <v>56.964189003444375</v>
      </c>
    </row>
    <row r="53" spans="1:37" x14ac:dyDescent="0.2">
      <c r="A53">
        <v>52</v>
      </c>
      <c r="B53">
        <v>766</v>
      </c>
      <c r="C53">
        <v>175</v>
      </c>
      <c r="D53">
        <v>0.41514747630275201</v>
      </c>
      <c r="E53">
        <v>144.54796530823353</v>
      </c>
      <c r="F53">
        <v>67.500502798165826</v>
      </c>
      <c r="G53">
        <v>73.147657330771679</v>
      </c>
      <c r="H53">
        <v>68.56577412423421</v>
      </c>
      <c r="J53">
        <v>69.202339815619212</v>
      </c>
      <c r="L53">
        <v>8.9126921390937408</v>
      </c>
      <c r="M53">
        <v>14.224192835605788</v>
      </c>
      <c r="N53">
        <v>2.260270807269519</v>
      </c>
      <c r="O53">
        <v>38.849151959917045</v>
      </c>
      <c r="P53">
        <v>13.481172801063575</v>
      </c>
      <c r="R53">
        <v>20.192677227237873</v>
      </c>
      <c r="S53">
        <v>52.828807858772684</v>
      </c>
      <c r="U53">
        <v>1.9859792976182327</v>
      </c>
      <c r="V53">
        <v>47.663993102123122</v>
      </c>
      <c r="W53">
        <v>25.844289819387075</v>
      </c>
      <c r="X53">
        <v>43.366082396284639</v>
      </c>
      <c r="Y53">
        <v>10.367628809792686</v>
      </c>
      <c r="Z53">
        <v>35.364858292614421</v>
      </c>
      <c r="AA53">
        <v>8.1407370136911421</v>
      </c>
      <c r="AB53">
        <v>39.021722154309579</v>
      </c>
      <c r="AC53">
        <v>6.7462740282202796E-2</v>
      </c>
      <c r="AD53">
        <v>10.393868747252515</v>
      </c>
      <c r="AE53">
        <v>15.123370317547819</v>
      </c>
      <c r="AF53">
        <v>13.917515854565606</v>
      </c>
      <c r="AG53">
        <v>24.754074099940535</v>
      </c>
      <c r="AH53">
        <v>9.1013562981444505</v>
      </c>
      <c r="AI53">
        <v>2.1982677077109933</v>
      </c>
      <c r="AK53">
        <v>56.950786163764171</v>
      </c>
    </row>
    <row r="54" spans="1:37" x14ac:dyDescent="0.2">
      <c r="A54">
        <v>53</v>
      </c>
      <c r="B54">
        <v>764</v>
      </c>
      <c r="C54">
        <v>175</v>
      </c>
      <c r="D54">
        <v>0.41388468398978101</v>
      </c>
      <c r="E54">
        <v>144.32991019230491</v>
      </c>
      <c r="F54">
        <v>66.592930607012406</v>
      </c>
      <c r="G54">
        <v>72.987034652128486</v>
      </c>
      <c r="H54">
        <v>68.400061444048433</v>
      </c>
      <c r="J54">
        <v>69.105500843078758</v>
      </c>
      <c r="L54">
        <v>8.6567756873525976</v>
      </c>
      <c r="M54">
        <v>14.269480516128791</v>
      </c>
      <c r="N54">
        <v>2.2244187027984421</v>
      </c>
      <c r="O54">
        <v>37.653940049402443</v>
      </c>
      <c r="P54">
        <v>13.166845863584173</v>
      </c>
      <c r="R54">
        <v>19.86243758324953</v>
      </c>
      <c r="S54">
        <v>52.62493910435272</v>
      </c>
      <c r="U54">
        <v>1.9697435661013265</v>
      </c>
      <c r="V54">
        <v>47.756063165498134</v>
      </c>
      <c r="W54">
        <v>25.643379374464097</v>
      </c>
      <c r="X54">
        <v>43.441941885955842</v>
      </c>
      <c r="Y54">
        <v>10.09225613294425</v>
      </c>
      <c r="Z54">
        <v>34.872695680208082</v>
      </c>
      <c r="AA54">
        <v>7.871894465911093</v>
      </c>
      <c r="AB54">
        <v>38.994631935270576</v>
      </c>
      <c r="AC54">
        <v>2.7643365085719216E-2</v>
      </c>
      <c r="AD54">
        <v>10.120761782754647</v>
      </c>
      <c r="AE54">
        <v>14.917805851920861</v>
      </c>
      <c r="AF54">
        <v>13.920734822574946</v>
      </c>
      <c r="AG54">
        <v>24.657422195377581</v>
      </c>
      <c r="AH54">
        <v>8.7460670923736945</v>
      </c>
      <c r="AI54">
        <v>2.1618643923407777</v>
      </c>
      <c r="AK54">
        <v>56.875092758339001</v>
      </c>
    </row>
    <row r="55" spans="1:37" x14ac:dyDescent="0.2">
      <c r="A55">
        <v>54</v>
      </c>
      <c r="B55">
        <v>762</v>
      </c>
      <c r="C55">
        <v>175</v>
      </c>
      <c r="D55">
        <v>0.41261701202724399</v>
      </c>
      <c r="E55">
        <v>144.04125761730029</v>
      </c>
      <c r="F55">
        <v>65.2969578806089</v>
      </c>
      <c r="G55">
        <v>72.760939065880166</v>
      </c>
      <c r="H55">
        <v>68.168927357221051</v>
      </c>
      <c r="J55">
        <v>68.884923870392655</v>
      </c>
      <c r="L55">
        <v>8.2974011480805601</v>
      </c>
      <c r="M55">
        <v>14.315497585448286</v>
      </c>
      <c r="N55">
        <v>2.2005262181829903</v>
      </c>
      <c r="O55">
        <v>36.083780832746108</v>
      </c>
      <c r="P55">
        <v>12.733562955701499</v>
      </c>
      <c r="R55">
        <v>19.395472624861902</v>
      </c>
      <c r="S55">
        <v>52.246817211558302</v>
      </c>
      <c r="U55">
        <v>1.947850021141019</v>
      </c>
      <c r="V55">
        <v>47.840737572830392</v>
      </c>
      <c r="W55">
        <v>25.369922050176068</v>
      </c>
      <c r="X55">
        <v>43.490243728679125</v>
      </c>
      <c r="Y55">
        <v>9.6956549849498881</v>
      </c>
      <c r="Z55">
        <v>34.16886058178325</v>
      </c>
      <c r="AA55">
        <v>7.4972807665307704</v>
      </c>
      <c r="AB55">
        <v>38.917968841727429</v>
      </c>
      <c r="AD55">
        <v>9.7153898288997169</v>
      </c>
      <c r="AE55">
        <v>14.637508710339668</v>
      </c>
      <c r="AF55">
        <v>13.936643904962985</v>
      </c>
      <c r="AG55">
        <v>24.523166934429955</v>
      </c>
      <c r="AH55">
        <v>8.2007201230139479</v>
      </c>
      <c r="AI55">
        <v>2.1374174320144821</v>
      </c>
      <c r="AK55">
        <v>56.708373727542451</v>
      </c>
    </row>
    <row r="56" spans="1:37" x14ac:dyDescent="0.2">
      <c r="A56">
        <v>55</v>
      </c>
      <c r="B56">
        <v>760</v>
      </c>
      <c r="C56">
        <v>175</v>
      </c>
      <c r="D56">
        <v>0.41134443207665999</v>
      </c>
      <c r="E56">
        <v>143.56028143803394</v>
      </c>
      <c r="F56">
        <v>62.878501714661873</v>
      </c>
      <c r="G56">
        <v>72.346135062457577</v>
      </c>
      <c r="H56">
        <v>67.749136518487745</v>
      </c>
      <c r="J56">
        <v>68.258317293101157</v>
      </c>
      <c r="L56">
        <v>7.6288538614693389</v>
      </c>
      <c r="M56">
        <v>14.371418350562069</v>
      </c>
      <c r="N56">
        <v>2.2044749673848183</v>
      </c>
      <c r="O56">
        <v>33.398053613966439</v>
      </c>
      <c r="P56">
        <v>11.950734850312401</v>
      </c>
      <c r="R56">
        <v>18.506698485670061</v>
      </c>
      <c r="S56">
        <v>51.250186541563515</v>
      </c>
      <c r="U56">
        <v>1.9254849425973226</v>
      </c>
      <c r="V56">
        <v>47.869490162922013</v>
      </c>
      <c r="W56">
        <v>24.931106515233054</v>
      </c>
      <c r="X56">
        <v>43.510841457638577</v>
      </c>
      <c r="Y56">
        <v>8.9453273862760856</v>
      </c>
      <c r="Z56">
        <v>32.835222805896812</v>
      </c>
      <c r="AA56">
        <v>6.8086331316077997</v>
      </c>
      <c r="AB56">
        <v>38.625290141824237</v>
      </c>
      <c r="AD56">
        <v>8.9201270007314744</v>
      </c>
      <c r="AE56">
        <v>14.129791335347811</v>
      </c>
      <c r="AF56">
        <v>13.990299066823379</v>
      </c>
      <c r="AG56">
        <v>24.200747245545326</v>
      </c>
      <c r="AH56">
        <v>7.1059968147423058</v>
      </c>
      <c r="AI56">
        <v>2.1408084260015658</v>
      </c>
      <c r="AK56">
        <v>56.267023224999306</v>
      </c>
    </row>
    <row r="57" spans="1:37" x14ac:dyDescent="0.2">
      <c r="A57">
        <v>56</v>
      </c>
      <c r="B57">
        <v>758</v>
      </c>
      <c r="C57">
        <v>175</v>
      </c>
      <c r="D57">
        <v>0.41006691557969399</v>
      </c>
      <c r="E57">
        <v>141.69099149122115</v>
      </c>
      <c r="F57">
        <v>49.924472667271893</v>
      </c>
      <c r="G57">
        <v>70.416188371718391</v>
      </c>
      <c r="H57">
        <v>65.8142548226472</v>
      </c>
      <c r="J57">
        <v>62.502134884525262</v>
      </c>
      <c r="L57">
        <v>4.0143565803924215</v>
      </c>
      <c r="M57">
        <v>14.263930162569352</v>
      </c>
      <c r="N57">
        <v>2.2083519551346353</v>
      </c>
      <c r="O57">
        <v>20.073443173485032</v>
      </c>
      <c r="P57">
        <v>8.1375801909295298</v>
      </c>
      <c r="R57">
        <v>13.114538573649309</v>
      </c>
      <c r="S57">
        <v>42.732802645845709</v>
      </c>
      <c r="U57">
        <v>1.9494664227298473</v>
      </c>
      <c r="V57">
        <v>46.957142722930136</v>
      </c>
      <c r="W57">
        <v>24.586120604831901</v>
      </c>
      <c r="X57">
        <v>43.656891340921668</v>
      </c>
      <c r="Y57">
        <v>5.139369749274965</v>
      </c>
      <c r="Z57">
        <v>24.099133288726652</v>
      </c>
      <c r="AA57">
        <v>3.1596031274945999</v>
      </c>
      <c r="AB57">
        <v>34.457793695678539</v>
      </c>
      <c r="AD57">
        <v>3.846265786492725</v>
      </c>
      <c r="AE57">
        <v>10.408673166591331</v>
      </c>
      <c r="AF57">
        <v>13.880474708322604</v>
      </c>
      <c r="AG57">
        <v>20.003448040210703</v>
      </c>
      <c r="AH57">
        <v>1.3081287976637013</v>
      </c>
      <c r="AI57">
        <v>2.1441243643353038</v>
      </c>
      <c r="AK57">
        <v>52.626303934008</v>
      </c>
    </row>
    <row r="58" spans="1:37" x14ac:dyDescent="0.2">
      <c r="A58">
        <v>57</v>
      </c>
      <c r="B58">
        <v>756</v>
      </c>
      <c r="C58">
        <v>175</v>
      </c>
      <c r="D58">
        <v>0.40878443375601398</v>
      </c>
      <c r="E58">
        <v>142.06568199177414</v>
      </c>
      <c r="F58">
        <v>47.960277814285753</v>
      </c>
      <c r="G58">
        <v>70.531242314241823</v>
      </c>
      <c r="H58">
        <v>65.924425755858422</v>
      </c>
      <c r="J58">
        <v>47.206411693389093</v>
      </c>
      <c r="L58">
        <v>1.5488887232153501</v>
      </c>
      <c r="M58">
        <v>13.770176819851462</v>
      </c>
      <c r="N58">
        <v>2.2123485727188816</v>
      </c>
      <c r="O58">
        <v>7.0808982911328622</v>
      </c>
      <c r="P58">
        <v>8.4145771900510464</v>
      </c>
      <c r="R58">
        <v>10.216160001706282</v>
      </c>
      <c r="S58">
        <v>35.392032493714588</v>
      </c>
      <c r="U58">
        <v>1.9792398798605799</v>
      </c>
      <c r="V58">
        <v>46.847970802053922</v>
      </c>
      <c r="W58">
        <v>23.879531313089945</v>
      </c>
      <c r="X58">
        <v>43.819062828703359</v>
      </c>
      <c r="Y58">
        <v>3.3730836227075955</v>
      </c>
      <c r="Z58">
        <v>18.322455992924624</v>
      </c>
      <c r="AB58">
        <v>30.983232616716602</v>
      </c>
      <c r="AD58">
        <v>0.74602585412393196</v>
      </c>
      <c r="AE58">
        <v>7.0541598581285321</v>
      </c>
      <c r="AF58">
        <v>13.384506063660769</v>
      </c>
      <c r="AG58">
        <v>16.499213870066981</v>
      </c>
      <c r="AI58">
        <v>2.1475566235992303</v>
      </c>
      <c r="AK58">
        <v>42.516926748827245</v>
      </c>
    </row>
    <row r="59" spans="1:37" x14ac:dyDescent="0.2">
      <c r="A59">
        <v>58</v>
      </c>
      <c r="B59">
        <v>754</v>
      </c>
      <c r="C59">
        <v>175</v>
      </c>
      <c r="D59">
        <v>0.40749695760112897</v>
      </c>
      <c r="E59">
        <v>142.4724805866251</v>
      </c>
      <c r="F59">
        <v>48.71410351961913</v>
      </c>
      <c r="G59">
        <v>70.545855630862306</v>
      </c>
      <c r="H59">
        <v>65.934208225180171</v>
      </c>
      <c r="J59">
        <v>37.763927271168505</v>
      </c>
      <c r="L59">
        <v>1.5810254934848198</v>
      </c>
      <c r="M59">
        <v>12.895187553039353</v>
      </c>
      <c r="N59">
        <v>2.2163414994299719</v>
      </c>
      <c r="O59">
        <v>6.9431204912130218</v>
      </c>
      <c r="P59">
        <v>8.4907201896926612</v>
      </c>
      <c r="R59">
        <v>9.5478786919421612</v>
      </c>
      <c r="S59">
        <v>35.911297450537255</v>
      </c>
      <c r="U59">
        <v>1.9513485835273792</v>
      </c>
      <c r="V59">
        <v>47.914786826565013</v>
      </c>
      <c r="W59">
        <v>22.831294458267628</v>
      </c>
      <c r="X59">
        <v>43.816324483458658</v>
      </c>
      <c r="Y59">
        <v>2.9827790585278633</v>
      </c>
      <c r="Z59">
        <v>17.678433282004452</v>
      </c>
      <c r="AB59">
        <v>31.285757452330859</v>
      </c>
      <c r="AE59">
        <v>6.6547526495444007</v>
      </c>
      <c r="AF59">
        <v>12.507299087498955</v>
      </c>
      <c r="AG59">
        <v>16.772072009031724</v>
      </c>
      <c r="AI59">
        <v>2.150981868377964</v>
      </c>
      <c r="AK59">
        <v>36.035569850756957</v>
      </c>
    </row>
    <row r="60" spans="1:37" x14ac:dyDescent="0.2">
      <c r="A60">
        <v>59</v>
      </c>
      <c r="B60">
        <v>778</v>
      </c>
      <c r="C60">
        <v>150</v>
      </c>
      <c r="D60">
        <v>0.44878514008467002</v>
      </c>
      <c r="E60">
        <v>131.06725972595152</v>
      </c>
      <c r="F60">
        <v>70.474516972576211</v>
      </c>
      <c r="G60">
        <v>73.778615482766668</v>
      </c>
      <c r="H60">
        <v>69.227434085179141</v>
      </c>
      <c r="J60">
        <v>69.449395572616439</v>
      </c>
      <c r="L60">
        <v>9.6411363122656919</v>
      </c>
      <c r="M60">
        <v>14.687728533948407</v>
      </c>
      <c r="N60">
        <v>2.2277669269759177</v>
      </c>
      <c r="O60">
        <v>43.476753986204812</v>
      </c>
      <c r="P60">
        <v>14.313599859796467</v>
      </c>
      <c r="Q60">
        <v>5.0536388452489388E-2</v>
      </c>
      <c r="R60">
        <v>22.179803897059177</v>
      </c>
      <c r="S60">
        <v>56.410483690774555</v>
      </c>
      <c r="U60">
        <v>2.7043619495053126</v>
      </c>
      <c r="V60">
        <v>47.839598128207925</v>
      </c>
      <c r="W60">
        <v>28.582674439000773</v>
      </c>
      <c r="X60">
        <v>43.129102604025917</v>
      </c>
      <c r="Y60">
        <v>11.05216119288691</v>
      </c>
      <c r="Z60">
        <v>37.382924585825847</v>
      </c>
      <c r="AA60">
        <v>8.9327046686820388</v>
      </c>
      <c r="AB60">
        <v>40.405778766236104</v>
      </c>
      <c r="AC60">
        <v>0.15039474663650301</v>
      </c>
      <c r="AD60">
        <v>11.457048625150616</v>
      </c>
      <c r="AE60">
        <v>16.286877678788269</v>
      </c>
      <c r="AF60">
        <v>14.4630608562736</v>
      </c>
      <c r="AG60">
        <v>26.415352522911071</v>
      </c>
      <c r="AH60">
        <v>9.8464450916634263</v>
      </c>
      <c r="AI60">
        <v>2.1660104727885887</v>
      </c>
      <c r="AK60">
        <v>56.523964510521921</v>
      </c>
    </row>
    <row r="61" spans="1:37" x14ac:dyDescent="0.2">
      <c r="A61">
        <v>60</v>
      </c>
      <c r="B61">
        <v>776</v>
      </c>
      <c r="C61">
        <v>150</v>
      </c>
      <c r="D61">
        <v>0.447600915026452</v>
      </c>
      <c r="E61">
        <v>130.85862654280888</v>
      </c>
      <c r="F61">
        <v>69.717280840553286</v>
      </c>
      <c r="G61">
        <v>73.646116462131985</v>
      </c>
      <c r="H61">
        <v>69.089519044299635</v>
      </c>
      <c r="J61">
        <v>69.337146005739442</v>
      </c>
      <c r="L61">
        <v>9.4422765538124942</v>
      </c>
      <c r="M61">
        <v>14.661759907080892</v>
      </c>
      <c r="N61">
        <v>2.2041395512957678</v>
      </c>
      <c r="O61">
        <v>42.520572304922972</v>
      </c>
      <c r="P61">
        <v>14.067548247148078</v>
      </c>
      <c r="R61">
        <v>21.840032533708289</v>
      </c>
      <c r="S61">
        <v>55.955936734760613</v>
      </c>
      <c r="U61">
        <v>2.6344684604786499</v>
      </c>
      <c r="V61">
        <v>47.810260973308147</v>
      </c>
      <c r="W61">
        <v>28.311108417027622</v>
      </c>
      <c r="X61">
        <v>43.027590894205545</v>
      </c>
      <c r="Y61">
        <v>10.840203601802061</v>
      </c>
      <c r="Z61">
        <v>36.96759957313175</v>
      </c>
      <c r="AA61">
        <v>8.7243654774978285</v>
      </c>
      <c r="AB61">
        <v>40.272380775695268</v>
      </c>
      <c r="AC61">
        <v>0.12279216395433476</v>
      </c>
      <c r="AD61">
        <v>11.231956695689812</v>
      </c>
      <c r="AE61">
        <v>16.10431334548921</v>
      </c>
      <c r="AF61">
        <v>14.407235265391613</v>
      </c>
      <c r="AG61">
        <v>26.224624909081765</v>
      </c>
      <c r="AH61">
        <v>9.5666729001354689</v>
      </c>
      <c r="AI61">
        <v>2.1418534224293979</v>
      </c>
      <c r="AK61">
        <v>56.483330216125665</v>
      </c>
    </row>
    <row r="62" spans="1:37" x14ac:dyDescent="0.2">
      <c r="A62">
        <v>61</v>
      </c>
      <c r="B62">
        <v>774</v>
      </c>
      <c r="C62">
        <v>150</v>
      </c>
      <c r="D62">
        <v>0.44641216635630598</v>
      </c>
      <c r="E62">
        <v>130.64470289842532</v>
      </c>
      <c r="F62">
        <v>68.825758309030618</v>
      </c>
      <c r="G62">
        <v>73.487728220252137</v>
      </c>
      <c r="H62">
        <v>68.925765319938122</v>
      </c>
      <c r="J62">
        <v>69.236467848930616</v>
      </c>
      <c r="L62">
        <v>9.1916033246168887</v>
      </c>
      <c r="M62">
        <v>14.703706443268672</v>
      </c>
      <c r="N62">
        <v>2.1693853296546468</v>
      </c>
      <c r="O62">
        <v>41.339865280241504</v>
      </c>
      <c r="P62">
        <v>13.758620509872504</v>
      </c>
      <c r="R62">
        <v>21.510624832982739</v>
      </c>
      <c r="S62">
        <v>55.732297922319667</v>
      </c>
      <c r="U62">
        <v>2.6183832334091779</v>
      </c>
      <c r="V62">
        <v>47.895311368085707</v>
      </c>
      <c r="W62">
        <v>28.10440663849166</v>
      </c>
      <c r="X62">
        <v>43.103345974310422</v>
      </c>
      <c r="Y62">
        <v>10.570332864519795</v>
      </c>
      <c r="Z62">
        <v>36.478017080569842</v>
      </c>
      <c r="AA62">
        <v>8.4609736086321572</v>
      </c>
      <c r="AB62">
        <v>40.232424746626357</v>
      </c>
      <c r="AC62">
        <v>8.4063341309173784E-2</v>
      </c>
      <c r="AD62">
        <v>10.963734932814035</v>
      </c>
      <c r="AE62">
        <v>15.897939746266115</v>
      </c>
      <c r="AF62">
        <v>14.408198860805445</v>
      </c>
      <c r="AG62">
        <v>26.116222037018314</v>
      </c>
      <c r="AH62">
        <v>9.2184749879643171</v>
      </c>
      <c r="AI62">
        <v>2.1065663493020428</v>
      </c>
      <c r="AK62">
        <v>56.411175759377969</v>
      </c>
    </row>
    <row r="63" spans="1:37" x14ac:dyDescent="0.2">
      <c r="A63">
        <v>62</v>
      </c>
      <c r="B63">
        <v>772</v>
      </c>
      <c r="C63">
        <v>150</v>
      </c>
      <c r="D63">
        <v>0.44521886810505501</v>
      </c>
      <c r="E63">
        <v>130.43288419934865</v>
      </c>
      <c r="F63">
        <v>67.938349239288542</v>
      </c>
      <c r="G63">
        <v>73.329417132433676</v>
      </c>
      <c r="H63">
        <v>68.762139447964898</v>
      </c>
      <c r="J63">
        <v>69.130464100657321</v>
      </c>
      <c r="L63">
        <v>8.9391219807127484</v>
      </c>
      <c r="M63">
        <v>14.746560816302992</v>
      </c>
      <c r="N63">
        <v>2.1343851107584397</v>
      </c>
      <c r="O63">
        <v>40.158826307839306</v>
      </c>
      <c r="P63">
        <v>13.449630419617606</v>
      </c>
      <c r="R63">
        <v>21.175721407927291</v>
      </c>
      <c r="S63">
        <v>55.488367197770231</v>
      </c>
      <c r="U63">
        <v>2.6044573996710043</v>
      </c>
      <c r="V63">
        <v>47.972786326938667</v>
      </c>
      <c r="W63">
        <v>27.901507991696874</v>
      </c>
      <c r="X63">
        <v>43.186434667423917</v>
      </c>
      <c r="Y63">
        <v>10.300188534222382</v>
      </c>
      <c r="Z63">
        <v>35.988724663487623</v>
      </c>
      <c r="AA63">
        <v>8.1968484978607741</v>
      </c>
      <c r="AB63">
        <v>40.181031333860773</v>
      </c>
      <c r="AC63">
        <v>4.5089123899893988E-2</v>
      </c>
      <c r="AD63">
        <v>10.694839737378429</v>
      </c>
      <c r="AE63">
        <v>15.691704871384079</v>
      </c>
      <c r="AF63">
        <v>14.409825207965875</v>
      </c>
      <c r="AG63">
        <v>25.996145454885944</v>
      </c>
      <c r="AH63">
        <v>8.869604601390499</v>
      </c>
      <c r="AI63">
        <v>2.071030087465382</v>
      </c>
      <c r="AK63">
        <v>56.339179026715534</v>
      </c>
    </row>
    <row r="64" spans="1:37" x14ac:dyDescent="0.2">
      <c r="A64">
        <v>63</v>
      </c>
      <c r="B64">
        <v>770</v>
      </c>
      <c r="C64">
        <v>150</v>
      </c>
      <c r="D64">
        <v>0.44402099410439499</v>
      </c>
      <c r="E64">
        <v>130.22321028189003</v>
      </c>
      <c r="F64">
        <v>67.055385778371885</v>
      </c>
      <c r="G64">
        <v>73.171291052772034</v>
      </c>
      <c r="H64">
        <v>68.598749443653816</v>
      </c>
      <c r="J64">
        <v>69.019062585057569</v>
      </c>
      <c r="L64">
        <v>8.6850880749075987</v>
      </c>
      <c r="M64">
        <v>14.790161688608212</v>
      </c>
      <c r="N64">
        <v>2.0991469253849435</v>
      </c>
      <c r="O64">
        <v>38.978069935873684</v>
      </c>
      <c r="P64">
        <v>13.140801888631772</v>
      </c>
      <c r="R64">
        <v>20.83569112630175</v>
      </c>
      <c r="S64">
        <v>55.223680114658265</v>
      </c>
      <c r="U64">
        <v>2.5925450524644162</v>
      </c>
      <c r="V64">
        <v>48.042572454818519</v>
      </c>
      <c r="W64">
        <v>27.702415375792238</v>
      </c>
      <c r="X64">
        <v>43.276421895141766</v>
      </c>
      <c r="Y64">
        <v>10.029973709342846</v>
      </c>
      <c r="Z64">
        <v>35.499731198609155</v>
      </c>
      <c r="AA64">
        <v>7.932311781488381</v>
      </c>
      <c r="AB64">
        <v>40.117859518286608</v>
      </c>
      <c r="AC64">
        <v>5.8775389922750294E-3</v>
      </c>
      <c r="AD64">
        <v>10.425332433083216</v>
      </c>
      <c r="AE64">
        <v>15.485521335255356</v>
      </c>
      <c r="AF64">
        <v>14.411961043223465</v>
      </c>
      <c r="AG64">
        <v>25.864062219256109</v>
      </c>
      <c r="AH64">
        <v>8.5203543354071893</v>
      </c>
      <c r="AI64">
        <v>2.0352526530408732</v>
      </c>
      <c r="AK64">
        <v>56.267376905929382</v>
      </c>
    </row>
    <row r="65" spans="1:37" x14ac:dyDescent="0.2">
      <c r="A65">
        <v>64</v>
      </c>
      <c r="B65">
        <v>768</v>
      </c>
      <c r="C65">
        <v>150</v>
      </c>
      <c r="D65">
        <v>0.442818517984921</v>
      </c>
      <c r="E65">
        <v>129.80063089118971</v>
      </c>
      <c r="F65">
        <v>64.969102160612522</v>
      </c>
      <c r="G65">
        <v>72.810931228168755</v>
      </c>
      <c r="H65">
        <v>68.233176715703195</v>
      </c>
      <c r="J65">
        <v>68.499722296426981</v>
      </c>
      <c r="L65">
        <v>8.1061621035029194</v>
      </c>
      <c r="M65">
        <v>14.840114723733485</v>
      </c>
      <c r="N65">
        <v>2.0970170212759967</v>
      </c>
      <c r="O65">
        <v>36.618086675118967</v>
      </c>
      <c r="P65">
        <v>12.460643832687444</v>
      </c>
      <c r="R65">
        <v>20.058987393796116</v>
      </c>
      <c r="S65">
        <v>54.356223007867655</v>
      </c>
      <c r="U65">
        <v>2.5708374650327706</v>
      </c>
      <c r="V65">
        <v>48.070957740249163</v>
      </c>
      <c r="W65">
        <v>27.30009546664316</v>
      </c>
      <c r="X65">
        <v>43.307026405474588</v>
      </c>
      <c r="Y65">
        <v>9.3828497104903636</v>
      </c>
      <c r="Z65">
        <v>34.347884422143295</v>
      </c>
      <c r="AA65">
        <v>7.3359972607789237</v>
      </c>
      <c r="AB65">
        <v>39.862351195391795</v>
      </c>
      <c r="AD65">
        <v>9.7446366587691671</v>
      </c>
      <c r="AE65">
        <v>15.042287407959464</v>
      </c>
      <c r="AF65">
        <v>14.4535583212161</v>
      </c>
      <c r="AG65">
        <v>25.572760518548822</v>
      </c>
      <c r="AH65">
        <v>7.5851793279924156</v>
      </c>
      <c r="AI65">
        <v>2.0325802791063303</v>
      </c>
      <c r="AK65">
        <v>55.908566198797054</v>
      </c>
    </row>
    <row r="66" spans="1:37" x14ac:dyDescent="0.2">
      <c r="A66">
        <v>65</v>
      </c>
      <c r="B66">
        <v>766</v>
      </c>
      <c r="C66">
        <v>150</v>
      </c>
      <c r="D66">
        <v>0.44161141317423203</v>
      </c>
      <c r="E66">
        <v>128.82274432165912</v>
      </c>
      <c r="F66">
        <v>58.714233904088779</v>
      </c>
      <c r="G66">
        <v>71.834196874378492</v>
      </c>
      <c r="H66">
        <v>67.251280642285721</v>
      </c>
      <c r="J66">
        <v>65.90769626140731</v>
      </c>
      <c r="L66">
        <v>6.3428849910019673</v>
      </c>
      <c r="M66">
        <v>14.851335477381802</v>
      </c>
      <c r="N66">
        <v>2.1009454537315055</v>
      </c>
      <c r="O66">
        <v>30.001939080547722</v>
      </c>
      <c r="P66">
        <v>10.553824913782529</v>
      </c>
      <c r="R66">
        <v>17.462451855029357</v>
      </c>
      <c r="S66">
        <v>50.234565590025952</v>
      </c>
      <c r="U66">
        <v>2.5903982267508603</v>
      </c>
      <c r="V66">
        <v>47.630749790797822</v>
      </c>
      <c r="W66">
        <v>26.895555239399076</v>
      </c>
      <c r="X66">
        <v>43.449035060804242</v>
      </c>
      <c r="Y66">
        <v>7.5010460055551214</v>
      </c>
      <c r="Z66">
        <v>30.362210833084703</v>
      </c>
      <c r="AA66">
        <v>5.553022194022196</v>
      </c>
      <c r="AB66">
        <v>37.976250466942858</v>
      </c>
      <c r="AD66">
        <v>7.4210474504447612</v>
      </c>
      <c r="AE66">
        <v>13.378064021499016</v>
      </c>
      <c r="AF66">
        <v>14.462482696485194</v>
      </c>
      <c r="AG66">
        <v>23.656934555303586</v>
      </c>
      <c r="AH66">
        <v>4.77180479124464</v>
      </c>
      <c r="AI66">
        <v>2.0359630062896055</v>
      </c>
      <c r="AK66">
        <v>54.30436022774326</v>
      </c>
    </row>
    <row r="67" spans="1:37" x14ac:dyDescent="0.2">
      <c r="A67">
        <v>66</v>
      </c>
      <c r="B67">
        <v>764</v>
      </c>
      <c r="C67">
        <v>150</v>
      </c>
      <c r="D67">
        <v>0.44039965289495597</v>
      </c>
      <c r="E67">
        <v>127.70091564086083</v>
      </c>
      <c r="F67">
        <v>49.458034582831829</v>
      </c>
      <c r="G67">
        <v>70.591872582093984</v>
      </c>
      <c r="H67">
        <v>66.003845977136578</v>
      </c>
      <c r="J67">
        <v>57.427720758191832</v>
      </c>
      <c r="L67">
        <v>3.056054120997993</v>
      </c>
      <c r="M67">
        <v>14.67891355487294</v>
      </c>
      <c r="N67">
        <v>2.1048644065093609</v>
      </c>
      <c r="O67">
        <v>16.284058141333524</v>
      </c>
      <c r="P67">
        <v>8.1158466732134968</v>
      </c>
      <c r="R67">
        <v>12.813899827351799</v>
      </c>
      <c r="S67">
        <v>41.428242992750384</v>
      </c>
      <c r="U67">
        <v>2.6407430685052899</v>
      </c>
      <c r="V67">
        <v>46.69884656153183</v>
      </c>
      <c r="W67">
        <v>26.486288021102311</v>
      </c>
      <c r="X67">
        <v>43.672382913694648</v>
      </c>
      <c r="Y67">
        <v>4.4149119147972087</v>
      </c>
      <c r="Z67">
        <v>22.726990416010544</v>
      </c>
      <c r="AA67">
        <v>2.0731051740216206</v>
      </c>
      <c r="AB67">
        <v>33.742314299634963</v>
      </c>
      <c r="AD67">
        <v>3.0799917200618743</v>
      </c>
      <c r="AE67">
        <v>9.7971562341639142</v>
      </c>
      <c r="AF67">
        <v>14.287756001848678</v>
      </c>
      <c r="AG67">
        <v>19.393273525736344</v>
      </c>
      <c r="AI67">
        <v>2.0393330036697805</v>
      </c>
      <c r="AK67">
        <v>48.918425853910044</v>
      </c>
    </row>
    <row r="68" spans="1:37" x14ac:dyDescent="0.2">
      <c r="A68">
        <v>67</v>
      </c>
      <c r="B68">
        <v>762</v>
      </c>
      <c r="C68">
        <v>150</v>
      </c>
      <c r="D68">
        <v>0.439183210162781</v>
      </c>
      <c r="E68">
        <v>128.25447170987636</v>
      </c>
      <c r="F68">
        <v>48.886129662370706</v>
      </c>
      <c r="G68">
        <v>70.847789103193861</v>
      </c>
      <c r="H68">
        <v>66.254703635807331</v>
      </c>
      <c r="J68">
        <v>44.389960088817112</v>
      </c>
      <c r="L68">
        <v>1.520203725449679</v>
      </c>
      <c r="M68">
        <v>14.095204739742298</v>
      </c>
      <c r="N68">
        <v>2.108874609670162</v>
      </c>
      <c r="O68">
        <v>7.996595532595582</v>
      </c>
      <c r="P68">
        <v>8.6744715219243407</v>
      </c>
      <c r="R68">
        <v>10.915812823055187</v>
      </c>
      <c r="S68">
        <v>36.61331726093119</v>
      </c>
      <c r="U68">
        <v>2.6627873221434144</v>
      </c>
      <c r="V68">
        <v>46.893034749268459</v>
      </c>
      <c r="W68">
        <v>25.688473307988602</v>
      </c>
      <c r="X68">
        <v>43.814915547358773</v>
      </c>
      <c r="Y68">
        <v>3.2432164046338112</v>
      </c>
      <c r="Z68">
        <v>18.193316435948017</v>
      </c>
      <c r="AB68">
        <v>31.030470071659959</v>
      </c>
      <c r="AD68">
        <v>0.68722609690585246</v>
      </c>
      <c r="AE68">
        <v>7.0548418309112408</v>
      </c>
      <c r="AF68">
        <v>13.701834794836994</v>
      </c>
      <c r="AG68">
        <v>16.651805584147858</v>
      </c>
      <c r="AI68">
        <v>2.0427909866210796</v>
      </c>
      <c r="AK68">
        <v>40.265956288966485</v>
      </c>
    </row>
    <row r="69" spans="1:37" x14ac:dyDescent="0.2">
      <c r="A69">
        <v>68</v>
      </c>
      <c r="B69">
        <v>760</v>
      </c>
      <c r="C69">
        <v>150</v>
      </c>
      <c r="D69">
        <v>0.43796205778444602</v>
      </c>
      <c r="E69">
        <v>128.63200134111759</v>
      </c>
      <c r="F69">
        <v>49.617260832032592</v>
      </c>
      <c r="G69">
        <v>70.855889260240559</v>
      </c>
      <c r="H69">
        <v>66.257796605164842</v>
      </c>
      <c r="J69">
        <v>36.789217082811724</v>
      </c>
      <c r="L69">
        <v>1.5488298570937404</v>
      </c>
      <c r="M69">
        <v>13.265194318765385</v>
      </c>
      <c r="N69">
        <v>2.1128717029009874</v>
      </c>
      <c r="O69">
        <v>7.8502574618868532</v>
      </c>
      <c r="P69">
        <v>8.7374809228301675</v>
      </c>
      <c r="R69">
        <v>10.272185700926462</v>
      </c>
      <c r="S69">
        <v>37.080449088457861</v>
      </c>
      <c r="U69">
        <v>2.6338673701977378</v>
      </c>
      <c r="V69">
        <v>47.900067611542632</v>
      </c>
      <c r="W69">
        <v>24.680455859896782</v>
      </c>
      <c r="X69">
        <v>43.811833426839236</v>
      </c>
      <c r="Y69">
        <v>2.8648408510925556</v>
      </c>
      <c r="Z69">
        <v>17.642474566941878</v>
      </c>
      <c r="AB69">
        <v>31.344365145310597</v>
      </c>
      <c r="AE69">
        <v>6.7110648848514645</v>
      </c>
      <c r="AF69">
        <v>12.869600046047877</v>
      </c>
      <c r="AG69">
        <v>16.936073778861253</v>
      </c>
      <c r="AI69">
        <v>2.0462325801387355</v>
      </c>
      <c r="AK69">
        <v>35.028954223913296</v>
      </c>
    </row>
    <row r="70" spans="1:37" x14ac:dyDescent="0.2">
      <c r="A70">
        <v>69</v>
      </c>
      <c r="B70">
        <v>792</v>
      </c>
      <c r="C70">
        <v>125</v>
      </c>
      <c r="D70">
        <v>0.48276815471999501</v>
      </c>
      <c r="E70">
        <v>117.69634725475804</v>
      </c>
      <c r="F70">
        <v>73.813854038067348</v>
      </c>
      <c r="G70">
        <v>74.498983310626386</v>
      </c>
      <c r="H70">
        <v>69.986359067211424</v>
      </c>
      <c r="J70">
        <v>69.843958230379826</v>
      </c>
      <c r="L70">
        <v>10.446003873028857</v>
      </c>
      <c r="M70">
        <v>15.214970949937014</v>
      </c>
      <c r="N70">
        <v>2.184291139527553</v>
      </c>
      <c r="O70">
        <v>48.837836070132731</v>
      </c>
      <c r="P70">
        <v>15.272788513277455</v>
      </c>
      <c r="Q70">
        <v>9.1236302933705424E-2</v>
      </c>
      <c r="R70">
        <v>24.383108722933127</v>
      </c>
      <c r="S70">
        <v>60.675062119459021</v>
      </c>
      <c r="U70">
        <v>3.5948472711850568</v>
      </c>
      <c r="V70">
        <v>48.056570420384425</v>
      </c>
      <c r="W70">
        <v>31.806686051598682</v>
      </c>
      <c r="X70">
        <v>42.911574435165377</v>
      </c>
      <c r="Y70">
        <v>11.836928918396715</v>
      </c>
      <c r="Z70">
        <v>39.731633046353508</v>
      </c>
      <c r="AA70">
        <v>9.8093140244716786</v>
      </c>
      <c r="AB70">
        <v>42.047131375833246</v>
      </c>
      <c r="AC70">
        <v>0.226414715131492</v>
      </c>
      <c r="AD70">
        <v>12.649307542247039</v>
      </c>
      <c r="AE70">
        <v>17.633320769812908</v>
      </c>
      <c r="AF70">
        <v>15.067711358306461</v>
      </c>
      <c r="AG70">
        <v>28.356193107591952</v>
      </c>
      <c r="AH70">
        <v>10.750269351483849</v>
      </c>
      <c r="AI70">
        <v>2.1232062018260858</v>
      </c>
      <c r="AK70">
        <v>56.032253336761201</v>
      </c>
    </row>
    <row r="71" spans="1:37" x14ac:dyDescent="0.2">
      <c r="A71">
        <v>70</v>
      </c>
      <c r="B71">
        <v>790</v>
      </c>
      <c r="C71">
        <v>125</v>
      </c>
      <c r="D71">
        <v>0.48166345294643498</v>
      </c>
      <c r="E71">
        <v>117.49457220924451</v>
      </c>
      <c r="F71">
        <v>73.175251613533078</v>
      </c>
      <c r="G71">
        <v>74.388334932049077</v>
      </c>
      <c r="H71">
        <v>69.869924854494911</v>
      </c>
      <c r="J71">
        <v>69.709383475662065</v>
      </c>
      <c r="L71">
        <v>10.29122169713796</v>
      </c>
      <c r="M71">
        <v>15.131061702237815</v>
      </c>
      <c r="N71">
        <v>2.1707846057918778</v>
      </c>
      <c r="O71">
        <v>48.070281722297615</v>
      </c>
      <c r="P71">
        <v>15.080340769931498</v>
      </c>
      <c r="R71">
        <v>24.031693396183961</v>
      </c>
      <c r="S71">
        <v>60.004669235647526</v>
      </c>
      <c r="U71">
        <v>3.4822574006474318</v>
      </c>
      <c r="V71">
        <v>47.925573498385774</v>
      </c>
      <c r="W71">
        <v>31.477776535891394</v>
      </c>
      <c r="X71">
        <v>42.666231815235513</v>
      </c>
      <c r="Y71">
        <v>11.674733782113734</v>
      </c>
      <c r="Z71">
        <v>39.378998379613193</v>
      </c>
      <c r="AA71">
        <v>9.6484414787323622</v>
      </c>
      <c r="AB71">
        <v>41.824124508795627</v>
      </c>
      <c r="AC71">
        <v>0.20892428160548845</v>
      </c>
      <c r="AD71">
        <v>12.464868204942231</v>
      </c>
      <c r="AE71">
        <v>17.470224230103657</v>
      </c>
      <c r="AF71">
        <v>14.964053660047</v>
      </c>
      <c r="AG71">
        <v>28.085977067878485</v>
      </c>
      <c r="AH71">
        <v>10.52865246269471</v>
      </c>
      <c r="AI71">
        <v>2.109194077260645</v>
      </c>
      <c r="AK71">
        <v>56.015784645921599</v>
      </c>
    </row>
    <row r="72" spans="1:37" x14ac:dyDescent="0.2">
      <c r="A72">
        <v>71</v>
      </c>
      <c r="B72">
        <v>788</v>
      </c>
      <c r="C72">
        <v>125</v>
      </c>
      <c r="D72">
        <v>0.48055458700466802</v>
      </c>
      <c r="E72">
        <v>117.28296932406272</v>
      </c>
      <c r="F72">
        <v>72.295253501163984</v>
      </c>
      <c r="G72">
        <v>74.231877366624488</v>
      </c>
      <c r="H72">
        <v>69.707730895132926</v>
      </c>
      <c r="J72">
        <v>69.60622336234924</v>
      </c>
      <c r="L72">
        <v>10.047123825098611</v>
      </c>
      <c r="M72">
        <v>15.168943509152275</v>
      </c>
      <c r="N72">
        <v>2.1373444891925475</v>
      </c>
      <c r="O72">
        <v>46.902134643920334</v>
      </c>
      <c r="P72">
        <v>14.776369040214076</v>
      </c>
      <c r="R72">
        <v>23.707019066511325</v>
      </c>
      <c r="S72">
        <v>59.774456484721426</v>
      </c>
      <c r="U72">
        <v>3.4652050412106239</v>
      </c>
      <c r="V72">
        <v>48.009077114546606</v>
      </c>
      <c r="W72">
        <v>31.261656312630386</v>
      </c>
      <c r="X72">
        <v>42.73637141182008</v>
      </c>
      <c r="Y72">
        <v>11.410257205671027</v>
      </c>
      <c r="Z72">
        <v>38.891188839265602</v>
      </c>
      <c r="AA72">
        <v>9.3906287101290147</v>
      </c>
      <c r="AB72">
        <v>41.779391995517138</v>
      </c>
      <c r="AC72">
        <v>0.17150089563390161</v>
      </c>
      <c r="AD72">
        <v>12.202943181295062</v>
      </c>
      <c r="AE72">
        <v>17.262658828046753</v>
      </c>
      <c r="AF72">
        <v>14.962254031570387</v>
      </c>
      <c r="AG72">
        <v>27.974111120600504</v>
      </c>
      <c r="AH72">
        <v>10.188059456102255</v>
      </c>
      <c r="AI72">
        <v>2.0752452952753093</v>
      </c>
      <c r="AK72">
        <v>55.945859485732441</v>
      </c>
    </row>
    <row r="73" spans="1:37" x14ac:dyDescent="0.2">
      <c r="A73">
        <v>72</v>
      </c>
      <c r="B73">
        <v>786</v>
      </c>
      <c r="C73">
        <v>125</v>
      </c>
      <c r="D73">
        <v>0.47944153330501299</v>
      </c>
      <c r="E73">
        <v>117.07331112256405</v>
      </c>
      <c r="F73">
        <v>71.419367625904229</v>
      </c>
      <c r="G73">
        <v>74.075520681976883</v>
      </c>
      <c r="H73">
        <v>69.545687413110471</v>
      </c>
      <c r="J73">
        <v>69.498626820706448</v>
      </c>
      <c r="L73">
        <v>9.8014126387129004</v>
      </c>
      <c r="M73">
        <v>15.207633526485063</v>
      </c>
      <c r="N73">
        <v>2.1037152387438729</v>
      </c>
      <c r="O73">
        <v>45.73414376824433</v>
      </c>
      <c r="P73">
        <v>14.472438074304604</v>
      </c>
      <c r="R73">
        <v>23.377409045207482</v>
      </c>
      <c r="S73">
        <v>59.526380559755168</v>
      </c>
      <c r="U73">
        <v>3.4500486540613822</v>
      </c>
      <c r="V73">
        <v>48.085871430433507</v>
      </c>
      <c r="W73">
        <v>31.048838914423822</v>
      </c>
      <c r="X73">
        <v>42.81309902849592</v>
      </c>
      <c r="Y73">
        <v>11.145612886081061</v>
      </c>
      <c r="Z73">
        <v>38.403916762495484</v>
      </c>
      <c r="AA73">
        <v>9.1323745906669931</v>
      </c>
      <c r="AB73">
        <v>41.724587119131179</v>
      </c>
      <c r="AC73">
        <v>0.13388900275720889</v>
      </c>
      <c r="AD73">
        <v>11.940461805254222</v>
      </c>
      <c r="AE73">
        <v>17.055368117167845</v>
      </c>
      <c r="AF73">
        <v>14.961074119311746</v>
      </c>
      <c r="AG73">
        <v>27.851993040630145</v>
      </c>
      <c r="AH73">
        <v>9.8468229080161631</v>
      </c>
      <c r="AI73">
        <v>2.0411042903095402</v>
      </c>
      <c r="AK73">
        <v>55.876273702475302</v>
      </c>
    </row>
    <row r="74" spans="1:37" x14ac:dyDescent="0.2">
      <c r="A74">
        <v>73</v>
      </c>
      <c r="B74">
        <v>784</v>
      </c>
      <c r="C74">
        <v>125</v>
      </c>
      <c r="D74">
        <v>0.47832426807926898</v>
      </c>
      <c r="E74">
        <v>116.86562083429845</v>
      </c>
      <c r="F74">
        <v>70.547873370571949</v>
      </c>
      <c r="G74">
        <v>73.919353949731189</v>
      </c>
      <c r="H74">
        <v>69.383883637000309</v>
      </c>
      <c r="J74">
        <v>69.386556870343711</v>
      </c>
      <c r="L74">
        <v>9.5543155345410931</v>
      </c>
      <c r="M74">
        <v>15.247000772782249</v>
      </c>
      <c r="N74">
        <v>2.0699070620959894</v>
      </c>
      <c r="O74">
        <v>44.566838541933116</v>
      </c>
      <c r="P74">
        <v>14.168736389919328</v>
      </c>
      <c r="R74">
        <v>23.043206751703444</v>
      </c>
      <c r="S74">
        <v>59.260112573803447</v>
      </c>
      <c r="U74">
        <v>3.4366594016474181</v>
      </c>
      <c r="V74">
        <v>48.155881056819219</v>
      </c>
      <c r="W74">
        <v>30.839306473905733</v>
      </c>
      <c r="X74">
        <v>42.896028203016577</v>
      </c>
      <c r="Y74">
        <v>10.880971102144407</v>
      </c>
      <c r="Z74">
        <v>37.917223222963045</v>
      </c>
      <c r="AA74">
        <v>8.8736814094186993</v>
      </c>
      <c r="AB74">
        <v>41.659471171880902</v>
      </c>
      <c r="AC74">
        <v>9.6098807146939288E-2</v>
      </c>
      <c r="AD74">
        <v>11.67749507782724</v>
      </c>
      <c r="AE74">
        <v>16.848297165698021</v>
      </c>
      <c r="AF74">
        <v>14.960393191272379</v>
      </c>
      <c r="AG74">
        <v>27.719394370849265</v>
      </c>
      <c r="AH74">
        <v>9.505193344507342</v>
      </c>
      <c r="AI74">
        <v>2.0067812554283799</v>
      </c>
      <c r="AK74">
        <v>55.8070643740744</v>
      </c>
    </row>
    <row r="75" spans="1:37" x14ac:dyDescent="0.2">
      <c r="A75">
        <v>74</v>
      </c>
      <c r="B75">
        <v>782</v>
      </c>
      <c r="C75">
        <v>125</v>
      </c>
      <c r="D75">
        <v>0.47720276737904699</v>
      </c>
      <c r="E75">
        <v>116.65991639297633</v>
      </c>
      <c r="F75">
        <v>69.681028995596989</v>
      </c>
      <c r="G75">
        <v>73.763464347334335</v>
      </c>
      <c r="H75">
        <v>69.222406901794244</v>
      </c>
      <c r="J75">
        <v>69.270009362560614</v>
      </c>
      <c r="L75">
        <v>9.306054319574967</v>
      </c>
      <c r="M75">
        <v>15.286910574579256</v>
      </c>
      <c r="N75">
        <v>2.0359300227963053</v>
      </c>
      <c r="O75">
        <v>43.400735919261081</v>
      </c>
      <c r="P75">
        <v>13.865448573224885</v>
      </c>
      <c r="R75">
        <v>22.704755377586501</v>
      </c>
      <c r="S75">
        <v>58.975462583574043</v>
      </c>
      <c r="U75">
        <v>3.4249030772800566</v>
      </c>
      <c r="V75">
        <v>48.219072984497764</v>
      </c>
      <c r="W75">
        <v>30.633034411042626</v>
      </c>
      <c r="X75">
        <v>42.984756651129295</v>
      </c>
      <c r="Y75">
        <v>10.616498989445452</v>
      </c>
      <c r="Z75">
        <v>37.43113861886475</v>
      </c>
      <c r="AA75">
        <v>8.6148484462733474</v>
      </c>
      <c r="AB75">
        <v>41.583877952606713</v>
      </c>
      <c r="AC75">
        <v>5.8140368866423299E-2</v>
      </c>
      <c r="AD75">
        <v>11.414107521234412</v>
      </c>
      <c r="AE75">
        <v>16.641386480379268</v>
      </c>
      <c r="AF75">
        <v>14.960086679530313</v>
      </c>
      <c r="AG75">
        <v>27.576159016902579</v>
      </c>
      <c r="AH75">
        <v>9.1634164151700919</v>
      </c>
      <c r="AI75">
        <v>1.9722862395816867</v>
      </c>
      <c r="AK75">
        <v>55.738264772231759</v>
      </c>
    </row>
    <row r="76" spans="1:37" x14ac:dyDescent="0.2">
      <c r="A76">
        <v>75</v>
      </c>
      <c r="B76">
        <v>780</v>
      </c>
      <c r="C76">
        <v>125</v>
      </c>
      <c r="D76">
        <v>0.47607700707401701</v>
      </c>
      <c r="E76">
        <v>116.45621072856422</v>
      </c>
      <c r="F76">
        <v>68.819069388007236</v>
      </c>
      <c r="G76">
        <v>73.607936343445559</v>
      </c>
      <c r="H76">
        <v>69.061341834290999</v>
      </c>
      <c r="J76">
        <v>69.149008985595415</v>
      </c>
      <c r="L76">
        <v>9.056843111491224</v>
      </c>
      <c r="M76">
        <v>15.327225762275624</v>
      </c>
      <c r="N76">
        <v>2.0017937907016869</v>
      </c>
      <c r="O76">
        <v>42.236334691257511</v>
      </c>
      <c r="P76">
        <v>13.56275340003587</v>
      </c>
      <c r="R76">
        <v>22.362392386903171</v>
      </c>
      <c r="S76">
        <v>58.672367560155244</v>
      </c>
      <c r="U76">
        <v>3.4146418012440134</v>
      </c>
      <c r="V76">
        <v>48.275451798229355</v>
      </c>
      <c r="W76">
        <v>30.429993030191504</v>
      </c>
      <c r="X76">
        <v>43.078871466891499</v>
      </c>
      <c r="Y76">
        <v>10.352358843093279</v>
      </c>
      <c r="Z76">
        <v>36.945681639895227</v>
      </c>
      <c r="AA76">
        <v>8.3558719328837903</v>
      </c>
      <c r="AB76">
        <v>41.497708029871639</v>
      </c>
      <c r="AC76">
        <v>2.0023354284375454E-2</v>
      </c>
      <c r="AD76">
        <v>11.150356234450474</v>
      </c>
      <c r="AE76">
        <v>16.434572114263428</v>
      </c>
      <c r="AF76">
        <v>14.96002712652551</v>
      </c>
      <c r="AG76">
        <v>27.422197260736979</v>
      </c>
      <c r="AH76">
        <v>8.8217306592408402</v>
      </c>
      <c r="AI76">
        <v>1.9376288980188812</v>
      </c>
      <c r="AK76">
        <v>55.669903647510402</v>
      </c>
    </row>
    <row r="77" spans="1:37" x14ac:dyDescent="0.2">
      <c r="A77">
        <v>76</v>
      </c>
      <c r="B77">
        <v>778</v>
      </c>
      <c r="C77">
        <v>125</v>
      </c>
      <c r="D77">
        <v>0.47494696285021398</v>
      </c>
      <c r="E77">
        <v>116.13719307958164</v>
      </c>
      <c r="F77">
        <v>67.299745963506339</v>
      </c>
      <c r="G77">
        <v>73.341591128236416</v>
      </c>
      <c r="H77">
        <v>68.789509783404213</v>
      </c>
      <c r="J77">
        <v>68.799792580309585</v>
      </c>
      <c r="L77">
        <v>8.6282914702758102</v>
      </c>
      <c r="M77">
        <v>15.371570348463131</v>
      </c>
      <c r="N77">
        <v>1.9855277633250379</v>
      </c>
      <c r="O77">
        <v>40.423970435614642</v>
      </c>
      <c r="P77">
        <v>13.056322817767741</v>
      </c>
      <c r="R77">
        <v>21.775997208322561</v>
      </c>
      <c r="S77">
        <v>58.018492409167088</v>
      </c>
      <c r="U77">
        <v>3.4002367716868593</v>
      </c>
      <c r="V77">
        <v>48.30218161885071</v>
      </c>
      <c r="W77">
        <v>30.117141039640632</v>
      </c>
      <c r="X77">
        <v>43.145421263566433</v>
      </c>
      <c r="Y77">
        <v>9.8812146754464489</v>
      </c>
      <c r="Z77">
        <v>36.09743451639153</v>
      </c>
      <c r="AA77">
        <v>7.9144873454526969</v>
      </c>
      <c r="AB77">
        <v>41.295210568028565</v>
      </c>
      <c r="AD77">
        <v>10.661378241029244</v>
      </c>
      <c r="AE77">
        <v>16.097704410576611</v>
      </c>
      <c r="AF77">
        <v>14.981867984739344</v>
      </c>
      <c r="AG77">
        <v>27.169787708016372</v>
      </c>
      <c r="AH77">
        <v>8.1593804194585964</v>
      </c>
      <c r="AI77">
        <v>1.9208386136333147</v>
      </c>
      <c r="AK77">
        <v>55.444675797864868</v>
      </c>
    </row>
    <row r="78" spans="1:37" x14ac:dyDescent="0.2">
      <c r="A78">
        <v>77</v>
      </c>
      <c r="B78">
        <v>776</v>
      </c>
      <c r="C78">
        <v>125</v>
      </c>
      <c r="D78">
        <v>0.47381261020826598</v>
      </c>
      <c r="E78">
        <v>115.64392926140412</v>
      </c>
      <c r="F78">
        <v>64.673760134639167</v>
      </c>
      <c r="G78">
        <v>72.890649239499638</v>
      </c>
      <c r="H78">
        <v>68.333131446271253</v>
      </c>
      <c r="J78">
        <v>67.978575408951869</v>
      </c>
      <c r="L78">
        <v>7.8815021354880086</v>
      </c>
      <c r="M78">
        <v>15.428406411570371</v>
      </c>
      <c r="N78">
        <v>1.989487117081304</v>
      </c>
      <c r="O78">
        <v>37.477512498738491</v>
      </c>
      <c r="P78">
        <v>12.200953248905998</v>
      </c>
      <c r="R78">
        <v>20.730509654051843</v>
      </c>
      <c r="S78">
        <v>56.556430562138523</v>
      </c>
      <c r="U78">
        <v>3.400395843348726</v>
      </c>
      <c r="V78">
        <v>48.212990096027127</v>
      </c>
      <c r="W78">
        <v>29.687815135758829</v>
      </c>
      <c r="X78">
        <v>43.237082128976674</v>
      </c>
      <c r="Y78">
        <v>9.0579213782485066</v>
      </c>
      <c r="Z78">
        <v>34.600197387646396</v>
      </c>
      <c r="AA78">
        <v>7.1535671178962952</v>
      </c>
      <c r="AB78">
        <v>40.759227753595979</v>
      </c>
      <c r="AD78">
        <v>9.776160307711125</v>
      </c>
      <c r="AE78">
        <v>15.515980953458463</v>
      </c>
      <c r="AF78">
        <v>15.03642655158157</v>
      </c>
      <c r="AG78">
        <v>26.604127765747045</v>
      </c>
      <c r="AH78">
        <v>6.9569994018314736</v>
      </c>
      <c r="AI78">
        <v>1.9242705482121145</v>
      </c>
      <c r="AK78">
        <v>54.934178756745602</v>
      </c>
    </row>
    <row r="79" spans="1:37" x14ac:dyDescent="0.2">
      <c r="A79">
        <v>78</v>
      </c>
      <c r="B79">
        <v>774</v>
      </c>
      <c r="C79">
        <v>125</v>
      </c>
      <c r="D79">
        <v>0.47267392446163797</v>
      </c>
      <c r="E79">
        <v>114.31006036120854</v>
      </c>
      <c r="F79">
        <v>55.580278159982235</v>
      </c>
      <c r="G79">
        <v>71.49958453414132</v>
      </c>
      <c r="H79">
        <v>66.936680839752398</v>
      </c>
      <c r="J79">
        <v>63.851715423293179</v>
      </c>
      <c r="L79">
        <v>5.2997666145959306</v>
      </c>
      <c r="M79">
        <v>15.378195906842233</v>
      </c>
      <c r="N79">
        <v>1.9934010329280234</v>
      </c>
      <c r="O79">
        <v>27.953411551788339</v>
      </c>
      <c r="P79">
        <v>9.4653217596424799</v>
      </c>
      <c r="R79">
        <v>16.81880525008776</v>
      </c>
      <c r="S79">
        <v>49.917436049439104</v>
      </c>
      <c r="U79">
        <v>3.4473601467519259</v>
      </c>
      <c r="V79">
        <v>47.356463225681615</v>
      </c>
      <c r="W79">
        <v>29.312305614902165</v>
      </c>
      <c r="X79">
        <v>43.45599867420534</v>
      </c>
      <c r="Y79">
        <v>6.3388927973970386</v>
      </c>
      <c r="Z79">
        <v>28.629417331444373</v>
      </c>
      <c r="AA79">
        <v>4.5559784792409337</v>
      </c>
      <c r="AB79">
        <v>37.580087298019386</v>
      </c>
      <c r="AD79">
        <v>6.3187760331977971</v>
      </c>
      <c r="AE79">
        <v>12.968405661488305</v>
      </c>
      <c r="AF79">
        <v>14.983894006018266</v>
      </c>
      <c r="AG79">
        <v>23.3952743706785</v>
      </c>
      <c r="AH79">
        <v>2.8647230482496653</v>
      </c>
      <c r="AI79">
        <v>1.9276538680741748</v>
      </c>
      <c r="AK79">
        <v>52.445554163654421</v>
      </c>
    </row>
    <row r="80" spans="1:37" x14ac:dyDescent="0.2">
      <c r="A80">
        <v>79</v>
      </c>
      <c r="B80">
        <v>772</v>
      </c>
      <c r="C80">
        <v>125</v>
      </c>
      <c r="D80">
        <v>0.47153088073482102</v>
      </c>
      <c r="E80">
        <v>113.93172155646936</v>
      </c>
      <c r="F80">
        <v>50.346541902785596</v>
      </c>
      <c r="G80">
        <v>70.953501479450736</v>
      </c>
      <c r="H80">
        <v>66.38526259169879</v>
      </c>
      <c r="J80">
        <v>54.061750725059156</v>
      </c>
      <c r="L80">
        <v>2.5507807645869836</v>
      </c>
      <c r="M80">
        <v>15.152428159813498</v>
      </c>
      <c r="N80">
        <v>1.9973632021038645</v>
      </c>
      <c r="O80">
        <v>15.113046717970061</v>
      </c>
      <c r="P80">
        <v>8.4197311481479193</v>
      </c>
      <c r="R80">
        <v>13.175281488424458</v>
      </c>
      <c r="S80">
        <v>41.559529249973934</v>
      </c>
      <c r="U80">
        <v>3.5172343152722481</v>
      </c>
      <c r="V80">
        <v>46.508154360931719</v>
      </c>
      <c r="W80">
        <v>28.825520192677729</v>
      </c>
      <c r="X80">
        <v>43.737430743138631</v>
      </c>
      <c r="Y80">
        <v>4.0659581036365235</v>
      </c>
      <c r="Z80">
        <v>22.649342997705123</v>
      </c>
      <c r="AA80">
        <v>1.5140341165166902</v>
      </c>
      <c r="AB80">
        <v>33.690959874795347</v>
      </c>
      <c r="AD80">
        <v>3.0147353364308862</v>
      </c>
      <c r="AE80">
        <v>9.8344490240410725</v>
      </c>
      <c r="AF80">
        <v>14.755853407775254</v>
      </c>
      <c r="AG80">
        <v>19.47649193217493</v>
      </c>
      <c r="AI80">
        <v>1.9310822498110207</v>
      </c>
      <c r="AK80">
        <v>46.222563244518923</v>
      </c>
    </row>
    <row r="81" spans="1:37" x14ac:dyDescent="0.2">
      <c r="A81">
        <v>80</v>
      </c>
      <c r="B81">
        <v>770</v>
      </c>
      <c r="C81">
        <v>125</v>
      </c>
      <c r="D81">
        <v>0.47038345396155901</v>
      </c>
      <c r="E81">
        <v>114.4427810539089</v>
      </c>
      <c r="F81">
        <v>49.928946004857714</v>
      </c>
      <c r="G81">
        <v>71.167230003727013</v>
      </c>
      <c r="H81">
        <v>66.593706791589383</v>
      </c>
      <c r="J81">
        <v>43.204544741728753</v>
      </c>
      <c r="L81">
        <v>1.4809817005723525</v>
      </c>
      <c r="M81">
        <v>14.560325283817113</v>
      </c>
      <c r="N81">
        <v>2.0013772947829898</v>
      </c>
      <c r="O81">
        <v>9.3780541959791233</v>
      </c>
      <c r="P81">
        <v>8.8938451145027919</v>
      </c>
      <c r="R81">
        <v>11.709061920647928</v>
      </c>
      <c r="S81">
        <v>38.105610369816866</v>
      </c>
      <c r="U81">
        <v>3.5342301974941437</v>
      </c>
      <c r="V81">
        <v>46.799395262152537</v>
      </c>
      <c r="W81">
        <v>28.015273164041684</v>
      </c>
      <c r="X81">
        <v>43.867333399808949</v>
      </c>
      <c r="Y81">
        <v>3.1337874989041676</v>
      </c>
      <c r="Z81">
        <v>18.732640346290069</v>
      </c>
      <c r="AB81">
        <v>31.393983193885838</v>
      </c>
      <c r="AD81">
        <v>0.95504399931993578</v>
      </c>
      <c r="AE81">
        <v>7.4582719080663598</v>
      </c>
      <c r="AF81">
        <v>14.161530583508508</v>
      </c>
      <c r="AG81">
        <v>17.149921875277574</v>
      </c>
      <c r="AI81">
        <v>1.9345593489405915</v>
      </c>
      <c r="AK81">
        <v>39.009788558291397</v>
      </c>
    </row>
    <row r="82" spans="1:37" x14ac:dyDescent="0.2">
      <c r="A82">
        <v>81</v>
      </c>
      <c r="B82">
        <v>768</v>
      </c>
      <c r="C82">
        <v>125</v>
      </c>
      <c r="D82">
        <v>0.46923161888296799</v>
      </c>
      <c r="E82">
        <v>114.82936653833153</v>
      </c>
      <c r="F82">
        <v>50.430464521570769</v>
      </c>
      <c r="G82">
        <v>71.210327621773246</v>
      </c>
      <c r="H82">
        <v>66.631571116023125</v>
      </c>
      <c r="J82">
        <v>36.562777712846696</v>
      </c>
      <c r="L82">
        <v>1.509644975319592</v>
      </c>
      <c r="M82">
        <v>13.785458925425399</v>
      </c>
      <c r="N82">
        <v>2.0053824985250479</v>
      </c>
      <c r="O82">
        <v>9.164211191758719</v>
      </c>
      <c r="P82">
        <v>9.0267180501292312</v>
      </c>
      <c r="R82">
        <v>11.135423374864887</v>
      </c>
      <c r="S82">
        <v>38.454128291870731</v>
      </c>
      <c r="U82">
        <v>3.5064343106889955</v>
      </c>
      <c r="V82">
        <v>47.728009330480461</v>
      </c>
      <c r="W82">
        <v>27.055204688666439</v>
      </c>
      <c r="X82">
        <v>43.869277617550125</v>
      </c>
      <c r="Y82">
        <v>2.7917039464376243</v>
      </c>
      <c r="Z82">
        <v>17.586017589973135</v>
      </c>
      <c r="AB82">
        <v>31.287792176483268</v>
      </c>
      <c r="AE82">
        <v>6.7620418420120929</v>
      </c>
      <c r="AF82">
        <v>13.384436410697598</v>
      </c>
      <c r="AG82">
        <v>17.014138353928264</v>
      </c>
      <c r="AI82">
        <v>1.9380243383586289</v>
      </c>
      <c r="AK82">
        <v>34.436881844887651</v>
      </c>
    </row>
    <row r="83" spans="1:37" x14ac:dyDescent="0.2">
      <c r="A83">
        <v>82</v>
      </c>
      <c r="B83">
        <v>808</v>
      </c>
      <c r="C83">
        <v>100</v>
      </c>
      <c r="D83">
        <v>0.51689451047495805</v>
      </c>
      <c r="E83">
        <v>104.39485750053885</v>
      </c>
      <c r="F83">
        <v>77.428650199553445</v>
      </c>
      <c r="G83">
        <v>75.307090312968754</v>
      </c>
      <c r="H83">
        <v>70.841932308884154</v>
      </c>
      <c r="J83">
        <v>70.413327196609401</v>
      </c>
      <c r="L83">
        <v>11.305183709334917</v>
      </c>
      <c r="M83">
        <v>15.777791608008465</v>
      </c>
      <c r="N83">
        <v>2.1206475634262634</v>
      </c>
      <c r="O83">
        <v>55.011449758402208</v>
      </c>
      <c r="P83">
        <v>16.346791845807608</v>
      </c>
      <c r="Q83">
        <v>6.2346728629910857E-2</v>
      </c>
      <c r="R83">
        <v>26.736211687935771</v>
      </c>
      <c r="S83">
        <v>65.597627577282111</v>
      </c>
      <c r="U83">
        <v>4.6689754921016577</v>
      </c>
      <c r="V83">
        <v>48.241510741508819</v>
      </c>
      <c r="W83">
        <v>35.602177579720305</v>
      </c>
      <c r="X83">
        <v>42.562683382955555</v>
      </c>
      <c r="Y83">
        <v>12.710288951160692</v>
      </c>
      <c r="Z83">
        <v>42.422157080841529</v>
      </c>
      <c r="AA83">
        <v>10.750272359476446</v>
      </c>
      <c r="AB83">
        <v>43.932546227468933</v>
      </c>
      <c r="AC83">
        <v>0.28635452854025323</v>
      </c>
      <c r="AD83">
        <v>13.855325350453487</v>
      </c>
      <c r="AE83">
        <v>19.176023817599628</v>
      </c>
      <c r="AF83">
        <v>15.69416888927438</v>
      </c>
      <c r="AG83">
        <v>30.554152204948</v>
      </c>
      <c r="AH83">
        <v>11.803465149212418</v>
      </c>
      <c r="AI83">
        <v>2.0605922231262985</v>
      </c>
      <c r="AK83">
        <v>55.451371319678636</v>
      </c>
    </row>
    <row r="84" spans="1:37" x14ac:dyDescent="0.2">
      <c r="A84">
        <v>83</v>
      </c>
      <c r="B84">
        <v>806</v>
      </c>
      <c r="C84">
        <v>100</v>
      </c>
      <c r="D84">
        <v>0.51586943427697896</v>
      </c>
      <c r="E84">
        <v>104.19130401017951</v>
      </c>
      <c r="F84">
        <v>76.719144136715656</v>
      </c>
      <c r="G84">
        <v>75.182490416116593</v>
      </c>
      <c r="H84">
        <v>70.71113604519428</v>
      </c>
      <c r="J84">
        <v>70.277723027734723</v>
      </c>
      <c r="L84">
        <v>11.125285380477971</v>
      </c>
      <c r="M84">
        <v>15.729591812493885</v>
      </c>
      <c r="N84">
        <v>2.1019673137745909</v>
      </c>
      <c r="O84">
        <v>54.120119845976149</v>
      </c>
      <c r="P84">
        <v>16.121030812945282</v>
      </c>
      <c r="R84">
        <v>26.393846356257626</v>
      </c>
      <c r="S84">
        <v>65.051714430022898</v>
      </c>
      <c r="U84">
        <v>4.5879639863863746</v>
      </c>
      <c r="V84">
        <v>48.175422224451879</v>
      </c>
      <c r="W84">
        <v>35.301186831071377</v>
      </c>
      <c r="X84">
        <v>42.414654196418759</v>
      </c>
      <c r="Y84">
        <v>12.518260760783749</v>
      </c>
      <c r="Z84">
        <v>42.02742255924467</v>
      </c>
      <c r="AA84">
        <v>10.56162659176816</v>
      </c>
      <c r="AB84">
        <v>43.759581894597794</v>
      </c>
      <c r="AC84">
        <v>0.2636808583597508</v>
      </c>
      <c r="AD84">
        <v>13.654175110746607</v>
      </c>
      <c r="AE84">
        <v>18.998137946704045</v>
      </c>
      <c r="AF84">
        <v>15.621035995048262</v>
      </c>
      <c r="AG84">
        <v>30.32879768405062</v>
      </c>
      <c r="AH84">
        <v>11.547601050382438</v>
      </c>
      <c r="AI84">
        <v>2.0414327114745596</v>
      </c>
      <c r="AK84">
        <v>55.415826005999023</v>
      </c>
    </row>
    <row r="85" spans="1:37" x14ac:dyDescent="0.2">
      <c r="A85">
        <v>84</v>
      </c>
      <c r="B85">
        <v>804</v>
      </c>
      <c r="C85">
        <v>100</v>
      </c>
      <c r="D85">
        <v>0.514840551455232</v>
      </c>
      <c r="E85">
        <v>103.98319573009564</v>
      </c>
      <c r="F85">
        <v>75.850906152578744</v>
      </c>
      <c r="G85">
        <v>75.027474682128812</v>
      </c>
      <c r="H85">
        <v>70.54997216403514</v>
      </c>
      <c r="J85">
        <v>70.164375333587728</v>
      </c>
      <c r="L85">
        <v>10.885729771237193</v>
      </c>
      <c r="M85">
        <v>15.764404442898137</v>
      </c>
      <c r="N85">
        <v>2.0696130455268515</v>
      </c>
      <c r="O85">
        <v>52.959731938288577</v>
      </c>
      <c r="P85">
        <v>15.820790748251461</v>
      </c>
      <c r="R85">
        <v>26.06860343632129</v>
      </c>
      <c r="S85">
        <v>64.797292190451785</v>
      </c>
      <c r="U85">
        <v>4.5730018956186012</v>
      </c>
      <c r="V85">
        <v>48.251546497513701</v>
      </c>
      <c r="W85">
        <v>35.077666970499948</v>
      </c>
      <c r="X85">
        <v>42.485635202687703</v>
      </c>
      <c r="Y85">
        <v>12.258079781101234</v>
      </c>
      <c r="Z85">
        <v>41.540566621324437</v>
      </c>
      <c r="AA85">
        <v>10.30819332965625</v>
      </c>
      <c r="AB85">
        <v>43.701160504273432</v>
      </c>
      <c r="AC85">
        <v>0.22733382759587537</v>
      </c>
      <c r="AD85">
        <v>13.398285057561832</v>
      </c>
      <c r="AE85">
        <v>18.789203406073611</v>
      </c>
      <c r="AF85">
        <v>15.617241804090348</v>
      </c>
      <c r="AG85">
        <v>30.204321076168206</v>
      </c>
      <c r="AH85">
        <v>11.213598704683564</v>
      </c>
      <c r="AI85">
        <v>2.0085962227920042</v>
      </c>
      <c r="AK85">
        <v>55.346435384535262</v>
      </c>
    </row>
    <row r="86" spans="1:37" x14ac:dyDescent="0.2">
      <c r="A86">
        <v>85</v>
      </c>
      <c r="B86">
        <v>802</v>
      </c>
      <c r="C86">
        <v>100</v>
      </c>
      <c r="D86">
        <v>0.51380784076640695</v>
      </c>
      <c r="E86">
        <v>103.77691575340069</v>
      </c>
      <c r="F86">
        <v>74.987032823012186</v>
      </c>
      <c r="G86">
        <v>74.872659914624833</v>
      </c>
      <c r="H86">
        <v>70.389057620780036</v>
      </c>
      <c r="J86">
        <v>70.047305220484006</v>
      </c>
      <c r="L86">
        <v>10.644919458558967</v>
      </c>
      <c r="M86">
        <v>15.799812457292477</v>
      </c>
      <c r="N86">
        <v>2.037129305479521</v>
      </c>
      <c r="O86">
        <v>51.800407328548346</v>
      </c>
      <c r="P86">
        <v>15.520849964707979</v>
      </c>
      <c r="R86">
        <v>25.739191613700118</v>
      </c>
      <c r="S86">
        <v>64.5267739698903</v>
      </c>
      <c r="U86">
        <v>4.5595783728571444</v>
      </c>
      <c r="V86">
        <v>48.321647977785432</v>
      </c>
      <c r="W86">
        <v>34.85699673667083</v>
      </c>
      <c r="X86">
        <v>42.562202022162808</v>
      </c>
      <c r="Y86">
        <v>11.997976964555775</v>
      </c>
      <c r="Z86">
        <v>41.054495629347834</v>
      </c>
      <c r="AA86">
        <v>10.054585042917068</v>
      </c>
      <c r="AB86">
        <v>43.633614914791714</v>
      </c>
      <c r="AC86">
        <v>0.1908579796152739</v>
      </c>
      <c r="AD86">
        <v>13.142333244559673</v>
      </c>
      <c r="AE86">
        <v>18.580610868669339</v>
      </c>
      <c r="AF86">
        <v>15.613913861399535</v>
      </c>
      <c r="AG86">
        <v>30.070599827065358</v>
      </c>
      <c r="AH86">
        <v>10.879152697529099</v>
      </c>
      <c r="AI86">
        <v>1.9756272894091058</v>
      </c>
      <c r="AK86">
        <v>55.277566171727173</v>
      </c>
    </row>
    <row r="87" spans="1:37" x14ac:dyDescent="0.2">
      <c r="A87">
        <v>86</v>
      </c>
      <c r="B87">
        <v>800</v>
      </c>
      <c r="C87">
        <v>100</v>
      </c>
      <c r="D87">
        <v>0.51277128080883805</v>
      </c>
      <c r="E87">
        <v>103.57247078448246</v>
      </c>
      <c r="F87">
        <v>74.127740846200112</v>
      </c>
      <c r="G87">
        <v>74.718118530468757</v>
      </c>
      <c r="H87">
        <v>70.22846498460855</v>
      </c>
      <c r="J87">
        <v>69.926525539621153</v>
      </c>
      <c r="L87">
        <v>10.403053564438574</v>
      </c>
      <c r="M87">
        <v>15.835706075901767</v>
      </c>
      <c r="N87">
        <v>2.0045271792919808</v>
      </c>
      <c r="O87">
        <v>50.642591278818877</v>
      </c>
      <c r="P87">
        <v>15.221364541495603</v>
      </c>
      <c r="R87">
        <v>25.405929297551474</v>
      </c>
      <c r="S87">
        <v>64.240040901890751</v>
      </c>
      <c r="U87">
        <v>4.5475748995915994</v>
      </c>
      <c r="V87">
        <v>48.385712359824822</v>
      </c>
      <c r="W87">
        <v>34.639140345483419</v>
      </c>
      <c r="X87">
        <v>42.643998280165803</v>
      </c>
      <c r="Y87">
        <v>11.738092884742903</v>
      </c>
      <c r="Z87">
        <v>40.569260621516072</v>
      </c>
      <c r="AA87">
        <v>9.8007673845234748</v>
      </c>
      <c r="AB87">
        <v>43.556838848648418</v>
      </c>
      <c r="AC87">
        <v>0.1542643966423779</v>
      </c>
      <c r="AD87">
        <v>12.886414515231017</v>
      </c>
      <c r="AE87">
        <v>18.372323988368265</v>
      </c>
      <c r="AF87">
        <v>15.610953513180155</v>
      </c>
      <c r="AG87">
        <v>29.92753878581896</v>
      </c>
      <c r="AH87">
        <v>10.544476822717868</v>
      </c>
      <c r="AI87">
        <v>1.9425369825046941</v>
      </c>
      <c r="AK87">
        <v>55.209250769012634</v>
      </c>
    </row>
    <row r="88" spans="1:37" x14ac:dyDescent="0.2">
      <c r="A88">
        <v>87</v>
      </c>
      <c r="B88">
        <v>798</v>
      </c>
      <c r="C88">
        <v>100</v>
      </c>
      <c r="D88">
        <v>0.51173085002101004</v>
      </c>
      <c r="E88">
        <v>103.3698630948017</v>
      </c>
      <c r="F88">
        <v>73.273227477956297</v>
      </c>
      <c r="G88">
        <v>74.56392029600147</v>
      </c>
      <c r="H88">
        <v>70.068264174748435</v>
      </c>
      <c r="J88">
        <v>69.802075425966152</v>
      </c>
      <c r="L88">
        <v>10.160323816245272</v>
      </c>
      <c r="M88">
        <v>15.871974721146415</v>
      </c>
      <c r="N88">
        <v>1.9718175840805365</v>
      </c>
      <c r="O88">
        <v>49.48671262353642</v>
      </c>
      <c r="P88">
        <v>14.922485089071273</v>
      </c>
      <c r="R88">
        <v>25.069130928129333</v>
      </c>
      <c r="S88">
        <v>63.937084572916</v>
      </c>
      <c r="U88">
        <v>4.5368705822260242</v>
      </c>
      <c r="V88">
        <v>48.44375820557228</v>
      </c>
      <c r="W88">
        <v>34.424056467003233</v>
      </c>
      <c r="X88">
        <v>42.730660865629787</v>
      </c>
      <c r="Y88">
        <v>11.478563482548298</v>
      </c>
      <c r="Z88">
        <v>40.084904660005563</v>
      </c>
      <c r="AA88">
        <v>9.546953605925184</v>
      </c>
      <c r="AB88">
        <v>43.470784857097371</v>
      </c>
      <c r="AC88">
        <v>0.11756399235179053</v>
      </c>
      <c r="AD88">
        <v>12.630619271838755</v>
      </c>
      <c r="AE88">
        <v>18.164304129755585</v>
      </c>
      <c r="AF88">
        <v>15.608261139466673</v>
      </c>
      <c r="AG88">
        <v>29.775101461972572</v>
      </c>
      <c r="AH88">
        <v>10.209777992681337</v>
      </c>
      <c r="AI88">
        <v>1.9093362046995048</v>
      </c>
      <c r="AK88">
        <v>55.141518723088353</v>
      </c>
    </row>
    <row r="89" spans="1:37" x14ac:dyDescent="0.2">
      <c r="A89">
        <v>88</v>
      </c>
      <c r="B89">
        <v>796</v>
      </c>
      <c r="C89">
        <v>100</v>
      </c>
      <c r="D89">
        <v>0.51068652668007097</v>
      </c>
      <c r="E89">
        <v>103.16909084736466</v>
      </c>
      <c r="F89">
        <v>72.423669428225338</v>
      </c>
      <c r="G89">
        <v>74.410131793566975</v>
      </c>
      <c r="H89">
        <v>69.908521926997693</v>
      </c>
      <c r="J89">
        <v>69.674016948652778</v>
      </c>
      <c r="L89">
        <v>9.9169133720194367</v>
      </c>
      <c r="M89">
        <v>15.908507955293302</v>
      </c>
      <c r="N89">
        <v>1.9390111004819823</v>
      </c>
      <c r="O89">
        <v>48.333180065000896</v>
      </c>
      <c r="P89">
        <v>14.624355514283266</v>
      </c>
      <c r="R89">
        <v>24.729103181189295</v>
      </c>
      <c r="S89">
        <v>63.617995906831254</v>
      </c>
      <c r="U89">
        <v>4.5273434746765187</v>
      </c>
      <c r="V89">
        <v>48.495832891120877</v>
      </c>
      <c r="W89">
        <v>34.211699414291694</v>
      </c>
      <c r="X89">
        <v>42.82182396985457</v>
      </c>
      <c r="Y89">
        <v>11.219518947990446</v>
      </c>
      <c r="Z89">
        <v>39.601462315009535</v>
      </c>
      <c r="AA89">
        <v>9.2933345312285027</v>
      </c>
      <c r="AB89">
        <v>43.375458874600767</v>
      </c>
      <c r="AC89">
        <v>8.0767343934179225E-2</v>
      </c>
      <c r="AD89">
        <v>12.375032777290071</v>
      </c>
      <c r="AE89">
        <v>17.956510551982557</v>
      </c>
      <c r="AF89">
        <v>15.605736923847823</v>
      </c>
      <c r="AG89">
        <v>29.613304412052035</v>
      </c>
      <c r="AH89">
        <v>9.8752547728043698</v>
      </c>
      <c r="AI89">
        <v>1.8760355221213736</v>
      </c>
      <c r="AK89">
        <v>55.074396369304544</v>
      </c>
    </row>
    <row r="90" spans="1:37" x14ac:dyDescent="0.2">
      <c r="A90">
        <v>89</v>
      </c>
      <c r="B90">
        <v>794</v>
      </c>
      <c r="C90">
        <v>100</v>
      </c>
      <c r="D90">
        <v>0.50963828890034402</v>
      </c>
      <c r="E90">
        <v>102.97014842505337</v>
      </c>
      <c r="F90">
        <v>71.579222442595025</v>
      </c>
      <c r="G90">
        <v>74.256816043713499</v>
      </c>
      <c r="H90">
        <v>69.74930141593552</v>
      </c>
      <c r="J90">
        <v>69.542431927242461</v>
      </c>
      <c r="L90">
        <v>9.6729960517782931</v>
      </c>
      <c r="M90">
        <v>15.945196238831979</v>
      </c>
      <c r="N90">
        <v>1.9061178559231415</v>
      </c>
      <c r="O90">
        <v>47.182379638713343</v>
      </c>
      <c r="P90">
        <v>14.327112148048826</v>
      </c>
      <c r="R90">
        <v>24.386141969598835</v>
      </c>
      <c r="S90">
        <v>63.282953769957579</v>
      </c>
      <c r="U90">
        <v>4.5188716630137593</v>
      </c>
      <c r="V90">
        <v>48.542008597073121</v>
      </c>
      <c r="W90">
        <v>34.002020139530288</v>
      </c>
      <c r="X90">
        <v>42.917122353377103</v>
      </c>
      <c r="Y90">
        <v>10.961082925448727</v>
      </c>
      <c r="Z90">
        <v>39.118959541097254</v>
      </c>
      <c r="AA90">
        <v>9.0398792752914456</v>
      </c>
      <c r="AB90">
        <v>43.270914625877808</v>
      </c>
      <c r="AC90">
        <v>4.388457536372193E-2</v>
      </c>
      <c r="AD90">
        <v>12.11973471178595</v>
      </c>
      <c r="AE90">
        <v>17.748900700446448</v>
      </c>
      <c r="AF90">
        <v>15.603281495108046</v>
      </c>
      <c r="AG90">
        <v>29.442211529885885</v>
      </c>
      <c r="AH90">
        <v>9.5410963217261244</v>
      </c>
      <c r="AI90">
        <v>1.8426450476743126</v>
      </c>
      <c r="AK90">
        <v>55.007906670653306</v>
      </c>
    </row>
    <row r="91" spans="1:37" x14ac:dyDescent="0.2">
      <c r="A91">
        <v>90</v>
      </c>
      <c r="B91">
        <v>792</v>
      </c>
      <c r="C91">
        <v>100</v>
      </c>
      <c r="D91">
        <v>0.50858611463174297</v>
      </c>
      <c r="E91">
        <v>102.7730267361631</v>
      </c>
      <c r="F91">
        <v>70.740021494630696</v>
      </c>
      <c r="G91">
        <v>74.104032267678321</v>
      </c>
      <c r="H91">
        <v>69.590662017406686</v>
      </c>
      <c r="J91">
        <v>69.407419103162241</v>
      </c>
      <c r="L91">
        <v>9.4287359258280006</v>
      </c>
      <c r="M91">
        <v>15.98193152422005</v>
      </c>
      <c r="N91">
        <v>1.8731474630201661</v>
      </c>
      <c r="O91">
        <v>46.034673282115804</v>
      </c>
      <c r="P91">
        <v>14.030883208732153</v>
      </c>
      <c r="R91">
        <v>24.040530260861004</v>
      </c>
      <c r="S91">
        <v>62.93221398872592</v>
      </c>
      <c r="U91">
        <v>4.5113341068020718</v>
      </c>
      <c r="V91">
        <v>48.582378548499236</v>
      </c>
      <c r="W91">
        <v>33.794966982870228</v>
      </c>
      <c r="X91">
        <v>43.01619386623765</v>
      </c>
      <c r="Y91">
        <v>10.703372018447931</v>
      </c>
      <c r="Z91">
        <v>38.637413950081601</v>
      </c>
      <c r="AA91">
        <v>8.786776722113645</v>
      </c>
      <c r="AB91">
        <v>43.157248262840383</v>
      </c>
      <c r="AC91">
        <v>6.9252957986859296E-3</v>
      </c>
      <c r="AD91">
        <v>11.864798978565952</v>
      </c>
      <c r="AE91">
        <v>17.541430623801304</v>
      </c>
      <c r="AF91">
        <v>15.600796459375886</v>
      </c>
      <c r="AG91">
        <v>29.261928621941482</v>
      </c>
      <c r="AH91">
        <v>9.2074817056566509</v>
      </c>
      <c r="AI91">
        <v>1.8091743794375756</v>
      </c>
      <c r="AK91">
        <v>54.942069258726242</v>
      </c>
    </row>
    <row r="92" spans="1:37" x14ac:dyDescent="0.2">
      <c r="A92">
        <v>91</v>
      </c>
      <c r="B92">
        <v>790</v>
      </c>
      <c r="C92">
        <v>100</v>
      </c>
      <c r="D92">
        <v>0.507529981658283</v>
      </c>
      <c r="E92">
        <v>102.37147838637689</v>
      </c>
      <c r="F92">
        <v>68.705575739989015</v>
      </c>
      <c r="G92">
        <v>73.74998036633869</v>
      </c>
      <c r="H92">
        <v>69.230803787475168</v>
      </c>
      <c r="J92">
        <v>68.834727606886361</v>
      </c>
      <c r="L92">
        <v>8.8538738628788387</v>
      </c>
      <c r="M92">
        <v>16.028446196471467</v>
      </c>
      <c r="N92">
        <v>1.8699706582075306</v>
      </c>
      <c r="O92">
        <v>43.694619804250401</v>
      </c>
      <c r="P92">
        <v>13.361939398679256</v>
      </c>
      <c r="R92">
        <v>23.237159131973453</v>
      </c>
      <c r="S92">
        <v>61.879442207052854</v>
      </c>
      <c r="U92">
        <v>4.5021289166504435</v>
      </c>
      <c r="V92">
        <v>48.550001388246002</v>
      </c>
      <c r="W92">
        <v>33.404031208772487</v>
      </c>
      <c r="X92">
        <v>43.086401119900202</v>
      </c>
      <c r="Y92">
        <v>10.06757431437198</v>
      </c>
      <c r="Z92">
        <v>37.489213323172237</v>
      </c>
      <c r="AA92">
        <v>8.1984063334720556</v>
      </c>
      <c r="AB92">
        <v>42.793291065012632</v>
      </c>
      <c r="AD92">
        <v>11.198212575967608</v>
      </c>
      <c r="AE92">
        <v>17.091762869996597</v>
      </c>
      <c r="AF92">
        <v>15.637884979341882</v>
      </c>
      <c r="AG92">
        <v>28.861157746375774</v>
      </c>
      <c r="AH92">
        <v>8.2928400360923611</v>
      </c>
      <c r="AI92">
        <v>1.8054942392967497</v>
      </c>
      <c r="AK92">
        <v>54.586999581261587</v>
      </c>
    </row>
    <row r="93" spans="1:37" x14ac:dyDescent="0.2">
      <c r="A93">
        <v>92</v>
      </c>
      <c r="B93">
        <v>788</v>
      </c>
      <c r="C93">
        <v>100</v>
      </c>
      <c r="D93">
        <v>0.50646986759647905</v>
      </c>
      <c r="E93">
        <v>101.85318499192435</v>
      </c>
      <c r="F93">
        <v>65.815720313111512</v>
      </c>
      <c r="G93">
        <v>73.256691342880899</v>
      </c>
      <c r="H93">
        <v>68.73175788509981</v>
      </c>
      <c r="J93">
        <v>67.815355635147455</v>
      </c>
      <c r="L93">
        <v>8.0209085587572488</v>
      </c>
      <c r="M93">
        <v>16.083270270854825</v>
      </c>
      <c r="N93">
        <v>1.8739345198891577</v>
      </c>
      <c r="O93">
        <v>40.447857143283244</v>
      </c>
      <c r="P93">
        <v>12.42168996771437</v>
      </c>
      <c r="R93">
        <v>22.035693870880923</v>
      </c>
      <c r="S93">
        <v>59.997865842819458</v>
      </c>
      <c r="U93">
        <v>4.5181901820604571</v>
      </c>
      <c r="V93">
        <v>48.367130433132942</v>
      </c>
      <c r="W93">
        <v>32.981091025289189</v>
      </c>
      <c r="X93">
        <v>43.225374000718595</v>
      </c>
      <c r="Y93">
        <v>9.159042766332945</v>
      </c>
      <c r="Z93">
        <v>35.800949118015467</v>
      </c>
      <c r="AA93">
        <v>7.3541569155704636</v>
      </c>
      <c r="AB93">
        <v>42.040803072766458</v>
      </c>
      <c r="AD93">
        <v>10.217905340595609</v>
      </c>
      <c r="AE93">
        <v>16.423581952318663</v>
      </c>
      <c r="AF93">
        <v>15.690424190104475</v>
      </c>
      <c r="AG93">
        <v>28.079006064425929</v>
      </c>
      <c r="AH93">
        <v>6.9649325984345491</v>
      </c>
      <c r="AI93">
        <v>1.8089516910937133</v>
      </c>
      <c r="AK93">
        <v>53.990670001247018</v>
      </c>
    </row>
    <row r="94" spans="1:37" x14ac:dyDescent="0.2">
      <c r="A94">
        <v>93</v>
      </c>
      <c r="B94">
        <v>786</v>
      </c>
      <c r="C94">
        <v>100</v>
      </c>
      <c r="D94">
        <v>0.50540574989378495</v>
      </c>
      <c r="E94">
        <v>100.72219574205359</v>
      </c>
      <c r="F94">
        <v>58.151743315093178</v>
      </c>
      <c r="G94">
        <v>72.066202347083362</v>
      </c>
      <c r="H94">
        <v>67.535561616418306</v>
      </c>
      <c r="J94">
        <v>64.273891196252677</v>
      </c>
      <c r="L94">
        <v>5.8223119279318016</v>
      </c>
      <c r="M94">
        <v>16.046840155080549</v>
      </c>
      <c r="N94">
        <v>1.8778621298471347</v>
      </c>
      <c r="O94">
        <v>32.32924986091458</v>
      </c>
      <c r="P94">
        <v>10.08703246311957</v>
      </c>
      <c r="R94">
        <v>18.666743650957972</v>
      </c>
      <c r="S94">
        <v>54.022350026538469</v>
      </c>
      <c r="U94">
        <v>4.573984933460518</v>
      </c>
      <c r="V94">
        <v>47.524448906033179</v>
      </c>
      <c r="W94">
        <v>32.597480092283845</v>
      </c>
      <c r="X94">
        <v>43.470782422696843</v>
      </c>
      <c r="Y94">
        <v>6.8439404227960807</v>
      </c>
      <c r="Z94">
        <v>30.82620273851014</v>
      </c>
      <c r="AA94">
        <v>5.1456232840113953</v>
      </c>
      <c r="AB94">
        <v>39.203733814987189</v>
      </c>
      <c r="AD94">
        <v>7.4306446362393235</v>
      </c>
      <c r="AE94">
        <v>14.298319756655255</v>
      </c>
      <c r="AF94">
        <v>15.651673622772329</v>
      </c>
      <c r="AG94">
        <v>25.21224622948376</v>
      </c>
      <c r="AH94">
        <v>3.4998476342333675</v>
      </c>
      <c r="AI94">
        <v>1.8123698020361712</v>
      </c>
      <c r="AK94">
        <v>51.921975694828724</v>
      </c>
    </row>
    <row r="95" spans="1:37" x14ac:dyDescent="0.2">
      <c r="A95">
        <v>94</v>
      </c>
      <c r="B95">
        <v>784</v>
      </c>
      <c r="C95">
        <v>100</v>
      </c>
      <c r="D95">
        <v>0.50433760582698905</v>
      </c>
      <c r="E95">
        <v>100.02210511273672</v>
      </c>
      <c r="F95">
        <v>51.74907622516244</v>
      </c>
      <c r="G95">
        <v>71.236275223648335</v>
      </c>
      <c r="H95">
        <v>66.69997698308218</v>
      </c>
      <c r="J95">
        <v>57.273615693096531</v>
      </c>
      <c r="L95">
        <v>3.3884803183627339</v>
      </c>
      <c r="M95">
        <v>15.891183093446893</v>
      </c>
      <c r="N95">
        <v>1.8818110667803105</v>
      </c>
      <c r="O95">
        <v>21.863371795738882</v>
      </c>
      <c r="P95">
        <v>8.4735483198420063</v>
      </c>
      <c r="R95">
        <v>15.163790814341008</v>
      </c>
      <c r="S95">
        <v>46.687212187704759</v>
      </c>
      <c r="U95">
        <v>4.6410350167945813</v>
      </c>
      <c r="V95">
        <v>46.582460061420875</v>
      </c>
      <c r="W95">
        <v>32.168799209195413</v>
      </c>
      <c r="X95">
        <v>43.743625403285527</v>
      </c>
      <c r="Y95">
        <v>4.6119146375329843</v>
      </c>
      <c r="Z95">
        <v>25.146315459196973</v>
      </c>
      <c r="AA95">
        <v>2.544466696108604</v>
      </c>
      <c r="AB95">
        <v>35.553497083288214</v>
      </c>
      <c r="AD95">
        <v>4.2908034899310863</v>
      </c>
      <c r="AE95">
        <v>11.490817893472851</v>
      </c>
      <c r="AF95">
        <v>15.49371814214717</v>
      </c>
      <c r="AG95">
        <v>21.53234965484987</v>
      </c>
      <c r="AI95">
        <v>1.8158061362375286</v>
      </c>
      <c r="AK95">
        <v>47.590894833631886</v>
      </c>
    </row>
    <row r="96" spans="1:37" x14ac:dyDescent="0.2">
      <c r="A96">
        <v>95</v>
      </c>
      <c r="B96">
        <v>782</v>
      </c>
      <c r="C96">
        <v>100</v>
      </c>
      <c r="D96">
        <v>0.50326541250059598</v>
      </c>
      <c r="E96">
        <v>100.42757377891013</v>
      </c>
      <c r="F96">
        <v>51.344316098681141</v>
      </c>
      <c r="G96">
        <v>71.426040682288857</v>
      </c>
      <c r="H96">
        <v>66.884134852347472</v>
      </c>
      <c r="J96">
        <v>47.85396516949811</v>
      </c>
      <c r="L96">
        <v>1.2465632135821543</v>
      </c>
      <c r="M96">
        <v>15.519494019722449</v>
      </c>
      <c r="N96">
        <v>1.8858288321295431</v>
      </c>
      <c r="O96">
        <v>10.903788702864142</v>
      </c>
      <c r="P96">
        <v>8.8995466265010652</v>
      </c>
      <c r="R96">
        <v>12.665377259703009</v>
      </c>
      <c r="S96">
        <v>39.814236887084526</v>
      </c>
      <c r="U96">
        <v>4.6862435616985785</v>
      </c>
      <c r="V96">
        <v>46.237427690819167</v>
      </c>
      <c r="W96">
        <v>31.546757446362626</v>
      </c>
      <c r="X96">
        <v>43.95415000095818</v>
      </c>
      <c r="Y96">
        <v>3.0492580179486479</v>
      </c>
      <c r="Z96">
        <v>21.819344445970525</v>
      </c>
      <c r="AA96">
        <v>0.10064195880545594</v>
      </c>
      <c r="AB96">
        <v>33.110949388124347</v>
      </c>
      <c r="AD96">
        <v>2.4700395201753018</v>
      </c>
      <c r="AE96">
        <v>9.410864709413616</v>
      </c>
      <c r="AF96">
        <v>15.119800225434116</v>
      </c>
      <c r="AG96">
        <v>19.06022039567728</v>
      </c>
      <c r="AI96">
        <v>1.8193081805412104</v>
      </c>
      <c r="AK96">
        <v>41.486680043152631</v>
      </c>
    </row>
    <row r="97" spans="1:37" x14ac:dyDescent="0.2">
      <c r="A97">
        <v>96</v>
      </c>
      <c r="B97">
        <v>780</v>
      </c>
      <c r="C97">
        <v>100</v>
      </c>
      <c r="D97">
        <v>0.50218914684517901</v>
      </c>
      <c r="E97">
        <v>100.9263734116395</v>
      </c>
      <c r="F97">
        <v>51.122859823989408</v>
      </c>
      <c r="G97">
        <v>71.583454701625087</v>
      </c>
      <c r="H97">
        <v>67.035991360975245</v>
      </c>
      <c r="J97">
        <v>39.355250783780612</v>
      </c>
      <c r="L97">
        <v>1.4482496633978881</v>
      </c>
      <c r="M97">
        <v>14.798298478916864</v>
      </c>
      <c r="N97">
        <v>1.8898492619694951</v>
      </c>
      <c r="O97">
        <v>11.286816178725642</v>
      </c>
      <c r="P97">
        <v>9.2608733450780267</v>
      </c>
      <c r="R97">
        <v>12.377310659416398</v>
      </c>
      <c r="S97">
        <v>40.130027448788596</v>
      </c>
      <c r="U97">
        <v>4.6832103749153342</v>
      </c>
      <c r="V97">
        <v>47.007325086939808</v>
      </c>
      <c r="W97">
        <v>30.614428121686728</v>
      </c>
      <c r="X97">
        <v>44.026299313085055</v>
      </c>
      <c r="Y97">
        <v>2.894233788128262</v>
      </c>
      <c r="Z97">
        <v>18.533993807134681</v>
      </c>
      <c r="AB97">
        <v>31.490199300609827</v>
      </c>
      <c r="AD97">
        <v>0.80915401711997792</v>
      </c>
      <c r="AE97">
        <v>7.4245779143212198</v>
      </c>
      <c r="AF97">
        <v>14.396379295900912</v>
      </c>
      <c r="AG97">
        <v>17.409900902681542</v>
      </c>
      <c r="AI97">
        <v>1.8228097564144334</v>
      </c>
      <c r="AK97">
        <v>35.753564342627413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5D8AD-EA3E-4A93-B1C5-AD949E7ACC4D}">
  <sheetPr codeName="Sheet16"/>
  <dimension ref="A1:H20"/>
  <sheetViews>
    <sheetView workbookViewId="0"/>
  </sheetViews>
  <sheetFormatPr defaultRowHeight="15" x14ac:dyDescent="0.2"/>
  <cols>
    <col min="1" max="1" width="6.5546875" bestFit="1" customWidth="1"/>
    <col min="2" max="2" width="18.21875" bestFit="1" customWidth="1"/>
    <col min="4" max="4" width="11.21875" bestFit="1" customWidth="1"/>
    <col min="5" max="5" width="4" bestFit="1" customWidth="1"/>
    <col min="7" max="7" width="9.5546875" bestFit="1" customWidth="1"/>
    <col min="8" max="8" width="18.5546875" bestFit="1" customWidth="1"/>
  </cols>
  <sheetData>
    <row r="1" spans="1:8" x14ac:dyDescent="0.2">
      <c r="A1" t="s">
        <v>0</v>
      </c>
      <c r="B1" t="s">
        <v>1</v>
      </c>
      <c r="D1" t="s">
        <v>21</v>
      </c>
      <c r="E1">
        <v>950.00000000000011</v>
      </c>
      <c r="G1" t="s">
        <v>30</v>
      </c>
      <c r="H1" t="s">
        <v>32</v>
      </c>
    </row>
    <row r="2" spans="1:8" x14ac:dyDescent="0.2">
      <c r="A2" t="s">
        <v>2</v>
      </c>
      <c r="B2">
        <v>76.36</v>
      </c>
      <c r="D2" t="s">
        <v>22</v>
      </c>
      <c r="E2">
        <v>700</v>
      </c>
      <c r="G2" t="s">
        <v>31</v>
      </c>
      <c r="H2" t="s">
        <v>33</v>
      </c>
    </row>
    <row r="3" spans="1:8" x14ac:dyDescent="0.2">
      <c r="A3" t="s">
        <v>3</v>
      </c>
      <c r="B3">
        <v>6.9000000000000006E-2</v>
      </c>
      <c r="D3" t="s">
        <v>23</v>
      </c>
      <c r="E3">
        <v>2</v>
      </c>
    </row>
    <row r="4" spans="1:8" x14ac:dyDescent="0.2">
      <c r="A4" t="s">
        <v>4</v>
      </c>
      <c r="B4">
        <v>12.65</v>
      </c>
    </row>
    <row r="5" spans="1:8" x14ac:dyDescent="0.2">
      <c r="A5" t="s">
        <v>5</v>
      </c>
      <c r="D5" t="s">
        <v>24</v>
      </c>
      <c r="E5">
        <v>300</v>
      </c>
    </row>
    <row r="6" spans="1:8" x14ac:dyDescent="0.2">
      <c r="A6" t="s">
        <v>6</v>
      </c>
      <c r="D6" t="s">
        <v>25</v>
      </c>
      <c r="E6">
        <v>100</v>
      </c>
    </row>
    <row r="7" spans="1:8" x14ac:dyDescent="0.2">
      <c r="A7" t="s">
        <v>7</v>
      </c>
      <c r="B7">
        <v>0.52</v>
      </c>
      <c r="D7" t="s">
        <v>26</v>
      </c>
      <c r="E7">
        <v>25</v>
      </c>
    </row>
    <row r="8" spans="1:8" x14ac:dyDescent="0.2">
      <c r="A8" t="s">
        <v>8</v>
      </c>
      <c r="B8">
        <v>2.4E-2</v>
      </c>
    </row>
    <row r="9" spans="1:8" x14ac:dyDescent="0.2">
      <c r="A9" t="s">
        <v>9</v>
      </c>
      <c r="B9">
        <v>0.05</v>
      </c>
      <c r="D9" t="s">
        <v>27</v>
      </c>
      <c r="E9">
        <v>0</v>
      </c>
    </row>
    <row r="10" spans="1:8" x14ac:dyDescent="0.2">
      <c r="A10" t="s">
        <v>10</v>
      </c>
      <c r="D10" t="s">
        <v>28</v>
      </c>
      <c r="E10" t="s">
        <v>29</v>
      </c>
    </row>
    <row r="11" spans="1:8" x14ac:dyDescent="0.2">
      <c r="A11" t="s">
        <v>11</v>
      </c>
    </row>
    <row r="12" spans="1:8" x14ac:dyDescent="0.2">
      <c r="A12" t="s">
        <v>12</v>
      </c>
      <c r="B12">
        <v>0.54</v>
      </c>
    </row>
    <row r="13" spans="1:8" x14ac:dyDescent="0.2">
      <c r="A13" t="s">
        <v>13</v>
      </c>
      <c r="B13">
        <v>3.97</v>
      </c>
    </row>
    <row r="14" spans="1:8" x14ac:dyDescent="0.2">
      <c r="A14" t="s">
        <v>14</v>
      </c>
      <c r="B14">
        <v>4.6100000000000003</v>
      </c>
    </row>
    <row r="15" spans="1:8" x14ac:dyDescent="0.2">
      <c r="A15" t="s">
        <v>15</v>
      </c>
      <c r="B15">
        <v>6.0000000000000001E-3</v>
      </c>
    </row>
    <row r="16" spans="1:8" x14ac:dyDescent="0.2">
      <c r="A16" t="s">
        <v>16</v>
      </c>
      <c r="B16">
        <v>10.867229999999999</v>
      </c>
    </row>
    <row r="17" spans="1:1" x14ac:dyDescent="0.2">
      <c r="A17" t="s">
        <v>17</v>
      </c>
    </row>
    <row r="18" spans="1:1" x14ac:dyDescent="0.2">
      <c r="A18" t="s">
        <v>18</v>
      </c>
    </row>
    <row r="19" spans="1:1" x14ac:dyDescent="0.2">
      <c r="A19" t="s">
        <v>19</v>
      </c>
    </row>
    <row r="20" spans="1:1" x14ac:dyDescent="0.2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Charts</vt:lpstr>
      </vt:variant>
      <vt:variant>
        <vt:i4>1</vt:i4>
      </vt:variant>
    </vt:vector>
  </HeadingPairs>
  <TitlesOfParts>
    <vt:vector size="17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leucite</vt:lpstr>
      <vt:lpstr>orthopyroxene</vt:lpstr>
      <vt:lpstr>feldspar1</vt:lpstr>
      <vt:lpstr>feldspar2</vt:lpstr>
      <vt:lpstr>feldspar</vt:lpstr>
      <vt:lpstr>quartz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Marvin Lopez Acevedo</dc:creator>
  <cp:lastModifiedBy>Marvin Lopez Acevedo</cp:lastModifiedBy>
  <dcterms:created xsi:type="dcterms:W3CDTF">2025-06-09T21:18:42Z</dcterms:created>
  <dcterms:modified xsi:type="dcterms:W3CDTF">2025-06-09T21:19:31Z</dcterms:modified>
</cp:coreProperties>
</file>